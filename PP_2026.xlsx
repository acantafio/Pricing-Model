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3.xml" ContentType="application/vnd.openxmlformats-officedocument.spreadsheetml.comment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2.xml" ContentType="application/vnd.openxmlformats-officedocument.spreadsheetml.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amcotradingus.sharepoint.com/sites/Teams-ATA-Crude-TradingCoverage/Shared Documents/Trading Coverage/ATA Lights/Cargoes/Alberto Daily/"/>
    </mc:Choice>
  </mc:AlternateContent>
  <xr:revisionPtr revIDLastSave="87932" documentId="8_{FE01E505-01BD-4B50-A730-208D60FE68FE}" xr6:coauthVersionLast="47" xr6:coauthVersionMax="47" xr10:uidLastSave="{7F960097-27AF-4090-9159-2C586CBA31DA}"/>
  <bookViews>
    <workbookView xWindow="9400" yWindow="4210" windowWidth="28800" windowHeight="15380" firstSheet="5" activeTab="6" xr2:uid="{89CFD5A5-FFAE-4E91-BD68-6964DED54119}"/>
  </bookViews>
  <sheets>
    <sheet name="Dashboard" sheetId="44" r:id="rId1"/>
    <sheet name="Cost Dashboard" sheetId="45" r:id="rId2"/>
    <sheet name="Report" sheetId="6" r:id="rId3"/>
    <sheet name="Control" sheetId="5" r:id="rId4"/>
    <sheet name="Trades 2026 1.14" sheetId="2" state="hidden" r:id="rId5"/>
    <sheet name="Trades 2026" sheetId="36" r:id="rId6"/>
    <sheet name="PnL26" sheetId="1" r:id="rId7"/>
    <sheet name="Cargo Econs 2026" sheetId="42" r:id="rId8"/>
    <sheet name="Cargo Econs 2025" sheetId="18" state="hidden" r:id="rId9"/>
    <sheet name="2025 EOY" sheetId="37" state="hidden" r:id="rId10"/>
    <sheet name="Ledger" sheetId="17" r:id="rId11"/>
    <sheet name="Pricing et. al" sheetId="7" r:id="rId12"/>
    <sheet name="Dated" sheetId="38" r:id="rId13"/>
    <sheet name="PnL" sheetId="29" r:id="rId14"/>
    <sheet name="WTI Sprds" sheetId="31" r:id="rId15"/>
    <sheet name="Control-Prices" sheetId="30" r:id="rId16"/>
    <sheet name="BBG" sheetId="3" r:id="rId17"/>
    <sheet name="Brent Sprds" sheetId="32" r:id="rId18"/>
    <sheet name="WTI-Brent" sheetId="33" r:id="rId19"/>
    <sheet name="Cargo Data" sheetId="43" r:id="rId20"/>
  </sheets>
  <externalReferences>
    <externalReference r:id="rId21"/>
    <externalReference r:id="rId22"/>
    <externalReference r:id="rId23"/>
  </externalReferences>
  <definedNames>
    <definedName name="_xlnm._FilterDatabase" localSheetId="6" hidden="1">'Trades 2026 1.14'!$A$1:$N$136</definedName>
    <definedName name="_xlnm._FilterDatabase" localSheetId="5" hidden="1">'Trades 2026'!$A$1:$V$157</definedName>
    <definedName name="_xlnm._FilterDatabase" localSheetId="4" hidden="1">'Trades 2026 1.14'!$A$1:$S$1461</definedName>
    <definedName name="All_Days">#REF!</definedName>
    <definedName name="ARGUS_DAYS_PRICED">#REF!</definedName>
    <definedName name="ARGUS_PRICING_DAYS">#REF!</definedName>
    <definedName name="BRENT_DAYS_PRICED">#REF!</definedName>
    <definedName name="Calendar">#REF!</definedName>
    <definedName name="CargoSize">#REF!</definedName>
    <definedName name="CMA_Argus_Trading_Days">#REF!</definedName>
    <definedName name="CMA_Brent_Trading_Days">#REF!</definedName>
    <definedName name="CMA_DAYS_PRICED">#REF!</definedName>
    <definedName name="CMA_NYMEX_Trading_Days">#REF!</definedName>
    <definedName name="CMA_Platts_Dubai">#REF!</definedName>
    <definedName name="CMA_Platts_Euro_Brent_Trading_Days">#REF!</definedName>
    <definedName name="CMA_Platts_US_Trading_Days">#REF!</definedName>
    <definedName name="CMA_PRICING_DAYS">#REF!</definedName>
    <definedName name="Cons_Date">#REF!</definedName>
    <definedName name="CostDemK">'Cargo Data'!$AE$2:$AE$21</definedName>
    <definedName name="CostFlag">'Cost Dashboard'!$C$6</definedName>
    <definedName name="CostFreightK">'Cargo Data'!$AC$2:$AC$21</definedName>
    <definedName name="CostInclFlag">'Cargo Data'!$AJ$2:$AJ$21</definedName>
    <definedName name="CostMonth">'Cost Dashboard'!$C$4</definedName>
    <definedName name="CostOtherK">'Cargo Data'!$AH$2:$AH$21</definedName>
    <definedName name="CostSTSK">'Cargo Data'!$AF$2:$AF$21</definedName>
    <definedName name="CostTD7K">'Cargo Data'!$AD$2:$AD$21</definedName>
    <definedName name="CostTotalK">'Cargo Data'!$AI$2:$AI$21</definedName>
    <definedName name="CostTVMK">'Cargo Data'!$AG$2:$AG$21</definedName>
    <definedName name="CostVessel">'Cost Dashboard'!$C$5</definedName>
    <definedName name="Crude" localSheetId="6">#REF!</definedName>
    <definedName name="Crude">#REF!</definedName>
    <definedName name="CrudeBenchmarks" localSheetId="6">#REF!</definedName>
    <definedName name="CrudeBenchmarks">#REF!</definedName>
    <definedName name="Crudes">#REF!</definedName>
    <definedName name="Current_Day">#REF!</definedName>
    <definedName name="DateRange">OFFSET(#REF!,0,0,MATCH(TODAY(),#REF!,0),1)</definedName>
    <definedName name="DaysInMonth">#REF!</definedName>
    <definedName name="DischargePort">#REF!</definedName>
    <definedName name="Disports">#REF!</definedName>
    <definedName name="EV__LASTREFTIME__">40738.6979398148</definedName>
    <definedName name="FilterFlag">Dashboard!$C$6</definedName>
    <definedName name="FilterMonth">Dashboard!$C$4</definedName>
    <definedName name="FilterVessel">Dashboard!$C$5</definedName>
    <definedName name="FregithTable">#REF!</definedName>
    <definedName name="Holidays">#REF!</definedName>
    <definedName name="IBrentCurve" localSheetId="6">'[1]Calendar Management'!#REF!</definedName>
    <definedName name="IBrentCurve">'[1]Calendar Management'!#REF!</definedName>
    <definedName name="Ledgerdd" localSheetId="17">Ledger[[#All],[Cargo Name]]</definedName>
    <definedName name="Ledgerdd" localSheetId="7">Ledger[[#All],[Cargo Name]]</definedName>
    <definedName name="Ledgerdd" localSheetId="5">Ledger[[#All],[Cargo Name]]</definedName>
    <definedName name="Ledgerdd" localSheetId="18">Ledger[[#All],[Cargo Name]]</definedName>
    <definedName name="Ledgerdd">Ledger[[#All],[Cargo Name]]</definedName>
    <definedName name="LIM_START_DATE" localSheetId="6">#REF!</definedName>
    <definedName name="LIM_START_DATE">#REF!</definedName>
    <definedName name="LoadPort">#REF!</definedName>
    <definedName name="LoadPorts">#REF!</definedName>
    <definedName name="MinTonnage">#REF!</definedName>
    <definedName name="Mo_Avg_Pricing">#REF!</definedName>
    <definedName name="Months" localSheetId="6">'[1]Calendar Management'!#REF!</definedName>
    <definedName name="Months">'[1]Calendar Management'!#REF!</definedName>
    <definedName name="MorningStar_As_Of_Date">#REF!</definedName>
    <definedName name="MTDRange">OFFSET(#REF!,0,0,MATCH(TODAY(),#REF!,0),1)</definedName>
    <definedName name="No_Holiday">#REF!</definedName>
    <definedName name="Nom_Month" localSheetId="6">#REF!</definedName>
    <definedName name="Nom_Month">#REF!</definedName>
    <definedName name="NWTICurve" localSheetId="6">'[1]Calendar Management'!#REF!</definedName>
    <definedName name="NWTICurve">'[1]Calendar Management'!#REF!</definedName>
    <definedName name="PAWS_Basis">1</definedName>
    <definedName name="PAWS_EndDate">41912</definedName>
    <definedName name="PAWS_GraphMode">TRUE</definedName>
    <definedName name="PAWS_LastDate" localSheetId="6">#REF!</definedName>
    <definedName name="PAWS_LastDate">#REF!</definedName>
    <definedName name="PAWS_LastNDays">10</definedName>
    <definedName name="PAWS_PasteRows">FALSE</definedName>
    <definedName name="PAWS_Periodicity">1</definedName>
    <definedName name="PAWS_PeriodSpec">1</definedName>
    <definedName name="PAWS_StartDate">41883</definedName>
    <definedName name="PAWS_UseDates">TRUE</definedName>
    <definedName name="PAWS_UseLastSelection">FALSE</definedName>
    <definedName name="PAWS_UseUnits">TRUE</definedName>
    <definedName name="PAWS_ZeroMode">TRUE</definedName>
    <definedName name="PL_DATA">#REF!</definedName>
    <definedName name="PL_DATA_Prev">#REF!</definedName>
    <definedName name="Prev_Day">#REF!</definedName>
    <definedName name="Priced_Date">#REF!</definedName>
    <definedName name="Pricing_Commodity_Names" comment="Pricing commodity names used for commodity column on Waterborne Tab">#REF!</definedName>
    <definedName name="Prompt_Month">#REF!</definedName>
    <definedName name="Quotational_First_Cell" localSheetId="6">#REF!</definedName>
    <definedName name="Quotational_First_Cell">#REF!</definedName>
    <definedName name="REUTERS_DAYS_PRICED">#REF!</definedName>
    <definedName name="SAUDI_PRICING_DAYS" localSheetId="6">#REF!</definedName>
    <definedName name="SAUDI_PRICING_DAYS">#REF!</definedName>
    <definedName name="SpreadsheetBuilder_1" localSheetId="16" hidden="1">BBG!$A$1:$B$8</definedName>
    <definedName name="SpreadsheetBuilder_1" localSheetId="17" hidden="1">'Brent Sprds'!$A$1:$B$10</definedName>
    <definedName name="SpreadsheetBuilder_1" localSheetId="14" hidden="1">'WTI Sprds'!$A$1:$B$10</definedName>
    <definedName name="SpreadsheetBuilder_1" localSheetId="18" hidden="1">'WTI-Brent'!$A$1:$B$10</definedName>
    <definedName name="SpreadsheetBuilder_1" hidden="1">Dated!$A$1:$D$7</definedName>
    <definedName name="SpreadsheetBuilder_7" hidden="1">#REF!</definedName>
    <definedName name="TOTAL_DAYS_PRICED_IN" localSheetId="6">#REF!</definedName>
    <definedName name="TOTAL_DAYS_PRICED_IN">#REF!</definedName>
    <definedName name="TRMC_Prompt_Month">#REF!</definedName>
    <definedName name="TRMC_Report_Data">#REF!</definedName>
    <definedName name="TRMC_Report_Data_Prev">#REF!</definedName>
    <definedName name="TRMC_Report_Date">#REF!</definedName>
    <definedName name="Weekend_Friday">#REF!</definedName>
    <definedName name="WTI_DAYS_PRICED">#REF!</definedName>
    <definedName name="WTI_Expiration">#REF!</definedName>
    <definedName name="WTI_PRICING_DAYS">#REF!</definedName>
    <definedName name="WTI_Shift">#REF!</definedName>
    <definedName name="WTICurve" localSheetId="6">'[1]Calendar Management'!#REF!</definedName>
    <definedName name="WTICurve">'[1]Calendar Management'!#REF!</definedName>
  </definedNames>
  <calcPr calcId="191028"/>
  <pivotCaches>
    <pivotCache cacheId="0" r:id="rId24"/>
    <pivotCache cacheId="1" r:id="rId25"/>
    <pivotCache cacheId="13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7" i="42" l="1"/>
  <c r="K159" i="42"/>
  <c r="E10" i="31" a="1"/>
  <c r="AO10" i="31" a="1"/>
  <c r="N10" i="31" a="1"/>
  <c r="AB10" i="31" a="1"/>
  <c r="AK10" i="31" a="1"/>
  <c r="AE10" i="31" a="1"/>
  <c r="Y10" i="31" a="1"/>
  <c r="R10" i="31" a="1"/>
  <c r="J8" i="3" a="1"/>
  <c r="F8" i="3" a="1"/>
  <c r="D8" i="3" a="1"/>
  <c r="AC10" i="31" a="1"/>
  <c r="AS8" i="3" a="1"/>
  <c r="M10" i="31" a="1"/>
  <c r="AJ8" i="3" a="1"/>
  <c r="S10" i="31" a="1"/>
  <c r="AG10" i="31" a="1"/>
  <c r="AR8" i="3" a="1"/>
  <c r="AB10" i="33" a="1"/>
  <c r="X10" i="31" a="1"/>
  <c r="AT8" i="3" a="1"/>
  <c r="Z10" i="32" a="1"/>
  <c r="R10" i="32" a="1"/>
  <c r="C10" i="33" a="1"/>
  <c r="E10" i="33" a="1"/>
  <c r="Q10" i="31" a="1"/>
  <c r="BA8" i="3" a="1"/>
  <c r="AM8" i="3" a="1"/>
  <c r="E8" i="3" a="1"/>
  <c r="W10" i="31" a="1"/>
  <c r="O10" i="33" a="1"/>
  <c r="T10" i="31" a="1"/>
  <c r="J10" i="32" a="1"/>
  <c r="I8" i="3" a="1"/>
  <c r="AZ8" i="3" a="1"/>
  <c r="X10" i="33" a="1"/>
  <c r="S8" i="3" a="1"/>
  <c r="AH10" i="31" a="1"/>
  <c r="W10" i="33" a="1"/>
  <c r="AB8" i="3" a="1"/>
  <c r="C10" i="32" a="1"/>
  <c r="AX8" i="3" a="1"/>
  <c r="X10" i="32" a="1"/>
  <c r="B8" i="3" a="1"/>
  <c r="O8" i="3" a="1"/>
  <c r="I10" i="31" a="1"/>
  <c r="R8" i="3" a="1"/>
  <c r="U8" i="3" a="1"/>
  <c r="N10" i="32" a="1"/>
  <c r="M10" i="32" a="1"/>
  <c r="L10" i="31" a="1"/>
  <c r="AJ10" i="31" a="1"/>
  <c r="H8" i="3" a="1"/>
  <c r="G10" i="32" a="1"/>
  <c r="AA10" i="32" a="1"/>
  <c r="B10" i="32" a="1"/>
  <c r="U10" i="31" a="1"/>
  <c r="Z10" i="33" a="1"/>
  <c r="G8" i="3" a="1"/>
  <c r="AL10" i="31" a="1"/>
  <c r="AF8" i="3" a="1"/>
  <c r="K10" i="32" a="1"/>
  <c r="AK8" i="3" a="1"/>
  <c r="T10" i="32" a="1"/>
  <c r="AI8" i="3" a="1"/>
  <c r="R10" i="33" a="1"/>
  <c r="AG8" i="3" a="1"/>
  <c r="U10" i="32" a="1"/>
  <c r="F10" i="32" a="1"/>
  <c r="B10" i="33" a="1"/>
  <c r="AF10" i="31" a="1"/>
  <c r="G10" i="31" a="1"/>
  <c r="M8" i="3" a="1"/>
  <c r="Q10" i="33" a="1"/>
  <c r="P8" i="3" a="1"/>
  <c r="S10" i="32" a="1"/>
  <c r="AO8" i="3" a="1"/>
  <c r="D10" i="32" a="1"/>
  <c r="H10" i="31" a="1"/>
  <c r="P10" i="32" a="1"/>
  <c r="AV8" i="3" a="1"/>
  <c r="Z10" i="31" a="1"/>
  <c r="Y10" i="32" a="1"/>
  <c r="AW8" i="3" a="1"/>
  <c r="U10" i="33" a="1"/>
  <c r="AI10" i="31" a="1"/>
  <c r="O10" i="32" a="1"/>
  <c r="G10" i="33" a="1"/>
  <c r="AL8" i="3" a="1"/>
  <c r="F10" i="31" a="1"/>
  <c r="AD8" i="3" a="1"/>
  <c r="Y8" i="3" a="1"/>
  <c r="L10" i="33" a="1"/>
  <c r="H10" i="32" a="1"/>
  <c r="T8" i="3" a="1"/>
  <c r="Z8" i="3" a="1"/>
  <c r="J10" i="31" a="1"/>
  <c r="B10" i="31" a="1"/>
  <c r="X8" i="3" a="1"/>
  <c r="V8" i="3" a="1"/>
  <c r="H10" i="33" a="1"/>
  <c r="D10" i="31" a="1"/>
  <c r="AN10" i="31" a="1"/>
  <c r="V10" i="31" a="1"/>
  <c r="AA8" i="3" a="1"/>
  <c r="AQ8" i="3" a="1"/>
  <c r="C10" i="31" a="1"/>
  <c r="AU8" i="3" a="1"/>
  <c r="J10" i="33" a="1"/>
  <c r="L8" i="3" a="1"/>
  <c r="AM10" i="31" a="1"/>
  <c r="O10" i="31" a="1"/>
  <c r="P10" i="31" a="1"/>
  <c r="AA10" i="31" a="1"/>
  <c r="D10" i="33" a="1"/>
  <c r="K10" i="31" a="1"/>
  <c r="AD10" i="31" a="1"/>
  <c r="AN8" i="3" a="1"/>
  <c r="AA10" i="33" a="1"/>
  <c r="V10" i="32" a="1"/>
  <c r="AY8" i="3" a="1"/>
  <c r="Q10" i="32" a="1"/>
  <c r="I10" i="33" a="1"/>
  <c r="S10" i="33" a="1"/>
  <c r="T10" i="33" a="1"/>
  <c r="L10" i="32" a="1"/>
  <c r="Y10" i="33" a="1"/>
  <c r="N8" i="3" a="1"/>
  <c r="M10" i="33" a="1"/>
  <c r="V10" i="33" a="1"/>
  <c r="N10" i="33" a="1"/>
  <c r="F10" i="33" a="1"/>
  <c r="K10" i="33" a="1"/>
  <c r="AP8" i="3" a="1"/>
  <c r="E10" i="32" a="1"/>
  <c r="K8" i="3" a="1"/>
  <c r="W10" i="32" a="1"/>
  <c r="Q8" i="3" a="1"/>
  <c r="AH8" i="3" a="1"/>
  <c r="W8" i="3" a="1"/>
  <c r="C8" i="3" a="1"/>
  <c r="AB10" i="32" a="1"/>
  <c r="I10" i="32" a="1"/>
  <c r="P10" i="33" a="1"/>
  <c r="AE8" i="3" a="1"/>
  <c r="E9" i="7" a="1"/>
  <c r="R10" i="31" l="1"/>
  <c r="Y10" i="31"/>
  <c r="AE10" i="31"/>
  <c r="AK10" i="31"/>
  <c r="AB10" i="31"/>
  <c r="N10" i="31"/>
  <c r="AO10" i="31"/>
  <c r="E10" i="31"/>
  <c r="V10" i="32"/>
  <c r="AA10" i="33"/>
  <c r="AN8" i="3"/>
  <c r="AD10" i="31"/>
  <c r="K10" i="31"/>
  <c r="D10" i="33"/>
  <c r="AA10" i="31"/>
  <c r="P10" i="31"/>
  <c r="O10" i="31"/>
  <c r="AM10" i="31"/>
  <c r="L8" i="3"/>
  <c r="J10" i="33"/>
  <c r="AU8" i="3"/>
  <c r="C10" i="31"/>
  <c r="AQ8" i="3"/>
  <c r="AA8" i="3"/>
  <c r="V10" i="31"/>
  <c r="AN10" i="31"/>
  <c r="D10" i="31"/>
  <c r="H10" i="33"/>
  <c r="V8" i="3"/>
  <c r="X8" i="3"/>
  <c r="B10" i="31"/>
  <c r="J10" i="31"/>
  <c r="Z8" i="3"/>
  <c r="T8" i="3"/>
  <c r="H10" i="32"/>
  <c r="L10" i="33"/>
  <c r="Y8" i="3"/>
  <c r="AD8" i="3"/>
  <c r="F10" i="31"/>
  <c r="AL8" i="3"/>
  <c r="G10" i="33"/>
  <c r="O10" i="32"/>
  <c r="AI10" i="31"/>
  <c r="U10" i="33"/>
  <c r="AW8" i="3"/>
  <c r="Y10" i="32"/>
  <c r="Z10" i="31"/>
  <c r="AV8" i="3"/>
  <c r="P10" i="32"/>
  <c r="H10" i="31"/>
  <c r="D10" i="32"/>
  <c r="AO8" i="3"/>
  <c r="S10" i="32"/>
  <c r="P8" i="3"/>
  <c r="Q10" i="33"/>
  <c r="M8" i="3"/>
  <c r="G10" i="31"/>
  <c r="AF10" i="31"/>
  <c r="B10" i="33"/>
  <c r="F10" i="32"/>
  <c r="U10" i="32"/>
  <c r="AG8" i="3"/>
  <c r="R10" i="33"/>
  <c r="AI8" i="3"/>
  <c r="T10" i="32"/>
  <c r="AK8" i="3"/>
  <c r="K10" i="32"/>
  <c r="AF8" i="3"/>
  <c r="AL10" i="31"/>
  <c r="G8" i="3"/>
  <c r="Z10" i="33"/>
  <c r="U10" i="31"/>
  <c r="B10" i="32"/>
  <c r="AA10" i="32"/>
  <c r="G10" i="32"/>
  <c r="H8" i="3"/>
  <c r="AJ10" i="31"/>
  <c r="L10" i="31"/>
  <c r="M10" i="32"/>
  <c r="N10" i="32"/>
  <c r="U8" i="3"/>
  <c r="R8" i="3"/>
  <c r="I10" i="31"/>
  <c r="O8" i="3"/>
  <c r="B8" i="3"/>
  <c r="X10" i="32"/>
  <c r="AX8" i="3"/>
  <c r="C10" i="32"/>
  <c r="AB8" i="3"/>
  <c r="W10" i="33"/>
  <c r="AH10" i="31"/>
  <c r="S8" i="3"/>
  <c r="X10" i="33"/>
  <c r="AZ8" i="3"/>
  <c r="I8" i="3"/>
  <c r="J10" i="32"/>
  <c r="T10" i="31"/>
  <c r="O10" i="33"/>
  <c r="W10" i="31"/>
  <c r="E8" i="3"/>
  <c r="AM8" i="3"/>
  <c r="BA8" i="3"/>
  <c r="Q10" i="31"/>
  <c r="E10" i="33"/>
  <c r="C10" i="33"/>
  <c r="R10" i="32"/>
  <c r="Z10" i="32"/>
  <c r="AT8" i="3"/>
  <c r="X10" i="31"/>
  <c r="AB10" i="33"/>
  <c r="AR8" i="3"/>
  <c r="AG10" i="31"/>
  <c r="S10" i="31"/>
  <c r="AJ8" i="3"/>
  <c r="M10" i="31"/>
  <c r="AS8" i="3"/>
  <c r="AC10" i="31"/>
  <c r="D8" i="3"/>
  <c r="F8" i="3"/>
  <c r="J8" i="3"/>
  <c r="P10" i="33"/>
  <c r="I10" i="32"/>
  <c r="AB10" i="32"/>
  <c r="C8" i="3"/>
  <c r="W8" i="3"/>
  <c r="AH8" i="3"/>
  <c r="Q8" i="3"/>
  <c r="W10" i="32"/>
  <c r="K8" i="3"/>
  <c r="E10" i="32"/>
  <c r="AP8" i="3"/>
  <c r="K10" i="33"/>
  <c r="F10" i="33"/>
  <c r="N10" i="33"/>
  <c r="V10" i="33"/>
  <c r="M10" i="33"/>
  <c r="N8" i="3"/>
  <c r="Y10" i="33"/>
  <c r="L10" i="32"/>
  <c r="T10" i="33"/>
  <c r="S10" i="33"/>
  <c r="I10" i="33"/>
  <c r="Q10" i="32"/>
  <c r="AY8" i="3"/>
  <c r="AE8" i="3"/>
  <c r="E9" i="7"/>
  <c r="I159" i="42"/>
  <c r="I139" i="42"/>
  <c r="I145" i="42"/>
  <c r="AH19" i="45"/>
  <c r="AG19" i="45"/>
  <c r="AD19" i="45"/>
  <c r="AD18" i="45"/>
  <c r="AD17" i="45"/>
  <c r="AD16" i="45"/>
  <c r="AD15" i="45"/>
  <c r="AB19" i="45"/>
  <c r="AA19" i="45"/>
  <c r="AD14" i="45"/>
  <c r="L29" i="45"/>
  <c r="K29" i="45"/>
  <c r="J29" i="45" a="1"/>
  <c r="J29" i="45" s="1"/>
  <c r="I29" i="45" a="1"/>
  <c r="I29" i="45" s="1"/>
  <c r="H29" i="45" a="1"/>
  <c r="H29" i="45" s="1"/>
  <c r="G29" i="45" a="1"/>
  <c r="G29" i="45" s="1"/>
  <c r="F29" i="45" a="1"/>
  <c r="F29" i="45" s="1"/>
  <c r="E29" i="45" a="1"/>
  <c r="E29" i="45" s="1"/>
  <c r="D29" i="45" a="1"/>
  <c r="D29" i="45" s="1"/>
  <c r="C29" i="45" a="1"/>
  <c r="C29" i="45" s="1"/>
  <c r="L28" i="45"/>
  <c r="K28" i="45"/>
  <c r="J28" i="45" a="1"/>
  <c r="J28" i="45" s="1"/>
  <c r="I28" i="45" a="1"/>
  <c r="I28" i="45" s="1"/>
  <c r="H28" i="45" a="1"/>
  <c r="H28" i="45" s="1"/>
  <c r="G28" i="45" a="1"/>
  <c r="G28" i="45" s="1"/>
  <c r="F28" i="45" a="1"/>
  <c r="F28" i="45" s="1"/>
  <c r="E28" i="45" a="1"/>
  <c r="E28" i="45" s="1"/>
  <c r="D28" i="45" a="1"/>
  <c r="D28" i="45" s="1"/>
  <c r="C28" i="45" a="1"/>
  <c r="C28" i="45" s="1"/>
  <c r="L19" i="45"/>
  <c r="K19" i="45"/>
  <c r="J19" i="45" a="1"/>
  <c r="J19" i="45" s="1"/>
  <c r="I19" i="45" a="1"/>
  <c r="I19" i="45" s="1"/>
  <c r="H19" i="45" a="1"/>
  <c r="H19" i="45" s="1"/>
  <c r="G19" i="45" a="1"/>
  <c r="G19" i="45" s="1"/>
  <c r="F19" i="45" a="1"/>
  <c r="F19" i="45" s="1"/>
  <c r="E19" i="45" a="1"/>
  <c r="E19" i="45" s="1"/>
  <c r="D19" i="45" a="1"/>
  <c r="D19" i="45" s="1"/>
  <c r="C19" i="45" a="1"/>
  <c r="C19" i="45" s="1"/>
  <c r="AC2" i="43"/>
  <c r="AD2" i="43"/>
  <c r="AE2" i="43"/>
  <c r="AF2" i="43"/>
  <c r="AG2" i="43"/>
  <c r="AH2" i="43"/>
  <c r="AI2" i="43"/>
  <c r="AJ2" i="43"/>
  <c r="AC3" i="43"/>
  <c r="AI3" i="43" s="1"/>
  <c r="AD3" i="43"/>
  <c r="AE3" i="43"/>
  <c r="AF3" i="43"/>
  <c r="AG3" i="43"/>
  <c r="AH3" i="43"/>
  <c r="AJ3" i="43"/>
  <c r="AC4" i="43"/>
  <c r="AD4" i="43"/>
  <c r="AE4" i="43"/>
  <c r="AF4" i="43"/>
  <c r="AG4" i="43"/>
  <c r="AH4" i="43"/>
  <c r="AI4" i="43" s="1"/>
  <c r="AJ4" i="43"/>
  <c r="AC5" i="43"/>
  <c r="AI5" i="43" s="1"/>
  <c r="AD5" i="43"/>
  <c r="AE5" i="43"/>
  <c r="AF5" i="43"/>
  <c r="AG5" i="43"/>
  <c r="AH5" i="43"/>
  <c r="AJ5" i="43"/>
  <c r="AC6" i="43"/>
  <c r="AD6" i="43"/>
  <c r="AE6" i="43"/>
  <c r="AI6" i="43" s="1"/>
  <c r="AF6" i="43"/>
  <c r="AG6" i="43"/>
  <c r="AH6" i="43"/>
  <c r="AJ6" i="43"/>
  <c r="AC7" i="43"/>
  <c r="AD7" i="43"/>
  <c r="AE7" i="43"/>
  <c r="AF7" i="43"/>
  <c r="AG7" i="43"/>
  <c r="AH7" i="43"/>
  <c r="AI7" i="43" s="1"/>
  <c r="AC8" i="43"/>
  <c r="AD8" i="43"/>
  <c r="AE8" i="43"/>
  <c r="AI8" i="43" s="1"/>
  <c r="AF8" i="43"/>
  <c r="AG8" i="43"/>
  <c r="AH8" i="43"/>
  <c r="AJ8" i="43"/>
  <c r="AC9" i="43"/>
  <c r="AD9" i="43"/>
  <c r="AE9" i="43"/>
  <c r="AF9" i="43"/>
  <c r="AG9" i="43"/>
  <c r="AH9" i="43"/>
  <c r="AI9" i="43"/>
  <c r="AJ9" i="43"/>
  <c r="AC10" i="43"/>
  <c r="AI10" i="43" s="1"/>
  <c r="AD10" i="43"/>
  <c r="AE10" i="43"/>
  <c r="AF10" i="43"/>
  <c r="AG10" i="43"/>
  <c r="AH10" i="43"/>
  <c r="AC11" i="43"/>
  <c r="AD11" i="43"/>
  <c r="AE11" i="43"/>
  <c r="AF11" i="43"/>
  <c r="AG11" i="43"/>
  <c r="AH11" i="43"/>
  <c r="AI11" i="43"/>
  <c r="AC12" i="43"/>
  <c r="AI12" i="43" s="1"/>
  <c r="AD12" i="43"/>
  <c r="AE12" i="43"/>
  <c r="AF12" i="43"/>
  <c r="AG12" i="43"/>
  <c r="AH12" i="43"/>
  <c r="AJ12" i="43"/>
  <c r="AC13" i="43"/>
  <c r="AD13" i="43"/>
  <c r="AE13" i="43"/>
  <c r="AI13" i="43" s="1"/>
  <c r="AF13" i="43"/>
  <c r="AG13" i="43"/>
  <c r="AH13" i="43"/>
  <c r="AC14" i="43"/>
  <c r="AD14" i="43"/>
  <c r="AE14" i="43"/>
  <c r="AF14" i="43"/>
  <c r="AG14" i="43"/>
  <c r="AH14" i="43"/>
  <c r="AI14" i="43" s="1"/>
  <c r="AC15" i="43"/>
  <c r="AD15" i="43"/>
  <c r="AI15" i="43" s="1"/>
  <c r="AE15" i="43"/>
  <c r="AF15" i="43"/>
  <c r="AG15" i="43"/>
  <c r="AH15" i="43"/>
  <c r="AC16" i="43"/>
  <c r="AD16" i="43"/>
  <c r="AE16" i="43"/>
  <c r="AF16" i="43"/>
  <c r="AG16" i="43"/>
  <c r="AH16" i="43"/>
  <c r="AI16" i="43"/>
  <c r="AC17" i="43"/>
  <c r="AI17" i="43" s="1"/>
  <c r="AD17" i="43"/>
  <c r="AE17" i="43"/>
  <c r="AF17" i="43"/>
  <c r="AG17" i="43"/>
  <c r="AH17" i="43"/>
  <c r="AC18" i="43"/>
  <c r="AD18" i="43"/>
  <c r="AE18" i="43"/>
  <c r="AF18" i="43"/>
  <c r="AG18" i="43"/>
  <c r="AH18" i="43"/>
  <c r="AI18" i="43"/>
  <c r="AJ18" i="43"/>
  <c r="AC19" i="43"/>
  <c r="AI19" i="43" s="1"/>
  <c r="AD19" i="43"/>
  <c r="AE19" i="43"/>
  <c r="AF19" i="43"/>
  <c r="AG19" i="43"/>
  <c r="AH19" i="43"/>
  <c r="AJ19" i="43"/>
  <c r="AC20" i="43"/>
  <c r="AD20" i="43"/>
  <c r="AE20" i="43"/>
  <c r="AI20" i="43" s="1"/>
  <c r="AF20" i="43"/>
  <c r="AG20" i="43"/>
  <c r="AH20" i="43"/>
  <c r="AC21" i="43"/>
  <c r="AD21" i="43"/>
  <c r="AE21" i="43"/>
  <c r="AF21" i="43"/>
  <c r="AG21" i="43"/>
  <c r="AH21" i="43"/>
  <c r="AI21" i="43" s="1"/>
  <c r="AT2" i="43" a="1"/>
  <c r="AT2" i="43" s="1"/>
  <c r="AR2" i="43" a="1"/>
  <c r="AR2" i="43" s="1"/>
  <c r="AE18" i="44"/>
  <c r="AD18" i="44"/>
  <c r="AE17" i="44"/>
  <c r="AD17" i="44"/>
  <c r="AB19" i="44"/>
  <c r="AA19" i="44"/>
  <c r="L18" i="44"/>
  <c r="K18" i="44" a="1"/>
  <c r="K18" i="44" s="1"/>
  <c r="J18" i="44" a="1"/>
  <c r="J18" i="44" s="1"/>
  <c r="I18" i="44" a="1"/>
  <c r="I18" i="44" s="1"/>
  <c r="L17" i="44"/>
  <c r="K17" i="44" a="1"/>
  <c r="K17" i="44" s="1"/>
  <c r="J17" i="44" a="1"/>
  <c r="J17" i="44" s="1"/>
  <c r="I17" i="44" a="1"/>
  <c r="I17" i="44" s="1"/>
  <c r="F19" i="44"/>
  <c r="E19" i="44" a="1"/>
  <c r="E19" i="44" s="1"/>
  <c r="D19" i="44" a="1"/>
  <c r="D19" i="44" s="1"/>
  <c r="C19" i="44" a="1"/>
  <c r="C19" i="44" s="1"/>
  <c r="A2" i="43"/>
  <c r="B2" i="43"/>
  <c r="C2" i="43" s="1"/>
  <c r="D2" i="43"/>
  <c r="E2" i="43"/>
  <c r="F2" i="43"/>
  <c r="G2" i="43"/>
  <c r="I2" i="43"/>
  <c r="J2" i="43"/>
  <c r="K2" i="43"/>
  <c r="L2" i="43"/>
  <c r="M2" i="43"/>
  <c r="N2" i="43"/>
  <c r="O2" i="43"/>
  <c r="P2" i="43"/>
  <c r="Q2" i="43"/>
  <c r="R2" i="43"/>
  <c r="S2" i="43"/>
  <c r="T2" i="43"/>
  <c r="U2" i="43"/>
  <c r="V2" i="43"/>
  <c r="W2" i="43"/>
  <c r="X2" i="43"/>
  <c r="Y2" i="43"/>
  <c r="A3" i="43"/>
  <c r="B3" i="43"/>
  <c r="C3" i="43"/>
  <c r="D3" i="43"/>
  <c r="E3" i="43"/>
  <c r="F3" i="43"/>
  <c r="G3" i="43"/>
  <c r="I3" i="43"/>
  <c r="J3" i="43"/>
  <c r="K3" i="43"/>
  <c r="L3" i="43"/>
  <c r="M3" i="43"/>
  <c r="N3" i="43"/>
  <c r="O3" i="43"/>
  <c r="P3" i="43"/>
  <c r="Q3" i="43"/>
  <c r="R3" i="43"/>
  <c r="S3" i="43"/>
  <c r="T3" i="43"/>
  <c r="U3" i="43"/>
  <c r="V3" i="43"/>
  <c r="W3" i="43"/>
  <c r="X3" i="43"/>
  <c r="Y3" i="43"/>
  <c r="A4" i="43"/>
  <c r="B4" i="43"/>
  <c r="C4" i="43"/>
  <c r="Z4" i="43" s="1"/>
  <c r="D4" i="43"/>
  <c r="E4" i="43"/>
  <c r="F4" i="43"/>
  <c r="G4" i="43"/>
  <c r="I4" i="43"/>
  <c r="J4" i="43"/>
  <c r="K4" i="43"/>
  <c r="L4" i="43"/>
  <c r="M4" i="43"/>
  <c r="N4" i="43"/>
  <c r="O4" i="43"/>
  <c r="P4" i="43"/>
  <c r="Q4" i="43"/>
  <c r="S4" i="43" s="1"/>
  <c r="R4" i="43"/>
  <c r="T4" i="43"/>
  <c r="U4" i="43"/>
  <c r="V4" i="43"/>
  <c r="W4" i="43"/>
  <c r="X4" i="43"/>
  <c r="Y4" i="43"/>
  <c r="A5" i="43"/>
  <c r="B5" i="43"/>
  <c r="C5" i="43" s="1"/>
  <c r="D5" i="43"/>
  <c r="E5" i="43"/>
  <c r="F5" i="43"/>
  <c r="G5" i="43"/>
  <c r="I5" i="43"/>
  <c r="J5" i="43"/>
  <c r="K5" i="43"/>
  <c r="L5" i="43"/>
  <c r="M5" i="43"/>
  <c r="S5" i="43" s="1"/>
  <c r="N5" i="43"/>
  <c r="O5" i="43"/>
  <c r="P5" i="43"/>
  <c r="Q5" i="43"/>
  <c r="R5" i="43"/>
  <c r="T5" i="43"/>
  <c r="U5" i="43"/>
  <c r="V5" i="43"/>
  <c r="W5" i="43"/>
  <c r="X5" i="43"/>
  <c r="Y5" i="43"/>
  <c r="A6" i="43"/>
  <c r="B6" i="43"/>
  <c r="C6" i="43"/>
  <c r="D6" i="43"/>
  <c r="E6" i="43"/>
  <c r="F6" i="43"/>
  <c r="G6" i="43"/>
  <c r="I6" i="43"/>
  <c r="J6" i="43"/>
  <c r="K6" i="43"/>
  <c r="L6" i="43"/>
  <c r="M6" i="43"/>
  <c r="S6" i="43" s="1"/>
  <c r="N6" i="43"/>
  <c r="O6" i="43"/>
  <c r="P6" i="43"/>
  <c r="Q6" i="43"/>
  <c r="R6" i="43"/>
  <c r="T6" i="43"/>
  <c r="U6" i="43"/>
  <c r="V6" i="43"/>
  <c r="W6" i="43"/>
  <c r="X6" i="43"/>
  <c r="Y6" i="43"/>
  <c r="A7" i="43"/>
  <c r="B7" i="43"/>
  <c r="C7" i="43"/>
  <c r="D7" i="43"/>
  <c r="E7" i="43"/>
  <c r="F7" i="43"/>
  <c r="H7" i="43"/>
  <c r="I7" i="43"/>
  <c r="J7" i="43"/>
  <c r="K7" i="43"/>
  <c r="L7" i="43"/>
  <c r="U7" i="43"/>
  <c r="X7" i="43"/>
  <c r="A8" i="43"/>
  <c r="B8" i="43"/>
  <c r="C8" i="43"/>
  <c r="D8" i="43"/>
  <c r="E8" i="43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T8" i="43"/>
  <c r="U8" i="43"/>
  <c r="V8" i="43"/>
  <c r="Y8" i="43" s="1"/>
  <c r="W8" i="43"/>
  <c r="X8" i="43"/>
  <c r="A9" i="43"/>
  <c r="B9" i="43"/>
  <c r="C9" i="43"/>
  <c r="D9" i="43"/>
  <c r="E9" i="43"/>
  <c r="F9" i="43"/>
  <c r="G9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U9" i="43"/>
  <c r="V9" i="43"/>
  <c r="W9" i="43"/>
  <c r="X9" i="43"/>
  <c r="Y9" i="43"/>
  <c r="A10" i="43"/>
  <c r="B10" i="43"/>
  <c r="C10" i="43"/>
  <c r="D10" i="43"/>
  <c r="E10" i="43"/>
  <c r="F10" i="43"/>
  <c r="H10" i="43"/>
  <c r="I10" i="43"/>
  <c r="J10" i="43"/>
  <c r="K10" i="43"/>
  <c r="L10" i="43"/>
  <c r="U10" i="43"/>
  <c r="X10" i="43"/>
  <c r="A11" i="43"/>
  <c r="B11" i="43"/>
  <c r="C11" i="43"/>
  <c r="D11" i="43"/>
  <c r="E11" i="43"/>
  <c r="F11" i="43"/>
  <c r="H11" i="43"/>
  <c r="I11" i="43"/>
  <c r="X11" i="43"/>
  <c r="A12" i="43"/>
  <c r="B12" i="43"/>
  <c r="C12" i="43"/>
  <c r="Z12" i="43" s="1"/>
  <c r="D12" i="43"/>
  <c r="E12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A13" i="43"/>
  <c r="B13" i="43"/>
  <c r="C13" i="43"/>
  <c r="D13" i="43"/>
  <c r="E13" i="43"/>
  <c r="F13" i="43"/>
  <c r="H13" i="43"/>
  <c r="I13" i="43"/>
  <c r="J13" i="43"/>
  <c r="K13" i="43"/>
  <c r="L13" i="43"/>
  <c r="U13" i="43"/>
  <c r="X13" i="43"/>
  <c r="A14" i="43"/>
  <c r="B14" i="43"/>
  <c r="C14" i="43"/>
  <c r="D14" i="43"/>
  <c r="E14" i="43"/>
  <c r="F14" i="43"/>
  <c r="G14" i="43"/>
  <c r="H14" i="43"/>
  <c r="I14" i="43"/>
  <c r="J14" i="43"/>
  <c r="K14" i="43"/>
  <c r="L14" i="43"/>
  <c r="M14" i="43"/>
  <c r="N14" i="43"/>
  <c r="Q14" i="43"/>
  <c r="U14" i="43"/>
  <c r="X14" i="43"/>
  <c r="A15" i="43"/>
  <c r="B15" i="43"/>
  <c r="C15" i="43"/>
  <c r="D15" i="43"/>
  <c r="E15" i="43"/>
  <c r="F15" i="43"/>
  <c r="H15" i="43"/>
  <c r="I15" i="43"/>
  <c r="J15" i="43"/>
  <c r="K15" i="43"/>
  <c r="L15" i="43"/>
  <c r="U15" i="43"/>
  <c r="X15" i="43"/>
  <c r="A16" i="43"/>
  <c r="B16" i="43"/>
  <c r="C16" i="43"/>
  <c r="D16" i="43"/>
  <c r="E16" i="43"/>
  <c r="F16" i="43"/>
  <c r="H16" i="43"/>
  <c r="I16" i="43"/>
  <c r="J16" i="43"/>
  <c r="K16" i="43"/>
  <c r="L16" i="43"/>
  <c r="U16" i="43"/>
  <c r="X16" i="43"/>
  <c r="A17" i="43"/>
  <c r="B17" i="43"/>
  <c r="C17" i="43"/>
  <c r="D17" i="43"/>
  <c r="E17" i="43"/>
  <c r="F17" i="43"/>
  <c r="G17" i="43"/>
  <c r="H17" i="43"/>
  <c r="I17" i="43"/>
  <c r="J17" i="43"/>
  <c r="K17" i="43"/>
  <c r="L17" i="43"/>
  <c r="M17" i="43"/>
  <c r="N17" i="43"/>
  <c r="Q17" i="43"/>
  <c r="U17" i="43"/>
  <c r="X17" i="43"/>
  <c r="A18" i="43"/>
  <c r="B18" i="43"/>
  <c r="C18" i="43"/>
  <c r="Z18" i="43" s="1"/>
  <c r="D18" i="43"/>
  <c r="E18" i="43"/>
  <c r="F18" i="43"/>
  <c r="G18" i="43"/>
  <c r="H18" i="43"/>
  <c r="I18" i="43"/>
  <c r="J18" i="43"/>
  <c r="K18" i="43"/>
  <c r="L18" i="43"/>
  <c r="M18" i="43"/>
  <c r="N18" i="43"/>
  <c r="O18" i="43"/>
  <c r="P18" i="43"/>
  <c r="Q18" i="43"/>
  <c r="R18" i="43"/>
  <c r="S18" i="43"/>
  <c r="T18" i="43"/>
  <c r="U18" i="43"/>
  <c r="V18" i="43"/>
  <c r="W18" i="43"/>
  <c r="X18" i="43"/>
  <c r="Y18" i="43"/>
  <c r="A19" i="43"/>
  <c r="B19" i="43"/>
  <c r="C19" i="43" s="1"/>
  <c r="Z19" i="43" s="1"/>
  <c r="D19" i="43"/>
  <c r="E19" i="43"/>
  <c r="F19" i="43"/>
  <c r="G19" i="43"/>
  <c r="H19" i="43"/>
  <c r="I19" i="43"/>
  <c r="J19" i="43"/>
  <c r="K19" i="43"/>
  <c r="L19" i="43"/>
  <c r="M19" i="43"/>
  <c r="N19" i="43"/>
  <c r="O19" i="43"/>
  <c r="P19" i="43"/>
  <c r="Q19" i="43"/>
  <c r="R19" i="43"/>
  <c r="S19" i="43"/>
  <c r="T19" i="43"/>
  <c r="U19" i="43"/>
  <c r="V19" i="43"/>
  <c r="W19" i="43"/>
  <c r="X19" i="43"/>
  <c r="Y19" i="43"/>
  <c r="A20" i="43"/>
  <c r="B20" i="43"/>
  <c r="C20" i="43"/>
  <c r="D20" i="43"/>
  <c r="E20" i="43"/>
  <c r="F20" i="43"/>
  <c r="H20" i="43"/>
  <c r="I20" i="43"/>
  <c r="J20" i="43"/>
  <c r="K20" i="43"/>
  <c r="L20" i="43"/>
  <c r="Q20" i="43"/>
  <c r="U20" i="43"/>
  <c r="X20" i="43"/>
  <c r="A21" i="43"/>
  <c r="B21" i="43"/>
  <c r="C21" i="43"/>
  <c r="D21" i="43"/>
  <c r="E21" i="43"/>
  <c r="F21" i="43"/>
  <c r="H21" i="43"/>
  <c r="I21" i="43"/>
  <c r="J21" i="43"/>
  <c r="K21" i="43"/>
  <c r="L21" i="43"/>
  <c r="U21" i="43"/>
  <c r="X21" i="43"/>
  <c r="Z3" i="43" l="1"/>
  <c r="Z2" i="43"/>
  <c r="Z5" i="43"/>
  <c r="Z6" i="43"/>
  <c r="Z9" i="43"/>
  <c r="Z8" i="43"/>
  <c r="Y595" i="36" l="1"/>
  <c r="AB595" i="36" s="1"/>
  <c r="X595" i="36"/>
  <c r="U595" i="36"/>
  <c r="T595" i="36"/>
  <c r="S595" i="36"/>
  <c r="W595" i="36" s="1"/>
  <c r="R595" i="36"/>
  <c r="P595" i="36"/>
  <c r="N595" i="36"/>
  <c r="L595" i="36"/>
  <c r="Q595" i="36" s="1"/>
  <c r="O595" i="36"/>
  <c r="S7" i="31"/>
  <c r="H7" i="31"/>
  <c r="AB7" i="31"/>
  <c r="V7" i="31"/>
  <c r="AC7" i="31"/>
  <c r="AE7" i="31"/>
  <c r="Y7" i="31"/>
  <c r="W7" i="31"/>
  <c r="R7" i="31"/>
  <c r="U7" i="31"/>
  <c r="P7" i="31"/>
  <c r="N7" i="31"/>
  <c r="L7" i="31"/>
  <c r="Q7" i="31"/>
  <c r="T7" i="31"/>
  <c r="O7" i="31"/>
  <c r="M7" i="31"/>
  <c r="F7" i="31"/>
  <c r="I7" i="31"/>
  <c r="B7" i="31"/>
  <c r="E7" i="31"/>
  <c r="J7" i="31"/>
  <c r="D7" i="31"/>
  <c r="G7" i="31"/>
  <c r="C7" i="31"/>
  <c r="AI7" i="31"/>
  <c r="AM7" i="31"/>
  <c r="AL7" i="31"/>
  <c r="AG7" i="31"/>
  <c r="AO7" i="31"/>
  <c r="Z595" i="36" l="1"/>
  <c r="M595" i="36"/>
  <c r="AA595" i="36"/>
  <c r="C9" i="31" l="1"/>
  <c r="D9" i="31" s="1"/>
  <c r="E9" i="31" s="1"/>
  <c r="F9" i="31" s="1"/>
  <c r="G9" i="31" s="1"/>
  <c r="H9" i="31" s="1"/>
  <c r="I9" i="31" s="1"/>
  <c r="J9" i="31" s="1"/>
  <c r="K9" i="31" s="1"/>
  <c r="L9" i="31" s="1"/>
  <c r="M9" i="31" s="1"/>
  <c r="N9" i="31" s="1"/>
  <c r="O9" i="31" s="1"/>
  <c r="P9" i="31" s="1"/>
  <c r="Q9" i="31" s="1"/>
  <c r="R9" i="31" s="1"/>
  <c r="S9" i="31" s="1"/>
  <c r="T9" i="31" s="1"/>
  <c r="U9" i="31" s="1"/>
  <c r="V9" i="31" s="1"/>
  <c r="W9" i="31" s="1"/>
  <c r="X9" i="31" s="1"/>
  <c r="Y9" i="31" s="1"/>
  <c r="Z9" i="31" s="1"/>
  <c r="AA9" i="31" s="1"/>
  <c r="AB9" i="31" s="1"/>
  <c r="AC9" i="31" s="1"/>
  <c r="AD9" i="31" s="1"/>
  <c r="AE9" i="31" s="1"/>
  <c r="AF9" i="31" s="1"/>
  <c r="AG9" i="31" s="1"/>
  <c r="AH9" i="31" s="1"/>
  <c r="AI9" i="31" s="1"/>
  <c r="AJ9" i="31" s="1"/>
  <c r="AK9" i="31" s="1"/>
  <c r="AL9" i="31" s="1"/>
  <c r="AM9" i="31" s="1"/>
  <c r="AN9" i="31" s="1"/>
  <c r="AO9" i="31" s="1"/>
  <c r="AN7" i="31"/>
  <c r="AF7" i="31"/>
  <c r="AJ7" i="31"/>
  <c r="AK7" i="31"/>
  <c r="AH7" i="31"/>
  <c r="AD7" i="31"/>
  <c r="Z7" i="31"/>
  <c r="X7" i="31"/>
  <c r="AA7" i="31"/>
  <c r="K7" i="31"/>
  <c r="B6" i="31" l="1"/>
  <c r="C5" i="31"/>
  <c r="B5" i="31"/>
  <c r="C4" i="31"/>
  <c r="C3" i="31"/>
  <c r="D3" i="31" s="1"/>
  <c r="P1" i="31"/>
  <c r="O1" i="31"/>
  <c r="F1" i="31" a="1"/>
  <c r="F1" i="31" l="1"/>
  <c r="E3" i="31"/>
  <c r="B8" i="31"/>
  <c r="D4" i="31"/>
  <c r="E1" i="31"/>
  <c r="E4" i="31" l="1"/>
  <c r="D5" i="31"/>
  <c r="C8" i="31"/>
  <c r="C6" i="31"/>
  <c r="F3" i="31"/>
  <c r="D6" i="31"/>
  <c r="Y594" i="36"/>
  <c r="AB594" i="36" s="1"/>
  <c r="X594" i="36"/>
  <c r="U594" i="36"/>
  <c r="T594" i="36"/>
  <c r="S594" i="36"/>
  <c r="W594" i="36" s="1"/>
  <c r="R594" i="36"/>
  <c r="P594" i="36"/>
  <c r="N594" i="36"/>
  <c r="J594" i="36"/>
  <c r="AA594" i="36" s="1"/>
  <c r="B9" i="33"/>
  <c r="B4" i="33"/>
  <c r="C4" i="33" s="1"/>
  <c r="C3" i="33"/>
  <c r="D3" i="33" s="1"/>
  <c r="E3" i="33" s="1"/>
  <c r="F3" i="33" s="1"/>
  <c r="G3" i="33" s="1"/>
  <c r="H3" i="33" s="1"/>
  <c r="I3" i="33" s="1"/>
  <c r="J3" i="33" s="1"/>
  <c r="K3" i="33" s="1"/>
  <c r="L3" i="33" s="1"/>
  <c r="M3" i="33" s="1"/>
  <c r="N3" i="33" s="1"/>
  <c r="O3" i="33" s="1"/>
  <c r="P3" i="33" s="1"/>
  <c r="Q3" i="33" s="1"/>
  <c r="R3" i="33" s="1"/>
  <c r="S3" i="33" s="1"/>
  <c r="T3" i="33" s="1"/>
  <c r="U3" i="33" s="1"/>
  <c r="V3" i="33" s="1"/>
  <c r="W3" i="33" s="1"/>
  <c r="X3" i="33" s="1"/>
  <c r="Y3" i="33" s="1"/>
  <c r="Z3" i="33" s="1"/>
  <c r="AA3" i="33" s="1"/>
  <c r="AB3" i="33" s="1"/>
  <c r="P1" i="33"/>
  <c r="O1" i="33"/>
  <c r="P7" i="7"/>
  <c r="C5" i="38"/>
  <c r="S7" i="7"/>
  <c r="B5" i="38"/>
  <c r="L7" i="7"/>
  <c r="D5" i="38"/>
  <c r="K7" i="7"/>
  <c r="G7" i="7"/>
  <c r="F7" i="7"/>
  <c r="O9" i="7" a="1"/>
  <c r="A7" i="38" a="1"/>
  <c r="D7" i="38" a="1"/>
  <c r="L9" i="7" a="1"/>
  <c r="J9" i="7" a="1"/>
  <c r="G9" i="7" a="1"/>
  <c r="R9" i="7" a="1"/>
  <c r="C7" i="38" a="1"/>
  <c r="F1" i="33" a="1"/>
  <c r="B7" i="33"/>
  <c r="C9" i="33" l="1"/>
  <c r="G3" i="31"/>
  <c r="E5" i="31"/>
  <c r="F4" i="31"/>
  <c r="D8" i="31"/>
  <c r="O594" i="36"/>
  <c r="Z594" i="36"/>
  <c r="O9" i="7"/>
  <c r="C7" i="38"/>
  <c r="R9" i="7"/>
  <c r="G9" i="7"/>
  <c r="J9" i="7"/>
  <c r="L9" i="7"/>
  <c r="D7" i="38"/>
  <c r="A7" i="38"/>
  <c r="F1" i="33"/>
  <c r="C5" i="33"/>
  <c r="D4" i="33"/>
  <c r="B5" i="33"/>
  <c r="B8" i="33" s="1"/>
  <c r="C7" i="33"/>
  <c r="D9" i="33" l="1"/>
  <c r="G4" i="31"/>
  <c r="F5" i="31"/>
  <c r="E6" i="31"/>
  <c r="E8" i="31"/>
  <c r="F6" i="31"/>
  <c r="H3" i="31"/>
  <c r="D5" i="33"/>
  <c r="E4" i="33"/>
  <c r="D8" i="33" s="1"/>
  <c r="C8" i="33"/>
  <c r="D7" i="33"/>
  <c r="E9" i="33" l="1"/>
  <c r="I3" i="31"/>
  <c r="H4" i="31"/>
  <c r="G5" i="31"/>
  <c r="F8" i="31"/>
  <c r="F4" i="33"/>
  <c r="E8" i="33" s="1"/>
  <c r="E5" i="33"/>
  <c r="E7" i="33"/>
  <c r="F9" i="33" l="1"/>
  <c r="I4" i="31"/>
  <c r="H5" i="31"/>
  <c r="G6" i="31"/>
  <c r="J3" i="31"/>
  <c r="G8" i="31"/>
  <c r="G4" i="33"/>
  <c r="F5" i="33"/>
  <c r="F7" i="33"/>
  <c r="G9" i="33" l="1"/>
  <c r="K3" i="31"/>
  <c r="I5" i="31"/>
  <c r="J4" i="31"/>
  <c r="H6" i="31"/>
  <c r="H8" i="31"/>
  <c r="H4" i="33"/>
  <c r="G8" i="33" s="1"/>
  <c r="G5" i="33"/>
  <c r="F8" i="33"/>
  <c r="G7" i="33"/>
  <c r="H9" i="33" l="1"/>
  <c r="K4" i="31"/>
  <c r="J5" i="31"/>
  <c r="I6" i="31"/>
  <c r="L3" i="31"/>
  <c r="J6" i="31"/>
  <c r="I8" i="31"/>
  <c r="I4" i="33"/>
  <c r="H8" i="33" s="1"/>
  <c r="H5" i="33"/>
  <c r="H7" i="33"/>
  <c r="I9" i="33" l="1"/>
  <c r="M3" i="31"/>
  <c r="K5" i="31"/>
  <c r="L4" i="31"/>
  <c r="J8" i="31"/>
  <c r="J4" i="33"/>
  <c r="I5" i="33"/>
  <c r="I7" i="33"/>
  <c r="J9" i="33" l="1"/>
  <c r="I8" i="33"/>
  <c r="M4" i="31"/>
  <c r="L6" i="31" s="1"/>
  <c r="L5" i="31"/>
  <c r="N3" i="31"/>
  <c r="K6" i="31"/>
  <c r="K8" i="31"/>
  <c r="K4" i="33"/>
  <c r="J5" i="33"/>
  <c r="J7" i="33"/>
  <c r="K9" i="33" l="1"/>
  <c r="J8" i="33"/>
  <c r="O3" i="31"/>
  <c r="N4" i="31"/>
  <c r="M5" i="31"/>
  <c r="M6" i="31"/>
  <c r="L8" i="31"/>
  <c r="L4" i="33"/>
  <c r="K8" i="33" s="1"/>
  <c r="K5" i="33"/>
  <c r="K7" i="33"/>
  <c r="L9" i="33" l="1"/>
  <c r="N5" i="31"/>
  <c r="O4" i="31"/>
  <c r="M8" i="31"/>
  <c r="P3" i="31"/>
  <c r="L5" i="33"/>
  <c r="M4" i="33"/>
  <c r="L8" i="33" s="1"/>
  <c r="L7" i="33"/>
  <c r="M9" i="33" l="1"/>
  <c r="N6" i="31"/>
  <c r="Q3" i="31"/>
  <c r="P4" i="31"/>
  <c r="O5" i="31"/>
  <c r="N8" i="31"/>
  <c r="N4" i="33"/>
  <c r="M5" i="33"/>
  <c r="M8" i="33" s="1"/>
  <c r="M6" i="33"/>
  <c r="M7" i="33"/>
  <c r="N9" i="33" l="1"/>
  <c r="P5" i="31"/>
  <c r="Q4" i="31"/>
  <c r="O8" i="31"/>
  <c r="P6" i="31"/>
  <c r="R3" i="31"/>
  <c r="O6" i="31"/>
  <c r="O4" i="33"/>
  <c r="N5" i="33"/>
  <c r="N7" i="33"/>
  <c r="O9" i="33" l="1"/>
  <c r="N8" i="33"/>
  <c r="S3" i="31"/>
  <c r="Q5" i="31"/>
  <c r="R4" i="31"/>
  <c r="P8" i="31"/>
  <c r="P4" i="33"/>
  <c r="O8" i="33" s="1"/>
  <c r="O5" i="33"/>
  <c r="O7" i="33"/>
  <c r="P9" i="33" l="1"/>
  <c r="S4" i="31"/>
  <c r="R5" i="31"/>
  <c r="Q6" i="31"/>
  <c r="Q8" i="31"/>
  <c r="R6" i="31"/>
  <c r="T3" i="31"/>
  <c r="Q4" i="33"/>
  <c r="P8" i="33" s="1"/>
  <c r="P5" i="33"/>
  <c r="P7" i="33"/>
  <c r="Q9" i="33" l="1"/>
  <c r="U3" i="31"/>
  <c r="S5" i="31"/>
  <c r="T4" i="31"/>
  <c r="R8" i="31"/>
  <c r="Q5" i="33"/>
  <c r="R4" i="33"/>
  <c r="Q8" i="33" s="1"/>
  <c r="Q7" i="33"/>
  <c r="R9" i="33" l="1"/>
  <c r="T5" i="31"/>
  <c r="U4" i="31"/>
  <c r="S6" i="31"/>
  <c r="S8" i="31"/>
  <c r="V3" i="31"/>
  <c r="T6" i="31"/>
  <c r="S4" i="33"/>
  <c r="R8" i="33" s="1"/>
  <c r="R5" i="33"/>
  <c r="R7" i="33"/>
  <c r="S9" i="33" l="1"/>
  <c r="W3" i="31"/>
  <c r="U5" i="31"/>
  <c r="V4" i="31"/>
  <c r="T8" i="31"/>
  <c r="S5" i="33"/>
  <c r="T4" i="33"/>
  <c r="S7" i="33"/>
  <c r="T9" i="33" l="1"/>
  <c r="S8" i="33"/>
  <c r="V5" i="31"/>
  <c r="W4" i="31"/>
  <c r="U6" i="31"/>
  <c r="U8" i="31"/>
  <c r="V6" i="31"/>
  <c r="X3" i="31"/>
  <c r="T5" i="33"/>
  <c r="U4" i="33"/>
  <c r="T7" i="33"/>
  <c r="U9" i="33" l="1"/>
  <c r="T8" i="33"/>
  <c r="Y3" i="31"/>
  <c r="W5" i="31"/>
  <c r="X4" i="31"/>
  <c r="V8" i="31"/>
  <c r="U5" i="33"/>
  <c r="V4" i="33"/>
  <c r="U7" i="33"/>
  <c r="V9" i="33" l="1"/>
  <c r="U8" i="33"/>
  <c r="X5" i="31"/>
  <c r="Y4" i="31"/>
  <c r="W6" i="31"/>
  <c r="W8" i="31"/>
  <c r="Z3" i="31"/>
  <c r="X6" i="31"/>
  <c r="W4" i="33"/>
  <c r="V8" i="33" s="1"/>
  <c r="V5" i="33"/>
  <c r="V7" i="33"/>
  <c r="W9" i="33" l="1"/>
  <c r="AA3" i="31"/>
  <c r="Y5" i="31"/>
  <c r="Z4" i="31"/>
  <c r="X8" i="31"/>
  <c r="X4" i="33"/>
  <c r="W5" i="33"/>
  <c r="W8" i="33" s="1"/>
  <c r="W7" i="33"/>
  <c r="X9" i="33" l="1"/>
  <c r="AB3" i="31"/>
  <c r="AA4" i="31"/>
  <c r="Z5" i="31"/>
  <c r="Y6" i="31"/>
  <c r="Y8" i="31"/>
  <c r="Z6" i="31"/>
  <c r="Y4" i="33"/>
  <c r="X5" i="33"/>
  <c r="X8" i="33" s="1"/>
  <c r="X7" i="33"/>
  <c r="Y9" i="33" l="1"/>
  <c r="AB4" i="31"/>
  <c r="AA8" i="31" s="1"/>
  <c r="AA5" i="31"/>
  <c r="Z8" i="31"/>
  <c r="AA6" i="31"/>
  <c r="AC3" i="31"/>
  <c r="Y5" i="33"/>
  <c r="Y6" i="33"/>
  <c r="Z4" i="33"/>
  <c r="Y7" i="33"/>
  <c r="Z9" i="33" l="1"/>
  <c r="AD3" i="31"/>
  <c r="AB5" i="31"/>
  <c r="AC4" i="31"/>
  <c r="AA4" i="33"/>
  <c r="Z5" i="33"/>
  <c r="Y8" i="33"/>
  <c r="Z7" i="33"/>
  <c r="AA9" i="33" l="1"/>
  <c r="Z8" i="33"/>
  <c r="AE3" i="31"/>
  <c r="AD4" i="31"/>
  <c r="AC6" i="31" s="1"/>
  <c r="AC5" i="31"/>
  <c r="AB6" i="31"/>
  <c r="AB8" i="31"/>
  <c r="AB4" i="33"/>
  <c r="AA5" i="33"/>
  <c r="AA7" i="33"/>
  <c r="AB9" i="33" l="1"/>
  <c r="AE4" i="31"/>
  <c r="AD5" i="31"/>
  <c r="AC8" i="31"/>
  <c r="AF3" i="31"/>
  <c r="AD6" i="31"/>
  <c r="AB5" i="33"/>
  <c r="AB8" i="33" s="1"/>
  <c r="AA8" i="33"/>
  <c r="B9" i="32"/>
  <c r="B4" i="32"/>
  <c r="B5" i="32" s="1"/>
  <c r="P1" i="32"/>
  <c r="O1" i="32"/>
  <c r="F1" i="32" a="1"/>
  <c r="B7" i="32"/>
  <c r="AB7" i="33"/>
  <c r="C9" i="32" l="1"/>
  <c r="AG3" i="31"/>
  <c r="AF4" i="31"/>
  <c r="AE8" i="31" s="1"/>
  <c r="AE5" i="31"/>
  <c r="AD8" i="31"/>
  <c r="F1" i="32"/>
  <c r="C4" i="32"/>
  <c r="BE164" i="3"/>
  <c r="BD164" i="3"/>
  <c r="BC164" i="3"/>
  <c r="C7" i="32"/>
  <c r="D9" i="32" l="1"/>
  <c r="AF5" i="31"/>
  <c r="AG4" i="31"/>
  <c r="AF6" i="31"/>
  <c r="AH3" i="31"/>
  <c r="AE6" i="31"/>
  <c r="D4" i="32"/>
  <c r="B8" i="32"/>
  <c r="C5" i="32"/>
  <c r="D7" i="32"/>
  <c r="E9" i="32" l="1"/>
  <c r="C8" i="32"/>
  <c r="AI3" i="31"/>
  <c r="AH4" i="31"/>
  <c r="AG5" i="31"/>
  <c r="AF8" i="31"/>
  <c r="D5" i="32"/>
  <c r="E4" i="32"/>
  <c r="D8" i="32"/>
  <c r="E7" i="32"/>
  <c r="F9" i="32" l="1"/>
  <c r="AG8" i="31"/>
  <c r="AI4" i="31"/>
  <c r="AH5" i="31"/>
  <c r="AG6" i="31"/>
  <c r="AJ3" i="31"/>
  <c r="F4" i="32"/>
  <c r="E8" i="32" s="1"/>
  <c r="E5" i="32"/>
  <c r="F7" i="32"/>
  <c r="G9" i="32" l="1"/>
  <c r="AK3" i="31"/>
  <c r="AJ4" i="31"/>
  <c r="AI5" i="31"/>
  <c r="AH8" i="31"/>
  <c r="AH6" i="31"/>
  <c r="F5" i="32"/>
  <c r="G4" i="32"/>
  <c r="G7" i="32"/>
  <c r="H9" i="32" l="1"/>
  <c r="AK4" i="31"/>
  <c r="AJ5" i="31"/>
  <c r="AI6" i="31"/>
  <c r="AI8" i="31"/>
  <c r="AL3" i="31"/>
  <c r="AJ6" i="31"/>
  <c r="G5" i="32"/>
  <c r="H4" i="32"/>
  <c r="G8" i="32" s="1"/>
  <c r="F8" i="32"/>
  <c r="H7" i="32"/>
  <c r="I9" i="32" l="1"/>
  <c r="AM3" i="31"/>
  <c r="AK5" i="31"/>
  <c r="AL4" i="31"/>
  <c r="AJ8" i="31"/>
  <c r="I4" i="32"/>
  <c r="H5" i="32"/>
  <c r="I7" i="32"/>
  <c r="J9" i="32" l="1"/>
  <c r="AM4" i="31"/>
  <c r="AL5" i="31"/>
  <c r="AK6" i="31"/>
  <c r="AK8" i="31"/>
  <c r="AN3" i="31"/>
  <c r="AL6" i="31"/>
  <c r="H8" i="32"/>
  <c r="J4" i="32"/>
  <c r="I8" i="32" s="1"/>
  <c r="I5" i="32"/>
  <c r="J7" i="32"/>
  <c r="K9" i="32" l="1"/>
  <c r="AO3" i="31"/>
  <c r="AM5" i="31"/>
  <c r="AN4" i="31"/>
  <c r="AL8" i="31"/>
  <c r="K4" i="32"/>
  <c r="J8" i="32" s="1"/>
  <c r="J5" i="32"/>
  <c r="K7" i="32"/>
  <c r="L9" i="32" l="1"/>
  <c r="AN5" i="31"/>
  <c r="AO4" i="31"/>
  <c r="AM6" i="31"/>
  <c r="AM8" i="31"/>
  <c r="AO6" i="31"/>
  <c r="AN6" i="31"/>
  <c r="L4" i="32"/>
  <c r="K5" i="32"/>
  <c r="K8" i="32"/>
  <c r="L7" i="32"/>
  <c r="M9" i="32" l="1"/>
  <c r="AO8" i="31"/>
  <c r="AO5" i="31"/>
  <c r="AN8" i="31"/>
  <c r="M4" i="32"/>
  <c r="L8" i="32" s="1"/>
  <c r="L5" i="32"/>
  <c r="M7" i="32"/>
  <c r="N9" i="32" l="1"/>
  <c r="N4" i="32"/>
  <c r="M8" i="32" s="1"/>
  <c r="M5" i="32"/>
  <c r="N7" i="32"/>
  <c r="O9" i="32" l="1"/>
  <c r="O4" i="32"/>
  <c r="N5" i="32"/>
  <c r="N8" i="32"/>
  <c r="O7" i="32"/>
  <c r="P9" i="32" l="1"/>
  <c r="P4" i="32"/>
  <c r="O5" i="32"/>
  <c r="P7" i="32"/>
  <c r="Q9" i="32" l="1"/>
  <c r="O8" i="32"/>
  <c r="Q4" i="32"/>
  <c r="P8" i="32" s="1"/>
  <c r="P5" i="32"/>
  <c r="Q7" i="32"/>
  <c r="R9" i="32" l="1"/>
  <c r="R4" i="32"/>
  <c r="Q5" i="32"/>
  <c r="Q8" i="32"/>
  <c r="R7" i="32"/>
  <c r="S9" i="32" l="1"/>
  <c r="S4" i="32"/>
  <c r="R5" i="32"/>
  <c r="S7" i="32"/>
  <c r="T9" i="32" l="1"/>
  <c r="R8" i="32"/>
  <c r="T4" i="32"/>
  <c r="S5" i="32"/>
  <c r="T7" i="32"/>
  <c r="U9" i="32" l="1"/>
  <c r="S8" i="32"/>
  <c r="U4" i="32"/>
  <c r="T5" i="32"/>
  <c r="U7" i="32"/>
  <c r="V9" i="32" l="1"/>
  <c r="T8" i="32"/>
  <c r="V4" i="32"/>
  <c r="U5" i="32"/>
  <c r="U8" i="32"/>
  <c r="V7" i="32"/>
  <c r="W9" i="32" l="1"/>
  <c r="W4" i="32"/>
  <c r="V5" i="32"/>
  <c r="W7" i="32"/>
  <c r="X9" i="32" l="1"/>
  <c r="V8" i="32"/>
  <c r="X4" i="32"/>
  <c r="W5" i="32"/>
  <c r="X7" i="32"/>
  <c r="Y9" i="32" l="1"/>
  <c r="W8" i="32"/>
  <c r="X5" i="32"/>
  <c r="Y4" i="32"/>
  <c r="Y7" i="32"/>
  <c r="Z9" i="32" l="1"/>
  <c r="Y5" i="32"/>
  <c r="Z4" i="32"/>
  <c r="X8" i="32"/>
  <c r="Z7" i="32"/>
  <c r="AA9" i="32" l="1"/>
  <c r="AA4" i="32"/>
  <c r="Z5" i="32"/>
  <c r="Y8" i="32"/>
  <c r="AA7" i="32"/>
  <c r="AB9" i="32" l="1"/>
  <c r="AB4" i="32"/>
  <c r="AA8" i="32" s="1"/>
  <c r="AA5" i="32"/>
  <c r="Z8" i="32"/>
  <c r="AB7" i="32"/>
  <c r="AB8" i="32" l="1"/>
  <c r="AB5" i="32"/>
  <c r="B7" i="3"/>
  <c r="AD4" i="3"/>
  <c r="AE4" i="3" s="1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C3" i="3"/>
  <c r="D3" i="3" s="1"/>
  <c r="P1" i="3"/>
  <c r="O1" i="3"/>
  <c r="F1" i="3" a="1"/>
  <c r="B6" i="3"/>
  <c r="C7" i="3" l="1"/>
  <c r="F1" i="3"/>
  <c r="E3" i="3"/>
  <c r="AF4" i="3"/>
  <c r="B1" i="3"/>
  <c r="N6" i="30"/>
  <c r="N7" i="30" s="1"/>
  <c r="N8" i="30" s="1"/>
  <c r="N9" i="30" s="1"/>
  <c r="N10" i="30" s="1"/>
  <c r="N11" i="30" s="1"/>
  <c r="N12" i="30" s="1"/>
  <c r="N13" i="30" s="1"/>
  <c r="N14" i="30" s="1"/>
  <c r="N15" i="30" s="1"/>
  <c r="N16" i="30" s="1"/>
  <c r="C6" i="3"/>
  <c r="D7" i="3" l="1"/>
  <c r="B1" i="31"/>
  <c r="AG4" i="3"/>
  <c r="B1" i="33"/>
  <c r="A8" i="3"/>
  <c r="C1" i="3"/>
  <c r="F3" i="3"/>
  <c r="D6" i="3"/>
  <c r="E7" i="3" l="1"/>
  <c r="A9" i="3"/>
  <c r="A11" i="31" s="1"/>
  <c r="A11" i="32" s="1"/>
  <c r="A11" i="33" s="1"/>
  <c r="A10" i="31"/>
  <c r="C1" i="31"/>
  <c r="G3" i="3"/>
  <c r="F5" i="3"/>
  <c r="C1" i="33"/>
  <c r="AG5" i="3"/>
  <c r="AH4" i="3"/>
  <c r="E6" i="3"/>
  <c r="F7" i="3" l="1"/>
  <c r="A10" i="3"/>
  <c r="A12" i="31" s="1"/>
  <c r="A12" i="32" s="1"/>
  <c r="A12" i="33" s="1"/>
  <c r="AI4" i="3"/>
  <c r="H3" i="3"/>
  <c r="F6" i="3"/>
  <c r="G7" i="3" l="1"/>
  <c r="A11" i="3"/>
  <c r="A13" i="31" s="1"/>
  <c r="A13" i="32" s="1"/>
  <c r="A13" i="33" s="1"/>
  <c r="I3" i="3"/>
  <c r="AJ4" i="3"/>
  <c r="G6" i="3"/>
  <c r="H7" i="3" l="1"/>
  <c r="A12" i="3"/>
  <c r="A14" i="31" s="1"/>
  <c r="A14" i="32" s="1"/>
  <c r="A14" i="33" s="1"/>
  <c r="A13" i="3"/>
  <c r="AK4" i="3"/>
  <c r="J3" i="3"/>
  <c r="H6" i="3"/>
  <c r="I7" i="3" l="1"/>
  <c r="A15" i="31"/>
  <c r="K3" i="3"/>
  <c r="AL4" i="3"/>
  <c r="A14" i="3"/>
  <c r="A15" i="32"/>
  <c r="A15" i="33" s="1"/>
  <c r="I6" i="3"/>
  <c r="J7" i="3" l="1"/>
  <c r="A16" i="31"/>
  <c r="AM4" i="3"/>
  <c r="L3" i="3"/>
  <c r="A15" i="3"/>
  <c r="A17" i="31" s="1"/>
  <c r="A16" i="32"/>
  <c r="A16" i="33" s="1"/>
  <c r="J6" i="3"/>
  <c r="K7" i="3" l="1"/>
  <c r="A16" i="3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17" i="32"/>
  <c r="A17" i="33" s="1"/>
  <c r="M3" i="3"/>
  <c r="AN4" i="3"/>
  <c r="K6" i="3"/>
  <c r="L7" i="3" l="1"/>
  <c r="AO4" i="3"/>
  <c r="N3" i="3"/>
  <c r="L6" i="3"/>
  <c r="M7" i="3" l="1"/>
  <c r="AP4" i="3"/>
  <c r="O3" i="3"/>
  <c r="M6" i="3"/>
  <c r="N7" i="3" l="1"/>
  <c r="AQ4" i="3"/>
  <c r="P3" i="3"/>
  <c r="N6" i="3"/>
  <c r="O7" i="3" l="1"/>
  <c r="Q3" i="3"/>
  <c r="AR4" i="3"/>
  <c r="O6" i="3"/>
  <c r="P7" i="3" l="1"/>
  <c r="AS4" i="3"/>
  <c r="R3" i="3"/>
  <c r="P6" i="3"/>
  <c r="Q7" i="3" l="1"/>
  <c r="R5" i="3"/>
  <c r="S3" i="3"/>
  <c r="AT4" i="3"/>
  <c r="AS5" i="3"/>
  <c r="Q6" i="3"/>
  <c r="R7" i="3" l="1"/>
  <c r="AU4" i="3"/>
  <c r="T3" i="3"/>
  <c r="R6" i="3"/>
  <c r="S7" i="3" l="1"/>
  <c r="U3" i="3"/>
  <c r="AV4" i="3"/>
  <c r="S6" i="3"/>
  <c r="T7" i="3" l="1"/>
  <c r="AW4" i="3"/>
  <c r="V3" i="3"/>
  <c r="T6" i="3"/>
  <c r="U7" i="3" l="1"/>
  <c r="W3" i="3"/>
  <c r="AX4" i="3"/>
  <c r="U6" i="3"/>
  <c r="V7" i="3" l="1"/>
  <c r="AY4" i="3"/>
  <c r="X3" i="3"/>
  <c r="V6" i="3"/>
  <c r="W7" i="3" l="1"/>
  <c r="Y3" i="3"/>
  <c r="AZ4" i="3"/>
  <c r="W6" i="3"/>
  <c r="X7" i="3" l="1"/>
  <c r="BA4" i="3"/>
  <c r="Z3" i="3"/>
  <c r="X6" i="3"/>
  <c r="Y7" i="3" l="1"/>
  <c r="AA3" i="3"/>
  <c r="Y6" i="3"/>
  <c r="Z7" i="3" l="1"/>
  <c r="AD7" i="3"/>
  <c r="AB3" i="3"/>
  <c r="A10" i="32"/>
  <c r="AD6" i="3"/>
  <c r="Z6" i="3"/>
  <c r="AA7" i="3" l="1"/>
  <c r="AE7" i="3"/>
  <c r="F143" i="29"/>
  <c r="E120" i="29"/>
  <c r="B115" i="29"/>
  <c r="B116" i="29" s="1"/>
  <c r="B117" i="29" s="1"/>
  <c r="B118" i="29" s="1"/>
  <c r="B119" i="29" s="1"/>
  <c r="B120" i="29" s="1"/>
  <c r="B114" i="29"/>
  <c r="AA110" i="29"/>
  <c r="Z110" i="29"/>
  <c r="Y110" i="29"/>
  <c r="X110" i="29"/>
  <c r="W110" i="29"/>
  <c r="V110" i="29"/>
  <c r="U110" i="29"/>
  <c r="T110" i="29"/>
  <c r="S110" i="29"/>
  <c r="E107" i="29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D93" i="29"/>
  <c r="D94" i="29" s="1"/>
  <c r="D95" i="29" s="1"/>
  <c r="D96" i="29" s="1"/>
  <c r="D97" i="29" s="1"/>
  <c r="D98" i="29" s="1"/>
  <c r="D99" i="29" s="1"/>
  <c r="D100" i="29" s="1"/>
  <c r="D101" i="29" s="1"/>
  <c r="D102" i="29" s="1"/>
  <c r="D103" i="29" s="1"/>
  <c r="D104" i="29" s="1"/>
  <c r="D105" i="29" s="1"/>
  <c r="D106" i="29" s="1"/>
  <c r="D107" i="29" s="1"/>
  <c r="D108" i="29" s="1"/>
  <c r="D109" i="29" s="1"/>
  <c r="D110" i="29" s="1"/>
  <c r="D111" i="29" s="1"/>
  <c r="D112" i="29" s="1"/>
  <c r="D113" i="29" s="1"/>
  <c r="D114" i="29" s="1"/>
  <c r="D115" i="29" s="1"/>
  <c r="D116" i="29" s="1"/>
  <c r="D117" i="29" s="1"/>
  <c r="D118" i="29" s="1"/>
  <c r="D119" i="29" s="1"/>
  <c r="D120" i="29" s="1"/>
  <c r="D92" i="29"/>
  <c r="D73" i="29"/>
  <c r="D74" i="29" s="1"/>
  <c r="D75" i="29" s="1"/>
  <c r="D76" i="29" s="1"/>
  <c r="D77" i="29" s="1"/>
  <c r="D78" i="29" s="1"/>
  <c r="D79" i="29" s="1"/>
  <c r="D80" i="29" s="1"/>
  <c r="D81" i="29" s="1"/>
  <c r="D82" i="29" s="1"/>
  <c r="D83" i="29" s="1"/>
  <c r="D84" i="29" s="1"/>
  <c r="D85" i="29" s="1"/>
  <c r="D86" i="29" s="1"/>
  <c r="D87" i="29" s="1"/>
  <c r="D88" i="29" s="1"/>
  <c r="D89" i="29" s="1"/>
  <c r="D90" i="29" s="1"/>
  <c r="D91" i="29" s="1"/>
  <c r="D72" i="29"/>
  <c r="D51" i="29"/>
  <c r="D52" i="29" s="1"/>
  <c r="D53" i="29" s="1"/>
  <c r="D54" i="29" s="1"/>
  <c r="D55" i="29" s="1"/>
  <c r="D56" i="29" s="1"/>
  <c r="D57" i="29" s="1"/>
  <c r="D58" i="29" s="1"/>
  <c r="D59" i="29" s="1"/>
  <c r="D60" i="29" s="1"/>
  <c r="D61" i="29" s="1"/>
  <c r="D62" i="29" s="1"/>
  <c r="D63" i="29" s="1"/>
  <c r="D64" i="29" s="1"/>
  <c r="D65" i="29" s="1"/>
  <c r="D66" i="29" s="1"/>
  <c r="D67" i="29" s="1"/>
  <c r="D68" i="29" s="1"/>
  <c r="D69" i="29" s="1"/>
  <c r="D70" i="29" s="1"/>
  <c r="D71" i="29" s="1"/>
  <c r="AH38" i="29"/>
  <c r="AH37" i="29"/>
  <c r="AO36" i="29"/>
  <c r="AH36" i="29"/>
  <c r="AF36" i="29"/>
  <c r="AH35" i="29"/>
  <c r="AG34" i="29"/>
  <c r="AO32" i="29"/>
  <c r="AO38" i="29" s="1"/>
  <c r="D30" i="29"/>
  <c r="D31" i="29" s="1"/>
  <c r="D32" i="29" s="1"/>
  <c r="D33" i="29" s="1"/>
  <c r="D34" i="29" s="1"/>
  <c r="D35" i="29" s="1"/>
  <c r="D36" i="29" s="1"/>
  <c r="D37" i="29" s="1"/>
  <c r="D38" i="29" s="1"/>
  <c r="D39" i="29" s="1"/>
  <c r="D40" i="29" s="1"/>
  <c r="D41" i="29" s="1"/>
  <c r="D42" i="29" s="1"/>
  <c r="D43" i="29" s="1"/>
  <c r="D44" i="29" s="1"/>
  <c r="D45" i="29" s="1"/>
  <c r="D46" i="29" s="1"/>
  <c r="D47" i="29" s="1"/>
  <c r="D48" i="29" s="1"/>
  <c r="D49" i="29" s="1"/>
  <c r="D50" i="29" s="1"/>
  <c r="D29" i="29"/>
  <c r="AI13" i="29"/>
  <c r="AI12" i="29"/>
  <c r="AH2" i="29" s="1"/>
  <c r="AJ2" i="29" s="1"/>
  <c r="AF23" i="29" s="1"/>
  <c r="AF26" i="29" s="1"/>
  <c r="AG26" i="29" s="1"/>
  <c r="AI11" i="29"/>
  <c r="AI10" i="29"/>
  <c r="AI9" i="29"/>
  <c r="D8" i="29"/>
  <c r="D9" i="29" s="1"/>
  <c r="D10" i="29" s="1"/>
  <c r="D11" i="29" s="1"/>
  <c r="D12" i="29" s="1"/>
  <c r="D13" i="29" s="1"/>
  <c r="D14" i="29" s="1"/>
  <c r="D15" i="29" s="1"/>
  <c r="D16" i="29" s="1"/>
  <c r="D17" i="29" s="1"/>
  <c r="D18" i="29" s="1"/>
  <c r="A1" i="29"/>
  <c r="K11" i="38"/>
  <c r="K9" i="38"/>
  <c r="H9" i="38"/>
  <c r="H10" i="38" s="1"/>
  <c r="AB79" i="7"/>
  <c r="Y79" i="7"/>
  <c r="Y81" i="7" s="1"/>
  <c r="AB77" i="7"/>
  <c r="AC77" i="7" s="1"/>
  <c r="AB75" i="7"/>
  <c r="AC75" i="7" s="1"/>
  <c r="H32" i="7"/>
  <c r="G32" i="7"/>
  <c r="F32" i="7"/>
  <c r="AB31" i="7"/>
  <c r="Y31" i="7"/>
  <c r="Y33" i="7" s="1"/>
  <c r="AB29" i="7"/>
  <c r="Y29" i="7"/>
  <c r="AB27" i="7"/>
  <c r="AC27" i="7" s="1"/>
  <c r="AB25" i="7"/>
  <c r="AC25" i="7" s="1"/>
  <c r="AB23" i="7"/>
  <c r="AB21" i="7"/>
  <c r="AC21" i="7" s="1"/>
  <c r="AB19" i="7"/>
  <c r="S18" i="7"/>
  <c r="AA6" i="3"/>
  <c r="AE6" i="3"/>
  <c r="AF7" i="3" l="1"/>
  <c r="AB7" i="3"/>
  <c r="B1" i="32"/>
  <c r="E89" i="38"/>
  <c r="E61" i="38"/>
  <c r="E33" i="38"/>
  <c r="E13" i="38"/>
  <c r="E56" i="38"/>
  <c r="E88" i="38"/>
  <c r="E60" i="38"/>
  <c r="E32" i="38"/>
  <c r="E24" i="38"/>
  <c r="E55" i="38"/>
  <c r="E29" i="38"/>
  <c r="E23" i="38"/>
  <c r="E54" i="38"/>
  <c r="E87" i="38"/>
  <c r="E59" i="38"/>
  <c r="E31" i="38"/>
  <c r="E12" i="38"/>
  <c r="E86" i="38"/>
  <c r="E58" i="38"/>
  <c r="E30" i="38"/>
  <c r="E18" i="38"/>
  <c r="E85" i="38"/>
  <c r="E57" i="38"/>
  <c r="E84" i="38"/>
  <c r="E101" i="38"/>
  <c r="E83" i="38"/>
  <c r="E10" i="38"/>
  <c r="E82" i="38"/>
  <c r="E81" i="38"/>
  <c r="E53" i="38"/>
  <c r="E17" i="38"/>
  <c r="E52" i="38"/>
  <c r="E47" i="38"/>
  <c r="E27" i="38"/>
  <c r="E80" i="38"/>
  <c r="E28" i="38"/>
  <c r="E75" i="38"/>
  <c r="E107" i="38"/>
  <c r="E79" i="38"/>
  <c r="E51" i="38"/>
  <c r="E11" i="38"/>
  <c r="E106" i="38"/>
  <c r="E78" i="38"/>
  <c r="E50" i="38"/>
  <c r="E22" i="38"/>
  <c r="P10" i="38"/>
  <c r="E76" i="38"/>
  <c r="E48" i="38"/>
  <c r="E16" i="38"/>
  <c r="E105" i="38"/>
  <c r="E77" i="38"/>
  <c r="E49" i="38"/>
  <c r="O10" i="38"/>
  <c r="E45" i="38"/>
  <c r="E104" i="38"/>
  <c r="E73" i="38"/>
  <c r="E103" i="38"/>
  <c r="E102" i="38"/>
  <c r="E74" i="38"/>
  <c r="E46" i="38"/>
  <c r="E21" i="38"/>
  <c r="E100" i="38"/>
  <c r="E72" i="38"/>
  <c r="E44" i="38"/>
  <c r="E41" i="38"/>
  <c r="E99" i="38"/>
  <c r="E71" i="38"/>
  <c r="E43" i="38"/>
  <c r="E15" i="38"/>
  <c r="E69" i="38"/>
  <c r="E98" i="38"/>
  <c r="E70" i="38"/>
  <c r="E42" i="38"/>
  <c r="E26" i="38"/>
  <c r="E97" i="38"/>
  <c r="E96" i="38"/>
  <c r="E68" i="38"/>
  <c r="E40" i="38"/>
  <c r="E20" i="38"/>
  <c r="E9" i="38"/>
  <c r="E95" i="38"/>
  <c r="E67" i="38"/>
  <c r="E39" i="38"/>
  <c r="E66" i="38"/>
  <c r="E94" i="38"/>
  <c r="E38" i="38"/>
  <c r="E14" i="38"/>
  <c r="E93" i="38"/>
  <c r="E65" i="38"/>
  <c r="E37" i="38"/>
  <c r="E25" i="38"/>
  <c r="E8" i="38"/>
  <c r="E92" i="38"/>
  <c r="E64" i="38"/>
  <c r="E36" i="38"/>
  <c r="E91" i="38"/>
  <c r="E63" i="38"/>
  <c r="E35" i="38"/>
  <c r="E19" i="38"/>
  <c r="E90" i="38"/>
  <c r="E62" i="38"/>
  <c r="E34" i="38"/>
  <c r="E7" i="38"/>
  <c r="AD25" i="7"/>
  <c r="AB33" i="7"/>
  <c r="Y35" i="7"/>
  <c r="AD27" i="7"/>
  <c r="AD77" i="7"/>
  <c r="AB81" i="7"/>
  <c r="Y83" i="7"/>
  <c r="H11" i="38"/>
  <c r="D20" i="29"/>
  <c r="D21" i="29" s="1"/>
  <c r="D22" i="29" s="1"/>
  <c r="D23" i="29" s="1"/>
  <c r="D24" i="29" s="1"/>
  <c r="D25" i="29" s="1"/>
  <c r="D26" i="29" s="1"/>
  <c r="D27" i="29" s="1"/>
  <c r="D28" i="29" s="1"/>
  <c r="D19" i="29"/>
  <c r="AD21" i="7"/>
  <c r="AD75" i="7"/>
  <c r="L11" i="38"/>
  <c r="AC31" i="7"/>
  <c r="I9" i="38"/>
  <c r="AG35" i="29"/>
  <c r="AG38" i="29" s="1"/>
  <c r="AC79" i="7"/>
  <c r="AG36" i="29"/>
  <c r="AC23" i="7"/>
  <c r="AG37" i="29"/>
  <c r="G1" i="33"/>
  <c r="A10" i="33" s="1"/>
  <c r="C1" i="32"/>
  <c r="K12" i="38"/>
  <c r="AC29" i="7"/>
  <c r="AC19" i="7"/>
  <c r="Y6" i="7"/>
  <c r="Z5" i="7"/>
  <c r="X5" i="7"/>
  <c r="X4" i="7"/>
  <c r="X6" i="7" s="1"/>
  <c r="S4" i="7"/>
  <c r="K4" i="7"/>
  <c r="K3" i="7"/>
  <c r="Y107" i="17"/>
  <c r="Y108" i="17" s="1"/>
  <c r="X107" i="17"/>
  <c r="Z107" i="17" s="1"/>
  <c r="Z108" i="17" s="1"/>
  <c r="M61" i="17"/>
  <c r="M60" i="17"/>
  <c r="M59" i="17"/>
  <c r="M45" i="17"/>
  <c r="M44" i="17"/>
  <c r="D507" i="18"/>
  <c r="C507" i="18"/>
  <c r="C508" i="18" s="1"/>
  <c r="D504" i="18"/>
  <c r="J503" i="18"/>
  <c r="I503" i="18" s="1"/>
  <c r="C503" i="18"/>
  <c r="D503" i="18" s="1"/>
  <c r="J502" i="18"/>
  <c r="I502" i="18"/>
  <c r="C502" i="18"/>
  <c r="D502" i="18" s="1"/>
  <c r="J501" i="18"/>
  <c r="I501" i="18" s="1"/>
  <c r="D501" i="18"/>
  <c r="C501" i="18"/>
  <c r="J500" i="18"/>
  <c r="I500" i="18"/>
  <c r="C500" i="18"/>
  <c r="D500" i="18" s="1"/>
  <c r="I499" i="18"/>
  <c r="C499" i="18"/>
  <c r="D499" i="18" s="1"/>
  <c r="I498" i="18"/>
  <c r="C498" i="18"/>
  <c r="D498" i="18" s="1"/>
  <c r="D497" i="18"/>
  <c r="I493" i="18"/>
  <c r="I497" i="18" s="1"/>
  <c r="D493" i="18"/>
  <c r="C493" i="18"/>
  <c r="C497" i="18" s="1"/>
  <c r="C506" i="18" s="1"/>
  <c r="C490" i="18"/>
  <c r="E507" i="18" s="1" a="1"/>
  <c r="E507" i="18" s="1"/>
  <c r="G489" i="18"/>
  <c r="A489" i="18"/>
  <c r="Q478" i="18"/>
  <c r="M478" i="18"/>
  <c r="I478" i="18"/>
  <c r="D478" i="18"/>
  <c r="Q477" i="18"/>
  <c r="M477" i="18"/>
  <c r="I477" i="18"/>
  <c r="D477" i="18"/>
  <c r="Q476" i="18"/>
  <c r="M476" i="18"/>
  <c r="I476" i="18"/>
  <c r="D476" i="18"/>
  <c r="Q475" i="18"/>
  <c r="M475" i="18"/>
  <c r="I475" i="18"/>
  <c r="D475" i="18"/>
  <c r="Q474" i="18"/>
  <c r="M474" i="18"/>
  <c r="I474" i="18"/>
  <c r="D474" i="18"/>
  <c r="Q473" i="18"/>
  <c r="M473" i="18"/>
  <c r="I473" i="18"/>
  <c r="D473" i="18"/>
  <c r="Q468" i="18"/>
  <c r="Q472" i="18" s="1"/>
  <c r="Q481" i="18" s="1"/>
  <c r="Q483" i="18" s="1"/>
  <c r="P484" i="18" s="1"/>
  <c r="M468" i="18"/>
  <c r="M472" i="18" s="1"/>
  <c r="M481" i="18" s="1"/>
  <c r="M483" i="18" s="1"/>
  <c r="L484" i="18" s="1"/>
  <c r="I468" i="18"/>
  <c r="I472" i="18" s="1"/>
  <c r="I481" i="18" s="1"/>
  <c r="I483" i="18" s="1"/>
  <c r="H484" i="18" s="1"/>
  <c r="D468" i="18"/>
  <c r="D472" i="18" s="1"/>
  <c r="D481" i="18" s="1"/>
  <c r="D483" i="18" s="1"/>
  <c r="C484" i="18" s="1"/>
  <c r="O464" i="18"/>
  <c r="K464" i="18"/>
  <c r="B464" i="18"/>
  <c r="M450" i="18"/>
  <c r="L450" i="18"/>
  <c r="I450" i="18"/>
  <c r="H450" i="18"/>
  <c r="M449" i="18"/>
  <c r="L449" i="18" s="1"/>
  <c r="I449" i="18"/>
  <c r="H449" i="18"/>
  <c r="D449" i="18"/>
  <c r="L444" i="18"/>
  <c r="L448" i="18" s="1"/>
  <c r="L457" i="18" s="1"/>
  <c r="L459" i="18" s="1"/>
  <c r="L460" i="18" s="1"/>
  <c r="H444" i="18"/>
  <c r="H448" i="18" s="1"/>
  <c r="H457" i="18" s="1"/>
  <c r="H459" i="18" s="1"/>
  <c r="G460" i="18" s="1"/>
  <c r="D444" i="18"/>
  <c r="D448" i="18" s="1"/>
  <c r="D457" i="18" s="1"/>
  <c r="D459" i="18" s="1"/>
  <c r="C460" i="18" s="1"/>
  <c r="J440" i="18"/>
  <c r="F440" i="18"/>
  <c r="B440" i="18"/>
  <c r="E431" i="18"/>
  <c r="D431" i="18" s="1"/>
  <c r="E429" i="18"/>
  <c r="D429" i="18"/>
  <c r="D428" i="18"/>
  <c r="D426" i="18"/>
  <c r="D421" i="18"/>
  <c r="D425" i="18" s="1"/>
  <c r="B417" i="18"/>
  <c r="E407" i="18"/>
  <c r="L402" i="18"/>
  <c r="K401" i="18"/>
  <c r="I400" i="18"/>
  <c r="D400" i="18"/>
  <c r="D403" i="18" s="1"/>
  <c r="D411" i="18" s="1"/>
  <c r="D413" i="18" s="1"/>
  <c r="C414" i="18" s="1"/>
  <c r="G396" i="18"/>
  <c r="B396" i="18"/>
  <c r="H384" i="18"/>
  <c r="G384" i="18"/>
  <c r="H380" i="18"/>
  <c r="H387" i="18" s="1"/>
  <c r="H389" i="18" s="1"/>
  <c r="G390" i="18" s="1"/>
  <c r="G380" i="18"/>
  <c r="G375" i="18"/>
  <c r="G379" i="18" s="1"/>
  <c r="G387" i="18" s="1"/>
  <c r="G389" i="18" s="1"/>
  <c r="F390" i="18" s="1"/>
  <c r="D375" i="18"/>
  <c r="D379" i="18" s="1"/>
  <c r="D387" i="18" s="1"/>
  <c r="D389" i="18" s="1"/>
  <c r="C390" i="18" s="1"/>
  <c r="G372" i="18"/>
  <c r="E371" i="18"/>
  <c r="B371" i="18"/>
  <c r="J363" i="18"/>
  <c r="J362" i="18"/>
  <c r="L360" i="18"/>
  <c r="J360" i="18"/>
  <c r="L359" i="18"/>
  <c r="L361" i="18" s="1"/>
  <c r="J359" i="18"/>
  <c r="P358" i="18"/>
  <c r="P366" i="18" s="1"/>
  <c r="P368" i="18" s="1"/>
  <c r="O369" i="18" s="1"/>
  <c r="J358" i="18"/>
  <c r="J366" i="18" s="1"/>
  <c r="J368" i="18" s="1"/>
  <c r="I369" i="18" s="1"/>
  <c r="P354" i="18"/>
  <c r="J354" i="18"/>
  <c r="G354" i="18"/>
  <c r="G357" i="18" s="1"/>
  <c r="G365" i="18" s="1"/>
  <c r="G367" i="18" s="1"/>
  <c r="F368" i="18" s="1"/>
  <c r="D354" i="18"/>
  <c r="D357" i="18" s="1"/>
  <c r="D365" i="18" s="1"/>
  <c r="D367" i="18" s="1"/>
  <c r="C368" i="18" s="1"/>
  <c r="N350" i="18"/>
  <c r="H350" i="18"/>
  <c r="E350" i="18"/>
  <c r="B350" i="18"/>
  <c r="K339" i="18"/>
  <c r="L337" i="18"/>
  <c r="L336" i="18"/>
  <c r="L338" i="18" s="1"/>
  <c r="J336" i="18"/>
  <c r="J331" i="18"/>
  <c r="J335" i="18" s="1"/>
  <c r="J343" i="18" s="1"/>
  <c r="J345" i="18" s="1"/>
  <c r="I346" i="18" s="1"/>
  <c r="D331" i="18"/>
  <c r="D335" i="18" s="1"/>
  <c r="D343" i="18" s="1"/>
  <c r="D345" i="18" s="1"/>
  <c r="C346" i="18" s="1"/>
  <c r="H327" i="18"/>
  <c r="B327" i="18"/>
  <c r="E314" i="18"/>
  <c r="J311" i="18"/>
  <c r="J319" i="18" s="1"/>
  <c r="J321" i="18" s="1"/>
  <c r="I322" i="18" s="1"/>
  <c r="J307" i="18"/>
  <c r="D307" i="18"/>
  <c r="D310" i="18" s="1"/>
  <c r="D318" i="18" s="1"/>
  <c r="D320" i="18" s="1"/>
  <c r="C321" i="18" s="1"/>
  <c r="H303" i="18"/>
  <c r="F296" i="18"/>
  <c r="E296" i="18"/>
  <c r="E295" i="18"/>
  <c r="D294" i="18"/>
  <c r="E294" i="18" s="1"/>
  <c r="F294" i="18" s="1"/>
  <c r="F293" i="18"/>
  <c r="E293" i="18"/>
  <c r="S292" i="18"/>
  <c r="F292" i="18"/>
  <c r="E292" i="18"/>
  <c r="F291" i="18"/>
  <c r="E291" i="18"/>
  <c r="D290" i="18"/>
  <c r="E290" i="18" s="1"/>
  <c r="N289" i="18"/>
  <c r="N297" i="18" s="1"/>
  <c r="N299" i="18" s="1"/>
  <c r="M300" i="18" s="1"/>
  <c r="J289" i="18"/>
  <c r="J297" i="18" s="1"/>
  <c r="J299" i="18" s="1"/>
  <c r="I300" i="18" s="1"/>
  <c r="D289" i="18"/>
  <c r="D297" i="18" s="1"/>
  <c r="D299" i="18" s="1"/>
  <c r="R288" i="18"/>
  <c r="R296" i="18" s="1"/>
  <c r="R298" i="18" s="1"/>
  <c r="Q299" i="18" s="1"/>
  <c r="E288" i="18"/>
  <c r="E287" i="18"/>
  <c r="E289" i="18" s="1"/>
  <c r="E286" i="18"/>
  <c r="R285" i="18"/>
  <c r="N285" i="18"/>
  <c r="J285" i="18"/>
  <c r="E285" i="18"/>
  <c r="D285" i="18"/>
  <c r="L281" i="18"/>
  <c r="H281" i="18"/>
  <c r="B281" i="18"/>
  <c r="E279" i="18"/>
  <c r="D279" i="18"/>
  <c r="N274" i="18"/>
  <c r="N275" i="18" s="1"/>
  <c r="M276" i="18" s="1"/>
  <c r="N273" i="18"/>
  <c r="K272" i="18"/>
  <c r="K271" i="18"/>
  <c r="J270" i="18"/>
  <c r="J269" i="18"/>
  <c r="J268" i="18"/>
  <c r="J267" i="18"/>
  <c r="J266" i="18"/>
  <c r="N265" i="18"/>
  <c r="N261" i="18"/>
  <c r="J261" i="18"/>
  <c r="J265" i="18" s="1"/>
  <c r="J273" i="18" s="1"/>
  <c r="J275" i="18" s="1"/>
  <c r="I276" i="18" s="1"/>
  <c r="D261" i="18"/>
  <c r="D265" i="18" s="1"/>
  <c r="D273" i="18" s="1"/>
  <c r="D275" i="18" s="1"/>
  <c r="C276" i="18" s="1"/>
  <c r="H257" i="18"/>
  <c r="B257" i="18"/>
  <c r="T253" i="18"/>
  <c r="T251" i="18"/>
  <c r="U251" i="18" s="1"/>
  <c r="J251" i="18"/>
  <c r="G251" i="18"/>
  <c r="T250" i="18"/>
  <c r="S249" i="18"/>
  <c r="T249" i="18" s="1"/>
  <c r="T248" i="18"/>
  <c r="U248" i="18" s="1"/>
  <c r="A325" i="18" s="1"/>
  <c r="AF20" i="29" s="1"/>
  <c r="U247" i="18"/>
  <c r="T247" i="18"/>
  <c r="T246" i="18"/>
  <c r="U246" i="18" s="1"/>
  <c r="J246" i="18"/>
  <c r="G246" i="18"/>
  <c r="U245" i="18"/>
  <c r="G244" i="18"/>
  <c r="J244" i="18" s="1"/>
  <c r="J242" i="18"/>
  <c r="G242" i="18"/>
  <c r="G250" i="18" s="1"/>
  <c r="D242" i="18"/>
  <c r="D250" i="18" s="1"/>
  <c r="D252" i="18" s="1"/>
  <c r="C253" i="18" s="1"/>
  <c r="S240" i="18"/>
  <c r="S244" i="18" s="1"/>
  <c r="S252" i="18" s="1"/>
  <c r="S254" i="18" s="1"/>
  <c r="N240" i="18"/>
  <c r="N244" i="18" s="1"/>
  <c r="N252" i="18" s="1"/>
  <c r="N254" i="18" s="1"/>
  <c r="M255" i="18" s="1"/>
  <c r="J239" i="18"/>
  <c r="G239" i="18"/>
  <c r="D239" i="18"/>
  <c r="Q236" i="18"/>
  <c r="L236" i="18"/>
  <c r="H235" i="18"/>
  <c r="E235" i="18"/>
  <c r="B235" i="18"/>
  <c r="L231" i="18"/>
  <c r="L227" i="18"/>
  <c r="L226" i="18"/>
  <c r="L225" i="18"/>
  <c r="M228" i="18" s="1"/>
  <c r="L224" i="18"/>
  <c r="L223" i="18"/>
  <c r="S222" i="18"/>
  <c r="S230" i="18" s="1"/>
  <c r="S232" i="18" s="1"/>
  <c r="R233" i="18" s="1"/>
  <c r="P222" i="18"/>
  <c r="P230" i="18" s="1"/>
  <c r="P232" i="18" s="1"/>
  <c r="O233" i="18" s="1"/>
  <c r="L222" i="18"/>
  <c r="L230" i="18" s="1"/>
  <c r="D219" i="18"/>
  <c r="S218" i="18"/>
  <c r="P218" i="18"/>
  <c r="L218" i="18"/>
  <c r="H218" i="18"/>
  <c r="H222" i="18" s="1"/>
  <c r="H230" i="18" s="1"/>
  <c r="H232" i="18" s="1"/>
  <c r="G233" i="18" s="1"/>
  <c r="D218" i="18"/>
  <c r="D221" i="18" s="1"/>
  <c r="D229" i="18" s="1"/>
  <c r="D231" i="18" s="1"/>
  <c r="C232" i="18" s="1"/>
  <c r="Q214" i="18"/>
  <c r="N214" i="18"/>
  <c r="J214" i="18"/>
  <c r="F214" i="18"/>
  <c r="B214" i="18"/>
  <c r="D208" i="18"/>
  <c r="S206" i="18"/>
  <c r="O205" i="18"/>
  <c r="O207" i="18" s="1"/>
  <c r="N208" i="18" s="1"/>
  <c r="E205" i="18"/>
  <c r="D205" i="18"/>
  <c r="E201" i="18"/>
  <c r="O197" i="18"/>
  <c r="S194" i="18"/>
  <c r="S197" i="18" s="1"/>
  <c r="S205" i="18" s="1"/>
  <c r="S207" i="18" s="1"/>
  <c r="R208" i="18" s="1"/>
  <c r="O194" i="18"/>
  <c r="J194" i="18"/>
  <c r="J198" i="18" s="1"/>
  <c r="J207" i="18" s="1" a="1"/>
  <c r="J207" i="18" s="1"/>
  <c r="J209" i="18" s="1"/>
  <c r="J210" i="18" s="1"/>
  <c r="D194" i="18"/>
  <c r="D200" i="18" s="1"/>
  <c r="D207" i="18" s="1"/>
  <c r="Q190" i="18"/>
  <c r="M190" i="18"/>
  <c r="H190" i="18"/>
  <c r="B190" i="18"/>
  <c r="G185" i="18"/>
  <c r="F186" i="18" s="1"/>
  <c r="G183" i="18"/>
  <c r="D183" i="18"/>
  <c r="D185" i="18" s="1"/>
  <c r="C186" i="18" s="1"/>
  <c r="T180" i="18"/>
  <c r="L180" i="18"/>
  <c r="L179" i="18"/>
  <c r="T178" i="18"/>
  <c r="L178" i="18"/>
  <c r="T177" i="18"/>
  <c r="L177" i="18"/>
  <c r="T176" i="18"/>
  <c r="L176" i="18"/>
  <c r="AA175" i="18"/>
  <c r="AA183" i="18" s="1"/>
  <c r="AA185" i="18" s="1"/>
  <c r="Z186" i="18" s="1"/>
  <c r="O175" i="18"/>
  <c r="O183" i="18" s="1"/>
  <c r="O185" i="18" s="1"/>
  <c r="N186" i="18" s="1"/>
  <c r="J175" i="18"/>
  <c r="J183" i="18" s="1"/>
  <c r="J185" i="18" s="1"/>
  <c r="I186" i="18" s="1"/>
  <c r="G175" i="18"/>
  <c r="D175" i="18"/>
  <c r="AA172" i="18"/>
  <c r="W172" i="18"/>
  <c r="W175" i="18" s="1"/>
  <c r="W183" i="18" s="1"/>
  <c r="W185" i="18" s="1"/>
  <c r="V186" i="18" s="1"/>
  <c r="S172" i="18"/>
  <c r="T179" i="18" s="1"/>
  <c r="O172" i="18"/>
  <c r="J172" i="18"/>
  <c r="G172" i="18"/>
  <c r="D172" i="18"/>
  <c r="Y168" i="18"/>
  <c r="U168" i="18"/>
  <c r="Q168" i="18"/>
  <c r="M168" i="18"/>
  <c r="H168" i="18"/>
  <c r="E168" i="18"/>
  <c r="B168" i="18"/>
  <c r="K159" i="18"/>
  <c r="K161" i="18" s="1"/>
  <c r="J162" i="18" s="1"/>
  <c r="T158" i="18"/>
  <c r="S159" i="18" s="1" a="1"/>
  <c r="S159" i="18" s="1"/>
  <c r="O158" i="18" s="1"/>
  <c r="S158" i="18"/>
  <c r="T157" i="18"/>
  <c r="D157" i="18"/>
  <c r="T156" i="18"/>
  <c r="D156" i="18"/>
  <c r="T155" i="18"/>
  <c r="R159" i="18" s="1" a="1"/>
  <c r="R159" i="18" s="1"/>
  <c r="O157" i="18" s="1"/>
  <c r="D155" i="18"/>
  <c r="T154" i="18"/>
  <c r="D154" i="18"/>
  <c r="K151" i="18"/>
  <c r="O148" i="18"/>
  <c r="O151" i="18" s="1"/>
  <c r="K148" i="18"/>
  <c r="E148" i="18"/>
  <c r="E152" i="18" s="1"/>
  <c r="E160" i="18" s="1"/>
  <c r="E162" i="18" s="1"/>
  <c r="E163" i="18" s="1"/>
  <c r="D148" i="18"/>
  <c r="D152" i="18" s="1"/>
  <c r="D160" i="18" s="1"/>
  <c r="D162" i="18" s="1"/>
  <c r="D163" i="18" s="1"/>
  <c r="G145" i="18"/>
  <c r="M144" i="18"/>
  <c r="Q139" i="18"/>
  <c r="R139" i="18" s="1"/>
  <c r="R137" i="18"/>
  <c r="S137" i="18" s="1"/>
  <c r="S136" i="18"/>
  <c r="R136" i="18"/>
  <c r="Q135" i="18"/>
  <c r="R135" i="18" s="1"/>
  <c r="S135" i="18" s="1"/>
  <c r="R134" i="18"/>
  <c r="S134" i="18" s="1"/>
  <c r="Q134" i="18"/>
  <c r="V133" i="18"/>
  <c r="U133" i="18"/>
  <c r="R133" i="18"/>
  <c r="S133" i="18" s="1"/>
  <c r="Q133" i="18"/>
  <c r="R132" i="18"/>
  <c r="S132" i="18" s="1"/>
  <c r="Q131" i="18"/>
  <c r="R131" i="18" s="1"/>
  <c r="S131" i="18" s="1"/>
  <c r="R128" i="18"/>
  <c r="R130" i="18" s="1"/>
  <c r="R127" i="18"/>
  <c r="S127" i="18" s="1"/>
  <c r="E127" i="18"/>
  <c r="E129" i="18" s="1"/>
  <c r="R126" i="18"/>
  <c r="Q126" i="18"/>
  <c r="Q130" i="18" s="1"/>
  <c r="Q138" i="18" s="1"/>
  <c r="Q140" i="18" s="1"/>
  <c r="Q141" i="18" s="1"/>
  <c r="M126" i="18"/>
  <c r="M129" i="18" s="1"/>
  <c r="M137" i="18" s="1"/>
  <c r="M139" i="18" s="1"/>
  <c r="L140" i="18" s="1"/>
  <c r="I126" i="18"/>
  <c r="I129" i="18" s="1"/>
  <c r="I137" i="18" s="1"/>
  <c r="I139" i="18" s="1"/>
  <c r="H140" i="18" s="1"/>
  <c r="E126" i="18"/>
  <c r="D125" i="18"/>
  <c r="D129" i="18" s="1"/>
  <c r="D136" i="18" s="1"/>
  <c r="D138" i="18" s="1"/>
  <c r="C139" i="18" s="1"/>
  <c r="U124" i="18"/>
  <c r="S124" i="18"/>
  <c r="S126" i="18" s="1"/>
  <c r="R124" i="18"/>
  <c r="U123" i="18"/>
  <c r="T123" i="18"/>
  <c r="U131" i="18" s="1"/>
  <c r="Q123" i="18"/>
  <c r="E117" i="18"/>
  <c r="L114" i="18"/>
  <c r="F114" i="18"/>
  <c r="D114" i="18"/>
  <c r="D113" i="18"/>
  <c r="F112" i="18"/>
  <c r="D112" i="18" s="1"/>
  <c r="D111" i="18"/>
  <c r="E110" i="18"/>
  <c r="D110" i="18"/>
  <c r="E107" i="18"/>
  <c r="E106" i="18"/>
  <c r="D105" i="18"/>
  <c r="D109" i="18" s="1"/>
  <c r="D116" i="18" s="1"/>
  <c r="D118" i="18" s="1"/>
  <c r="C119" i="18" s="1"/>
  <c r="D90" i="18"/>
  <c r="D89" i="18"/>
  <c r="D96" i="18" s="1"/>
  <c r="D98" i="18" s="1"/>
  <c r="C99" i="18" s="1"/>
  <c r="H87" i="18"/>
  <c r="G87" i="18"/>
  <c r="D85" i="18"/>
  <c r="N64" i="18"/>
  <c r="N71" i="18" s="1"/>
  <c r="N73" i="18" s="1"/>
  <c r="M74" i="18" s="1"/>
  <c r="F64" i="18"/>
  <c r="F71" i="18" s="1"/>
  <c r="F74" i="18" s="1"/>
  <c r="F76" i="18" s="1"/>
  <c r="F78" i="18" s="1"/>
  <c r="C64" i="18"/>
  <c r="C71" i="18" s="1"/>
  <c r="C74" i="18" s="1"/>
  <c r="C76" i="18" s="1"/>
  <c r="C78" i="18" s="1"/>
  <c r="N60" i="18"/>
  <c r="J60" i="18"/>
  <c r="J64" i="18" s="1"/>
  <c r="J71" i="18" s="1"/>
  <c r="J73" i="18" s="1"/>
  <c r="I74" i="18" s="1"/>
  <c r="E57" i="18"/>
  <c r="B56" i="18"/>
  <c r="E54" i="18" a="1"/>
  <c r="E54" i="18" s="1"/>
  <c r="C50" i="18"/>
  <c r="K45" i="18"/>
  <c r="K43" i="18"/>
  <c r="G43" i="18"/>
  <c r="F43" i="18"/>
  <c r="D43" i="18"/>
  <c r="D44" i="18" s="1"/>
  <c r="D45" i="18" s="1"/>
  <c r="K42" i="18"/>
  <c r="J42" i="18"/>
  <c r="D42" i="18"/>
  <c r="K41" i="18"/>
  <c r="J41" i="18"/>
  <c r="P40" i="18"/>
  <c r="K40" i="18"/>
  <c r="J40" i="18"/>
  <c r="G40" i="18"/>
  <c r="P39" i="18"/>
  <c r="J39" i="18"/>
  <c r="K39" i="18" s="1"/>
  <c r="G39" i="18"/>
  <c r="D39" i="18"/>
  <c r="C39" i="18"/>
  <c r="P38" i="18"/>
  <c r="K38" i="18"/>
  <c r="K44" i="18" s="1"/>
  <c r="J38" i="18"/>
  <c r="G38" i="18"/>
  <c r="F38" i="18"/>
  <c r="D38" i="18"/>
  <c r="C38" i="18"/>
  <c r="P37" i="18"/>
  <c r="J37" i="18"/>
  <c r="J44" i="18" s="1"/>
  <c r="J47" i="18" s="1"/>
  <c r="D37" i="18"/>
  <c r="C37" i="18"/>
  <c r="C42" i="18" s="1"/>
  <c r="C44" i="18" s="1"/>
  <c r="P36" i="18"/>
  <c r="P35" i="18"/>
  <c r="F35" i="18"/>
  <c r="G35" i="18" s="1"/>
  <c r="K34" i="18"/>
  <c r="F34" i="18"/>
  <c r="F37" i="18" s="1"/>
  <c r="F42" i="18" s="1"/>
  <c r="F33" i="18"/>
  <c r="D33" i="18"/>
  <c r="I29" i="18"/>
  <c r="B29" i="18"/>
  <c r="F26" i="18"/>
  <c r="F25" i="18"/>
  <c r="F24" i="18"/>
  <c r="F23" i="18"/>
  <c r="F27" i="18" s="1"/>
  <c r="H21" i="18" s="1"/>
  <c r="H23" i="18" s="1"/>
  <c r="G16" i="18"/>
  <c r="G15" i="18"/>
  <c r="H14" i="18"/>
  <c r="S11" i="18"/>
  <c r="S10" i="18"/>
  <c r="S14" i="18" s="1"/>
  <c r="S16" i="18" s="1"/>
  <c r="G10" i="18"/>
  <c r="F10" i="18"/>
  <c r="C10" i="18"/>
  <c r="S9" i="18"/>
  <c r="O8" i="18"/>
  <c r="O13" i="18" s="1"/>
  <c r="O15" i="18" s="1"/>
  <c r="K8" i="18"/>
  <c r="K13" i="18" s="1"/>
  <c r="K15" i="18" s="1"/>
  <c r="G8" i="18"/>
  <c r="G7" i="18"/>
  <c r="G6" i="18"/>
  <c r="G9" i="18" s="1"/>
  <c r="G17" i="18" s="1"/>
  <c r="G19" i="18" s="1"/>
  <c r="F6" i="18"/>
  <c r="F9" i="18" s="1"/>
  <c r="F17" i="18" s="1"/>
  <c r="F19" i="18" s="1"/>
  <c r="C6" i="18"/>
  <c r="C9" i="18" s="1"/>
  <c r="C17" i="18" s="1"/>
  <c r="R2" i="18"/>
  <c r="N2" i="18"/>
  <c r="E2" i="18"/>
  <c r="B2" i="18"/>
  <c r="L199" i="42"/>
  <c r="O196" i="42"/>
  <c r="I192" i="42"/>
  <c r="I178" i="42" s="1"/>
  <c r="F192" i="42"/>
  <c r="F178" i="42" s="1"/>
  <c r="C192" i="42"/>
  <c r="C178" i="42" s="1"/>
  <c r="I191" i="42"/>
  <c r="I177" i="42" s="1"/>
  <c r="F191" i="42"/>
  <c r="F177" i="42" s="1"/>
  <c r="Y59" i="42" s="1"/>
  <c r="C191" i="42"/>
  <c r="P186" i="42"/>
  <c r="L186" i="42"/>
  <c r="H184" i="42"/>
  <c r="E184" i="42"/>
  <c r="B184" i="42"/>
  <c r="S183" i="42"/>
  <c r="P183" i="42"/>
  <c r="O183" i="42"/>
  <c r="N183" i="42"/>
  <c r="L183" i="42"/>
  <c r="K183" i="42"/>
  <c r="H183" i="42"/>
  <c r="E183" i="42"/>
  <c r="B183" i="42"/>
  <c r="L182" i="42"/>
  <c r="R20" i="43" s="1"/>
  <c r="I182" i="42"/>
  <c r="F182" i="42"/>
  <c r="I181" i="42"/>
  <c r="F181" i="42"/>
  <c r="C181" i="42"/>
  <c r="I180" i="42"/>
  <c r="F180" i="42"/>
  <c r="I179" i="42"/>
  <c r="F179" i="42"/>
  <c r="L178" i="42"/>
  <c r="L177" i="42"/>
  <c r="M20" i="43" s="1"/>
  <c r="C177" i="42"/>
  <c r="P176" i="42"/>
  <c r="O176" i="42"/>
  <c r="L176" i="42"/>
  <c r="C176" i="42"/>
  <c r="N174" i="42"/>
  <c r="K174" i="42"/>
  <c r="H174" i="42"/>
  <c r="E174" i="42"/>
  <c r="B174" i="42"/>
  <c r="K173" i="42"/>
  <c r="H173" i="42"/>
  <c r="E173" i="42"/>
  <c r="B173" i="42"/>
  <c r="O172" i="42"/>
  <c r="L172" i="42"/>
  <c r="I172" i="42"/>
  <c r="I176" i="42" s="1"/>
  <c r="F172" i="42"/>
  <c r="F176" i="42" s="1"/>
  <c r="C172" i="42"/>
  <c r="O168" i="42"/>
  <c r="G21" i="43" s="1"/>
  <c r="L168" i="42"/>
  <c r="O167" i="42"/>
  <c r="L167" i="42"/>
  <c r="I167" i="42"/>
  <c r="F167" i="42"/>
  <c r="C167" i="42"/>
  <c r="O166" i="42"/>
  <c r="O190" i="42" s="1"/>
  <c r="L166" i="42"/>
  <c r="L190" i="42" s="1"/>
  <c r="I166" i="42"/>
  <c r="I190" i="42" s="1"/>
  <c r="F166" i="42"/>
  <c r="F190" i="42" s="1"/>
  <c r="C166" i="42"/>
  <c r="C190" i="42" s="1"/>
  <c r="F159" i="42"/>
  <c r="H156" i="42"/>
  <c r="E156" i="42"/>
  <c r="H155" i="42"/>
  <c r="E155" i="42"/>
  <c r="H154" i="42"/>
  <c r="E154" i="42"/>
  <c r="H153" i="42"/>
  <c r="E153" i="42"/>
  <c r="H152" i="42"/>
  <c r="E152" i="42"/>
  <c r="C152" i="42"/>
  <c r="C138" i="42" s="1"/>
  <c r="H151" i="42"/>
  <c r="E151" i="42"/>
  <c r="C151" i="42"/>
  <c r="F150" i="42"/>
  <c r="C150" i="42"/>
  <c r="F146" i="42"/>
  <c r="H144" i="42"/>
  <c r="E144" i="42"/>
  <c r="B144" i="42"/>
  <c r="H143" i="42"/>
  <c r="E143" i="42"/>
  <c r="B143" i="42"/>
  <c r="C141" i="42"/>
  <c r="F138" i="42"/>
  <c r="N15" i="43" s="1"/>
  <c r="F137" i="42"/>
  <c r="M15" i="43" s="1"/>
  <c r="C137" i="42"/>
  <c r="I136" i="42"/>
  <c r="H135" i="42"/>
  <c r="E135" i="42"/>
  <c r="H134" i="42"/>
  <c r="F134" i="42"/>
  <c r="E134" i="42"/>
  <c r="B134" i="42"/>
  <c r="H133" i="42"/>
  <c r="E133" i="42"/>
  <c r="B133" i="42"/>
  <c r="I132" i="42"/>
  <c r="F132" i="42"/>
  <c r="F136" i="42" s="1"/>
  <c r="C132" i="42"/>
  <c r="C136" i="42" s="1"/>
  <c r="S131" i="42"/>
  <c r="S130" i="42"/>
  <c r="P130" i="42"/>
  <c r="S129" i="42"/>
  <c r="U128" i="42"/>
  <c r="T128" i="42"/>
  <c r="S128" i="42"/>
  <c r="R128" i="42"/>
  <c r="Q128" i="42"/>
  <c r="P128" i="42"/>
  <c r="O128" i="42"/>
  <c r="F128" i="42"/>
  <c r="I127" i="42"/>
  <c r="F127" i="42"/>
  <c r="C127" i="42"/>
  <c r="I126" i="42"/>
  <c r="I150" i="42" s="1"/>
  <c r="F126" i="42"/>
  <c r="C126" i="42"/>
  <c r="I118" i="42"/>
  <c r="H115" i="42"/>
  <c r="B115" i="42"/>
  <c r="H114" i="42"/>
  <c r="B114" i="42"/>
  <c r="H113" i="42"/>
  <c r="C113" i="42"/>
  <c r="C118" i="42" s="1"/>
  <c r="B113" i="42"/>
  <c r="H112" i="42"/>
  <c r="B112" i="42"/>
  <c r="H111" i="42"/>
  <c r="B111" i="42"/>
  <c r="H110" i="42"/>
  <c r="F110" i="42"/>
  <c r="F118" i="42" s="1"/>
  <c r="B110" i="42"/>
  <c r="I109" i="42"/>
  <c r="F109" i="42"/>
  <c r="O104" i="42"/>
  <c r="H103" i="42"/>
  <c r="E103" i="42"/>
  <c r="B103" i="42"/>
  <c r="H102" i="42"/>
  <c r="E102" i="42"/>
  <c r="B102" i="42"/>
  <c r="F101" i="42"/>
  <c r="F99" i="42"/>
  <c r="F98" i="42"/>
  <c r="F97" i="42"/>
  <c r="F96" i="42"/>
  <c r="H94" i="42"/>
  <c r="B94" i="42"/>
  <c r="H93" i="42"/>
  <c r="E93" i="42"/>
  <c r="B93" i="42"/>
  <c r="H92" i="42"/>
  <c r="E92" i="42"/>
  <c r="B92" i="42"/>
  <c r="I91" i="42"/>
  <c r="I95" i="42" s="1"/>
  <c r="F91" i="42"/>
  <c r="F95" i="42" s="1"/>
  <c r="F104" i="42" s="1"/>
  <c r="F106" i="42" s="1"/>
  <c r="F107" i="42" s="1"/>
  <c r="C89" i="42"/>
  <c r="I87" i="42"/>
  <c r="C87" i="42"/>
  <c r="C90" i="42" s="1"/>
  <c r="I86" i="42"/>
  <c r="F86" i="42"/>
  <c r="C86" i="42"/>
  <c r="I85" i="42"/>
  <c r="F85" i="42"/>
  <c r="C85" i="42"/>
  <c r="C109" i="42" s="1"/>
  <c r="A82" i="42"/>
  <c r="C105" i="42" s="1"/>
  <c r="U11" i="43" s="1"/>
  <c r="L77" i="42"/>
  <c r="I77" i="42"/>
  <c r="F77" i="42"/>
  <c r="C77" i="42"/>
  <c r="B74" i="42"/>
  <c r="I73" i="42"/>
  <c r="B73" i="42"/>
  <c r="B72" i="42"/>
  <c r="B71" i="42"/>
  <c r="I70" i="42"/>
  <c r="I56" i="42" s="1"/>
  <c r="B70" i="42"/>
  <c r="I69" i="42"/>
  <c r="B69" i="42"/>
  <c r="L68" i="42"/>
  <c r="L64" i="42"/>
  <c r="K62" i="42"/>
  <c r="H62" i="42"/>
  <c r="E62" i="42"/>
  <c r="B62" i="42"/>
  <c r="R61" i="42"/>
  <c r="K61" i="42"/>
  <c r="H61" i="42"/>
  <c r="E61" i="42"/>
  <c r="B61" i="42"/>
  <c r="Z60" i="42"/>
  <c r="I60" i="42"/>
  <c r="F60" i="42"/>
  <c r="Z59" i="42"/>
  <c r="I59" i="42"/>
  <c r="F59" i="42"/>
  <c r="AE58" i="42"/>
  <c r="Z58" i="42"/>
  <c r="I58" i="42"/>
  <c r="F58" i="42"/>
  <c r="Z57" i="42"/>
  <c r="AA57" i="42" s="1"/>
  <c r="AB57" i="42" s="1"/>
  <c r="I57" i="42"/>
  <c r="F57" i="42"/>
  <c r="AH56" i="42"/>
  <c r="AF56" i="42"/>
  <c r="AD56" i="42"/>
  <c r="O129" i="42" s="1"/>
  <c r="AC56" i="42"/>
  <c r="Z56" i="42"/>
  <c r="AA56" i="42" s="1"/>
  <c r="AB56" i="42" s="1"/>
  <c r="F56" i="42"/>
  <c r="C56" i="42"/>
  <c r="N7" i="43" s="1"/>
  <c r="AH55" i="42"/>
  <c r="AF55" i="42"/>
  <c r="AD55" i="42"/>
  <c r="AC55" i="42"/>
  <c r="Z55" i="42"/>
  <c r="AA55" i="42" s="1"/>
  <c r="AB55" i="42" s="1"/>
  <c r="I55" i="42"/>
  <c r="F55" i="42"/>
  <c r="AH54" i="42"/>
  <c r="AF54" i="42"/>
  <c r="AD54" i="42"/>
  <c r="AC54" i="42"/>
  <c r="Z54" i="42"/>
  <c r="AA54" i="42" s="1"/>
  <c r="AB54" i="42" s="1"/>
  <c r="F54" i="42"/>
  <c r="F63" i="42" s="1"/>
  <c r="F65" i="42" s="1"/>
  <c r="F66" i="42" s="1"/>
  <c r="C54" i="42"/>
  <c r="AH53" i="42"/>
  <c r="AF53" i="42"/>
  <c r="AD53" i="42"/>
  <c r="AC53" i="42"/>
  <c r="Z53" i="42"/>
  <c r="AA53" i="42" s="1"/>
  <c r="AB53" i="42" s="1"/>
  <c r="Y53" i="42"/>
  <c r="AG53" i="42" s="1"/>
  <c r="K53" i="42"/>
  <c r="E53" i="42"/>
  <c r="B53" i="42"/>
  <c r="AH52" i="42"/>
  <c r="AG52" i="42"/>
  <c r="AF52" i="42"/>
  <c r="AI52" i="42" s="1"/>
  <c r="AJ52" i="42" s="1"/>
  <c r="AD52" i="42"/>
  <c r="AC52" i="42"/>
  <c r="Z52" i="42"/>
  <c r="AA52" i="42" s="1"/>
  <c r="AB52" i="42" s="1"/>
  <c r="Y52" i="42"/>
  <c r="K52" i="42"/>
  <c r="H52" i="42"/>
  <c r="E52" i="42"/>
  <c r="B52" i="42"/>
  <c r="AH51" i="42"/>
  <c r="AG51" i="42"/>
  <c r="AF51" i="42"/>
  <c r="AI51" i="42" s="1"/>
  <c r="AJ51" i="42" s="1"/>
  <c r="AD51" i="42"/>
  <c r="AC51" i="42"/>
  <c r="Z51" i="42"/>
  <c r="AA51" i="42" s="1"/>
  <c r="AB51" i="42" s="1"/>
  <c r="K51" i="42"/>
  <c r="H51" i="42"/>
  <c r="E51" i="42"/>
  <c r="B51" i="42"/>
  <c r="AH50" i="42"/>
  <c r="AG50" i="42"/>
  <c r="AF50" i="42"/>
  <c r="AI50" i="42" s="1"/>
  <c r="AJ50" i="42" s="1"/>
  <c r="AD50" i="42"/>
  <c r="AC50" i="42"/>
  <c r="Z50" i="42"/>
  <c r="L50" i="42"/>
  <c r="L54" i="42" s="1"/>
  <c r="I50" i="42"/>
  <c r="I54" i="42" s="1"/>
  <c r="I63" i="42" s="1"/>
  <c r="I65" i="42" s="1"/>
  <c r="I66" i="42" s="1"/>
  <c r="F50" i="42"/>
  <c r="AH49" i="42"/>
  <c r="AG49" i="42"/>
  <c r="AI49" i="42" s="1"/>
  <c r="AJ49" i="42" s="1"/>
  <c r="AD49" i="42"/>
  <c r="AC49" i="42"/>
  <c r="Z49" i="42"/>
  <c r="AA49" i="42" s="1"/>
  <c r="AB49" i="42" s="1"/>
  <c r="AH48" i="42"/>
  <c r="AI48" i="42" s="1"/>
  <c r="AJ48" i="42" s="1"/>
  <c r="AG48" i="42"/>
  <c r="AD48" i="42"/>
  <c r="AC48" i="42"/>
  <c r="Z48" i="42"/>
  <c r="Y48" i="42"/>
  <c r="X48" i="42"/>
  <c r="AA48" i="42" s="1"/>
  <c r="AH47" i="42"/>
  <c r="AG47" i="42"/>
  <c r="AF47" i="42"/>
  <c r="AI47" i="42" s="1"/>
  <c r="AJ47" i="42" s="1"/>
  <c r="AD47" i="42"/>
  <c r="AC47" i="42"/>
  <c r="Z47" i="42"/>
  <c r="AH46" i="42"/>
  <c r="AG46" i="42"/>
  <c r="AF46" i="42"/>
  <c r="AI46" i="42" s="1"/>
  <c r="AJ46" i="42" s="1"/>
  <c r="AD46" i="42"/>
  <c r="AC46" i="42"/>
  <c r="AA46" i="42"/>
  <c r="Z46" i="42"/>
  <c r="Y46" i="42"/>
  <c r="L46" i="42"/>
  <c r="C46" i="42"/>
  <c r="L45" i="42"/>
  <c r="I45" i="42"/>
  <c r="F45" i="42"/>
  <c r="C45" i="42"/>
  <c r="L44" i="42"/>
  <c r="I44" i="42"/>
  <c r="I68" i="42" s="1"/>
  <c r="F44" i="42"/>
  <c r="F68" i="42" s="1"/>
  <c r="C44" i="42"/>
  <c r="C68" i="42" s="1"/>
  <c r="O36" i="42"/>
  <c r="L36" i="42"/>
  <c r="I36" i="42"/>
  <c r="F36" i="42"/>
  <c r="C36" i="42"/>
  <c r="H33" i="42"/>
  <c r="E33" i="42"/>
  <c r="B33" i="42"/>
  <c r="H32" i="42"/>
  <c r="E32" i="42"/>
  <c r="B32" i="42"/>
  <c r="H31" i="42"/>
  <c r="E31" i="42"/>
  <c r="B31" i="42"/>
  <c r="H30" i="42"/>
  <c r="E30" i="42"/>
  <c r="B30" i="42"/>
  <c r="O29" i="42"/>
  <c r="H29" i="42"/>
  <c r="E29" i="42"/>
  <c r="B29" i="42"/>
  <c r="O28" i="42"/>
  <c r="H28" i="42"/>
  <c r="E28" i="42"/>
  <c r="B28" i="42"/>
  <c r="L27" i="42"/>
  <c r="I27" i="42"/>
  <c r="F27" i="42"/>
  <c r="B24" i="42"/>
  <c r="B23" i="42"/>
  <c r="B22" i="42"/>
  <c r="N21" i="42"/>
  <c r="K21" i="42"/>
  <c r="H21" i="42"/>
  <c r="E21" i="42"/>
  <c r="B21" i="42"/>
  <c r="N20" i="42"/>
  <c r="K20" i="42"/>
  <c r="H20" i="42"/>
  <c r="E20" i="42"/>
  <c r="B20" i="42"/>
  <c r="O19" i="42"/>
  <c r="L19" i="42"/>
  <c r="I19" i="42"/>
  <c r="F19" i="42"/>
  <c r="C19" i="42"/>
  <c r="O18" i="42"/>
  <c r="L18" i="42"/>
  <c r="I18" i="42"/>
  <c r="F18" i="42"/>
  <c r="C18" i="42"/>
  <c r="O17" i="42"/>
  <c r="L17" i="42"/>
  <c r="I17" i="42"/>
  <c r="F17" i="42"/>
  <c r="C17" i="42"/>
  <c r="O16" i="42"/>
  <c r="L16" i="42"/>
  <c r="I16" i="42"/>
  <c r="F16" i="42"/>
  <c r="C16" i="42"/>
  <c r="O15" i="42"/>
  <c r="L15" i="42"/>
  <c r="I15" i="42"/>
  <c r="F15" i="42"/>
  <c r="C15" i="42"/>
  <c r="O14" i="42"/>
  <c r="L14" i="42"/>
  <c r="I14" i="42"/>
  <c r="F14" i="42"/>
  <c r="C14" i="42"/>
  <c r="N12" i="42"/>
  <c r="K12" i="42"/>
  <c r="H12" i="42"/>
  <c r="E12" i="42"/>
  <c r="B12" i="42"/>
  <c r="N11" i="42"/>
  <c r="K11" i="42"/>
  <c r="H11" i="42"/>
  <c r="E11" i="42"/>
  <c r="B11" i="42"/>
  <c r="N10" i="42"/>
  <c r="K10" i="42"/>
  <c r="H10" i="42"/>
  <c r="E10" i="42"/>
  <c r="B10" i="42"/>
  <c r="O9" i="42"/>
  <c r="O13" i="42" s="1"/>
  <c r="O22" i="42" s="1"/>
  <c r="O24" i="42" s="1"/>
  <c r="O25" i="42" s="1"/>
  <c r="L9" i="42"/>
  <c r="L13" i="42" s="1"/>
  <c r="L22" i="42" s="1"/>
  <c r="L24" i="42" s="1"/>
  <c r="L25" i="42" s="1"/>
  <c r="I9" i="42"/>
  <c r="I13" i="42" s="1"/>
  <c r="I22" i="42" s="1"/>
  <c r="I24" i="42" s="1"/>
  <c r="I25" i="42" s="1"/>
  <c r="F9" i="42"/>
  <c r="F13" i="42" s="1"/>
  <c r="F22" i="42" s="1"/>
  <c r="F24" i="42" s="1"/>
  <c r="F25" i="42" s="1"/>
  <c r="C9" i="42"/>
  <c r="C13" i="42" s="1"/>
  <c r="C22" i="42" s="1"/>
  <c r="C24" i="42" s="1"/>
  <c r="C25" i="42" s="1"/>
  <c r="B6" i="42"/>
  <c r="O5" i="42"/>
  <c r="L5" i="42"/>
  <c r="I5" i="42"/>
  <c r="F5" i="42"/>
  <c r="C5" i="42"/>
  <c r="O4" i="42"/>
  <c r="O27" i="42" s="1"/>
  <c r="L4" i="42"/>
  <c r="I4" i="42"/>
  <c r="F4" i="42"/>
  <c r="C4" i="42"/>
  <c r="C27" i="42" s="1"/>
  <c r="J36" i="1"/>
  <c r="C35" i="1"/>
  <c r="C36" i="1" s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L17" i="1"/>
  <c r="J17" i="1"/>
  <c r="M16" i="1"/>
  <c r="M15" i="1"/>
  <c r="F15" i="1"/>
  <c r="M14" i="1"/>
  <c r="F14" i="1"/>
  <c r="M13" i="1"/>
  <c r="M12" i="1"/>
  <c r="M11" i="1"/>
  <c r="M10" i="1"/>
  <c r="F10" i="1"/>
  <c r="M9" i="1"/>
  <c r="O7" i="1"/>
  <c r="N1" i="1"/>
  <c r="Y593" i="36"/>
  <c r="AB593" i="36" s="1"/>
  <c r="X593" i="36"/>
  <c r="U593" i="36"/>
  <c r="T593" i="36"/>
  <c r="S593" i="36"/>
  <c r="Z593" i="36" s="1"/>
  <c r="R593" i="36"/>
  <c r="P593" i="36"/>
  <c r="N593" i="36"/>
  <c r="J593" i="36"/>
  <c r="O593" i="36" s="1"/>
  <c r="Y592" i="36"/>
  <c r="AB592" i="36" s="1"/>
  <c r="X592" i="36"/>
  <c r="U592" i="36"/>
  <c r="T592" i="36"/>
  <c r="S592" i="36"/>
  <c r="Z592" i="36" s="1"/>
  <c r="R592" i="36"/>
  <c r="P592" i="36"/>
  <c r="N592" i="36"/>
  <c r="J592" i="36"/>
  <c r="AA592" i="36" s="1"/>
  <c r="AA591" i="36"/>
  <c r="Y591" i="36"/>
  <c r="AB591" i="36" s="1"/>
  <c r="X591" i="36"/>
  <c r="U591" i="36"/>
  <c r="T591" i="36"/>
  <c r="S591" i="36"/>
  <c r="W591" i="36" s="1"/>
  <c r="R591" i="36"/>
  <c r="P591" i="36"/>
  <c r="O591" i="36"/>
  <c r="N591" i="36"/>
  <c r="M591" i="36"/>
  <c r="L591" i="36"/>
  <c r="Q591" i="36" s="1"/>
  <c r="Y590" i="36"/>
  <c r="AB590" i="36" s="1"/>
  <c r="X590" i="36"/>
  <c r="U590" i="36"/>
  <c r="T590" i="36"/>
  <c r="S590" i="36"/>
  <c r="W590" i="36" s="1"/>
  <c r="R590" i="36"/>
  <c r="P590" i="36"/>
  <c r="N590" i="36"/>
  <c r="AF6" i="3"/>
  <c r="AB6" i="3"/>
  <c r="M17" i="1" l="1"/>
  <c r="AG7" i="3"/>
  <c r="C91" i="42"/>
  <c r="J11" i="43"/>
  <c r="I97" i="42"/>
  <c r="N13" i="43" s="1"/>
  <c r="G13" i="43"/>
  <c r="N20" i="43"/>
  <c r="L179" i="42"/>
  <c r="O20" i="43" s="1"/>
  <c r="G20" i="43"/>
  <c r="Q168" i="42"/>
  <c r="F142" i="42"/>
  <c r="R15" i="43" s="1"/>
  <c r="G15" i="43"/>
  <c r="L180" i="42"/>
  <c r="P20" i="43" s="1"/>
  <c r="C509" i="18"/>
  <c r="C98" i="42"/>
  <c r="O11" i="43" s="1"/>
  <c r="G11" i="43"/>
  <c r="I98" i="42"/>
  <c r="O13" i="43" s="1"/>
  <c r="F139" i="42"/>
  <c r="O15" i="43" s="1"/>
  <c r="F141" i="42"/>
  <c r="Q15" i="43" s="1"/>
  <c r="C179" i="42"/>
  <c r="O17" i="43" s="1"/>
  <c r="G7" i="43"/>
  <c r="L59" i="42"/>
  <c r="Q10" i="43" s="1"/>
  <c r="G10" i="43"/>
  <c r="C180" i="42"/>
  <c r="P17" i="43" s="1"/>
  <c r="L57" i="42"/>
  <c r="O10" i="43" s="1"/>
  <c r="C96" i="42"/>
  <c r="M11" i="43" s="1"/>
  <c r="C99" i="42"/>
  <c r="P11" i="43" s="1"/>
  <c r="Z591" i="36"/>
  <c r="I100" i="42"/>
  <c r="Q13" i="43" s="1"/>
  <c r="AA593" i="36"/>
  <c r="P28" i="1"/>
  <c r="O592" i="36"/>
  <c r="S10" i="7"/>
  <c r="S14" i="7" s="1"/>
  <c r="AC30" i="7"/>
  <c r="J250" i="18"/>
  <c r="J252" i="18" s="1"/>
  <c r="I253" i="18" s="1"/>
  <c r="R138" i="18"/>
  <c r="R140" i="18" s="1"/>
  <c r="R141" i="18" s="1"/>
  <c r="I185" i="42"/>
  <c r="I187" i="42" s="1"/>
  <c r="I188" i="42" s="1"/>
  <c r="AI21" i="29"/>
  <c r="AO20" i="29" s="1"/>
  <c r="AF21" i="29"/>
  <c r="AF28" i="29" s="1"/>
  <c r="AI53" i="42"/>
  <c r="AJ53" i="42" s="1"/>
  <c r="E297" i="18"/>
  <c r="E299" i="18" s="1"/>
  <c r="C300" i="18" s="1"/>
  <c r="T254" i="18"/>
  <c r="R255" i="18" s="1"/>
  <c r="AA59" i="42"/>
  <c r="AB59" i="42" s="1"/>
  <c r="S139" i="18"/>
  <c r="L232" i="18"/>
  <c r="L233" i="18" s="1"/>
  <c r="C46" i="18"/>
  <c r="C48" i="18" s="1"/>
  <c r="C45" i="18"/>
  <c r="Y60" i="42"/>
  <c r="AG54" i="42"/>
  <c r="F185" i="42"/>
  <c r="F187" i="42" s="1"/>
  <c r="F188" i="42" s="1"/>
  <c r="G252" i="18"/>
  <c r="F253" i="18" s="1"/>
  <c r="AI54" i="42"/>
  <c r="AJ54" i="42" s="1"/>
  <c r="K47" i="18"/>
  <c r="J49" i="18"/>
  <c r="J51" i="18" s="1"/>
  <c r="D434" i="18"/>
  <c r="D436" i="18" s="1"/>
  <c r="C437" i="18" s="1"/>
  <c r="I506" i="18"/>
  <c r="I508" i="18" s="1"/>
  <c r="H509" i="18" s="1"/>
  <c r="D506" i="18"/>
  <c r="D508" i="18" s="1"/>
  <c r="D509" i="18" s="1"/>
  <c r="F44" i="18"/>
  <c r="O159" i="18"/>
  <c r="O161" i="18" s="1"/>
  <c r="N162" i="18" s="1"/>
  <c r="D209" i="18"/>
  <c r="D210" i="18" s="1"/>
  <c r="AC33" i="7"/>
  <c r="AB34" i="7"/>
  <c r="AA33" i="7" s="1"/>
  <c r="W593" i="36"/>
  <c r="Z4" i="7"/>
  <c r="Z6" i="7" s="1"/>
  <c r="C60" i="42"/>
  <c r="R7" i="43" s="1"/>
  <c r="I99" i="42"/>
  <c r="P13" i="43" s="1"/>
  <c r="C159" i="42"/>
  <c r="AC80" i="7"/>
  <c r="AD79" i="7"/>
  <c r="AD26" i="7"/>
  <c r="AE25" i="7"/>
  <c r="AC24" i="7"/>
  <c r="AD23" i="7"/>
  <c r="C100" i="42"/>
  <c r="Q11" i="43" s="1"/>
  <c r="L185" i="42"/>
  <c r="G34" i="18"/>
  <c r="G37" i="18" s="1"/>
  <c r="G42" i="18" s="1"/>
  <c r="G44" i="18" s="1"/>
  <c r="C55" i="42"/>
  <c r="C57" i="42"/>
  <c r="O7" i="43" s="1"/>
  <c r="L60" i="42"/>
  <c r="R10" i="43" s="1"/>
  <c r="C101" i="42"/>
  <c r="R11" i="43" s="1"/>
  <c r="C199" i="42"/>
  <c r="AC32" i="7"/>
  <c r="AD31" i="7"/>
  <c r="F199" i="42"/>
  <c r="S175" i="18"/>
  <c r="S183" i="18" s="1"/>
  <c r="S185" i="18" s="1"/>
  <c r="R186" i="18" s="1"/>
  <c r="I101" i="42"/>
  <c r="R13" i="43" s="1"/>
  <c r="I199" i="42"/>
  <c r="AD76" i="7"/>
  <c r="AE75" i="7"/>
  <c r="O199" i="42"/>
  <c r="T252" i="18"/>
  <c r="Z590" i="36"/>
  <c r="K402" i="18"/>
  <c r="L403" i="18" s="1" a="1"/>
  <c r="L403" i="18" s="1"/>
  <c r="I401" i="18" s="1"/>
  <c r="I403" i="18" s="1"/>
  <c r="I411" i="18" s="1"/>
  <c r="I413" i="18" s="1"/>
  <c r="H414" i="18" s="1"/>
  <c r="C182" i="42"/>
  <c r="R17" i="43" s="1"/>
  <c r="S128" i="18"/>
  <c r="S130" i="18" s="1"/>
  <c r="S138" i="18" s="1"/>
  <c r="W592" i="36"/>
  <c r="C139" i="42"/>
  <c r="O14" i="43" s="1"/>
  <c r="AD22" i="7"/>
  <c r="AE21" i="7"/>
  <c r="Y37" i="7"/>
  <c r="AB35" i="7"/>
  <c r="AC20" i="7"/>
  <c r="AD19" i="7"/>
  <c r="L10" i="38"/>
  <c r="L9" i="38"/>
  <c r="L8" i="38"/>
  <c r="I8" i="38"/>
  <c r="L58" i="42"/>
  <c r="AD29" i="7"/>
  <c r="L55" i="42"/>
  <c r="M10" i="43" s="1"/>
  <c r="C140" i="42"/>
  <c r="P14" i="43" s="1"/>
  <c r="F140" i="42"/>
  <c r="P15" i="43" s="1"/>
  <c r="C58" i="42"/>
  <c r="P7" i="43" s="1"/>
  <c r="L12" i="38"/>
  <c r="K13" i="38"/>
  <c r="I10" i="38"/>
  <c r="H12" i="38"/>
  <c r="I11" i="38"/>
  <c r="Y85" i="7"/>
  <c r="AB83" i="7"/>
  <c r="I96" i="42"/>
  <c r="AC81" i="7"/>
  <c r="AB82" i="7"/>
  <c r="AA81" i="7" s="1"/>
  <c r="L56" i="42"/>
  <c r="N10" i="43" s="1"/>
  <c r="C59" i="42"/>
  <c r="Q7" i="43" s="1"/>
  <c r="C97" i="42"/>
  <c r="C142" i="42"/>
  <c r="AE77" i="7"/>
  <c r="AD78" i="7"/>
  <c r="W50" i="42"/>
  <c r="Y50" i="42" s="1"/>
  <c r="AA50" i="42" s="1"/>
  <c r="AE27" i="7"/>
  <c r="AD28" i="7"/>
  <c r="J590" i="36"/>
  <c r="Y589" i="36"/>
  <c r="AB589" i="36" s="1"/>
  <c r="X589" i="36"/>
  <c r="U589" i="36"/>
  <c r="T589" i="36"/>
  <c r="S589" i="36"/>
  <c r="Z589" i="36" s="1"/>
  <c r="R589" i="36"/>
  <c r="P589" i="36"/>
  <c r="N589" i="36"/>
  <c r="AG6" i="3"/>
  <c r="AH7" i="3" l="1"/>
  <c r="S17" i="43"/>
  <c r="S15" i="43"/>
  <c r="S20" i="43"/>
  <c r="P178" i="42"/>
  <c r="P180" i="42"/>
  <c r="O180" i="42"/>
  <c r="P21" i="43" s="1"/>
  <c r="O179" i="42"/>
  <c r="O21" i="43" s="1"/>
  <c r="O178" i="42"/>
  <c r="N21" i="43" s="1"/>
  <c r="P181" i="42"/>
  <c r="O181" i="42"/>
  <c r="Q21" i="43" s="1"/>
  <c r="O177" i="42"/>
  <c r="M21" i="43" s="1"/>
  <c r="P179" i="42"/>
  <c r="I104" i="42"/>
  <c r="M13" i="43"/>
  <c r="S13" i="43" s="1"/>
  <c r="L187" i="42"/>
  <c r="T20" i="43"/>
  <c r="R130" i="42"/>
  <c r="T130" i="42" s="1"/>
  <c r="U130" i="42" s="1"/>
  <c r="C185" i="42"/>
  <c r="L63" i="42"/>
  <c r="P10" i="43"/>
  <c r="S10" i="43" s="1"/>
  <c r="C63" i="42"/>
  <c r="M7" i="43"/>
  <c r="S7" i="43" s="1"/>
  <c r="C145" i="42"/>
  <c r="R14" i="43"/>
  <c r="S14" i="43" s="1"/>
  <c r="C104" i="42"/>
  <c r="N11" i="43"/>
  <c r="S11" i="43" s="1"/>
  <c r="P182" i="42"/>
  <c r="B509" i="18"/>
  <c r="W589" i="36"/>
  <c r="O182" i="42"/>
  <c r="F145" i="42"/>
  <c r="P177" i="42"/>
  <c r="C95" i="42"/>
  <c r="L11" i="43" s="1"/>
  <c r="K11" i="43"/>
  <c r="AD30" i="7"/>
  <c r="AE29" i="7"/>
  <c r="AD32" i="7"/>
  <c r="AE31" i="7"/>
  <c r="AC82" i="7"/>
  <c r="AD81" i="7"/>
  <c r="AE19" i="7"/>
  <c r="AD20" i="7"/>
  <c r="AF77" i="7"/>
  <c r="AF78" i="7" s="1"/>
  <c r="AE78" i="7"/>
  <c r="AD80" i="7"/>
  <c r="AE79" i="7"/>
  <c r="AB84" i="7"/>
  <c r="AA83" i="7" s="1"/>
  <c r="AC83" i="7"/>
  <c r="Y87" i="7"/>
  <c r="AB85" i="7"/>
  <c r="AF21" i="7"/>
  <c r="AF22" i="7" s="1"/>
  <c r="AE22" i="7"/>
  <c r="Y39" i="7"/>
  <c r="AB37" i="7"/>
  <c r="AE26" i="7"/>
  <c r="AF25" i="7"/>
  <c r="AF26" i="7" s="1"/>
  <c r="I12" i="38"/>
  <c r="H13" i="38"/>
  <c r="K14" i="38"/>
  <c r="L13" i="38"/>
  <c r="AC34" i="7"/>
  <c r="AD33" i="7"/>
  <c r="AB28" i="7"/>
  <c r="AA27" i="7" s="1"/>
  <c r="AB26" i="7"/>
  <c r="AA25" i="7" s="1"/>
  <c r="AB78" i="7"/>
  <c r="AA77" i="7" s="1"/>
  <c r="AB80" i="7"/>
  <c r="AA79" i="7" s="1"/>
  <c r="AB76" i="7"/>
  <c r="AA75" i="7" s="1"/>
  <c r="AC28" i="7"/>
  <c r="AC78" i="7"/>
  <c r="AB20" i="7"/>
  <c r="AA19" i="7" s="1"/>
  <c r="AC22" i="7"/>
  <c r="AA21" i="7" s="1"/>
  <c r="AB30" i="7"/>
  <c r="AA29" i="7" s="1"/>
  <c r="AB32" i="7"/>
  <c r="AA31" i="7" s="1"/>
  <c r="AC76" i="7"/>
  <c r="AB24" i="7"/>
  <c r="AA23" i="7" s="1"/>
  <c r="AC26" i="7"/>
  <c r="AD24" i="7"/>
  <c r="AE23" i="7"/>
  <c r="AE76" i="7"/>
  <c r="AF75" i="7"/>
  <c r="AF76" i="7" s="1"/>
  <c r="O590" i="36"/>
  <c r="AA590" i="36"/>
  <c r="S140" i="18"/>
  <c r="S141" i="18" s="1"/>
  <c r="AB36" i="7"/>
  <c r="AA35" i="7" s="1"/>
  <c r="AC35" i="7"/>
  <c r="AA60" i="42"/>
  <c r="AB60" i="42" s="1"/>
  <c r="AG55" i="42"/>
  <c r="AI55" i="42" s="1"/>
  <c r="AJ55" i="42" s="1"/>
  <c r="AF27" i="7"/>
  <c r="AF28" i="7" s="1"/>
  <c r="AE28" i="7"/>
  <c r="F46" i="18"/>
  <c r="J589" i="36"/>
  <c r="Y588" i="36"/>
  <c r="AB588" i="36" s="1"/>
  <c r="X588" i="36"/>
  <c r="U588" i="36"/>
  <c r="T588" i="36"/>
  <c r="S588" i="36"/>
  <c r="Z588" i="36" s="1"/>
  <c r="R588" i="36"/>
  <c r="P588" i="36"/>
  <c r="N588" i="36"/>
  <c r="J588" i="36"/>
  <c r="AA588" i="36" s="1"/>
  <c r="Y587" i="36"/>
  <c r="AB587" i="36" s="1"/>
  <c r="X587" i="36"/>
  <c r="U587" i="36"/>
  <c r="T587" i="36"/>
  <c r="S587" i="36"/>
  <c r="W587" i="36" s="1"/>
  <c r="R587" i="36"/>
  <c r="P587" i="36"/>
  <c r="N587" i="36"/>
  <c r="J587" i="36"/>
  <c r="O587" i="36" s="1"/>
  <c r="Y586" i="36"/>
  <c r="AB586" i="36" s="1"/>
  <c r="X586" i="36"/>
  <c r="U586" i="36"/>
  <c r="T586" i="36"/>
  <c r="S586" i="36"/>
  <c r="Z586" i="36" s="1"/>
  <c r="R586" i="36"/>
  <c r="P586" i="36"/>
  <c r="N586" i="36"/>
  <c r="J586" i="36"/>
  <c r="AA586" i="36" s="1"/>
  <c r="Y585" i="36"/>
  <c r="AB585" i="36" s="1"/>
  <c r="X585" i="36"/>
  <c r="U585" i="36"/>
  <c r="T585" i="36"/>
  <c r="S585" i="36"/>
  <c r="Z585" i="36" s="1"/>
  <c r="R585" i="36"/>
  <c r="P585" i="36"/>
  <c r="N585" i="36"/>
  <c r="AH6" i="3"/>
  <c r="AI7" i="3" l="1"/>
  <c r="O185" i="42"/>
  <c r="C106" i="42"/>
  <c r="T11" i="43"/>
  <c r="C187" i="42"/>
  <c r="T17" i="43"/>
  <c r="C147" i="42"/>
  <c r="T14" i="43"/>
  <c r="Z587" i="36"/>
  <c r="O187" i="42"/>
  <c r="T21" i="43"/>
  <c r="C65" i="42"/>
  <c r="T7" i="43"/>
  <c r="L65" i="42"/>
  <c r="T10" i="43"/>
  <c r="L188" i="42"/>
  <c r="W20" i="43" s="1"/>
  <c r="V20" i="43"/>
  <c r="Y20" i="43" s="1"/>
  <c r="I106" i="42"/>
  <c r="T13" i="43"/>
  <c r="W586" i="36"/>
  <c r="P185" i="42"/>
  <c r="P187" i="42" s="1"/>
  <c r="P188" i="42" s="1"/>
  <c r="F147" i="42"/>
  <c r="T15" i="43"/>
  <c r="R131" i="42"/>
  <c r="T131" i="42" s="1"/>
  <c r="U131" i="42" s="1"/>
  <c r="R21" i="43"/>
  <c r="S21" i="43" s="1"/>
  <c r="AA587" i="36"/>
  <c r="O588" i="36"/>
  <c r="O586" i="36"/>
  <c r="AE24" i="7"/>
  <c r="AF23" i="7"/>
  <c r="AF24" i="7" s="1"/>
  <c r="AB87" i="7"/>
  <c r="Y89" i="7"/>
  <c r="AB86" i="7"/>
  <c r="AA85" i="7" s="1"/>
  <c r="AC85" i="7"/>
  <c r="AC84" i="7"/>
  <c r="AD83" i="7"/>
  <c r="AC36" i="7"/>
  <c r="AD35" i="7"/>
  <c r="AF19" i="7"/>
  <c r="AF20" i="7" s="1"/>
  <c r="AE20" i="7"/>
  <c r="H14" i="38"/>
  <c r="I13" i="38"/>
  <c r="AD82" i="7"/>
  <c r="AE81" i="7"/>
  <c r="AF79" i="7"/>
  <c r="AF80" i="7" s="1"/>
  <c r="AE80" i="7"/>
  <c r="AB38" i="7"/>
  <c r="AA37" i="7" s="1"/>
  <c r="AC37" i="7"/>
  <c r="W585" i="36"/>
  <c r="AD34" i="7"/>
  <c r="AE33" i="7"/>
  <c r="AE32" i="7"/>
  <c r="AF31" i="7"/>
  <c r="AF32" i="7" s="1"/>
  <c r="AB39" i="7"/>
  <c r="Y41" i="7"/>
  <c r="W588" i="36"/>
  <c r="O589" i="36"/>
  <c r="AA589" i="36"/>
  <c r="AF29" i="7"/>
  <c r="AF30" i="7" s="1"/>
  <c r="AE30" i="7"/>
  <c r="K15" i="38"/>
  <c r="L14" i="38"/>
  <c r="J585" i="36"/>
  <c r="AA584" i="36"/>
  <c r="Y584" i="36"/>
  <c r="AB584" i="36" s="1"/>
  <c r="X584" i="36"/>
  <c r="U584" i="36"/>
  <c r="T584" i="36"/>
  <c r="S584" i="36"/>
  <c r="W584" i="36" s="1"/>
  <c r="R584" i="36"/>
  <c r="Q584" i="36"/>
  <c r="P584" i="36"/>
  <c r="O584" i="36"/>
  <c r="N584" i="36"/>
  <c r="M584" i="36"/>
  <c r="AA583" i="36"/>
  <c r="Y583" i="36"/>
  <c r="AB583" i="36" s="1"/>
  <c r="X583" i="36"/>
  <c r="U583" i="36"/>
  <c r="T583" i="36"/>
  <c r="S583" i="36"/>
  <c r="Z583" i="36" s="1"/>
  <c r="R583" i="36"/>
  <c r="Q583" i="36"/>
  <c r="P583" i="36"/>
  <c r="O583" i="36"/>
  <c r="N583" i="36"/>
  <c r="M583" i="36"/>
  <c r="AA582" i="36"/>
  <c r="Y582" i="36"/>
  <c r="AB582" i="36" s="1"/>
  <c r="X582" i="36"/>
  <c r="U582" i="36"/>
  <c r="T582" i="36"/>
  <c r="S582" i="36"/>
  <c r="W582" i="36" s="1"/>
  <c r="R582" i="36"/>
  <c r="Q582" i="36"/>
  <c r="P582" i="36"/>
  <c r="O582" i="36"/>
  <c r="N582" i="36"/>
  <c r="M582" i="36"/>
  <c r="Y581" i="36"/>
  <c r="AB581" i="36" s="1"/>
  <c r="X581" i="36"/>
  <c r="U581" i="36"/>
  <c r="T581" i="36"/>
  <c r="S581" i="36"/>
  <c r="Z581" i="36" s="1"/>
  <c r="R581" i="36"/>
  <c r="P581" i="36"/>
  <c r="N581" i="36"/>
  <c r="AI6" i="3"/>
  <c r="AJ7" i="3" l="1"/>
  <c r="O188" i="42"/>
  <c r="W21" i="43" s="1"/>
  <c r="V21" i="43"/>
  <c r="Y21" i="43" s="1"/>
  <c r="AJ20" i="43"/>
  <c r="Z20" i="43"/>
  <c r="L66" i="42"/>
  <c r="W10" i="43" s="1"/>
  <c r="V10" i="43"/>
  <c r="Y10" i="43" s="1"/>
  <c r="C66" i="42"/>
  <c r="W7" i="43" s="1"/>
  <c r="V7" i="43"/>
  <c r="Y7" i="43" s="1"/>
  <c r="C148" i="42"/>
  <c r="W14" i="43" s="1"/>
  <c r="V14" i="43"/>
  <c r="Y14" i="43" s="1"/>
  <c r="C188" i="42"/>
  <c r="W17" i="43" s="1"/>
  <c r="V17" i="43"/>
  <c r="Y17" i="43" s="1"/>
  <c r="F148" i="42"/>
  <c r="W15" i="43" s="1"/>
  <c r="V15" i="43"/>
  <c r="Y15" i="43" s="1"/>
  <c r="I107" i="42"/>
  <c r="W13" i="43" s="1"/>
  <c r="V13" i="43"/>
  <c r="Y13" i="43" s="1"/>
  <c r="C107" i="42"/>
  <c r="W11" i="43" s="1"/>
  <c r="V11" i="43"/>
  <c r="Y11" i="43" s="1"/>
  <c r="AJ11" i="43" s="1"/>
  <c r="Z11" i="43"/>
  <c r="Z582" i="36"/>
  <c r="Z584" i="36"/>
  <c r="L15" i="38"/>
  <c r="K16" i="38"/>
  <c r="AC38" i="7"/>
  <c r="AD37" i="7"/>
  <c r="H15" i="38"/>
  <c r="I14" i="38"/>
  <c r="AD36" i="7"/>
  <c r="AE35" i="7"/>
  <c r="AD84" i="7"/>
  <c r="AE83" i="7"/>
  <c r="AE82" i="7"/>
  <c r="AF81" i="7"/>
  <c r="AF82" i="7" s="1"/>
  <c r="W583" i="36"/>
  <c r="Y91" i="7"/>
  <c r="AB89" i="7"/>
  <c r="W581" i="36"/>
  <c r="AA585" i="36"/>
  <c r="O585" i="36"/>
  <c r="AB40" i="7"/>
  <c r="AA39" i="7" s="1"/>
  <c r="AC39" i="7"/>
  <c r="AC86" i="7"/>
  <c r="AD85" i="7"/>
  <c r="Y43" i="7"/>
  <c r="AB41" i="7"/>
  <c r="AB88" i="7"/>
  <c r="AA87" i="7" s="1"/>
  <c r="AC87" i="7"/>
  <c r="AE34" i="7"/>
  <c r="AF33" i="7"/>
  <c r="AF34" i="7" s="1"/>
  <c r="J581" i="36"/>
  <c r="Y580" i="36"/>
  <c r="AB580" i="36" s="1"/>
  <c r="X580" i="36"/>
  <c r="U580" i="36"/>
  <c r="T580" i="36"/>
  <c r="S580" i="36"/>
  <c r="Z580" i="36" s="1"/>
  <c r="R580" i="36"/>
  <c r="P580" i="36"/>
  <c r="N580" i="36"/>
  <c r="AJ6" i="3"/>
  <c r="AK7" i="3" l="1"/>
  <c r="AJ15" i="43"/>
  <c r="Z15" i="43"/>
  <c r="AJ7" i="43"/>
  <c r="Z7" i="43"/>
  <c r="AJ10" i="43"/>
  <c r="Z10" i="43"/>
  <c r="AJ17" i="43"/>
  <c r="Z17" i="43"/>
  <c r="AJ14" i="43"/>
  <c r="Z14" i="43"/>
  <c r="AJ21" i="43"/>
  <c r="Z21" i="43"/>
  <c r="AJ13" i="43"/>
  <c r="Z13" i="43"/>
  <c r="AD86" i="7"/>
  <c r="AE85" i="7"/>
  <c r="AC40" i="7"/>
  <c r="AD39" i="7"/>
  <c r="AE36" i="7"/>
  <c r="AF35" i="7"/>
  <c r="AF36" i="7" s="1"/>
  <c r="AB91" i="7"/>
  <c r="Y93" i="7"/>
  <c r="AC41" i="7"/>
  <c r="AB42" i="7"/>
  <c r="AA41" i="7" s="1"/>
  <c r="I15" i="38"/>
  <c r="H16" i="38"/>
  <c r="AB43" i="7"/>
  <c r="Y45" i="7"/>
  <c r="AE84" i="7"/>
  <c r="AF83" i="7"/>
  <c r="AF84" i="7" s="1"/>
  <c r="W580" i="36"/>
  <c r="K17" i="38"/>
  <c r="L16" i="38"/>
  <c r="AA581" i="36"/>
  <c r="O581" i="36"/>
  <c r="AD38" i="7"/>
  <c r="AE37" i="7"/>
  <c r="AC88" i="7"/>
  <c r="AD87" i="7"/>
  <c r="AB90" i="7"/>
  <c r="AA89" i="7" s="1"/>
  <c r="AC89" i="7"/>
  <c r="J580" i="36"/>
  <c r="Y579" i="36"/>
  <c r="AB579" i="36" s="1"/>
  <c r="X579" i="36"/>
  <c r="U579" i="36"/>
  <c r="T579" i="36"/>
  <c r="S579" i="36"/>
  <c r="Z579" i="36" s="1"/>
  <c r="R579" i="36"/>
  <c r="P579" i="36"/>
  <c r="N579" i="36"/>
  <c r="AK6" i="3"/>
  <c r="AL7" i="3" l="1"/>
  <c r="AD88" i="7"/>
  <c r="AE87" i="7"/>
  <c r="K18" i="38"/>
  <c r="L17" i="38"/>
  <c r="AC43" i="7"/>
  <c r="AB44" i="7"/>
  <c r="AA43" i="7" s="1"/>
  <c r="AE38" i="7"/>
  <c r="AF37" i="7"/>
  <c r="AF38" i="7" s="1"/>
  <c r="H17" i="38"/>
  <c r="I16" i="38"/>
  <c r="Y95" i="7"/>
  <c r="AB93" i="7"/>
  <c r="Y47" i="7"/>
  <c r="AB45" i="7"/>
  <c r="W579" i="36"/>
  <c r="AC42" i="7"/>
  <c r="AD41" i="7"/>
  <c r="AA580" i="36"/>
  <c r="O580" i="36"/>
  <c r="AC91" i="7"/>
  <c r="AB92" i="7"/>
  <c r="AA91" i="7" s="1"/>
  <c r="AD40" i="7"/>
  <c r="AE39" i="7"/>
  <c r="AE86" i="7"/>
  <c r="AF85" i="7"/>
  <c r="AF86" i="7" s="1"/>
  <c r="AD89" i="7"/>
  <c r="AC90" i="7"/>
  <c r="J579" i="36"/>
  <c r="Y578" i="36"/>
  <c r="AB578" i="36" s="1"/>
  <c r="X578" i="36"/>
  <c r="U578" i="36"/>
  <c r="T578" i="36"/>
  <c r="S578" i="36"/>
  <c r="Z578" i="36" s="1"/>
  <c r="R578" i="36"/>
  <c r="P578" i="36"/>
  <c r="N578" i="36"/>
  <c r="AL6" i="3"/>
  <c r="AM7" i="3" l="1"/>
  <c r="AE40" i="7"/>
  <c r="AF39" i="7"/>
  <c r="AF40" i="7" s="1"/>
  <c r="AD91" i="7"/>
  <c r="AC92" i="7"/>
  <c r="W578" i="36"/>
  <c r="AB94" i="7"/>
  <c r="AC93" i="7"/>
  <c r="Y97" i="7"/>
  <c r="AB95" i="7"/>
  <c r="AD43" i="7"/>
  <c r="AC44" i="7"/>
  <c r="AB46" i="7"/>
  <c r="AA45" i="7" s="1"/>
  <c r="AC45" i="7"/>
  <c r="I17" i="38"/>
  <c r="H18" i="38"/>
  <c r="AA579" i="36"/>
  <c r="O579" i="36"/>
  <c r="AD42" i="7"/>
  <c r="AE41" i="7"/>
  <c r="Y49" i="7"/>
  <c r="AB47" i="7"/>
  <c r="AC47" i="7" s="1"/>
  <c r="AD90" i="7"/>
  <c r="AE89" i="7"/>
  <c r="AF87" i="7"/>
  <c r="AF88" i="7" s="1"/>
  <c r="AE88" i="7"/>
  <c r="K19" i="38"/>
  <c r="L18" i="38"/>
  <c r="J578" i="36"/>
  <c r="AA577" i="36"/>
  <c r="Y577" i="36"/>
  <c r="AB577" i="36" s="1"/>
  <c r="X577" i="36"/>
  <c r="U577" i="36"/>
  <c r="T577" i="36"/>
  <c r="S577" i="36"/>
  <c r="Z577" i="36" s="1"/>
  <c r="R577" i="36"/>
  <c r="P577" i="36"/>
  <c r="O577" i="36"/>
  <c r="N577" i="36"/>
  <c r="L577" i="36"/>
  <c r="Q577" i="36" s="1"/>
  <c r="Y576" i="36"/>
  <c r="AB576" i="36" s="1"/>
  <c r="X576" i="36"/>
  <c r="U576" i="36"/>
  <c r="T576" i="36"/>
  <c r="S576" i="36"/>
  <c r="W576" i="36" s="1"/>
  <c r="R576" i="36"/>
  <c r="P576" i="36"/>
  <c r="N576" i="36"/>
  <c r="AM6" i="3"/>
  <c r="AN7" i="3" l="1"/>
  <c r="Z576" i="36"/>
  <c r="AB96" i="7"/>
  <c r="AC95" i="7"/>
  <c r="I18" i="38"/>
  <c r="H19" i="38"/>
  <c r="AC46" i="7"/>
  <c r="AD45" i="7"/>
  <c r="AD47" i="7"/>
  <c r="AC48" i="7"/>
  <c r="AA47" i="7" s="1"/>
  <c r="AE43" i="7"/>
  <c r="AD44" i="7"/>
  <c r="Y51" i="7"/>
  <c r="AB49" i="7"/>
  <c r="AE42" i="7"/>
  <c r="AF41" i="7"/>
  <c r="AF42" i="7" s="1"/>
  <c r="W577" i="36"/>
  <c r="M577" i="36"/>
  <c r="Y99" i="7"/>
  <c r="AB99" i="7" s="1"/>
  <c r="AB97" i="7"/>
  <c r="AC94" i="7"/>
  <c r="AD93" i="7"/>
  <c r="O578" i="36"/>
  <c r="AA578" i="36"/>
  <c r="K20" i="38"/>
  <c r="L19" i="38"/>
  <c r="AE91" i="7"/>
  <c r="AD92" i="7"/>
  <c r="AE90" i="7"/>
  <c r="AF89" i="7"/>
  <c r="AF90" i="7" s="1"/>
  <c r="J576" i="36"/>
  <c r="Y575" i="36"/>
  <c r="AB575" i="36" s="1"/>
  <c r="X575" i="36"/>
  <c r="U575" i="36"/>
  <c r="T575" i="36"/>
  <c r="S575" i="36"/>
  <c r="Z575" i="36" s="1"/>
  <c r="R575" i="36"/>
  <c r="P575" i="36"/>
  <c r="N575" i="36"/>
  <c r="AN6" i="3"/>
  <c r="AO7" i="3" l="1"/>
  <c r="AB98" i="7"/>
  <c r="AC97" i="7"/>
  <c r="W575" i="36"/>
  <c r="AF43" i="7"/>
  <c r="AF44" i="7" s="1"/>
  <c r="AE44" i="7"/>
  <c r="AE47" i="7"/>
  <c r="AD48" i="7"/>
  <c r="H20" i="38"/>
  <c r="I19" i="38"/>
  <c r="O576" i="36"/>
  <c r="AA576" i="36"/>
  <c r="AD94" i="7"/>
  <c r="AE93" i="7"/>
  <c r="AC99" i="7"/>
  <c r="AB100" i="7"/>
  <c r="AC96" i="7"/>
  <c r="AD95" i="7"/>
  <c r="AB50" i="7"/>
  <c r="AA49" i="7" s="1"/>
  <c r="AC49" i="7"/>
  <c r="Y53" i="7"/>
  <c r="AB51" i="7"/>
  <c r="AC51" i="7" s="1"/>
  <c r="AD46" i="7"/>
  <c r="AE45" i="7"/>
  <c r="AF91" i="7"/>
  <c r="AF92" i="7" s="1"/>
  <c r="AE92" i="7"/>
  <c r="K21" i="38"/>
  <c r="L20" i="38"/>
  <c r="J575" i="36"/>
  <c r="Y574" i="36"/>
  <c r="AB574" i="36" s="1"/>
  <c r="X574" i="36"/>
  <c r="U574" i="36"/>
  <c r="T574" i="36"/>
  <c r="S574" i="36"/>
  <c r="Z574" i="36" s="1"/>
  <c r="R574" i="36"/>
  <c r="P574" i="36"/>
  <c r="N574" i="36"/>
  <c r="AO6" i="3"/>
  <c r="AP7" i="3" l="1"/>
  <c r="AD99" i="7"/>
  <c r="AC100" i="7"/>
  <c r="AE46" i="7"/>
  <c r="AF45" i="7"/>
  <c r="AD96" i="7"/>
  <c r="AE95" i="7"/>
  <c r="AC52" i="7"/>
  <c r="AA51" i="7" s="1"/>
  <c r="AD51" i="7"/>
  <c r="AC50" i="7"/>
  <c r="AD49" i="7"/>
  <c r="H21" i="38"/>
  <c r="I20" i="38"/>
  <c r="W574" i="36"/>
  <c r="AE48" i="7"/>
  <c r="AF47" i="7"/>
  <c r="AF48" i="7" s="1"/>
  <c r="K22" i="38"/>
  <c r="L21" i="38"/>
  <c r="AA575" i="36"/>
  <c r="O575" i="36"/>
  <c r="AB53" i="7"/>
  <c r="Y55" i="7"/>
  <c r="AE94" i="7"/>
  <c r="AF93" i="7"/>
  <c r="AF94" i="7" s="1"/>
  <c r="AC98" i="7"/>
  <c r="AD97" i="7"/>
  <c r="J574" i="36"/>
  <c r="AA573" i="36"/>
  <c r="Y573" i="36"/>
  <c r="AB573" i="36" s="1"/>
  <c r="X573" i="36"/>
  <c r="U573" i="36"/>
  <c r="T573" i="36"/>
  <c r="S573" i="36"/>
  <c r="W573" i="36" s="1"/>
  <c r="R573" i="36"/>
  <c r="P573" i="36"/>
  <c r="O573" i="36"/>
  <c r="N573" i="36"/>
  <c r="M573" i="36"/>
  <c r="AA572" i="36"/>
  <c r="Y572" i="36"/>
  <c r="AB572" i="36" s="1"/>
  <c r="X572" i="36"/>
  <c r="U572" i="36"/>
  <c r="T572" i="36"/>
  <c r="S572" i="36"/>
  <c r="Z572" i="36" s="1"/>
  <c r="R572" i="36"/>
  <c r="P572" i="36"/>
  <c r="O572" i="36"/>
  <c r="L572" i="36"/>
  <c r="Y571" i="36"/>
  <c r="AB571" i="36" s="1"/>
  <c r="U571" i="36"/>
  <c r="S571" i="36"/>
  <c r="W571" i="36" s="1"/>
  <c r="R571" i="36"/>
  <c r="P571" i="36"/>
  <c r="N571" i="36"/>
  <c r="AP6" i="3"/>
  <c r="AQ7" i="3" l="1"/>
  <c r="W572" i="36"/>
  <c r="Q572" i="36"/>
  <c r="L573" i="36"/>
  <c r="Q573" i="36" s="1"/>
  <c r="Y57" i="7"/>
  <c r="AB55" i="7"/>
  <c r="AC53" i="7"/>
  <c r="AB54" i="7"/>
  <c r="AA53" i="7" s="1"/>
  <c r="AD50" i="7"/>
  <c r="AE49" i="7"/>
  <c r="AD52" i="7"/>
  <c r="AE51" i="7"/>
  <c r="AE96" i="7"/>
  <c r="AF95" i="7"/>
  <c r="AF96" i="7" s="1"/>
  <c r="Z573" i="36"/>
  <c r="I21" i="38"/>
  <c r="H22" i="38"/>
  <c r="Z571" i="36"/>
  <c r="M572" i="36"/>
  <c r="N572" i="36"/>
  <c r="AA574" i="36"/>
  <c r="O574" i="36"/>
  <c r="AD100" i="7"/>
  <c r="AE99" i="7"/>
  <c r="AD98" i="7"/>
  <c r="AE97" i="7"/>
  <c r="K23" i="38"/>
  <c r="L22" i="38"/>
  <c r="Y570" i="36"/>
  <c r="AB570" i="36" s="1"/>
  <c r="U570" i="36"/>
  <c r="S570" i="36"/>
  <c r="Z570" i="36" s="1"/>
  <c r="R570" i="36"/>
  <c r="P570" i="36"/>
  <c r="N570" i="36"/>
  <c r="AQ6" i="3"/>
  <c r="AR7" i="3" l="1"/>
  <c r="AE98" i="7"/>
  <c r="AF97" i="7"/>
  <c r="AF98" i="7" s="1"/>
  <c r="L23" i="38"/>
  <c r="K24" i="38"/>
  <c r="H23" i="38"/>
  <c r="I22" i="38"/>
  <c r="AE52" i="7"/>
  <c r="AF51" i="7"/>
  <c r="AF52" i="7" s="1"/>
  <c r="W570" i="36"/>
  <c r="AE100" i="7"/>
  <c r="AF99" i="7"/>
  <c r="AF100" i="7" s="1"/>
  <c r="AE50" i="7"/>
  <c r="AF49" i="7"/>
  <c r="AF50" i="7" s="1"/>
  <c r="AD53" i="7"/>
  <c r="AC54" i="7"/>
  <c r="AB56" i="7"/>
  <c r="AA55" i="7" s="1"/>
  <c r="AC55" i="7"/>
  <c r="AB57" i="7"/>
  <c r="AC57" i="7" s="1"/>
  <c r="Y59" i="7"/>
  <c r="Y569" i="36"/>
  <c r="AB569" i="36" s="1"/>
  <c r="X569" i="36"/>
  <c r="U569" i="36"/>
  <c r="T569" i="36"/>
  <c r="S569" i="36"/>
  <c r="Z569" i="36" s="1"/>
  <c r="R569" i="36"/>
  <c r="P569" i="36"/>
  <c r="N569" i="36"/>
  <c r="AR6" i="3"/>
  <c r="AS7" i="3" l="1"/>
  <c r="AE53" i="7"/>
  <c r="AD54" i="7"/>
  <c r="W569" i="36"/>
  <c r="AC58" i="7"/>
  <c r="AA57" i="7" s="1"/>
  <c r="AD57" i="7"/>
  <c r="H24" i="38"/>
  <c r="I23" i="38"/>
  <c r="Y61" i="7"/>
  <c r="AB59" i="7"/>
  <c r="AC56" i="7"/>
  <c r="AD55" i="7"/>
  <c r="K25" i="38"/>
  <c r="L24" i="38"/>
  <c r="J569" i="36"/>
  <c r="Y568" i="36"/>
  <c r="AB568" i="36" s="1"/>
  <c r="U568" i="36"/>
  <c r="S568" i="36"/>
  <c r="W568" i="36" s="1"/>
  <c r="R568" i="36"/>
  <c r="P568" i="36"/>
  <c r="N568" i="36"/>
  <c r="AS6" i="3"/>
  <c r="AT7" i="3" l="1"/>
  <c r="I570" i="36"/>
  <c r="AA569" i="36"/>
  <c r="O569" i="36"/>
  <c r="K26" i="38"/>
  <c r="L25" i="38"/>
  <c r="AE55" i="7"/>
  <c r="AD56" i="7"/>
  <c r="Y63" i="7"/>
  <c r="AB61" i="7"/>
  <c r="AD58" i="7"/>
  <c r="AE57" i="7"/>
  <c r="H25" i="38"/>
  <c r="I24" i="38"/>
  <c r="AB60" i="7"/>
  <c r="AA59" i="7" s="1"/>
  <c r="AC59" i="7"/>
  <c r="Z568" i="36"/>
  <c r="AE54" i="7"/>
  <c r="AF53" i="7"/>
  <c r="AF54" i="7" s="1"/>
  <c r="S567" i="36"/>
  <c r="Z567" i="36" s="1"/>
  <c r="R567" i="36"/>
  <c r="AT6" i="3"/>
  <c r="AU7" i="3" l="1"/>
  <c r="AC60" i="7"/>
  <c r="AD59" i="7"/>
  <c r="H26" i="38"/>
  <c r="I25" i="38"/>
  <c r="AE56" i="7"/>
  <c r="AF55" i="7"/>
  <c r="AF56" i="7" s="1"/>
  <c r="W567" i="36"/>
  <c r="AB63" i="7"/>
  <c r="Y65" i="7"/>
  <c r="K27" i="38"/>
  <c r="L27" i="38" s="1"/>
  <c r="L26" i="38"/>
  <c r="AE58" i="7"/>
  <c r="AF57" i="7"/>
  <c r="AF58" i="7" s="1"/>
  <c r="AB62" i="7"/>
  <c r="AA61" i="7" s="1"/>
  <c r="AC61" i="7"/>
  <c r="X570" i="36"/>
  <c r="T570" i="36"/>
  <c r="J570" i="36"/>
  <c r="O570" i="36" s="1"/>
  <c r="H567" i="36"/>
  <c r="S566" i="36"/>
  <c r="Z566" i="36" s="1"/>
  <c r="R566" i="36"/>
  <c r="AU6" i="3"/>
  <c r="AV7" i="3" l="1"/>
  <c r="Y567" i="36"/>
  <c r="AB567" i="36" s="1"/>
  <c r="U567" i="36"/>
  <c r="P567" i="36"/>
  <c r="N567" i="36"/>
  <c r="AB64" i="7"/>
  <c r="AA63" i="7" s="1"/>
  <c r="AC63" i="7"/>
  <c r="AD60" i="7"/>
  <c r="AE59" i="7"/>
  <c r="AC62" i="7"/>
  <c r="AD61" i="7"/>
  <c r="Y67" i="7"/>
  <c r="AB65" i="7"/>
  <c r="H27" i="38"/>
  <c r="I26" i="38"/>
  <c r="I571" i="36"/>
  <c r="AA570" i="36"/>
  <c r="W566" i="36"/>
  <c r="H566" i="36"/>
  <c r="X565" i="36"/>
  <c r="T565" i="36"/>
  <c r="S565" i="36"/>
  <c r="Z565" i="36" s="1"/>
  <c r="R565" i="36"/>
  <c r="AV6" i="3"/>
  <c r="AW7" i="3" l="1"/>
  <c r="AB67" i="7"/>
  <c r="Y69" i="7"/>
  <c r="AB66" i="7"/>
  <c r="AA65" i="7" s="1"/>
  <c r="AC65" i="7"/>
  <c r="X571" i="36"/>
  <c r="T571" i="36"/>
  <c r="J571" i="36"/>
  <c r="AA571" i="36" s="1"/>
  <c r="AC64" i="7"/>
  <c r="AD63" i="7"/>
  <c r="P566" i="36"/>
  <c r="Y566" i="36"/>
  <c r="AB566" i="36" s="1"/>
  <c r="U566" i="36"/>
  <c r="N566" i="36"/>
  <c r="H28" i="38"/>
  <c r="I27" i="38"/>
  <c r="AD62" i="7"/>
  <c r="AE61" i="7"/>
  <c r="AE60" i="7"/>
  <c r="AF59" i="7"/>
  <c r="AF60" i="7" s="1"/>
  <c r="W565" i="36"/>
  <c r="J565" i="36"/>
  <c r="H565" i="36"/>
  <c r="AA564" i="36"/>
  <c r="Y564" i="36"/>
  <c r="AB564" i="36" s="1"/>
  <c r="X564" i="36"/>
  <c r="U564" i="36"/>
  <c r="T564" i="36"/>
  <c r="S564" i="36"/>
  <c r="Z564" i="36" s="1"/>
  <c r="R564" i="36"/>
  <c r="P564" i="36"/>
  <c r="O564" i="36"/>
  <c r="K564" i="36"/>
  <c r="N564" i="36" s="1"/>
  <c r="AA563" i="36"/>
  <c r="Y563" i="36"/>
  <c r="AB563" i="36" s="1"/>
  <c r="X563" i="36"/>
  <c r="U563" i="36"/>
  <c r="T563" i="36"/>
  <c r="S563" i="36"/>
  <c r="Z563" i="36" s="1"/>
  <c r="R563" i="36"/>
  <c r="P563" i="36"/>
  <c r="O563" i="36"/>
  <c r="L563" i="36"/>
  <c r="K563" i="36"/>
  <c r="N563" i="36" s="1"/>
  <c r="AA562" i="36"/>
  <c r="Y562" i="36"/>
  <c r="AB562" i="36" s="1"/>
  <c r="X562" i="36"/>
  <c r="U562" i="36"/>
  <c r="T562" i="36"/>
  <c r="S562" i="36"/>
  <c r="W562" i="36" s="1"/>
  <c r="R562" i="36"/>
  <c r="P562" i="36"/>
  <c r="O562" i="36"/>
  <c r="N562" i="36"/>
  <c r="AW6" i="3"/>
  <c r="AX7" i="3" l="1"/>
  <c r="Q563" i="36"/>
  <c r="L564" i="36"/>
  <c r="Q564" i="36" s="1"/>
  <c r="AE62" i="7"/>
  <c r="AF61" i="7"/>
  <c r="AF62" i="7" s="1"/>
  <c r="M564" i="36"/>
  <c r="Z562" i="36"/>
  <c r="W563" i="36"/>
  <c r="O571" i="36"/>
  <c r="H29" i="38"/>
  <c r="I29" i="38" s="1"/>
  <c r="I28" i="38"/>
  <c r="AB68" i="7"/>
  <c r="AA67" i="7" s="1"/>
  <c r="AC67" i="7"/>
  <c r="Y71" i="7"/>
  <c r="AB69" i="7"/>
  <c r="Y565" i="36"/>
  <c r="AB565" i="36" s="1"/>
  <c r="P565" i="36"/>
  <c r="N565" i="36"/>
  <c r="U565" i="36"/>
  <c r="AD64" i="7"/>
  <c r="AE63" i="7"/>
  <c r="AF63" i="7" s="1"/>
  <c r="AF64" i="7" s="1"/>
  <c r="W564" i="36"/>
  <c r="M563" i="36"/>
  <c r="AD65" i="7"/>
  <c r="AC66" i="7"/>
  <c r="AA565" i="36"/>
  <c r="O565" i="36"/>
  <c r="I566" i="36"/>
  <c r="Y561" i="36"/>
  <c r="AB561" i="36" s="1"/>
  <c r="X561" i="36"/>
  <c r="U561" i="36"/>
  <c r="T561" i="36"/>
  <c r="S561" i="36"/>
  <c r="Z561" i="36" s="1"/>
  <c r="R561" i="36"/>
  <c r="P561" i="36"/>
  <c r="N561" i="36"/>
  <c r="AX6" i="3"/>
  <c r="AY7" i="3" l="1"/>
  <c r="Y73" i="7"/>
  <c r="AB73" i="7" s="1"/>
  <c r="AB71" i="7"/>
  <c r="AB70" i="7"/>
  <c r="AA69" i="7" s="1"/>
  <c r="AC69" i="7"/>
  <c r="AE65" i="7"/>
  <c r="AD66" i="7"/>
  <c r="W561" i="36"/>
  <c r="X566" i="36"/>
  <c r="T566" i="36"/>
  <c r="J566" i="36"/>
  <c r="AD67" i="7"/>
  <c r="AC68" i="7"/>
  <c r="J561" i="36"/>
  <c r="Y560" i="36"/>
  <c r="AB560" i="36" s="1"/>
  <c r="X560" i="36"/>
  <c r="U560" i="36"/>
  <c r="T560" i="36"/>
  <c r="S560" i="36"/>
  <c r="W560" i="36" s="1"/>
  <c r="R560" i="36"/>
  <c r="P560" i="36"/>
  <c r="N560" i="36"/>
  <c r="AY6" i="3"/>
  <c r="AZ7" i="3" l="1"/>
  <c r="Z560" i="36"/>
  <c r="AA566" i="36"/>
  <c r="I567" i="36"/>
  <c r="O566" i="36"/>
  <c r="AE66" i="7"/>
  <c r="AF65" i="7"/>
  <c r="AF66" i="7" s="1"/>
  <c r="AC70" i="7"/>
  <c r="AD69" i="7"/>
  <c r="AB72" i="7"/>
  <c r="AA71" i="7" s="1"/>
  <c r="AC71" i="7"/>
  <c r="O561" i="36"/>
  <c r="AA561" i="36"/>
  <c r="AE67" i="7"/>
  <c r="AD68" i="7"/>
  <c r="AB74" i="7"/>
  <c r="AA73" i="7" s="1"/>
  <c r="AC73" i="7"/>
  <c r="J560" i="36"/>
  <c r="Y559" i="36"/>
  <c r="AB559" i="36" s="1"/>
  <c r="X559" i="36"/>
  <c r="U559" i="36"/>
  <c r="T559" i="36"/>
  <c r="S559" i="36"/>
  <c r="W559" i="36" s="1"/>
  <c r="R559" i="36"/>
  <c r="P559" i="36"/>
  <c r="N559" i="36"/>
  <c r="AZ6" i="3"/>
  <c r="BA7" i="3" l="1"/>
  <c r="Z559" i="36"/>
  <c r="AF67" i="7"/>
  <c r="AE68" i="7"/>
  <c r="AC74" i="7"/>
  <c r="AD73" i="7"/>
  <c r="AC72" i="7"/>
  <c r="AD71" i="7"/>
  <c r="AD70" i="7"/>
  <c r="AE69" i="7"/>
  <c r="O560" i="36"/>
  <c r="AA560" i="36"/>
  <c r="X567" i="36"/>
  <c r="T567" i="36"/>
  <c r="J567" i="36"/>
  <c r="J559" i="36"/>
  <c r="Y558" i="36"/>
  <c r="AB558" i="36" s="1"/>
  <c r="X558" i="36"/>
  <c r="U558" i="36"/>
  <c r="T558" i="36"/>
  <c r="S558" i="36"/>
  <c r="Z558" i="36" s="1"/>
  <c r="R558" i="36"/>
  <c r="P558" i="36"/>
  <c r="N558" i="36"/>
  <c r="BA6" i="3"/>
  <c r="W558" i="36" l="1"/>
  <c r="O559" i="36"/>
  <c r="AA559" i="36"/>
  <c r="I568" i="36"/>
  <c r="AA567" i="36"/>
  <c r="AE70" i="7"/>
  <c r="AF69" i="7"/>
  <c r="AF70" i="7" s="1"/>
  <c r="AE71" i="7"/>
  <c r="AD72" i="7"/>
  <c r="AD74" i="7"/>
  <c r="AE73" i="7"/>
  <c r="O567" i="36"/>
  <c r="J558" i="36"/>
  <c r="Y557" i="36"/>
  <c r="AB557" i="36" s="1"/>
  <c r="X557" i="36"/>
  <c r="U557" i="36"/>
  <c r="T557" i="36"/>
  <c r="S557" i="36"/>
  <c r="W557" i="36" s="1"/>
  <c r="R557" i="36"/>
  <c r="P557" i="36"/>
  <c r="N557" i="36"/>
  <c r="Z557" i="36" l="1"/>
  <c r="O558" i="36"/>
  <c r="AA558" i="36"/>
  <c r="AE74" i="7"/>
  <c r="AF73" i="7"/>
  <c r="AF74" i="7" s="1"/>
  <c r="AE72" i="7"/>
  <c r="AF71" i="7"/>
  <c r="AF72" i="7" s="1"/>
  <c r="X568" i="36"/>
  <c r="T568" i="36"/>
  <c r="J568" i="36"/>
  <c r="AA568" i="36" s="1"/>
  <c r="J557" i="36"/>
  <c r="AA556" i="36"/>
  <c r="Y556" i="36"/>
  <c r="AB556" i="36" s="1"/>
  <c r="X556" i="36"/>
  <c r="U556" i="36"/>
  <c r="T556" i="36"/>
  <c r="S556" i="36"/>
  <c r="W556" i="36" s="1"/>
  <c r="R556" i="36"/>
  <c r="P556" i="36"/>
  <c r="O556" i="36"/>
  <c r="N556" i="36"/>
  <c r="L556" i="36"/>
  <c r="Q556" i="36" s="1"/>
  <c r="Y555" i="36"/>
  <c r="AB555" i="36" s="1"/>
  <c r="U555" i="36"/>
  <c r="S555" i="36"/>
  <c r="W555" i="36" s="1"/>
  <c r="R555" i="36"/>
  <c r="P555" i="36"/>
  <c r="N555" i="36"/>
  <c r="Z556" i="36" l="1"/>
  <c r="Z555" i="36"/>
  <c r="M556" i="36"/>
  <c r="O568" i="36"/>
  <c r="O557" i="36"/>
  <c r="AA557" i="36"/>
  <c r="Y554" i="36"/>
  <c r="AB554" i="36" s="1"/>
  <c r="U554" i="36"/>
  <c r="S554" i="36"/>
  <c r="W554" i="36" s="1"/>
  <c r="R554" i="36"/>
  <c r="P554" i="36"/>
  <c r="N554" i="36"/>
  <c r="Z554" i="36" l="1"/>
  <c r="Y553" i="36"/>
  <c r="AB553" i="36" s="1"/>
  <c r="U553" i="36"/>
  <c r="S553" i="36"/>
  <c r="Z553" i="36" s="1"/>
  <c r="R553" i="36"/>
  <c r="P553" i="36"/>
  <c r="N553" i="36"/>
  <c r="W553" i="36" l="1"/>
  <c r="Y552" i="36"/>
  <c r="AB552" i="36" s="1"/>
  <c r="X552" i="36"/>
  <c r="U552" i="36"/>
  <c r="T552" i="36"/>
  <c r="S552" i="36"/>
  <c r="Z552" i="36" s="1"/>
  <c r="R552" i="36"/>
  <c r="P552" i="36"/>
  <c r="N552" i="36"/>
  <c r="W552" i="36" l="1"/>
  <c r="J552" i="36"/>
  <c r="Y551" i="36"/>
  <c r="AB551" i="36" s="1"/>
  <c r="U551" i="36"/>
  <c r="S551" i="36"/>
  <c r="W551" i="36" s="1"/>
  <c r="R551" i="36"/>
  <c r="P551" i="36"/>
  <c r="N551" i="36"/>
  <c r="Z551" i="36" l="1"/>
  <c r="AA552" i="36"/>
  <c r="O552" i="36"/>
  <c r="I553" i="36"/>
  <c r="S550" i="36"/>
  <c r="W550" i="36" s="1"/>
  <c r="R550" i="36"/>
  <c r="Z550" i="36" l="1"/>
  <c r="T553" i="36"/>
  <c r="X553" i="36"/>
  <c r="J553" i="36"/>
  <c r="O553" i="36" s="1"/>
  <c r="H550" i="36"/>
  <c r="S549" i="36"/>
  <c r="Z549" i="36" s="1"/>
  <c r="R549" i="36"/>
  <c r="W549" i="36" l="1"/>
  <c r="N550" i="36"/>
  <c r="Y550" i="36"/>
  <c r="AB550" i="36" s="1"/>
  <c r="U550" i="36"/>
  <c r="P550" i="36"/>
  <c r="I554" i="36"/>
  <c r="AA553" i="36"/>
  <c r="H549" i="36"/>
  <c r="S548" i="36"/>
  <c r="W548" i="36" s="1"/>
  <c r="R548" i="36"/>
  <c r="Z548" i="36" l="1"/>
  <c r="P549" i="36"/>
  <c r="Y549" i="36"/>
  <c r="AB549" i="36" s="1"/>
  <c r="N549" i="36"/>
  <c r="U549" i="36"/>
  <c r="T554" i="36"/>
  <c r="X554" i="36"/>
  <c r="J554" i="36"/>
  <c r="H548" i="36"/>
  <c r="Y547" i="36"/>
  <c r="AB547" i="36" s="1"/>
  <c r="X547" i="36"/>
  <c r="U547" i="36"/>
  <c r="T547" i="36"/>
  <c r="S547" i="36"/>
  <c r="Z547" i="36" s="1"/>
  <c r="R547" i="36"/>
  <c r="P547" i="36"/>
  <c r="N547" i="36"/>
  <c r="W547" i="36" l="1"/>
  <c r="I555" i="36"/>
  <c r="AA554" i="36"/>
  <c r="P548" i="36"/>
  <c r="N548" i="36"/>
  <c r="Y548" i="36"/>
  <c r="AB548" i="36" s="1"/>
  <c r="U548" i="36"/>
  <c r="O554" i="36"/>
  <c r="J547" i="36"/>
  <c r="AA546" i="36"/>
  <c r="Y546" i="36"/>
  <c r="AB546" i="36" s="1"/>
  <c r="X546" i="36"/>
  <c r="U546" i="36"/>
  <c r="T546" i="36"/>
  <c r="S546" i="36"/>
  <c r="Z546" i="36" s="1"/>
  <c r="R546" i="36"/>
  <c r="P546" i="36"/>
  <c r="O546" i="36"/>
  <c r="L546" i="36"/>
  <c r="Q546" i="36" s="1"/>
  <c r="K546" i="36"/>
  <c r="Y545" i="36"/>
  <c r="AB545" i="36" s="1"/>
  <c r="X545" i="36"/>
  <c r="U545" i="36"/>
  <c r="T545" i="36"/>
  <c r="S545" i="36"/>
  <c r="Z545" i="36" s="1"/>
  <c r="R545" i="36"/>
  <c r="P545" i="36"/>
  <c r="N545" i="36"/>
  <c r="M546" i="36" l="1"/>
  <c r="N546" i="36"/>
  <c r="W546" i="36"/>
  <c r="I548" i="36"/>
  <c r="AA547" i="36"/>
  <c r="O547" i="36"/>
  <c r="W545" i="36"/>
  <c r="X555" i="36"/>
  <c r="T555" i="36"/>
  <c r="J555" i="36"/>
  <c r="AA555" i="36" s="1"/>
  <c r="J545" i="36"/>
  <c r="Y544" i="36"/>
  <c r="AB544" i="36" s="1"/>
  <c r="U544" i="36"/>
  <c r="S544" i="36"/>
  <c r="W544" i="36" s="1"/>
  <c r="R544" i="36"/>
  <c r="P544" i="36"/>
  <c r="N544" i="36"/>
  <c r="Z544" i="36" l="1"/>
  <c r="O555" i="36"/>
  <c r="AA545" i="36"/>
  <c r="O545" i="36"/>
  <c r="X548" i="36"/>
  <c r="T548" i="36"/>
  <c r="J548" i="36"/>
  <c r="Y543" i="36"/>
  <c r="AB543" i="36" s="1"/>
  <c r="U543" i="36"/>
  <c r="S543" i="36"/>
  <c r="Z543" i="36" s="1"/>
  <c r="R543" i="36"/>
  <c r="P543" i="36"/>
  <c r="N543" i="36"/>
  <c r="I549" i="36" l="1"/>
  <c r="AA548" i="36"/>
  <c r="W543" i="36"/>
  <c r="O548" i="36"/>
  <c r="Y542" i="36"/>
  <c r="AB542" i="36" s="1"/>
  <c r="X542" i="36"/>
  <c r="U542" i="36"/>
  <c r="T542" i="36"/>
  <c r="S542" i="36"/>
  <c r="Z542" i="36" s="1"/>
  <c r="R542" i="36"/>
  <c r="P542" i="36"/>
  <c r="N542" i="36"/>
  <c r="W542" i="36" l="1"/>
  <c r="X549" i="36"/>
  <c r="T549" i="36"/>
  <c r="J549" i="36"/>
  <c r="O549" i="36" s="1"/>
  <c r="J542" i="36"/>
  <c r="Y541" i="36"/>
  <c r="AB541" i="36" s="1"/>
  <c r="X541" i="36"/>
  <c r="U541" i="36"/>
  <c r="T541" i="36"/>
  <c r="S541" i="36"/>
  <c r="Z541" i="36" s="1"/>
  <c r="R541" i="36"/>
  <c r="P541" i="36"/>
  <c r="N541" i="36"/>
  <c r="I543" i="36" l="1"/>
  <c r="AA542" i="36"/>
  <c r="O542" i="36"/>
  <c r="W541" i="36"/>
  <c r="I550" i="36"/>
  <c r="AA549" i="36"/>
  <c r="J541" i="36"/>
  <c r="Y540" i="36"/>
  <c r="AB540" i="36" s="1"/>
  <c r="X540" i="36"/>
  <c r="U540" i="36"/>
  <c r="T540" i="36"/>
  <c r="S540" i="36"/>
  <c r="Z540" i="36" s="1"/>
  <c r="R540" i="36"/>
  <c r="P540" i="36"/>
  <c r="N540" i="36"/>
  <c r="X550" i="36" l="1"/>
  <c r="T550" i="36"/>
  <c r="J550" i="36"/>
  <c r="W540" i="36"/>
  <c r="O541" i="36"/>
  <c r="AA541" i="36"/>
  <c r="X543" i="36"/>
  <c r="T543" i="36"/>
  <c r="J543" i="36"/>
  <c r="J540" i="36"/>
  <c r="Y539" i="36"/>
  <c r="AB539" i="36" s="1"/>
  <c r="X539" i="36"/>
  <c r="U539" i="36"/>
  <c r="T539" i="36"/>
  <c r="S539" i="36"/>
  <c r="Z539" i="36" s="1"/>
  <c r="R539" i="36"/>
  <c r="P539" i="36"/>
  <c r="N539" i="36"/>
  <c r="W539" i="36" l="1"/>
  <c r="O540" i="36"/>
  <c r="AA540" i="36"/>
  <c r="I544" i="36"/>
  <c r="AA543" i="36"/>
  <c r="O543" i="36"/>
  <c r="I551" i="36"/>
  <c r="AA550" i="36"/>
  <c r="O550" i="36"/>
  <c r="J539" i="36"/>
  <c r="Y538" i="36"/>
  <c r="AB538" i="36" s="1"/>
  <c r="U538" i="36"/>
  <c r="S538" i="36"/>
  <c r="Z538" i="36" s="1"/>
  <c r="R538" i="36"/>
  <c r="P538" i="36"/>
  <c r="N538" i="36"/>
  <c r="T551" i="36" l="1"/>
  <c r="X551" i="36"/>
  <c r="J551" i="36"/>
  <c r="AA551" i="36" s="1"/>
  <c r="T544" i="36"/>
  <c r="X544" i="36"/>
  <c r="J544" i="36"/>
  <c r="AA544" i="36" s="1"/>
  <c r="W538" i="36"/>
  <c r="O539" i="36"/>
  <c r="AA539" i="36"/>
  <c r="Y537" i="36"/>
  <c r="AB537" i="36" s="1"/>
  <c r="U537" i="36"/>
  <c r="S537" i="36"/>
  <c r="Z537" i="36" s="1"/>
  <c r="R537" i="36"/>
  <c r="P537" i="36"/>
  <c r="N537" i="36"/>
  <c r="W537" i="36" l="1"/>
  <c r="O544" i="36"/>
  <c r="O551" i="36"/>
  <c r="Y536" i="36"/>
  <c r="AB536" i="36" s="1"/>
  <c r="U536" i="36"/>
  <c r="S536" i="36"/>
  <c r="Z536" i="36" s="1"/>
  <c r="R536" i="36"/>
  <c r="P536" i="36"/>
  <c r="N536" i="36"/>
  <c r="W536" i="36" l="1"/>
  <c r="Y535" i="36"/>
  <c r="AB535" i="36" s="1"/>
  <c r="X535" i="36"/>
  <c r="U535" i="36"/>
  <c r="T535" i="36"/>
  <c r="S535" i="36"/>
  <c r="Z535" i="36" s="1"/>
  <c r="R535" i="36"/>
  <c r="P535" i="36"/>
  <c r="N535" i="36"/>
  <c r="W535" i="36" l="1"/>
  <c r="J535" i="36"/>
  <c r="Y534" i="36"/>
  <c r="AB534" i="36" s="1"/>
  <c r="X534" i="36"/>
  <c r="U534" i="36"/>
  <c r="T534" i="36"/>
  <c r="S534" i="36"/>
  <c r="Z534" i="36" s="1"/>
  <c r="R534" i="36"/>
  <c r="P534" i="36"/>
  <c r="N534" i="36"/>
  <c r="W534" i="36" l="1"/>
  <c r="I536" i="36"/>
  <c r="AA535" i="36"/>
  <c r="O535" i="36"/>
  <c r="J534" i="36"/>
  <c r="Y533" i="36"/>
  <c r="AB533" i="36" s="1"/>
  <c r="X533" i="36"/>
  <c r="U533" i="36"/>
  <c r="T533" i="36"/>
  <c r="S533" i="36"/>
  <c r="Z533" i="36" s="1"/>
  <c r="R533" i="36"/>
  <c r="P533" i="36"/>
  <c r="N533" i="36"/>
  <c r="W533" i="36" l="1"/>
  <c r="AA534" i="36"/>
  <c r="O534" i="36"/>
  <c r="X536" i="36"/>
  <c r="T536" i="36"/>
  <c r="J536" i="36"/>
  <c r="J533" i="36"/>
  <c r="Y532" i="36"/>
  <c r="AB532" i="36" s="1"/>
  <c r="X532" i="36"/>
  <c r="U532" i="36"/>
  <c r="T532" i="36"/>
  <c r="S532" i="36"/>
  <c r="Z532" i="36" s="1"/>
  <c r="R532" i="36"/>
  <c r="P532" i="36"/>
  <c r="N532" i="36"/>
  <c r="W532" i="36" l="1"/>
  <c r="AA533" i="36"/>
  <c r="O533" i="36"/>
  <c r="I537" i="36"/>
  <c r="AA536" i="36"/>
  <c r="O536" i="36"/>
  <c r="J532" i="36"/>
  <c r="S531" i="36"/>
  <c r="Z531" i="36" s="1"/>
  <c r="R531" i="36"/>
  <c r="W531" i="36" l="1"/>
  <c r="O532" i="36"/>
  <c r="AA532" i="36"/>
  <c r="T537" i="36"/>
  <c r="X537" i="36"/>
  <c r="J537" i="36"/>
  <c r="H531" i="36"/>
  <c r="S530" i="36"/>
  <c r="W530" i="36" s="1"/>
  <c r="R530" i="36"/>
  <c r="U531" i="36" l="1"/>
  <c r="P531" i="36"/>
  <c r="N531" i="36"/>
  <c r="Y531" i="36"/>
  <c r="AB531" i="36" s="1"/>
  <c r="Z530" i="36"/>
  <c r="I538" i="36"/>
  <c r="AA537" i="36"/>
  <c r="O537" i="36"/>
  <c r="H530" i="36"/>
  <c r="X529" i="36"/>
  <c r="T529" i="36"/>
  <c r="S529" i="36"/>
  <c r="W529" i="36" s="1"/>
  <c r="R529" i="36"/>
  <c r="Z529" i="36" l="1"/>
  <c r="N530" i="36"/>
  <c r="Y530" i="36"/>
  <c r="AB530" i="36" s="1"/>
  <c r="U530" i="36"/>
  <c r="P530" i="36"/>
  <c r="X538" i="36"/>
  <c r="T538" i="36"/>
  <c r="J538" i="36"/>
  <c r="AA538" i="36" s="1"/>
  <c r="J529" i="36"/>
  <c r="H529" i="36"/>
  <c r="AA528" i="36"/>
  <c r="Y528" i="36"/>
  <c r="AB528" i="36" s="1"/>
  <c r="X528" i="36"/>
  <c r="U528" i="36"/>
  <c r="T528" i="36"/>
  <c r="S528" i="36"/>
  <c r="Z528" i="36" s="1"/>
  <c r="R528" i="36"/>
  <c r="Q528" i="36"/>
  <c r="P528" i="36"/>
  <c r="O528" i="36"/>
  <c r="K528" i="36"/>
  <c r="N528" i="36" s="1"/>
  <c r="AA527" i="36"/>
  <c r="Y527" i="36"/>
  <c r="AB527" i="36" s="1"/>
  <c r="X527" i="36"/>
  <c r="U527" i="36"/>
  <c r="T527" i="36"/>
  <c r="S527" i="36"/>
  <c r="W527" i="36" s="1"/>
  <c r="R527" i="36"/>
  <c r="P527" i="36"/>
  <c r="O527" i="36"/>
  <c r="L527" i="36"/>
  <c r="Q527" i="36" s="1"/>
  <c r="K527" i="36"/>
  <c r="N527" i="36" s="1"/>
  <c r="AA526" i="36"/>
  <c r="Y526" i="36"/>
  <c r="AB526" i="36" s="1"/>
  <c r="X526" i="36"/>
  <c r="U526" i="36"/>
  <c r="T526" i="36"/>
  <c r="S526" i="36"/>
  <c r="W526" i="36" s="1"/>
  <c r="R526" i="36"/>
  <c r="P526" i="36"/>
  <c r="O526" i="36"/>
  <c r="L526" i="36"/>
  <c r="Q526" i="36" s="1"/>
  <c r="AA525" i="36"/>
  <c r="Y525" i="36"/>
  <c r="AB525" i="36" s="1"/>
  <c r="X525" i="36"/>
  <c r="U525" i="36"/>
  <c r="T525" i="36"/>
  <c r="S525" i="36"/>
  <c r="Z525" i="36" s="1"/>
  <c r="R525" i="36"/>
  <c r="P525" i="36"/>
  <c r="O525" i="36"/>
  <c r="N525" i="36"/>
  <c r="L525" i="36"/>
  <c r="M525" i="36" s="1"/>
  <c r="AA524" i="36"/>
  <c r="Z524" i="36"/>
  <c r="Y524" i="36"/>
  <c r="AB524" i="36" s="1"/>
  <c r="X524" i="36"/>
  <c r="U524" i="36"/>
  <c r="T524" i="36"/>
  <c r="S524" i="36"/>
  <c r="W524" i="36" s="1"/>
  <c r="R524" i="36"/>
  <c r="P524" i="36"/>
  <c r="O524" i="36"/>
  <c r="N524" i="36"/>
  <c r="K526" i="36" l="1"/>
  <c r="N526" i="36" s="1"/>
  <c r="Z526" i="36"/>
  <c r="W528" i="36"/>
  <c r="Y529" i="36"/>
  <c r="AB529" i="36" s="1"/>
  <c r="U529" i="36"/>
  <c r="P529" i="36"/>
  <c r="N529" i="36"/>
  <c r="M527" i="36"/>
  <c r="W525" i="36"/>
  <c r="M528" i="36"/>
  <c r="I530" i="36"/>
  <c r="AA529" i="36"/>
  <c r="O529" i="36"/>
  <c r="Z527" i="36"/>
  <c r="Q525" i="36"/>
  <c r="O538" i="36"/>
  <c r="Y523" i="36"/>
  <c r="AB523" i="36" s="1"/>
  <c r="X523" i="36"/>
  <c r="U523" i="36"/>
  <c r="T523" i="36"/>
  <c r="S523" i="36"/>
  <c r="W523" i="36" s="1"/>
  <c r="R523" i="36"/>
  <c r="P523" i="36"/>
  <c r="N523" i="36"/>
  <c r="M526" i="36" l="1"/>
  <c r="Z523" i="36"/>
  <c r="T530" i="36"/>
  <c r="X530" i="36"/>
  <c r="J530" i="36"/>
  <c r="J523" i="36"/>
  <c r="AA522" i="36"/>
  <c r="Y522" i="36"/>
  <c r="AB522" i="36" s="1"/>
  <c r="X522" i="36"/>
  <c r="U522" i="36"/>
  <c r="T522" i="36"/>
  <c r="S522" i="36"/>
  <c r="Z522" i="36" s="1"/>
  <c r="R522" i="36"/>
  <c r="P522" i="36"/>
  <c r="O522" i="36"/>
  <c r="N522" i="36"/>
  <c r="L522" i="36"/>
  <c r="M522" i="36" s="1"/>
  <c r="AA521" i="36"/>
  <c r="X521" i="36"/>
  <c r="T521" i="36"/>
  <c r="S521" i="36"/>
  <c r="W521" i="36" s="1"/>
  <c r="R521" i="36"/>
  <c r="O521" i="36"/>
  <c r="L521" i="36"/>
  <c r="H521" i="36"/>
  <c r="U521" i="36" s="1"/>
  <c r="AA520" i="36"/>
  <c r="X520" i="36"/>
  <c r="T520" i="36"/>
  <c r="S520" i="36"/>
  <c r="W520" i="36" s="1"/>
  <c r="R520" i="36"/>
  <c r="L520" i="36"/>
  <c r="AA519" i="36"/>
  <c r="X519" i="36"/>
  <c r="T519" i="36"/>
  <c r="S519" i="36"/>
  <c r="Z519" i="36" s="1"/>
  <c r="R519" i="36"/>
  <c r="L519" i="36"/>
  <c r="H519" i="36"/>
  <c r="Y519" i="36" s="1"/>
  <c r="AB519" i="36" s="1"/>
  <c r="AA518" i="36"/>
  <c r="Y518" i="36"/>
  <c r="AB518" i="36" s="1"/>
  <c r="X518" i="36"/>
  <c r="U518" i="36"/>
  <c r="T518" i="36"/>
  <c r="S518" i="36"/>
  <c r="Z518" i="36" s="1"/>
  <c r="R518" i="36"/>
  <c r="P518" i="36"/>
  <c r="O518" i="36"/>
  <c r="N518" i="36"/>
  <c r="Z521" i="36" l="1"/>
  <c r="Y521" i="36"/>
  <c r="AB521" i="36" s="1"/>
  <c r="Q522" i="36"/>
  <c r="W518" i="36"/>
  <c r="Q519" i="36"/>
  <c r="M521" i="36"/>
  <c r="P519" i="36"/>
  <c r="Z520" i="36"/>
  <c r="M519" i="36"/>
  <c r="N519" i="36"/>
  <c r="W522" i="36"/>
  <c r="U519" i="36"/>
  <c r="P521" i="36"/>
  <c r="O523" i="36"/>
  <c r="AA523" i="36"/>
  <c r="W519" i="36"/>
  <c r="Q521" i="36"/>
  <c r="I531" i="36"/>
  <c r="AA530" i="36"/>
  <c r="O530" i="36"/>
  <c r="N521" i="36"/>
  <c r="AA517" i="36"/>
  <c r="X517" i="36"/>
  <c r="T517" i="36"/>
  <c r="O517" i="36" s="1"/>
  <c r="S517" i="36"/>
  <c r="Z517" i="36" s="1"/>
  <c r="R517" i="36"/>
  <c r="W517" i="36" l="1"/>
  <c r="X531" i="36"/>
  <c r="T531" i="36"/>
  <c r="J531" i="36"/>
  <c r="AA531" i="36" s="1"/>
  <c r="H517" i="36"/>
  <c r="AA516" i="36"/>
  <c r="Y516" i="36"/>
  <c r="AB516" i="36" s="1"/>
  <c r="X516" i="36"/>
  <c r="U516" i="36"/>
  <c r="T516" i="36"/>
  <c r="S516" i="36"/>
  <c r="Z516" i="36" s="1"/>
  <c r="R516" i="36"/>
  <c r="P516" i="36"/>
  <c r="O516" i="36"/>
  <c r="L516" i="36"/>
  <c r="Q516" i="36" s="1"/>
  <c r="K516" i="36"/>
  <c r="N516" i="36" s="1"/>
  <c r="AA515" i="36"/>
  <c r="X515" i="36"/>
  <c r="T515" i="36"/>
  <c r="S515" i="36"/>
  <c r="W515" i="36" s="1"/>
  <c r="R515" i="36"/>
  <c r="O515" i="36"/>
  <c r="L515" i="36"/>
  <c r="H515" i="36"/>
  <c r="U515" i="36" s="1"/>
  <c r="AA514" i="36"/>
  <c r="X514" i="36"/>
  <c r="T514" i="36"/>
  <c r="S514" i="36"/>
  <c r="W514" i="36" s="1"/>
  <c r="R514" i="36"/>
  <c r="L514" i="36"/>
  <c r="AA513" i="36"/>
  <c r="X513" i="36"/>
  <c r="T513" i="36"/>
  <c r="S513" i="36"/>
  <c r="Z513" i="36" s="1"/>
  <c r="R513" i="36"/>
  <c r="L513" i="36"/>
  <c r="H513" i="36"/>
  <c r="Y513" i="36" s="1"/>
  <c r="AB513" i="36" s="1"/>
  <c r="AA512" i="36"/>
  <c r="Y512" i="36"/>
  <c r="AB512" i="36" s="1"/>
  <c r="X512" i="36"/>
  <c r="U512" i="36"/>
  <c r="T512" i="36"/>
  <c r="O512" i="36" s="1"/>
  <c r="S512" i="36"/>
  <c r="W512" i="36" s="1"/>
  <c r="R512" i="36"/>
  <c r="P512" i="36"/>
  <c r="N512" i="36"/>
  <c r="Z515" i="36" l="1"/>
  <c r="Y515" i="36"/>
  <c r="AB515" i="36" s="1"/>
  <c r="O531" i="36"/>
  <c r="Z512" i="36"/>
  <c r="M516" i="36"/>
  <c r="Z514" i="36"/>
  <c r="W516" i="36"/>
  <c r="U513" i="36"/>
  <c r="P515" i="36"/>
  <c r="W513" i="36"/>
  <c r="Q515" i="36"/>
  <c r="H520" i="36"/>
  <c r="P517" i="36"/>
  <c r="N517" i="36"/>
  <c r="Y517" i="36"/>
  <c r="AB517" i="36" s="1"/>
  <c r="U517" i="36"/>
  <c r="M513" i="36"/>
  <c r="Q513" i="36"/>
  <c r="N515" i="36"/>
  <c r="N513" i="36"/>
  <c r="P513" i="36"/>
  <c r="M515" i="36"/>
  <c r="AA511" i="36"/>
  <c r="X511" i="36"/>
  <c r="T511" i="36"/>
  <c r="O511" i="36" s="1"/>
  <c r="S511" i="36"/>
  <c r="Z511" i="36" s="1"/>
  <c r="R511" i="36"/>
  <c r="W511" i="36" l="1"/>
  <c r="Y520" i="36"/>
  <c r="AB520" i="36" s="1"/>
  <c r="Q520" i="36"/>
  <c r="U520" i="36"/>
  <c r="N520" i="36"/>
  <c r="M520" i="36"/>
  <c r="P520" i="36"/>
  <c r="H511" i="36"/>
  <c r="AA510" i="36"/>
  <c r="Y510" i="36"/>
  <c r="AB510" i="36" s="1"/>
  <c r="X510" i="36"/>
  <c r="U510" i="36"/>
  <c r="T510" i="36"/>
  <c r="S510" i="36"/>
  <c r="Z510" i="36" s="1"/>
  <c r="R510" i="36"/>
  <c r="Q510" i="36"/>
  <c r="P510" i="36"/>
  <c r="O510" i="36"/>
  <c r="K510" i="36"/>
  <c r="N510" i="36" s="1"/>
  <c r="Y509" i="36"/>
  <c r="AB509" i="36" s="1"/>
  <c r="X509" i="36"/>
  <c r="U509" i="36"/>
  <c r="T509" i="36"/>
  <c r="S509" i="36"/>
  <c r="W509" i="36" s="1"/>
  <c r="R509" i="36"/>
  <c r="P509" i="36"/>
  <c r="N509" i="36"/>
  <c r="Z509" i="36" l="1"/>
  <c r="W510" i="36"/>
  <c r="M510" i="36"/>
  <c r="H514" i="36"/>
  <c r="N511" i="36"/>
  <c r="P511" i="36"/>
  <c r="Y511" i="36"/>
  <c r="AB511" i="36" s="1"/>
  <c r="U511" i="36"/>
  <c r="J509" i="36"/>
  <c r="S508" i="36"/>
  <c r="W508" i="36" s="1"/>
  <c r="R508" i="36"/>
  <c r="Z508" i="36" l="1"/>
  <c r="O509" i="36"/>
  <c r="AA509" i="36"/>
  <c r="U514" i="36"/>
  <c r="Q514" i="36"/>
  <c r="N514" i="36"/>
  <c r="Y514" i="36"/>
  <c r="AB514" i="36" s="1"/>
  <c r="M514" i="36"/>
  <c r="P514" i="36"/>
  <c r="H508" i="36"/>
  <c r="S507" i="36"/>
  <c r="Z507" i="36" s="1"/>
  <c r="R507" i="36"/>
  <c r="W507" i="36" l="1"/>
  <c r="Y508" i="36"/>
  <c r="AB508" i="36" s="1"/>
  <c r="P508" i="36"/>
  <c r="U508" i="36"/>
  <c r="N508" i="36"/>
  <c r="H507" i="36"/>
  <c r="X506" i="36"/>
  <c r="T506" i="36"/>
  <c r="S506" i="36"/>
  <c r="W506" i="36" s="1"/>
  <c r="R506" i="36"/>
  <c r="Z506" i="36" l="1"/>
  <c r="Y507" i="36"/>
  <c r="AB507" i="36" s="1"/>
  <c r="U507" i="36"/>
  <c r="P507" i="36"/>
  <c r="N507" i="36"/>
  <c r="J506" i="36"/>
  <c r="S505" i="36"/>
  <c r="Z505" i="36" s="1"/>
  <c r="R505" i="36"/>
  <c r="W505" i="36" l="1"/>
  <c r="I507" i="36"/>
  <c r="AA506" i="36"/>
  <c r="O506" i="36"/>
  <c r="S504" i="36"/>
  <c r="Z504" i="36" s="1"/>
  <c r="R504" i="36"/>
  <c r="W504" i="36" l="1"/>
  <c r="X507" i="36"/>
  <c r="T507" i="36"/>
  <c r="J507" i="36"/>
  <c r="X503" i="36"/>
  <c r="T503" i="36"/>
  <c r="S503" i="36"/>
  <c r="Z503" i="36" s="1"/>
  <c r="R503" i="36"/>
  <c r="W503" i="36" l="1"/>
  <c r="I508" i="36"/>
  <c r="AA507" i="36"/>
  <c r="O507" i="36"/>
  <c r="J503" i="36"/>
  <c r="H503" i="36"/>
  <c r="AA502" i="36"/>
  <c r="X502" i="36"/>
  <c r="T502" i="36"/>
  <c r="S502" i="36"/>
  <c r="Z502" i="36" s="1"/>
  <c r="R502" i="36"/>
  <c r="O502" i="36"/>
  <c r="H502" i="36"/>
  <c r="Y502" i="36" s="1"/>
  <c r="AB502" i="36" s="1"/>
  <c r="Y501" i="36"/>
  <c r="AB501" i="36" s="1"/>
  <c r="X501" i="36"/>
  <c r="U501" i="36"/>
  <c r="T501" i="36"/>
  <c r="S501" i="36"/>
  <c r="W501" i="36" s="1"/>
  <c r="R501" i="36"/>
  <c r="P501" i="36"/>
  <c r="N501" i="36"/>
  <c r="Z501" i="36" l="1"/>
  <c r="P502" i="36"/>
  <c r="I504" i="36"/>
  <c r="AA503" i="36"/>
  <c r="O503" i="36"/>
  <c r="W502" i="36"/>
  <c r="I128" i="42"/>
  <c r="G16" i="43" s="1"/>
  <c r="H505" i="36"/>
  <c r="H504" i="36"/>
  <c r="Q502" i="36"/>
  <c r="U502" i="36"/>
  <c r="H506" i="36"/>
  <c r="U503" i="36"/>
  <c r="Y503" i="36"/>
  <c r="AB503" i="36" s="1"/>
  <c r="N503" i="36"/>
  <c r="P503" i="36"/>
  <c r="X508" i="36"/>
  <c r="T508" i="36"/>
  <c r="J508" i="36"/>
  <c r="AA508" i="36" s="1"/>
  <c r="J501" i="36"/>
  <c r="Y500" i="36"/>
  <c r="AB500" i="36" s="1"/>
  <c r="X500" i="36"/>
  <c r="U500" i="36"/>
  <c r="T500" i="36"/>
  <c r="S500" i="36"/>
  <c r="Z500" i="36" s="1"/>
  <c r="R500" i="36"/>
  <c r="P500" i="36"/>
  <c r="N500" i="36"/>
  <c r="W500" i="36" l="1"/>
  <c r="O508" i="36"/>
  <c r="Y504" i="36"/>
  <c r="AB504" i="36" s="1"/>
  <c r="P504" i="36"/>
  <c r="U504" i="36"/>
  <c r="N504" i="36"/>
  <c r="I142" i="42"/>
  <c r="R16" i="43" s="1"/>
  <c r="I141" i="42"/>
  <c r="Q16" i="43" s="1"/>
  <c r="I140" i="42"/>
  <c r="P16" i="43" s="1"/>
  <c r="O16" i="43"/>
  <c r="I138" i="42"/>
  <c r="N16" i="43" s="1"/>
  <c r="M16" i="43"/>
  <c r="P129" i="42"/>
  <c r="O501" i="36"/>
  <c r="AA501" i="36"/>
  <c r="Y506" i="36"/>
  <c r="AB506" i="36" s="1"/>
  <c r="U506" i="36"/>
  <c r="P506" i="36"/>
  <c r="N506" i="36"/>
  <c r="Y505" i="36"/>
  <c r="AB505" i="36" s="1"/>
  <c r="U505" i="36"/>
  <c r="N505" i="36"/>
  <c r="P505" i="36"/>
  <c r="T504" i="36"/>
  <c r="X504" i="36"/>
  <c r="J504" i="36"/>
  <c r="O504" i="36" s="1"/>
  <c r="J500" i="36"/>
  <c r="Y499" i="36"/>
  <c r="AB499" i="36" s="1"/>
  <c r="U499" i="36"/>
  <c r="S499" i="36"/>
  <c r="W499" i="36" s="1"/>
  <c r="R499" i="36"/>
  <c r="P499" i="36"/>
  <c r="N499" i="36"/>
  <c r="S16" i="43" l="1"/>
  <c r="I505" i="36"/>
  <c r="AA504" i="36"/>
  <c r="Y58" i="42"/>
  <c r="T16" i="43"/>
  <c r="Z499" i="36"/>
  <c r="O500" i="36"/>
  <c r="AA500" i="36"/>
  <c r="Y498" i="36"/>
  <c r="AB498" i="36" s="1"/>
  <c r="X498" i="36"/>
  <c r="U498" i="36"/>
  <c r="T498" i="36"/>
  <c r="S498" i="36"/>
  <c r="Z498" i="36" s="1"/>
  <c r="R498" i="36"/>
  <c r="P498" i="36"/>
  <c r="N498" i="36"/>
  <c r="W498" i="36" l="1"/>
  <c r="I147" i="42"/>
  <c r="K502" i="36"/>
  <c r="AG56" i="42"/>
  <c r="AA58" i="42"/>
  <c r="AB58" i="42" s="1"/>
  <c r="AB62" i="42" s="1"/>
  <c r="X505" i="36"/>
  <c r="T505" i="36"/>
  <c r="J505" i="36"/>
  <c r="AA505" i="36" s="1"/>
  <c r="J498" i="36"/>
  <c r="AA497" i="36"/>
  <c r="Y497" i="36"/>
  <c r="AB497" i="36" s="1"/>
  <c r="X497" i="36"/>
  <c r="U497" i="36"/>
  <c r="T497" i="36"/>
  <c r="S497" i="36"/>
  <c r="W497" i="36" s="1"/>
  <c r="R497" i="36"/>
  <c r="P497" i="36"/>
  <c r="O497" i="36"/>
  <c r="N497" i="36"/>
  <c r="I148" i="42" l="1"/>
  <c r="W16" i="43" s="1"/>
  <c r="V16" i="43"/>
  <c r="AA498" i="36"/>
  <c r="I499" i="36"/>
  <c r="O498" i="36"/>
  <c r="Z497" i="36"/>
  <c r="O505" i="36"/>
  <c r="R129" i="42"/>
  <c r="T129" i="42" s="1"/>
  <c r="U129" i="42" s="1"/>
  <c r="U133" i="42" s="1"/>
  <c r="AI56" i="42"/>
  <c r="AJ56" i="42" s="1"/>
  <c r="AJ58" i="42" s="1"/>
  <c r="M502" i="36"/>
  <c r="N502" i="36"/>
  <c r="AA496" i="36"/>
  <c r="Y496" i="36"/>
  <c r="AB496" i="36" s="1"/>
  <c r="X496" i="36"/>
  <c r="U496" i="36"/>
  <c r="T496" i="36"/>
  <c r="S496" i="36"/>
  <c r="Z496" i="36" s="1"/>
  <c r="R496" i="36"/>
  <c r="P496" i="36"/>
  <c r="O496" i="36"/>
  <c r="N496" i="36"/>
  <c r="L496" i="36"/>
  <c r="Y495" i="36"/>
  <c r="AB495" i="36" s="1"/>
  <c r="X495" i="36"/>
  <c r="U495" i="36"/>
  <c r="T495" i="36"/>
  <c r="S495" i="36"/>
  <c r="W495" i="36" s="1"/>
  <c r="R495" i="36"/>
  <c r="P495" i="36"/>
  <c r="N495" i="36"/>
  <c r="Z495" i="36" l="1"/>
  <c r="Y16" i="43"/>
  <c r="Q496" i="36"/>
  <c r="M496" i="36"/>
  <c r="W496" i="36"/>
  <c r="T499" i="36"/>
  <c r="X499" i="36"/>
  <c r="J499" i="36"/>
  <c r="AA499" i="36" s="1"/>
  <c r="J495" i="36"/>
  <c r="Y494" i="36"/>
  <c r="AB494" i="36" s="1"/>
  <c r="X494" i="36"/>
  <c r="U494" i="36"/>
  <c r="T494" i="36"/>
  <c r="S494" i="36"/>
  <c r="Z494" i="36" s="1"/>
  <c r="R494" i="36"/>
  <c r="P494" i="36"/>
  <c r="N494" i="36"/>
  <c r="AJ16" i="43" l="1"/>
  <c r="Z16" i="43"/>
  <c r="W494" i="36"/>
  <c r="O495" i="36"/>
  <c r="AA495" i="36"/>
  <c r="O499" i="36"/>
  <c r="J494" i="36"/>
  <c r="Y493" i="36"/>
  <c r="AB493" i="36" s="1"/>
  <c r="X493" i="36"/>
  <c r="U493" i="36"/>
  <c r="T493" i="36"/>
  <c r="S493" i="36"/>
  <c r="Z493" i="36" s="1"/>
  <c r="R493" i="36"/>
  <c r="P493" i="36"/>
  <c r="N493" i="36"/>
  <c r="E9" i="44" l="1"/>
  <c r="B9" i="44"/>
  <c r="B14" i="44" a="1"/>
  <c r="C9" i="44"/>
  <c r="D9" i="44" s="1"/>
  <c r="H14" i="44" a="1"/>
  <c r="F4" i="44"/>
  <c r="G9" i="44" s="1" a="1"/>
  <c r="G9" i="44" s="1"/>
  <c r="B36" i="44" a="1"/>
  <c r="B36" i="44" s="1"/>
  <c r="E9" i="45"/>
  <c r="C37" i="45"/>
  <c r="B14" i="45" a="1"/>
  <c r="C35" i="45"/>
  <c r="G9" i="45"/>
  <c r="F4" i="45"/>
  <c r="B9" i="45"/>
  <c r="C38" i="45"/>
  <c r="C9" i="45"/>
  <c r="C36" i="45"/>
  <c r="C40" i="45"/>
  <c r="B25" i="45" a="1"/>
  <c r="C39" i="45"/>
  <c r="B47" i="45" a="1"/>
  <c r="B47" i="45" s="1"/>
  <c r="W493" i="36"/>
  <c r="O494" i="36"/>
  <c r="AA494" i="36"/>
  <c r="J493" i="36"/>
  <c r="Y492" i="36"/>
  <c r="AB492" i="36" s="1"/>
  <c r="X492" i="36"/>
  <c r="U492" i="36"/>
  <c r="T492" i="36"/>
  <c r="S492" i="36"/>
  <c r="Z492" i="36" s="1"/>
  <c r="R492" i="36"/>
  <c r="P492" i="36"/>
  <c r="N492" i="36"/>
  <c r="AE18" i="45" l="1"/>
  <c r="D39" i="45"/>
  <c r="D16" i="45" a="1"/>
  <c r="D16" i="45" s="1"/>
  <c r="H16" i="45" a="1"/>
  <c r="H16" i="45" s="1"/>
  <c r="I16" i="45" a="1"/>
  <c r="I16" i="45" s="1"/>
  <c r="D17" i="45" a="1"/>
  <c r="D17" i="45" s="1"/>
  <c r="F16" i="45" a="1"/>
  <c r="F16" i="45" s="1"/>
  <c r="D18" i="45" a="1"/>
  <c r="D18" i="45" s="1"/>
  <c r="I15" i="45" a="1"/>
  <c r="I15" i="45" s="1"/>
  <c r="G17" i="45" a="1"/>
  <c r="G17" i="45" s="1"/>
  <c r="J15" i="45" a="1"/>
  <c r="J15" i="45" s="1"/>
  <c r="H15" i="45" a="1"/>
  <c r="H15" i="45" s="1"/>
  <c r="E18" i="45" a="1"/>
  <c r="E18" i="45" s="1"/>
  <c r="E16" i="45" a="1"/>
  <c r="E16" i="45" s="1"/>
  <c r="J16" i="45" a="1"/>
  <c r="J16" i="45" s="1"/>
  <c r="F15" i="45" a="1"/>
  <c r="F15" i="45" s="1"/>
  <c r="H18" i="45" a="1"/>
  <c r="H18" i="45" s="1"/>
  <c r="B14" i="45"/>
  <c r="G15" i="45" a="1"/>
  <c r="G15" i="45" s="1"/>
  <c r="E17" i="45" a="1"/>
  <c r="E17" i="45" s="1"/>
  <c r="AA17" i="45"/>
  <c r="F17" i="45" a="1"/>
  <c r="F17" i="45" s="1"/>
  <c r="J17" i="45" a="1"/>
  <c r="J17" i="45" s="1"/>
  <c r="AA18" i="45"/>
  <c r="I18" i="45" a="1"/>
  <c r="I18" i="45" s="1"/>
  <c r="H17" i="45" a="1"/>
  <c r="H17" i="45" s="1"/>
  <c r="AA15" i="45"/>
  <c r="AG15" i="45"/>
  <c r="G16" i="45" a="1"/>
  <c r="G16" i="45" s="1"/>
  <c r="E15" i="45" a="1"/>
  <c r="E15" i="45" s="1"/>
  <c r="AA16" i="45"/>
  <c r="J18" i="45" a="1"/>
  <c r="J18" i="45" s="1"/>
  <c r="AG17" i="45"/>
  <c r="D15" i="45" a="1"/>
  <c r="D15" i="45" s="1"/>
  <c r="C17" i="45" a="1"/>
  <c r="C17" i="45" s="1"/>
  <c r="AG16" i="45"/>
  <c r="C18" i="45" a="1"/>
  <c r="C18" i="45" s="1"/>
  <c r="C15" i="45" a="1"/>
  <c r="C15" i="45" s="1"/>
  <c r="F18" i="45" a="1"/>
  <c r="F18" i="45" s="1"/>
  <c r="G18" i="45" a="1"/>
  <c r="G18" i="45" s="1"/>
  <c r="AG18" i="45"/>
  <c r="I17" i="45" a="1"/>
  <c r="I17" i="45" s="1"/>
  <c r="C16" i="45" a="1"/>
  <c r="C16" i="45" s="1"/>
  <c r="AE19" i="45"/>
  <c r="D40" i="45"/>
  <c r="D36" i="45"/>
  <c r="AE15" i="45"/>
  <c r="D9" i="45"/>
  <c r="D35" i="45"/>
  <c r="C41" i="45"/>
  <c r="E40" i="45" s="1"/>
  <c r="AE14" i="45"/>
  <c r="E35" i="45"/>
  <c r="D37" i="45"/>
  <c r="AE16" i="45"/>
  <c r="I27" i="45" a="1"/>
  <c r="I27" i="45" s="1"/>
  <c r="B25" i="45"/>
  <c r="G27" i="45" a="1"/>
  <c r="G27" i="45" s="1"/>
  <c r="C27" i="45" a="1"/>
  <c r="C27" i="45" s="1"/>
  <c r="F26" i="45" a="1"/>
  <c r="F26" i="45" s="1"/>
  <c r="J27" i="45" a="1"/>
  <c r="J27" i="45" s="1"/>
  <c r="D26" i="45" a="1"/>
  <c r="D26" i="45" s="1"/>
  <c r="C26" i="45" a="1"/>
  <c r="C26" i="45" s="1"/>
  <c r="F27" i="45" a="1"/>
  <c r="F27" i="45" s="1"/>
  <c r="G26" i="45" a="1"/>
  <c r="G26" i="45" s="1"/>
  <c r="H26" i="45" a="1"/>
  <c r="H26" i="45" s="1"/>
  <c r="E27" i="45" a="1"/>
  <c r="E27" i="45" s="1"/>
  <c r="E26" i="45" a="1"/>
  <c r="E26" i="45" s="1"/>
  <c r="D27" i="45" a="1"/>
  <c r="D27" i="45" s="1"/>
  <c r="J26" i="45" a="1"/>
  <c r="J26" i="45" s="1"/>
  <c r="I26" i="45" a="1"/>
  <c r="I26" i="45" s="1"/>
  <c r="H27" i="45" a="1"/>
  <c r="H27" i="45" s="1"/>
  <c r="AE17" i="45"/>
  <c r="D38" i="45"/>
  <c r="F9" i="45"/>
  <c r="H14" i="44"/>
  <c r="J15" i="44" a="1"/>
  <c r="J15" i="44" s="1"/>
  <c r="AE15" i="44" s="1"/>
  <c r="J16" i="44" a="1"/>
  <c r="J16" i="44" s="1"/>
  <c r="AE16" i="44" s="1"/>
  <c r="AD15" i="44"/>
  <c r="AD16" i="44"/>
  <c r="K15" i="44" a="1"/>
  <c r="K15" i="44" s="1"/>
  <c r="L15" i="44" s="1"/>
  <c r="K16" i="44" a="1"/>
  <c r="K16" i="44" s="1"/>
  <c r="L16" i="44" s="1"/>
  <c r="I16" i="44" a="1"/>
  <c r="I16" i="44" s="1"/>
  <c r="I15" i="44" a="1"/>
  <c r="I15" i="44" s="1"/>
  <c r="C28" i="44"/>
  <c r="F9" i="44"/>
  <c r="C27" i="44"/>
  <c r="C29" i="44"/>
  <c r="C26" i="44"/>
  <c r="C25" i="44"/>
  <c r="C30" i="44"/>
  <c r="D17" i="44" a="1"/>
  <c r="D17" i="44" s="1"/>
  <c r="D15" i="44" a="1"/>
  <c r="D15" i="44" s="1"/>
  <c r="E18" i="44" a="1"/>
  <c r="E18" i="44" s="1"/>
  <c r="AB18" i="44" s="1"/>
  <c r="AA17" i="44"/>
  <c r="B14" i="44"/>
  <c r="E17" i="44" a="1"/>
  <c r="E17" i="44" s="1"/>
  <c r="AB17" i="44" s="1"/>
  <c r="AA16" i="44"/>
  <c r="AA18" i="44"/>
  <c r="D16" i="44" a="1"/>
  <c r="D16" i="44" s="1"/>
  <c r="C16" i="44" a="1"/>
  <c r="C16" i="44" s="1"/>
  <c r="C18" i="44" a="1"/>
  <c r="C18" i="44" s="1"/>
  <c r="E16" i="44" a="1"/>
  <c r="E16" i="44" s="1"/>
  <c r="C15" i="44" a="1"/>
  <c r="C15" i="44" s="1"/>
  <c r="C17" i="44" a="1"/>
  <c r="C17" i="44" s="1"/>
  <c r="AA15" i="44"/>
  <c r="D18" i="44" a="1"/>
  <c r="D18" i="44" s="1"/>
  <c r="E15" i="44" a="1"/>
  <c r="E15" i="44" s="1"/>
  <c r="AB15" i="44" s="1"/>
  <c r="W492" i="36"/>
  <c r="AA493" i="36"/>
  <c r="O493" i="36"/>
  <c r="J492" i="36"/>
  <c r="AA491" i="36"/>
  <c r="Y491" i="36"/>
  <c r="AB491" i="36" s="1"/>
  <c r="X491" i="36"/>
  <c r="U491" i="36"/>
  <c r="T491" i="36"/>
  <c r="S491" i="36"/>
  <c r="Z491" i="36" s="1"/>
  <c r="R491" i="36"/>
  <c r="P491" i="36"/>
  <c r="O491" i="36"/>
  <c r="N491" i="36"/>
  <c r="F16" i="44" l="1"/>
  <c r="K27" i="45"/>
  <c r="L27" i="45" s="1"/>
  <c r="AB16" i="44"/>
  <c r="K15" i="45"/>
  <c r="AB15" i="45" s="1"/>
  <c r="C14" i="44" a="1"/>
  <c r="C14" i="44" s="1"/>
  <c r="C20" i="44" s="1"/>
  <c r="AA14" i="44"/>
  <c r="E14" i="44" a="1"/>
  <c r="E14" i="44" s="1"/>
  <c r="AB14" i="44" s="1"/>
  <c r="D14" i="44" a="1"/>
  <c r="D14" i="44" s="1"/>
  <c r="D20" i="44" s="1"/>
  <c r="C31" i="44"/>
  <c r="AG14" i="45"/>
  <c r="H14" i="45" a="1"/>
  <c r="H14" i="45" s="1"/>
  <c r="H20" i="45" s="1"/>
  <c r="G14" i="45" a="1"/>
  <c r="G14" i="45" s="1"/>
  <c r="G20" i="45" s="1"/>
  <c r="C14" i="45" a="1"/>
  <c r="C14" i="45" s="1"/>
  <c r="C20" i="45" s="1"/>
  <c r="F14" i="45" a="1"/>
  <c r="F14" i="45" s="1"/>
  <c r="F20" i="45" s="1"/>
  <c r="J14" i="45" a="1"/>
  <c r="J14" i="45" s="1"/>
  <c r="J20" i="45" s="1"/>
  <c r="D14" i="45" a="1"/>
  <c r="D14" i="45" s="1"/>
  <c r="D20" i="45" s="1"/>
  <c r="I14" i="45" a="1"/>
  <c r="I14" i="45" s="1"/>
  <c r="I20" i="45" s="1"/>
  <c r="E14" i="45" a="1"/>
  <c r="E14" i="45" s="1"/>
  <c r="E20" i="45" s="1"/>
  <c r="AA14" i="45"/>
  <c r="K26" i="45"/>
  <c r="L26" i="45" s="1"/>
  <c r="K16" i="45"/>
  <c r="F15" i="44"/>
  <c r="E25" i="45" a="1"/>
  <c r="E25" i="45" s="1"/>
  <c r="E30" i="45" s="1"/>
  <c r="G25" i="45" a="1"/>
  <c r="G25" i="45" s="1"/>
  <c r="G30" i="45" s="1"/>
  <c r="F25" i="45" a="1"/>
  <c r="F25" i="45" s="1"/>
  <c r="F30" i="45" s="1"/>
  <c r="H25" i="45" a="1"/>
  <c r="H25" i="45" s="1"/>
  <c r="H30" i="45" s="1"/>
  <c r="J25" i="45" a="1"/>
  <c r="J25" i="45" s="1"/>
  <c r="J30" i="45" s="1"/>
  <c r="C25" i="45" a="1"/>
  <c r="C25" i="45" s="1"/>
  <c r="C30" i="45" s="1"/>
  <c r="I25" i="45" a="1"/>
  <c r="I25" i="45" s="1"/>
  <c r="I30" i="45" s="1"/>
  <c r="D25" i="45" a="1"/>
  <c r="D25" i="45" s="1"/>
  <c r="D30" i="45" s="1"/>
  <c r="F17" i="44"/>
  <c r="L15" i="45"/>
  <c r="AH15" i="45" s="1"/>
  <c r="E37" i="45"/>
  <c r="E41" i="45"/>
  <c r="D41" i="45"/>
  <c r="K18" i="45"/>
  <c r="AD14" i="44"/>
  <c r="J14" i="44" a="1"/>
  <c r="J14" i="44" s="1"/>
  <c r="J19" i="44" s="1"/>
  <c r="I14" i="44" a="1"/>
  <c r="I14" i="44" s="1"/>
  <c r="I19" i="44" s="1"/>
  <c r="K14" i="44" a="1"/>
  <c r="K14" i="44" s="1"/>
  <c r="K19" i="44" s="1"/>
  <c r="E39" i="45"/>
  <c r="K17" i="45"/>
  <c r="F18" i="44"/>
  <c r="E36" i="45"/>
  <c r="E38" i="45"/>
  <c r="W491" i="36"/>
  <c r="O492" i="36"/>
  <c r="AA492" i="36"/>
  <c r="Y490" i="36"/>
  <c r="AB490" i="36" s="1"/>
  <c r="X490" i="36"/>
  <c r="U490" i="36"/>
  <c r="T490" i="36"/>
  <c r="S490" i="36"/>
  <c r="Z490" i="36" s="1"/>
  <c r="R490" i="36"/>
  <c r="P490" i="36"/>
  <c r="N490" i="36"/>
  <c r="L16" i="45" l="1"/>
  <c r="AH16" i="45" s="1"/>
  <c r="AB16" i="45"/>
  <c r="AB17" i="45"/>
  <c r="L17" i="45"/>
  <c r="AH17" i="45" s="1"/>
  <c r="L19" i="44"/>
  <c r="L14" i="44"/>
  <c r="AE14" i="44"/>
  <c r="AB18" i="45"/>
  <c r="L18" i="45"/>
  <c r="AH18" i="45" s="1"/>
  <c r="K25" i="45"/>
  <c r="F14" i="44"/>
  <c r="E20" i="44"/>
  <c r="F20" i="44" s="1"/>
  <c r="K14" i="45"/>
  <c r="W490" i="36"/>
  <c r="J490" i="36"/>
  <c r="Y489" i="36"/>
  <c r="AB489" i="36" s="1"/>
  <c r="X489" i="36"/>
  <c r="U489" i="36"/>
  <c r="T489" i="36"/>
  <c r="S489" i="36"/>
  <c r="Z489" i="36" s="1"/>
  <c r="R489" i="36"/>
  <c r="P489" i="36"/>
  <c r="N489" i="36"/>
  <c r="K20" i="45" l="1"/>
  <c r="L20" i="45" s="1"/>
  <c r="AB14" i="45"/>
  <c r="L14" i="45"/>
  <c r="AH14" i="45" s="1"/>
  <c r="K30" i="45"/>
  <c r="L30" i="45" s="1"/>
  <c r="L25" i="45"/>
  <c r="AA490" i="36"/>
  <c r="O490" i="36"/>
  <c r="W489" i="36"/>
  <c r="J489" i="36"/>
  <c r="Y488" i="36"/>
  <c r="AB488" i="36" s="1"/>
  <c r="X488" i="36"/>
  <c r="U488" i="36"/>
  <c r="T488" i="36"/>
  <c r="S488" i="36"/>
  <c r="Z488" i="36" s="1"/>
  <c r="R488" i="36"/>
  <c r="P488" i="36"/>
  <c r="N488" i="36"/>
  <c r="W488" i="36" l="1"/>
  <c r="AA489" i="36"/>
  <c r="O489" i="36"/>
  <c r="J488" i="36"/>
  <c r="Y487" i="36"/>
  <c r="AB487" i="36" s="1"/>
  <c r="X487" i="36"/>
  <c r="U487" i="36"/>
  <c r="T487" i="36"/>
  <c r="S487" i="36"/>
  <c r="Z487" i="36" s="1"/>
  <c r="R487" i="36"/>
  <c r="P487" i="36"/>
  <c r="N487" i="36"/>
  <c r="W487" i="36" l="1"/>
  <c r="AA488" i="36"/>
  <c r="O488" i="36"/>
  <c r="J487" i="36"/>
  <c r="Y486" i="36"/>
  <c r="AB486" i="36" s="1"/>
  <c r="X486" i="36"/>
  <c r="U486" i="36"/>
  <c r="T486" i="36"/>
  <c r="S486" i="36"/>
  <c r="Z486" i="36" s="1"/>
  <c r="R486" i="36"/>
  <c r="P486" i="36"/>
  <c r="N486" i="36"/>
  <c r="W486" i="36" l="1"/>
  <c r="AA487" i="36"/>
  <c r="O487" i="36"/>
  <c r="J486" i="36"/>
  <c r="AA485" i="36"/>
  <c r="Y485" i="36"/>
  <c r="AB485" i="36" s="1"/>
  <c r="X485" i="36"/>
  <c r="U485" i="36"/>
  <c r="T485" i="36"/>
  <c r="S485" i="36"/>
  <c r="Z485" i="36" s="1"/>
  <c r="R485" i="36"/>
  <c r="P485" i="36"/>
  <c r="O485" i="36"/>
  <c r="N485" i="36"/>
  <c r="L485" i="36"/>
  <c r="Q485" i="36" s="1"/>
  <c r="AA484" i="36"/>
  <c r="Y484" i="36"/>
  <c r="AB484" i="36" s="1"/>
  <c r="X484" i="36"/>
  <c r="U484" i="36"/>
  <c r="T484" i="36"/>
  <c r="S484" i="36"/>
  <c r="Z484" i="36" s="1"/>
  <c r="R484" i="36"/>
  <c r="P484" i="36"/>
  <c r="O484" i="36"/>
  <c r="N484" i="36"/>
  <c r="W484" i="36" l="1"/>
  <c r="W485" i="36"/>
  <c r="M485" i="36"/>
  <c r="AA486" i="36"/>
  <c r="O486" i="36"/>
  <c r="Y483" i="36"/>
  <c r="AB483" i="36" s="1"/>
  <c r="X483" i="36"/>
  <c r="U483" i="36"/>
  <c r="T483" i="36"/>
  <c r="S483" i="36"/>
  <c r="Z483" i="36" s="1"/>
  <c r="R483" i="36"/>
  <c r="P483" i="36"/>
  <c r="N483" i="36"/>
  <c r="W483" i="36" l="1"/>
  <c r="J483" i="36"/>
  <c r="Y482" i="36"/>
  <c r="AB482" i="36" s="1"/>
  <c r="X482" i="36"/>
  <c r="U482" i="36"/>
  <c r="T482" i="36"/>
  <c r="S482" i="36"/>
  <c r="W482" i="36" s="1"/>
  <c r="R482" i="36"/>
  <c r="P482" i="36"/>
  <c r="N482" i="36"/>
  <c r="Z482" i="36" l="1"/>
  <c r="AA483" i="36"/>
  <c r="O483" i="36"/>
  <c r="J482" i="36"/>
  <c r="AA481" i="36"/>
  <c r="Y481" i="36"/>
  <c r="AB481" i="36" s="1"/>
  <c r="X481" i="36"/>
  <c r="U481" i="36"/>
  <c r="T481" i="36"/>
  <c r="S481" i="36"/>
  <c r="W481" i="36" s="1"/>
  <c r="R481" i="36"/>
  <c r="P481" i="36"/>
  <c r="O481" i="36"/>
  <c r="N481" i="36"/>
  <c r="Z481" i="36" l="1"/>
  <c r="AA482" i="36"/>
  <c r="O482" i="36"/>
  <c r="AA480" i="36"/>
  <c r="Y480" i="36"/>
  <c r="AB480" i="36" s="1"/>
  <c r="X480" i="36"/>
  <c r="U480" i="36"/>
  <c r="T480" i="36"/>
  <c r="S480" i="36"/>
  <c r="Z480" i="36" s="1"/>
  <c r="R480" i="36"/>
  <c r="P480" i="36"/>
  <c r="O480" i="36"/>
  <c r="N480" i="36"/>
  <c r="L480" i="36"/>
  <c r="M480" i="36" s="1"/>
  <c r="AA479" i="36"/>
  <c r="Y479" i="36"/>
  <c r="AB479" i="36" s="1"/>
  <c r="X479" i="36"/>
  <c r="U479" i="36"/>
  <c r="T479" i="36"/>
  <c r="S479" i="36"/>
  <c r="Z479" i="36" s="1"/>
  <c r="R479" i="36"/>
  <c r="P479" i="36"/>
  <c r="O479" i="36"/>
  <c r="L479" i="36"/>
  <c r="Q479" i="36" s="1"/>
  <c r="Y478" i="36"/>
  <c r="AB478" i="36" s="1"/>
  <c r="U478" i="36"/>
  <c r="S478" i="36"/>
  <c r="Z478" i="36" s="1"/>
  <c r="R478" i="36"/>
  <c r="P478" i="36"/>
  <c r="N478" i="36"/>
  <c r="K479" i="36" l="1"/>
  <c r="N479" i="36" s="1"/>
  <c r="W479" i="36"/>
  <c r="W478" i="36"/>
  <c r="Q480" i="36"/>
  <c r="W480" i="36"/>
  <c r="Y477" i="36"/>
  <c r="AB477" i="36" s="1"/>
  <c r="X477" i="36"/>
  <c r="U477" i="36"/>
  <c r="T477" i="36"/>
  <c r="S477" i="36"/>
  <c r="Z477" i="36" s="1"/>
  <c r="R477" i="36"/>
  <c r="P477" i="36"/>
  <c r="N477" i="36"/>
  <c r="M479" i="36" l="1"/>
  <c r="W477" i="36"/>
  <c r="J477" i="36"/>
  <c r="AA476" i="36"/>
  <c r="Y476" i="36"/>
  <c r="AB476" i="36" s="1"/>
  <c r="X476" i="36"/>
  <c r="U476" i="36"/>
  <c r="T476" i="36"/>
  <c r="S476" i="36"/>
  <c r="W476" i="36" s="1"/>
  <c r="R476" i="36"/>
  <c r="P476" i="36"/>
  <c r="O476" i="36"/>
  <c r="N476" i="36"/>
  <c r="L476" i="36"/>
  <c r="Q476" i="36" s="1"/>
  <c r="AA475" i="36"/>
  <c r="Y475" i="36"/>
  <c r="AB475" i="36" s="1"/>
  <c r="X475" i="36"/>
  <c r="U475" i="36"/>
  <c r="T475" i="36"/>
  <c r="S475" i="36"/>
  <c r="Z475" i="36" s="1"/>
  <c r="R475" i="36"/>
  <c r="P475" i="36"/>
  <c r="O475" i="36"/>
  <c r="N475" i="36"/>
  <c r="L475" i="36"/>
  <c r="Q475" i="36" s="1"/>
  <c r="X474" i="36"/>
  <c r="T474" i="36"/>
  <c r="S474" i="36"/>
  <c r="Z474" i="36" s="1"/>
  <c r="R474" i="36"/>
  <c r="W475" i="36" l="1"/>
  <c r="M476" i="36"/>
  <c r="M475" i="36"/>
  <c r="Z476" i="36"/>
  <c r="W474" i="36"/>
  <c r="AA477" i="36"/>
  <c r="I478" i="36"/>
  <c r="O477" i="36"/>
  <c r="J474" i="36"/>
  <c r="H474" i="36"/>
  <c r="Y473" i="36"/>
  <c r="AB473" i="36" s="1"/>
  <c r="U473" i="36"/>
  <c r="S473" i="36"/>
  <c r="W473" i="36" s="1"/>
  <c r="R473" i="36"/>
  <c r="P473" i="36"/>
  <c r="N473" i="36"/>
  <c r="X478" i="36" l="1"/>
  <c r="T478" i="36"/>
  <c r="J478" i="36"/>
  <c r="AA478" i="36" s="1"/>
  <c r="Z473" i="36"/>
  <c r="P474" i="36"/>
  <c r="U474" i="36"/>
  <c r="Y474" i="36"/>
  <c r="AB474" i="36" s="1"/>
  <c r="N474" i="36"/>
  <c r="AA474" i="36"/>
  <c r="O474" i="36"/>
  <c r="Y472" i="36"/>
  <c r="AB472" i="36" s="1"/>
  <c r="X472" i="36"/>
  <c r="U472" i="36"/>
  <c r="T472" i="36"/>
  <c r="S472" i="36"/>
  <c r="W472" i="36" s="1"/>
  <c r="R472" i="36"/>
  <c r="P472" i="36"/>
  <c r="N472" i="36"/>
  <c r="Z472" i="36" l="1"/>
  <c r="O478" i="36"/>
  <c r="J472" i="36"/>
  <c r="Y471" i="36"/>
  <c r="AB471" i="36" s="1"/>
  <c r="U471" i="36"/>
  <c r="S471" i="36"/>
  <c r="Z471" i="36" s="1"/>
  <c r="R471" i="36"/>
  <c r="P471" i="36"/>
  <c r="N471" i="36"/>
  <c r="W471" i="36" l="1"/>
  <c r="I473" i="36"/>
  <c r="AA472" i="36"/>
  <c r="O472" i="36"/>
  <c r="I471" i="36"/>
  <c r="J471" i="36" s="1"/>
  <c r="AA471" i="36" s="1"/>
  <c r="AA470" i="36"/>
  <c r="Y470" i="36"/>
  <c r="AB470" i="36" s="1"/>
  <c r="X470" i="36"/>
  <c r="U470" i="36"/>
  <c r="T470" i="36"/>
  <c r="S470" i="36"/>
  <c r="Z470" i="36" s="1"/>
  <c r="R470" i="36"/>
  <c r="P470" i="36"/>
  <c r="O470" i="36"/>
  <c r="N470" i="36"/>
  <c r="W470" i="36" l="1"/>
  <c r="X471" i="36"/>
  <c r="T471" i="36"/>
  <c r="O471" i="36"/>
  <c r="T473" i="36"/>
  <c r="X473" i="36"/>
  <c r="J473" i="36"/>
  <c r="AA473" i="36" s="1"/>
  <c r="AA469" i="36"/>
  <c r="Y469" i="36"/>
  <c r="AB469" i="36" s="1"/>
  <c r="X469" i="36"/>
  <c r="U469" i="36"/>
  <c r="T469" i="36"/>
  <c r="S469" i="36"/>
  <c r="Z469" i="36" s="1"/>
  <c r="R469" i="36"/>
  <c r="P469" i="36"/>
  <c r="O469" i="36"/>
  <c r="N469" i="36"/>
  <c r="W469" i="36" l="1"/>
  <c r="O473" i="36"/>
  <c r="AA468" i="36"/>
  <c r="Y468" i="36"/>
  <c r="AB468" i="36" s="1"/>
  <c r="X468" i="36"/>
  <c r="U468" i="36"/>
  <c r="T468" i="36"/>
  <c r="S468" i="36"/>
  <c r="Z468" i="36" s="1"/>
  <c r="R468" i="36"/>
  <c r="P468" i="36"/>
  <c r="O468" i="36"/>
  <c r="N468" i="36"/>
  <c r="W468" i="36" l="1"/>
  <c r="AA467" i="36"/>
  <c r="Y467" i="36"/>
  <c r="AB467" i="36" s="1"/>
  <c r="X467" i="36"/>
  <c r="U467" i="36"/>
  <c r="T467" i="36"/>
  <c r="S467" i="36"/>
  <c r="Z467" i="36" s="1"/>
  <c r="R467" i="36"/>
  <c r="P467" i="36"/>
  <c r="O467" i="36"/>
  <c r="N467" i="36"/>
  <c r="W467" i="36" l="1"/>
  <c r="S466" i="36"/>
  <c r="Z466" i="36" s="1"/>
  <c r="R466" i="36"/>
  <c r="W466" i="36" l="1"/>
  <c r="H466" i="36"/>
  <c r="Y465" i="36"/>
  <c r="AB465" i="36" s="1"/>
  <c r="X465" i="36"/>
  <c r="U465" i="36"/>
  <c r="T465" i="36"/>
  <c r="S465" i="36"/>
  <c r="Z465" i="36" s="1"/>
  <c r="R465" i="36"/>
  <c r="P465" i="36"/>
  <c r="N465" i="36"/>
  <c r="W465" i="36" l="1"/>
  <c r="P466" i="36"/>
  <c r="N466" i="36"/>
  <c r="Y466" i="36"/>
  <c r="AB466" i="36" s="1"/>
  <c r="U466" i="36"/>
  <c r="J465" i="36"/>
  <c r="AA464" i="36"/>
  <c r="Y464" i="36"/>
  <c r="AB464" i="36" s="1"/>
  <c r="X464" i="36"/>
  <c r="U464" i="36"/>
  <c r="T464" i="36"/>
  <c r="S464" i="36"/>
  <c r="Z464" i="36" s="1"/>
  <c r="R464" i="36"/>
  <c r="P464" i="36"/>
  <c r="O464" i="36"/>
  <c r="N464" i="36"/>
  <c r="M464" i="36"/>
  <c r="AA463" i="36"/>
  <c r="Y463" i="36"/>
  <c r="AB463" i="36" s="1"/>
  <c r="X463" i="36"/>
  <c r="U463" i="36"/>
  <c r="T463" i="36"/>
  <c r="S463" i="36"/>
  <c r="W463" i="36" s="1"/>
  <c r="R463" i="36"/>
  <c r="P463" i="36"/>
  <c r="O463" i="36"/>
  <c r="L463" i="36"/>
  <c r="Q463" i="36" s="1"/>
  <c r="Y462" i="36"/>
  <c r="AB462" i="36" s="1"/>
  <c r="U462" i="36"/>
  <c r="S462" i="36"/>
  <c r="W462" i="36" s="1"/>
  <c r="R462" i="36"/>
  <c r="P462" i="36"/>
  <c r="N462" i="36"/>
  <c r="L464" i="36" l="1"/>
  <c r="Q464" i="36" s="1"/>
  <c r="Z463" i="36"/>
  <c r="W464" i="36"/>
  <c r="N463" i="36"/>
  <c r="M463" i="36"/>
  <c r="Z462" i="36"/>
  <c r="I466" i="36"/>
  <c r="AA465" i="36"/>
  <c r="O465" i="36"/>
  <c r="I462" i="36"/>
  <c r="J462" i="36" s="1"/>
  <c r="AA462" i="36" s="1"/>
  <c r="AA461" i="36"/>
  <c r="Y461" i="36"/>
  <c r="AB461" i="36" s="1"/>
  <c r="U461" i="36"/>
  <c r="S461" i="36"/>
  <c r="W461" i="36" s="1"/>
  <c r="R461" i="36"/>
  <c r="P461" i="36"/>
  <c r="N461" i="36"/>
  <c r="Z461" i="36" l="1"/>
  <c r="T466" i="36"/>
  <c r="X466" i="36"/>
  <c r="J466" i="36"/>
  <c r="AA466" i="36" s="1"/>
  <c r="X462" i="36"/>
  <c r="T462" i="36"/>
  <c r="O462" i="36"/>
  <c r="S460" i="36"/>
  <c r="Z460" i="36" s="1"/>
  <c r="R460" i="36"/>
  <c r="W460" i="36" l="1"/>
  <c r="O466" i="36"/>
  <c r="H460" i="36"/>
  <c r="S459" i="36"/>
  <c r="Z459" i="36" s="1"/>
  <c r="R459" i="36"/>
  <c r="W459" i="36" l="1"/>
  <c r="N460" i="36"/>
  <c r="Y460" i="36"/>
  <c r="AB460" i="36" s="1"/>
  <c r="U460" i="36"/>
  <c r="P460" i="36"/>
  <c r="H459" i="36"/>
  <c r="X458" i="36"/>
  <c r="T458" i="36"/>
  <c r="S458" i="36"/>
  <c r="Z458" i="36" s="1"/>
  <c r="R458" i="36"/>
  <c r="W458" i="36" l="1"/>
  <c r="Y459" i="36"/>
  <c r="AB459" i="36" s="1"/>
  <c r="U459" i="36"/>
  <c r="P459" i="36"/>
  <c r="N459" i="36"/>
  <c r="J458" i="36"/>
  <c r="H458" i="36"/>
  <c r="AA457" i="36"/>
  <c r="Y457" i="36"/>
  <c r="AB457" i="36" s="1"/>
  <c r="X457" i="36"/>
  <c r="U457" i="36"/>
  <c r="T457" i="36"/>
  <c r="S457" i="36"/>
  <c r="Z457" i="36" s="1"/>
  <c r="R457" i="36"/>
  <c r="P457" i="36"/>
  <c r="O457" i="36"/>
  <c r="L457" i="36"/>
  <c r="Q457" i="36" s="1"/>
  <c r="K457" i="36"/>
  <c r="M457" i="36" s="1"/>
  <c r="AA456" i="36"/>
  <c r="Y456" i="36"/>
  <c r="AB456" i="36" s="1"/>
  <c r="X456" i="36"/>
  <c r="U456" i="36"/>
  <c r="T456" i="36"/>
  <c r="S456" i="36"/>
  <c r="W456" i="36" s="1"/>
  <c r="R456" i="36"/>
  <c r="P456" i="36"/>
  <c r="O456" i="36"/>
  <c r="N456" i="36"/>
  <c r="L456" i="36"/>
  <c r="M456" i="36" s="1"/>
  <c r="AA455" i="36"/>
  <c r="Y455" i="36"/>
  <c r="AB455" i="36" s="1"/>
  <c r="X455" i="36"/>
  <c r="U455" i="36"/>
  <c r="T455" i="36"/>
  <c r="S455" i="36"/>
  <c r="Z455" i="36" s="1"/>
  <c r="R455" i="36"/>
  <c r="P455" i="36"/>
  <c r="O455" i="36"/>
  <c r="N455" i="36"/>
  <c r="L455" i="36"/>
  <c r="Q455" i="36" s="1"/>
  <c r="Y454" i="36"/>
  <c r="AB454" i="36" s="1"/>
  <c r="U454" i="36"/>
  <c r="S454" i="36"/>
  <c r="W454" i="36" s="1"/>
  <c r="R454" i="36"/>
  <c r="P454" i="36"/>
  <c r="N454" i="36"/>
  <c r="Z456" i="36" l="1"/>
  <c r="M455" i="36"/>
  <c r="N457" i="36"/>
  <c r="W455" i="36"/>
  <c r="AA458" i="36"/>
  <c r="I459" i="36"/>
  <c r="O458" i="36"/>
  <c r="Z454" i="36"/>
  <c r="Q456" i="36"/>
  <c r="W457" i="36"/>
  <c r="Y458" i="36"/>
  <c r="AB458" i="36" s="1"/>
  <c r="U458" i="36"/>
  <c r="P458" i="36"/>
  <c r="N458" i="36"/>
  <c r="I454" i="36"/>
  <c r="J454" i="36" s="1"/>
  <c r="AA454" i="36" s="1"/>
  <c r="AA453" i="36"/>
  <c r="Y453" i="36"/>
  <c r="AB453" i="36" s="1"/>
  <c r="X453" i="36"/>
  <c r="U453" i="36"/>
  <c r="T453" i="36"/>
  <c r="S453" i="36"/>
  <c r="Z453" i="36" s="1"/>
  <c r="R453" i="36"/>
  <c r="P453" i="36"/>
  <c r="O453" i="36"/>
  <c r="N453" i="36"/>
  <c r="W453" i="36" l="1"/>
  <c r="X459" i="36"/>
  <c r="T459" i="36"/>
  <c r="J459" i="36"/>
  <c r="X454" i="36"/>
  <c r="T454" i="36"/>
  <c r="O454" i="36"/>
  <c r="AA452" i="36"/>
  <c r="Y452" i="36"/>
  <c r="AB452" i="36" s="1"/>
  <c r="X452" i="36"/>
  <c r="U452" i="36"/>
  <c r="T452" i="36"/>
  <c r="S452" i="36"/>
  <c r="Z452" i="36" s="1"/>
  <c r="R452" i="36"/>
  <c r="P452" i="36"/>
  <c r="O452" i="36"/>
  <c r="N452" i="36"/>
  <c r="L452" i="36"/>
  <c r="M452" i="36" s="1"/>
  <c r="AA451" i="36"/>
  <c r="Y451" i="36"/>
  <c r="AB451" i="36" s="1"/>
  <c r="X451" i="36"/>
  <c r="U451" i="36"/>
  <c r="T451" i="36"/>
  <c r="S451" i="36"/>
  <c r="W451" i="36" s="1"/>
  <c r="R451" i="36"/>
  <c r="P451" i="36"/>
  <c r="O451" i="36"/>
  <c r="N451" i="36"/>
  <c r="Z451" i="36" l="1"/>
  <c r="Q452" i="36"/>
  <c r="W452" i="36"/>
  <c r="I460" i="36"/>
  <c r="AA459" i="36"/>
  <c r="O459" i="36"/>
  <c r="AA450" i="36"/>
  <c r="Y450" i="36"/>
  <c r="AB450" i="36" s="1"/>
  <c r="X450" i="36"/>
  <c r="U450" i="36"/>
  <c r="T450" i="36"/>
  <c r="S450" i="36"/>
  <c r="Z450" i="36" s="1"/>
  <c r="R450" i="36"/>
  <c r="P450" i="36"/>
  <c r="O450" i="36"/>
  <c r="N450" i="36"/>
  <c r="X460" i="36" l="1"/>
  <c r="T460" i="36"/>
  <c r="J460" i="36"/>
  <c r="W450" i="36"/>
  <c r="AA449" i="36"/>
  <c r="Y449" i="36"/>
  <c r="AB449" i="36" s="1"/>
  <c r="X449" i="36"/>
  <c r="U449" i="36"/>
  <c r="T449" i="36"/>
  <c r="S449" i="36"/>
  <c r="W449" i="36" s="1"/>
  <c r="R449" i="36"/>
  <c r="P449" i="36"/>
  <c r="O449" i="36"/>
  <c r="N449" i="36"/>
  <c r="L449" i="36"/>
  <c r="Q449" i="36" s="1"/>
  <c r="AA448" i="36"/>
  <c r="Y448" i="36"/>
  <c r="AB448" i="36" s="1"/>
  <c r="X448" i="36"/>
  <c r="U448" i="36"/>
  <c r="T448" i="36"/>
  <c r="S448" i="36"/>
  <c r="W448" i="36" s="1"/>
  <c r="R448" i="36"/>
  <c r="P448" i="36"/>
  <c r="O448" i="36"/>
  <c r="N448" i="36"/>
  <c r="L448" i="36"/>
  <c r="M448" i="36" s="1"/>
  <c r="AA447" i="36"/>
  <c r="Y447" i="36"/>
  <c r="AB447" i="36" s="1"/>
  <c r="X447" i="36"/>
  <c r="U447" i="36"/>
  <c r="T447" i="36"/>
  <c r="S447" i="36"/>
  <c r="W447" i="36" s="1"/>
  <c r="R447" i="36"/>
  <c r="P447" i="36"/>
  <c r="O447" i="36"/>
  <c r="N447" i="36"/>
  <c r="Z448" i="36" l="1"/>
  <c r="Z447" i="36"/>
  <c r="Z449" i="36"/>
  <c r="M449" i="36"/>
  <c r="Q448" i="36"/>
  <c r="I461" i="36"/>
  <c r="AA460" i="36"/>
  <c r="O460" i="36"/>
  <c r="AA446" i="36"/>
  <c r="Y446" i="36"/>
  <c r="AB446" i="36" s="1"/>
  <c r="X446" i="36"/>
  <c r="U446" i="36"/>
  <c r="T446" i="36"/>
  <c r="S446" i="36"/>
  <c r="Z446" i="36" s="1"/>
  <c r="R446" i="36"/>
  <c r="P446" i="36"/>
  <c r="O446" i="36"/>
  <c r="N446" i="36"/>
  <c r="W446" i="36" l="1"/>
  <c r="T461" i="36"/>
  <c r="X461" i="36"/>
  <c r="O461" i="36"/>
  <c r="AA445" i="36"/>
  <c r="Y445" i="36"/>
  <c r="AB445" i="36" s="1"/>
  <c r="X445" i="36"/>
  <c r="U445" i="36"/>
  <c r="T445" i="36"/>
  <c r="S445" i="36"/>
  <c r="Z445" i="36" s="1"/>
  <c r="R445" i="36"/>
  <c r="P445" i="36"/>
  <c r="O445" i="36"/>
  <c r="N445" i="36"/>
  <c r="W445" i="36" l="1"/>
  <c r="AA444" i="36"/>
  <c r="Y444" i="36"/>
  <c r="AB444" i="36" s="1"/>
  <c r="X444" i="36"/>
  <c r="U444" i="36"/>
  <c r="T444" i="36"/>
  <c r="S444" i="36"/>
  <c r="Z444" i="36" s="1"/>
  <c r="R444" i="36"/>
  <c r="P444" i="36"/>
  <c r="O444" i="36"/>
  <c r="N444" i="36"/>
  <c r="W444" i="36" l="1"/>
  <c r="AA443" i="36"/>
  <c r="Y443" i="36"/>
  <c r="AB443" i="36" s="1"/>
  <c r="X443" i="36"/>
  <c r="U443" i="36"/>
  <c r="T443" i="36"/>
  <c r="S443" i="36"/>
  <c r="Z443" i="36" s="1"/>
  <c r="R443" i="36"/>
  <c r="P443" i="36"/>
  <c r="O443" i="36"/>
  <c r="N443" i="36"/>
  <c r="W443" i="36" l="1"/>
  <c r="AA442" i="36"/>
  <c r="Y442" i="36"/>
  <c r="AB442" i="36" s="1"/>
  <c r="X442" i="36"/>
  <c r="U442" i="36"/>
  <c r="T442" i="36"/>
  <c r="S442" i="36"/>
  <c r="Z442" i="36" s="1"/>
  <c r="R442" i="36"/>
  <c r="P442" i="36"/>
  <c r="O442" i="36"/>
  <c r="N442" i="36"/>
  <c r="W442" i="36" l="1"/>
  <c r="AA441" i="36"/>
  <c r="Y441" i="36"/>
  <c r="AB441" i="36" s="1"/>
  <c r="X441" i="36"/>
  <c r="U441" i="36"/>
  <c r="T441" i="36"/>
  <c r="S441" i="36"/>
  <c r="Z441" i="36" s="1"/>
  <c r="R441" i="36"/>
  <c r="P441" i="36"/>
  <c r="O441" i="36"/>
  <c r="N441" i="36"/>
  <c r="W441" i="36" l="1"/>
  <c r="AA440" i="36"/>
  <c r="Y440" i="36"/>
  <c r="AB440" i="36" s="1"/>
  <c r="X440" i="36"/>
  <c r="U440" i="36"/>
  <c r="T440" i="36"/>
  <c r="S440" i="36"/>
  <c r="W440" i="36" s="1"/>
  <c r="R440" i="36"/>
  <c r="P440" i="36"/>
  <c r="O440" i="36"/>
  <c r="N440" i="36"/>
  <c r="Z440" i="36" l="1"/>
  <c r="AA439" i="36"/>
  <c r="Y439" i="36"/>
  <c r="AB439" i="36" s="1"/>
  <c r="X439" i="36"/>
  <c r="U439" i="36"/>
  <c r="T439" i="36"/>
  <c r="S439" i="36"/>
  <c r="Z439" i="36" s="1"/>
  <c r="R439" i="36"/>
  <c r="P439" i="36"/>
  <c r="O439" i="36"/>
  <c r="N439" i="36"/>
  <c r="L439" i="36"/>
  <c r="M439" i="36" s="1"/>
  <c r="AA438" i="36"/>
  <c r="Y438" i="36"/>
  <c r="AB438" i="36" s="1"/>
  <c r="X438" i="36"/>
  <c r="U438" i="36"/>
  <c r="T438" i="36"/>
  <c r="S438" i="36"/>
  <c r="W438" i="36" s="1"/>
  <c r="R438" i="36"/>
  <c r="P438" i="36"/>
  <c r="O438" i="36"/>
  <c r="N438" i="36"/>
  <c r="L438" i="36"/>
  <c r="M438" i="36" s="1"/>
  <c r="AA437" i="36"/>
  <c r="X437" i="36"/>
  <c r="T437" i="36"/>
  <c r="S437" i="36"/>
  <c r="W437" i="36" s="1"/>
  <c r="R437" i="36"/>
  <c r="O437" i="36"/>
  <c r="H437" i="36"/>
  <c r="Y437" i="36" s="1"/>
  <c r="AB437" i="36" s="1"/>
  <c r="D437" i="36"/>
  <c r="AA436" i="36"/>
  <c r="Y436" i="36"/>
  <c r="AB436" i="36" s="1"/>
  <c r="X436" i="36"/>
  <c r="U436" i="36"/>
  <c r="T436" i="36"/>
  <c r="S436" i="36"/>
  <c r="W436" i="36" s="1"/>
  <c r="R436" i="36"/>
  <c r="P436" i="36"/>
  <c r="O436" i="36"/>
  <c r="N436" i="36"/>
  <c r="L436" i="36"/>
  <c r="Q436" i="36" s="1"/>
  <c r="AA435" i="36"/>
  <c r="Y435" i="36"/>
  <c r="AB435" i="36" s="1"/>
  <c r="X435" i="36"/>
  <c r="U435" i="36"/>
  <c r="T435" i="36"/>
  <c r="S435" i="36"/>
  <c r="W435" i="36" s="1"/>
  <c r="R435" i="36"/>
  <c r="P435" i="36"/>
  <c r="O435" i="36"/>
  <c r="N435" i="36"/>
  <c r="Z436" i="36" l="1"/>
  <c r="Q438" i="36"/>
  <c r="L437" i="36"/>
  <c r="M437" i="36" s="1"/>
  <c r="Z438" i="36"/>
  <c r="P437" i="36"/>
  <c r="Z435" i="36"/>
  <c r="Q437" i="36"/>
  <c r="N437" i="36"/>
  <c r="Q439" i="36"/>
  <c r="Z437" i="36"/>
  <c r="U437" i="36"/>
  <c r="M436" i="36"/>
  <c r="W439" i="36"/>
  <c r="Y434" i="36"/>
  <c r="AB434" i="36" s="1"/>
  <c r="X434" i="36"/>
  <c r="U434" i="36"/>
  <c r="T434" i="36"/>
  <c r="S434" i="36"/>
  <c r="W434" i="36" s="1"/>
  <c r="R434" i="36"/>
  <c r="P434" i="36"/>
  <c r="N434" i="36"/>
  <c r="Z434" i="36" l="1"/>
  <c r="J434" i="36"/>
  <c r="AA433" i="36"/>
  <c r="Y433" i="36"/>
  <c r="AB433" i="36" s="1"/>
  <c r="X433" i="36"/>
  <c r="U433" i="36"/>
  <c r="T433" i="36"/>
  <c r="S433" i="36"/>
  <c r="Z433" i="36" s="1"/>
  <c r="R433" i="36"/>
  <c r="P433" i="36"/>
  <c r="O433" i="36"/>
  <c r="N433" i="36"/>
  <c r="AA434" i="36" l="1"/>
  <c r="O434" i="36"/>
  <c r="W433" i="36"/>
  <c r="AA432" i="36"/>
  <c r="Y432" i="36"/>
  <c r="AB432" i="36" s="1"/>
  <c r="X432" i="36"/>
  <c r="U432" i="36"/>
  <c r="T432" i="36"/>
  <c r="S432" i="36"/>
  <c r="Z432" i="36" s="1"/>
  <c r="R432" i="36"/>
  <c r="P432" i="36"/>
  <c r="O432" i="36"/>
  <c r="N432" i="36"/>
  <c r="W432" i="36" l="1"/>
  <c r="Y431" i="36"/>
  <c r="AB431" i="36" s="1"/>
  <c r="X431" i="36"/>
  <c r="U431" i="36"/>
  <c r="T431" i="36"/>
  <c r="S431" i="36"/>
  <c r="Z431" i="36" s="1"/>
  <c r="R431" i="36"/>
  <c r="P431" i="36"/>
  <c r="N431" i="36"/>
  <c r="W431" i="36" l="1"/>
  <c r="J431" i="36"/>
  <c r="AA430" i="36"/>
  <c r="Y430" i="36"/>
  <c r="AB430" i="36" s="1"/>
  <c r="X430" i="36"/>
  <c r="U430" i="36"/>
  <c r="T430" i="36"/>
  <c r="S430" i="36"/>
  <c r="W430" i="36" s="1"/>
  <c r="R430" i="36"/>
  <c r="P430" i="36"/>
  <c r="O430" i="36"/>
  <c r="N430" i="36"/>
  <c r="Z430" i="36" l="1"/>
  <c r="AA431" i="36"/>
  <c r="O431" i="36"/>
  <c r="AA429" i="36"/>
  <c r="Y429" i="36"/>
  <c r="AB429" i="36" s="1"/>
  <c r="X429" i="36"/>
  <c r="U429" i="36"/>
  <c r="T429" i="36"/>
  <c r="S429" i="36"/>
  <c r="Z429" i="36" s="1"/>
  <c r="R429" i="36"/>
  <c r="P429" i="36"/>
  <c r="O429" i="36"/>
  <c r="N429" i="36"/>
  <c r="L429" i="36"/>
  <c r="Q429" i="36" s="1"/>
  <c r="AA428" i="36"/>
  <c r="Y428" i="36"/>
  <c r="AB428" i="36" s="1"/>
  <c r="X428" i="36"/>
  <c r="U428" i="36"/>
  <c r="T428" i="36"/>
  <c r="S428" i="36"/>
  <c r="W428" i="36" s="1"/>
  <c r="R428" i="36"/>
  <c r="P428" i="36"/>
  <c r="O428" i="36"/>
  <c r="N428" i="36"/>
  <c r="L428" i="36"/>
  <c r="Q428" i="36" s="1"/>
  <c r="AA427" i="36"/>
  <c r="Y427" i="36"/>
  <c r="AB427" i="36" s="1"/>
  <c r="X427" i="36"/>
  <c r="U427" i="36"/>
  <c r="T427" i="36"/>
  <c r="S427" i="36"/>
  <c r="Z427" i="36" s="1"/>
  <c r="R427" i="36"/>
  <c r="P427" i="36"/>
  <c r="O427" i="36"/>
  <c r="N427" i="36"/>
  <c r="M429" i="36" l="1"/>
  <c r="Z428" i="36"/>
  <c r="W429" i="36"/>
  <c r="M428" i="36"/>
  <c r="W427" i="36"/>
  <c r="AA426" i="36"/>
  <c r="Y426" i="36"/>
  <c r="AB426" i="36" s="1"/>
  <c r="X426" i="36"/>
  <c r="U426" i="36"/>
  <c r="T426" i="36"/>
  <c r="S426" i="36"/>
  <c r="Z426" i="36" s="1"/>
  <c r="R426" i="36"/>
  <c r="P426" i="36"/>
  <c r="O426" i="36"/>
  <c r="N426" i="36"/>
  <c r="W426" i="36" l="1"/>
  <c r="Y425" i="36"/>
  <c r="AB425" i="36" s="1"/>
  <c r="U425" i="36"/>
  <c r="S425" i="36"/>
  <c r="Z425" i="36" s="1"/>
  <c r="R425" i="36"/>
  <c r="P425" i="36"/>
  <c r="W425" i="36" l="1"/>
  <c r="K425" i="36"/>
  <c r="N425" i="36" s="1"/>
  <c r="I425" i="36"/>
  <c r="J425" i="36" s="1"/>
  <c r="AA425" i="36" s="1"/>
  <c r="AA424" i="36"/>
  <c r="Y424" i="36"/>
  <c r="AB424" i="36" s="1"/>
  <c r="X424" i="36"/>
  <c r="U424" i="36"/>
  <c r="T424" i="36"/>
  <c r="S424" i="36"/>
  <c r="Z424" i="36" s="1"/>
  <c r="R424" i="36"/>
  <c r="P424" i="36"/>
  <c r="O424" i="36"/>
  <c r="N424" i="36"/>
  <c r="W424" i="36" l="1"/>
  <c r="X425" i="36"/>
  <c r="T425" i="36"/>
  <c r="O425" i="36"/>
  <c r="Y423" i="36"/>
  <c r="AB423" i="36" s="1"/>
  <c r="U423" i="36"/>
  <c r="S423" i="36"/>
  <c r="Z423" i="36" s="1"/>
  <c r="R423" i="36"/>
  <c r="P423" i="36"/>
  <c r="N423" i="36"/>
  <c r="W423" i="36" l="1"/>
  <c r="I423" i="36"/>
  <c r="AA422" i="36"/>
  <c r="Y422" i="36"/>
  <c r="AB422" i="36" s="1"/>
  <c r="X422" i="36"/>
  <c r="U422" i="36"/>
  <c r="T422" i="36"/>
  <c r="S422" i="36"/>
  <c r="Z422" i="36" s="1"/>
  <c r="R422" i="36"/>
  <c r="P422" i="36"/>
  <c r="O422" i="36"/>
  <c r="N422" i="36"/>
  <c r="W422" i="36" l="1"/>
  <c r="X423" i="36"/>
  <c r="T423" i="36"/>
  <c r="J423" i="36"/>
  <c r="AA423" i="36" s="1"/>
  <c r="AA421" i="36"/>
  <c r="Y421" i="36"/>
  <c r="AB421" i="36" s="1"/>
  <c r="X421" i="36"/>
  <c r="U421" i="36"/>
  <c r="T421" i="36"/>
  <c r="S421" i="36"/>
  <c r="Z421" i="36" s="1"/>
  <c r="R421" i="36"/>
  <c r="P421" i="36"/>
  <c r="O421" i="36"/>
  <c r="N421" i="36"/>
  <c r="L421" i="36"/>
  <c r="Q421" i="36" s="1"/>
  <c r="AA420" i="36"/>
  <c r="Y420" i="36"/>
  <c r="AB420" i="36" s="1"/>
  <c r="U420" i="36"/>
  <c r="S420" i="36"/>
  <c r="Z420" i="36" s="1"/>
  <c r="R420" i="36"/>
  <c r="P420" i="36"/>
  <c r="N420" i="36"/>
  <c r="W420" i="36" l="1"/>
  <c r="M421" i="36"/>
  <c r="W421" i="36"/>
  <c r="O423" i="36"/>
  <c r="Y419" i="36"/>
  <c r="AB419" i="36" s="1"/>
  <c r="U419" i="36"/>
  <c r="S419" i="36"/>
  <c r="W419" i="36" s="1"/>
  <c r="R419" i="36"/>
  <c r="P419" i="36"/>
  <c r="N419" i="36"/>
  <c r="Z419" i="36" l="1"/>
  <c r="Y418" i="36"/>
  <c r="AB418" i="36" s="1"/>
  <c r="U418" i="36"/>
  <c r="S418" i="36"/>
  <c r="Z418" i="36" s="1"/>
  <c r="R418" i="36"/>
  <c r="P418" i="36"/>
  <c r="N418" i="36"/>
  <c r="W418" i="36" l="1"/>
  <c r="I418" i="36"/>
  <c r="J418" i="36" s="1"/>
  <c r="AA417" i="36"/>
  <c r="Y417" i="36"/>
  <c r="AB417" i="36" s="1"/>
  <c r="X417" i="36"/>
  <c r="U417" i="36"/>
  <c r="T417" i="36"/>
  <c r="S417" i="36"/>
  <c r="Z417" i="36" s="1"/>
  <c r="R417" i="36"/>
  <c r="P417" i="36"/>
  <c r="O417" i="36"/>
  <c r="N417" i="36"/>
  <c r="W417" i="36" l="1"/>
  <c r="X418" i="36"/>
  <c r="T418" i="36"/>
  <c r="O418" i="36"/>
  <c r="I419" i="36"/>
  <c r="AA418" i="36"/>
  <c r="Y416" i="36"/>
  <c r="AB416" i="36" s="1"/>
  <c r="U416" i="36"/>
  <c r="S416" i="36"/>
  <c r="Z416" i="36" s="1"/>
  <c r="R416" i="36"/>
  <c r="P416" i="36"/>
  <c r="N416" i="36"/>
  <c r="W416" i="36" l="1"/>
  <c r="T419" i="36"/>
  <c r="X419" i="36"/>
  <c r="J419" i="36"/>
  <c r="Y415" i="36"/>
  <c r="AB415" i="36" s="1"/>
  <c r="U415" i="36"/>
  <c r="S415" i="36"/>
  <c r="Z415" i="36" s="1"/>
  <c r="R415" i="36"/>
  <c r="P415" i="36"/>
  <c r="N415" i="36"/>
  <c r="W415" i="36" l="1"/>
  <c r="I420" i="36"/>
  <c r="AA419" i="36"/>
  <c r="O419" i="36"/>
  <c r="I415" i="36"/>
  <c r="J415" i="36" s="1"/>
  <c r="AA414" i="36"/>
  <c r="Y414" i="36"/>
  <c r="AB414" i="36" s="1"/>
  <c r="X414" i="36"/>
  <c r="U414" i="36"/>
  <c r="T414" i="36"/>
  <c r="S414" i="36"/>
  <c r="Z414" i="36" s="1"/>
  <c r="R414" i="36"/>
  <c r="P414" i="36"/>
  <c r="O414" i="36"/>
  <c r="N414" i="36"/>
  <c r="W414" i="36" l="1"/>
  <c r="X415" i="36"/>
  <c r="T415" i="36"/>
  <c r="O415" i="36"/>
  <c r="T420" i="36"/>
  <c r="X420" i="36"/>
  <c r="O420" i="36"/>
  <c r="I416" i="36"/>
  <c r="AA415" i="36"/>
  <c r="AA413" i="36"/>
  <c r="X413" i="36"/>
  <c r="T413" i="36"/>
  <c r="S413" i="36"/>
  <c r="Z413" i="36" s="1"/>
  <c r="R413" i="36"/>
  <c r="O413" i="36"/>
  <c r="L413" i="36"/>
  <c r="AA412" i="36"/>
  <c r="Y412" i="36"/>
  <c r="AB412" i="36" s="1"/>
  <c r="X412" i="36"/>
  <c r="U412" i="36"/>
  <c r="T412" i="36"/>
  <c r="S412" i="36"/>
  <c r="Z412" i="36" s="1"/>
  <c r="R412" i="36"/>
  <c r="P412" i="36"/>
  <c r="O412" i="36"/>
  <c r="N412" i="36"/>
  <c r="L412" i="36"/>
  <c r="Q412" i="36" s="1"/>
  <c r="AA411" i="36"/>
  <c r="Y411" i="36"/>
  <c r="AB411" i="36" s="1"/>
  <c r="X411" i="36"/>
  <c r="U411" i="36"/>
  <c r="T411" i="36"/>
  <c r="S411" i="36"/>
  <c r="Z411" i="36" s="1"/>
  <c r="R411" i="36"/>
  <c r="P411" i="36"/>
  <c r="O411" i="36"/>
  <c r="L411" i="36"/>
  <c r="M411" i="36" s="1"/>
  <c r="S410" i="36"/>
  <c r="Z410" i="36" s="1"/>
  <c r="R410" i="36"/>
  <c r="N411" i="36" l="1"/>
  <c r="Q411" i="36"/>
  <c r="W411" i="36"/>
  <c r="W413" i="36"/>
  <c r="T416" i="36"/>
  <c r="X416" i="36"/>
  <c r="J416" i="36"/>
  <c r="AA416" i="36" s="1"/>
  <c r="M412" i="36"/>
  <c r="W410" i="36"/>
  <c r="W412" i="36"/>
  <c r="K410" i="36"/>
  <c r="J410" i="36"/>
  <c r="AA410" i="36" s="1"/>
  <c r="I410" i="36"/>
  <c r="H410" i="36"/>
  <c r="AA409" i="36"/>
  <c r="Y409" i="36"/>
  <c r="AB409" i="36" s="1"/>
  <c r="U409" i="36"/>
  <c r="S409" i="36"/>
  <c r="W409" i="36" s="1"/>
  <c r="R409" i="36"/>
  <c r="P409" i="36"/>
  <c r="N409" i="36"/>
  <c r="T410" i="36" l="1"/>
  <c r="O410" i="36" s="1"/>
  <c r="X410" i="36"/>
  <c r="Z409" i="36"/>
  <c r="O416" i="36"/>
  <c r="U410" i="36"/>
  <c r="P410" i="36"/>
  <c r="N410" i="36"/>
  <c r="Y410" i="36"/>
  <c r="AB410" i="36" s="1"/>
  <c r="S408" i="36"/>
  <c r="Z408" i="36" s="1"/>
  <c r="R408" i="36"/>
  <c r="W408" i="36" l="1"/>
  <c r="S407" i="36"/>
  <c r="Z407" i="36" s="1"/>
  <c r="R407" i="36"/>
  <c r="W407" i="36" l="1"/>
  <c r="I407" i="36"/>
  <c r="H407" i="36"/>
  <c r="AA406" i="36"/>
  <c r="Y406" i="36"/>
  <c r="AB406" i="36" s="1"/>
  <c r="X406" i="36"/>
  <c r="U406" i="36"/>
  <c r="T406" i="36"/>
  <c r="S406" i="36"/>
  <c r="Z406" i="36" s="1"/>
  <c r="R406" i="36"/>
  <c r="P406" i="36"/>
  <c r="O406" i="36"/>
  <c r="N406" i="36"/>
  <c r="W406" i="36" l="1"/>
  <c r="H413" i="36"/>
  <c r="H408" i="36"/>
  <c r="Y407" i="36"/>
  <c r="AB407" i="36" s="1"/>
  <c r="U407" i="36"/>
  <c r="P407" i="36"/>
  <c r="N407" i="36"/>
  <c r="X407" i="36"/>
  <c r="T407" i="36"/>
  <c r="J407" i="36"/>
  <c r="AA405" i="36"/>
  <c r="Y405" i="36"/>
  <c r="AB405" i="36" s="1"/>
  <c r="X405" i="36"/>
  <c r="U405" i="36"/>
  <c r="T405" i="36"/>
  <c r="S405" i="36"/>
  <c r="W405" i="36" s="1"/>
  <c r="R405" i="36"/>
  <c r="P405" i="36"/>
  <c r="O405" i="36"/>
  <c r="L405" i="36"/>
  <c r="Q405" i="36" s="1"/>
  <c r="K405" i="36"/>
  <c r="N405" i="36" s="1"/>
  <c r="Y404" i="36"/>
  <c r="AB404" i="36" s="1"/>
  <c r="X404" i="36"/>
  <c r="U404" i="36"/>
  <c r="T404" i="36"/>
  <c r="S404" i="36"/>
  <c r="Z404" i="36" s="1"/>
  <c r="R404" i="36"/>
  <c r="P404" i="36"/>
  <c r="N404" i="36"/>
  <c r="M405" i="36" l="1"/>
  <c r="Z405" i="36"/>
  <c r="I408" i="36"/>
  <c r="AA407" i="36"/>
  <c r="O407" i="36"/>
  <c r="W404" i="36"/>
  <c r="U408" i="36"/>
  <c r="P408" i="36"/>
  <c r="N408" i="36"/>
  <c r="Y408" i="36"/>
  <c r="AB408" i="36" s="1"/>
  <c r="Y413" i="36"/>
  <c r="AB413" i="36" s="1"/>
  <c r="U413" i="36"/>
  <c r="P413" i="36"/>
  <c r="Q413" i="36"/>
  <c r="N413" i="36"/>
  <c r="M413" i="36"/>
  <c r="J404" i="36"/>
  <c r="Y403" i="36"/>
  <c r="AB403" i="36" s="1"/>
  <c r="X403" i="36"/>
  <c r="U403" i="36"/>
  <c r="T403" i="36"/>
  <c r="S403" i="36"/>
  <c r="Z403" i="36" s="1"/>
  <c r="R403" i="36"/>
  <c r="P403" i="36"/>
  <c r="N403" i="36"/>
  <c r="AA404" i="36" l="1"/>
  <c r="O404" i="36"/>
  <c r="W403" i="36"/>
  <c r="T408" i="36"/>
  <c r="X408" i="36"/>
  <c r="J408" i="36"/>
  <c r="J403" i="36"/>
  <c r="AA402" i="36"/>
  <c r="Y402" i="36"/>
  <c r="AB402" i="36" s="1"/>
  <c r="X402" i="36"/>
  <c r="U402" i="36"/>
  <c r="T402" i="36"/>
  <c r="S402" i="36"/>
  <c r="Z402" i="36" s="1"/>
  <c r="R402" i="36"/>
  <c r="P402" i="36"/>
  <c r="O402" i="36"/>
  <c r="N402" i="36"/>
  <c r="O403" i="36" l="1"/>
  <c r="AA403" i="36"/>
  <c r="AA408" i="36"/>
  <c r="I409" i="36"/>
  <c r="O408" i="36"/>
  <c r="W402" i="36"/>
  <c r="AA401" i="36"/>
  <c r="Y401" i="36"/>
  <c r="AB401" i="36" s="1"/>
  <c r="X401" i="36"/>
  <c r="U401" i="36"/>
  <c r="T401" i="36"/>
  <c r="S401" i="36"/>
  <c r="Z401" i="36" s="1"/>
  <c r="R401" i="36"/>
  <c r="P401" i="36"/>
  <c r="O401" i="36"/>
  <c r="N401" i="36"/>
  <c r="W401" i="36" l="1"/>
  <c r="X409" i="36"/>
  <c r="T409" i="36"/>
  <c r="O409" i="36"/>
  <c r="AA400" i="36"/>
  <c r="X400" i="36"/>
  <c r="T400" i="36"/>
  <c r="S400" i="36"/>
  <c r="W400" i="36" s="1"/>
  <c r="R400" i="36"/>
  <c r="L400" i="36"/>
  <c r="H400" i="36"/>
  <c r="AA399" i="36"/>
  <c r="X399" i="36"/>
  <c r="T399" i="36"/>
  <c r="S399" i="36"/>
  <c r="Z399" i="36" s="1"/>
  <c r="R399" i="36"/>
  <c r="O399" i="36"/>
  <c r="L399" i="36"/>
  <c r="H399" i="36"/>
  <c r="Y399" i="36" s="1"/>
  <c r="AB399" i="36" s="1"/>
  <c r="AA398" i="36"/>
  <c r="X398" i="36"/>
  <c r="T398" i="36"/>
  <c r="S398" i="36"/>
  <c r="Z398" i="36" s="1"/>
  <c r="R398" i="36"/>
  <c r="O398" i="36"/>
  <c r="U399" i="36" l="1"/>
  <c r="W399" i="36"/>
  <c r="Q399" i="36"/>
  <c r="Q400" i="36"/>
  <c r="W398" i="36"/>
  <c r="N400" i="36"/>
  <c r="Y400" i="36"/>
  <c r="AB400" i="36" s="1"/>
  <c r="M399" i="36"/>
  <c r="Z400" i="36"/>
  <c r="N399" i="36"/>
  <c r="U400" i="36"/>
  <c r="P399" i="36"/>
  <c r="P400" i="36"/>
  <c r="M400" i="36"/>
  <c r="H398" i="36"/>
  <c r="AA397" i="36"/>
  <c r="X397" i="36"/>
  <c r="T397" i="36"/>
  <c r="S397" i="36"/>
  <c r="W397" i="36" s="1"/>
  <c r="R397" i="36"/>
  <c r="O397" i="36"/>
  <c r="Z397" i="36" l="1"/>
  <c r="Y398" i="36"/>
  <c r="AB398" i="36" s="1"/>
  <c r="P398" i="36"/>
  <c r="U398" i="36"/>
  <c r="N398" i="36"/>
  <c r="H397" i="36"/>
  <c r="AA396" i="36"/>
  <c r="Y396" i="36"/>
  <c r="AB396" i="36" s="1"/>
  <c r="X396" i="36"/>
  <c r="U396" i="36"/>
  <c r="T396" i="36"/>
  <c r="S396" i="36"/>
  <c r="W396" i="36" s="1"/>
  <c r="R396" i="36"/>
  <c r="Q396" i="36"/>
  <c r="P396" i="36"/>
  <c r="O396" i="36"/>
  <c r="K396" i="36"/>
  <c r="M396" i="36" s="1"/>
  <c r="AA395" i="36"/>
  <c r="X395" i="36"/>
  <c r="T395" i="36"/>
  <c r="S395" i="36"/>
  <c r="Z395" i="36" s="1"/>
  <c r="R395" i="36"/>
  <c r="O395" i="36"/>
  <c r="L395" i="36"/>
  <c r="H395" i="36"/>
  <c r="U395" i="36" s="1"/>
  <c r="AA394" i="36"/>
  <c r="Y394" i="36"/>
  <c r="AB394" i="36" s="1"/>
  <c r="X394" i="36"/>
  <c r="U394" i="36"/>
  <c r="T394" i="36"/>
  <c r="S394" i="36"/>
  <c r="Z394" i="36" s="1"/>
  <c r="R394" i="36"/>
  <c r="P394" i="36"/>
  <c r="M394" i="36"/>
  <c r="L394" i="36"/>
  <c r="Q394" i="36" s="1"/>
  <c r="AA393" i="36"/>
  <c r="X393" i="36"/>
  <c r="T393" i="36"/>
  <c r="S393" i="36"/>
  <c r="Z393" i="36" s="1"/>
  <c r="R393" i="36"/>
  <c r="L393" i="36"/>
  <c r="K394" i="36" s="1"/>
  <c r="N394" i="36" s="1"/>
  <c r="H393" i="36"/>
  <c r="Y393" i="36" s="1"/>
  <c r="AB393" i="36" s="1"/>
  <c r="AA392" i="36"/>
  <c r="Y392" i="36"/>
  <c r="AB392" i="36" s="1"/>
  <c r="X392" i="36"/>
  <c r="U392" i="36"/>
  <c r="T392" i="36"/>
  <c r="S392" i="36"/>
  <c r="Z392" i="36" s="1"/>
  <c r="R392" i="36"/>
  <c r="P392" i="36"/>
  <c r="O392" i="36"/>
  <c r="N392" i="36"/>
  <c r="Y395" i="36" l="1"/>
  <c r="AB395" i="36" s="1"/>
  <c r="W395" i="36"/>
  <c r="N396" i="36"/>
  <c r="W392" i="36"/>
  <c r="W394" i="36"/>
  <c r="N393" i="36"/>
  <c r="M395" i="36"/>
  <c r="Z396" i="36"/>
  <c r="M393" i="36"/>
  <c r="U393" i="36"/>
  <c r="P395" i="36"/>
  <c r="Y397" i="36"/>
  <c r="AB397" i="36" s="1"/>
  <c r="P397" i="36"/>
  <c r="N397" i="36"/>
  <c r="U397" i="36"/>
  <c r="W393" i="36"/>
  <c r="Q395" i="36"/>
  <c r="P393" i="36"/>
  <c r="Q393" i="36"/>
  <c r="N395" i="36"/>
  <c r="Y391" i="36"/>
  <c r="AB391" i="36" s="1"/>
  <c r="X391" i="36"/>
  <c r="U391" i="36"/>
  <c r="T391" i="36"/>
  <c r="S391" i="36"/>
  <c r="Z391" i="36" s="1"/>
  <c r="R391" i="36"/>
  <c r="P391" i="36"/>
  <c r="N391" i="36"/>
  <c r="W391" i="36" l="1"/>
  <c r="J391" i="36"/>
  <c r="AA390" i="36"/>
  <c r="X390" i="36"/>
  <c r="T390" i="36"/>
  <c r="S390" i="36"/>
  <c r="Z390" i="36" s="1"/>
  <c r="R390" i="36"/>
  <c r="O390" i="36"/>
  <c r="W390" i="36" l="1"/>
  <c r="O391" i="36"/>
  <c r="AA391" i="36"/>
  <c r="H390" i="36"/>
  <c r="Y389" i="36"/>
  <c r="AB389" i="36" s="1"/>
  <c r="X389" i="36"/>
  <c r="U389" i="36"/>
  <c r="T389" i="36"/>
  <c r="S389" i="36"/>
  <c r="Z389" i="36" s="1"/>
  <c r="R389" i="36"/>
  <c r="P389" i="36"/>
  <c r="N389" i="36"/>
  <c r="W389" i="36" l="1"/>
  <c r="Y390" i="36"/>
  <c r="AB390" i="36" s="1"/>
  <c r="U390" i="36"/>
  <c r="P390" i="36"/>
  <c r="N390" i="36"/>
  <c r="J389" i="36"/>
  <c r="AA388" i="36"/>
  <c r="Y388" i="36"/>
  <c r="AB388" i="36" s="1"/>
  <c r="X388" i="36"/>
  <c r="U388" i="36"/>
  <c r="T388" i="36"/>
  <c r="S388" i="36"/>
  <c r="W388" i="36" s="1"/>
  <c r="R388" i="36"/>
  <c r="Q388" i="36"/>
  <c r="P388" i="36"/>
  <c r="O388" i="36"/>
  <c r="K388" i="36"/>
  <c r="M388" i="36" s="1"/>
  <c r="AA387" i="36"/>
  <c r="X387" i="36"/>
  <c r="U387" i="36"/>
  <c r="T387" i="36"/>
  <c r="S387" i="36"/>
  <c r="W387" i="36" s="1"/>
  <c r="R387" i="36"/>
  <c r="P387" i="36"/>
  <c r="O387" i="36"/>
  <c r="N387" i="36"/>
  <c r="Z387" i="36" l="1"/>
  <c r="O389" i="36"/>
  <c r="AA389" i="36"/>
  <c r="Z388" i="36"/>
  <c r="N388" i="36"/>
  <c r="X386" i="36"/>
  <c r="U386" i="36"/>
  <c r="T386" i="36"/>
  <c r="S386" i="36"/>
  <c r="Z386" i="36" s="1"/>
  <c r="R386" i="36"/>
  <c r="P386" i="36"/>
  <c r="N386" i="36"/>
  <c r="W386" i="36" l="1"/>
  <c r="J386" i="36"/>
  <c r="Y385" i="36"/>
  <c r="AB385" i="36" s="1"/>
  <c r="U385" i="36"/>
  <c r="S385" i="36"/>
  <c r="Z385" i="36" s="1"/>
  <c r="R385" i="36"/>
  <c r="P385" i="36"/>
  <c r="N385" i="36"/>
  <c r="W385" i="36" l="1"/>
  <c r="O386" i="36"/>
  <c r="AA386" i="36"/>
  <c r="Y384" i="36"/>
  <c r="AB384" i="36" s="1"/>
  <c r="X384" i="36"/>
  <c r="U384" i="36"/>
  <c r="T384" i="36"/>
  <c r="S384" i="36"/>
  <c r="Z384" i="36" s="1"/>
  <c r="R384" i="36"/>
  <c r="P384" i="36"/>
  <c r="N384" i="36"/>
  <c r="W384" i="36" l="1"/>
  <c r="J384" i="36"/>
  <c r="Y383" i="36"/>
  <c r="AB383" i="36" s="1"/>
  <c r="U383" i="36"/>
  <c r="S383" i="36"/>
  <c r="Z383" i="36" s="1"/>
  <c r="R383" i="36"/>
  <c r="P383" i="36"/>
  <c r="N383" i="36"/>
  <c r="W383" i="36" l="1"/>
  <c r="I385" i="36"/>
  <c r="AA384" i="36"/>
  <c r="O384" i="36"/>
  <c r="Y382" i="36"/>
  <c r="AB382" i="36" s="1"/>
  <c r="X382" i="36"/>
  <c r="U382" i="36"/>
  <c r="T382" i="36"/>
  <c r="S382" i="36"/>
  <c r="Z382" i="36" s="1"/>
  <c r="R382" i="36"/>
  <c r="P382" i="36"/>
  <c r="N382" i="36"/>
  <c r="W382" i="36" l="1"/>
  <c r="X385" i="36"/>
  <c r="T385" i="36"/>
  <c r="J385" i="36"/>
  <c r="AA385" i="36" s="1"/>
  <c r="J382" i="36"/>
  <c r="Y381" i="36"/>
  <c r="AB381" i="36" s="1"/>
  <c r="X381" i="36"/>
  <c r="U381" i="36"/>
  <c r="T381" i="36"/>
  <c r="S381" i="36"/>
  <c r="Z381" i="36" s="1"/>
  <c r="R381" i="36"/>
  <c r="P381" i="36"/>
  <c r="N381" i="36"/>
  <c r="J381" i="36"/>
  <c r="AA381" i="36" s="1"/>
  <c r="Y380" i="36"/>
  <c r="AB380" i="36" s="1"/>
  <c r="X380" i="36"/>
  <c r="U380" i="36"/>
  <c r="T380" i="36"/>
  <c r="S380" i="36"/>
  <c r="Z380" i="36" s="1"/>
  <c r="R380" i="36"/>
  <c r="P380" i="36"/>
  <c r="N380" i="36"/>
  <c r="J380" i="36"/>
  <c r="O380" i="36" s="1"/>
  <c r="Y379" i="36"/>
  <c r="AB379" i="36" s="1"/>
  <c r="X379" i="36"/>
  <c r="U379" i="36"/>
  <c r="T379" i="36"/>
  <c r="S379" i="36"/>
  <c r="W379" i="36" s="1"/>
  <c r="R379" i="36"/>
  <c r="P379" i="36"/>
  <c r="N379" i="36"/>
  <c r="J379" i="36"/>
  <c r="AA379" i="36" s="1"/>
  <c r="Y378" i="36"/>
  <c r="AB378" i="36" s="1"/>
  <c r="X378" i="36"/>
  <c r="U378" i="36"/>
  <c r="T378" i="36"/>
  <c r="S378" i="36"/>
  <c r="Z378" i="36" s="1"/>
  <c r="R378" i="36"/>
  <c r="P378" i="36"/>
  <c r="N378" i="36"/>
  <c r="L378" i="36"/>
  <c r="Q378" i="36" s="1"/>
  <c r="J378" i="36"/>
  <c r="AA378" i="36" s="1"/>
  <c r="AA377" i="36"/>
  <c r="Y377" i="36"/>
  <c r="AB377" i="36" s="1"/>
  <c r="X377" i="36"/>
  <c r="U377" i="36"/>
  <c r="T377" i="36"/>
  <c r="S377" i="36"/>
  <c r="Z377" i="36" s="1"/>
  <c r="R377" i="36"/>
  <c r="P377" i="36"/>
  <c r="O377" i="36"/>
  <c r="N377" i="36"/>
  <c r="L377" i="36"/>
  <c r="Y376" i="36"/>
  <c r="AB376" i="36" s="1"/>
  <c r="U376" i="36"/>
  <c r="S376" i="36"/>
  <c r="Z376" i="36" s="1"/>
  <c r="R376" i="36"/>
  <c r="P376" i="36"/>
  <c r="N376" i="36"/>
  <c r="W380" i="36" l="1"/>
  <c r="M377" i="36"/>
  <c r="Q377" i="36"/>
  <c r="AA380" i="36"/>
  <c r="O379" i="36"/>
  <c r="O385" i="36"/>
  <c r="O381" i="36"/>
  <c r="M378" i="36"/>
  <c r="Z379" i="36"/>
  <c r="W381" i="36"/>
  <c r="W376" i="36"/>
  <c r="W377" i="36"/>
  <c r="W378" i="36"/>
  <c r="O378" i="36"/>
  <c r="I383" i="36"/>
  <c r="AA382" i="36"/>
  <c r="O382" i="36"/>
  <c r="Y375" i="36"/>
  <c r="AB375" i="36" s="1"/>
  <c r="X375" i="36"/>
  <c r="U375" i="36"/>
  <c r="T375" i="36"/>
  <c r="S375" i="36"/>
  <c r="Z375" i="36" s="1"/>
  <c r="R375" i="36"/>
  <c r="P375" i="36"/>
  <c r="N375" i="36"/>
  <c r="X383" i="36" l="1"/>
  <c r="T383" i="36"/>
  <c r="J383" i="36"/>
  <c r="AA383" i="36" s="1"/>
  <c r="W375" i="36"/>
  <c r="J375" i="36"/>
  <c r="Y374" i="36"/>
  <c r="AB374" i="36" s="1"/>
  <c r="U374" i="36"/>
  <c r="S374" i="36"/>
  <c r="Z374" i="36" s="1"/>
  <c r="R374" i="36"/>
  <c r="P374" i="36"/>
  <c r="N374" i="36"/>
  <c r="W374" i="36" l="1"/>
  <c r="O375" i="36"/>
  <c r="I376" i="36"/>
  <c r="AA375" i="36"/>
  <c r="O383" i="36"/>
  <c r="Y373" i="36"/>
  <c r="AB373" i="36" s="1"/>
  <c r="X373" i="36"/>
  <c r="U373" i="36"/>
  <c r="T373" i="36"/>
  <c r="S373" i="36"/>
  <c r="Z373" i="36" s="1"/>
  <c r="R373" i="36"/>
  <c r="P373" i="36"/>
  <c r="N373" i="36"/>
  <c r="W373" i="36" l="1"/>
  <c r="X376" i="36"/>
  <c r="T376" i="36"/>
  <c r="J376" i="36"/>
  <c r="AA376" i="36" s="1"/>
  <c r="J373" i="36"/>
  <c r="Y372" i="36"/>
  <c r="AB372" i="36" s="1"/>
  <c r="X372" i="36"/>
  <c r="U372" i="36"/>
  <c r="T372" i="36"/>
  <c r="S372" i="36"/>
  <c r="W372" i="36" s="1"/>
  <c r="R372" i="36"/>
  <c r="P372" i="36"/>
  <c r="N372" i="36"/>
  <c r="L372" i="36"/>
  <c r="Q372" i="36" s="1"/>
  <c r="J372" i="36"/>
  <c r="AA372" i="36" s="1"/>
  <c r="Y371" i="36"/>
  <c r="AB371" i="36" s="1"/>
  <c r="X371" i="36"/>
  <c r="U371" i="36"/>
  <c r="T371" i="36"/>
  <c r="S371" i="36"/>
  <c r="Z371" i="36" s="1"/>
  <c r="R371" i="36"/>
  <c r="P371" i="36"/>
  <c r="N371" i="36"/>
  <c r="L371" i="36"/>
  <c r="Q371" i="36" s="1"/>
  <c r="J371" i="36"/>
  <c r="O371" i="36" s="1"/>
  <c r="Y370" i="36"/>
  <c r="AB370" i="36" s="1"/>
  <c r="X370" i="36"/>
  <c r="U370" i="36"/>
  <c r="T370" i="36"/>
  <c r="S370" i="36"/>
  <c r="Z370" i="36" s="1"/>
  <c r="R370" i="36"/>
  <c r="P370" i="36"/>
  <c r="N370" i="36"/>
  <c r="L370" i="36"/>
  <c r="Q370" i="36" s="1"/>
  <c r="J370" i="36"/>
  <c r="AA370" i="36" s="1"/>
  <c r="AA369" i="36"/>
  <c r="Y369" i="36"/>
  <c r="AB369" i="36" s="1"/>
  <c r="X369" i="36"/>
  <c r="U369" i="36"/>
  <c r="T369" i="36"/>
  <c r="S369" i="36"/>
  <c r="Z369" i="36" s="1"/>
  <c r="R369" i="36"/>
  <c r="P369" i="36"/>
  <c r="O369" i="36"/>
  <c r="N369" i="36"/>
  <c r="W371" i="36" l="1"/>
  <c r="AA371" i="36"/>
  <c r="O370" i="36"/>
  <c r="M370" i="36"/>
  <c r="M372" i="36"/>
  <c r="W369" i="36"/>
  <c r="O373" i="36"/>
  <c r="I374" i="36"/>
  <c r="AA373" i="36"/>
  <c r="O372" i="36"/>
  <c r="W370" i="36"/>
  <c r="Z372" i="36"/>
  <c r="M371" i="36"/>
  <c r="O376" i="36"/>
  <c r="AA368" i="36"/>
  <c r="Y368" i="36"/>
  <c r="AB368" i="36" s="1"/>
  <c r="U368" i="36"/>
  <c r="S368" i="36"/>
  <c r="Z368" i="36" s="1"/>
  <c r="R368" i="36"/>
  <c r="P368" i="36"/>
  <c r="N368" i="36"/>
  <c r="W368" i="36" l="1"/>
  <c r="T374" i="36"/>
  <c r="X374" i="36"/>
  <c r="J374" i="36"/>
  <c r="AA374" i="36" s="1"/>
  <c r="Y367" i="36"/>
  <c r="AB367" i="36" s="1"/>
  <c r="U367" i="36"/>
  <c r="S367" i="36"/>
  <c r="Z367" i="36" s="1"/>
  <c r="R367" i="36"/>
  <c r="P367" i="36"/>
  <c r="N367" i="36"/>
  <c r="W367" i="36" l="1"/>
  <c r="O374" i="36"/>
  <c r="Y366" i="36"/>
  <c r="AB366" i="36" s="1"/>
  <c r="U366" i="36"/>
  <c r="S366" i="36"/>
  <c r="Z366" i="36" s="1"/>
  <c r="R366" i="36"/>
  <c r="P366" i="36"/>
  <c r="N366" i="36"/>
  <c r="W366" i="36" l="1"/>
  <c r="Y365" i="36"/>
  <c r="AB365" i="36" s="1"/>
  <c r="X365" i="36"/>
  <c r="U365" i="36"/>
  <c r="T365" i="36"/>
  <c r="S365" i="36"/>
  <c r="Z365" i="36" s="1"/>
  <c r="R365" i="36"/>
  <c r="P365" i="36"/>
  <c r="N365" i="36"/>
  <c r="W365" i="36" l="1"/>
  <c r="J365" i="36"/>
  <c r="AA364" i="36"/>
  <c r="Y364" i="36"/>
  <c r="AB364" i="36" s="1"/>
  <c r="X364" i="36"/>
  <c r="U364" i="36"/>
  <c r="T364" i="36"/>
  <c r="S364" i="36"/>
  <c r="Z364" i="36" s="1"/>
  <c r="R364" i="36"/>
  <c r="P364" i="36"/>
  <c r="O364" i="36"/>
  <c r="N364" i="36"/>
  <c r="L364" i="36"/>
  <c r="Q364" i="36" s="1"/>
  <c r="Y363" i="36"/>
  <c r="AB363" i="36" s="1"/>
  <c r="X363" i="36"/>
  <c r="U363" i="36"/>
  <c r="T363" i="36"/>
  <c r="S363" i="36"/>
  <c r="Z363" i="36" s="1"/>
  <c r="R363" i="36"/>
  <c r="P363" i="36"/>
  <c r="N363" i="36"/>
  <c r="W364" i="36" l="1"/>
  <c r="M364" i="36"/>
  <c r="I366" i="36"/>
  <c r="O365" i="36"/>
  <c r="AA365" i="36"/>
  <c r="W363" i="36"/>
  <c r="J363" i="36"/>
  <c r="Y362" i="36"/>
  <c r="AB362" i="36" s="1"/>
  <c r="X362" i="36"/>
  <c r="U362" i="36"/>
  <c r="T362" i="36"/>
  <c r="S362" i="36"/>
  <c r="Z362" i="36" s="1"/>
  <c r="R362" i="36"/>
  <c r="P362" i="36"/>
  <c r="N362" i="36"/>
  <c r="W362" i="36" l="1"/>
  <c r="O363" i="36"/>
  <c r="AA363" i="36"/>
  <c r="T366" i="36"/>
  <c r="X366" i="36"/>
  <c r="J366" i="36"/>
  <c r="J362" i="36"/>
  <c r="AA361" i="36"/>
  <c r="Y361" i="36"/>
  <c r="AB361" i="36" s="1"/>
  <c r="X361" i="36"/>
  <c r="U361" i="36"/>
  <c r="T361" i="36"/>
  <c r="S361" i="36"/>
  <c r="W361" i="36" s="1"/>
  <c r="R361" i="36"/>
  <c r="P361" i="36"/>
  <c r="O361" i="36"/>
  <c r="K361" i="36"/>
  <c r="N361" i="36" s="1"/>
  <c r="AA360" i="36"/>
  <c r="Y360" i="36"/>
  <c r="AB360" i="36" s="1"/>
  <c r="X360" i="36"/>
  <c r="U360" i="36"/>
  <c r="T360" i="36"/>
  <c r="S360" i="36"/>
  <c r="W360" i="36" s="1"/>
  <c r="R360" i="36"/>
  <c r="P360" i="36"/>
  <c r="O360" i="36"/>
  <c r="L360" i="36"/>
  <c r="N360" i="36" s="1"/>
  <c r="Y359" i="36"/>
  <c r="AB359" i="36" s="1"/>
  <c r="X359" i="36"/>
  <c r="U359" i="36"/>
  <c r="T359" i="36"/>
  <c r="S359" i="36"/>
  <c r="Z359" i="36" s="1"/>
  <c r="R359" i="36"/>
  <c r="P359" i="36"/>
  <c r="N359" i="36"/>
  <c r="L361" i="36" l="1"/>
  <c r="M361" i="36"/>
  <c r="Z360" i="36"/>
  <c r="Q361" i="36"/>
  <c r="W359" i="36"/>
  <c r="M360" i="36"/>
  <c r="Z361" i="36"/>
  <c r="AA362" i="36"/>
  <c r="O362" i="36"/>
  <c r="Q360" i="36"/>
  <c r="I367" i="36"/>
  <c r="AA366" i="36"/>
  <c r="O366" i="36"/>
  <c r="J359" i="36"/>
  <c r="Y358" i="36"/>
  <c r="AB358" i="36" s="1"/>
  <c r="X358" i="36"/>
  <c r="U358" i="36"/>
  <c r="T358" i="36"/>
  <c r="S358" i="36"/>
  <c r="W358" i="36" s="1"/>
  <c r="R358" i="36"/>
  <c r="P358" i="36"/>
  <c r="N358" i="36"/>
  <c r="Z358" i="36" l="1"/>
  <c r="O359" i="36"/>
  <c r="AA359" i="36"/>
  <c r="X367" i="36"/>
  <c r="T367" i="36"/>
  <c r="J367" i="36"/>
  <c r="J358" i="36"/>
  <c r="AA357" i="36"/>
  <c r="Y357" i="36"/>
  <c r="AB357" i="36" s="1"/>
  <c r="X357" i="36"/>
  <c r="U357" i="36"/>
  <c r="T357" i="36"/>
  <c r="S357" i="36"/>
  <c r="Z357" i="36" s="1"/>
  <c r="R357" i="36"/>
  <c r="P357" i="36"/>
  <c r="O357" i="36"/>
  <c r="N357" i="36"/>
  <c r="L357" i="36"/>
  <c r="M357" i="36" s="1"/>
  <c r="AA356" i="36"/>
  <c r="Y356" i="36"/>
  <c r="AB356" i="36" s="1"/>
  <c r="X356" i="36"/>
  <c r="U356" i="36"/>
  <c r="T356" i="36"/>
  <c r="S356" i="36"/>
  <c r="W356" i="36" s="1"/>
  <c r="R356" i="36"/>
  <c r="P356" i="36"/>
  <c r="O356" i="36"/>
  <c r="N356" i="36"/>
  <c r="Z356" i="36" l="1"/>
  <c r="Q357" i="36"/>
  <c r="W357" i="36"/>
  <c r="AA358" i="36"/>
  <c r="O358" i="36"/>
  <c r="I368" i="36"/>
  <c r="AA367" i="36"/>
  <c r="O367" i="36"/>
  <c r="AA355" i="36"/>
  <c r="Y355" i="36"/>
  <c r="AB355" i="36" s="1"/>
  <c r="X355" i="36"/>
  <c r="U355" i="36"/>
  <c r="T355" i="36"/>
  <c r="S355" i="36"/>
  <c r="W355" i="36" s="1"/>
  <c r="R355" i="36"/>
  <c r="P355" i="36"/>
  <c r="O355" i="36"/>
  <c r="N355" i="36"/>
  <c r="L355" i="36"/>
  <c r="Q355" i="36" s="1"/>
  <c r="AA354" i="36"/>
  <c r="Y354" i="36"/>
  <c r="AB354" i="36" s="1"/>
  <c r="X354" i="36"/>
  <c r="U354" i="36"/>
  <c r="T354" i="36"/>
  <c r="S354" i="36"/>
  <c r="W354" i="36" s="1"/>
  <c r="R354" i="36"/>
  <c r="P354" i="36"/>
  <c r="O354" i="36"/>
  <c r="N354" i="36"/>
  <c r="L354" i="36"/>
  <c r="Q354" i="36" s="1"/>
  <c r="AA353" i="36"/>
  <c r="Y353" i="36"/>
  <c r="AB353" i="36" s="1"/>
  <c r="X353" i="36"/>
  <c r="U353" i="36"/>
  <c r="T353" i="36"/>
  <c r="S353" i="36"/>
  <c r="Z353" i="36" s="1"/>
  <c r="R353" i="36"/>
  <c r="P353" i="36"/>
  <c r="O353" i="36"/>
  <c r="N353" i="36"/>
  <c r="L353" i="36"/>
  <c r="M353" i="36" s="1"/>
  <c r="Y352" i="36"/>
  <c r="AB352" i="36" s="1"/>
  <c r="X352" i="36"/>
  <c r="U352" i="36"/>
  <c r="T352" i="36"/>
  <c r="S352" i="36"/>
  <c r="Z352" i="36" s="1"/>
  <c r="R352" i="36"/>
  <c r="P352" i="36"/>
  <c r="N352" i="36"/>
  <c r="Z354" i="36" l="1"/>
  <c r="M355" i="36"/>
  <c r="Q353" i="36"/>
  <c r="M354" i="36"/>
  <c r="Z355" i="36"/>
  <c r="W353" i="36"/>
  <c r="W352" i="36"/>
  <c r="X368" i="36"/>
  <c r="T368" i="36"/>
  <c r="O368" i="36"/>
  <c r="J352" i="36"/>
  <c r="Y351" i="36"/>
  <c r="AB351" i="36" s="1"/>
  <c r="X351" i="36"/>
  <c r="U351" i="36"/>
  <c r="T351" i="36"/>
  <c r="S351" i="36"/>
  <c r="Z351" i="36" s="1"/>
  <c r="R351" i="36"/>
  <c r="P351" i="36"/>
  <c r="N351" i="36"/>
  <c r="W351" i="36" l="1"/>
  <c r="AA352" i="36"/>
  <c r="O352" i="36"/>
  <c r="J351" i="36"/>
  <c r="Y350" i="36"/>
  <c r="AB350" i="36" s="1"/>
  <c r="X350" i="36"/>
  <c r="U350" i="36"/>
  <c r="T350" i="36"/>
  <c r="S350" i="36"/>
  <c r="Z350" i="36" s="1"/>
  <c r="R350" i="36"/>
  <c r="P350" i="36"/>
  <c r="N350" i="36"/>
  <c r="W350" i="36" l="1"/>
  <c r="O351" i="36"/>
  <c r="AA351" i="36"/>
  <c r="J350" i="36"/>
  <c r="AA349" i="36"/>
  <c r="Y349" i="36"/>
  <c r="AB349" i="36" s="1"/>
  <c r="X349" i="36"/>
  <c r="U349" i="36"/>
  <c r="T349" i="36"/>
  <c r="S349" i="36"/>
  <c r="Z349" i="36" s="1"/>
  <c r="R349" i="36"/>
  <c r="P349" i="36"/>
  <c r="O349" i="36"/>
  <c r="N349" i="36"/>
  <c r="L349" i="36"/>
  <c r="Q349" i="36" s="1"/>
  <c r="AA348" i="36"/>
  <c r="Y348" i="36"/>
  <c r="AB348" i="36" s="1"/>
  <c r="X348" i="36"/>
  <c r="U348" i="36"/>
  <c r="T348" i="36"/>
  <c r="S348" i="36"/>
  <c r="W348" i="36" s="1"/>
  <c r="R348" i="36"/>
  <c r="P348" i="36"/>
  <c r="O348" i="36"/>
  <c r="N348" i="36"/>
  <c r="L348" i="36"/>
  <c r="M348" i="36" s="1"/>
  <c r="AA347" i="36"/>
  <c r="Y347" i="36"/>
  <c r="AB347" i="36" s="1"/>
  <c r="X347" i="36"/>
  <c r="U347" i="36"/>
  <c r="T347" i="36"/>
  <c r="S347" i="36"/>
  <c r="W347" i="36" s="1"/>
  <c r="R347" i="36"/>
  <c r="P347" i="36"/>
  <c r="O347" i="36"/>
  <c r="N347" i="36"/>
  <c r="L347" i="36"/>
  <c r="M347" i="36" s="1"/>
  <c r="Y346" i="36"/>
  <c r="AB346" i="36" s="1"/>
  <c r="X346" i="36"/>
  <c r="U346" i="36"/>
  <c r="T346" i="36"/>
  <c r="S346" i="36"/>
  <c r="W346" i="36" s="1"/>
  <c r="R346" i="36"/>
  <c r="P346" i="36"/>
  <c r="N346" i="36"/>
  <c r="Z348" i="36" l="1"/>
  <c r="Z346" i="36"/>
  <c r="Z347" i="36"/>
  <c r="W349" i="36"/>
  <c r="M349" i="36"/>
  <c r="Q347" i="36"/>
  <c r="Q348" i="36"/>
  <c r="O350" i="36"/>
  <c r="AA350" i="36"/>
  <c r="J346" i="36"/>
  <c r="AA345" i="36"/>
  <c r="Y345" i="36"/>
  <c r="AB345" i="36" s="1"/>
  <c r="X345" i="36"/>
  <c r="U345" i="36"/>
  <c r="T345" i="36"/>
  <c r="S345" i="36"/>
  <c r="W345" i="36" s="1"/>
  <c r="R345" i="36"/>
  <c r="P345" i="36"/>
  <c r="O345" i="36"/>
  <c r="N345" i="36"/>
  <c r="L345" i="36"/>
  <c r="M345" i="36" s="1"/>
  <c r="Y344" i="36"/>
  <c r="AB344" i="36" s="1"/>
  <c r="U344" i="36"/>
  <c r="S344" i="36"/>
  <c r="W344" i="36" s="1"/>
  <c r="R344" i="36"/>
  <c r="P344" i="36"/>
  <c r="N344" i="36"/>
  <c r="Z344" i="36" l="1"/>
  <c r="Q345" i="36"/>
  <c r="Z345" i="36"/>
  <c r="O346" i="36"/>
  <c r="AA346" i="36"/>
  <c r="Y343" i="36"/>
  <c r="AB343" i="36" s="1"/>
  <c r="X343" i="36"/>
  <c r="U343" i="36"/>
  <c r="T343" i="36"/>
  <c r="S343" i="36"/>
  <c r="W343" i="36" s="1"/>
  <c r="R343" i="36"/>
  <c r="P343" i="36"/>
  <c r="N343" i="36"/>
  <c r="Z343" i="36" l="1"/>
  <c r="J343" i="36"/>
  <c r="AA342" i="36"/>
  <c r="Y342" i="36"/>
  <c r="AB342" i="36" s="1"/>
  <c r="X342" i="36"/>
  <c r="U342" i="36"/>
  <c r="T342" i="36"/>
  <c r="S342" i="36"/>
  <c r="Z342" i="36" s="1"/>
  <c r="R342" i="36"/>
  <c r="P342" i="36"/>
  <c r="O342" i="36"/>
  <c r="N342" i="36"/>
  <c r="W342" i="36" l="1"/>
  <c r="I344" i="36"/>
  <c r="AA343" i="36"/>
  <c r="O343" i="36"/>
  <c r="AA341" i="36"/>
  <c r="Y341" i="36"/>
  <c r="AB341" i="36" s="1"/>
  <c r="U341" i="36"/>
  <c r="S341" i="36"/>
  <c r="Z341" i="36" s="1"/>
  <c r="R341" i="36"/>
  <c r="P341" i="36"/>
  <c r="N341" i="36"/>
  <c r="W341" i="36" l="1"/>
  <c r="X344" i="36"/>
  <c r="T344" i="36"/>
  <c r="J344" i="36"/>
  <c r="AA344" i="36" s="1"/>
  <c r="Y340" i="36"/>
  <c r="AB340" i="36" s="1"/>
  <c r="U340" i="36"/>
  <c r="S340" i="36"/>
  <c r="Z340" i="36" s="1"/>
  <c r="R340" i="36"/>
  <c r="P340" i="36"/>
  <c r="N340" i="36"/>
  <c r="W340" i="36" l="1"/>
  <c r="O344" i="36"/>
  <c r="Y339" i="36"/>
  <c r="AB339" i="36" s="1"/>
  <c r="X339" i="36"/>
  <c r="U339" i="36"/>
  <c r="T339" i="36"/>
  <c r="S339" i="36"/>
  <c r="Z339" i="36" s="1"/>
  <c r="R339" i="36"/>
  <c r="P339" i="36"/>
  <c r="N339" i="36"/>
  <c r="W339" i="36" l="1"/>
  <c r="J339" i="36"/>
  <c r="Y338" i="36"/>
  <c r="AB338" i="36" s="1"/>
  <c r="U338" i="36"/>
  <c r="S338" i="36"/>
  <c r="Z338" i="36" s="1"/>
  <c r="R338" i="36"/>
  <c r="P338" i="36"/>
  <c r="N338" i="36"/>
  <c r="W338" i="36" l="1"/>
  <c r="I340" i="36"/>
  <c r="AA339" i="36"/>
  <c r="O339" i="36"/>
  <c r="Y337" i="36"/>
  <c r="AB337" i="36" s="1"/>
  <c r="X337" i="36"/>
  <c r="U337" i="36"/>
  <c r="T337" i="36"/>
  <c r="S337" i="36"/>
  <c r="Z337" i="36" s="1"/>
  <c r="R337" i="36"/>
  <c r="P337" i="36"/>
  <c r="N337" i="36"/>
  <c r="W337" i="36" l="1"/>
  <c r="X340" i="36"/>
  <c r="T340" i="36"/>
  <c r="J340" i="36"/>
  <c r="J337" i="36"/>
  <c r="Y336" i="36"/>
  <c r="AB336" i="36" s="1"/>
  <c r="U336" i="36"/>
  <c r="S336" i="36"/>
  <c r="Z336" i="36" s="1"/>
  <c r="R336" i="36"/>
  <c r="P336" i="36"/>
  <c r="N336" i="36"/>
  <c r="W336" i="36" l="1"/>
  <c r="I338" i="36"/>
  <c r="O337" i="36"/>
  <c r="AA337" i="36"/>
  <c r="I341" i="36"/>
  <c r="AA340" i="36"/>
  <c r="O340" i="36"/>
  <c r="Y335" i="36"/>
  <c r="AB335" i="36" s="1"/>
  <c r="X335" i="36"/>
  <c r="U335" i="36"/>
  <c r="T335" i="36"/>
  <c r="S335" i="36"/>
  <c r="W335" i="36" s="1"/>
  <c r="R335" i="36"/>
  <c r="P335" i="36"/>
  <c r="N335" i="36"/>
  <c r="X341" i="36" l="1"/>
  <c r="T341" i="36"/>
  <c r="O341" i="36" s="1"/>
  <c r="Z335" i="36"/>
  <c r="X338" i="36"/>
  <c r="T338" i="36"/>
  <c r="J338" i="36"/>
  <c r="AA338" i="36" s="1"/>
  <c r="J335" i="36"/>
  <c r="AA334" i="36"/>
  <c r="Y334" i="36"/>
  <c r="AB334" i="36" s="1"/>
  <c r="U334" i="36"/>
  <c r="S334" i="36"/>
  <c r="Z334" i="36" s="1"/>
  <c r="R334" i="36"/>
  <c r="P334" i="36"/>
  <c r="N334" i="36"/>
  <c r="AA335" i="36" l="1"/>
  <c r="I336" i="36"/>
  <c r="O335" i="36"/>
  <c r="O338" i="36"/>
  <c r="W334" i="36"/>
  <c r="Y333" i="36"/>
  <c r="AB333" i="36" s="1"/>
  <c r="U333" i="36"/>
  <c r="S333" i="36"/>
  <c r="Z333" i="36" s="1"/>
  <c r="R333" i="36"/>
  <c r="P333" i="36"/>
  <c r="N333" i="36"/>
  <c r="W333" i="36" l="1"/>
  <c r="X336" i="36"/>
  <c r="T336" i="36"/>
  <c r="J336" i="36"/>
  <c r="AA336" i="36" s="1"/>
  <c r="Y332" i="36"/>
  <c r="AB332" i="36" s="1"/>
  <c r="U332" i="36"/>
  <c r="S332" i="36"/>
  <c r="Z332" i="36" s="1"/>
  <c r="R332" i="36"/>
  <c r="P332" i="36"/>
  <c r="N332" i="36"/>
  <c r="W332" i="36" l="1"/>
  <c r="O336" i="36"/>
  <c r="Y331" i="36"/>
  <c r="AB331" i="36" s="1"/>
  <c r="X331" i="36"/>
  <c r="U331" i="36"/>
  <c r="T331" i="36"/>
  <c r="S331" i="36"/>
  <c r="Z331" i="36" s="1"/>
  <c r="R331" i="36"/>
  <c r="P331" i="36"/>
  <c r="N331" i="36"/>
  <c r="W331" i="36" l="1"/>
  <c r="J331" i="36"/>
  <c r="S330" i="36"/>
  <c r="Z330" i="36" s="1"/>
  <c r="R330" i="36"/>
  <c r="W330" i="36" l="1"/>
  <c r="I332" i="36"/>
  <c r="AA331" i="36"/>
  <c r="O331" i="36"/>
  <c r="I330" i="36"/>
  <c r="H330" i="36"/>
  <c r="AA329" i="36"/>
  <c r="Y329" i="36"/>
  <c r="AB329" i="36" s="1"/>
  <c r="U329" i="36"/>
  <c r="S329" i="36"/>
  <c r="Z329" i="36" s="1"/>
  <c r="R329" i="36"/>
  <c r="P329" i="36"/>
  <c r="N329" i="36"/>
  <c r="W329" i="36" l="1"/>
  <c r="Y330" i="36"/>
  <c r="AB330" i="36" s="1"/>
  <c r="U330" i="36"/>
  <c r="P330" i="36"/>
  <c r="N330" i="36"/>
  <c r="X330" i="36"/>
  <c r="T330" i="36"/>
  <c r="J330" i="36"/>
  <c r="AA330" i="36" s="1"/>
  <c r="X332" i="36"/>
  <c r="T332" i="36"/>
  <c r="J332" i="36"/>
  <c r="S328" i="36"/>
  <c r="Z328" i="36" s="1"/>
  <c r="R328" i="36"/>
  <c r="I333" i="36" l="1"/>
  <c r="AA332" i="36"/>
  <c r="O332" i="36"/>
  <c r="O330" i="36"/>
  <c r="W328" i="36"/>
  <c r="H328" i="36"/>
  <c r="S327" i="36"/>
  <c r="Z327" i="36" s="1"/>
  <c r="R327" i="36"/>
  <c r="W327" i="36" l="1"/>
  <c r="N328" i="36"/>
  <c r="Y328" i="36"/>
  <c r="AB328" i="36" s="1"/>
  <c r="U328" i="36"/>
  <c r="P328" i="36"/>
  <c r="X333" i="36"/>
  <c r="T333" i="36"/>
  <c r="J333" i="36"/>
  <c r="H327" i="36"/>
  <c r="Y326" i="36"/>
  <c r="AB326" i="36" s="1"/>
  <c r="X326" i="36"/>
  <c r="U326" i="36"/>
  <c r="T326" i="36"/>
  <c r="S326" i="36"/>
  <c r="Z326" i="36" s="1"/>
  <c r="R326" i="36"/>
  <c r="P326" i="36"/>
  <c r="N326" i="36"/>
  <c r="W326" i="36" l="1"/>
  <c r="U327" i="36"/>
  <c r="Y327" i="36"/>
  <c r="AB327" i="36" s="1"/>
  <c r="N327" i="36"/>
  <c r="P327" i="36"/>
  <c r="I334" i="36"/>
  <c r="AA333" i="36"/>
  <c r="O333" i="36"/>
  <c r="J326" i="36"/>
  <c r="AA325" i="36"/>
  <c r="Y325" i="36"/>
  <c r="AB325" i="36" s="1"/>
  <c r="X325" i="36"/>
  <c r="U325" i="36"/>
  <c r="T325" i="36"/>
  <c r="S325" i="36"/>
  <c r="Z325" i="36" s="1"/>
  <c r="R325" i="36"/>
  <c r="P325" i="36"/>
  <c r="O325" i="36"/>
  <c r="L325" i="36"/>
  <c r="Q325" i="36" s="1"/>
  <c r="K325" i="36"/>
  <c r="N325" i="36" s="1"/>
  <c r="AA324" i="36"/>
  <c r="Y324" i="36"/>
  <c r="AB324" i="36" s="1"/>
  <c r="X324" i="36"/>
  <c r="U324" i="36"/>
  <c r="T324" i="36"/>
  <c r="S324" i="36"/>
  <c r="Z324" i="36" s="1"/>
  <c r="R324" i="36"/>
  <c r="P324" i="36"/>
  <c r="O324" i="36"/>
  <c r="K324" i="36"/>
  <c r="N324" i="36" s="1"/>
  <c r="AA323" i="36"/>
  <c r="Y323" i="36"/>
  <c r="AB323" i="36" s="1"/>
  <c r="X323" i="36"/>
  <c r="U323" i="36"/>
  <c r="T323" i="36"/>
  <c r="S323" i="36"/>
  <c r="W323" i="36" s="1"/>
  <c r="R323" i="36"/>
  <c r="P323" i="36"/>
  <c r="O323" i="36"/>
  <c r="L323" i="36"/>
  <c r="N323" i="36" s="1"/>
  <c r="Y322" i="36"/>
  <c r="AB322" i="36" s="1"/>
  <c r="U322" i="36"/>
  <c r="S322" i="36"/>
  <c r="Z322" i="36" s="1"/>
  <c r="R322" i="36"/>
  <c r="P322" i="36"/>
  <c r="Q323" i="36" l="1"/>
  <c r="L324" i="36"/>
  <c r="Q324" i="36" s="1"/>
  <c r="M325" i="36"/>
  <c r="Z323" i="36"/>
  <c r="I327" i="36"/>
  <c r="O326" i="36"/>
  <c r="AA326" i="36"/>
  <c r="M324" i="36"/>
  <c r="W325" i="36"/>
  <c r="W322" i="36"/>
  <c r="T334" i="36"/>
  <c r="O334" i="36"/>
  <c r="X334" i="36"/>
  <c r="W324" i="36"/>
  <c r="M323" i="36"/>
  <c r="K322" i="36"/>
  <c r="N322" i="36" s="1"/>
  <c r="I322" i="36"/>
  <c r="J322" i="36" s="1"/>
  <c r="AA322" i="36" s="1"/>
  <c r="AA321" i="36"/>
  <c r="Y321" i="36"/>
  <c r="AB321" i="36" s="1"/>
  <c r="U321" i="36"/>
  <c r="S321" i="36"/>
  <c r="W321" i="36" s="1"/>
  <c r="R321" i="36"/>
  <c r="P321" i="36"/>
  <c r="N321" i="36"/>
  <c r="Z321" i="36" l="1"/>
  <c r="X322" i="36"/>
  <c r="T322" i="36"/>
  <c r="O322" i="36"/>
  <c r="X327" i="36"/>
  <c r="T327" i="36"/>
  <c r="J327" i="36"/>
  <c r="S320" i="36"/>
  <c r="Z320" i="36" s="1"/>
  <c r="R320" i="36"/>
  <c r="W320" i="36" l="1"/>
  <c r="I328" i="36"/>
  <c r="AA327" i="36"/>
  <c r="O327" i="36"/>
  <c r="S319" i="36"/>
  <c r="Z319" i="36" s="1"/>
  <c r="R319" i="36"/>
  <c r="W319" i="36" l="1"/>
  <c r="X328" i="36"/>
  <c r="T328" i="36"/>
  <c r="J328" i="36"/>
  <c r="H319" i="36"/>
  <c r="Y318" i="36"/>
  <c r="AB318" i="36" s="1"/>
  <c r="X318" i="36"/>
  <c r="U318" i="36"/>
  <c r="T318" i="36"/>
  <c r="S318" i="36"/>
  <c r="Z318" i="36" s="1"/>
  <c r="R318" i="36"/>
  <c r="P318" i="36"/>
  <c r="N318" i="36"/>
  <c r="W318" i="36" l="1"/>
  <c r="N319" i="36"/>
  <c r="H320" i="36"/>
  <c r="Y319" i="36"/>
  <c r="AB319" i="36" s="1"/>
  <c r="U319" i="36"/>
  <c r="P319" i="36"/>
  <c r="I329" i="36"/>
  <c r="AA328" i="36"/>
  <c r="O328" i="36"/>
  <c r="J318" i="36"/>
  <c r="AA317" i="36"/>
  <c r="Y317" i="36"/>
  <c r="AB317" i="36" s="1"/>
  <c r="X317" i="36"/>
  <c r="U317" i="36"/>
  <c r="T317" i="36"/>
  <c r="S317" i="36"/>
  <c r="W317" i="36" s="1"/>
  <c r="R317" i="36"/>
  <c r="P317" i="36"/>
  <c r="O317" i="36"/>
  <c r="L317" i="36"/>
  <c r="Q317" i="36" s="1"/>
  <c r="K317" i="36"/>
  <c r="N317" i="36" s="1"/>
  <c r="Y316" i="36"/>
  <c r="AB316" i="36" s="1"/>
  <c r="X316" i="36"/>
  <c r="U316" i="36"/>
  <c r="T316" i="36"/>
  <c r="S316" i="36"/>
  <c r="Z316" i="36" s="1"/>
  <c r="R316" i="36"/>
  <c r="P316" i="36"/>
  <c r="N316" i="36"/>
  <c r="Z317" i="36" l="1"/>
  <c r="M317" i="36"/>
  <c r="I319" i="36"/>
  <c r="AA318" i="36"/>
  <c r="O318" i="36"/>
  <c r="X329" i="36"/>
  <c r="T329" i="36"/>
  <c r="O329" i="36"/>
  <c r="W316" i="36"/>
  <c r="U320" i="36"/>
  <c r="Y320" i="36"/>
  <c r="AB320" i="36" s="1"/>
  <c r="P320" i="36"/>
  <c r="N320" i="36"/>
  <c r="J316" i="36"/>
  <c r="Y315" i="36"/>
  <c r="AB315" i="36" s="1"/>
  <c r="X315" i="36"/>
  <c r="U315" i="36"/>
  <c r="T315" i="36"/>
  <c r="S315" i="36"/>
  <c r="Z315" i="36" s="1"/>
  <c r="R315" i="36"/>
  <c r="P315" i="36"/>
  <c r="N315" i="36"/>
  <c r="AA316" i="36" l="1"/>
  <c r="O316" i="36"/>
  <c r="W315" i="36"/>
  <c r="X319" i="36"/>
  <c r="T319" i="36"/>
  <c r="J319" i="36"/>
  <c r="O319" i="36" s="1"/>
  <c r="J315" i="36"/>
  <c r="AA314" i="36"/>
  <c r="Y314" i="36"/>
  <c r="AB314" i="36" s="1"/>
  <c r="X314" i="36"/>
  <c r="U314" i="36"/>
  <c r="T314" i="36"/>
  <c r="S314" i="36"/>
  <c r="Z314" i="36" s="1"/>
  <c r="R314" i="36"/>
  <c r="P314" i="36"/>
  <c r="O314" i="36"/>
  <c r="N314" i="36"/>
  <c r="AA315" i="36" l="1"/>
  <c r="O315" i="36"/>
  <c r="W314" i="36"/>
  <c r="I320" i="36"/>
  <c r="AA319" i="36"/>
  <c r="AA313" i="36"/>
  <c r="Y313" i="36"/>
  <c r="AB313" i="36" s="1"/>
  <c r="X313" i="36"/>
  <c r="U313" i="36"/>
  <c r="T313" i="36"/>
  <c r="S313" i="36"/>
  <c r="Z313" i="36" s="1"/>
  <c r="R313" i="36"/>
  <c r="P313" i="36"/>
  <c r="O313" i="36"/>
  <c r="N313" i="36"/>
  <c r="X320" i="36" l="1"/>
  <c r="T320" i="36"/>
  <c r="J320" i="36"/>
  <c r="W313" i="36"/>
  <c r="AA312" i="36"/>
  <c r="Y312" i="36"/>
  <c r="AB312" i="36" s="1"/>
  <c r="X312" i="36"/>
  <c r="U312" i="36"/>
  <c r="T312" i="36"/>
  <c r="S312" i="36"/>
  <c r="Z312" i="36" s="1"/>
  <c r="R312" i="36"/>
  <c r="P312" i="36"/>
  <c r="O312" i="36"/>
  <c r="N312" i="36"/>
  <c r="W312" i="36" l="1"/>
  <c r="I321" i="36"/>
  <c r="AA320" i="36"/>
  <c r="O320" i="36"/>
  <c r="AA311" i="36"/>
  <c r="Y311" i="36"/>
  <c r="AB311" i="36" s="1"/>
  <c r="X311" i="36"/>
  <c r="U311" i="36"/>
  <c r="T311" i="36"/>
  <c r="S311" i="36"/>
  <c r="Z311" i="36" s="1"/>
  <c r="R311" i="36"/>
  <c r="P311" i="36"/>
  <c r="O311" i="36"/>
  <c r="N311" i="36"/>
  <c r="W311" i="36" l="1"/>
  <c r="X321" i="36"/>
  <c r="T321" i="36"/>
  <c r="O321" i="36" s="1"/>
  <c r="AA310" i="36"/>
  <c r="Y310" i="36"/>
  <c r="AB310" i="36" s="1"/>
  <c r="X310" i="36"/>
  <c r="U310" i="36"/>
  <c r="T310" i="36"/>
  <c r="S310" i="36"/>
  <c r="W310" i="36" s="1"/>
  <c r="R310" i="36"/>
  <c r="P310" i="36"/>
  <c r="O310" i="36"/>
  <c r="N310" i="36"/>
  <c r="L310" i="36"/>
  <c r="Q310" i="36" s="1"/>
  <c r="AA309" i="36"/>
  <c r="Y309" i="36"/>
  <c r="AB309" i="36" s="1"/>
  <c r="X309" i="36"/>
  <c r="U309" i="36"/>
  <c r="T309" i="36"/>
  <c r="S309" i="36"/>
  <c r="Z309" i="36" s="1"/>
  <c r="R309" i="36"/>
  <c r="P309" i="36"/>
  <c r="N309" i="36"/>
  <c r="L309" i="36"/>
  <c r="M309" i="36" s="1"/>
  <c r="AA308" i="36"/>
  <c r="Y308" i="36"/>
  <c r="AB308" i="36" s="1"/>
  <c r="X308" i="36"/>
  <c r="U308" i="36"/>
  <c r="T308" i="36"/>
  <c r="S308" i="36"/>
  <c r="Z308" i="36" s="1"/>
  <c r="R308" i="36"/>
  <c r="P308" i="36"/>
  <c r="N308" i="36"/>
  <c r="L308" i="36"/>
  <c r="Q308" i="36" s="1"/>
  <c r="AA307" i="36"/>
  <c r="Y307" i="36"/>
  <c r="AB307" i="36" s="1"/>
  <c r="X307" i="36"/>
  <c r="U307" i="36"/>
  <c r="T307" i="36"/>
  <c r="S307" i="36"/>
  <c r="W307" i="36" s="1"/>
  <c r="R307" i="36"/>
  <c r="P307" i="36"/>
  <c r="O307" i="36"/>
  <c r="N307" i="36"/>
  <c r="W309" i="36" l="1"/>
  <c r="Z307" i="36"/>
  <c r="W308" i="36"/>
  <c r="M310" i="36"/>
  <c r="M308" i="36"/>
  <c r="Z310" i="36"/>
  <c r="Q309" i="36"/>
  <c r="AA306" i="36"/>
  <c r="Y306" i="36"/>
  <c r="AB306" i="36" s="1"/>
  <c r="X306" i="36"/>
  <c r="U306" i="36"/>
  <c r="T306" i="36"/>
  <c r="S306" i="36"/>
  <c r="Z306" i="36" s="1"/>
  <c r="R306" i="36"/>
  <c r="Q306" i="36"/>
  <c r="P306" i="36"/>
  <c r="O306" i="36"/>
  <c r="K306" i="36"/>
  <c r="N306" i="36" s="1"/>
  <c r="AA305" i="36"/>
  <c r="Y305" i="36"/>
  <c r="AB305" i="36" s="1"/>
  <c r="X305" i="36"/>
  <c r="U305" i="36"/>
  <c r="T305" i="36"/>
  <c r="S305" i="36"/>
  <c r="Z305" i="36" s="1"/>
  <c r="R305" i="36"/>
  <c r="P305" i="36"/>
  <c r="O305" i="36"/>
  <c r="N305" i="36"/>
  <c r="W305" i="36" l="1"/>
  <c r="M306" i="36"/>
  <c r="W306" i="36"/>
  <c r="AA304" i="36"/>
  <c r="Y304" i="36"/>
  <c r="AB304" i="36" s="1"/>
  <c r="X304" i="36"/>
  <c r="U304" i="36"/>
  <c r="T304" i="36"/>
  <c r="S304" i="36"/>
  <c r="Z304" i="36" s="1"/>
  <c r="R304" i="36"/>
  <c r="P304" i="36"/>
  <c r="O304" i="36"/>
  <c r="O308" i="36" s="1"/>
  <c r="N304" i="36"/>
  <c r="L304" i="36"/>
  <c r="M304" i="36" s="1"/>
  <c r="AA303" i="36"/>
  <c r="Y303" i="36"/>
  <c r="AB303" i="36" s="1"/>
  <c r="X303" i="36"/>
  <c r="U303" i="36"/>
  <c r="T303" i="36"/>
  <c r="O303" i="36" s="1"/>
  <c r="S303" i="36"/>
  <c r="Z303" i="36" s="1"/>
  <c r="R303" i="36"/>
  <c r="P303" i="36"/>
  <c r="N303" i="36"/>
  <c r="Q304" i="36" l="1"/>
  <c r="W303" i="36"/>
  <c r="W304" i="36"/>
  <c r="Y302" i="36"/>
  <c r="AB302" i="36" s="1"/>
  <c r="X302" i="36"/>
  <c r="U302" i="36"/>
  <c r="T302" i="36"/>
  <c r="S302" i="36"/>
  <c r="Z302" i="36" s="1"/>
  <c r="R302" i="36"/>
  <c r="P302" i="36"/>
  <c r="N302" i="36"/>
  <c r="W302" i="36" l="1"/>
  <c r="J302" i="36"/>
  <c r="X301" i="36"/>
  <c r="T301" i="36"/>
  <c r="S301" i="36"/>
  <c r="Z301" i="36" s="1"/>
  <c r="R301" i="36"/>
  <c r="W301" i="36" l="1"/>
  <c r="AA302" i="36"/>
  <c r="O302" i="36"/>
  <c r="J301" i="36"/>
  <c r="H301" i="36"/>
  <c r="AA300" i="36"/>
  <c r="Y300" i="36"/>
  <c r="AB300" i="36" s="1"/>
  <c r="X300" i="36"/>
  <c r="U300" i="36"/>
  <c r="T300" i="36"/>
  <c r="S300" i="36"/>
  <c r="Z300" i="36" s="1"/>
  <c r="R300" i="36"/>
  <c r="P300" i="36"/>
  <c r="O300" i="36"/>
  <c r="N300" i="36"/>
  <c r="L300" i="36"/>
  <c r="M300" i="36" s="1"/>
  <c r="Y299" i="36"/>
  <c r="AB299" i="36" s="1"/>
  <c r="X299" i="36"/>
  <c r="U299" i="36"/>
  <c r="S299" i="36"/>
  <c r="W299" i="36" s="1"/>
  <c r="R299" i="36"/>
  <c r="P299" i="36"/>
  <c r="L299" i="36"/>
  <c r="Q299" i="36" s="1"/>
  <c r="AA298" i="36"/>
  <c r="Y298" i="36"/>
  <c r="AB298" i="36" s="1"/>
  <c r="X298" i="36"/>
  <c r="U298" i="36"/>
  <c r="T298" i="36"/>
  <c r="S298" i="36"/>
  <c r="Z298" i="36" s="1"/>
  <c r="R298" i="36"/>
  <c r="P298" i="36"/>
  <c r="O298" i="36"/>
  <c r="N298" i="36"/>
  <c r="Z299" i="36" l="1"/>
  <c r="W298" i="36"/>
  <c r="Q300" i="36"/>
  <c r="Y301" i="36"/>
  <c r="AB301" i="36" s="1"/>
  <c r="U301" i="36"/>
  <c r="P301" i="36"/>
  <c r="N301" i="36"/>
  <c r="K299" i="36"/>
  <c r="N299" i="36" s="1"/>
  <c r="AA301" i="36"/>
  <c r="O301" i="36"/>
  <c r="W300" i="36"/>
  <c r="Y297" i="36"/>
  <c r="AB297" i="36" s="1"/>
  <c r="X297" i="36"/>
  <c r="U297" i="36"/>
  <c r="T297" i="36"/>
  <c r="S297" i="36"/>
  <c r="Z297" i="36" s="1"/>
  <c r="R297" i="36"/>
  <c r="P297" i="36"/>
  <c r="N297" i="36"/>
  <c r="W297" i="36" l="1"/>
  <c r="M299" i="36"/>
  <c r="J297" i="36"/>
  <c r="Y296" i="36"/>
  <c r="AB296" i="36" s="1"/>
  <c r="X296" i="36"/>
  <c r="U296" i="36"/>
  <c r="T296" i="36"/>
  <c r="S296" i="36"/>
  <c r="W296" i="36" s="1"/>
  <c r="R296" i="36"/>
  <c r="P296" i="36"/>
  <c r="N296" i="36"/>
  <c r="Z296" i="36" l="1"/>
  <c r="AA297" i="36"/>
  <c r="O297" i="36"/>
  <c r="J296" i="36"/>
  <c r="Y295" i="36"/>
  <c r="AB295" i="36" s="1"/>
  <c r="X295" i="36"/>
  <c r="U295" i="36"/>
  <c r="T295" i="36"/>
  <c r="S295" i="36"/>
  <c r="Z295" i="36" s="1"/>
  <c r="R295" i="36"/>
  <c r="P295" i="36"/>
  <c r="N295" i="36"/>
  <c r="W295" i="36" l="1"/>
  <c r="J299" i="36"/>
  <c r="AA299" i="36" s="1"/>
  <c r="O296" i="36"/>
  <c r="AA296" i="36"/>
  <c r="J295" i="36"/>
  <c r="Y294" i="36"/>
  <c r="AB294" i="36" s="1"/>
  <c r="X294" i="36"/>
  <c r="U294" i="36"/>
  <c r="T294" i="36"/>
  <c r="S294" i="36"/>
  <c r="W294" i="36" s="1"/>
  <c r="R294" i="36"/>
  <c r="P294" i="36"/>
  <c r="N294" i="36"/>
  <c r="Z294" i="36" l="1"/>
  <c r="AA295" i="36"/>
  <c r="O295" i="36"/>
  <c r="J294" i="36"/>
  <c r="AA293" i="36"/>
  <c r="Y293" i="36"/>
  <c r="AB293" i="36" s="1"/>
  <c r="AC296" i="36" s="1" a="1"/>
  <c r="AC296" i="36" s="1"/>
  <c r="X293" i="36"/>
  <c r="U293" i="36"/>
  <c r="T293" i="36"/>
  <c r="S293" i="36"/>
  <c r="W293" i="36" s="1"/>
  <c r="R293" i="36"/>
  <c r="P293" i="36"/>
  <c r="O293" i="36"/>
  <c r="Z293" i="36" l="1"/>
  <c r="AA294" i="36"/>
  <c r="O294" i="36"/>
  <c r="K293" i="36"/>
  <c r="N293" i="36" s="1"/>
  <c r="AA292" i="36"/>
  <c r="Y292" i="36"/>
  <c r="AB292" i="36" s="1"/>
  <c r="X292" i="36"/>
  <c r="U292" i="36"/>
  <c r="T292" i="36"/>
  <c r="S292" i="36"/>
  <c r="Z292" i="36" s="1"/>
  <c r="R292" i="36"/>
  <c r="P292" i="36"/>
  <c r="O292" i="36"/>
  <c r="N292" i="36"/>
  <c r="W292" i="36" l="1"/>
  <c r="Y291" i="36"/>
  <c r="AB291" i="36" s="1"/>
  <c r="X291" i="36"/>
  <c r="U291" i="36"/>
  <c r="T291" i="36"/>
  <c r="S291" i="36"/>
  <c r="Z291" i="36" s="1"/>
  <c r="R291" i="36"/>
  <c r="P291" i="36"/>
  <c r="N291" i="36"/>
  <c r="W291" i="36" l="1"/>
  <c r="J291" i="36"/>
  <c r="Y290" i="36"/>
  <c r="AB290" i="36" s="1"/>
  <c r="X290" i="36"/>
  <c r="U290" i="36"/>
  <c r="T290" i="36"/>
  <c r="S290" i="36"/>
  <c r="Z290" i="36" s="1"/>
  <c r="R290" i="36"/>
  <c r="P290" i="36"/>
  <c r="N290" i="36"/>
  <c r="W290" i="36" l="1"/>
  <c r="AA291" i="36"/>
  <c r="O291" i="36"/>
  <c r="J290" i="36"/>
  <c r="Y289" i="36"/>
  <c r="AB289" i="36" s="1"/>
  <c r="X289" i="36"/>
  <c r="U289" i="36"/>
  <c r="S289" i="36"/>
  <c r="W289" i="36" s="1"/>
  <c r="R289" i="36"/>
  <c r="P289" i="36"/>
  <c r="N289" i="36"/>
  <c r="M289" i="36"/>
  <c r="L289" i="36"/>
  <c r="Q289" i="36" s="1"/>
  <c r="AA288" i="36"/>
  <c r="Y288" i="36"/>
  <c r="AB288" i="36" s="1"/>
  <c r="X288" i="36"/>
  <c r="U288" i="36"/>
  <c r="T288" i="36"/>
  <c r="S288" i="36"/>
  <c r="Z288" i="36" s="1"/>
  <c r="R288" i="36"/>
  <c r="P288" i="36"/>
  <c r="O288" i="36"/>
  <c r="N288" i="36"/>
  <c r="W288" i="36" l="1"/>
  <c r="Z289" i="36"/>
  <c r="AA290" i="36"/>
  <c r="O290" i="36"/>
  <c r="AA287" i="36"/>
  <c r="Y287" i="36"/>
  <c r="AB287" i="36" s="1"/>
  <c r="U287" i="36"/>
  <c r="S287" i="36"/>
  <c r="W287" i="36" s="1"/>
  <c r="R287" i="36"/>
  <c r="P287" i="36"/>
  <c r="N287" i="36"/>
  <c r="Z287" i="36" l="1"/>
  <c r="Y286" i="36"/>
  <c r="AB286" i="36" s="1"/>
  <c r="X286" i="36"/>
  <c r="U286" i="36"/>
  <c r="T286" i="36"/>
  <c r="S286" i="36"/>
  <c r="Z286" i="36" s="1"/>
  <c r="R286" i="36"/>
  <c r="P286" i="36"/>
  <c r="N286" i="36"/>
  <c r="W286" i="36" l="1"/>
  <c r="J286" i="36"/>
  <c r="Y285" i="36"/>
  <c r="AB285" i="36" s="1"/>
  <c r="X285" i="36"/>
  <c r="U285" i="36"/>
  <c r="T285" i="36"/>
  <c r="S285" i="36"/>
  <c r="Z285" i="36" s="1"/>
  <c r="R285" i="36"/>
  <c r="P285" i="36"/>
  <c r="N285" i="36"/>
  <c r="W285" i="36" l="1"/>
  <c r="J289" i="36"/>
  <c r="AA289" i="36" s="1"/>
  <c r="I287" i="36"/>
  <c r="AA286" i="36"/>
  <c r="O286" i="36"/>
  <c r="J285" i="36"/>
  <c r="AA284" i="36"/>
  <c r="Y284" i="36"/>
  <c r="AB284" i="36" s="1"/>
  <c r="X284" i="36"/>
  <c r="U284" i="36"/>
  <c r="T284" i="36"/>
  <c r="S284" i="36"/>
  <c r="Z284" i="36" s="1"/>
  <c r="R284" i="36"/>
  <c r="P284" i="36"/>
  <c r="O284" i="36"/>
  <c r="N284" i="36"/>
  <c r="W284" i="36" l="1"/>
  <c r="AA285" i="36"/>
  <c r="O285" i="36"/>
  <c r="X287" i="36"/>
  <c r="T287" i="36"/>
  <c r="O287" i="36" s="1"/>
  <c r="AA283" i="36"/>
  <c r="Y283" i="36"/>
  <c r="AB283" i="36" s="1"/>
  <c r="X283" i="36"/>
  <c r="U283" i="36"/>
  <c r="T283" i="36"/>
  <c r="S283" i="36"/>
  <c r="W283" i="36" s="1"/>
  <c r="R283" i="36"/>
  <c r="P283" i="36"/>
  <c r="O283" i="36"/>
  <c r="N283" i="36"/>
  <c r="Z283" i="36" l="1"/>
  <c r="AA282" i="36"/>
  <c r="Y282" i="36"/>
  <c r="AB282" i="36" s="1"/>
  <c r="X282" i="36"/>
  <c r="U282" i="36"/>
  <c r="T282" i="36"/>
  <c r="S282" i="36"/>
  <c r="Z282" i="36" s="1"/>
  <c r="R282" i="36"/>
  <c r="P282" i="36"/>
  <c r="O282" i="36"/>
  <c r="N282" i="36"/>
  <c r="W282" i="36" l="1"/>
  <c r="AA281" i="36"/>
  <c r="Y281" i="36"/>
  <c r="AB281" i="36" s="1"/>
  <c r="X281" i="36"/>
  <c r="U281" i="36"/>
  <c r="T281" i="36"/>
  <c r="S281" i="36"/>
  <c r="Z281" i="36" s="1"/>
  <c r="R281" i="36"/>
  <c r="P281" i="36"/>
  <c r="O281" i="36"/>
  <c r="N281" i="36"/>
  <c r="W281" i="36" l="1"/>
  <c r="AA280" i="36"/>
  <c r="Y280" i="36"/>
  <c r="AB280" i="36" s="1"/>
  <c r="X280" i="36"/>
  <c r="U280" i="36"/>
  <c r="T280" i="36"/>
  <c r="S280" i="36"/>
  <c r="Z280" i="36" s="1"/>
  <c r="R280" i="36"/>
  <c r="P280" i="36"/>
  <c r="O280" i="36"/>
  <c r="N280" i="36"/>
  <c r="W280" i="36" l="1"/>
  <c r="AA279" i="36"/>
  <c r="Y279" i="36"/>
  <c r="AB279" i="36" s="1"/>
  <c r="X279" i="36"/>
  <c r="U279" i="36"/>
  <c r="T279" i="36"/>
  <c r="S279" i="36"/>
  <c r="Z279" i="36" s="1"/>
  <c r="R279" i="36"/>
  <c r="P279" i="36"/>
  <c r="O279" i="36"/>
  <c r="N279" i="36"/>
  <c r="W279" i="36" l="1"/>
  <c r="AA278" i="36"/>
  <c r="Y278" i="36"/>
  <c r="AB278" i="36" s="1"/>
  <c r="X278" i="36"/>
  <c r="U278" i="36"/>
  <c r="T278" i="36"/>
  <c r="S278" i="36"/>
  <c r="Z278" i="36" s="1"/>
  <c r="R278" i="36"/>
  <c r="P278" i="36"/>
  <c r="O278" i="36"/>
  <c r="N278" i="36"/>
  <c r="W278" i="36" l="1"/>
  <c r="AA277" i="36"/>
  <c r="Y277" i="36"/>
  <c r="AB277" i="36" s="1"/>
  <c r="X277" i="36"/>
  <c r="U277" i="36"/>
  <c r="T277" i="36"/>
  <c r="S277" i="36"/>
  <c r="Z277" i="36" s="1"/>
  <c r="R277" i="36"/>
  <c r="P277" i="36"/>
  <c r="O277" i="36"/>
  <c r="N277" i="36"/>
  <c r="W277" i="36" l="1"/>
  <c r="AA276" i="36"/>
  <c r="Y276" i="36"/>
  <c r="AB276" i="36" s="1"/>
  <c r="X276" i="36"/>
  <c r="U276" i="36"/>
  <c r="T276" i="36"/>
  <c r="S276" i="36"/>
  <c r="Z276" i="36" s="1"/>
  <c r="R276" i="36"/>
  <c r="P276" i="36"/>
  <c r="O276" i="36"/>
  <c r="N276" i="36"/>
  <c r="W276" i="36" l="1"/>
  <c r="Y275" i="36"/>
  <c r="AB275" i="36" s="1"/>
  <c r="X275" i="36"/>
  <c r="U275" i="36"/>
  <c r="S275" i="36"/>
  <c r="Z275" i="36" s="1"/>
  <c r="R275" i="36"/>
  <c r="P275" i="36"/>
  <c r="N275" i="36"/>
  <c r="M275" i="36"/>
  <c r="L275" i="36"/>
  <c r="Q275" i="36" s="1"/>
  <c r="AA274" i="36"/>
  <c r="Y274" i="36"/>
  <c r="AB274" i="36" s="1"/>
  <c r="X274" i="36"/>
  <c r="U274" i="36"/>
  <c r="T274" i="36"/>
  <c r="S274" i="36"/>
  <c r="Z274" i="36" s="1"/>
  <c r="R274" i="36"/>
  <c r="P274" i="36"/>
  <c r="O274" i="36"/>
  <c r="N274" i="36"/>
  <c r="L274" i="36"/>
  <c r="M274" i="36" s="1"/>
  <c r="Y273" i="36"/>
  <c r="AB273" i="36" s="1"/>
  <c r="X273" i="36"/>
  <c r="U273" i="36"/>
  <c r="S273" i="36"/>
  <c r="Z273" i="36" s="1"/>
  <c r="R273" i="36"/>
  <c r="P273" i="36"/>
  <c r="N273" i="36"/>
  <c r="L273" i="36"/>
  <c r="M273" i="36" s="1"/>
  <c r="Y272" i="36"/>
  <c r="AB272" i="36" s="1"/>
  <c r="X272" i="36"/>
  <c r="U272" i="36"/>
  <c r="T272" i="36"/>
  <c r="S272" i="36"/>
  <c r="Z272" i="36" s="1"/>
  <c r="R272" i="36"/>
  <c r="P272" i="36"/>
  <c r="N272" i="36"/>
  <c r="Q274" i="36" l="1"/>
  <c r="W272" i="36"/>
  <c r="Q273" i="36"/>
  <c r="W273" i="36"/>
  <c r="W275" i="36"/>
  <c r="W274" i="36"/>
  <c r="J272" i="36"/>
  <c r="Y271" i="36"/>
  <c r="AB271" i="36" s="1"/>
  <c r="X271" i="36"/>
  <c r="U271" i="36"/>
  <c r="T271" i="36"/>
  <c r="S271" i="36"/>
  <c r="Z271" i="36" s="1"/>
  <c r="R271" i="36"/>
  <c r="P271" i="36"/>
  <c r="N271" i="36"/>
  <c r="W271" i="36" l="1"/>
  <c r="O272" i="36"/>
  <c r="AA272" i="36"/>
  <c r="J275" i="36"/>
  <c r="AA275" i="36" s="1"/>
  <c r="J271" i="36"/>
  <c r="S270" i="36"/>
  <c r="Z270" i="36" s="1"/>
  <c r="R270" i="36"/>
  <c r="W270" i="36" l="1"/>
  <c r="AA271" i="36"/>
  <c r="O271" i="36"/>
  <c r="I270" i="36"/>
  <c r="AA269" i="36"/>
  <c r="X269" i="36"/>
  <c r="T269" i="36"/>
  <c r="S269" i="36"/>
  <c r="Z269" i="36" s="1"/>
  <c r="R269" i="36"/>
  <c r="O269" i="36"/>
  <c r="X270" i="36" l="1"/>
  <c r="T270" i="36"/>
  <c r="J270" i="36"/>
  <c r="W269" i="36"/>
  <c r="H269" i="36"/>
  <c r="AA268" i="36"/>
  <c r="Y268" i="36"/>
  <c r="AB268" i="36" s="1"/>
  <c r="X268" i="36"/>
  <c r="U268" i="36"/>
  <c r="T268" i="36"/>
  <c r="S268" i="36"/>
  <c r="W268" i="36" s="1"/>
  <c r="R268" i="36"/>
  <c r="P268" i="36"/>
  <c r="O268" i="36"/>
  <c r="L268" i="36"/>
  <c r="Q268" i="36" s="1"/>
  <c r="K268" i="36"/>
  <c r="N268" i="36" s="1"/>
  <c r="AA267" i="36"/>
  <c r="Y267" i="36"/>
  <c r="AB267" i="36" s="1"/>
  <c r="X267" i="36"/>
  <c r="U267" i="36"/>
  <c r="T267" i="36"/>
  <c r="S267" i="36"/>
  <c r="W267" i="36" s="1"/>
  <c r="R267" i="36"/>
  <c r="P267" i="36"/>
  <c r="O267" i="36"/>
  <c r="N267" i="36"/>
  <c r="L267" i="36"/>
  <c r="Q267" i="36" s="1"/>
  <c r="Y266" i="36"/>
  <c r="AB266" i="36" s="1"/>
  <c r="U266" i="36"/>
  <c r="S266" i="36"/>
  <c r="W266" i="36" s="1"/>
  <c r="R266" i="36"/>
  <c r="P266" i="36"/>
  <c r="N266" i="36"/>
  <c r="Z267" i="36" l="1"/>
  <c r="M268" i="36"/>
  <c r="Z266" i="36"/>
  <c r="Z268" i="36"/>
  <c r="M267" i="36"/>
  <c r="P269" i="36"/>
  <c r="H270" i="36"/>
  <c r="Y269" i="36"/>
  <c r="AB269" i="36" s="1"/>
  <c r="U269" i="36"/>
  <c r="N269" i="36"/>
  <c r="J273" i="36"/>
  <c r="AA273" i="36" s="1"/>
  <c r="AA270" i="36"/>
  <c r="O270" i="36"/>
  <c r="Y265" i="36"/>
  <c r="AB265" i="36" s="1"/>
  <c r="U265" i="36"/>
  <c r="S265" i="36"/>
  <c r="Z265" i="36" s="1"/>
  <c r="R265" i="36"/>
  <c r="P265" i="36"/>
  <c r="N265" i="36"/>
  <c r="W265" i="36" l="1"/>
  <c r="Y270" i="36"/>
  <c r="AB270" i="36" s="1"/>
  <c r="U270" i="36"/>
  <c r="P270" i="36"/>
  <c r="N270" i="36"/>
  <c r="I265" i="36"/>
  <c r="AA264" i="36"/>
  <c r="Y264" i="36"/>
  <c r="AB264" i="36" s="1"/>
  <c r="X264" i="36"/>
  <c r="U264" i="36"/>
  <c r="T264" i="36"/>
  <c r="S264" i="36"/>
  <c r="Z264" i="36" s="1"/>
  <c r="R264" i="36"/>
  <c r="P264" i="36"/>
  <c r="O264" i="36"/>
  <c r="N264" i="36"/>
  <c r="W264" i="36" l="1"/>
  <c r="X265" i="36"/>
  <c r="T265" i="36"/>
  <c r="J265" i="36"/>
  <c r="AA263" i="36"/>
  <c r="Y263" i="36"/>
  <c r="AB263" i="36" s="1"/>
  <c r="X263" i="36"/>
  <c r="U263" i="36"/>
  <c r="T263" i="36"/>
  <c r="S263" i="36"/>
  <c r="Z263" i="36" s="1"/>
  <c r="R263" i="36"/>
  <c r="P263" i="36"/>
  <c r="O263" i="36"/>
  <c r="N263" i="36"/>
  <c r="AA262" i="36"/>
  <c r="Y262" i="36"/>
  <c r="AB262" i="36" s="1"/>
  <c r="X262" i="36"/>
  <c r="U262" i="36"/>
  <c r="T262" i="36"/>
  <c r="S262" i="36"/>
  <c r="W262" i="36" s="1"/>
  <c r="R262" i="36"/>
  <c r="P262" i="36"/>
  <c r="O262" i="36"/>
  <c r="L262" i="36"/>
  <c r="Q262" i="36" s="1"/>
  <c r="AA261" i="36"/>
  <c r="Y261" i="36"/>
  <c r="AB261" i="36" s="1"/>
  <c r="U261" i="36"/>
  <c r="S261" i="36"/>
  <c r="W261" i="36" s="1"/>
  <c r="R261" i="36"/>
  <c r="P261" i="36"/>
  <c r="N261" i="36"/>
  <c r="Z262" i="36" l="1"/>
  <c r="L263" i="36"/>
  <c r="M263" i="36" s="1"/>
  <c r="Q263" i="36"/>
  <c r="W263" i="36"/>
  <c r="Z261" i="36"/>
  <c r="M262" i="36"/>
  <c r="N262" i="36"/>
  <c r="I266" i="36"/>
  <c r="AA265" i="36"/>
  <c r="O265" i="36"/>
  <c r="I261" i="36"/>
  <c r="AA260" i="36"/>
  <c r="S260" i="36"/>
  <c r="W260" i="36" s="1"/>
  <c r="R260" i="36"/>
  <c r="Z260" i="36" l="1"/>
  <c r="X261" i="36"/>
  <c r="T261" i="36"/>
  <c r="O261" i="36"/>
  <c r="X266" i="36"/>
  <c r="T266" i="36"/>
  <c r="J266" i="36"/>
  <c r="AA266" i="36" s="1"/>
  <c r="H260" i="36"/>
  <c r="S259" i="36"/>
  <c r="Z259" i="36" s="1"/>
  <c r="R259" i="36"/>
  <c r="O266" i="36" l="1"/>
  <c r="W259" i="36"/>
  <c r="U260" i="36"/>
  <c r="P260" i="36"/>
  <c r="N260" i="36"/>
  <c r="Y260" i="36"/>
  <c r="AB260" i="36" s="1"/>
  <c r="S258" i="36"/>
  <c r="Z258" i="36" s="1"/>
  <c r="R258" i="36"/>
  <c r="W258" i="36" l="1"/>
  <c r="I258" i="36"/>
  <c r="H258" i="36"/>
  <c r="AA257" i="36"/>
  <c r="Y257" i="36"/>
  <c r="AB257" i="36" s="1"/>
  <c r="X257" i="36"/>
  <c r="U257" i="36"/>
  <c r="T257" i="36"/>
  <c r="S257" i="36"/>
  <c r="Z257" i="36" s="1"/>
  <c r="R257" i="36"/>
  <c r="P257" i="36"/>
  <c r="O257" i="36"/>
  <c r="N257" i="36"/>
  <c r="W257" i="36" l="1"/>
  <c r="H259" i="36"/>
  <c r="Y258" i="36"/>
  <c r="AB258" i="36" s="1"/>
  <c r="U258" i="36"/>
  <c r="P258" i="36"/>
  <c r="N258" i="36"/>
  <c r="X258" i="36"/>
  <c r="T258" i="36"/>
  <c r="J258" i="36"/>
  <c r="AA256" i="36"/>
  <c r="Y256" i="36"/>
  <c r="AB256" i="36" s="1"/>
  <c r="X256" i="36"/>
  <c r="U256" i="36"/>
  <c r="T256" i="36"/>
  <c r="S256" i="36"/>
  <c r="W256" i="36" s="1"/>
  <c r="R256" i="36"/>
  <c r="P256" i="36"/>
  <c r="O256" i="36"/>
  <c r="L256" i="36"/>
  <c r="Q256" i="36" s="1"/>
  <c r="K256" i="36"/>
  <c r="N256" i="36" s="1"/>
  <c r="AA255" i="36"/>
  <c r="Y255" i="36"/>
  <c r="AB255" i="36" s="1"/>
  <c r="X255" i="36"/>
  <c r="U255" i="36"/>
  <c r="T255" i="36"/>
  <c r="S255" i="36"/>
  <c r="Z255" i="36" s="1"/>
  <c r="R255" i="36"/>
  <c r="P255" i="36"/>
  <c r="O255" i="36"/>
  <c r="L255" i="36"/>
  <c r="Q255" i="36" s="1"/>
  <c r="K255" i="36"/>
  <c r="N255" i="36" s="1"/>
  <c r="AA254" i="36"/>
  <c r="Y254" i="36"/>
  <c r="AB254" i="36" s="1"/>
  <c r="X254" i="36"/>
  <c r="U254" i="36"/>
  <c r="T254" i="36"/>
  <c r="S254" i="36"/>
  <c r="W254" i="36" s="1"/>
  <c r="R254" i="36"/>
  <c r="P254" i="36"/>
  <c r="O254" i="36"/>
  <c r="N254" i="36"/>
  <c r="L254" i="36"/>
  <c r="M254" i="36" s="1"/>
  <c r="Y253" i="36"/>
  <c r="AB253" i="36" s="1"/>
  <c r="X253" i="36"/>
  <c r="U253" i="36"/>
  <c r="T253" i="36"/>
  <c r="S253" i="36"/>
  <c r="Z253" i="36" s="1"/>
  <c r="R253" i="36"/>
  <c r="P253" i="36"/>
  <c r="N253" i="36"/>
  <c r="Q254" i="36" l="1"/>
  <c r="M256" i="36"/>
  <c r="Z256" i="36"/>
  <c r="I259" i="36"/>
  <c r="AA258" i="36"/>
  <c r="W255" i="36"/>
  <c r="Z254" i="36"/>
  <c r="O258" i="36"/>
  <c r="Y259" i="36"/>
  <c r="AB259" i="36" s="1"/>
  <c r="U259" i="36"/>
  <c r="N259" i="36"/>
  <c r="P259" i="36"/>
  <c r="M255" i="36"/>
  <c r="W253" i="36"/>
  <c r="J253" i="36"/>
  <c r="B253" i="36"/>
  <c r="Y252" i="36"/>
  <c r="AB252" i="36" s="1"/>
  <c r="X252" i="36"/>
  <c r="U252" i="36"/>
  <c r="T252" i="36"/>
  <c r="S252" i="36"/>
  <c r="Z252" i="36" s="1"/>
  <c r="R252" i="36"/>
  <c r="P252" i="36"/>
  <c r="N252" i="36"/>
  <c r="AA253" i="36" l="1"/>
  <c r="O253" i="36"/>
  <c r="W252" i="36"/>
  <c r="X259" i="36"/>
  <c r="T259" i="36"/>
  <c r="J259" i="36"/>
  <c r="O259" i="36" s="1"/>
  <c r="J252" i="36"/>
  <c r="B252" i="36"/>
  <c r="Y251" i="36"/>
  <c r="AB251" i="36" s="1"/>
  <c r="X251" i="36"/>
  <c r="U251" i="36"/>
  <c r="T251" i="36"/>
  <c r="S251" i="36"/>
  <c r="Z251" i="36" s="1"/>
  <c r="R251" i="36"/>
  <c r="P251" i="36"/>
  <c r="N251" i="36"/>
  <c r="W251" i="36" l="1"/>
  <c r="O252" i="36"/>
  <c r="AA252" i="36"/>
  <c r="I260" i="36"/>
  <c r="AA259" i="36"/>
  <c r="J251" i="36"/>
  <c r="B251" i="36"/>
  <c r="Y250" i="36"/>
  <c r="AB250" i="36" s="1"/>
  <c r="X250" i="36"/>
  <c r="U250" i="36"/>
  <c r="T250" i="36"/>
  <c r="S250" i="36"/>
  <c r="Z250" i="36" s="1"/>
  <c r="R250" i="36"/>
  <c r="P250" i="36"/>
  <c r="N250" i="36"/>
  <c r="O251" i="36" l="1"/>
  <c r="AA251" i="36"/>
  <c r="X260" i="36"/>
  <c r="T260" i="36"/>
  <c r="O260" i="36"/>
  <c r="W250" i="36"/>
  <c r="J250" i="36"/>
  <c r="B250" i="36"/>
  <c r="Y249" i="36"/>
  <c r="AB249" i="36" s="1"/>
  <c r="X249" i="36"/>
  <c r="U249" i="36"/>
  <c r="T249" i="36"/>
  <c r="S249" i="36"/>
  <c r="Z249" i="36" s="1"/>
  <c r="R249" i="36"/>
  <c r="P249" i="36"/>
  <c r="N249" i="36"/>
  <c r="W249" i="36" l="1"/>
  <c r="AA250" i="36"/>
  <c r="O250" i="36"/>
  <c r="J249" i="36"/>
  <c r="B249" i="36"/>
  <c r="Y248" i="36"/>
  <c r="AB248" i="36" s="1"/>
  <c r="X248" i="36"/>
  <c r="U248" i="36"/>
  <c r="T248" i="36"/>
  <c r="S248" i="36"/>
  <c r="Z248" i="36" s="1"/>
  <c r="R248" i="36"/>
  <c r="P248" i="36"/>
  <c r="N248" i="36"/>
  <c r="W248" i="36" l="1"/>
  <c r="O249" i="36"/>
  <c r="AA249" i="36"/>
  <c r="J248" i="36"/>
  <c r="B248" i="36"/>
  <c r="AA247" i="36"/>
  <c r="Y247" i="36"/>
  <c r="AB247" i="36" s="1"/>
  <c r="X247" i="36"/>
  <c r="U247" i="36"/>
  <c r="T247" i="36"/>
  <c r="S247" i="36"/>
  <c r="Z247" i="36" s="1"/>
  <c r="R247" i="36"/>
  <c r="P247" i="36"/>
  <c r="O247" i="36"/>
  <c r="N247" i="36"/>
  <c r="L247" i="36"/>
  <c r="M247" i="36" s="1"/>
  <c r="B247" i="36"/>
  <c r="AA246" i="36"/>
  <c r="Y246" i="36"/>
  <c r="AB246" i="36" s="1"/>
  <c r="X246" i="36"/>
  <c r="U246" i="36"/>
  <c r="T246" i="36"/>
  <c r="S246" i="36"/>
  <c r="Z246" i="36" s="1"/>
  <c r="R246" i="36"/>
  <c r="P246" i="36"/>
  <c r="O246" i="36"/>
  <c r="N246" i="36"/>
  <c r="L246" i="36"/>
  <c r="Q246" i="36" s="1"/>
  <c r="B246" i="36"/>
  <c r="Y245" i="36"/>
  <c r="AB245" i="36" s="1"/>
  <c r="X245" i="36"/>
  <c r="U245" i="36"/>
  <c r="T245" i="36"/>
  <c r="S245" i="36"/>
  <c r="W245" i="36" s="1"/>
  <c r="R245" i="36"/>
  <c r="P245" i="36"/>
  <c r="W246" i="36" l="1"/>
  <c r="Q247" i="36"/>
  <c r="Z245" i="36"/>
  <c r="M246" i="36"/>
  <c r="W247" i="36"/>
  <c r="AA248" i="36"/>
  <c r="O248" i="36"/>
  <c r="J245" i="36"/>
  <c r="B245" i="36"/>
  <c r="X244" i="36"/>
  <c r="T244" i="36"/>
  <c r="S244" i="36"/>
  <c r="Z244" i="36" s="1"/>
  <c r="R244" i="36"/>
  <c r="AA245" i="36" l="1"/>
  <c r="O245" i="36"/>
  <c r="W244" i="36"/>
  <c r="J244" i="36"/>
  <c r="H244" i="36"/>
  <c r="B244" i="36"/>
  <c r="Y243" i="36"/>
  <c r="AB243" i="36" s="1"/>
  <c r="X243" i="36"/>
  <c r="U243" i="36"/>
  <c r="T243" i="36"/>
  <c r="S243" i="36"/>
  <c r="Z243" i="36" s="1"/>
  <c r="R243" i="36"/>
  <c r="P243" i="36"/>
  <c r="Y244" i="36" l="1"/>
  <c r="AB244" i="36" s="1"/>
  <c r="P244" i="36"/>
  <c r="N244" i="36"/>
  <c r="U244" i="36"/>
  <c r="W243" i="36"/>
  <c r="AA244" i="36"/>
  <c r="O244" i="36"/>
  <c r="K243" i="36"/>
  <c r="N243" i="36" s="1"/>
  <c r="J243" i="36"/>
  <c r="B243" i="36"/>
  <c r="X242" i="36"/>
  <c r="T242" i="36"/>
  <c r="S242" i="36"/>
  <c r="Z242" i="36" s="1"/>
  <c r="R242" i="36"/>
  <c r="W242" i="36" l="1"/>
  <c r="AA243" i="36"/>
  <c r="O243" i="36"/>
  <c r="J242" i="36"/>
  <c r="H242" i="36"/>
  <c r="B242" i="36"/>
  <c r="Y241" i="36"/>
  <c r="AB241" i="36" s="1"/>
  <c r="X241" i="36"/>
  <c r="U241" i="36"/>
  <c r="T241" i="36"/>
  <c r="S241" i="36"/>
  <c r="W241" i="36" s="1"/>
  <c r="R241" i="36"/>
  <c r="P241" i="36"/>
  <c r="Z241" i="36" l="1"/>
  <c r="Y242" i="36"/>
  <c r="AB242" i="36" s="1"/>
  <c r="U242" i="36"/>
  <c r="P242" i="36"/>
  <c r="N242" i="36"/>
  <c r="O242" i="36"/>
  <c r="AA242" i="36"/>
  <c r="K241" i="36"/>
  <c r="N241" i="36" s="1"/>
  <c r="J241" i="36"/>
  <c r="B241" i="36"/>
  <c r="X240" i="36"/>
  <c r="T240" i="36"/>
  <c r="S240" i="36"/>
  <c r="Z240" i="36" s="1"/>
  <c r="R240" i="36"/>
  <c r="W240" i="36" l="1"/>
  <c r="O241" i="36"/>
  <c r="AA241" i="36"/>
  <c r="J240" i="36"/>
  <c r="H240" i="36"/>
  <c r="B240" i="36"/>
  <c r="Y239" i="36"/>
  <c r="AB239" i="36" s="1"/>
  <c r="X239" i="36"/>
  <c r="U239" i="36"/>
  <c r="T239" i="36"/>
  <c r="S239" i="36"/>
  <c r="Z239" i="36" s="1"/>
  <c r="R239" i="36"/>
  <c r="P239" i="36"/>
  <c r="W239" i="36" l="1"/>
  <c r="N240" i="36"/>
  <c r="Y240" i="36"/>
  <c r="AB240" i="36" s="1"/>
  <c r="U240" i="36"/>
  <c r="P240" i="36"/>
  <c r="O240" i="36"/>
  <c r="AA240" i="36"/>
  <c r="K239" i="36"/>
  <c r="N239" i="36" s="1"/>
  <c r="J239" i="36"/>
  <c r="B239" i="36"/>
  <c r="Y238" i="36"/>
  <c r="AB238" i="36" s="1"/>
  <c r="X238" i="36"/>
  <c r="U238" i="36"/>
  <c r="T238" i="36"/>
  <c r="S238" i="36"/>
  <c r="W238" i="36" s="1"/>
  <c r="R238" i="36"/>
  <c r="P238" i="36"/>
  <c r="N238" i="36"/>
  <c r="Z238" i="36" l="1"/>
  <c r="AA239" i="36"/>
  <c r="O239" i="36"/>
  <c r="J238" i="36"/>
  <c r="B238" i="36"/>
  <c r="Y237" i="36"/>
  <c r="AB237" i="36" s="1"/>
  <c r="X237" i="36"/>
  <c r="U237" i="36"/>
  <c r="T237" i="36"/>
  <c r="S237" i="36"/>
  <c r="Z237" i="36" s="1"/>
  <c r="R237" i="36"/>
  <c r="P237" i="36"/>
  <c r="AA238" i="36" l="1"/>
  <c r="O238" i="36"/>
  <c r="W237" i="36"/>
  <c r="K237" i="36"/>
  <c r="N237" i="36" s="1"/>
  <c r="J237" i="36"/>
  <c r="B237" i="36"/>
  <c r="AA236" i="36"/>
  <c r="Y236" i="36"/>
  <c r="AB236" i="36" s="1"/>
  <c r="X236" i="36"/>
  <c r="U236" i="36"/>
  <c r="T236" i="36"/>
  <c r="S236" i="36"/>
  <c r="W236" i="36" s="1"/>
  <c r="R236" i="36"/>
  <c r="P236" i="36"/>
  <c r="O236" i="36"/>
  <c r="N236" i="36"/>
  <c r="Z236" i="36" l="1"/>
  <c r="AA237" i="36"/>
  <c r="O237" i="36"/>
  <c r="B236" i="36"/>
  <c r="AA235" i="36"/>
  <c r="Y235" i="36"/>
  <c r="AB235" i="36" s="1"/>
  <c r="X235" i="36"/>
  <c r="U235" i="36"/>
  <c r="T235" i="36"/>
  <c r="S235" i="36"/>
  <c r="W235" i="36" s="1"/>
  <c r="R235" i="36"/>
  <c r="P235" i="36"/>
  <c r="O235" i="36"/>
  <c r="N235" i="36"/>
  <c r="Z235" i="36" l="1"/>
  <c r="B235" i="36"/>
  <c r="AA234" i="36"/>
  <c r="Y234" i="36"/>
  <c r="AB234" i="36" s="1"/>
  <c r="X234" i="36"/>
  <c r="U234" i="36"/>
  <c r="T234" i="36"/>
  <c r="S234" i="36"/>
  <c r="Z234" i="36" s="1"/>
  <c r="R234" i="36"/>
  <c r="P234" i="36"/>
  <c r="O234" i="36"/>
  <c r="N234" i="36"/>
  <c r="W234" i="36" l="1"/>
  <c r="B234" i="36"/>
  <c r="Y233" i="36"/>
  <c r="AB233" i="36" s="1"/>
  <c r="X233" i="36"/>
  <c r="U233" i="36"/>
  <c r="T233" i="36"/>
  <c r="S233" i="36"/>
  <c r="Z233" i="36" s="1"/>
  <c r="R233" i="36"/>
  <c r="P233" i="36"/>
  <c r="N233" i="36"/>
  <c r="L233" i="36"/>
  <c r="Q233" i="36" s="1"/>
  <c r="J233" i="36"/>
  <c r="AA233" i="36" s="1"/>
  <c r="B233" i="36"/>
  <c r="Y232" i="36"/>
  <c r="AB232" i="36" s="1"/>
  <c r="X232" i="36"/>
  <c r="U232" i="36"/>
  <c r="T232" i="36"/>
  <c r="S232" i="36"/>
  <c r="Z232" i="36" s="1"/>
  <c r="R232" i="36"/>
  <c r="P232" i="36"/>
  <c r="N232" i="36"/>
  <c r="L232" i="36"/>
  <c r="Q232" i="36" s="1"/>
  <c r="J232" i="36"/>
  <c r="O232" i="36" s="1"/>
  <c r="B232" i="36"/>
  <c r="Y231" i="36"/>
  <c r="AB231" i="36" s="1"/>
  <c r="X231" i="36"/>
  <c r="U231" i="36"/>
  <c r="T231" i="36"/>
  <c r="S231" i="36"/>
  <c r="W231" i="36" s="1"/>
  <c r="R231" i="36"/>
  <c r="P231" i="36"/>
  <c r="N231" i="36"/>
  <c r="L231" i="36"/>
  <c r="M231" i="36" s="1"/>
  <c r="J231" i="36"/>
  <c r="AA231" i="36" s="1"/>
  <c r="B231" i="36"/>
  <c r="Y230" i="36"/>
  <c r="AB230" i="36" s="1"/>
  <c r="X230" i="36"/>
  <c r="U230" i="36"/>
  <c r="T230" i="36"/>
  <c r="S230" i="36"/>
  <c r="W230" i="36" s="1"/>
  <c r="R230" i="36"/>
  <c r="P230" i="36"/>
  <c r="N230" i="36"/>
  <c r="L230" i="36"/>
  <c r="Q230" i="36" s="1"/>
  <c r="J230" i="36"/>
  <c r="AA230" i="36" s="1"/>
  <c r="B230" i="36"/>
  <c r="Y229" i="36"/>
  <c r="AB229" i="36" s="1"/>
  <c r="X229" i="36"/>
  <c r="U229" i="36"/>
  <c r="T229" i="36"/>
  <c r="S229" i="36"/>
  <c r="Z229" i="36" s="1"/>
  <c r="R229" i="36"/>
  <c r="P229" i="36"/>
  <c r="N229" i="36"/>
  <c r="L229" i="36"/>
  <c r="Q229" i="36" s="1"/>
  <c r="J229" i="36"/>
  <c r="B229" i="36"/>
  <c r="Y228" i="36"/>
  <c r="AB228" i="36" s="1"/>
  <c r="X228" i="36"/>
  <c r="U228" i="36"/>
  <c r="T228" i="36"/>
  <c r="S228" i="36"/>
  <c r="W228" i="36" s="1"/>
  <c r="R228" i="36"/>
  <c r="P228" i="36"/>
  <c r="N228" i="36"/>
  <c r="L228" i="36"/>
  <c r="M228" i="36" s="1"/>
  <c r="J228" i="36"/>
  <c r="O228" i="36" s="1"/>
  <c r="B228" i="36"/>
  <c r="Y227" i="36"/>
  <c r="AB227" i="36" s="1"/>
  <c r="X227" i="36"/>
  <c r="U227" i="36"/>
  <c r="S227" i="36"/>
  <c r="Z227" i="36" s="1"/>
  <c r="R227" i="36"/>
  <c r="P227" i="36"/>
  <c r="N227" i="36"/>
  <c r="L227" i="36"/>
  <c r="Q227" i="36" s="1"/>
  <c r="B227" i="36"/>
  <c r="Y226" i="36"/>
  <c r="AB226" i="36" s="1"/>
  <c r="X226" i="36"/>
  <c r="U226" i="36"/>
  <c r="S226" i="36"/>
  <c r="W226" i="36" s="1"/>
  <c r="R226" i="36"/>
  <c r="P226" i="36"/>
  <c r="N226" i="36"/>
  <c r="L226" i="36"/>
  <c r="M226" i="36" s="1"/>
  <c r="J226" i="36"/>
  <c r="B226" i="36"/>
  <c r="Y225" i="36"/>
  <c r="AB225" i="36" s="1"/>
  <c r="X225" i="36"/>
  <c r="U225" i="36"/>
  <c r="T225" i="36"/>
  <c r="S225" i="36"/>
  <c r="Z225" i="36" s="1"/>
  <c r="R225" i="36"/>
  <c r="P225" i="36"/>
  <c r="N225" i="36"/>
  <c r="W232" i="36" l="1"/>
  <c r="J227" i="36"/>
  <c r="AA227" i="36" s="1"/>
  <c r="AA226" i="36"/>
  <c r="O229" i="36"/>
  <c r="AA229" i="36"/>
  <c r="AA232" i="36"/>
  <c r="Q231" i="36"/>
  <c r="W229" i="36"/>
  <c r="O231" i="36"/>
  <c r="M233" i="36"/>
  <c r="M230" i="36"/>
  <c r="Z231" i="36"/>
  <c r="Z228" i="36"/>
  <c r="W225" i="36"/>
  <c r="W233" i="36"/>
  <c r="Q226" i="36"/>
  <c r="Z226" i="36"/>
  <c r="O233" i="36"/>
  <c r="O230" i="36"/>
  <c r="M232" i="36"/>
  <c r="M229" i="36"/>
  <c r="AA228" i="36"/>
  <c r="Q228" i="36"/>
  <c r="M227" i="36"/>
  <c r="W227" i="36"/>
  <c r="Z230" i="36"/>
  <c r="J225" i="36"/>
  <c r="B225" i="36"/>
  <c r="Y224" i="36"/>
  <c r="AB224" i="36" s="1"/>
  <c r="X224" i="36"/>
  <c r="U224" i="36"/>
  <c r="T224" i="36"/>
  <c r="S224" i="36"/>
  <c r="Z224" i="36" s="1"/>
  <c r="R224" i="36"/>
  <c r="P224" i="36"/>
  <c r="W224" i="36" l="1"/>
  <c r="AA225" i="36"/>
  <c r="O225" i="36"/>
  <c r="K224" i="36"/>
  <c r="N224" i="36" s="1"/>
  <c r="J224" i="36"/>
  <c r="B224" i="36"/>
  <c r="AA223" i="36"/>
  <c r="Y223" i="36"/>
  <c r="AB223" i="36" s="1"/>
  <c r="X223" i="36"/>
  <c r="U223" i="36"/>
  <c r="T223" i="36"/>
  <c r="S223" i="36"/>
  <c r="Z223" i="36" s="1"/>
  <c r="R223" i="36"/>
  <c r="P223" i="36"/>
  <c r="O223" i="36"/>
  <c r="N223" i="36"/>
  <c r="W223" i="36" l="1"/>
  <c r="AA224" i="36"/>
  <c r="O224" i="36"/>
  <c r="B223" i="36"/>
  <c r="AA222" i="36"/>
  <c r="Y222" i="36"/>
  <c r="AB222" i="36" s="1"/>
  <c r="X222" i="36"/>
  <c r="U222" i="36"/>
  <c r="T222" i="36"/>
  <c r="S222" i="36"/>
  <c r="W222" i="36" s="1"/>
  <c r="R222" i="36"/>
  <c r="P222" i="36"/>
  <c r="O222" i="36"/>
  <c r="N222" i="36"/>
  <c r="L222" i="36"/>
  <c r="M222" i="36" s="1"/>
  <c r="B222" i="36"/>
  <c r="AA221" i="36"/>
  <c r="Y221" i="36"/>
  <c r="AB221" i="36" s="1"/>
  <c r="X221" i="36"/>
  <c r="U221" i="36"/>
  <c r="T221" i="36"/>
  <c r="S221" i="36"/>
  <c r="W221" i="36" s="1"/>
  <c r="R221" i="36"/>
  <c r="P221" i="36"/>
  <c r="O221" i="36"/>
  <c r="N221" i="36"/>
  <c r="L221" i="36"/>
  <c r="Q221" i="36" s="1"/>
  <c r="B221" i="36"/>
  <c r="Y220" i="36"/>
  <c r="AB220" i="36" s="1"/>
  <c r="X220" i="36"/>
  <c r="U220" i="36"/>
  <c r="T220" i="36"/>
  <c r="S220" i="36"/>
  <c r="Z220" i="36" s="1"/>
  <c r="R220" i="36"/>
  <c r="P220" i="36"/>
  <c r="N220" i="36"/>
  <c r="Z221" i="36" l="1"/>
  <c r="W220" i="36"/>
  <c r="Q222" i="36"/>
  <c r="Z222" i="36"/>
  <c r="M221" i="36"/>
  <c r="J220" i="36"/>
  <c r="B220" i="36"/>
  <c r="Y219" i="36"/>
  <c r="AB219" i="36" s="1"/>
  <c r="X219" i="36"/>
  <c r="U219" i="36"/>
  <c r="T219" i="36"/>
  <c r="S219" i="36"/>
  <c r="W219" i="36" s="1"/>
  <c r="R219" i="36"/>
  <c r="P219" i="36"/>
  <c r="N219" i="36"/>
  <c r="Z219" i="36" l="1"/>
  <c r="AA220" i="36"/>
  <c r="O220" i="36"/>
  <c r="J219" i="36"/>
  <c r="B219" i="36"/>
  <c r="Y218" i="36"/>
  <c r="AB218" i="36" s="1"/>
  <c r="X218" i="36"/>
  <c r="U218" i="36"/>
  <c r="T218" i="36"/>
  <c r="S218" i="36"/>
  <c r="Z218" i="36" s="1"/>
  <c r="R218" i="36"/>
  <c r="P218" i="36"/>
  <c r="N218" i="36"/>
  <c r="W218" i="36" l="1"/>
  <c r="AA219" i="36"/>
  <c r="O219" i="36"/>
  <c r="J218" i="36"/>
  <c r="B218" i="36"/>
  <c r="Y217" i="36"/>
  <c r="AB217" i="36" s="1"/>
  <c r="X217" i="36"/>
  <c r="U217" i="36"/>
  <c r="T217" i="36"/>
  <c r="S217" i="36"/>
  <c r="Z217" i="36" s="1"/>
  <c r="R217" i="36"/>
  <c r="P217" i="36"/>
  <c r="N217" i="36"/>
  <c r="W217" i="36" l="1"/>
  <c r="O218" i="36"/>
  <c r="AA218" i="36"/>
  <c r="J217" i="36"/>
  <c r="B217" i="36"/>
  <c r="Y216" i="36"/>
  <c r="AB216" i="36" s="1"/>
  <c r="X216" i="36"/>
  <c r="U216" i="36"/>
  <c r="T216" i="36"/>
  <c r="S216" i="36"/>
  <c r="Z216" i="36" s="1"/>
  <c r="R216" i="36"/>
  <c r="P216" i="36"/>
  <c r="N216" i="36"/>
  <c r="W216" i="36" l="1"/>
  <c r="O217" i="36"/>
  <c r="AA217" i="36"/>
  <c r="J216" i="36"/>
  <c r="B216" i="36"/>
  <c r="AA215" i="36"/>
  <c r="Y215" i="36"/>
  <c r="AB215" i="36" s="1"/>
  <c r="X215" i="36"/>
  <c r="U215" i="36"/>
  <c r="T215" i="36"/>
  <c r="S215" i="36"/>
  <c r="Z215" i="36" s="1"/>
  <c r="R215" i="36"/>
  <c r="P215" i="36"/>
  <c r="O215" i="36"/>
  <c r="N215" i="36"/>
  <c r="W215" i="36" l="1"/>
  <c r="O216" i="36"/>
  <c r="AA216" i="36"/>
  <c r="B215" i="36"/>
  <c r="Y214" i="36"/>
  <c r="AB214" i="36" s="1"/>
  <c r="X214" i="36"/>
  <c r="U214" i="36"/>
  <c r="T214" i="36"/>
  <c r="S214" i="36"/>
  <c r="W214" i="36" s="1"/>
  <c r="R214" i="36"/>
  <c r="P214" i="36"/>
  <c r="N214" i="36"/>
  <c r="Z214" i="36" l="1"/>
  <c r="J214" i="36"/>
  <c r="AA213" i="36"/>
  <c r="Y213" i="36"/>
  <c r="AB213" i="36" s="1"/>
  <c r="X213" i="36"/>
  <c r="U213" i="36"/>
  <c r="T213" i="36"/>
  <c r="S213" i="36"/>
  <c r="Z213" i="36" s="1"/>
  <c r="R213" i="36"/>
  <c r="P213" i="36"/>
  <c r="O213" i="36"/>
  <c r="N213" i="36"/>
  <c r="AA214" i="36" l="1"/>
  <c r="O214" i="36"/>
  <c r="W213" i="36"/>
  <c r="B213" i="36"/>
  <c r="AA212" i="36"/>
  <c r="Y212" i="36"/>
  <c r="AB212" i="36" s="1"/>
  <c r="X212" i="36"/>
  <c r="U212" i="36"/>
  <c r="T212" i="36"/>
  <c r="S212" i="36"/>
  <c r="Z212" i="36" s="1"/>
  <c r="R212" i="36"/>
  <c r="P212" i="36"/>
  <c r="O212" i="36"/>
  <c r="N212" i="36"/>
  <c r="W212" i="36" l="1"/>
  <c r="B212" i="36"/>
  <c r="AA211" i="36"/>
  <c r="Y211" i="36"/>
  <c r="AB211" i="36" s="1"/>
  <c r="X211" i="36"/>
  <c r="U211" i="36"/>
  <c r="T211" i="36"/>
  <c r="S211" i="36"/>
  <c r="Z211" i="36" s="1"/>
  <c r="R211" i="36"/>
  <c r="P211" i="36"/>
  <c r="O211" i="36"/>
  <c r="W211" i="36" l="1"/>
  <c r="K211" i="36"/>
  <c r="N211" i="36" s="1"/>
  <c r="B211" i="36"/>
  <c r="AA210" i="36"/>
  <c r="Y210" i="36"/>
  <c r="AB210" i="36" s="1"/>
  <c r="X210" i="36"/>
  <c r="U210" i="36"/>
  <c r="T210" i="36"/>
  <c r="S210" i="36"/>
  <c r="Z210" i="36" s="1"/>
  <c r="R210" i="36"/>
  <c r="P210" i="36"/>
  <c r="O210" i="36"/>
  <c r="N210" i="36"/>
  <c r="W210" i="36" l="1"/>
  <c r="B210" i="36"/>
  <c r="Y209" i="36"/>
  <c r="AB209" i="36" s="1"/>
  <c r="X209" i="36"/>
  <c r="U209" i="36"/>
  <c r="T209" i="36"/>
  <c r="S209" i="36"/>
  <c r="Z209" i="36" s="1"/>
  <c r="R209" i="36"/>
  <c r="P209" i="36"/>
  <c r="N209" i="36"/>
  <c r="W209" i="36" l="1"/>
  <c r="J209" i="36"/>
  <c r="B209" i="36"/>
  <c r="AA208" i="36"/>
  <c r="Y208" i="36"/>
  <c r="AB208" i="36" s="1"/>
  <c r="X208" i="36"/>
  <c r="U208" i="36"/>
  <c r="T208" i="36"/>
  <c r="S208" i="36"/>
  <c r="Z208" i="36" s="1"/>
  <c r="R208" i="36"/>
  <c r="P208" i="36"/>
  <c r="O208" i="36"/>
  <c r="L208" i="36"/>
  <c r="Q208" i="36" s="1"/>
  <c r="K208" i="36"/>
  <c r="N208" i="36" s="1"/>
  <c r="B208" i="36"/>
  <c r="Y207" i="36"/>
  <c r="AB207" i="36" s="1"/>
  <c r="X207" i="36"/>
  <c r="U207" i="36"/>
  <c r="T207" i="36"/>
  <c r="S207" i="36"/>
  <c r="W207" i="36" s="1"/>
  <c r="R207" i="36"/>
  <c r="P207" i="36"/>
  <c r="N207" i="36"/>
  <c r="Z207" i="36" l="1"/>
  <c r="W208" i="36"/>
  <c r="M208" i="36"/>
  <c r="AA209" i="36"/>
  <c r="O209" i="36"/>
  <c r="J207" i="36"/>
  <c r="B207" i="36"/>
  <c r="Y206" i="36"/>
  <c r="AB206" i="36" s="1"/>
  <c r="X206" i="36"/>
  <c r="U206" i="36"/>
  <c r="T206" i="36"/>
  <c r="S206" i="36"/>
  <c r="Z206" i="36" s="1"/>
  <c r="R206" i="36"/>
  <c r="P206" i="36"/>
  <c r="N206" i="36"/>
  <c r="W206" i="36" l="1"/>
  <c r="O207" i="36"/>
  <c r="AA207" i="36"/>
  <c r="J206" i="36"/>
  <c r="B206" i="36"/>
  <c r="Y205" i="36"/>
  <c r="AB205" i="36" s="1"/>
  <c r="X205" i="36"/>
  <c r="U205" i="36"/>
  <c r="T205" i="36"/>
  <c r="S205" i="36"/>
  <c r="Z205" i="36" s="1"/>
  <c r="R205" i="36"/>
  <c r="P205" i="36"/>
  <c r="N205" i="36"/>
  <c r="W205" i="36" l="1"/>
  <c r="AA206" i="36"/>
  <c r="O206" i="36"/>
  <c r="J205" i="36"/>
  <c r="B205" i="36"/>
  <c r="Y204" i="36"/>
  <c r="AB204" i="36" s="1"/>
  <c r="X204" i="36"/>
  <c r="U204" i="36"/>
  <c r="T204" i="36"/>
  <c r="S204" i="36"/>
  <c r="W204" i="36" s="1"/>
  <c r="R204" i="36"/>
  <c r="P204" i="36"/>
  <c r="L204" i="36"/>
  <c r="M204" i="36" s="1"/>
  <c r="K204" i="36"/>
  <c r="N204" i="36" s="1"/>
  <c r="J204" i="36"/>
  <c r="O204" i="36" s="1"/>
  <c r="B204" i="36"/>
  <c r="Y203" i="36"/>
  <c r="AB203" i="36" s="1"/>
  <c r="X203" i="36"/>
  <c r="U203" i="36"/>
  <c r="S203" i="36"/>
  <c r="W203" i="36" s="1"/>
  <c r="R203" i="36"/>
  <c r="P203" i="36"/>
  <c r="N203" i="36"/>
  <c r="L203" i="36"/>
  <c r="Q203" i="36" s="1"/>
  <c r="J203" i="36"/>
  <c r="AA203" i="36" s="1"/>
  <c r="B203" i="36"/>
  <c r="AA202" i="36"/>
  <c r="Y202" i="36"/>
  <c r="AB202" i="36" s="1"/>
  <c r="X202" i="36"/>
  <c r="U202" i="36"/>
  <c r="T202" i="36"/>
  <c r="S202" i="36"/>
  <c r="Z202" i="36" s="1"/>
  <c r="R202" i="36"/>
  <c r="P202" i="36"/>
  <c r="O202" i="36"/>
  <c r="N202" i="36"/>
  <c r="Z203" i="36" l="1"/>
  <c r="W202" i="36"/>
  <c r="Q204" i="36"/>
  <c r="M203" i="36"/>
  <c r="Z204" i="36"/>
  <c r="AA204" i="36"/>
  <c r="AA205" i="36"/>
  <c r="O205" i="36"/>
  <c r="B202" i="36"/>
  <c r="Y201" i="36"/>
  <c r="AB201" i="36" s="1"/>
  <c r="X201" i="36"/>
  <c r="U201" i="36"/>
  <c r="T201" i="36"/>
  <c r="S201" i="36"/>
  <c r="Z201" i="36" s="1"/>
  <c r="R201" i="36"/>
  <c r="P201" i="36"/>
  <c r="N201" i="36"/>
  <c r="W201" i="36" l="1"/>
  <c r="J201" i="36"/>
  <c r="B201" i="36"/>
  <c r="X200" i="36"/>
  <c r="T200" i="36"/>
  <c r="S200" i="36"/>
  <c r="Z200" i="36" s="1"/>
  <c r="R200" i="36"/>
  <c r="K200" i="36"/>
  <c r="M200" i="36" s="1"/>
  <c r="J200" i="36"/>
  <c r="O200" i="36" s="1"/>
  <c r="H200" i="36"/>
  <c r="U200" i="36" s="1"/>
  <c r="B200" i="36"/>
  <c r="AA199" i="36"/>
  <c r="Y199" i="36"/>
  <c r="AB199" i="36" s="1"/>
  <c r="X199" i="36"/>
  <c r="U199" i="36"/>
  <c r="T199" i="36"/>
  <c r="S199" i="36"/>
  <c r="Z199" i="36" s="1"/>
  <c r="R199" i="36"/>
  <c r="P199" i="36"/>
  <c r="O199" i="36"/>
  <c r="N199" i="36"/>
  <c r="L199" i="36"/>
  <c r="Q199" i="36" s="1"/>
  <c r="B199" i="36"/>
  <c r="AA198" i="36"/>
  <c r="Y198" i="36"/>
  <c r="AB198" i="36" s="1"/>
  <c r="X198" i="36"/>
  <c r="U198" i="36"/>
  <c r="T198" i="36"/>
  <c r="O198" i="36" s="1"/>
  <c r="S198" i="36"/>
  <c r="W198" i="36" s="1"/>
  <c r="R198" i="36"/>
  <c r="P198" i="36"/>
  <c r="N198" i="36"/>
  <c r="W199" i="36" l="1"/>
  <c r="Z198" i="36"/>
  <c r="Q200" i="36"/>
  <c r="W200" i="36"/>
  <c r="P200" i="36"/>
  <c r="M199" i="36"/>
  <c r="Y200" i="36"/>
  <c r="AB200" i="36" s="1"/>
  <c r="AA200" i="36"/>
  <c r="N200" i="36"/>
  <c r="O201" i="36"/>
  <c r="AA201" i="36"/>
  <c r="B198" i="36"/>
  <c r="AA197" i="36"/>
  <c r="Y197" i="36"/>
  <c r="AB197" i="36" s="1"/>
  <c r="X197" i="36"/>
  <c r="U197" i="36"/>
  <c r="T197" i="36"/>
  <c r="S197" i="36"/>
  <c r="Z197" i="36" s="1"/>
  <c r="R197" i="36"/>
  <c r="P197" i="36"/>
  <c r="O197" i="36"/>
  <c r="W197" i="36" l="1"/>
  <c r="K197" i="36"/>
  <c r="N197" i="36" s="1"/>
  <c r="B197" i="36"/>
  <c r="AA196" i="36"/>
  <c r="Y196" i="36"/>
  <c r="AB196" i="36" s="1"/>
  <c r="X196" i="36"/>
  <c r="U196" i="36"/>
  <c r="T196" i="36"/>
  <c r="S196" i="36"/>
  <c r="Z196" i="36" s="1"/>
  <c r="R196" i="36"/>
  <c r="P196" i="36"/>
  <c r="O196" i="36"/>
  <c r="N196" i="36"/>
  <c r="W196" i="36" l="1"/>
  <c r="B196" i="36"/>
  <c r="AA195" i="36"/>
  <c r="Y195" i="36"/>
  <c r="AB195" i="36" s="1"/>
  <c r="X195" i="36"/>
  <c r="U195" i="36"/>
  <c r="T195" i="36"/>
  <c r="S195" i="36"/>
  <c r="Z195" i="36" s="1"/>
  <c r="R195" i="36"/>
  <c r="P195" i="36"/>
  <c r="O195" i="36"/>
  <c r="W195" i="36" l="1"/>
  <c r="K195" i="36"/>
  <c r="N195" i="36" s="1"/>
  <c r="B195" i="36"/>
  <c r="AA194" i="36"/>
  <c r="Y194" i="36"/>
  <c r="AB194" i="36" s="1"/>
  <c r="X194" i="36"/>
  <c r="U194" i="36"/>
  <c r="T194" i="36"/>
  <c r="S194" i="36"/>
  <c r="Z194" i="36" s="1"/>
  <c r="R194" i="36"/>
  <c r="P194" i="36"/>
  <c r="O194" i="36"/>
  <c r="N194" i="36"/>
  <c r="W194" i="36" l="1"/>
  <c r="B194" i="36"/>
  <c r="AA193" i="36"/>
  <c r="Y193" i="36"/>
  <c r="AB193" i="36" s="1"/>
  <c r="X193" i="36"/>
  <c r="U193" i="36"/>
  <c r="T193" i="36"/>
  <c r="S193" i="36"/>
  <c r="Z193" i="36" s="1"/>
  <c r="R193" i="36"/>
  <c r="P193" i="36"/>
  <c r="O193" i="36"/>
  <c r="W193" i="36" l="1"/>
  <c r="K193" i="36"/>
  <c r="N193" i="36" s="1"/>
  <c r="B193" i="36"/>
  <c r="AA192" i="36"/>
  <c r="Y192" i="36"/>
  <c r="AB192" i="36" s="1"/>
  <c r="X192" i="36"/>
  <c r="U192" i="36"/>
  <c r="T192" i="36"/>
  <c r="S192" i="36"/>
  <c r="W192" i="36" s="1"/>
  <c r="R192" i="36"/>
  <c r="P192" i="36"/>
  <c r="O192" i="36"/>
  <c r="N192" i="36"/>
  <c r="Z192" i="36" l="1"/>
  <c r="B192" i="36"/>
  <c r="AA191" i="36"/>
  <c r="Y191" i="36"/>
  <c r="AB191" i="36" s="1"/>
  <c r="X191" i="36"/>
  <c r="U191" i="36"/>
  <c r="T191" i="36"/>
  <c r="S191" i="36"/>
  <c r="Z191" i="36" s="1"/>
  <c r="R191" i="36"/>
  <c r="P191" i="36"/>
  <c r="O191" i="36"/>
  <c r="N191" i="36"/>
  <c r="L191" i="36"/>
  <c r="M191" i="36" s="1"/>
  <c r="B191" i="36"/>
  <c r="Y190" i="36"/>
  <c r="AB190" i="36" s="1"/>
  <c r="X190" i="36"/>
  <c r="U190" i="36"/>
  <c r="S190" i="36"/>
  <c r="W190" i="36" s="1"/>
  <c r="R190" i="36"/>
  <c r="P190" i="36"/>
  <c r="L190" i="36"/>
  <c r="Q190" i="36" s="1"/>
  <c r="K190" i="36"/>
  <c r="N190" i="36" s="1"/>
  <c r="J190" i="36"/>
  <c r="AA190" i="36" s="1"/>
  <c r="B190" i="36"/>
  <c r="AA189" i="36"/>
  <c r="Y189" i="36"/>
  <c r="AB189" i="36" s="1"/>
  <c r="X189" i="36"/>
  <c r="U189" i="36"/>
  <c r="S189" i="36"/>
  <c r="Z189" i="36" s="1"/>
  <c r="R189" i="36"/>
  <c r="P189" i="36"/>
  <c r="N189" i="36"/>
  <c r="L189" i="36"/>
  <c r="M189" i="36" s="1"/>
  <c r="B189" i="36"/>
  <c r="Y188" i="36"/>
  <c r="AB188" i="36" s="1"/>
  <c r="X188" i="36"/>
  <c r="U188" i="36"/>
  <c r="S188" i="36"/>
  <c r="W188" i="36" s="1"/>
  <c r="R188" i="36"/>
  <c r="P188" i="36"/>
  <c r="L188" i="36"/>
  <c r="M188" i="36" s="1"/>
  <c r="K188" i="36"/>
  <c r="N188" i="36" s="1"/>
  <c r="J188" i="36"/>
  <c r="AA188" i="36" s="1"/>
  <c r="B188" i="36"/>
  <c r="AA187" i="36"/>
  <c r="Y187" i="36"/>
  <c r="AB187" i="36" s="1"/>
  <c r="X187" i="36"/>
  <c r="U187" i="36"/>
  <c r="S187" i="36"/>
  <c r="W187" i="36" s="1"/>
  <c r="R187" i="36"/>
  <c r="P187" i="36"/>
  <c r="N187" i="36"/>
  <c r="L187" i="36"/>
  <c r="Q187" i="36" s="1"/>
  <c r="B187" i="36"/>
  <c r="Y186" i="36"/>
  <c r="AB186" i="36" s="1"/>
  <c r="X186" i="36"/>
  <c r="U186" i="36"/>
  <c r="T186" i="36"/>
  <c r="S186" i="36"/>
  <c r="W186" i="36" s="1"/>
  <c r="R186" i="36"/>
  <c r="P186" i="36"/>
  <c r="N186" i="36"/>
  <c r="Z188" i="36" l="1"/>
  <c r="M187" i="36"/>
  <c r="Z190" i="36"/>
  <c r="Q191" i="36"/>
  <c r="Q189" i="36"/>
  <c r="Z187" i="36"/>
  <c r="W191" i="36"/>
  <c r="M190" i="36"/>
  <c r="Q188" i="36"/>
  <c r="Z186" i="36"/>
  <c r="W189" i="36"/>
  <c r="J186" i="36"/>
  <c r="B186" i="36"/>
  <c r="AA185" i="36"/>
  <c r="Y185" i="36"/>
  <c r="AB185" i="36" s="1"/>
  <c r="X185" i="36"/>
  <c r="U185" i="36"/>
  <c r="T185" i="36"/>
  <c r="S185" i="36"/>
  <c r="Z185" i="36" s="1"/>
  <c r="R185" i="36"/>
  <c r="P185" i="36"/>
  <c r="O185" i="36"/>
  <c r="N185" i="36"/>
  <c r="L185" i="36"/>
  <c r="M185" i="36" s="1"/>
  <c r="B185" i="36"/>
  <c r="Y184" i="36"/>
  <c r="AB184" i="36" s="1"/>
  <c r="X184" i="36"/>
  <c r="U184" i="36"/>
  <c r="S184" i="36"/>
  <c r="W184" i="36" s="1"/>
  <c r="R184" i="36"/>
  <c r="P184" i="36"/>
  <c r="N184" i="36"/>
  <c r="L184" i="36"/>
  <c r="M184" i="36" s="1"/>
  <c r="J184" i="36"/>
  <c r="AA184" i="36" s="1"/>
  <c r="B184" i="36"/>
  <c r="AA183" i="36"/>
  <c r="Y183" i="36"/>
  <c r="AB183" i="36" s="1"/>
  <c r="X183" i="36"/>
  <c r="U183" i="36"/>
  <c r="S183" i="36"/>
  <c r="W183" i="36" s="1"/>
  <c r="R183" i="36"/>
  <c r="P183" i="36"/>
  <c r="N183" i="36"/>
  <c r="L183" i="36"/>
  <c r="M183" i="36" s="1"/>
  <c r="B183" i="36"/>
  <c r="Y182" i="36"/>
  <c r="AB182" i="36" s="1"/>
  <c r="X182" i="36"/>
  <c r="U182" i="36"/>
  <c r="T182" i="36"/>
  <c r="S182" i="36"/>
  <c r="Z182" i="36" s="1"/>
  <c r="R182" i="36"/>
  <c r="P182" i="36"/>
  <c r="N182" i="36"/>
  <c r="Q183" i="36" l="1"/>
  <c r="Q185" i="36"/>
  <c r="Z183" i="36"/>
  <c r="W185" i="36"/>
  <c r="Q184" i="36"/>
  <c r="Z184" i="36"/>
  <c r="AA186" i="36"/>
  <c r="O186" i="36"/>
  <c r="W182" i="36"/>
  <c r="J182" i="36"/>
  <c r="B182" i="36"/>
  <c r="AA181" i="36"/>
  <c r="Y181" i="36"/>
  <c r="AB181" i="36" s="1"/>
  <c r="X181" i="36"/>
  <c r="U181" i="36"/>
  <c r="T181" i="36"/>
  <c r="S181" i="36"/>
  <c r="Z181" i="36" s="1"/>
  <c r="R181" i="36"/>
  <c r="P181" i="36"/>
  <c r="O181" i="36"/>
  <c r="N181" i="36"/>
  <c r="AA182" i="36" l="1"/>
  <c r="O182" i="36"/>
  <c r="W181" i="36"/>
  <c r="B181" i="36"/>
  <c r="AA180" i="36"/>
  <c r="Y180" i="36"/>
  <c r="AB180" i="36" s="1"/>
  <c r="X180" i="36"/>
  <c r="U180" i="36"/>
  <c r="T180" i="36"/>
  <c r="S180" i="36"/>
  <c r="W180" i="36" s="1"/>
  <c r="R180" i="36"/>
  <c r="P180" i="36"/>
  <c r="O180" i="36"/>
  <c r="Z180" i="36" l="1"/>
  <c r="K180" i="36"/>
  <c r="N180" i="36" s="1"/>
  <c r="B180" i="36"/>
  <c r="Y179" i="36"/>
  <c r="AB179" i="36" s="1"/>
  <c r="X179" i="36"/>
  <c r="U179" i="36"/>
  <c r="T179" i="36"/>
  <c r="S179" i="36"/>
  <c r="Z179" i="36" s="1"/>
  <c r="R179" i="36"/>
  <c r="P179" i="36"/>
  <c r="N179" i="36"/>
  <c r="W179" i="36" l="1"/>
  <c r="J179" i="36"/>
  <c r="B179" i="36"/>
  <c r="Y178" i="36"/>
  <c r="AB178" i="36" s="1"/>
  <c r="X178" i="36"/>
  <c r="U178" i="36"/>
  <c r="T178" i="36"/>
  <c r="S178" i="36"/>
  <c r="Z178" i="36" s="1"/>
  <c r="R178" i="36"/>
  <c r="P178" i="36"/>
  <c r="N178" i="36"/>
  <c r="W178" i="36" l="1"/>
  <c r="O179" i="36"/>
  <c r="AA179" i="36"/>
  <c r="J178" i="36"/>
  <c r="B178" i="36"/>
  <c r="AA177" i="36"/>
  <c r="Y177" i="36"/>
  <c r="AB177" i="36" s="1"/>
  <c r="X177" i="36"/>
  <c r="U177" i="36"/>
  <c r="T177" i="36"/>
  <c r="S177" i="36"/>
  <c r="W177" i="36" s="1"/>
  <c r="R177" i="36"/>
  <c r="P177" i="36"/>
  <c r="O177" i="36"/>
  <c r="N177" i="36"/>
  <c r="Z177" i="36" l="1"/>
  <c r="AA178" i="36"/>
  <c r="O178" i="36"/>
  <c r="B177" i="36"/>
  <c r="AA176" i="36"/>
  <c r="Y176" i="36"/>
  <c r="AB176" i="36" s="1"/>
  <c r="X176" i="36"/>
  <c r="U176" i="36"/>
  <c r="T176" i="36"/>
  <c r="S176" i="36"/>
  <c r="Z176" i="36" s="1"/>
  <c r="R176" i="36"/>
  <c r="P176" i="36"/>
  <c r="O176" i="36"/>
  <c r="N176" i="36"/>
  <c r="W176" i="36" l="1"/>
  <c r="B176" i="36"/>
  <c r="AA175" i="36"/>
  <c r="Y175" i="36"/>
  <c r="AB175" i="36" s="1"/>
  <c r="X175" i="36"/>
  <c r="U175" i="36"/>
  <c r="T175" i="36"/>
  <c r="S175" i="36"/>
  <c r="Z175" i="36" s="1"/>
  <c r="R175" i="36"/>
  <c r="P175" i="36"/>
  <c r="O175" i="36"/>
  <c r="N175" i="36"/>
  <c r="L175" i="36"/>
  <c r="M175" i="36" s="1"/>
  <c r="B175" i="36"/>
  <c r="Y174" i="36"/>
  <c r="AB174" i="36" s="1"/>
  <c r="X174" i="36"/>
  <c r="U174" i="36"/>
  <c r="T174" i="36"/>
  <c r="S174" i="36"/>
  <c r="Z174" i="36" s="1"/>
  <c r="R174" i="36"/>
  <c r="P174" i="36"/>
  <c r="N174" i="36"/>
  <c r="Q175" i="36" l="1"/>
  <c r="W174" i="36"/>
  <c r="W175" i="36"/>
  <c r="J174" i="36"/>
  <c r="B174" i="36"/>
  <c r="Y173" i="36"/>
  <c r="AB173" i="36" s="1"/>
  <c r="X173" i="36"/>
  <c r="U173" i="36"/>
  <c r="T173" i="36"/>
  <c r="S173" i="36"/>
  <c r="Z173" i="36" s="1"/>
  <c r="R173" i="36"/>
  <c r="P173" i="36"/>
  <c r="N173" i="36"/>
  <c r="W173" i="36" l="1"/>
  <c r="O174" i="36"/>
  <c r="AA174" i="36"/>
  <c r="J173" i="36"/>
  <c r="B173" i="36"/>
  <c r="AA172" i="36"/>
  <c r="Y172" i="36"/>
  <c r="AB172" i="36" s="1"/>
  <c r="X172" i="36"/>
  <c r="U172" i="36"/>
  <c r="T172" i="36"/>
  <c r="S172" i="36"/>
  <c r="Z172" i="36" s="1"/>
  <c r="R172" i="36"/>
  <c r="P172" i="36"/>
  <c r="O172" i="36"/>
  <c r="N172" i="36"/>
  <c r="L172" i="36"/>
  <c r="Q172" i="36" s="1"/>
  <c r="B172" i="36"/>
  <c r="AA171" i="36"/>
  <c r="Y171" i="36"/>
  <c r="AB171" i="36" s="1"/>
  <c r="X171" i="36"/>
  <c r="U171" i="36"/>
  <c r="T171" i="36"/>
  <c r="S171" i="36"/>
  <c r="Z171" i="36" s="1"/>
  <c r="R171" i="36"/>
  <c r="P171" i="36"/>
  <c r="O171" i="36"/>
  <c r="N171" i="36"/>
  <c r="L171" i="36"/>
  <c r="M171" i="36" s="1"/>
  <c r="B171" i="36"/>
  <c r="Y170" i="36"/>
  <c r="AB170" i="36" s="1"/>
  <c r="X170" i="36"/>
  <c r="U170" i="36"/>
  <c r="T170" i="36"/>
  <c r="S170" i="36"/>
  <c r="Z170" i="36" s="1"/>
  <c r="R170" i="36"/>
  <c r="P170" i="36"/>
  <c r="N170" i="36"/>
  <c r="W171" i="36" l="1"/>
  <c r="M172" i="36"/>
  <c r="W170" i="36"/>
  <c r="W172" i="36"/>
  <c r="Q171" i="36"/>
  <c r="AA173" i="36"/>
  <c r="O173" i="36"/>
  <c r="J170" i="36"/>
  <c r="B170" i="36"/>
  <c r="Y169" i="36"/>
  <c r="AB169" i="36" s="1"/>
  <c r="X169" i="36"/>
  <c r="U169" i="36"/>
  <c r="T169" i="36"/>
  <c r="S169" i="36"/>
  <c r="W169" i="36" s="1"/>
  <c r="R169" i="36"/>
  <c r="P169" i="36"/>
  <c r="AA170" i="36" l="1"/>
  <c r="O170" i="36"/>
  <c r="Z169" i="36"/>
  <c r="K169" i="36"/>
  <c r="N169" i="36" s="1"/>
  <c r="J169" i="36"/>
  <c r="B169" i="36"/>
  <c r="AA168" i="36"/>
  <c r="Y168" i="36"/>
  <c r="AB168" i="36" s="1"/>
  <c r="X168" i="36"/>
  <c r="U168" i="36"/>
  <c r="T168" i="36"/>
  <c r="S168" i="36"/>
  <c r="Z168" i="36" s="1"/>
  <c r="R168" i="36"/>
  <c r="P168" i="36"/>
  <c r="O168" i="36"/>
  <c r="N168" i="36"/>
  <c r="W168" i="36" l="1"/>
  <c r="AA169" i="36"/>
  <c r="O169" i="36"/>
  <c r="B168" i="36"/>
  <c r="AA167" i="36"/>
  <c r="Y167" i="36"/>
  <c r="AB167" i="36" s="1"/>
  <c r="X167" i="36"/>
  <c r="U167" i="36"/>
  <c r="T167" i="36"/>
  <c r="S167" i="36"/>
  <c r="Z167" i="36" s="1"/>
  <c r="R167" i="36"/>
  <c r="P167" i="36"/>
  <c r="O167" i="36"/>
  <c r="N167" i="36"/>
  <c r="W167" i="36" l="1"/>
  <c r="B167" i="36"/>
  <c r="AA166" i="36"/>
  <c r="Y166" i="36"/>
  <c r="AB166" i="36" s="1"/>
  <c r="X166" i="36"/>
  <c r="U166" i="36"/>
  <c r="T166" i="36"/>
  <c r="S166" i="36"/>
  <c r="Z166" i="36" s="1"/>
  <c r="R166" i="36"/>
  <c r="P166" i="36"/>
  <c r="O166" i="36"/>
  <c r="N166" i="36"/>
  <c r="W166" i="36" l="1"/>
  <c r="B166" i="36"/>
  <c r="AA165" i="36"/>
  <c r="Y165" i="36"/>
  <c r="AB165" i="36" s="1"/>
  <c r="X165" i="36"/>
  <c r="U165" i="36"/>
  <c r="T165" i="36"/>
  <c r="S165" i="36"/>
  <c r="W165" i="36" s="1"/>
  <c r="R165" i="36"/>
  <c r="P165" i="36"/>
  <c r="O165" i="36"/>
  <c r="N165" i="36"/>
  <c r="Z165" i="36" l="1"/>
  <c r="B165" i="36"/>
  <c r="AA164" i="36"/>
  <c r="Y164" i="36"/>
  <c r="AB164" i="36" s="1"/>
  <c r="X164" i="36"/>
  <c r="U164" i="36"/>
  <c r="T164" i="36"/>
  <c r="S164" i="36"/>
  <c r="Z164" i="36" s="1"/>
  <c r="R164" i="36"/>
  <c r="P164" i="36"/>
  <c r="O164" i="36"/>
  <c r="N164" i="36"/>
  <c r="W164" i="36" l="1"/>
  <c r="B164" i="36"/>
  <c r="AA163" i="36"/>
  <c r="Y163" i="36"/>
  <c r="AB163" i="36" s="1"/>
  <c r="X163" i="36"/>
  <c r="U163" i="36"/>
  <c r="T163" i="36"/>
  <c r="S163" i="36"/>
  <c r="W163" i="36" s="1"/>
  <c r="R163" i="36"/>
  <c r="P163" i="36"/>
  <c r="O163" i="36"/>
  <c r="N163" i="36"/>
  <c r="Z163" i="36" l="1"/>
  <c r="B163" i="36"/>
  <c r="AA162" i="36"/>
  <c r="Y162" i="36"/>
  <c r="AB162" i="36" s="1"/>
  <c r="X162" i="36"/>
  <c r="U162" i="36"/>
  <c r="T162" i="36"/>
  <c r="S162" i="36"/>
  <c r="Z162" i="36" s="1"/>
  <c r="R162" i="36"/>
  <c r="P162" i="36"/>
  <c r="O162" i="36"/>
  <c r="N162" i="36"/>
  <c r="W162" i="36" l="1"/>
  <c r="B162" i="36"/>
  <c r="AA161" i="36"/>
  <c r="Y161" i="36"/>
  <c r="AB161" i="36" s="1"/>
  <c r="X161" i="36"/>
  <c r="U161" i="36"/>
  <c r="T161" i="36"/>
  <c r="S161" i="36"/>
  <c r="Z161" i="36" s="1"/>
  <c r="R161" i="36"/>
  <c r="P161" i="36"/>
  <c r="O161" i="36"/>
  <c r="N161" i="36"/>
  <c r="W161" i="36" l="1"/>
  <c r="B161" i="36"/>
  <c r="AA160" i="36"/>
  <c r="Y160" i="36"/>
  <c r="AB160" i="36" s="1"/>
  <c r="X160" i="36"/>
  <c r="U160" i="36"/>
  <c r="T160" i="36"/>
  <c r="S160" i="36"/>
  <c r="Z160" i="36" s="1"/>
  <c r="R160" i="36"/>
  <c r="P160" i="36"/>
  <c r="O160" i="36"/>
  <c r="N160" i="36"/>
  <c r="W160" i="36" l="1"/>
  <c r="B160" i="36"/>
  <c r="AA159" i="36"/>
  <c r="Y159" i="36"/>
  <c r="AB159" i="36" s="1"/>
  <c r="X159" i="36"/>
  <c r="U159" i="36"/>
  <c r="T159" i="36"/>
  <c r="S159" i="36"/>
  <c r="Z159" i="36" s="1"/>
  <c r="R159" i="36"/>
  <c r="P159" i="36"/>
  <c r="O159" i="36"/>
  <c r="N159" i="36"/>
  <c r="W159" i="36" l="1"/>
  <c r="B159" i="36"/>
  <c r="AA158" i="36"/>
  <c r="Y158" i="36"/>
  <c r="AB158" i="36" s="1"/>
  <c r="X158" i="36"/>
  <c r="U158" i="36"/>
  <c r="T158" i="36"/>
  <c r="S158" i="36"/>
  <c r="Z158" i="36" s="1"/>
  <c r="R158" i="36"/>
  <c r="P158" i="36"/>
  <c r="O158" i="36"/>
  <c r="N158" i="36"/>
  <c r="W158" i="36" l="1"/>
  <c r="B158" i="36"/>
  <c r="AA157" i="36"/>
  <c r="Y157" i="36"/>
  <c r="AB157" i="36" s="1"/>
  <c r="X157" i="36"/>
  <c r="U157" i="36"/>
  <c r="T157" i="36"/>
  <c r="S157" i="36"/>
  <c r="Z157" i="36" s="1"/>
  <c r="R157" i="36"/>
  <c r="P157" i="36"/>
  <c r="O157" i="36"/>
  <c r="N157" i="36"/>
  <c r="W157" i="36" l="1"/>
  <c r="B157" i="36"/>
  <c r="AA156" i="36"/>
  <c r="Y156" i="36"/>
  <c r="AB156" i="36" s="1"/>
  <c r="X156" i="36"/>
  <c r="U156" i="36"/>
  <c r="T156" i="36"/>
  <c r="S156" i="36"/>
  <c r="W156" i="36" s="1"/>
  <c r="R156" i="36"/>
  <c r="P156" i="36"/>
  <c r="O156" i="36"/>
  <c r="N156" i="36"/>
  <c r="Z156" i="36" l="1"/>
  <c r="B156" i="36"/>
  <c r="AA155" i="36"/>
  <c r="Y155" i="36"/>
  <c r="AB155" i="36" s="1"/>
  <c r="X155" i="36"/>
  <c r="U155" i="36"/>
  <c r="T155" i="36"/>
  <c r="S155" i="36"/>
  <c r="Z155" i="36" s="1"/>
  <c r="R155" i="36"/>
  <c r="P155" i="36"/>
  <c r="O155" i="36"/>
  <c r="N155" i="36"/>
  <c r="L155" i="36"/>
  <c r="Q155" i="36" s="1"/>
  <c r="B155" i="36"/>
  <c r="AA154" i="36"/>
  <c r="Y154" i="36"/>
  <c r="AB154" i="36" s="1"/>
  <c r="X154" i="36"/>
  <c r="U154" i="36"/>
  <c r="T154" i="36"/>
  <c r="S154" i="36"/>
  <c r="Z154" i="36" s="1"/>
  <c r="R154" i="36"/>
  <c r="P154" i="36"/>
  <c r="O154" i="36"/>
  <c r="N154" i="36"/>
  <c r="M155" i="36" l="1"/>
  <c r="W154" i="36"/>
  <c r="W155" i="36"/>
  <c r="B154" i="36"/>
  <c r="AA153" i="36"/>
  <c r="Y153" i="36"/>
  <c r="AB153" i="36" s="1"/>
  <c r="X153" i="36"/>
  <c r="U153" i="36"/>
  <c r="T153" i="36"/>
  <c r="S153" i="36"/>
  <c r="Z153" i="36" s="1"/>
  <c r="R153" i="36"/>
  <c r="P153" i="36"/>
  <c r="O153" i="36"/>
  <c r="N153" i="36"/>
  <c r="W153" i="36" l="1"/>
  <c r="B153" i="36"/>
  <c r="AA152" i="36"/>
  <c r="X152" i="36"/>
  <c r="T152" i="36"/>
  <c r="S152" i="36"/>
  <c r="W152" i="36" s="1"/>
  <c r="R152" i="36"/>
  <c r="O152" i="36"/>
  <c r="Z152" i="36" l="1"/>
  <c r="H152" i="36"/>
  <c r="B152" i="36"/>
  <c r="AA151" i="36"/>
  <c r="Y151" i="36"/>
  <c r="AB151" i="36" s="1"/>
  <c r="X151" i="36"/>
  <c r="U151" i="36"/>
  <c r="T151" i="36"/>
  <c r="S151" i="36"/>
  <c r="W151" i="36" s="1"/>
  <c r="R151" i="36"/>
  <c r="P151" i="36"/>
  <c r="O151" i="36"/>
  <c r="N151" i="36"/>
  <c r="Z151" i="36" l="1"/>
  <c r="Y152" i="36"/>
  <c r="AB152" i="36" s="1"/>
  <c r="U152" i="36"/>
  <c r="N152" i="36"/>
  <c r="P152" i="36"/>
  <c r="B151" i="36"/>
  <c r="AA150" i="36"/>
  <c r="Y150" i="36"/>
  <c r="AB150" i="36" s="1"/>
  <c r="X150" i="36"/>
  <c r="U150" i="36"/>
  <c r="T150" i="36"/>
  <c r="S150" i="36"/>
  <c r="W150" i="36" s="1"/>
  <c r="R150" i="36"/>
  <c r="P150" i="36"/>
  <c r="O150" i="36"/>
  <c r="N150" i="36"/>
  <c r="Z150" i="36" l="1"/>
  <c r="B150" i="36"/>
  <c r="AA149" i="36"/>
  <c r="Y149" i="36"/>
  <c r="AB149" i="36" s="1"/>
  <c r="X149" i="36"/>
  <c r="U149" i="36"/>
  <c r="T149" i="36"/>
  <c r="S149" i="36"/>
  <c r="W149" i="36" s="1"/>
  <c r="R149" i="36"/>
  <c r="P149" i="36"/>
  <c r="O149" i="36"/>
  <c r="N149" i="36"/>
  <c r="Z149" i="36" l="1"/>
  <c r="B149" i="36"/>
  <c r="AA148" i="36"/>
  <c r="X148" i="36"/>
  <c r="T148" i="36"/>
  <c r="S148" i="36"/>
  <c r="Z148" i="36" s="1"/>
  <c r="R148" i="36"/>
  <c r="O148" i="36"/>
  <c r="W148" i="36" l="1"/>
  <c r="H148" i="36"/>
  <c r="B148" i="36"/>
  <c r="AA147" i="36"/>
  <c r="Y147" i="36"/>
  <c r="AB147" i="36" s="1"/>
  <c r="X147" i="36"/>
  <c r="U147" i="36"/>
  <c r="T147" i="36"/>
  <c r="S147" i="36"/>
  <c r="W147" i="36" s="1"/>
  <c r="R147" i="36"/>
  <c r="P147" i="36"/>
  <c r="O147" i="36"/>
  <c r="N147" i="36"/>
  <c r="Z147" i="36" l="1"/>
  <c r="P148" i="36"/>
  <c r="N148" i="36"/>
  <c r="Y148" i="36"/>
  <c r="AB148" i="36" s="1"/>
  <c r="U148" i="36"/>
  <c r="B147" i="36"/>
  <c r="AA146" i="36"/>
  <c r="Y146" i="36"/>
  <c r="AB146" i="36" s="1"/>
  <c r="X146" i="36"/>
  <c r="U146" i="36"/>
  <c r="T146" i="36"/>
  <c r="S146" i="36"/>
  <c r="Z146" i="36" s="1"/>
  <c r="R146" i="36"/>
  <c r="P146" i="36"/>
  <c r="O146" i="36"/>
  <c r="N146" i="36"/>
  <c r="W146" i="36" l="1"/>
  <c r="B146" i="36"/>
  <c r="AA145" i="36"/>
  <c r="Y145" i="36"/>
  <c r="AB145" i="36" s="1"/>
  <c r="X145" i="36"/>
  <c r="U145" i="36"/>
  <c r="T145" i="36"/>
  <c r="S145" i="36"/>
  <c r="Z145" i="36" s="1"/>
  <c r="R145" i="36"/>
  <c r="P145" i="36"/>
  <c r="O145" i="36"/>
  <c r="N145" i="36"/>
  <c r="W145" i="36" l="1"/>
  <c r="B145" i="36"/>
  <c r="AA144" i="36"/>
  <c r="Y144" i="36"/>
  <c r="AB144" i="36" s="1"/>
  <c r="X144" i="36"/>
  <c r="U144" i="36"/>
  <c r="T144" i="36"/>
  <c r="S144" i="36"/>
  <c r="Z144" i="36" s="1"/>
  <c r="R144" i="36"/>
  <c r="P144" i="36"/>
  <c r="O144" i="36"/>
  <c r="N144" i="36"/>
  <c r="W144" i="36" l="1"/>
  <c r="B144" i="36"/>
  <c r="AA143" i="36"/>
  <c r="Y143" i="36"/>
  <c r="AB143" i="36" s="1"/>
  <c r="X143" i="36"/>
  <c r="U143" i="36"/>
  <c r="T143" i="36"/>
  <c r="S143" i="36"/>
  <c r="Z143" i="36" s="1"/>
  <c r="R143" i="36"/>
  <c r="P143" i="36"/>
  <c r="O143" i="36"/>
  <c r="N143" i="36"/>
  <c r="W143" i="36" l="1"/>
  <c r="B143" i="36"/>
  <c r="AA142" i="36"/>
  <c r="Y142" i="36"/>
  <c r="AB142" i="36" s="1"/>
  <c r="X142" i="36"/>
  <c r="U142" i="36"/>
  <c r="T142" i="36"/>
  <c r="S142" i="36"/>
  <c r="Z142" i="36" s="1"/>
  <c r="R142" i="36"/>
  <c r="P142" i="36"/>
  <c r="O142" i="36"/>
  <c r="N142" i="36"/>
  <c r="W142" i="36" l="1"/>
  <c r="B142" i="36"/>
  <c r="AA141" i="36"/>
  <c r="Y141" i="36"/>
  <c r="AB141" i="36" s="1"/>
  <c r="X141" i="36"/>
  <c r="U141" i="36"/>
  <c r="T141" i="36"/>
  <c r="S141" i="36"/>
  <c r="W141" i="36" s="1"/>
  <c r="R141" i="36"/>
  <c r="P141" i="36"/>
  <c r="O141" i="36"/>
  <c r="Z141" i="36" l="1"/>
  <c r="K141" i="36"/>
  <c r="N141" i="36" s="1"/>
  <c r="B141" i="36"/>
  <c r="AA140" i="36"/>
  <c r="Y140" i="36"/>
  <c r="AB140" i="36" s="1"/>
  <c r="X140" i="36"/>
  <c r="U140" i="36"/>
  <c r="T140" i="36"/>
  <c r="S140" i="36"/>
  <c r="Z140" i="36" s="1"/>
  <c r="R140" i="36"/>
  <c r="P140" i="36"/>
  <c r="O140" i="36"/>
  <c r="W140" i="36" l="1"/>
  <c r="K140" i="36"/>
  <c r="N140" i="36" s="1"/>
  <c r="B140" i="36"/>
  <c r="AA139" i="36"/>
  <c r="Y139" i="36"/>
  <c r="AB139" i="36" s="1"/>
  <c r="X139" i="36"/>
  <c r="U139" i="36"/>
  <c r="T139" i="36"/>
  <c r="S139" i="36"/>
  <c r="Z139" i="36" s="1"/>
  <c r="R139" i="36"/>
  <c r="P139" i="36"/>
  <c r="O139" i="36"/>
  <c r="N139" i="36"/>
  <c r="W139" i="36" l="1"/>
  <c r="B139" i="36"/>
  <c r="AA138" i="36"/>
  <c r="Y138" i="36"/>
  <c r="AB138" i="36" s="1"/>
  <c r="X138" i="36"/>
  <c r="U138" i="36"/>
  <c r="T138" i="36"/>
  <c r="S138" i="36"/>
  <c r="Z138" i="36" s="1"/>
  <c r="R138" i="36"/>
  <c r="P138" i="36"/>
  <c r="O138" i="36"/>
  <c r="N138" i="36"/>
  <c r="W138" i="36" l="1"/>
  <c r="B138" i="36"/>
  <c r="AA137" i="36"/>
  <c r="Y137" i="36"/>
  <c r="AB137" i="36" s="1"/>
  <c r="X137" i="36"/>
  <c r="U137" i="36"/>
  <c r="T137" i="36"/>
  <c r="S137" i="36"/>
  <c r="Z137" i="36" s="1"/>
  <c r="R137" i="36"/>
  <c r="P137" i="36"/>
  <c r="O137" i="36"/>
  <c r="N137" i="36"/>
  <c r="B137" i="36"/>
  <c r="AA136" i="36"/>
  <c r="Y136" i="36"/>
  <c r="AB136" i="36" s="1"/>
  <c r="X136" i="36"/>
  <c r="U136" i="36"/>
  <c r="T136" i="36"/>
  <c r="S136" i="36"/>
  <c r="Z136" i="36" s="1"/>
  <c r="R136" i="36"/>
  <c r="P136" i="36"/>
  <c r="O136" i="36"/>
  <c r="L136" i="36"/>
  <c r="Q136" i="36" s="1"/>
  <c r="B136" i="36"/>
  <c r="AA135" i="36"/>
  <c r="X135" i="36"/>
  <c r="T135" i="36"/>
  <c r="S135" i="36"/>
  <c r="W135" i="36" s="1"/>
  <c r="R135" i="36"/>
  <c r="O135" i="36"/>
  <c r="L135" i="36"/>
  <c r="B135" i="36"/>
  <c r="AA134" i="36"/>
  <c r="X134" i="36"/>
  <c r="T134" i="36"/>
  <c r="S134" i="36"/>
  <c r="Z134" i="36" s="1"/>
  <c r="R134" i="36"/>
  <c r="O134" i="36"/>
  <c r="L137" i="36" l="1"/>
  <c r="Q137" i="36" s="1"/>
  <c r="W136" i="36"/>
  <c r="Z135" i="36"/>
  <c r="W137" i="36"/>
  <c r="M137" i="36"/>
  <c r="N136" i="36"/>
  <c r="M136" i="36"/>
  <c r="W134" i="36"/>
  <c r="K134" i="36"/>
  <c r="H134" i="36"/>
  <c r="B134" i="36"/>
  <c r="AA133" i="36"/>
  <c r="X133" i="36"/>
  <c r="T133" i="36"/>
  <c r="S133" i="36"/>
  <c r="Z133" i="36" s="1"/>
  <c r="R133" i="36"/>
  <c r="O133" i="36"/>
  <c r="W133" i="36" l="1"/>
  <c r="Y134" i="36"/>
  <c r="AB134" i="36" s="1"/>
  <c r="P134" i="36"/>
  <c r="U134" i="36"/>
  <c r="N134" i="36"/>
  <c r="B133" i="36"/>
  <c r="AA132" i="36"/>
  <c r="X132" i="36"/>
  <c r="T132" i="36"/>
  <c r="S132" i="36"/>
  <c r="Z132" i="36" s="1"/>
  <c r="R132" i="36"/>
  <c r="O132" i="36"/>
  <c r="W132" i="36" l="1"/>
  <c r="B132" i="36"/>
  <c r="AA131" i="36"/>
  <c r="X131" i="36"/>
  <c r="T131" i="36"/>
  <c r="S131" i="36"/>
  <c r="Z131" i="36" s="1"/>
  <c r="R131" i="36"/>
  <c r="O131" i="36"/>
  <c r="W131" i="36" l="1"/>
  <c r="B131" i="36"/>
  <c r="AA130" i="36"/>
  <c r="Y130" i="36"/>
  <c r="AB130" i="36" s="1"/>
  <c r="X130" i="36"/>
  <c r="U130" i="36"/>
  <c r="T130" i="36"/>
  <c r="S130" i="36"/>
  <c r="Z130" i="36" s="1"/>
  <c r="R130" i="36"/>
  <c r="P130" i="36"/>
  <c r="O130" i="36"/>
  <c r="N130" i="36"/>
  <c r="W130" i="36" l="1"/>
  <c r="B130" i="36"/>
  <c r="AA129" i="36"/>
  <c r="X129" i="36"/>
  <c r="T129" i="36"/>
  <c r="S129" i="36"/>
  <c r="Z129" i="36" s="1"/>
  <c r="R129" i="36"/>
  <c r="O129" i="36"/>
  <c r="L129" i="36"/>
  <c r="M129" i="36" s="1"/>
  <c r="K129" i="36"/>
  <c r="H129" i="36"/>
  <c r="B129" i="36"/>
  <c r="AA128" i="36"/>
  <c r="Y128" i="36"/>
  <c r="AB128" i="36" s="1"/>
  <c r="X128" i="36"/>
  <c r="U128" i="36"/>
  <c r="T128" i="36"/>
  <c r="S128" i="36"/>
  <c r="Z128" i="36" s="1"/>
  <c r="R128" i="36"/>
  <c r="P128" i="36"/>
  <c r="O128" i="36"/>
  <c r="N128" i="36"/>
  <c r="W128" i="36" l="1"/>
  <c r="H133" i="36"/>
  <c r="H132" i="36"/>
  <c r="H131" i="36"/>
  <c r="N129" i="36"/>
  <c r="W129" i="36"/>
  <c r="Y129" i="36"/>
  <c r="AB129" i="36" s="1"/>
  <c r="P129" i="36"/>
  <c r="Q129" i="36"/>
  <c r="U129" i="36"/>
  <c r="B128" i="36"/>
  <c r="AA127" i="36"/>
  <c r="Y127" i="36"/>
  <c r="AB127" i="36" s="1"/>
  <c r="X127" i="36"/>
  <c r="U127" i="36"/>
  <c r="T127" i="36"/>
  <c r="S127" i="36"/>
  <c r="Z127" i="36" s="1"/>
  <c r="R127" i="36"/>
  <c r="P127" i="36"/>
  <c r="O127" i="36"/>
  <c r="N127" i="36"/>
  <c r="L127" i="36"/>
  <c r="Q127" i="36" s="1"/>
  <c r="B127" i="36"/>
  <c r="AA126" i="36"/>
  <c r="Y126" i="36"/>
  <c r="AB126" i="36" s="1"/>
  <c r="X126" i="36"/>
  <c r="U126" i="36"/>
  <c r="T126" i="36"/>
  <c r="O126" i="36" s="1"/>
  <c r="S126" i="36"/>
  <c r="Z126" i="36" s="1"/>
  <c r="R126" i="36"/>
  <c r="P126" i="36"/>
  <c r="N126" i="36"/>
  <c r="M127" i="36" l="1"/>
  <c r="W126" i="36"/>
  <c r="W127" i="36"/>
  <c r="U131" i="36"/>
  <c r="P131" i="36"/>
  <c r="Y131" i="36"/>
  <c r="AB131" i="36" s="1"/>
  <c r="N131" i="36"/>
  <c r="Y132" i="36"/>
  <c r="AB132" i="36" s="1"/>
  <c r="U132" i="36"/>
  <c r="P132" i="36"/>
  <c r="N132" i="36"/>
  <c r="H135" i="36"/>
  <c r="U133" i="36"/>
  <c r="Y133" i="36"/>
  <c r="AB133" i="36" s="1"/>
  <c r="P133" i="36"/>
  <c r="N133" i="36"/>
  <c r="B126" i="36"/>
  <c r="AA125" i="36"/>
  <c r="Y125" i="36"/>
  <c r="AB125" i="36" s="1"/>
  <c r="X125" i="36"/>
  <c r="U125" i="36"/>
  <c r="T125" i="36"/>
  <c r="O125" i="36" s="1"/>
  <c r="S125" i="36"/>
  <c r="Z125" i="36" s="1"/>
  <c r="R125" i="36"/>
  <c r="P125" i="36"/>
  <c r="N125" i="36"/>
  <c r="W125" i="36" l="1"/>
  <c r="Q135" i="36"/>
  <c r="P135" i="36"/>
  <c r="N135" i="36"/>
  <c r="Y135" i="36"/>
  <c r="AB135" i="36" s="1"/>
  <c r="U135" i="36"/>
  <c r="M135" i="36"/>
  <c r="B125" i="36"/>
  <c r="AA124" i="36"/>
  <c r="Y124" i="36"/>
  <c r="AB124" i="36" s="1"/>
  <c r="X124" i="36"/>
  <c r="U124" i="36"/>
  <c r="T124" i="36"/>
  <c r="S124" i="36"/>
  <c r="Z124" i="36" s="1"/>
  <c r="R124" i="36"/>
  <c r="P124" i="36"/>
  <c r="O124" i="36"/>
  <c r="N124" i="36"/>
  <c r="W124" i="36" l="1"/>
  <c r="B124" i="36"/>
  <c r="AA123" i="36"/>
  <c r="Y123" i="36"/>
  <c r="AB123" i="36" s="1"/>
  <c r="X123" i="36"/>
  <c r="U123" i="36"/>
  <c r="T123" i="36"/>
  <c r="S123" i="36"/>
  <c r="W123" i="36" s="1"/>
  <c r="R123" i="36"/>
  <c r="P123" i="36"/>
  <c r="O123" i="36"/>
  <c r="N123" i="36"/>
  <c r="L123" i="36"/>
  <c r="Q123" i="36" s="1"/>
  <c r="B123" i="36"/>
  <c r="AA122" i="36"/>
  <c r="Y122" i="36"/>
  <c r="AB122" i="36" s="1"/>
  <c r="X122" i="36"/>
  <c r="U122" i="36"/>
  <c r="T122" i="36"/>
  <c r="S122" i="36"/>
  <c r="Z122" i="36" s="1"/>
  <c r="R122" i="36"/>
  <c r="P122" i="36"/>
  <c r="O122" i="36"/>
  <c r="N122" i="36"/>
  <c r="L122" i="36"/>
  <c r="Q122" i="36" s="1"/>
  <c r="B122" i="36"/>
  <c r="AA121" i="36"/>
  <c r="Y121" i="36"/>
  <c r="AB121" i="36" s="1"/>
  <c r="X121" i="36"/>
  <c r="U121" i="36"/>
  <c r="T121" i="36"/>
  <c r="S121" i="36"/>
  <c r="W121" i="36" s="1"/>
  <c r="R121" i="36"/>
  <c r="P121" i="36"/>
  <c r="O121" i="36"/>
  <c r="N121" i="36"/>
  <c r="W122" i="36" l="1"/>
  <c r="Z123" i="36"/>
  <c r="M123" i="36"/>
  <c r="Z121" i="36"/>
  <c r="M122" i="36"/>
  <c r="B121" i="36"/>
  <c r="AA120" i="36"/>
  <c r="Y120" i="36"/>
  <c r="AB120" i="36" s="1"/>
  <c r="X120" i="36"/>
  <c r="U120" i="36"/>
  <c r="T120" i="36"/>
  <c r="S120" i="36"/>
  <c r="Z120" i="36" s="1"/>
  <c r="R120" i="36"/>
  <c r="P120" i="36"/>
  <c r="O120" i="36"/>
  <c r="N120" i="36"/>
  <c r="W120" i="36" l="1"/>
  <c r="B120" i="36"/>
  <c r="AA119" i="36"/>
  <c r="Y119" i="36"/>
  <c r="AB119" i="36" s="1"/>
  <c r="X119" i="36"/>
  <c r="U119" i="36"/>
  <c r="T119" i="36"/>
  <c r="S119" i="36"/>
  <c r="Z119" i="36" s="1"/>
  <c r="R119" i="36"/>
  <c r="P119" i="36"/>
  <c r="O119" i="36"/>
  <c r="N119" i="36"/>
  <c r="W119" i="36" l="1"/>
  <c r="B119" i="36"/>
  <c r="AA118" i="36"/>
  <c r="Y118" i="36"/>
  <c r="AB118" i="36" s="1"/>
  <c r="X118" i="36"/>
  <c r="U118" i="36"/>
  <c r="T118" i="36"/>
  <c r="S118" i="36"/>
  <c r="W118" i="36" s="1"/>
  <c r="R118" i="36"/>
  <c r="P118" i="36"/>
  <c r="O118" i="36"/>
  <c r="N118" i="36"/>
  <c r="Z118" i="36" l="1"/>
  <c r="B118" i="36"/>
  <c r="AA117" i="36"/>
  <c r="Y117" i="36"/>
  <c r="AB117" i="36" s="1"/>
  <c r="X117" i="36"/>
  <c r="U117" i="36"/>
  <c r="T117" i="36"/>
  <c r="S117" i="36"/>
  <c r="Z117" i="36" s="1"/>
  <c r="R117" i="36"/>
  <c r="P117" i="36"/>
  <c r="O117" i="36"/>
  <c r="N117" i="36"/>
  <c r="W117" i="36" l="1"/>
  <c r="B117" i="36"/>
  <c r="AA116" i="36"/>
  <c r="Y116" i="36"/>
  <c r="AB116" i="36" s="1"/>
  <c r="X116" i="36"/>
  <c r="U116" i="36"/>
  <c r="T116" i="36"/>
  <c r="S116" i="36"/>
  <c r="Z116" i="36" s="1"/>
  <c r="R116" i="36"/>
  <c r="P116" i="36"/>
  <c r="O116" i="36"/>
  <c r="N116" i="36"/>
  <c r="W116" i="36" l="1"/>
  <c r="B116" i="36"/>
  <c r="AA115" i="36"/>
  <c r="Y115" i="36"/>
  <c r="AB115" i="36" s="1"/>
  <c r="X115" i="36"/>
  <c r="U115" i="36"/>
  <c r="S115" i="36"/>
  <c r="W115" i="36" s="1"/>
  <c r="R115" i="36"/>
  <c r="P115" i="36"/>
  <c r="N115" i="36"/>
  <c r="L115" i="36"/>
  <c r="M115" i="36" s="1"/>
  <c r="B115" i="36"/>
  <c r="AA114" i="36"/>
  <c r="Y114" i="36"/>
  <c r="AB114" i="36" s="1"/>
  <c r="X114" i="36"/>
  <c r="U114" i="36"/>
  <c r="S114" i="36"/>
  <c r="Z114" i="36" s="1"/>
  <c r="R114" i="36"/>
  <c r="P114" i="36"/>
  <c r="N114" i="36"/>
  <c r="L114" i="36"/>
  <c r="M114" i="36" s="1"/>
  <c r="B114" i="36"/>
  <c r="AA113" i="36"/>
  <c r="Y113" i="36"/>
  <c r="AB113" i="36" s="1"/>
  <c r="X113" i="36"/>
  <c r="U113" i="36"/>
  <c r="T113" i="36"/>
  <c r="S113" i="36"/>
  <c r="Z113" i="36" s="1"/>
  <c r="R113" i="36"/>
  <c r="P113" i="36"/>
  <c r="O113" i="36"/>
  <c r="N113" i="36"/>
  <c r="Q114" i="36" l="1"/>
  <c r="W114" i="36"/>
  <c r="Q115" i="36"/>
  <c r="W113" i="36"/>
  <c r="Z115" i="36"/>
  <c r="B113" i="36"/>
  <c r="AA112" i="36"/>
  <c r="Y112" i="36"/>
  <c r="AB112" i="36" s="1"/>
  <c r="X112" i="36"/>
  <c r="U112" i="36"/>
  <c r="T112" i="36"/>
  <c r="S112" i="36"/>
  <c r="Z112" i="36" s="1"/>
  <c r="R112" i="36"/>
  <c r="P112" i="36"/>
  <c r="O112" i="36"/>
  <c r="N112" i="36"/>
  <c r="W112" i="36" l="1"/>
  <c r="B112" i="36"/>
  <c r="AA111" i="36"/>
  <c r="Y111" i="36"/>
  <c r="AB111" i="36" s="1"/>
  <c r="X111" i="36"/>
  <c r="U111" i="36"/>
  <c r="T111" i="36"/>
  <c r="S111" i="36"/>
  <c r="W111" i="36" s="1"/>
  <c r="R111" i="36"/>
  <c r="P111" i="36"/>
  <c r="O111" i="36"/>
  <c r="N111" i="36"/>
  <c r="L111" i="36"/>
  <c r="M111" i="36" s="1"/>
  <c r="B111" i="36"/>
  <c r="AA110" i="36"/>
  <c r="Y110" i="36"/>
  <c r="AB110" i="36" s="1"/>
  <c r="X110" i="36"/>
  <c r="U110" i="36"/>
  <c r="T110" i="36"/>
  <c r="S110" i="36"/>
  <c r="Z110" i="36" s="1"/>
  <c r="R110" i="36"/>
  <c r="Q110" i="36"/>
  <c r="P110" i="36"/>
  <c r="O110" i="36"/>
  <c r="K110" i="36"/>
  <c r="N110" i="36" s="1"/>
  <c r="B110" i="36"/>
  <c r="AA109" i="36"/>
  <c r="Y109" i="36"/>
  <c r="AB109" i="36" s="1"/>
  <c r="X109" i="36"/>
  <c r="U109" i="36"/>
  <c r="T109" i="36"/>
  <c r="S109" i="36"/>
  <c r="W109" i="36" s="1"/>
  <c r="R109" i="36"/>
  <c r="P109" i="36"/>
  <c r="O109" i="36"/>
  <c r="N109" i="36"/>
  <c r="L109" i="36"/>
  <c r="Q109" i="36" s="1"/>
  <c r="B109" i="36"/>
  <c r="AA108" i="36"/>
  <c r="Y108" i="36"/>
  <c r="AB108" i="36" s="1"/>
  <c r="X108" i="36"/>
  <c r="U108" i="36"/>
  <c r="T108" i="36"/>
  <c r="S108" i="36"/>
  <c r="W108" i="36" s="1"/>
  <c r="R108" i="36"/>
  <c r="P108" i="36"/>
  <c r="O108" i="36"/>
  <c r="N108" i="36"/>
  <c r="L108" i="36"/>
  <c r="M108" i="36" s="1"/>
  <c r="B108" i="36"/>
  <c r="AA107" i="36"/>
  <c r="Y107" i="36"/>
  <c r="AB107" i="36" s="1"/>
  <c r="X107" i="36"/>
  <c r="U107" i="36"/>
  <c r="T107" i="36"/>
  <c r="S107" i="36"/>
  <c r="W107" i="36" s="1"/>
  <c r="R107" i="36"/>
  <c r="P107" i="36"/>
  <c r="O107" i="36"/>
  <c r="N107" i="36"/>
  <c r="L107" i="36"/>
  <c r="M107" i="36" s="1"/>
  <c r="B107" i="36"/>
  <c r="AA106" i="36"/>
  <c r="Y106" i="36"/>
  <c r="AB106" i="36" s="1"/>
  <c r="X106" i="36"/>
  <c r="U106" i="36"/>
  <c r="T106" i="36"/>
  <c r="S106" i="36"/>
  <c r="W106" i="36" s="1"/>
  <c r="R106" i="36"/>
  <c r="P106" i="36"/>
  <c r="O106" i="36"/>
  <c r="N106" i="36"/>
  <c r="L106" i="36"/>
  <c r="Q106" i="36" s="1"/>
  <c r="B106" i="36"/>
  <c r="AA105" i="36"/>
  <c r="Y105" i="36"/>
  <c r="AB105" i="36" s="1"/>
  <c r="X105" i="36"/>
  <c r="U105" i="36"/>
  <c r="T105" i="36"/>
  <c r="S105" i="36"/>
  <c r="Z105" i="36" s="1"/>
  <c r="R105" i="36"/>
  <c r="P105" i="36"/>
  <c r="O105" i="36"/>
  <c r="N105" i="36"/>
  <c r="W105" i="36" l="1"/>
  <c r="Z108" i="36"/>
  <c r="Q107" i="36"/>
  <c r="W110" i="36"/>
  <c r="M109" i="36"/>
  <c r="Z107" i="36"/>
  <c r="Q111" i="36"/>
  <c r="Z109" i="36"/>
  <c r="M106" i="36"/>
  <c r="M110" i="36"/>
  <c r="Z106" i="36"/>
  <c r="Z111" i="36"/>
  <c r="Q108" i="36"/>
  <c r="B105" i="36"/>
  <c r="AA104" i="36"/>
  <c r="Y104" i="36"/>
  <c r="AB104" i="36" s="1"/>
  <c r="X104" i="36"/>
  <c r="U104" i="36"/>
  <c r="T104" i="36"/>
  <c r="S104" i="36"/>
  <c r="Z104" i="36" s="1"/>
  <c r="R104" i="36"/>
  <c r="P104" i="36"/>
  <c r="O104" i="36"/>
  <c r="N104" i="36"/>
  <c r="W104" i="36" l="1"/>
  <c r="B104" i="36"/>
  <c r="AA103" i="36"/>
  <c r="Y103" i="36"/>
  <c r="AB103" i="36" s="1"/>
  <c r="X103" i="36"/>
  <c r="U103" i="36"/>
  <c r="T103" i="36"/>
  <c r="S103" i="36"/>
  <c r="Z103" i="36" s="1"/>
  <c r="R103" i="36"/>
  <c r="Q103" i="36"/>
  <c r="P103" i="36"/>
  <c r="O103" i="36"/>
  <c r="K103" i="36"/>
  <c r="M103" i="36" s="1"/>
  <c r="B103" i="36"/>
  <c r="AA102" i="36"/>
  <c r="Y102" i="36"/>
  <c r="AB102" i="36" s="1"/>
  <c r="X102" i="36"/>
  <c r="U102" i="36"/>
  <c r="T102" i="36"/>
  <c r="O102" i="36" s="1"/>
  <c r="S102" i="36"/>
  <c r="Z102" i="36" s="1"/>
  <c r="R102" i="36"/>
  <c r="P102" i="36"/>
  <c r="N102" i="36"/>
  <c r="W102" i="36" l="1"/>
  <c r="N103" i="36"/>
  <c r="W103" i="36"/>
  <c r="B102" i="36"/>
  <c r="AA101" i="36"/>
  <c r="Y101" i="36"/>
  <c r="AB101" i="36" s="1"/>
  <c r="X101" i="36"/>
  <c r="U101" i="36"/>
  <c r="T101" i="36"/>
  <c r="S101" i="36"/>
  <c r="Z101" i="36" s="1"/>
  <c r="R101" i="36"/>
  <c r="P101" i="36"/>
  <c r="O101" i="36"/>
  <c r="N101" i="36"/>
  <c r="W101" i="36" l="1"/>
  <c r="B101" i="36"/>
  <c r="AA100" i="36"/>
  <c r="Y100" i="36"/>
  <c r="AB100" i="36" s="1"/>
  <c r="X100" i="36"/>
  <c r="U100" i="36"/>
  <c r="T100" i="36"/>
  <c r="S100" i="36"/>
  <c r="Z100" i="36" s="1"/>
  <c r="R100" i="36"/>
  <c r="P100" i="36"/>
  <c r="O100" i="36"/>
  <c r="N100" i="36"/>
  <c r="W100" i="36" l="1"/>
  <c r="B100" i="36"/>
  <c r="AA99" i="36"/>
  <c r="Y99" i="36"/>
  <c r="AB99" i="36" s="1"/>
  <c r="X99" i="36"/>
  <c r="U99" i="36"/>
  <c r="T99" i="36"/>
  <c r="S99" i="36"/>
  <c r="Z99" i="36" s="1"/>
  <c r="R99" i="36"/>
  <c r="P99" i="36"/>
  <c r="O99" i="36"/>
  <c r="N99" i="36"/>
  <c r="W99" i="36" l="1"/>
  <c r="B99" i="36"/>
  <c r="AA98" i="36"/>
  <c r="Y98" i="36"/>
  <c r="AB98" i="36" s="1"/>
  <c r="X98" i="36"/>
  <c r="U98" i="36"/>
  <c r="T98" i="36"/>
  <c r="S98" i="36"/>
  <c r="Z98" i="36" s="1"/>
  <c r="R98" i="36"/>
  <c r="P98" i="36"/>
  <c r="O98" i="36"/>
  <c r="N98" i="36"/>
  <c r="W98" i="36" l="1"/>
  <c r="B98" i="36"/>
  <c r="AA97" i="36"/>
  <c r="Y97" i="36"/>
  <c r="AB97" i="36" s="1"/>
  <c r="X97" i="36"/>
  <c r="U97" i="36"/>
  <c r="T97" i="36"/>
  <c r="S97" i="36"/>
  <c r="Z97" i="36" s="1"/>
  <c r="R97" i="36"/>
  <c r="P97" i="36"/>
  <c r="O97" i="36"/>
  <c r="N97" i="36"/>
  <c r="W97" i="36" l="1"/>
  <c r="B97" i="36"/>
  <c r="AA96" i="36"/>
  <c r="Y96" i="36"/>
  <c r="AB96" i="36" s="1"/>
  <c r="X96" i="36"/>
  <c r="U96" i="36"/>
  <c r="T96" i="36"/>
  <c r="S96" i="36"/>
  <c r="Z96" i="36" s="1"/>
  <c r="R96" i="36"/>
  <c r="P96" i="36"/>
  <c r="O96" i="36"/>
  <c r="L96" i="36"/>
  <c r="Q96" i="36" s="1"/>
  <c r="K96" i="36"/>
  <c r="N96" i="36" s="1"/>
  <c r="B96" i="36"/>
  <c r="AA95" i="36"/>
  <c r="Y95" i="36"/>
  <c r="AB95" i="36" s="1"/>
  <c r="X95" i="36"/>
  <c r="U95" i="36"/>
  <c r="T95" i="36"/>
  <c r="O95" i="36" s="1"/>
  <c r="S95" i="36"/>
  <c r="Z95" i="36" s="1"/>
  <c r="R95" i="36"/>
  <c r="P95" i="36"/>
  <c r="N95" i="36"/>
  <c r="W95" i="36" l="1"/>
  <c r="M96" i="36"/>
  <c r="W96" i="36"/>
  <c r="B95" i="36"/>
  <c r="AA94" i="36"/>
  <c r="Y94" i="36"/>
  <c r="AB94" i="36" s="1"/>
  <c r="X94" i="36"/>
  <c r="U94" i="36"/>
  <c r="T94" i="36"/>
  <c r="S94" i="36"/>
  <c r="W94" i="36" s="1"/>
  <c r="R94" i="36"/>
  <c r="P94" i="36"/>
  <c r="O94" i="36"/>
  <c r="N94" i="36"/>
  <c r="Z94" i="36" l="1"/>
  <c r="B94" i="36"/>
  <c r="AA93" i="36"/>
  <c r="Y93" i="36"/>
  <c r="AB93" i="36" s="1"/>
  <c r="X93" i="36"/>
  <c r="U93" i="36"/>
  <c r="T93" i="36"/>
  <c r="S93" i="36"/>
  <c r="Z93" i="36" s="1"/>
  <c r="R93" i="36"/>
  <c r="P93" i="36"/>
  <c r="O93" i="36"/>
  <c r="N93" i="36"/>
  <c r="W93" i="36" l="1"/>
  <c r="B93" i="36"/>
  <c r="AA92" i="36"/>
  <c r="Y92" i="36"/>
  <c r="AB92" i="36" s="1"/>
  <c r="X92" i="36"/>
  <c r="U92" i="36"/>
  <c r="T92" i="36"/>
  <c r="S92" i="36"/>
  <c r="Z92" i="36" s="1"/>
  <c r="R92" i="36"/>
  <c r="P92" i="36"/>
  <c r="O92" i="36"/>
  <c r="N92" i="36"/>
  <c r="W92" i="36" l="1"/>
  <c r="B92" i="36"/>
  <c r="AA91" i="36"/>
  <c r="Y91" i="36"/>
  <c r="AB91" i="36" s="1"/>
  <c r="X91" i="36"/>
  <c r="U91" i="36"/>
  <c r="T91" i="36"/>
  <c r="S91" i="36"/>
  <c r="Z91" i="36" s="1"/>
  <c r="R91" i="36"/>
  <c r="P91" i="36"/>
  <c r="O91" i="36"/>
  <c r="N91" i="36"/>
  <c r="W91" i="36" l="1"/>
  <c r="B91" i="36"/>
  <c r="AA90" i="36"/>
  <c r="Y90" i="36"/>
  <c r="AB90" i="36" s="1"/>
  <c r="X90" i="36"/>
  <c r="U90" i="36"/>
  <c r="T90" i="36"/>
  <c r="S90" i="36"/>
  <c r="Z90" i="36" s="1"/>
  <c r="R90" i="36"/>
  <c r="P90" i="36"/>
  <c r="O90" i="36"/>
  <c r="N90" i="36"/>
  <c r="W90" i="36" l="1"/>
  <c r="B90" i="36"/>
  <c r="AA89" i="36"/>
  <c r="Y89" i="36"/>
  <c r="AB89" i="36" s="1"/>
  <c r="X89" i="36"/>
  <c r="U89" i="36"/>
  <c r="T89" i="36"/>
  <c r="S89" i="36"/>
  <c r="Z89" i="36" s="1"/>
  <c r="R89" i="36"/>
  <c r="P89" i="36"/>
  <c r="O89" i="36"/>
  <c r="N89" i="36"/>
  <c r="W89" i="36" l="1"/>
  <c r="B89" i="36"/>
  <c r="AA88" i="36"/>
  <c r="Y88" i="36"/>
  <c r="AB88" i="36" s="1"/>
  <c r="X88" i="36"/>
  <c r="U88" i="36"/>
  <c r="T88" i="36"/>
  <c r="S88" i="36"/>
  <c r="Z88" i="36" s="1"/>
  <c r="R88" i="36"/>
  <c r="P88" i="36"/>
  <c r="O88" i="36"/>
  <c r="N88" i="36"/>
  <c r="W88" i="36" l="1"/>
  <c r="B88" i="36"/>
  <c r="AA87" i="36"/>
  <c r="Y87" i="36"/>
  <c r="AB87" i="36" s="1"/>
  <c r="X87" i="36"/>
  <c r="U87" i="36"/>
  <c r="T87" i="36"/>
  <c r="S87" i="36"/>
  <c r="W87" i="36" s="1"/>
  <c r="R87" i="36"/>
  <c r="P87" i="36"/>
  <c r="O87" i="36"/>
  <c r="N87" i="36"/>
  <c r="L87" i="36"/>
  <c r="Q87" i="36" s="1"/>
  <c r="B87" i="36"/>
  <c r="AA86" i="36"/>
  <c r="Y86" i="36"/>
  <c r="AB86" i="36" s="1"/>
  <c r="X86" i="36"/>
  <c r="U86" i="36"/>
  <c r="T86" i="36"/>
  <c r="S86" i="36"/>
  <c r="Z86" i="36" s="1"/>
  <c r="R86" i="36"/>
  <c r="P86" i="36"/>
  <c r="O86" i="36"/>
  <c r="N86" i="36"/>
  <c r="Z87" i="36" l="1"/>
  <c r="M87" i="36"/>
  <c r="W86" i="36"/>
  <c r="B86" i="36"/>
  <c r="AA85" i="36"/>
  <c r="Y85" i="36"/>
  <c r="AB85" i="36" s="1"/>
  <c r="X85" i="36"/>
  <c r="U85" i="36"/>
  <c r="T85" i="36"/>
  <c r="S85" i="36"/>
  <c r="Z85" i="36" s="1"/>
  <c r="R85" i="36"/>
  <c r="P85" i="36"/>
  <c r="O85" i="36"/>
  <c r="N85" i="36"/>
  <c r="W85" i="36" l="1"/>
  <c r="B85" i="36"/>
  <c r="AA84" i="36"/>
  <c r="Y84" i="36"/>
  <c r="AB84" i="36" s="1"/>
  <c r="X84" i="36"/>
  <c r="U84" i="36"/>
  <c r="T84" i="36"/>
  <c r="S84" i="36"/>
  <c r="W84" i="36" s="1"/>
  <c r="R84" i="36"/>
  <c r="P84" i="36"/>
  <c r="O84" i="36"/>
  <c r="N84" i="36"/>
  <c r="Z84" i="36" l="1"/>
  <c r="B84" i="36"/>
  <c r="AA83" i="36"/>
  <c r="Y83" i="36"/>
  <c r="AB83" i="36" s="1"/>
  <c r="X83" i="36"/>
  <c r="U83" i="36"/>
  <c r="T83" i="36"/>
  <c r="S83" i="36"/>
  <c r="Z83" i="36" s="1"/>
  <c r="R83" i="36"/>
  <c r="P83" i="36"/>
  <c r="O83" i="36"/>
  <c r="N83" i="36"/>
  <c r="W83" i="36" l="1"/>
  <c r="B83" i="36"/>
  <c r="AA82" i="36"/>
  <c r="Y82" i="36"/>
  <c r="AB82" i="36" s="1"/>
  <c r="X82" i="36"/>
  <c r="U82" i="36"/>
  <c r="T82" i="36"/>
  <c r="S82" i="36"/>
  <c r="Z82" i="36" s="1"/>
  <c r="R82" i="36"/>
  <c r="P82" i="36"/>
  <c r="O82" i="36"/>
  <c r="N82" i="36"/>
  <c r="W82" i="36" l="1"/>
  <c r="B82" i="36"/>
  <c r="AA81" i="36"/>
  <c r="Y81" i="36"/>
  <c r="AB81" i="36" s="1"/>
  <c r="X81" i="36"/>
  <c r="U81" i="36"/>
  <c r="T81" i="36"/>
  <c r="S81" i="36"/>
  <c r="Z81" i="36" s="1"/>
  <c r="R81" i="36"/>
  <c r="P81" i="36"/>
  <c r="O81" i="36"/>
  <c r="N81" i="36"/>
  <c r="W81" i="36" l="1"/>
  <c r="B81" i="36"/>
  <c r="AA80" i="36"/>
  <c r="Y80" i="36"/>
  <c r="AB80" i="36" s="1"/>
  <c r="X80" i="36"/>
  <c r="U80" i="36"/>
  <c r="T80" i="36"/>
  <c r="S80" i="36"/>
  <c r="Z80" i="36" s="1"/>
  <c r="R80" i="36"/>
  <c r="P80" i="36"/>
  <c r="O80" i="36"/>
  <c r="N80" i="36"/>
  <c r="B80" i="36"/>
  <c r="AA79" i="36"/>
  <c r="Y79" i="36"/>
  <c r="AB79" i="36" s="1"/>
  <c r="X79" i="36"/>
  <c r="U79" i="36"/>
  <c r="T79" i="36"/>
  <c r="S79" i="36"/>
  <c r="W79" i="36" s="1"/>
  <c r="R79" i="36"/>
  <c r="P79" i="36"/>
  <c r="O79" i="36"/>
  <c r="L79" i="36"/>
  <c r="Q79" i="36" s="1"/>
  <c r="B79" i="36"/>
  <c r="AA78" i="36"/>
  <c r="Y78" i="36"/>
  <c r="AB78" i="36" s="1"/>
  <c r="X78" i="36"/>
  <c r="U78" i="36"/>
  <c r="T78" i="36"/>
  <c r="S78" i="36"/>
  <c r="W78" i="36" s="1"/>
  <c r="R78" i="36"/>
  <c r="P78" i="36"/>
  <c r="O78" i="36"/>
  <c r="N78" i="36"/>
  <c r="L80" i="36" l="1"/>
  <c r="Q80" i="36" s="1"/>
  <c r="Z79" i="36"/>
  <c r="M80" i="36"/>
  <c r="Z78" i="36"/>
  <c r="W80" i="36"/>
  <c r="M79" i="36"/>
  <c r="N79" i="36"/>
  <c r="B78" i="36"/>
  <c r="AA77" i="36"/>
  <c r="Y77" i="36"/>
  <c r="AB77" i="36" s="1"/>
  <c r="X77" i="36"/>
  <c r="U77" i="36"/>
  <c r="T77" i="36"/>
  <c r="S77" i="36"/>
  <c r="W77" i="36" s="1"/>
  <c r="R77" i="36"/>
  <c r="P77" i="36"/>
  <c r="O77" i="36"/>
  <c r="N77" i="36"/>
  <c r="Z77" i="36" l="1"/>
  <c r="B77" i="36"/>
  <c r="AA76" i="36"/>
  <c r="Y76" i="36"/>
  <c r="AB76" i="36" s="1"/>
  <c r="X76" i="36"/>
  <c r="U76" i="36"/>
  <c r="T76" i="36"/>
  <c r="S76" i="36"/>
  <c r="Z76" i="36" s="1"/>
  <c r="R76" i="36"/>
  <c r="P76" i="36"/>
  <c r="O76" i="36"/>
  <c r="N76" i="36"/>
  <c r="W76" i="36" l="1"/>
  <c r="B76" i="36"/>
  <c r="AA75" i="36"/>
  <c r="Y75" i="36"/>
  <c r="AB75" i="36" s="1"/>
  <c r="X75" i="36"/>
  <c r="U75" i="36"/>
  <c r="T75" i="36"/>
  <c r="S75" i="36"/>
  <c r="Z75" i="36" s="1"/>
  <c r="R75" i="36"/>
  <c r="P75" i="36"/>
  <c r="O75" i="36"/>
  <c r="N75" i="36"/>
  <c r="W75" i="36" l="1"/>
  <c r="B75" i="36"/>
  <c r="AA74" i="36"/>
  <c r="Y74" i="36"/>
  <c r="AB74" i="36" s="1"/>
  <c r="X74" i="36"/>
  <c r="U74" i="36"/>
  <c r="T74" i="36"/>
  <c r="S74" i="36"/>
  <c r="Z74" i="36" s="1"/>
  <c r="R74" i="36"/>
  <c r="P74" i="36"/>
  <c r="O74" i="36"/>
  <c r="L74" i="36"/>
  <c r="Q74" i="36" s="1"/>
  <c r="K74" i="36"/>
  <c r="N74" i="36" s="1"/>
  <c r="B74" i="36"/>
  <c r="AA73" i="36"/>
  <c r="Y73" i="36"/>
  <c r="AB73" i="36" s="1"/>
  <c r="X73" i="36"/>
  <c r="U73" i="36"/>
  <c r="S73" i="36"/>
  <c r="W73" i="36" s="1"/>
  <c r="R73" i="36"/>
  <c r="P73" i="36"/>
  <c r="N73" i="36"/>
  <c r="L73" i="36"/>
  <c r="Q73" i="36" s="1"/>
  <c r="B73" i="36"/>
  <c r="AA72" i="36"/>
  <c r="Y72" i="36"/>
  <c r="AB72" i="36" s="1"/>
  <c r="X72" i="36"/>
  <c r="U72" i="36"/>
  <c r="S72" i="36"/>
  <c r="Z72" i="36" s="1"/>
  <c r="R72" i="36"/>
  <c r="P72" i="36"/>
  <c r="N72" i="36"/>
  <c r="L72" i="36"/>
  <c r="Q72" i="36" s="1"/>
  <c r="B72" i="36"/>
  <c r="AA71" i="36"/>
  <c r="Y71" i="36"/>
  <c r="AB71" i="36" s="1"/>
  <c r="X71" i="36"/>
  <c r="U71" i="36"/>
  <c r="T71" i="36"/>
  <c r="S71" i="36"/>
  <c r="W71" i="36" s="1"/>
  <c r="R71" i="36"/>
  <c r="P71" i="36"/>
  <c r="O71" i="36"/>
  <c r="N71" i="36"/>
  <c r="Z71" i="36" l="1"/>
  <c r="Z73" i="36"/>
  <c r="W72" i="36"/>
  <c r="M72" i="36"/>
  <c r="W74" i="36"/>
  <c r="M74" i="36"/>
  <c r="M73" i="36"/>
  <c r="B71" i="36"/>
  <c r="AA70" i="36"/>
  <c r="Y70" i="36"/>
  <c r="AB70" i="36" s="1"/>
  <c r="X70" i="36"/>
  <c r="U70" i="36"/>
  <c r="T70" i="36"/>
  <c r="S70" i="36"/>
  <c r="W70" i="36" s="1"/>
  <c r="R70" i="36"/>
  <c r="P70" i="36"/>
  <c r="O70" i="36"/>
  <c r="N70" i="36"/>
  <c r="Z70" i="36" l="1"/>
  <c r="B70" i="36"/>
  <c r="AA69" i="36"/>
  <c r="Y69" i="36"/>
  <c r="AB69" i="36" s="1"/>
  <c r="X69" i="36"/>
  <c r="U69" i="36"/>
  <c r="T69" i="36"/>
  <c r="S69" i="36"/>
  <c r="Z69" i="36" s="1"/>
  <c r="R69" i="36"/>
  <c r="P69" i="36"/>
  <c r="O69" i="36"/>
  <c r="N69" i="36"/>
  <c r="W69" i="36" l="1"/>
  <c r="B69" i="36"/>
  <c r="AA68" i="36"/>
  <c r="Y68" i="36"/>
  <c r="AB68" i="36" s="1"/>
  <c r="X68" i="36"/>
  <c r="U68" i="36"/>
  <c r="T68" i="36"/>
  <c r="S68" i="36"/>
  <c r="Z68" i="36" s="1"/>
  <c r="R68" i="36"/>
  <c r="P68" i="36"/>
  <c r="O68" i="36"/>
  <c r="N68" i="36"/>
  <c r="W68" i="36" l="1"/>
  <c r="B68" i="36"/>
  <c r="AA67" i="36"/>
  <c r="Y67" i="36"/>
  <c r="AB67" i="36" s="1"/>
  <c r="X67" i="36"/>
  <c r="U67" i="36"/>
  <c r="T67" i="36"/>
  <c r="S67" i="36"/>
  <c r="Z67" i="36" s="1"/>
  <c r="R67" i="36"/>
  <c r="P67" i="36"/>
  <c r="O67" i="36"/>
  <c r="N67" i="36"/>
  <c r="W67" i="36" l="1"/>
  <c r="B67" i="36"/>
  <c r="AA66" i="36"/>
  <c r="Y66" i="36"/>
  <c r="AB66" i="36" s="1"/>
  <c r="X66" i="36"/>
  <c r="U66" i="36"/>
  <c r="T66" i="36"/>
  <c r="S66" i="36"/>
  <c r="Z66" i="36" s="1"/>
  <c r="R66" i="36"/>
  <c r="P66" i="36"/>
  <c r="O66" i="36"/>
  <c r="N66" i="36"/>
  <c r="W66" i="36" l="1"/>
  <c r="B66" i="36"/>
  <c r="AA65" i="36"/>
  <c r="Y65" i="36"/>
  <c r="AB65" i="36" s="1"/>
  <c r="X65" i="36"/>
  <c r="U65" i="36"/>
  <c r="T65" i="36"/>
  <c r="S65" i="36"/>
  <c r="Z65" i="36" s="1"/>
  <c r="R65" i="36"/>
  <c r="P65" i="36"/>
  <c r="O65" i="36"/>
  <c r="O72" i="36" s="1"/>
  <c r="O73" i="36" s="1"/>
  <c r="N65" i="36"/>
  <c r="L65" i="36"/>
  <c r="Q65" i="36" s="1"/>
  <c r="B65" i="36"/>
  <c r="AA64" i="36"/>
  <c r="Y64" i="36"/>
  <c r="AB64" i="36" s="1"/>
  <c r="X64" i="36"/>
  <c r="U64" i="36"/>
  <c r="T64" i="36"/>
  <c r="O64" i="36" s="1"/>
  <c r="S64" i="36"/>
  <c r="W64" i="36" s="1"/>
  <c r="R64" i="36"/>
  <c r="P64" i="36"/>
  <c r="N64" i="36"/>
  <c r="Z64" i="36" l="1"/>
  <c r="M65" i="36"/>
  <c r="W65" i="36"/>
  <c r="B64" i="36"/>
  <c r="AA63" i="36"/>
  <c r="Y63" i="36"/>
  <c r="AB63" i="36" s="1"/>
  <c r="X63" i="36"/>
  <c r="U63" i="36"/>
  <c r="T63" i="36"/>
  <c r="S63" i="36"/>
  <c r="Z63" i="36" s="1"/>
  <c r="R63" i="36"/>
  <c r="P63" i="36"/>
  <c r="O63" i="36"/>
  <c r="N63" i="36"/>
  <c r="W63" i="36" l="1"/>
  <c r="B63" i="36"/>
  <c r="AA62" i="36"/>
  <c r="Y62" i="36"/>
  <c r="AB62" i="36" s="1"/>
  <c r="X62" i="36"/>
  <c r="U62" i="36"/>
  <c r="T62" i="36"/>
  <c r="S62" i="36"/>
  <c r="Z62" i="36" s="1"/>
  <c r="R62" i="36"/>
  <c r="P62" i="36"/>
  <c r="O62" i="36"/>
  <c r="N62" i="36"/>
  <c r="W62" i="36" l="1"/>
  <c r="B62" i="36"/>
  <c r="AA61" i="36"/>
  <c r="Y61" i="36"/>
  <c r="AB61" i="36" s="1"/>
  <c r="X61" i="36"/>
  <c r="U61" i="36"/>
  <c r="T61" i="36"/>
  <c r="S61" i="36"/>
  <c r="W61" i="36" s="1"/>
  <c r="R61" i="36"/>
  <c r="P61" i="36"/>
  <c r="O61" i="36"/>
  <c r="N61" i="36"/>
  <c r="Z61" i="36" l="1"/>
  <c r="B61" i="36"/>
  <c r="AA60" i="36"/>
  <c r="Y60" i="36"/>
  <c r="AB60" i="36" s="1"/>
  <c r="X60" i="36"/>
  <c r="U60" i="36"/>
  <c r="T60" i="36"/>
  <c r="S60" i="36"/>
  <c r="W60" i="36" s="1"/>
  <c r="R60" i="36"/>
  <c r="P60" i="36"/>
  <c r="O60" i="36"/>
  <c r="N60" i="36"/>
  <c r="L60" i="36"/>
  <c r="Q60" i="36" l="1"/>
  <c r="Z60" i="36"/>
  <c r="B60" i="36"/>
  <c r="AA59" i="36"/>
  <c r="Y59" i="36"/>
  <c r="AB59" i="36" s="1"/>
  <c r="X59" i="36"/>
  <c r="U59" i="36"/>
  <c r="T59" i="36"/>
  <c r="S59" i="36"/>
  <c r="W59" i="36" s="1"/>
  <c r="R59" i="36"/>
  <c r="P59" i="36"/>
  <c r="O59" i="36"/>
  <c r="N59" i="36"/>
  <c r="L59" i="36"/>
  <c r="Q59" i="36" s="1"/>
  <c r="B59" i="36"/>
  <c r="AA58" i="36"/>
  <c r="Y58" i="36"/>
  <c r="AB58" i="36" s="1"/>
  <c r="X58" i="36"/>
  <c r="U58" i="36"/>
  <c r="T58" i="36"/>
  <c r="S58" i="36"/>
  <c r="Z58" i="36" s="1"/>
  <c r="R58" i="36"/>
  <c r="P58" i="36"/>
  <c r="O58" i="36"/>
  <c r="N58" i="36"/>
  <c r="L58" i="36"/>
  <c r="Q58" i="36" s="1"/>
  <c r="B58" i="36"/>
  <c r="AA57" i="36"/>
  <c r="Y57" i="36"/>
  <c r="AB57" i="36" s="1"/>
  <c r="X57" i="36"/>
  <c r="U57" i="36"/>
  <c r="T57" i="36"/>
  <c r="S57" i="36"/>
  <c r="Z57" i="36" s="1"/>
  <c r="R57" i="36"/>
  <c r="P57" i="36"/>
  <c r="O57" i="36"/>
  <c r="N57" i="36"/>
  <c r="L57" i="36"/>
  <c r="Q57" i="36" s="1"/>
  <c r="B57" i="36"/>
  <c r="AA56" i="36"/>
  <c r="Y56" i="36"/>
  <c r="AB56" i="36" s="1"/>
  <c r="X56" i="36"/>
  <c r="U56" i="36"/>
  <c r="T56" i="36"/>
  <c r="S56" i="36"/>
  <c r="Z56" i="36" s="1"/>
  <c r="R56" i="36"/>
  <c r="P56" i="36"/>
  <c r="O56" i="36"/>
  <c r="N56" i="36"/>
  <c r="L56" i="36"/>
  <c r="Q56" i="36" s="1"/>
  <c r="B56" i="36"/>
  <c r="AA55" i="36"/>
  <c r="Y55" i="36"/>
  <c r="AB55" i="36" s="1"/>
  <c r="X55" i="36"/>
  <c r="U55" i="36"/>
  <c r="T55" i="36"/>
  <c r="S55" i="36"/>
  <c r="Z55" i="36" s="1"/>
  <c r="R55" i="36"/>
  <c r="P55" i="36"/>
  <c r="O55" i="36"/>
  <c r="N55" i="36"/>
  <c r="L55" i="36"/>
  <c r="M55" i="36" s="1"/>
  <c r="B55" i="36"/>
  <c r="AA54" i="36"/>
  <c r="Y54" i="36"/>
  <c r="AB54" i="36" s="1"/>
  <c r="X54" i="36"/>
  <c r="U54" i="36"/>
  <c r="T54" i="36"/>
  <c r="S54" i="36"/>
  <c r="Z54" i="36" s="1"/>
  <c r="R54" i="36"/>
  <c r="P54" i="36"/>
  <c r="O54" i="36"/>
  <c r="N54" i="36"/>
  <c r="L54" i="36"/>
  <c r="Q54" i="36" s="1"/>
  <c r="B54" i="36"/>
  <c r="AA53" i="36"/>
  <c r="Y53" i="36"/>
  <c r="AB53" i="36" s="1"/>
  <c r="X53" i="36"/>
  <c r="U53" i="36"/>
  <c r="T53" i="36"/>
  <c r="S53" i="36"/>
  <c r="Z53" i="36" s="1"/>
  <c r="R53" i="36"/>
  <c r="P53" i="36"/>
  <c r="O53" i="36"/>
  <c r="N53" i="36"/>
  <c r="L53" i="36"/>
  <c r="M53" i="36" s="1"/>
  <c r="B53" i="36"/>
  <c r="AA52" i="36"/>
  <c r="Y52" i="36"/>
  <c r="AB52" i="36" s="1"/>
  <c r="X52" i="36"/>
  <c r="U52" i="36"/>
  <c r="T52" i="36"/>
  <c r="S52" i="36"/>
  <c r="W52" i="36" s="1"/>
  <c r="R52" i="36"/>
  <c r="P52" i="36"/>
  <c r="O52" i="36"/>
  <c r="N52" i="36"/>
  <c r="L52" i="36"/>
  <c r="M52" i="36" s="1"/>
  <c r="B52" i="36"/>
  <c r="AA51" i="36"/>
  <c r="Y51" i="36"/>
  <c r="AB51" i="36" s="1"/>
  <c r="X51" i="36"/>
  <c r="U51" i="36"/>
  <c r="T51" i="36"/>
  <c r="S51" i="36"/>
  <c r="Z51" i="36" s="1"/>
  <c r="R51" i="36"/>
  <c r="P51" i="36"/>
  <c r="O51" i="36"/>
  <c r="N51" i="36"/>
  <c r="L51" i="36"/>
  <c r="W53" i="36" l="1"/>
  <c r="W58" i="36"/>
  <c r="Q55" i="36"/>
  <c r="Q51" i="36"/>
  <c r="M57" i="36"/>
  <c r="Q52" i="36"/>
  <c r="M59" i="36"/>
  <c r="M54" i="36"/>
  <c r="W57" i="36"/>
  <c r="W55" i="36"/>
  <c r="Z52" i="36"/>
  <c r="Z59" i="36"/>
  <c r="Q53" i="36"/>
  <c r="M58" i="36"/>
  <c r="M56" i="36"/>
  <c r="W54" i="36"/>
  <c r="W56" i="36"/>
  <c r="W51" i="36"/>
  <c r="B51" i="36"/>
  <c r="AA50" i="36"/>
  <c r="Y50" i="36"/>
  <c r="AB50" i="36" s="1"/>
  <c r="X50" i="36"/>
  <c r="U50" i="36"/>
  <c r="T50" i="36"/>
  <c r="S50" i="36"/>
  <c r="Z50" i="36" s="1"/>
  <c r="R50" i="36"/>
  <c r="Q50" i="36"/>
  <c r="P50" i="36"/>
  <c r="O50" i="36"/>
  <c r="B50" i="36"/>
  <c r="AA49" i="36"/>
  <c r="Y49" i="36"/>
  <c r="AB49" i="36" s="1"/>
  <c r="X49" i="36"/>
  <c r="U49" i="36"/>
  <c r="T49" i="36"/>
  <c r="S49" i="36"/>
  <c r="W49" i="36" s="1"/>
  <c r="R49" i="36"/>
  <c r="P49" i="36"/>
  <c r="O49" i="36"/>
  <c r="N49" i="36"/>
  <c r="L49" i="36"/>
  <c r="Q49" i="36" s="1"/>
  <c r="B49" i="36"/>
  <c r="AA48" i="36"/>
  <c r="Y48" i="36"/>
  <c r="AB48" i="36" s="1"/>
  <c r="X48" i="36"/>
  <c r="U48" i="36"/>
  <c r="T48" i="36"/>
  <c r="S48" i="36"/>
  <c r="Z48" i="36" s="1"/>
  <c r="R48" i="36"/>
  <c r="P48" i="36"/>
  <c r="O48" i="36"/>
  <c r="N48" i="36"/>
  <c r="L48" i="36"/>
  <c r="Q48" i="36" s="1"/>
  <c r="B48" i="36"/>
  <c r="AA47" i="36"/>
  <c r="Y47" i="36"/>
  <c r="AB47" i="36" s="1"/>
  <c r="X47" i="36"/>
  <c r="U47" i="36"/>
  <c r="T47" i="36"/>
  <c r="S47" i="36"/>
  <c r="Z47" i="36" s="1"/>
  <c r="R47" i="36"/>
  <c r="P47" i="36"/>
  <c r="O47" i="36"/>
  <c r="N47" i="36"/>
  <c r="L47" i="36"/>
  <c r="Q47" i="36" s="1"/>
  <c r="B47" i="36"/>
  <c r="AA46" i="36"/>
  <c r="Y46" i="36"/>
  <c r="AB46" i="36" s="1"/>
  <c r="X46" i="36"/>
  <c r="U46" i="36"/>
  <c r="T46" i="36"/>
  <c r="S46" i="36"/>
  <c r="Z46" i="36" s="1"/>
  <c r="R46" i="36"/>
  <c r="P46" i="36"/>
  <c r="O46" i="36"/>
  <c r="N46" i="36"/>
  <c r="W48" i="36" l="1"/>
  <c r="M47" i="36"/>
  <c r="W50" i="36"/>
  <c r="M49" i="36"/>
  <c r="M48" i="36"/>
  <c r="W47" i="36"/>
  <c r="Z49" i="36"/>
  <c r="W46" i="36"/>
  <c r="B46" i="36"/>
  <c r="AA45" i="36"/>
  <c r="Y45" i="36"/>
  <c r="AB45" i="36" s="1"/>
  <c r="X45" i="36"/>
  <c r="U45" i="36"/>
  <c r="T45" i="36"/>
  <c r="S45" i="36"/>
  <c r="Z45" i="36" s="1"/>
  <c r="R45" i="36"/>
  <c r="P45" i="36"/>
  <c r="O45" i="36"/>
  <c r="N45" i="36"/>
  <c r="W45" i="36" l="1"/>
  <c r="B45" i="36"/>
  <c r="AA44" i="36"/>
  <c r="Y44" i="36"/>
  <c r="AB44" i="36" s="1"/>
  <c r="X44" i="36"/>
  <c r="U44" i="36"/>
  <c r="T44" i="36"/>
  <c r="S44" i="36"/>
  <c r="W44" i="36" s="1"/>
  <c r="R44" i="36"/>
  <c r="P44" i="36"/>
  <c r="O44" i="36"/>
  <c r="N44" i="36"/>
  <c r="Z44" i="36" l="1"/>
  <c r="B44" i="36"/>
  <c r="AA43" i="36"/>
  <c r="X43" i="36"/>
  <c r="T43" i="36"/>
  <c r="S43" i="36"/>
  <c r="Z43" i="36" s="1"/>
  <c r="R43" i="36"/>
  <c r="O43" i="36"/>
  <c r="L43" i="36"/>
  <c r="B43" i="36"/>
  <c r="AA42" i="36"/>
  <c r="X42" i="36"/>
  <c r="T42" i="36"/>
  <c r="O42" i="36" s="1"/>
  <c r="S42" i="36"/>
  <c r="Z42" i="36" s="1"/>
  <c r="R42" i="36"/>
  <c r="W42" i="36" l="1"/>
  <c r="W43" i="36"/>
  <c r="B42" i="36"/>
  <c r="AA41" i="36"/>
  <c r="X41" i="36"/>
  <c r="T41" i="36"/>
  <c r="S41" i="36"/>
  <c r="Z41" i="36" s="1"/>
  <c r="R41" i="36"/>
  <c r="O41" i="36"/>
  <c r="W41" i="36" l="1"/>
  <c r="B41" i="36"/>
  <c r="AA40" i="36"/>
  <c r="Y40" i="36"/>
  <c r="AB40" i="36" s="1"/>
  <c r="X40" i="36"/>
  <c r="U40" i="36"/>
  <c r="T40" i="36"/>
  <c r="S40" i="36"/>
  <c r="Z40" i="36" s="1"/>
  <c r="R40" i="36"/>
  <c r="Q40" i="36"/>
  <c r="P40" i="36"/>
  <c r="O40" i="36"/>
  <c r="M40" i="36"/>
  <c r="K40" i="36"/>
  <c r="N40" i="36" s="1"/>
  <c r="B40" i="36"/>
  <c r="AA39" i="36"/>
  <c r="Y39" i="36"/>
  <c r="AB39" i="36" s="1"/>
  <c r="X39" i="36"/>
  <c r="U39" i="36"/>
  <c r="T39" i="36"/>
  <c r="S39" i="36"/>
  <c r="Z39" i="36" s="1"/>
  <c r="R39" i="36"/>
  <c r="O39" i="36"/>
  <c r="K39" i="36"/>
  <c r="K50" i="36" s="1"/>
  <c r="H39" i="36"/>
  <c r="H42" i="36" s="1"/>
  <c r="B39" i="36"/>
  <c r="AA38" i="36"/>
  <c r="Y38" i="36"/>
  <c r="AB38" i="36" s="1"/>
  <c r="X38" i="36"/>
  <c r="U38" i="36"/>
  <c r="T38" i="36"/>
  <c r="S38" i="36"/>
  <c r="W38" i="36" s="1"/>
  <c r="R38" i="36"/>
  <c r="P38" i="36"/>
  <c r="O38" i="36"/>
  <c r="N38" i="36"/>
  <c r="L38" i="36"/>
  <c r="Q38" i="36" s="1"/>
  <c r="B38" i="36"/>
  <c r="AA37" i="36"/>
  <c r="Y37" i="36"/>
  <c r="AB37" i="36" s="1"/>
  <c r="X37" i="36"/>
  <c r="U37" i="36"/>
  <c r="T37" i="36"/>
  <c r="S37" i="36"/>
  <c r="Z37" i="36" s="1"/>
  <c r="R37" i="36"/>
  <c r="P37" i="36"/>
  <c r="O37" i="36"/>
  <c r="N37" i="36"/>
  <c r="W39" i="36" l="1"/>
  <c r="M38" i="36"/>
  <c r="Z38" i="36"/>
  <c r="N50" i="36"/>
  <c r="M50" i="36"/>
  <c r="M39" i="36"/>
  <c r="H41" i="36"/>
  <c r="P42" i="36"/>
  <c r="H43" i="36"/>
  <c r="N42" i="36"/>
  <c r="Y42" i="36"/>
  <c r="AB42" i="36" s="1"/>
  <c r="U42" i="36"/>
  <c r="W40" i="36"/>
  <c r="N39" i="36"/>
  <c r="W37" i="36"/>
  <c r="P39" i="36"/>
  <c r="Q39" i="36"/>
  <c r="B37" i="36"/>
  <c r="AA36" i="36"/>
  <c r="Y36" i="36"/>
  <c r="AB36" i="36" s="1"/>
  <c r="X36" i="36"/>
  <c r="U36" i="36"/>
  <c r="T36" i="36"/>
  <c r="S36" i="36"/>
  <c r="Z36" i="36" s="1"/>
  <c r="R36" i="36"/>
  <c r="P36" i="36"/>
  <c r="O36" i="36"/>
  <c r="N36" i="36"/>
  <c r="L36" i="36"/>
  <c r="Q36" i="36" l="1"/>
  <c r="W36" i="36"/>
  <c r="N43" i="36"/>
  <c r="Y43" i="36"/>
  <c r="AB43" i="36" s="1"/>
  <c r="U43" i="36"/>
  <c r="Q43" i="36"/>
  <c r="P43" i="36"/>
  <c r="M43" i="36"/>
  <c r="Y41" i="36"/>
  <c r="AB41" i="36" s="1"/>
  <c r="U41" i="36"/>
  <c r="P41" i="36"/>
  <c r="N41" i="36"/>
  <c r="B36" i="36"/>
  <c r="AA35" i="36"/>
  <c r="Y35" i="36"/>
  <c r="AB35" i="36" s="1"/>
  <c r="X35" i="36"/>
  <c r="U35" i="36"/>
  <c r="T35" i="36"/>
  <c r="S35" i="36"/>
  <c r="Z35" i="36" s="1"/>
  <c r="R35" i="36"/>
  <c r="P35" i="36"/>
  <c r="O35" i="36"/>
  <c r="N35" i="36"/>
  <c r="L35" i="36"/>
  <c r="M35" i="36" s="1"/>
  <c r="B35" i="36"/>
  <c r="AA34" i="36"/>
  <c r="Y34" i="36"/>
  <c r="AB34" i="36" s="1"/>
  <c r="X34" i="36"/>
  <c r="U34" i="36"/>
  <c r="T34" i="36"/>
  <c r="S34" i="36"/>
  <c r="Z34" i="36" s="1"/>
  <c r="R34" i="36"/>
  <c r="P34" i="36"/>
  <c r="O34" i="36"/>
  <c r="N34" i="36"/>
  <c r="Q35" i="36" l="1"/>
  <c r="W35" i="36"/>
  <c r="W34" i="36"/>
  <c r="B34" i="36"/>
  <c r="AA33" i="36"/>
  <c r="Y33" i="36"/>
  <c r="AB33" i="36" s="1"/>
  <c r="X33" i="36"/>
  <c r="U33" i="36"/>
  <c r="T33" i="36"/>
  <c r="S33" i="36"/>
  <c r="W33" i="36" s="1"/>
  <c r="R33" i="36"/>
  <c r="P33" i="36"/>
  <c r="O33" i="36"/>
  <c r="N33" i="36"/>
  <c r="Z33" i="36" l="1"/>
  <c r="B33" i="36"/>
  <c r="AA32" i="36"/>
  <c r="Y32" i="36"/>
  <c r="AB32" i="36" s="1"/>
  <c r="X32" i="36"/>
  <c r="U32" i="36"/>
  <c r="T32" i="36"/>
  <c r="S32" i="36"/>
  <c r="Z32" i="36" s="1"/>
  <c r="R32" i="36"/>
  <c r="P32" i="36"/>
  <c r="O32" i="36"/>
  <c r="N32" i="36"/>
  <c r="W32" i="36" l="1"/>
  <c r="B32" i="36"/>
  <c r="AA31" i="36"/>
  <c r="Y31" i="36"/>
  <c r="AB31" i="36" s="1"/>
  <c r="X31" i="36"/>
  <c r="U31" i="36"/>
  <c r="T31" i="36"/>
  <c r="S31" i="36"/>
  <c r="Z31" i="36" s="1"/>
  <c r="R31" i="36"/>
  <c r="Q31" i="36"/>
  <c r="P31" i="36"/>
  <c r="O31" i="36"/>
  <c r="K31" i="36"/>
  <c r="M31" i="36" s="1"/>
  <c r="B31" i="36"/>
  <c r="AA30" i="36"/>
  <c r="Y30" i="36"/>
  <c r="AB30" i="36" s="1"/>
  <c r="X30" i="36"/>
  <c r="U30" i="36"/>
  <c r="T30" i="36"/>
  <c r="S30" i="36"/>
  <c r="Z30" i="36" s="1"/>
  <c r="R30" i="36"/>
  <c r="P30" i="36"/>
  <c r="O30" i="36"/>
  <c r="N31" i="36" l="1"/>
  <c r="W30" i="36"/>
  <c r="W31" i="36"/>
  <c r="K30" i="36"/>
  <c r="N30" i="36" s="1"/>
  <c r="B30" i="36"/>
  <c r="AA29" i="36"/>
  <c r="Y29" i="36"/>
  <c r="AB29" i="36" s="1"/>
  <c r="X29" i="36"/>
  <c r="U29" i="36"/>
  <c r="T29" i="36"/>
  <c r="S29" i="36"/>
  <c r="Z29" i="36" s="1"/>
  <c r="R29" i="36"/>
  <c r="P29" i="36"/>
  <c r="O29" i="36"/>
  <c r="N29" i="36"/>
  <c r="W29" i="36" l="1"/>
  <c r="B29" i="36"/>
  <c r="AA28" i="36"/>
  <c r="Y28" i="36"/>
  <c r="AB28" i="36" s="1"/>
  <c r="X28" i="36"/>
  <c r="U28" i="36"/>
  <c r="T28" i="36"/>
  <c r="S28" i="36"/>
  <c r="Z28" i="36" s="1"/>
  <c r="R28" i="36"/>
  <c r="P28" i="36"/>
  <c r="O28" i="36"/>
  <c r="N28" i="36"/>
  <c r="W28" i="36" l="1"/>
  <c r="B28" i="36"/>
  <c r="AA27" i="36"/>
  <c r="Y27" i="36"/>
  <c r="AB27" i="36" s="1"/>
  <c r="X27" i="36"/>
  <c r="U27" i="36"/>
  <c r="T27" i="36"/>
  <c r="S27" i="36"/>
  <c r="Z27" i="36" s="1"/>
  <c r="R27" i="36"/>
  <c r="P27" i="36"/>
  <c r="O27" i="36"/>
  <c r="W27" i="36" l="1"/>
  <c r="K27" i="36"/>
  <c r="N27" i="36" s="1"/>
  <c r="B27" i="36"/>
  <c r="AA26" i="36"/>
  <c r="Y26" i="36"/>
  <c r="AB26" i="36" s="1"/>
  <c r="X26" i="36"/>
  <c r="U26" i="36"/>
  <c r="T26" i="36"/>
  <c r="S26" i="36"/>
  <c r="Z26" i="36" s="1"/>
  <c r="R26" i="36"/>
  <c r="P26" i="36"/>
  <c r="O26" i="36"/>
  <c r="N26" i="36"/>
  <c r="W26" i="36" l="1"/>
  <c r="B26" i="36"/>
  <c r="AA25" i="36"/>
  <c r="Y25" i="36"/>
  <c r="AB25" i="36" s="1"/>
  <c r="X25" i="36"/>
  <c r="U25" i="36"/>
  <c r="T25" i="36"/>
  <c r="S25" i="36"/>
  <c r="Z25" i="36" s="1"/>
  <c r="R25" i="36"/>
  <c r="P25" i="36"/>
  <c r="O25" i="36"/>
  <c r="N25" i="36"/>
  <c r="W25" i="36" l="1"/>
  <c r="B25" i="36"/>
  <c r="AA24" i="36"/>
  <c r="Y24" i="36"/>
  <c r="AB24" i="36" s="1"/>
  <c r="X24" i="36"/>
  <c r="U24" i="36"/>
  <c r="T24" i="36"/>
  <c r="S24" i="36"/>
  <c r="Z24" i="36" s="1"/>
  <c r="R24" i="36"/>
  <c r="P24" i="36"/>
  <c r="O24" i="36"/>
  <c r="N24" i="36"/>
  <c r="W24" i="36" l="1"/>
  <c r="B24" i="36"/>
  <c r="AA23" i="36"/>
  <c r="Y23" i="36"/>
  <c r="AB23" i="36" s="1"/>
  <c r="X23" i="36"/>
  <c r="U23" i="36"/>
  <c r="T23" i="36"/>
  <c r="S23" i="36"/>
  <c r="Z23" i="36" s="1"/>
  <c r="R23" i="36"/>
  <c r="P23" i="36"/>
  <c r="O23" i="36"/>
  <c r="N23" i="36"/>
  <c r="W23" i="36" l="1"/>
  <c r="B23" i="36"/>
  <c r="AA22" i="36"/>
  <c r="Y22" i="36"/>
  <c r="AB22" i="36" s="1"/>
  <c r="X22" i="36"/>
  <c r="U22" i="36"/>
  <c r="T22" i="36"/>
  <c r="S22" i="36"/>
  <c r="Z22" i="36" s="1"/>
  <c r="R22" i="36"/>
  <c r="P22" i="36"/>
  <c r="O22" i="36"/>
  <c r="N22" i="36"/>
  <c r="W22" i="36" l="1"/>
  <c r="B22" i="36"/>
  <c r="AA21" i="36"/>
  <c r="Y21" i="36"/>
  <c r="AB21" i="36" s="1"/>
  <c r="X21" i="36"/>
  <c r="U21" i="36"/>
  <c r="T21" i="36"/>
  <c r="S21" i="36"/>
  <c r="Z21" i="36" s="1"/>
  <c r="R21" i="36"/>
  <c r="P21" i="36"/>
  <c r="O21" i="36"/>
  <c r="N21" i="36"/>
  <c r="W21" i="36" l="1"/>
  <c r="B21" i="36"/>
  <c r="AA20" i="36"/>
  <c r="Y20" i="36"/>
  <c r="AB20" i="36" s="1"/>
  <c r="X20" i="36"/>
  <c r="U20" i="36"/>
  <c r="T20" i="36"/>
  <c r="S20" i="36"/>
  <c r="W20" i="36" s="1"/>
  <c r="R20" i="36"/>
  <c r="P20" i="36"/>
  <c r="O20" i="36"/>
  <c r="N20" i="36"/>
  <c r="Z20" i="36" l="1"/>
  <c r="B20" i="36"/>
  <c r="AA19" i="36"/>
  <c r="Y19" i="36"/>
  <c r="AB19" i="36" s="1"/>
  <c r="X19" i="36"/>
  <c r="U19" i="36"/>
  <c r="T19" i="36"/>
  <c r="S19" i="36"/>
  <c r="Z19" i="36" s="1"/>
  <c r="R19" i="36"/>
  <c r="P19" i="36"/>
  <c r="O19" i="36"/>
  <c r="N19" i="36"/>
  <c r="W19" i="36" l="1"/>
  <c r="B19" i="36"/>
  <c r="AA18" i="36"/>
  <c r="Y18" i="36"/>
  <c r="AB18" i="36" s="1"/>
  <c r="X18" i="36"/>
  <c r="U18" i="36"/>
  <c r="T18" i="36"/>
  <c r="S18" i="36"/>
  <c r="Z18" i="36" s="1"/>
  <c r="R18" i="36"/>
  <c r="P18" i="36"/>
  <c r="O18" i="36"/>
  <c r="N18" i="36"/>
  <c r="L18" i="36"/>
  <c r="Q18" i="36" l="1"/>
  <c r="W18" i="36"/>
  <c r="B18" i="36"/>
  <c r="AA17" i="36"/>
  <c r="Y17" i="36"/>
  <c r="AB17" i="36" s="1"/>
  <c r="X17" i="36"/>
  <c r="U17" i="36"/>
  <c r="T17" i="36"/>
  <c r="S17" i="36"/>
  <c r="Z17" i="36" s="1"/>
  <c r="R17" i="36"/>
  <c r="P17" i="36"/>
  <c r="O17" i="36"/>
  <c r="N17" i="36"/>
  <c r="L17" i="36"/>
  <c r="Q17" i="36" l="1"/>
  <c r="W17" i="36"/>
  <c r="B17" i="36"/>
  <c r="AA16" i="36"/>
  <c r="Y16" i="36"/>
  <c r="AB16" i="36" s="1"/>
  <c r="X16" i="36"/>
  <c r="U16" i="36"/>
  <c r="T16" i="36"/>
  <c r="S16" i="36"/>
  <c r="Z16" i="36" s="1"/>
  <c r="R16" i="36"/>
  <c r="P16" i="36"/>
  <c r="O16" i="36"/>
  <c r="N16" i="36"/>
  <c r="L16" i="36"/>
  <c r="Q16" i="36" l="1"/>
  <c r="W16" i="36"/>
  <c r="B16" i="36"/>
  <c r="AA15" i="36"/>
  <c r="Y15" i="36"/>
  <c r="AB15" i="36" s="1"/>
  <c r="X15" i="36"/>
  <c r="U15" i="36"/>
  <c r="T15" i="36"/>
  <c r="S15" i="36"/>
  <c r="Z15" i="36" s="1"/>
  <c r="R15" i="36"/>
  <c r="P15" i="36"/>
  <c r="O15" i="36"/>
  <c r="N15" i="36"/>
  <c r="L15" i="36"/>
  <c r="Q15" i="36" l="1"/>
  <c r="W15" i="36"/>
  <c r="B15" i="36"/>
  <c r="AA14" i="36"/>
  <c r="Y14" i="36"/>
  <c r="AB14" i="36" s="1"/>
  <c r="X14" i="36"/>
  <c r="U14" i="36"/>
  <c r="T14" i="36"/>
  <c r="S14" i="36"/>
  <c r="Z14" i="36" s="1"/>
  <c r="R14" i="36"/>
  <c r="P14" i="36"/>
  <c r="O14" i="36"/>
  <c r="N14" i="36"/>
  <c r="L14" i="36"/>
  <c r="Q14" i="36" l="1"/>
  <c r="W14" i="36"/>
  <c r="B14" i="36"/>
  <c r="AA13" i="36"/>
  <c r="Y13" i="36"/>
  <c r="AB13" i="36" s="1"/>
  <c r="X13" i="36"/>
  <c r="U13" i="36"/>
  <c r="T13" i="36"/>
  <c r="S13" i="36"/>
  <c r="Z13" i="36" s="1"/>
  <c r="R13" i="36"/>
  <c r="P13" i="36"/>
  <c r="O13" i="36"/>
  <c r="N13" i="36"/>
  <c r="L13" i="36"/>
  <c r="Q13" i="36" l="1"/>
  <c r="W13" i="36"/>
  <c r="B13" i="36"/>
  <c r="AA12" i="36"/>
  <c r="Y12" i="36"/>
  <c r="AB12" i="36" s="1"/>
  <c r="X12" i="36"/>
  <c r="U12" i="36"/>
  <c r="T12" i="36"/>
  <c r="S12" i="36"/>
  <c r="Z12" i="36" s="1"/>
  <c r="R12" i="36"/>
  <c r="P12" i="36"/>
  <c r="O12" i="36"/>
  <c r="N12" i="36"/>
  <c r="L12" i="36"/>
  <c r="Q12" i="36" s="1"/>
  <c r="K12" i="36"/>
  <c r="B12" i="36"/>
  <c r="AA11" i="36"/>
  <c r="Z11" i="36"/>
  <c r="Y11" i="36"/>
  <c r="AB11" i="36" s="1"/>
  <c r="X11" i="36"/>
  <c r="W11" i="36"/>
  <c r="B11" i="36"/>
  <c r="AA10" i="36"/>
  <c r="Z10" i="36"/>
  <c r="Y10" i="36"/>
  <c r="AB10" i="36" s="1"/>
  <c r="X10" i="36"/>
  <c r="W10" i="36"/>
  <c r="U10" i="36"/>
  <c r="R10" i="36"/>
  <c r="Q10" i="36"/>
  <c r="P10" i="36"/>
  <c r="N10" i="36"/>
  <c r="AA9" i="36"/>
  <c r="Z9" i="36"/>
  <c r="Y9" i="36"/>
  <c r="AB9" i="36" s="1"/>
  <c r="X9" i="36"/>
  <c r="W9" i="36"/>
  <c r="U9" i="36"/>
  <c r="R9" i="36"/>
  <c r="Q9" i="36"/>
  <c r="P9" i="36"/>
  <c r="N9" i="36"/>
  <c r="AA8" i="36"/>
  <c r="Z8" i="36"/>
  <c r="Y8" i="36"/>
  <c r="AB8" i="36" s="1"/>
  <c r="X8" i="36"/>
  <c r="W8" i="36"/>
  <c r="U8" i="36"/>
  <c r="R8" i="36"/>
  <c r="Q8" i="36"/>
  <c r="P8" i="36"/>
  <c r="N8" i="36"/>
  <c r="AA7" i="36"/>
  <c r="Z7" i="36"/>
  <c r="Y7" i="36"/>
  <c r="AB7" i="36" s="1"/>
  <c r="X7" i="36"/>
  <c r="W7" i="36"/>
  <c r="U7" i="36"/>
  <c r="R7" i="36"/>
  <c r="Q7" i="36"/>
  <c r="P7" i="36"/>
  <c r="N7" i="36"/>
  <c r="AA6" i="36"/>
  <c r="Z6" i="36"/>
  <c r="Y6" i="36"/>
  <c r="AB6" i="36" s="1"/>
  <c r="X6" i="36"/>
  <c r="W6" i="36"/>
  <c r="U6" i="36"/>
  <c r="R6" i="36"/>
  <c r="Q6" i="36"/>
  <c r="P6" i="36"/>
  <c r="N6" i="36"/>
  <c r="AA5" i="36"/>
  <c r="Z5" i="36"/>
  <c r="Y5" i="36"/>
  <c r="AB5" i="36" s="1"/>
  <c r="X5" i="36"/>
  <c r="W5" i="36"/>
  <c r="U5" i="36"/>
  <c r="R5" i="36"/>
  <c r="Q5" i="36"/>
  <c r="P5" i="36"/>
  <c r="N5" i="36"/>
  <c r="Y4" i="36"/>
  <c r="AB4" i="36" s="1"/>
  <c r="X4" i="36"/>
  <c r="U4" i="36"/>
  <c r="T4" i="36"/>
  <c r="S4" i="36"/>
  <c r="Z4" i="36" s="1"/>
  <c r="R4" i="36"/>
  <c r="Q4" i="36"/>
  <c r="P4" i="36"/>
  <c r="N4" i="36"/>
  <c r="J4" i="36"/>
  <c r="AA4" i="36" s="1"/>
  <c r="B4" i="36"/>
  <c r="Y3" i="36"/>
  <c r="AB3" i="36" s="1"/>
  <c r="X3" i="36"/>
  <c r="U3" i="36"/>
  <c r="T3" i="36"/>
  <c r="S3" i="36"/>
  <c r="Z3" i="36" s="1"/>
  <c r="R3" i="36"/>
  <c r="Q3" i="36"/>
  <c r="P3" i="36"/>
  <c r="N3" i="36"/>
  <c r="J3" i="36"/>
  <c r="O3" i="36" s="1"/>
  <c r="B3" i="36"/>
  <c r="AA2" i="36"/>
  <c r="Y2" i="36"/>
  <c r="AB2" i="36" s="1"/>
  <c r="X2" i="36"/>
  <c r="U2" i="36"/>
  <c r="T2" i="36"/>
  <c r="S2" i="36"/>
  <c r="Z2" i="36" s="1"/>
  <c r="R2" i="36"/>
  <c r="Q2" i="36"/>
  <c r="P2" i="36"/>
  <c r="N2" i="36"/>
  <c r="J2" i="36"/>
  <c r="O2" i="36" s="1"/>
  <c r="B2" i="36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2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D16" i="5"/>
  <c r="D8" i="5"/>
  <c r="N6" i="5"/>
  <c r="H6" i="5"/>
  <c r="H7" i="5" s="1"/>
  <c r="G20" i="6"/>
  <c r="F20" i="6"/>
  <c r="G19" i="6"/>
  <c r="F19" i="6"/>
  <c r="G18" i="6"/>
  <c r="F18" i="6"/>
  <c r="G17" i="6"/>
  <c r="F17" i="6"/>
  <c r="G16" i="6"/>
  <c r="F16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G15" i="6"/>
  <c r="F15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G14" i="6"/>
  <c r="F14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G13" i="6"/>
  <c r="F13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G12" i="6"/>
  <c r="F12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G11" i="6"/>
  <c r="F11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G10" i="6"/>
  <c r="F10" i="6"/>
  <c r="F8" i="6"/>
  <c r="W3" i="36" l="1"/>
  <c r="AA3" i="36"/>
  <c r="W4" i="36"/>
  <c r="O4" i="36"/>
  <c r="W2" i="36"/>
  <c r="M12" i="36"/>
  <c r="B6" i="33"/>
  <c r="E1" i="33"/>
  <c r="H6" i="33"/>
  <c r="I6" i="33"/>
  <c r="J6" i="33"/>
  <c r="K6" i="33"/>
  <c r="L6" i="33"/>
  <c r="N6" i="33"/>
  <c r="O6" i="33"/>
  <c r="P6" i="33"/>
  <c r="Q6" i="33"/>
  <c r="R6" i="33"/>
  <c r="S6" i="33"/>
  <c r="T6" i="33"/>
  <c r="U6" i="33"/>
  <c r="V6" i="33"/>
  <c r="W6" i="33"/>
  <c r="X6" i="33"/>
  <c r="Z6" i="33"/>
  <c r="AA6" i="33"/>
  <c r="E1" i="32"/>
  <c r="I6" i="32"/>
  <c r="J6" i="32"/>
  <c r="K6" i="32"/>
  <c r="L6" i="32"/>
  <c r="M6" i="32"/>
  <c r="N6" i="32"/>
  <c r="O6" i="32"/>
  <c r="Q6" i="32"/>
  <c r="P6" i="32"/>
  <c r="R6" i="32"/>
  <c r="S6" i="32"/>
  <c r="T6" i="32"/>
  <c r="U6" i="32"/>
  <c r="V6" i="32"/>
  <c r="W6" i="32"/>
  <c r="X6" i="32"/>
  <c r="Y6" i="32"/>
  <c r="Z6" i="32"/>
  <c r="AB6" i="32"/>
  <c r="E5" i="3"/>
  <c r="AF5" i="3"/>
  <c r="AH5" i="3"/>
  <c r="G5" i="3"/>
  <c r="H5" i="3"/>
  <c r="AI5" i="3"/>
  <c r="AJ5" i="3"/>
  <c r="I5" i="3"/>
  <c r="J5" i="3"/>
  <c r="AK5" i="3"/>
  <c r="K5" i="3"/>
  <c r="AL5" i="3"/>
  <c r="L5" i="3"/>
  <c r="AM5" i="3"/>
  <c r="AN5" i="3"/>
  <c r="M5" i="3"/>
  <c r="AO5" i="3"/>
  <c r="N5" i="3"/>
  <c r="AP5" i="3"/>
  <c r="O5" i="3"/>
  <c r="AQ5" i="3"/>
  <c r="AT5" i="3"/>
  <c r="S5" i="3"/>
  <c r="T5" i="3"/>
  <c r="V5" i="3"/>
  <c r="AW5" i="3"/>
  <c r="W5" i="3"/>
  <c r="AX5" i="3"/>
  <c r="X5" i="3"/>
  <c r="AY5" i="3"/>
  <c r="Y5" i="3"/>
  <c r="AZ5" i="3"/>
  <c r="BA5" i="3"/>
  <c r="Z5" i="3"/>
  <c r="AA5" i="3"/>
  <c r="AB5" i="3"/>
  <c r="N7" i="5"/>
  <c r="N8" i="5" s="1"/>
  <c r="N9" i="5" s="1"/>
  <c r="N10" i="5" s="1"/>
  <c r="N11" i="5" s="1"/>
  <c r="N12" i="5" s="1"/>
  <c r="N13" i="5" s="1"/>
  <c r="N14" i="5" s="1"/>
  <c r="N15" i="5" s="1"/>
  <c r="N16" i="5" s="1"/>
  <c r="W12" i="36"/>
  <c r="L133" i="36"/>
  <c r="L248" i="36"/>
  <c r="L27" i="36"/>
  <c r="L492" i="36"/>
  <c r="L471" i="36"/>
  <c r="L163" i="36"/>
  <c r="L138" i="36"/>
  <c r="L29" i="36"/>
  <c r="L447" i="36"/>
  <c r="L494" i="36"/>
  <c r="L311" i="36"/>
  <c r="L571" i="36"/>
  <c r="L86" i="36"/>
  <c r="L504" i="36"/>
  <c r="L225" i="36"/>
  <c r="L419" i="36"/>
  <c r="L89" i="36"/>
  <c r="L385" i="36"/>
  <c r="L71" i="36"/>
  <c r="L404" i="36"/>
  <c r="L156" i="36"/>
  <c r="L398" i="36"/>
  <c r="L484" i="36"/>
  <c r="L82" i="36"/>
  <c r="L329" i="36"/>
  <c r="L481" i="36"/>
  <c r="L489" i="36"/>
  <c r="L451" i="36"/>
  <c r="L423" i="36"/>
  <c r="L245" i="36"/>
  <c r="L97" i="36"/>
  <c r="L211" i="36"/>
  <c r="L91" i="36"/>
  <c r="L235" i="36"/>
  <c r="L70" i="36"/>
  <c r="L25" i="36"/>
  <c r="L90" i="36"/>
  <c r="L518" i="36"/>
  <c r="L433" i="36"/>
  <c r="L497" i="36"/>
  <c r="L63" i="36"/>
  <c r="L490" i="36"/>
  <c r="L134" i="36"/>
  <c r="L562" i="36"/>
  <c r="L590" i="36"/>
  <c r="L532" i="36"/>
  <c r="L160" i="36"/>
  <c r="L356" i="36"/>
  <c r="L499" i="36"/>
  <c r="L427" i="36"/>
  <c r="L376" i="36"/>
  <c r="L46" i="36"/>
  <c r="L418" i="36"/>
  <c r="L392" i="36"/>
  <c r="L319" i="36"/>
  <c r="L506" i="36"/>
  <c r="L397" i="36"/>
  <c r="L67" i="36"/>
  <c r="L322" i="36"/>
  <c r="L198" i="36"/>
  <c r="L444" i="36"/>
  <c r="L197" i="36"/>
  <c r="L69" i="36"/>
  <c r="L340" i="36"/>
  <c r="L64" i="36"/>
  <c r="L488" i="36"/>
  <c r="L193" i="36"/>
  <c r="L416" i="36"/>
  <c r="L153" i="36"/>
  <c r="L366" i="36"/>
  <c r="L575" i="36"/>
  <c r="L407" i="36"/>
  <c r="L169" i="36"/>
  <c r="L150" i="36"/>
  <c r="L32" i="36"/>
  <c r="L45" i="36"/>
  <c r="L78" i="36"/>
  <c r="L359" i="36"/>
  <c r="L555" i="36"/>
  <c r="L30" i="36"/>
  <c r="L210" i="36"/>
  <c r="L574" i="36"/>
  <c r="L402" i="36"/>
  <c r="L578" i="36"/>
  <c r="L330" i="36"/>
  <c r="L125" i="36"/>
  <c r="L351" i="36"/>
  <c r="L266" i="36"/>
  <c r="L472" i="36"/>
  <c r="L34" i="36"/>
  <c r="L551" i="36"/>
  <c r="L410" i="36"/>
  <c r="L539" i="36"/>
  <c r="L23" i="36"/>
  <c r="L565" i="36"/>
  <c r="L305" i="36"/>
  <c r="L162" i="36"/>
  <c r="L336" i="36"/>
  <c r="L401" i="36"/>
  <c r="L408" i="36"/>
  <c r="L314" i="36"/>
  <c r="L20" i="36"/>
  <c r="L177" i="36"/>
  <c r="L24" i="36"/>
  <c r="L430" i="36"/>
  <c r="L333" i="36"/>
  <c r="L176" i="36"/>
  <c r="L446" i="36"/>
  <c r="L104" i="36"/>
  <c r="L501" i="36"/>
  <c r="L505" i="36"/>
  <c r="L334" i="36"/>
  <c r="L112" i="36"/>
  <c r="L568" i="36"/>
  <c r="L81" i="36"/>
  <c r="L339" i="36"/>
  <c r="L335" i="36"/>
  <c r="L566" i="36"/>
  <c r="L477" i="36"/>
  <c r="L151" i="36"/>
  <c r="L483" i="36"/>
  <c r="L173" i="36"/>
  <c r="L536" i="36"/>
  <c r="L307" i="36"/>
  <c r="L99" i="36"/>
  <c r="L557" i="36"/>
  <c r="L239" i="36"/>
  <c r="L531" i="36"/>
  <c r="L327" i="36"/>
  <c r="L75" i="36"/>
  <c r="L119" i="36"/>
  <c r="L44" i="36"/>
  <c r="L467" i="36"/>
  <c r="L253" i="36"/>
  <c r="L338" i="36"/>
  <c r="L293" i="36"/>
  <c r="L181" i="36"/>
  <c r="L491" i="36"/>
  <c r="L37" i="36"/>
  <c r="L213" i="36"/>
  <c r="L533" i="36"/>
  <c r="L368" i="36"/>
  <c r="L241" i="36"/>
  <c r="L278" i="36"/>
  <c r="L33" i="36"/>
  <c r="L19" i="36"/>
  <c r="L337" i="36"/>
  <c r="L579" i="36"/>
  <c r="L549" i="36"/>
  <c r="L270" i="36"/>
  <c r="L498" i="36"/>
  <c r="L466" i="36"/>
  <c r="L116" i="36"/>
  <c r="L88" i="36"/>
  <c r="L260" i="36"/>
  <c r="L124" i="36"/>
  <c r="L207" i="36"/>
  <c r="L192" i="36"/>
  <c r="L576" i="36"/>
  <c r="L374" i="36"/>
  <c r="L383" i="36"/>
  <c r="L561" i="36"/>
  <c r="L569" i="36"/>
  <c r="L145" i="36"/>
  <c r="L342" i="36"/>
  <c r="L259" i="36"/>
  <c r="L487" i="36"/>
  <c r="L165" i="36"/>
  <c r="L538" i="36"/>
  <c r="L242" i="36"/>
  <c r="L167" i="36"/>
  <c r="L102" i="36"/>
  <c r="L547" i="36"/>
  <c r="L146" i="36"/>
  <c r="L524" i="36"/>
  <c r="L313" i="36"/>
  <c r="L287" i="36"/>
  <c r="L512" i="36"/>
  <c r="L553" i="36"/>
  <c r="L344" i="36"/>
  <c r="L21" i="36"/>
  <c r="L101" i="36"/>
  <c r="L567" i="36"/>
  <c r="L508" i="36"/>
  <c r="L517" i="36"/>
  <c r="L320" i="36"/>
  <c r="L473" i="36"/>
  <c r="L442" i="36"/>
  <c r="L482" i="36"/>
  <c r="L237" i="36"/>
  <c r="L332" i="36"/>
  <c r="L140" i="36"/>
  <c r="L85" i="36"/>
  <c r="L83" i="36"/>
  <c r="L234" i="36"/>
  <c r="L341" i="36"/>
  <c r="L369" i="36"/>
  <c r="L243" i="36"/>
  <c r="L244" i="36"/>
  <c r="L281" i="36"/>
  <c r="L511" i="36"/>
  <c r="L215" i="36"/>
  <c r="L93" i="36"/>
  <c r="L352" i="36"/>
  <c r="L469" i="36"/>
  <c r="L288" i="36"/>
  <c r="L92" i="36"/>
  <c r="L470" i="36"/>
  <c r="L139" i="36"/>
  <c r="L581" i="36"/>
  <c r="L459" i="36"/>
  <c r="L594" i="36"/>
  <c r="L460" i="36"/>
  <c r="L554" i="36"/>
  <c r="L523" i="36"/>
  <c r="L560" i="36"/>
  <c r="L118" i="36"/>
  <c r="L202" i="36"/>
  <c r="L312" i="36"/>
  <c r="L367" i="36"/>
  <c r="L558" i="36"/>
  <c r="L61" i="36"/>
  <c r="L458" i="36"/>
  <c r="L77" i="36"/>
  <c r="L321" i="36"/>
  <c r="L465" i="36"/>
  <c r="L194" i="36"/>
  <c r="L66" i="36"/>
  <c r="L22" i="36"/>
  <c r="L474" i="36"/>
  <c r="L495" i="36"/>
  <c r="L132" i="36"/>
  <c r="L328" i="36"/>
  <c r="L453" i="36"/>
  <c r="L113" i="36"/>
  <c r="L540" i="36"/>
  <c r="L409" i="36"/>
  <c r="L41" i="36"/>
  <c r="L142" i="36"/>
  <c r="L534" i="36"/>
  <c r="L240" i="36"/>
  <c r="L440" i="36"/>
  <c r="L154" i="36"/>
  <c r="L445" i="36"/>
  <c r="L363" i="36"/>
  <c r="L26" i="36"/>
  <c r="L570" i="36"/>
  <c r="L454" i="36"/>
  <c r="L62" i="36"/>
  <c r="L493" i="36"/>
  <c r="L548" i="36"/>
  <c r="L589" i="36"/>
  <c r="L543" i="36"/>
  <c r="L120" i="36"/>
  <c r="L580" i="36"/>
  <c r="L431" i="36"/>
  <c r="L478" i="36"/>
  <c r="L443" i="36"/>
  <c r="L42" i="36"/>
  <c r="L238" i="36"/>
  <c r="L100" i="36"/>
  <c r="L585" i="36"/>
  <c r="L105" i="36"/>
  <c r="L130" i="36"/>
  <c r="L425" i="36"/>
  <c r="L500" i="36"/>
  <c r="L84" i="36"/>
  <c r="L468" i="36"/>
  <c r="L545" i="36"/>
  <c r="L390" i="36"/>
  <c r="L158" i="36"/>
  <c r="L450" i="36"/>
  <c r="L68" i="36"/>
  <c r="L195" i="36"/>
  <c r="L420" i="36"/>
  <c r="L559" i="36"/>
  <c r="L503" i="36"/>
  <c r="L149" i="36"/>
  <c r="L552" i="36"/>
  <c r="L435" i="36"/>
  <c r="L261" i="36"/>
  <c r="L76" i="36"/>
  <c r="L535" i="36"/>
  <c r="L507" i="36"/>
  <c r="L180" i="36"/>
  <c r="L426" i="36"/>
  <c r="L529" i="36"/>
  <c r="L148" i="36"/>
  <c r="L128" i="36"/>
  <c r="L550" i="36"/>
  <c r="L537" i="36"/>
  <c r="L541" i="36"/>
  <c r="L223" i="36"/>
  <c r="L387" i="36"/>
  <c r="L462" i="36"/>
  <c r="L316" i="36"/>
  <c r="L441" i="36"/>
  <c r="L509" i="36"/>
  <c r="L530" i="36"/>
  <c r="L236" i="36"/>
  <c r="L415" i="36"/>
  <c r="L28" i="36"/>
  <c r="L224" i="36"/>
  <c r="L298" i="36"/>
  <c r="L144" i="36"/>
  <c r="L542" i="36"/>
  <c r="L486" i="36"/>
  <c r="L284" i="36"/>
  <c r="L147" i="36"/>
  <c r="L432" i="36"/>
  <c r="L544" i="36"/>
  <c r="L212" i="36"/>
  <c r="L152" i="36"/>
  <c r="L168" i="36"/>
  <c r="L461" i="36"/>
  <c r="L196" i="36"/>
  <c r="L166" i="36"/>
  <c r="M594" i="36" l="1"/>
  <c r="Q594" i="36"/>
  <c r="Q589" i="36"/>
  <c r="M589" i="36"/>
  <c r="M581" i="36"/>
  <c r="Q581" i="36"/>
  <c r="Q570" i="36"/>
  <c r="M570" i="36"/>
  <c r="Q562" i="36"/>
  <c r="M562" i="36"/>
  <c r="M566" i="36"/>
  <c r="Q566" i="36"/>
  <c r="Q554" i="36"/>
  <c r="M554" i="36"/>
  <c r="M549" i="36"/>
  <c r="Q549" i="36"/>
  <c r="M543" i="36"/>
  <c r="Q543" i="36"/>
  <c r="M544" i="36"/>
  <c r="Q544" i="36"/>
  <c r="Q536" i="36"/>
  <c r="M536" i="36"/>
  <c r="Q537" i="36"/>
  <c r="M537" i="36"/>
  <c r="Q538" i="36"/>
  <c r="M538" i="36"/>
  <c r="M531" i="36"/>
  <c r="Q531" i="36"/>
  <c r="Q497" i="36"/>
  <c r="M497" i="36"/>
  <c r="Q491" i="36"/>
  <c r="M491" i="36"/>
  <c r="Q484" i="36"/>
  <c r="M484" i="36"/>
  <c r="M481" i="36"/>
  <c r="Q481" i="36"/>
  <c r="M460" i="36"/>
  <c r="Q460" i="36"/>
  <c r="M445" i="36"/>
  <c r="Q445" i="36"/>
  <c r="Q356" i="36"/>
  <c r="M356" i="36"/>
  <c r="Q524" i="36"/>
  <c r="M524" i="36"/>
  <c r="M518" i="36"/>
  <c r="Q518" i="36"/>
  <c r="M517" i="36"/>
  <c r="Q517" i="36"/>
  <c r="M512" i="36"/>
  <c r="Q512" i="36"/>
  <c r="M511" i="36"/>
  <c r="Q511" i="36"/>
  <c r="Q444" i="36"/>
  <c r="M444" i="36"/>
  <c r="Q427" i="36"/>
  <c r="M427" i="36"/>
  <c r="Q419" i="36"/>
  <c r="M419" i="36"/>
  <c r="Q416" i="36"/>
  <c r="M416" i="36"/>
  <c r="M408" i="36"/>
  <c r="Q408" i="36"/>
  <c r="M367" i="36"/>
  <c r="Q367" i="36"/>
  <c r="Q340" i="36"/>
  <c r="M340" i="36"/>
  <c r="Q338" i="36"/>
  <c r="M338" i="36"/>
  <c r="Q336" i="36"/>
  <c r="M336" i="36"/>
  <c r="Q333" i="36"/>
  <c r="M333" i="36"/>
  <c r="M328" i="36"/>
  <c r="Q328" i="36"/>
  <c r="M320" i="36"/>
  <c r="Q320" i="36"/>
  <c r="Q305" i="36"/>
  <c r="M305" i="36"/>
  <c r="Q166" i="36"/>
  <c r="M166" i="36"/>
  <c r="Q91" i="36"/>
  <c r="M91" i="36"/>
  <c r="Q30" i="36"/>
  <c r="M30" i="36"/>
  <c r="M28" i="36"/>
  <c r="Q28" i="36"/>
  <c r="M470" i="36"/>
  <c r="Q470" i="36"/>
  <c r="M450" i="36"/>
  <c r="Q450" i="36"/>
  <c r="Q446" i="36"/>
  <c r="M446" i="36"/>
  <c r="M433" i="36"/>
  <c r="Q433" i="36"/>
  <c r="Q432" i="36"/>
  <c r="M432" i="36"/>
  <c r="M426" i="36"/>
  <c r="Q426" i="36"/>
  <c r="Q402" i="36"/>
  <c r="M402" i="36"/>
  <c r="Q401" i="36"/>
  <c r="M401" i="36"/>
  <c r="M398" i="36"/>
  <c r="Q398" i="36"/>
  <c r="M397" i="36"/>
  <c r="Q397" i="36"/>
  <c r="M392" i="36"/>
  <c r="Q392" i="36"/>
  <c r="M390" i="36"/>
  <c r="Q390" i="36"/>
  <c r="Q387" i="36"/>
  <c r="M387" i="36"/>
  <c r="Q312" i="36"/>
  <c r="M312" i="36"/>
  <c r="Q288" i="36"/>
  <c r="M288" i="36"/>
  <c r="M284" i="36"/>
  <c r="Q284" i="36"/>
  <c r="M281" i="36"/>
  <c r="Q281" i="36"/>
  <c r="Q278" i="36"/>
  <c r="M278" i="36"/>
  <c r="Q266" i="36"/>
  <c r="M266" i="36"/>
  <c r="M259" i="36"/>
  <c r="Q259" i="36"/>
  <c r="M223" i="36"/>
  <c r="Q223" i="36"/>
  <c r="M207" i="36"/>
  <c r="Q207" i="36"/>
  <c r="M313" i="36"/>
  <c r="Q313" i="36"/>
  <c r="Q311" i="36"/>
  <c r="M311" i="36"/>
  <c r="Q307" i="36"/>
  <c r="M307" i="36"/>
  <c r="M298" i="36"/>
  <c r="Q298" i="36"/>
  <c r="M293" i="36"/>
  <c r="Q293" i="36"/>
  <c r="M270" i="36"/>
  <c r="Q270" i="36"/>
  <c r="Q236" i="36"/>
  <c r="M236" i="36"/>
  <c r="Q235" i="36"/>
  <c r="M235" i="36"/>
  <c r="Q234" i="36"/>
  <c r="M234" i="36"/>
  <c r="M215" i="36"/>
  <c r="Q215" i="36"/>
  <c r="Q212" i="36"/>
  <c r="M212" i="36"/>
  <c r="Q210" i="36"/>
  <c r="M210" i="36"/>
  <c r="Q202" i="36"/>
  <c r="M202" i="36"/>
  <c r="Q192" i="36"/>
  <c r="M192" i="36"/>
  <c r="M165" i="36"/>
  <c r="Q165" i="36"/>
  <c r="Q162" i="36"/>
  <c r="M162" i="36"/>
  <c r="M144" i="36"/>
  <c r="Q144" i="36"/>
  <c r="Q139" i="36"/>
  <c r="M139" i="36"/>
  <c r="M138" i="36"/>
  <c r="Q138" i="36"/>
  <c r="M132" i="36"/>
  <c r="Q132" i="36"/>
  <c r="Q124" i="36"/>
  <c r="M124" i="36"/>
  <c r="M99" i="36"/>
  <c r="Q99" i="36"/>
  <c r="M590" i="36"/>
  <c r="Q590" i="36"/>
  <c r="Q580" i="36"/>
  <c r="M580" i="36"/>
  <c r="M575" i="36"/>
  <c r="Q575" i="36"/>
  <c r="M571" i="36"/>
  <c r="Q571" i="36"/>
  <c r="M567" i="36"/>
  <c r="Q567" i="36"/>
  <c r="M555" i="36"/>
  <c r="Q555" i="36"/>
  <c r="M550" i="36"/>
  <c r="Q550" i="36"/>
  <c r="Q462" i="36"/>
  <c r="M462" i="36"/>
  <c r="M471" i="36"/>
  <c r="Q471" i="36"/>
  <c r="Q352" i="36"/>
  <c r="M352" i="36"/>
  <c r="M287" i="36"/>
  <c r="Q287" i="36"/>
  <c r="M260" i="36"/>
  <c r="Q260" i="36"/>
  <c r="Q248" i="36"/>
  <c r="M248" i="36"/>
  <c r="M134" i="36"/>
  <c r="Q134" i="36"/>
  <c r="Q213" i="36"/>
  <c r="M213" i="36"/>
  <c r="M211" i="36"/>
  <c r="Q211" i="36"/>
  <c r="M113" i="36"/>
  <c r="Q113" i="36"/>
  <c r="Q100" i="36"/>
  <c r="M100" i="36"/>
  <c r="M92" i="36"/>
  <c r="Q92" i="36"/>
  <c r="Q86" i="36"/>
  <c r="M86" i="36"/>
  <c r="Q83" i="36"/>
  <c r="M83" i="36"/>
  <c r="M82" i="36"/>
  <c r="Q82" i="36"/>
  <c r="M76" i="36"/>
  <c r="Q76" i="36"/>
  <c r="Q245" i="36"/>
  <c r="K245" i="36"/>
  <c r="N245" i="36" s="1"/>
  <c r="M243" i="36"/>
  <c r="Q243" i="36"/>
  <c r="Q241" i="36"/>
  <c r="M241" i="36"/>
  <c r="Q239" i="36"/>
  <c r="M239" i="36"/>
  <c r="M237" i="36"/>
  <c r="Q237" i="36"/>
  <c r="Q224" i="36"/>
  <c r="M224" i="36"/>
  <c r="M197" i="36"/>
  <c r="Q197" i="36"/>
  <c r="M195" i="36"/>
  <c r="Q195" i="36"/>
  <c r="Q193" i="36"/>
  <c r="M193" i="36"/>
  <c r="M180" i="36"/>
  <c r="Q180" i="36"/>
  <c r="M176" i="36"/>
  <c r="Q176" i="36"/>
  <c r="M84" i="36"/>
  <c r="Q84" i="36"/>
  <c r="M77" i="36"/>
  <c r="Q77" i="36"/>
  <c r="Q34" i="36"/>
  <c r="M34" i="36"/>
  <c r="Q21" i="36"/>
  <c r="M21" i="36"/>
  <c r="M119" i="36"/>
  <c r="Q119" i="36"/>
  <c r="Q105" i="36"/>
  <c r="M105" i="36"/>
  <c r="Q104" i="36"/>
  <c r="M104" i="36"/>
  <c r="Q46" i="36"/>
  <c r="M46" i="36"/>
  <c r="Q44" i="36"/>
  <c r="M44" i="36"/>
  <c r="M41" i="36"/>
  <c r="Q41" i="36"/>
  <c r="M32" i="36"/>
  <c r="Q32" i="36"/>
  <c r="Q29" i="36"/>
  <c r="M29" i="36"/>
  <c r="Q27" i="36"/>
  <c r="M27" i="36"/>
  <c r="M26" i="36"/>
  <c r="Q26" i="36"/>
  <c r="M23" i="36"/>
  <c r="Q23" i="36"/>
  <c r="M22" i="36"/>
  <c r="Q22" i="36"/>
  <c r="M19" i="36"/>
  <c r="Q19" i="36"/>
  <c r="Q118" i="36"/>
  <c r="M118" i="36"/>
  <c r="M85" i="36"/>
  <c r="Q85" i="36"/>
  <c r="Q69" i="36"/>
  <c r="M69" i="36"/>
  <c r="Q68" i="36"/>
  <c r="M68" i="36"/>
  <c r="Q67" i="36"/>
  <c r="M67" i="36"/>
  <c r="Q66" i="36"/>
  <c r="M66" i="36"/>
  <c r="Q64" i="36"/>
  <c r="M64" i="36"/>
  <c r="Q45" i="36"/>
  <c r="M45" i="36"/>
  <c r="M42" i="36"/>
  <c r="Q42" i="36"/>
  <c r="Q37" i="36"/>
  <c r="M37" i="36"/>
  <c r="M33" i="36"/>
  <c r="Q33" i="36"/>
  <c r="Q25" i="36"/>
  <c r="M25" i="36"/>
  <c r="M24" i="36"/>
  <c r="Q24" i="36"/>
  <c r="M20" i="36"/>
  <c r="Q20" i="36"/>
  <c r="M523" i="36"/>
  <c r="Q523" i="36"/>
  <c r="Q509" i="36"/>
  <c r="M509" i="36"/>
  <c r="M474" i="36"/>
  <c r="Q474" i="36"/>
  <c r="Q447" i="36"/>
  <c r="M447" i="36"/>
  <c r="Q441" i="36"/>
  <c r="M441" i="36"/>
  <c r="Q440" i="36"/>
  <c r="M440" i="36"/>
  <c r="Q435" i="36"/>
  <c r="M435" i="36"/>
  <c r="Q431" i="36"/>
  <c r="M431" i="36"/>
  <c r="Q430" i="36"/>
  <c r="M430" i="36"/>
  <c r="Q420" i="36"/>
  <c r="M420" i="36"/>
  <c r="M409" i="36"/>
  <c r="Q409" i="36"/>
  <c r="M368" i="36"/>
  <c r="Q368" i="36"/>
  <c r="Q342" i="36"/>
  <c r="M342" i="36"/>
  <c r="M341" i="36"/>
  <c r="Q341" i="36"/>
  <c r="Q334" i="36"/>
  <c r="M334" i="36"/>
  <c r="M329" i="36"/>
  <c r="Q329" i="36"/>
  <c r="M321" i="36"/>
  <c r="Q321" i="36"/>
  <c r="Q261" i="36"/>
  <c r="M261" i="36"/>
  <c r="Q576" i="36"/>
  <c r="M576" i="36"/>
  <c r="Q568" i="36"/>
  <c r="M568" i="36"/>
  <c r="Q551" i="36"/>
  <c r="M551" i="36"/>
  <c r="Q314" i="36"/>
  <c r="M314" i="36"/>
  <c r="Q253" i="36"/>
  <c r="M253" i="36"/>
  <c r="M244" i="36"/>
  <c r="Q244" i="36"/>
  <c r="M242" i="36"/>
  <c r="Q242" i="36"/>
  <c r="M240" i="36"/>
  <c r="Q240" i="36"/>
  <c r="M238" i="36"/>
  <c r="Q238" i="36"/>
  <c r="Q225" i="36"/>
  <c r="M225" i="36"/>
  <c r="Q198" i="36"/>
  <c r="M198" i="36"/>
  <c r="M196" i="36"/>
  <c r="Q196" i="36"/>
  <c r="Q194" i="36"/>
  <c r="M194" i="36"/>
  <c r="M181" i="36"/>
  <c r="Q181" i="36"/>
  <c r="M177" i="36"/>
  <c r="Q177" i="36"/>
  <c r="Q168" i="36"/>
  <c r="M168" i="36"/>
  <c r="Q167" i="36"/>
  <c r="M167" i="36"/>
  <c r="M163" i="36"/>
  <c r="Q163" i="36"/>
  <c r="Q145" i="36"/>
  <c r="M145" i="36"/>
  <c r="M133" i="36"/>
  <c r="Q133" i="36"/>
  <c r="M78" i="36"/>
  <c r="Q78" i="36"/>
  <c r="M173" i="36"/>
  <c r="Q173" i="36"/>
  <c r="Q169" i="36"/>
  <c r="M169" i="36"/>
  <c r="M160" i="36"/>
  <c r="Q160" i="36"/>
  <c r="Q158" i="36"/>
  <c r="M158" i="36"/>
  <c r="Q156" i="36"/>
  <c r="M156" i="36"/>
  <c r="Q154" i="36"/>
  <c r="M154" i="36"/>
  <c r="Q153" i="36"/>
  <c r="M153" i="36"/>
  <c r="M152" i="36"/>
  <c r="Q152" i="36"/>
  <c r="M151" i="36"/>
  <c r="Q151" i="36"/>
  <c r="Q150" i="36"/>
  <c r="M150" i="36"/>
  <c r="Q149" i="36"/>
  <c r="M149" i="36"/>
  <c r="M148" i="36"/>
  <c r="Q148" i="36"/>
  <c r="Q147" i="36"/>
  <c r="M147" i="36"/>
  <c r="M146" i="36"/>
  <c r="Q146" i="36"/>
  <c r="M142" i="36"/>
  <c r="Q142" i="36"/>
  <c r="Q140" i="36"/>
  <c r="M140" i="36"/>
  <c r="M130" i="36"/>
  <c r="Q130" i="36"/>
  <c r="M128" i="36"/>
  <c r="Q128" i="36"/>
  <c r="Q125" i="36"/>
  <c r="M125" i="36"/>
  <c r="Q120" i="36"/>
  <c r="M120" i="36"/>
  <c r="Q116" i="36"/>
  <c r="M116" i="36"/>
  <c r="Q112" i="36"/>
  <c r="M112" i="36"/>
  <c r="Q102" i="36"/>
  <c r="M102" i="36"/>
  <c r="Q101" i="36"/>
  <c r="M101" i="36"/>
  <c r="Q97" i="36"/>
  <c r="M97" i="36"/>
  <c r="Q93" i="36"/>
  <c r="M93" i="36"/>
  <c r="M90" i="36"/>
  <c r="Q90" i="36"/>
  <c r="Q89" i="36"/>
  <c r="M89" i="36"/>
  <c r="M88" i="36"/>
  <c r="Q88" i="36"/>
  <c r="Q81" i="36"/>
  <c r="M81" i="36"/>
  <c r="Q75" i="36"/>
  <c r="M75" i="36"/>
  <c r="M71" i="36"/>
  <c r="Q71" i="36"/>
  <c r="Q70" i="36"/>
  <c r="M70" i="36"/>
  <c r="Q63" i="36"/>
  <c r="M63" i="36"/>
  <c r="M62" i="36"/>
  <c r="Q62" i="36"/>
  <c r="M61" i="36"/>
  <c r="Q61" i="36"/>
  <c r="Q579" i="36"/>
  <c r="M579" i="36"/>
  <c r="M561" i="36"/>
  <c r="Q561" i="36"/>
  <c r="Q559" i="36"/>
  <c r="M559" i="36"/>
  <c r="M508" i="36"/>
  <c r="Q508" i="36"/>
  <c r="M505" i="36"/>
  <c r="Q505" i="36"/>
  <c r="Q557" i="36"/>
  <c r="M557" i="36"/>
  <c r="Q552" i="36"/>
  <c r="M552" i="36"/>
  <c r="Q547" i="36"/>
  <c r="M547" i="36"/>
  <c r="Q541" i="36"/>
  <c r="M541" i="36"/>
  <c r="Q534" i="36"/>
  <c r="M534" i="36"/>
  <c r="Q532" i="36"/>
  <c r="M532" i="36"/>
  <c r="M529" i="36"/>
  <c r="Q529" i="36"/>
  <c r="M506" i="36"/>
  <c r="Q506" i="36"/>
  <c r="M503" i="36"/>
  <c r="Q503" i="36"/>
  <c r="Q500" i="36"/>
  <c r="M500" i="36"/>
  <c r="M499" i="36"/>
  <c r="Q499" i="36"/>
  <c r="Q493" i="36"/>
  <c r="M493" i="36"/>
  <c r="Q490" i="36"/>
  <c r="M490" i="36"/>
  <c r="Q488" i="36"/>
  <c r="M488" i="36"/>
  <c r="Q478" i="36"/>
  <c r="M478" i="36"/>
  <c r="M473" i="36"/>
  <c r="Q473" i="36"/>
  <c r="M466" i="36"/>
  <c r="Q466" i="36"/>
  <c r="Q454" i="36"/>
  <c r="M454" i="36"/>
  <c r="M459" i="36"/>
  <c r="Q459" i="36"/>
  <c r="Q442" i="36"/>
  <c r="M442" i="36"/>
  <c r="M574" i="36"/>
  <c r="Q574" i="36"/>
  <c r="M545" i="36"/>
  <c r="Q545" i="36"/>
  <c r="Q540" i="36"/>
  <c r="M540" i="36"/>
  <c r="M539" i="36"/>
  <c r="Q539" i="36"/>
  <c r="Q469" i="36"/>
  <c r="M469" i="36"/>
  <c r="M468" i="36"/>
  <c r="Q468" i="36"/>
  <c r="Q467" i="36"/>
  <c r="M467" i="36"/>
  <c r="Q461" i="36"/>
  <c r="M461" i="36"/>
  <c r="M443" i="36"/>
  <c r="Q443" i="36"/>
  <c r="M410" i="36"/>
  <c r="Q410" i="36"/>
  <c r="Q369" i="36"/>
  <c r="M369" i="36"/>
  <c r="M330" i="36"/>
  <c r="Q330" i="36"/>
  <c r="M322" i="36"/>
  <c r="Q322" i="36"/>
  <c r="Q585" i="36"/>
  <c r="M585" i="36"/>
  <c r="Q578" i="36"/>
  <c r="M578" i="36"/>
  <c r="M569" i="36"/>
  <c r="Q569" i="36"/>
  <c r="M565" i="36"/>
  <c r="Q565" i="36"/>
  <c r="Q560" i="36"/>
  <c r="M560" i="36"/>
  <c r="Q558" i="36"/>
  <c r="M558" i="36"/>
  <c r="M553" i="36"/>
  <c r="Q553" i="36"/>
  <c r="M548" i="36"/>
  <c r="Q548" i="36"/>
  <c r="Q542" i="36"/>
  <c r="M542" i="36"/>
  <c r="M535" i="36"/>
  <c r="Q535" i="36"/>
  <c r="Q533" i="36"/>
  <c r="M533" i="36"/>
  <c r="M530" i="36"/>
  <c r="Q530" i="36"/>
  <c r="M507" i="36"/>
  <c r="Q507" i="36"/>
  <c r="M504" i="36"/>
  <c r="Q504" i="36"/>
  <c r="Q501" i="36"/>
  <c r="M501" i="36"/>
  <c r="M498" i="36"/>
  <c r="Q498" i="36"/>
  <c r="Q495" i="36"/>
  <c r="M495" i="36"/>
  <c r="Q494" i="36"/>
  <c r="M494" i="36"/>
  <c r="M492" i="36"/>
  <c r="Q492" i="36"/>
  <c r="Q489" i="36"/>
  <c r="M489" i="36"/>
  <c r="Q487" i="36"/>
  <c r="M487" i="36"/>
  <c r="M486" i="36"/>
  <c r="Q486" i="36"/>
  <c r="Q483" i="36"/>
  <c r="M483" i="36"/>
  <c r="Q482" i="36"/>
  <c r="M482" i="36"/>
  <c r="Q477" i="36"/>
  <c r="M477" i="36"/>
  <c r="M472" i="36"/>
  <c r="Q472" i="36"/>
  <c r="Q465" i="36"/>
  <c r="M465" i="36"/>
  <c r="M458" i="36"/>
  <c r="Q458" i="36"/>
  <c r="M453" i="36"/>
  <c r="Q453" i="36"/>
  <c r="Q451" i="36"/>
  <c r="M451" i="36"/>
  <c r="Q425" i="36"/>
  <c r="M425" i="36"/>
  <c r="Q423" i="36"/>
  <c r="M423" i="36"/>
  <c r="M418" i="36"/>
  <c r="Q418" i="36"/>
  <c r="Q415" i="36"/>
  <c r="M415" i="36"/>
  <c r="M407" i="36"/>
  <c r="Q407" i="36"/>
  <c r="M404" i="36"/>
  <c r="Q404" i="36"/>
  <c r="M385" i="36"/>
  <c r="Q385" i="36"/>
  <c r="Q383" i="36"/>
  <c r="M383" i="36"/>
  <c r="Q376" i="36"/>
  <c r="M376" i="36"/>
  <c r="Q374" i="36"/>
  <c r="M374" i="36"/>
  <c r="Q363" i="36"/>
  <c r="M363" i="36"/>
  <c r="M366" i="36"/>
  <c r="Q366" i="36"/>
  <c r="M359" i="36"/>
  <c r="Q359" i="36"/>
  <c r="Q351" i="36"/>
  <c r="M351" i="36"/>
  <c r="Q344" i="36"/>
  <c r="M344" i="36"/>
  <c r="Q339" i="36"/>
  <c r="M339" i="36"/>
  <c r="M337" i="36"/>
  <c r="Q337" i="36"/>
  <c r="Q335" i="36"/>
  <c r="M335" i="36"/>
  <c r="M332" i="36"/>
  <c r="Q332" i="36"/>
  <c r="M327" i="36"/>
  <c r="Q327" i="36"/>
  <c r="Q316" i="36"/>
  <c r="M316" i="36"/>
  <c r="M319" i="36"/>
  <c r="Q319" i="36"/>
  <c r="G6" i="33"/>
  <c r="H6" i="32"/>
  <c r="F6" i="33"/>
  <c r="G6" i="32"/>
  <c r="E6" i="33"/>
  <c r="AU5" i="3"/>
  <c r="E1" i="3"/>
  <c r="F6" i="32"/>
  <c r="D6" i="33"/>
  <c r="U5" i="3"/>
  <c r="AE5" i="3"/>
  <c r="E6" i="32"/>
  <c r="D5" i="3"/>
  <c r="D6" i="32"/>
  <c r="C6" i="33"/>
  <c r="AD5" i="3"/>
  <c r="C6" i="32"/>
  <c r="Q5" i="3"/>
  <c r="B5" i="3"/>
  <c r="B6" i="32"/>
  <c r="AV5" i="3"/>
  <c r="AR5" i="3"/>
  <c r="C5" i="3"/>
  <c r="P5" i="3"/>
  <c r="AA6" i="32"/>
  <c r="AB6" i="33"/>
  <c r="L209" i="36"/>
  <c r="L292" i="36"/>
  <c r="L258" i="36"/>
  <c r="L257" i="36"/>
  <c r="L303" i="36"/>
  <c r="L216" i="36"/>
  <c r="L406" i="36"/>
  <c r="L164" i="36"/>
  <c r="L346" i="36"/>
  <c r="L375" i="36"/>
  <c r="L159" i="36"/>
  <c r="L170" i="36"/>
  <c r="L417" i="36"/>
  <c r="L301" i="36"/>
  <c r="L297" i="36"/>
  <c r="L350" i="36"/>
  <c r="L206" i="36"/>
  <c r="L276" i="36"/>
  <c r="L131" i="36"/>
  <c r="L382" i="36"/>
  <c r="L186" i="36"/>
  <c r="L220" i="36"/>
  <c r="L249" i="36"/>
  <c r="L121" i="36"/>
  <c r="L296" i="36"/>
  <c r="L331" i="36"/>
  <c r="L290" i="36"/>
  <c r="L174" i="36"/>
  <c r="L250" i="36"/>
  <c r="L384" i="36"/>
  <c r="L414" i="36"/>
  <c r="L391" i="36"/>
  <c r="L373" i="36"/>
  <c r="L422" i="36"/>
  <c r="L264" i="36"/>
  <c r="L95" i="36"/>
  <c r="L286" i="36"/>
  <c r="L285" i="36"/>
  <c r="L271" i="36"/>
  <c r="L386" i="36"/>
  <c r="L294" i="36"/>
  <c r="L318" i="36"/>
  <c r="L280" i="36"/>
  <c r="L326" i="36"/>
  <c r="L315" i="36"/>
  <c r="L277" i="36"/>
  <c r="L179" i="36"/>
  <c r="L157" i="36"/>
  <c r="L178" i="36"/>
  <c r="L279" i="36"/>
  <c r="L272" i="36"/>
  <c r="L214" i="36"/>
  <c r="L217" i="36"/>
  <c r="L252" i="36"/>
  <c r="L94" i="36"/>
  <c r="L126" i="36"/>
  <c r="L302" i="36"/>
  <c r="L295" i="36"/>
  <c r="L403" i="36"/>
  <c r="L205" i="36"/>
  <c r="L219" i="36"/>
  <c r="L434" i="36"/>
  <c r="L117" i="36"/>
  <c r="L283" i="36"/>
  <c r="L343" i="36"/>
  <c r="L265" i="36"/>
  <c r="L143" i="36"/>
  <c r="L161" i="36"/>
  <c r="L362" i="36"/>
  <c r="L291" i="36"/>
  <c r="L141" i="36"/>
  <c r="L269" i="36"/>
  <c r="L389" i="36"/>
  <c r="L201" i="36"/>
  <c r="L182" i="36"/>
  <c r="L424" i="36"/>
  <c r="L282" i="36"/>
  <c r="L218" i="36"/>
  <c r="L251" i="36"/>
  <c r="L98" i="36"/>
  <c r="L358" i="36"/>
  <c r="L365" i="36"/>
  <c r="Q302" i="36" l="1"/>
  <c r="M302" i="36"/>
  <c r="M301" i="36"/>
  <c r="Q301" i="36"/>
  <c r="Q296" i="36"/>
  <c r="M296" i="36"/>
  <c r="M294" i="36"/>
  <c r="Q294" i="36"/>
  <c r="Q292" i="36"/>
  <c r="M292" i="36"/>
  <c r="Q290" i="36"/>
  <c r="M290" i="36"/>
  <c r="Q285" i="36"/>
  <c r="M285" i="36"/>
  <c r="Q282" i="36"/>
  <c r="M282" i="36"/>
  <c r="Q279" i="36"/>
  <c r="M279" i="36"/>
  <c r="Q276" i="36"/>
  <c r="M276" i="36"/>
  <c r="Q271" i="36"/>
  <c r="M271" i="36"/>
  <c r="M269" i="36"/>
  <c r="Q269" i="36"/>
  <c r="Q264" i="36"/>
  <c r="M264" i="36"/>
  <c r="M257" i="36"/>
  <c r="Q257" i="36"/>
  <c r="Q251" i="36"/>
  <c r="M251" i="36"/>
  <c r="M249" i="36"/>
  <c r="Q249" i="36"/>
  <c r="M219" i="36"/>
  <c r="Q219" i="36"/>
  <c r="Q217" i="36"/>
  <c r="M217" i="36"/>
  <c r="M216" i="36"/>
  <c r="Q216" i="36"/>
  <c r="Q214" i="36"/>
  <c r="M214" i="36"/>
  <c r="Q209" i="36"/>
  <c r="M209" i="36"/>
  <c r="Q205" i="36"/>
  <c r="M205" i="36"/>
  <c r="Q201" i="36"/>
  <c r="M201" i="36"/>
  <c r="Q186" i="36"/>
  <c r="M186" i="36"/>
  <c r="M182" i="36"/>
  <c r="Q182" i="36"/>
  <c r="Q178" i="36"/>
  <c r="M178" i="36"/>
  <c r="Q174" i="36"/>
  <c r="M174" i="36"/>
  <c r="Q170" i="36"/>
  <c r="M170" i="36"/>
  <c r="Q161" i="36"/>
  <c r="M161" i="36"/>
  <c r="Q159" i="36"/>
  <c r="M159" i="36"/>
  <c r="M157" i="36"/>
  <c r="Q157" i="36"/>
  <c r="M143" i="36"/>
  <c r="Q143" i="36"/>
  <c r="Q141" i="36"/>
  <c r="M141" i="36"/>
  <c r="M131" i="36"/>
  <c r="Q131" i="36"/>
  <c r="Q126" i="36"/>
  <c r="M126" i="36"/>
  <c r="Q121" i="36"/>
  <c r="M121" i="36"/>
  <c r="Q117" i="36"/>
  <c r="M117" i="36"/>
  <c r="Q98" i="36"/>
  <c r="M98" i="36"/>
  <c r="Q94" i="36"/>
  <c r="M94" i="36"/>
  <c r="M434" i="36"/>
  <c r="Q434" i="36"/>
  <c r="Q424" i="36"/>
  <c r="M424" i="36"/>
  <c r="Q422" i="36"/>
  <c r="M422" i="36"/>
  <c r="Q417" i="36"/>
  <c r="M417" i="36"/>
  <c r="Q414" i="36"/>
  <c r="M414" i="36"/>
  <c r="Q406" i="36"/>
  <c r="M406" i="36"/>
  <c r="Q403" i="36"/>
  <c r="M403" i="36"/>
  <c r="Q391" i="36"/>
  <c r="M391" i="36"/>
  <c r="Q389" i="36"/>
  <c r="M389" i="36"/>
  <c r="M386" i="36"/>
  <c r="Q386" i="36"/>
  <c r="M384" i="36"/>
  <c r="Q384" i="36"/>
  <c r="M382" i="36"/>
  <c r="Q382" i="36"/>
  <c r="Q375" i="36"/>
  <c r="M375" i="36"/>
  <c r="M373" i="36"/>
  <c r="Q373" i="36"/>
  <c r="Q365" i="36"/>
  <c r="M365" i="36"/>
  <c r="Q362" i="36"/>
  <c r="M362" i="36"/>
  <c r="M358" i="36"/>
  <c r="Q358" i="36"/>
  <c r="Q350" i="36"/>
  <c r="M350" i="36"/>
  <c r="Q346" i="36"/>
  <c r="M346" i="36"/>
  <c r="Q343" i="36"/>
  <c r="M343" i="36"/>
  <c r="Q331" i="36"/>
  <c r="M331" i="36"/>
  <c r="Q326" i="36"/>
  <c r="M326" i="36"/>
  <c r="Q318" i="36"/>
  <c r="M318" i="36"/>
  <c r="M315" i="36"/>
  <c r="Q315" i="36"/>
  <c r="Q303" i="36"/>
  <c r="M303" i="36"/>
  <c r="M297" i="36"/>
  <c r="Q297" i="36"/>
  <c r="M295" i="36"/>
  <c r="Q295" i="36"/>
  <c r="Q291" i="36"/>
  <c r="M291" i="36"/>
  <c r="Q286" i="36"/>
  <c r="M286" i="36"/>
  <c r="M283" i="36"/>
  <c r="Q283" i="36"/>
  <c r="Q280" i="36"/>
  <c r="M280" i="36"/>
  <c r="M277" i="36"/>
  <c r="Q277" i="36"/>
  <c r="Q272" i="36"/>
  <c r="M272" i="36"/>
  <c r="M265" i="36"/>
  <c r="Q265" i="36"/>
  <c r="M258" i="36"/>
  <c r="Q258" i="36"/>
  <c r="M252" i="36"/>
  <c r="Q252" i="36"/>
  <c r="Q250" i="36"/>
  <c r="M250" i="36"/>
  <c r="Q220" i="36"/>
  <c r="M220" i="36"/>
  <c r="M218" i="36"/>
  <c r="Q218" i="36"/>
  <c r="Q206" i="36"/>
  <c r="M206" i="36"/>
  <c r="Q179" i="36"/>
  <c r="M179" i="36"/>
  <c r="Q164" i="36"/>
  <c r="M164" i="36"/>
  <c r="M95" i="36"/>
  <c r="Q95" i="36"/>
  <c r="M245" i="36"/>
  <c r="L586" i="36" l="1"/>
  <c r="L379" i="36"/>
  <c r="L592" i="36" l="1"/>
  <c r="L587" i="36"/>
  <c r="L380" i="36"/>
  <c r="Q379" i="36"/>
  <c r="M379" i="36"/>
  <c r="M586" i="36"/>
  <c r="Q586" i="36"/>
  <c r="L593" i="36" l="1"/>
  <c r="L588" i="36"/>
  <c r="L381" i="36"/>
  <c r="M380" i="36"/>
  <c r="Q380" i="36"/>
  <c r="M587" i="36"/>
  <c r="Q587" i="36"/>
  <c r="Q592" i="36"/>
  <c r="M592" i="36"/>
  <c r="M381" i="36" l="1"/>
  <c r="Q381" i="36"/>
  <c r="M588" i="36"/>
  <c r="Q588" i="36"/>
  <c r="M593" i="36"/>
  <c r="Q593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Cantafio, Alberto (ATA)</author>
  </authors>
  <commentList>
    <comment ref="J151" authorId="0" shapeId="0" xr:uid="{3701A608-9C9F-486E-BD1D-6949051FA42C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-700 AMENDING DIFF</t>
        </r>
      </text>
    </comment>
    <comment ref="A159" authorId="0" shapeId="0" xr:uid="{EA487E4C-61F9-4D8F-8BE1-EAA7EF33C738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TAS 10.11</t>
        </r>
      </text>
    </comment>
    <comment ref="A160" authorId="0" shapeId="0" xr:uid="{41E60F77-7D79-4D52-B0B5-B9FFBCB8F56C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TAS 10.11</t>
        </r>
      </text>
    </comment>
    <comment ref="J368" authorId="0" shapeId="0" xr:uid="{0B38B0FE-7FA1-4ACA-A0E6-38CF2DE7A18B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cru24 deals from 2024, email from Jason</t>
        </r>
      </text>
    </comment>
    <comment ref="J374" authorId="0" shapeId="0" xr:uid="{B297966E-05B2-424B-9026-2C6FE9090603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AR gains on CRU24 trips, email from Juan Toche team
</t>
        </r>
      </text>
    </comment>
    <comment ref="I500" authorId="0" shapeId="0" xr:uid="{1F6C6E3A-9899-4210-8818-757B2284DC9C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Internal purchase diff vs sale to Gunvor</t>
        </r>
      </text>
    </comment>
    <comment ref="J546" authorId="0" shapeId="0" xr:uid="{8D5B36D3-9BFC-41D4-937B-33973DF0CB64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CRU24TS048 AR Receivable on Demurrage
</t>
        </r>
      </text>
    </comment>
    <comment ref="I555" authorId="0" shapeId="0" xr:uid="{6762CCAB-B1E7-440A-9864-6D4427D8717F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Internal purchase diff vs sale to Gunvor</t>
        </r>
      </text>
    </comment>
    <comment ref="I567" authorId="0" shapeId="0" xr:uid="{5DCF040C-41A7-420D-AF27-E71844500E97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Internal purchase diff vs sale to Gunvor</t>
        </r>
      </text>
    </comment>
    <comment ref="I633" authorId="0" shapeId="0" xr:uid="{D20E6F21-B6A5-4CC5-B8EF-AD704F0A345B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Internal purchase diff vs sale to Gunvor</t>
        </r>
      </text>
    </comment>
    <comment ref="I638" authorId="0" shapeId="0" xr:uid="{520BE757-CCCE-40BE-98A6-431C197B7C64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Internal purchase diff vs sale to Gunvor</t>
        </r>
      </text>
    </comment>
    <comment ref="I647" authorId="0" shapeId="0" xr:uid="{EE00661F-72BB-4C5F-98A3-5379836F6885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Internal purchase diff vs sale to Gunvor</t>
        </r>
      </text>
    </comment>
    <comment ref="I733" authorId="0" shapeId="0" xr:uid="{BB8A532C-6F84-4025-8615-C049CBEE4E69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Internal purchase diff vs sale to Gunvor</t>
        </r>
      </text>
    </comment>
    <comment ref="I738" authorId="0" shapeId="0" xr:uid="{390EB4BA-CAA6-4FEA-B574-0591E2C28B76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Internal purchase diff vs sale to Gunvor</t>
        </r>
      </text>
    </comment>
    <comment ref="J1275" authorId="0" shapeId="0" xr:uid="{03D76F73-E4AA-43FF-8341-89881C7EC173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estimated flat price position of -208x</t>
        </r>
      </text>
    </comment>
    <comment ref="J1455" authorId="0" shapeId="0" xr:uid="{8D753D9F-15AB-4A46-9861-B73ED51771C7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cru24 deals from 2024, email from Jason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Cantafio, Alberto (ATA)</author>
  </authors>
  <commentList>
    <comment ref="F394" authorId="0" shapeId="0" xr:uid="{8D14B070-A60B-47FA-AAA0-F84881BE4654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This was a freight gain for the repsol outcharter, but pnl recognized under wti-brent as it was an arb play that allowed ths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Cantafio, Alberto (ATA)</author>
  </authors>
  <commentList>
    <comment ref="C73" authorId="0" shapeId="0" xr:uid="{2272F16D-A184-40CE-9C6F-3E84D15E4343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632k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Cantafio, Alberto (ATA)</author>
  </authors>
  <commentList>
    <comment ref="AG36" authorId="0" shapeId="0" xr:uid="{F92050F1-77A4-4BF6-B073-99084F74285A}">
      <text>
        <r>
          <rPr>
            <b/>
            <sz val="9"/>
            <color indexed="81"/>
            <rFont val="Tahoma"/>
            <family val="2"/>
          </rPr>
          <t>Cantafio, Alberto (ATA):</t>
        </r>
        <r>
          <rPr>
            <sz val="9"/>
            <color indexed="81"/>
            <rFont val="Tahoma"/>
            <family val="2"/>
          </rPr>
          <t xml:space="preserve">
10/30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<sst xmlns="http://schemas.openxmlformats.org/spreadsheetml/2006/main" count="21142" uniqueCount="2272">
  <si>
    <t>Crude Trading Cargoes P&amp;L</t>
  </si>
  <si>
    <t>M1</t>
  </si>
  <si>
    <t>m2</t>
  </si>
  <si>
    <t>WTI Sprds</t>
  </si>
  <si>
    <t>Futures</t>
  </si>
  <si>
    <t>WTI</t>
  </si>
  <si>
    <t>Rdam Flat</t>
  </si>
  <si>
    <t>Brent Sprds</t>
  </si>
  <si>
    <t>Brent</t>
  </si>
  <si>
    <t>Min</t>
  </si>
  <si>
    <t>WTI-Brent</t>
  </si>
  <si>
    <t>Swaps</t>
  </si>
  <si>
    <t>Month</t>
  </si>
  <si>
    <t>Nov/Dec 25</t>
  </si>
  <si>
    <t>Expired</t>
  </si>
  <si>
    <t>DFL</t>
  </si>
  <si>
    <t>Dated</t>
  </si>
  <si>
    <t>F</t>
  </si>
  <si>
    <t>Dec/Jan 25</t>
  </si>
  <si>
    <t>Physical</t>
  </si>
  <si>
    <t>G</t>
  </si>
  <si>
    <t>Apr07-Apr11/Apr 25</t>
  </si>
  <si>
    <t>CFD</t>
  </si>
  <si>
    <t>H</t>
  </si>
  <si>
    <t>Apr14-Apr18/Apr 25</t>
  </si>
  <si>
    <t>WTI Sprds-Fly</t>
  </si>
  <si>
    <t>J</t>
  </si>
  <si>
    <t>Dec 16-20/Dec 24</t>
  </si>
  <si>
    <t>Freight-TD22</t>
  </si>
  <si>
    <t>Freight</t>
  </si>
  <si>
    <t>K</t>
  </si>
  <si>
    <t>Dec 23-27/Dec 24</t>
  </si>
  <si>
    <t>WTI-Brent - EFP</t>
  </si>
  <si>
    <t>EFP Value</t>
  </si>
  <si>
    <t>M</t>
  </si>
  <si>
    <t>Mar03-Mar07/Jan 25</t>
  </si>
  <si>
    <t>Freight-TD25</t>
  </si>
  <si>
    <t>N</t>
  </si>
  <si>
    <t>Mar17-Mar21/Jan 25</t>
  </si>
  <si>
    <t>Freight-TD7</t>
  </si>
  <si>
    <t>Q</t>
  </si>
  <si>
    <t>May19-May23/Jun 25</t>
  </si>
  <si>
    <t>U</t>
  </si>
  <si>
    <t>May19-May23/May 25</t>
  </si>
  <si>
    <t>MEH</t>
  </si>
  <si>
    <t>V</t>
  </si>
  <si>
    <t>Nov/Dec 24</t>
  </si>
  <si>
    <t>Demurrage</t>
  </si>
  <si>
    <t>X</t>
  </si>
  <si>
    <t>Dec/Jan 24</t>
  </si>
  <si>
    <t>WTI CMA Diff</t>
  </si>
  <si>
    <t>Z</t>
  </si>
  <si>
    <t>Jan/Feb 25</t>
  </si>
  <si>
    <t>Legacy 2025</t>
  </si>
  <si>
    <t>Feb/Mar 25</t>
  </si>
  <si>
    <t>Legacy 2024</t>
  </si>
  <si>
    <t>Mar/Apr 25</t>
  </si>
  <si>
    <t>Apr/May 25</t>
  </si>
  <si>
    <t>May/Jun 25</t>
  </si>
  <si>
    <t>Dec 24</t>
  </si>
  <si>
    <t>Expiry Tables</t>
  </si>
  <si>
    <t>Jan 25</t>
  </si>
  <si>
    <t>Feb 25</t>
  </si>
  <si>
    <t>Mar 25</t>
  </si>
  <si>
    <t>Apr 25</t>
  </si>
  <si>
    <t>May 25</t>
  </si>
  <si>
    <t>Oct 24</t>
  </si>
  <si>
    <t>Nov 24</t>
  </si>
  <si>
    <t>Jan 23</t>
  </si>
  <si>
    <t>Sep/Oct 24</t>
  </si>
  <si>
    <t>Jan 6-10/Jan 25</t>
  </si>
  <si>
    <t>Jan 20-24/Jan 25</t>
  </si>
  <si>
    <t>Jan27-Jan31/Jan 25</t>
  </si>
  <si>
    <t>Jun 25</t>
  </si>
  <si>
    <t>Jun/Jul 25</t>
  </si>
  <si>
    <t>Jul 25</t>
  </si>
  <si>
    <t>Jul/Aug 25</t>
  </si>
  <si>
    <t>Aug/Sep 25</t>
  </si>
  <si>
    <t>Sep/Oct 25</t>
  </si>
  <si>
    <t>Oct/Nov 25</t>
  </si>
  <si>
    <t>May05-May09/May 25</t>
  </si>
  <si>
    <t>Aug 25</t>
  </si>
  <si>
    <t>May12-May16/May 25</t>
  </si>
  <si>
    <t>May26-May30/May 25</t>
  </si>
  <si>
    <t>Jun02-Jun06/Jun 25</t>
  </si>
  <si>
    <t>Jun09-Jun13/Jun 25</t>
  </si>
  <si>
    <t>Sep 25</t>
  </si>
  <si>
    <t>Jun16-Jun20/Jun 25</t>
  </si>
  <si>
    <t>Jan 00</t>
  </si>
  <si>
    <t>Oct 25</t>
  </si>
  <si>
    <t>Nov 25</t>
  </si>
  <si>
    <t>Sep01-Sep05/Sep 25</t>
  </si>
  <si>
    <t>Sep08-Sep12/Sep 25</t>
  </si>
  <si>
    <t>Sep15-Sep19/Sep 25</t>
  </si>
  <si>
    <t>Dec 25</t>
  </si>
  <si>
    <t>Jan 26</t>
  </si>
  <si>
    <t>Active</t>
  </si>
  <si>
    <t>Jan/Feb 26</t>
  </si>
  <si>
    <t>Feb 26</t>
  </si>
  <si>
    <t>Feb/Mar 26</t>
  </si>
  <si>
    <t>Mar/Apr 26</t>
  </si>
  <si>
    <t>Jun 26</t>
  </si>
  <si>
    <t>Apr 26</t>
  </si>
  <si>
    <t>May 26</t>
  </si>
  <si>
    <t>Mar 26</t>
  </si>
  <si>
    <t>Apr/May 26</t>
  </si>
  <si>
    <t>Cargo Name</t>
  </si>
  <si>
    <t>Date</t>
  </si>
  <si>
    <t>Sub-Instrument</t>
  </si>
  <si>
    <t>Expo Type</t>
  </si>
  <si>
    <t>Quantity</t>
  </si>
  <si>
    <t>Month1</t>
  </si>
  <si>
    <t>Month2</t>
  </si>
  <si>
    <t>Price</t>
  </si>
  <si>
    <t>Mtm</t>
  </si>
  <si>
    <t>PnL</t>
  </si>
  <si>
    <t>Average</t>
  </si>
  <si>
    <t>Name</t>
  </si>
  <si>
    <t>Buy/Sell</t>
  </si>
  <si>
    <t>Average MtM</t>
  </si>
  <si>
    <t>Instrument Type</t>
  </si>
  <si>
    <t>Instrument</t>
  </si>
  <si>
    <t>Year</t>
  </si>
  <si>
    <t>Side</t>
  </si>
  <si>
    <t>Accounting</t>
  </si>
  <si>
    <t>Trade ID</t>
  </si>
  <si>
    <t>Phys Active?</t>
  </si>
  <si>
    <t>Unallocated</t>
  </si>
  <si>
    <t>Hedge</t>
  </si>
  <si>
    <t>Sell</t>
  </si>
  <si>
    <t>UnallocatedWTI SprdsHedge-11220.52</t>
  </si>
  <si>
    <t>Buy</t>
  </si>
  <si>
    <t>UnallocatedWTI Sprds-FlyHedge11220.53</t>
  </si>
  <si>
    <t>UnallocatedWTI SprdsHedge11220.194</t>
  </si>
  <si>
    <t>UnallocatedWTI Sprds-FlyHedge-11220.195</t>
  </si>
  <si>
    <t>Apr07-Apr11</t>
  </si>
  <si>
    <t>UnallocatedCFDHedge-5002.266</t>
  </si>
  <si>
    <t>Apr14-Apr18</t>
  </si>
  <si>
    <t>UnallocatedCFDHedge5001.867</t>
  </si>
  <si>
    <t>Dec 16-20</t>
  </si>
  <si>
    <t>UnallocatedCFDHedge4000.8478</t>
  </si>
  <si>
    <t>Dec 23-27</t>
  </si>
  <si>
    <t>UnallocatedCFDHedge200-0.099</t>
  </si>
  <si>
    <t>Mar03-Mar07</t>
  </si>
  <si>
    <t>UnallocatedCFDHedge-2001.3210</t>
  </si>
  <si>
    <t>Mar17-Mar21</t>
  </si>
  <si>
    <t>UnallocatedCFDHedge2000.5411</t>
  </si>
  <si>
    <t>Trafi CIF Rdam June 13-17</t>
  </si>
  <si>
    <t>May19-May23</t>
  </si>
  <si>
    <t>Trafi CIF Rdam June 13-17CFDHedge-15000.47212</t>
  </si>
  <si>
    <t>UnallocatedCFDHedge15000.47213</t>
  </si>
  <si>
    <t>UnallocatedWTI SprdsHedge-42890.5214</t>
  </si>
  <si>
    <t>Jan 1-10 EXTAP VLCC</t>
  </si>
  <si>
    <t>Jan 1-10 EXTAP VLCCWTI SprdsHedge10500.5215</t>
  </si>
  <si>
    <t>Jan 4-6 KAL Afra</t>
  </si>
  <si>
    <t>Jan 4-6 KAL AfraWTI SprdsHedge7070.5216</t>
  </si>
  <si>
    <t>Nov 19-21 Shell Rdam VLCC</t>
  </si>
  <si>
    <t>Nov 19-21 Shell Rdam VLCCWTI SprdsHedge21000.5217</t>
  </si>
  <si>
    <t>Nov 22-26 Tranmere Afra</t>
  </si>
  <si>
    <t>Nov 22-26 Tranmere AfraWTI SprdsHedge4320.5218</t>
  </si>
  <si>
    <t>UnallocatedWTI SprdsHedge-15000.1519</t>
  </si>
  <si>
    <t>CPC TAIWAN JAN 8-14</t>
  </si>
  <si>
    <t>CPC TAIWAN JAN 8-14WTI SprdsHedge-500.1520</t>
  </si>
  <si>
    <t>EXTAP Feb 15-25</t>
  </si>
  <si>
    <t>EXTAP Feb 15-25WTI SprdsHedge-240.1521</t>
  </si>
  <si>
    <t>Gunvor FOB Dec 6-7</t>
  </si>
  <si>
    <t>Gunvor FOB Dec 6-7WTI SprdsHedge680.1522</t>
  </si>
  <si>
    <t>HDO Feb 5-15</t>
  </si>
  <si>
    <t>HDO Feb 5-15WTI SprdsHedge240.1523</t>
  </si>
  <si>
    <t>Jan 1-10 EXTAP VLCCWTI SprdsHedge10500.1524</t>
  </si>
  <si>
    <t>Nov 22-26 Tranmere AfraWTI SprdsHedge4320.1525</t>
  </si>
  <si>
    <t>CPC TAIWAN FEB 20-24</t>
  </si>
  <si>
    <t>CPC TAIWAN FEB 20-24WTI SprdsHedge8000.5626</t>
  </si>
  <si>
    <t>CPC TAIWAN MARCH 11-15</t>
  </si>
  <si>
    <t>CPC TAIWAN MARCH 11-15WTI SprdsHedge20960.5627</t>
  </si>
  <si>
    <t>EXTAP Feb 15-25WTI SprdsHedge-240.5628</t>
  </si>
  <si>
    <t>Feb EFP 2</t>
  </si>
  <si>
    <t>Feb EFP 2WTI SprdsHedge7000.5629</t>
  </si>
  <si>
    <t>HDO Feb 5-15WTI SprdsHedge470.5630</t>
  </si>
  <si>
    <t>Jan 4-6 KAL AfraWTI SprdsHedge350.5631</t>
  </si>
  <si>
    <t>Mitsui CIF Rdam Jan 27-29</t>
  </si>
  <si>
    <t>Mitsui CIF Rdam Jan 27-29WTI SprdsHedge7350.5632</t>
  </si>
  <si>
    <t>UnallocatedWTI SprdsHedge-43890.5633</t>
  </si>
  <si>
    <t>BPCL DES India March 16-22</t>
  </si>
  <si>
    <t>BPCL DES India March 16-22WTI SprdsHedge20790.4934</t>
  </si>
  <si>
    <t>CIF RDAM Jan 12-14 Load (BP)</t>
  </si>
  <si>
    <t>CIF RDAM Jan 12-14 Load (BP)WTI SprdsHedge7040.4935</t>
  </si>
  <si>
    <t>CPC TAIWAN MARCH 11-15WTI SprdsHedge20960.4936</t>
  </si>
  <si>
    <t>HDO April 12-22 25</t>
  </si>
  <si>
    <t>HDO April 12-22 25WTI SprdsHedge680.4937</t>
  </si>
  <si>
    <t>Jan 4-6 KAL AfraWTI SprdsHedge-7000.4938</t>
  </si>
  <si>
    <t>Mitsui CIF Rdam Jan 27-29WTI SprdsHedge7350.4939</t>
  </si>
  <si>
    <t>UnallocatedWTI SprdsHedge-49820.4940</t>
  </si>
  <si>
    <t>CPC TAIWAN APR 23-27</t>
  </si>
  <si>
    <t>CPC TAIWAN APR 23-27WTI SprdsHedge21000.1541</t>
  </si>
  <si>
    <t>Gunvor FOB Feb 23-24</t>
  </si>
  <si>
    <t>Gunvor FOB Feb 23-24WTI SprdsHedge7000.1542</t>
  </si>
  <si>
    <t>HDO April 12-22 25WTI SprdsHedge680.1543</t>
  </si>
  <si>
    <t>UnallocatedWTI SprdsHedge-35680.1544</t>
  </si>
  <si>
    <t>Vitol FOB March Bookout</t>
  </si>
  <si>
    <t>Vitol FOB March BookoutWTI SprdsHedge7000.1545</t>
  </si>
  <si>
    <t>EXTAP CIF Rotts Apr 20-24</t>
  </si>
  <si>
    <t>EXTAP CIF Rotts Apr 20-24WTI SprdsHedge-3180.2546</t>
  </si>
  <si>
    <t>UnallocatedWTI SprdsHedge3180.2547</t>
  </si>
  <si>
    <t>EXTAP CIF Rotts Apr 20-24WTI SprdsHedge-5000.6748</t>
  </si>
  <si>
    <t>UnallocatedWTI SprdsHedge5000.6749</t>
  </si>
  <si>
    <t>Jan 4-6 KAL AfraBrent SprdsHedge7070.3550</t>
  </si>
  <si>
    <t>Nov 19-21 Shell Rdam VLCCBrent SprdsHedge21000.3551</t>
  </si>
  <si>
    <t>UnallocatedBrent SprdsHedge-28070.3552</t>
  </si>
  <si>
    <t>CPC TAIWAN FEB 20-24Brent SprdsHedge-13831.153</t>
  </si>
  <si>
    <t>CPC TAIWAN JAN 8-14Brent SprdsHedge20501.154</t>
  </si>
  <si>
    <t>Dec 15-25 EXTAP VLCC</t>
  </si>
  <si>
    <t>Dec 15-25 EXTAP VLCCBrent SprdsHedge20831.155</t>
  </si>
  <si>
    <t>Jan 1-10 EXTAP VLCCBrent SprdsHedge20501.156</t>
  </si>
  <si>
    <t>UnallocatedBrent SprdsHedge-48001.157</t>
  </si>
  <si>
    <t>CPC TAIWAN FEB 20-24Brent SprdsHedge13000.458</t>
  </si>
  <si>
    <t>EXTAP Feb 15-25Brent SprdsHedge-20470.459</t>
  </si>
  <si>
    <t>HDO Feb 5-15Brent SprdsHedge21470.460</t>
  </si>
  <si>
    <t>Jan 1-10 EXTAP VLCCBrent SprdsHedge20500.461</t>
  </si>
  <si>
    <t>Jan 4-6 KAL AfraBrent SprdsHedge7350.462</t>
  </si>
  <si>
    <t>UnallocatedBrent SprdsHedge-41850.463</t>
  </si>
  <si>
    <t>BPCL DES India March 16-22Brent SprdsHedge20791.0964</t>
  </si>
  <si>
    <t>CPC TAIWAN APR 23-27Brent SprdsHedge-261.0965</t>
  </si>
  <si>
    <t>CPC TAIWAN MARCH 11-15Brent SprdsHedge20961.0966</t>
  </si>
  <si>
    <t>EXTAP Feb 15-25Brent SprdsHedge20761.0967</t>
  </si>
  <si>
    <t>UnallocatedBrent SprdsHedge-62251.0968</t>
  </si>
  <si>
    <t>BPCL DES India March 16-22Brent SprdsHedge20790.3769</t>
  </si>
  <si>
    <t>CPC TAIWAN APR 23-27Brent SprdsHedge16000.3770</t>
  </si>
  <si>
    <t>HDO April 12-22 25Brent SprdsHedge680.3771</t>
  </si>
  <si>
    <t>UnallocatedBrent SprdsHedge-37470.3772</t>
  </si>
  <si>
    <t>Dec EFP 2</t>
  </si>
  <si>
    <t>Dec EFP 2WTI-BrentHedge-300-3.973</t>
  </si>
  <si>
    <t>Jan 4-6 KAL AfraWTI-BrentHedge707-3.974</t>
  </si>
  <si>
    <t>Nov 19-21 Shell Rdam VLCCWTI-BrentHedge2100-3.975</t>
  </si>
  <si>
    <t>UnallocatedWTI-BrentHedge-2507-3.976</t>
  </si>
  <si>
    <t>CPC TAIWAN JAN 8-14WTI-BrentHedge-50-4.9477</t>
  </si>
  <si>
    <t>Dec EFP 2WTI-BrentHedge300-4.9478</t>
  </si>
  <si>
    <t>Dec EFP 3</t>
  </si>
  <si>
    <t>Dec EFP 3WTI-BrentHedge700-4.9479</t>
  </si>
  <si>
    <t>FOB Shell Nov 13-15</t>
  </si>
  <si>
    <t>FOB Shell Nov 13-15WTI-BrentHedge700-4.9480</t>
  </si>
  <si>
    <t>Jan 1-10 EXTAP VLCCWTI-BrentHedge1750-4.9481</t>
  </si>
  <si>
    <t>Nov 22-26 Tranmere AfraWTI-BrentHedge-268-4.9482</t>
  </si>
  <si>
    <t>UnallocatedWTI-BrentHedge-3132-4.9483</t>
  </si>
  <si>
    <t>CPC TAIWAN FEB 20-24WTI-BrentHedge1300-3.484</t>
  </si>
  <si>
    <t>EXTAP Feb 15-25WTI-BrentHedge-24-3.485</t>
  </si>
  <si>
    <t>Feb EFP 1</t>
  </si>
  <si>
    <t>Feb EFP 1WTI-BrentHedge700-3.486</t>
  </si>
  <si>
    <t>Feb EFP 2WTI-BrentHedge700-3.487</t>
  </si>
  <si>
    <t>Feb EFP 3</t>
  </si>
  <si>
    <t>Feb EFP 3WTI-BrentHedge707-3.488</t>
  </si>
  <si>
    <t>Gunvor FOB Dec 6-7WTI-BrentHedge700-3.489</t>
  </si>
  <si>
    <t>HDO Feb 5-15WTI-BrentHedge47-3.490</t>
  </si>
  <si>
    <t>Jan 4-6 KAL AfraWTI-BrentHedge735-3.491</t>
  </si>
  <si>
    <t>UnallocatedWTI-BrentHedge-4865-3.492</t>
  </si>
  <si>
    <t>BPCL DES India March 16-22WTI-BrentHedge2079-4.2393</t>
  </si>
  <si>
    <t>CIF RDAM Jan 12-14 Load (BP)WTI-BrentHedge704-4.2394</t>
  </si>
  <si>
    <t>CPC TAIWAN MARCH 11-15WTI-BrentHedge2096-4.2395</t>
  </si>
  <si>
    <t>Mitsui CIF Rdam Jan 27-29WTI-BrentHedge735-4.2396</t>
  </si>
  <si>
    <t>UnallocatedWTI-BrentHedge-5614-4.2397</t>
  </si>
  <si>
    <t>HDO April 12-22 25WTI-BrentHedge68-3.4298</t>
  </si>
  <si>
    <t>UnallocatedWTI-BrentHedge-68-3.4299</t>
  </si>
  <si>
    <t>Feb EFP 4</t>
  </si>
  <si>
    <t>Feb EFP 4WTI-BrentHedge700-3.26100</t>
  </si>
  <si>
    <t>UnallocatedWTI-BrentHedge-700-3.26101</t>
  </si>
  <si>
    <t>Vitol FOB March BookoutWTI-BrentHedge300-3.26102</t>
  </si>
  <si>
    <t>UnallocatedWTI-BrentHedge-300-3.26103</t>
  </si>
  <si>
    <t>Oct 27-29 KAL Afra</t>
  </si>
  <si>
    <t>Expo</t>
  </si>
  <si>
    <t>Oct 27-29 KAL AfraDFLExpo-7000.27104</t>
  </si>
  <si>
    <t>UnallocatedDFLExpo-1971.04105</t>
  </si>
  <si>
    <t>UnallocatedDFLExpo-46830.82106</t>
  </si>
  <si>
    <t>Jan 4-6 KAL AfraDFLHedge2931.04107</t>
  </si>
  <si>
    <t>Nov 19-21 Shell Rdam VLCCDFLHedge-21001.04108</t>
  </si>
  <si>
    <t>Nov 22-26 Tranmere AfraDFLHedge-6901.04109</t>
  </si>
  <si>
    <t>UnallocatedDFLHedge24971.04110</t>
  </si>
  <si>
    <t>CPC TAIWAN JAN 8-14DFLHedge-20500.82111</t>
  </si>
  <si>
    <t>Dec 15-25 EXTAP VLCCDFLHedge-20830.82112</t>
  </si>
  <si>
    <t>EOY Flattening Out</t>
  </si>
  <si>
    <t>EOY Flattening OutDFLHedge00.82113</t>
  </si>
  <si>
    <t>UnallocatedDFLHedge41330.82114</t>
  </si>
  <si>
    <t>CIF RDAM Jan 12-14 Load (BP)DFLHedge-7040.93115</t>
  </si>
  <si>
    <t>CPC TAIWAN FEB 20-24DFLHedge-20000.93116</t>
  </si>
  <si>
    <t>Jan 1-10 EXTAP VLCCDFLHedge-20690.93117</t>
  </si>
  <si>
    <t>Jan 4-6 KAL AfraDFLHedge-7350.93118</t>
  </si>
  <si>
    <t>Mitsui CIF Rdam Jan 27-29DFLHedge-7350.93119</t>
  </si>
  <si>
    <t>UnallocatedDFLHedge62430.93120</t>
  </si>
  <si>
    <t>CPC TAIWAN MARCH 11-15DFLHedge-15960.22121</t>
  </si>
  <si>
    <t>EXTAP Feb 15-25DFLHedge-20760.22122</t>
  </si>
  <si>
    <t>UnallocatedDFLHedge36720.22123</t>
  </si>
  <si>
    <t>Jan 4-6 KAL AfraBrent SprdsExpo-7070.35124</t>
  </si>
  <si>
    <t>Dec 15-25 EXTAP VLCCBrent SprdsExpo-20831.1125</t>
  </si>
  <si>
    <t>Nov 19-21 Shell Rdam VLCCBrent SprdsExpo-21000.35126</t>
  </si>
  <si>
    <t>Jan 4-6 KAL AfraDFLExpo7071.04127</t>
  </si>
  <si>
    <t>Dec 15-25 EXTAP VLCCDFLExpo20830.82128</t>
  </si>
  <si>
    <t>Nov 19-21 Shell Rdam VLCCDFLExpo21001.04129</t>
  </si>
  <si>
    <t>Jan 4-6 KAL AfraWTI SprdsExpo-7070.52130</t>
  </si>
  <si>
    <t>Nov 19-21 Shell Rdam VLCCWTI SprdsExpo-21000.52131</t>
  </si>
  <si>
    <t>Jan 4-6 KAL AfraWTI-BrentExpo-707-3.9132</t>
  </si>
  <si>
    <t>Nov 19-21 Shell Rdam VLCCWTI-BrentExpo-2100-3.9133</t>
  </si>
  <si>
    <t>Jan 4-6 KAL AfraPhysicalExpo7071.4134</t>
  </si>
  <si>
    <t>Nov 19-21 Shell Rdam VLCCPhysicalExpo21002.45135</t>
  </si>
  <si>
    <t>Spec</t>
  </si>
  <si>
    <t/>
  </si>
  <si>
    <t>Nov 22-26 Tranmere AfraDFLExpo6901.04137</t>
  </si>
  <si>
    <t>Nov 22-26 Tranmere AfraFreight-TD25Expo-690166138</t>
  </si>
  <si>
    <t>Nov 22-26 Tranmere AfraFreight-TD25Expo690166139</t>
  </si>
  <si>
    <t>Nov 22-26 Tranmere AfraPhysicalExpo-6901.75140</t>
  </si>
  <si>
    <t>Nov 22-26 Tranmere AfraWTI SprdsExpo-6900.52141</t>
  </si>
  <si>
    <t>Nov 22-26 Tranmere AfraWTI SprdsExpo-6900.15142</t>
  </si>
  <si>
    <t>Nov 22-26 Tranmere AfraWTI-BrentExpo-690-4.94143</t>
  </si>
  <si>
    <t>Jan 1-10 EXTAP VLCCBrent SprdsExpo-20501.1144</t>
  </si>
  <si>
    <t>Jan 1-10 EXTAP VLCCBrent SprdsExpo-20500.4145</t>
  </si>
  <si>
    <t>Jan 1-10 EXTAP VLCCDFLExpo20690.93146</t>
  </si>
  <si>
    <t>Jan 1-10 EXTAP VLCCPhysicalExpo20693.6147</t>
  </si>
  <si>
    <t>Jan 1-10 EXTAP VLCCWTI SprdsExpo-20500.52148</t>
  </si>
  <si>
    <t>Jan 1-10 EXTAP VLCCWTI SprdsExpo-20500.15149</t>
  </si>
  <si>
    <t>Jan 1-10 EXTAP VLCCWTI-BrentExpo-2050-4.94150</t>
  </si>
  <si>
    <t>Jan 1-10 EXTAP VLCCPhysicalExpo0151</t>
  </si>
  <si>
    <t>Jan 4-6 KAL AfraDFLHedge-5001.04152</t>
  </si>
  <si>
    <t>Oct 27-29 KAL AfraDFLExpo7000.27153</t>
  </si>
  <si>
    <t>Nov 22-26 Tranmere AfraWTI-BrentHedge700-4.94154</t>
  </si>
  <si>
    <t>Dec EFP 1</t>
  </si>
  <si>
    <t>Dec EFP 1WTI-BrentExpo-700-3.9155</t>
  </si>
  <si>
    <t>Dec EFP 2WTI-BrentExpo-700-3.9156</t>
  </si>
  <si>
    <t>Dec EFP 3WTI-BrentExpo-700-3.9157</t>
  </si>
  <si>
    <t>Jan 1-10 EXTAP VLCCWTI-BrentHedge300-4.94158</t>
  </si>
  <si>
    <t>UnallocatedWTI SprdsHedge20000.52159</t>
  </si>
  <si>
    <t>Jan 1-10 EXTAP VLCCWTI SprdsHedge10000.52160</t>
  </si>
  <si>
    <t>Jan 1-10 EXTAP VLCCWTI SprdsHedge10000.15161</t>
  </si>
  <si>
    <t>UnallocatedWTI-BrentHedge2000-3.9162</t>
  </si>
  <si>
    <t>Jan 1-10 EXTAP VLCCWTI-BrentHedge-4.94163</t>
  </si>
  <si>
    <t>Nov 22-26 Tranmere AfraWTI SprdsHedge2580.52164</t>
  </si>
  <si>
    <t>Nov 22-26 Tranmere AfraWTI SprdsHedge2580.15165</t>
  </si>
  <si>
    <t>UnallocatedWTI SprdsHedge8000.52166</t>
  </si>
  <si>
    <t>UnallocatedWTI SprdsHedge15530.52167</t>
  </si>
  <si>
    <t>UnallocatedWTI SprdsHedge-640.52168</t>
  </si>
  <si>
    <t>Nov 22-26 Tranmere AfraWTI-BrentHedge258-4.94169</t>
  </si>
  <si>
    <t>Jan 4-6 KAL AfraDFLHedge-5001.04170</t>
  </si>
  <si>
    <t>UnallocatedDFLHedge-4001.04171</t>
  </si>
  <si>
    <t>UnallocatedDFLHedge-1000.82172</t>
  </si>
  <si>
    <t>UnallocatedDFLHedge-1000.93173</t>
  </si>
  <si>
    <t>CPC TAIWAN JAN 8-14Brent SprdsExpo-20501.1174</t>
  </si>
  <si>
    <t>CPC TAIWAN JAN 8-14DFLExpo20500.82175</t>
  </si>
  <si>
    <t>CPC TAIWAN JAN 8-14Freight-TD22Expo08400176</t>
  </si>
  <si>
    <t>CPC TAIWAN JAN 8-14PhysicalExpo20502.36177</t>
  </si>
  <si>
    <t>CPC TAIWAN JAN 8-14WTI SprdsExpo-20500.15178</t>
  </si>
  <si>
    <t>Dec EFP 2WTI-BrentHedge300-3.9179</t>
  </si>
  <si>
    <t>CPC TAIWAN JAN 8-14WTI-BrentExpo-2050-4.94180</t>
  </si>
  <si>
    <t>UnallocatedDFLHedge-3001.04181</t>
  </si>
  <si>
    <t>UnallocatedDFLHedge-10001.04182</t>
  </si>
  <si>
    <t>UnallocatedDFLHedge10000.82183</t>
  </si>
  <si>
    <t>CPC TAIWAN JAN 8-14WTI SprdsHedge21000.15184</t>
  </si>
  <si>
    <t>CPC TAIWAN JAN 8-14WTI-BrentHedge2100-4.94185</t>
  </si>
  <si>
    <t>Dec EFP 1Freight-TD25Expo0126.5186</t>
  </si>
  <si>
    <t>Dec EFP 2Freight-TD25Expo0135187</t>
  </si>
  <si>
    <t>Dec EFP 3Freight-TD25Expo0130188</t>
  </si>
  <si>
    <t>Dec EFP 1Freight-TD7Expo700128189</t>
  </si>
  <si>
    <t>Dec EFP 2Freight-TD7Expo700128190</t>
  </si>
  <si>
    <t>Dec EFP 3Freight-TD7Expo700128191</t>
  </si>
  <si>
    <t>Dec EFP 3Freight-TD7Hedge-2100128192</t>
  </si>
  <si>
    <t>UnallocatedWTI SprdsHedge10000.15193</t>
  </si>
  <si>
    <t>FOB Shell Nov 13-15WTI SprdsExpo-7000.15194</t>
  </si>
  <si>
    <t>UnallocatedWTI-BrentHedge1000-4.94195</t>
  </si>
  <si>
    <t>FOB Shell Nov 13-15WTI-BrentExpo-700-4.94196</t>
  </si>
  <si>
    <t>FOB Shell Nov 13-15WTI SprdsExpo7000.15197</t>
  </si>
  <si>
    <t>UnallocatedDFLHedge-2001.04198</t>
  </si>
  <si>
    <t>Dec EFP 1WTI-BrentHedge700-3.9199</t>
  </si>
  <si>
    <t>Dec EFP 1WTI-BrentHedge-700-4.94200</t>
  </si>
  <si>
    <t>Dec EFP 2WTI-BrentHedge700-3.9201</t>
  </si>
  <si>
    <t>Dec EFP 2WTI-BrentHedge-700-4.94202</t>
  </si>
  <si>
    <t>Dec EFP 3WTI-BrentHedge700-3.9203</t>
  </si>
  <si>
    <t>Dec EFP 3WTI-BrentHedge-700-4.94204</t>
  </si>
  <si>
    <t>UnallocatedWTI-BrentHedge507-3.9205</t>
  </si>
  <si>
    <t>UnallocatedBrent SprdsExpo28070.35206</t>
  </si>
  <si>
    <t>UnallocatedDFLHedge-4001.04207</t>
  </si>
  <si>
    <t>UnallocatedDFLHedge-3500.82208</t>
  </si>
  <si>
    <t>EXTAP Feb 15-25Freight-TD22Expo07350209</t>
  </si>
  <si>
    <t>EXTAP Feb 15-25PhysicalExpo20762.71210</t>
  </si>
  <si>
    <t>EXTAP Feb 15-25WTI SprdsExpo-20760.15211</t>
  </si>
  <si>
    <t>EXTAP Feb 15-25WTI SprdsExpo-20760.56212</t>
  </si>
  <si>
    <t>EXTAP Feb 15-25WTI-BrentExpo-2076-3.4213</t>
  </si>
  <si>
    <t>EXTAP Feb 15-25Brent SprdsExpo-20760.4214</t>
  </si>
  <si>
    <t>EXTAP Feb 15-25Brent SprdsExpo-20761.09215</t>
  </si>
  <si>
    <t>EXTAP Feb 15-25DFLExpo20760.22216</t>
  </si>
  <si>
    <t>EXTAP Feb 15-25WTI SprdsHedge21000.15217</t>
  </si>
  <si>
    <t>EXTAP Feb 15-25WTI SprdsHedge21000.56218</t>
  </si>
  <si>
    <t>EXTAP Feb 15-25WTI-BrentHedge2100-3.4219</t>
  </si>
  <si>
    <t>EXTAP Feb 15-25Brent SprdsHedge21230.4220</t>
  </si>
  <si>
    <t>HDO Feb 5-15Freight-TD22Expo07100221</t>
  </si>
  <si>
    <t>HDO Feb 5-15PhysicalExpo21474.6222</t>
  </si>
  <si>
    <t>HDO Feb 5-15WTI SprdsExpo-21470.15223</t>
  </si>
  <si>
    <t>HDO Feb 5-15WTI SprdsExpo-21470.56224</t>
  </si>
  <si>
    <t>HDO Feb 5-15WTI-BrentExpo-2147-3.4225</t>
  </si>
  <si>
    <t>HDO Feb 5-15Brent SprdsExpo-21470.4226</t>
  </si>
  <si>
    <t>UnallocatedBrent SprdsHedge20001.1227</t>
  </si>
  <si>
    <t>HDO Feb 5-15WTI SprdsHedge21230.15228</t>
  </si>
  <si>
    <t>HDO Feb 5-15WTI SprdsHedge21000.56229</t>
  </si>
  <si>
    <t>HDO Feb 5-15WTI-BrentHedge2100-3.4230</t>
  </si>
  <si>
    <t>UnallocatedWTI SprdsExpo5000.15231</t>
  </si>
  <si>
    <t>UnallocatedBrent SprdsHedge13001.1232</t>
  </si>
  <si>
    <t>UnallocatedBrent SprdsHedge5001.1233</t>
  </si>
  <si>
    <t>UnallocatedBrent SprdsHedge5000.4234</t>
  </si>
  <si>
    <t>Gunvor FOB Dec 6-7WTI SprdsExpo-7000.15235</t>
  </si>
  <si>
    <t>Gunvor FOB Dec 6-7WTI SprdsExpo-7000.56236</t>
  </si>
  <si>
    <t>Gunvor FOB Dec 6-7WTI-BrentExpo-700-3.4237</t>
  </si>
  <si>
    <t>Dec EFP 1WTI-BrentHedge700-4.94238</t>
  </si>
  <si>
    <t>EXTAP Feb 15-25Brent SprdsExpo20000.4239</t>
  </si>
  <si>
    <t>Gunvor FOB Dec 6-7WTI SprdsExpo6320.15240</t>
  </si>
  <si>
    <t>Gunvor FOB Dec 6-7WTI SprdsExpo7000.56241</t>
  </si>
  <si>
    <t>Equinor FOB Dec 7-8</t>
  </si>
  <si>
    <t>Equinor FOB Dec 7-8WTI SprdsExpo-7000.15242</t>
  </si>
  <si>
    <t>Equinor FOB Dec 7-8WTI SprdsExpo-7000.56243</t>
  </si>
  <si>
    <t>Equinor FOB Dec 7-8WTI-BrentExpo-700-3.4244</t>
  </si>
  <si>
    <t>Equinor FOB Dec 7-8PhysicalExpo7001.1245</t>
  </si>
  <si>
    <t>Dec EFP 2WTI-BrentHedge200-4.94246</t>
  </si>
  <si>
    <t>Dec EFP 2WTI-BrentHedge200-4.94247</t>
  </si>
  <si>
    <t>Equinor FOB Dec 7-8WTI SprdsHedge7000.15248</t>
  </si>
  <si>
    <t>Equinor FOB Dec 7-8WTI SprdsHedge7000.56249</t>
  </si>
  <si>
    <t>Equinor FOB Dec 7-8WTI-BrentHedge700-3.4250</t>
  </si>
  <si>
    <t>CPC TAIWAN FEB 20-24WTI SprdsHedge5000.56251</t>
  </si>
  <si>
    <t>CPC TAIWAN FEB 20-24Freight-TD22Expo07400252</t>
  </si>
  <si>
    <t>CPC TAIWAN FEB 20-24PhysicalExpo20002.1253</t>
  </si>
  <si>
    <t>CPC TAIWAN FEB 20-24WTI SprdsExpo-20000.56254</t>
  </si>
  <si>
    <t>CPC TAIWAN FEB 20-24WTI-BrentExpo-2000-3.4255</t>
  </si>
  <si>
    <t>CPC TAIWAN FEB 20-24Brent SprdsExpo-20000.4256</t>
  </si>
  <si>
    <t>CPC TAIWAN FEB 20-24DFLExpo20000.93257</t>
  </si>
  <si>
    <t>UnallocatedWTI-BrentHedge300-4.94258</t>
  </si>
  <si>
    <t>UnallocatedWTI-BrentHedge300-4.94259</t>
  </si>
  <si>
    <t>UnallocatedWTI-BrentHedge200-4.94260</t>
  </si>
  <si>
    <t>UnallocatedWTI-BrentHedge200-4.94261</t>
  </si>
  <si>
    <t>UnallocatedWTI-BrentHedge200-4.94262</t>
  </si>
  <si>
    <t>UnallocatedBrent SprdsHedge10001.1263</t>
  </si>
  <si>
    <t>CPC TAIWAN FEB 20-24WTI SprdsHedge7000.56264</t>
  </si>
  <si>
    <t>CPC TAIWAN FEB 20-24WTI-BrentHedge700-3.4265</t>
  </si>
  <si>
    <t>CPC TAIWAN FEB 20-24Brent SprdsHedge7000.4266</t>
  </si>
  <si>
    <t>UnallocatedWTI-BrentHedge300-4.94267</t>
  </si>
  <si>
    <t>UnallocatedWTI-BrentHedge300-4.94268</t>
  </si>
  <si>
    <t>UnallocatedWTI-BrentHedge332-4.94269</t>
  </si>
  <si>
    <t>CPC TAIWAN FEB 20-24Brent SprdsExpo13831.1270</t>
  </si>
  <si>
    <t>UnallocatedCFDHedge-4000.847271</t>
  </si>
  <si>
    <t>UnallocatedCFDHedge-200-0.09272</t>
  </si>
  <si>
    <t>UnallocatedWTI SprdsHedge15000.56273</t>
  </si>
  <si>
    <t>UnallocatedWTI SprdsHedge15000.49274</t>
  </si>
  <si>
    <t>UnallocatedBrent SprdsHedge15000.4275</t>
  </si>
  <si>
    <t>UnallocatedBrent SprdsHedge15001.09276</t>
  </si>
  <si>
    <t>UnallocatedWTI-BrentHedge1000-3.4277</t>
  </si>
  <si>
    <t>Jan 4-6 KAL AfraPhysicalExpo735-1.2278</t>
  </si>
  <si>
    <t>Jan 4-6 KAL AfraWTI SprdsExpo-7350.56279</t>
  </si>
  <si>
    <t>Jan 4-6 KAL AfraWTI-BrentExpo-735-3.4280</t>
  </si>
  <si>
    <t>Jan 4-6 KAL AfraBrent SprdsExpo-7350.4281</t>
  </si>
  <si>
    <t>Jan 4-6 KAL AfraDFLExpo7350.93282</t>
  </si>
  <si>
    <t>Jan 4-6 KAL AfraWTI SprdsHedge7000.56283</t>
  </si>
  <si>
    <t>Jan 4-6 KAL AfraWTI SprdsHedge7000.49284</t>
  </si>
  <si>
    <t>UnallocatedWTI SprdsHedge5000.56285</t>
  </si>
  <si>
    <t>UnallocatedWTI SprdsHedge7000.56286</t>
  </si>
  <si>
    <t>UnallocatedWTI SprdsHedge7000.49287</t>
  </si>
  <si>
    <t>UnallocatedWTI SprdsHedge5000.56288</t>
  </si>
  <si>
    <t>UnallocatedWTI SprdsHedge5000.49289</t>
  </si>
  <si>
    <t>UnallocatedWTI SprdsHedge5000.56290</t>
  </si>
  <si>
    <t>UnallocatedWTI SprdsHedge5000.49291</t>
  </si>
  <si>
    <t>UnallocatedBrent SprdsHedge5000.4292</t>
  </si>
  <si>
    <t>UnallocatedBrent SprdsHedge5000.4293</t>
  </si>
  <si>
    <t>UnallocatedDFLHedge-7500.93294</t>
  </si>
  <si>
    <t>Jan 6-10</t>
  </si>
  <si>
    <t>UnallocatedCFDHedge5000.99295</t>
  </si>
  <si>
    <t>Jan 20-24</t>
  </si>
  <si>
    <t>UnallocatedCFDHedge-5001.43296</t>
  </si>
  <si>
    <t>UnallocatedDFLHedge-10000.93297</t>
  </si>
  <si>
    <t>UnallocatedDFLHedge10000.22298</t>
  </si>
  <si>
    <t>Mitsui CIF Rdam Jan 27-29PhysicalExpo735-1.45299</t>
  </si>
  <si>
    <t>Mitsui CIF Rdam Jan 27-29WTI SprdsExpo-7350.56300</t>
  </si>
  <si>
    <t>Mitsui CIF Rdam Jan 27-29WTI SprdsExpo-7350.49301</t>
  </si>
  <si>
    <t>Mitsui CIF Rdam Jan 27-29WTI-BrentExpo-735-4.23302</t>
  </si>
  <si>
    <t>Mitsui CIF Rdam Jan 27-29DFLExpo7350.93303</t>
  </si>
  <si>
    <t>Mitsui CIF Rdam Jan 27-29Freight-TD25Expo0127.5304</t>
  </si>
  <si>
    <t>CPC TAIWAN MARCH 11-15Freight-TD22Expo06500305</t>
  </si>
  <si>
    <t>CPC TAIWAN MARCH 11-15PhysicalExpo2096-1.65306</t>
  </si>
  <si>
    <t>CPC TAIWAN MARCH 11-15WTI SprdsExpo-20960.56307</t>
  </si>
  <si>
    <t>CPC TAIWAN MARCH 11-15WTI SprdsExpo-20960.49308</t>
  </si>
  <si>
    <t>CPC TAIWAN MARCH 11-15WTI-BrentExpo-2096-4.23309</t>
  </si>
  <si>
    <t>CPC TAIWAN MARCH 11-15Brent SprdsExpo-20961.09310</t>
  </si>
  <si>
    <t>CPC TAIWAN MARCH 11-15DFLExpo20960.22311</t>
  </si>
  <si>
    <t>Feb EFP 1PhysicalExpo7001312</t>
  </si>
  <si>
    <t>Feb EFP 1Freight-TD25Expo0152.5313</t>
  </si>
  <si>
    <t>Feb EFP 1Freight-TD7Expo700109314</t>
  </si>
  <si>
    <t>Feb EFP 1WTI SprdsExpo-7000.56315</t>
  </si>
  <si>
    <t>Feb EFP 1WTI-BrentExpo-700-3.4316</t>
  </si>
  <si>
    <t>Feb EFP 2PhysicalExpo7001317</t>
  </si>
  <si>
    <t>Feb EFP 2Freight-TD25Expo0129.5318</t>
  </si>
  <si>
    <t>Feb EFP 2Freight-TD7Expo700109319</t>
  </si>
  <si>
    <t>Feb EFP 2WTI SprdsExpo-7000.56320</t>
  </si>
  <si>
    <t>Feb EFP 2WTI-BrentExpo-700-3.4321</t>
  </si>
  <si>
    <t>Feb EFP 3PhysicalExpo7071.55322</t>
  </si>
  <si>
    <t>Feb EFP 3Freight-TD25Expo-707137.5323</t>
  </si>
  <si>
    <t>Feb EFP 3Freight-TD25Expo707137.5324</t>
  </si>
  <si>
    <t>Feb EFP 3Freight-TD7Expo700109325</t>
  </si>
  <si>
    <t>Feb EFP 3WTI-BrentExpo-707-3.4326</t>
  </si>
  <si>
    <t>CPC TAIWAN MARCH 11-15DFLHedge-5000.22327</t>
  </si>
  <si>
    <t>UnallocatedCFDHedge5000.99328</t>
  </si>
  <si>
    <t>UnallocatedCFDHedge-5001.43329</t>
  </si>
  <si>
    <t>UnallocatedDFLHedge-5000.93330</t>
  </si>
  <si>
    <t>UnallocatedWTI-BrentHedge3800-3.4331</t>
  </si>
  <si>
    <t>UnallocatedWTI-BrentHedge-2000-4.23332</t>
  </si>
  <si>
    <t>UnallocatedWTI-BrentHedge-1800-3.42333</t>
  </si>
  <si>
    <t>Feb EFP 1WTI SprdsHedge7000.56334</t>
  </si>
  <si>
    <t>UnallocatedWTI SprdsHedge6890.56335</t>
  </si>
  <si>
    <t>BPCL DES India March 16-22Freight-TD22Expo06000336</t>
  </si>
  <si>
    <t>BPCL DES India March 16-22PhysicalExpo20792.5337</t>
  </si>
  <si>
    <t>BPCL DES India March 16-22WTI SprdsExpo-20790.49338</t>
  </si>
  <si>
    <t>BPCL DES India March 16-22WTI-BrentExpo-2079-4.23339</t>
  </si>
  <si>
    <t>BPCL DES India March 16-22Brent SprdsExpo-20791.09340</t>
  </si>
  <si>
    <t>BPCL DES India March 16-22Brent SprdsExpo-20790.37341</t>
  </si>
  <si>
    <t>BPCL DES India March 16-22DFLExpo20791.13342</t>
  </si>
  <si>
    <t>Feb EFP 4PhysicalExpo7001.55343</t>
  </si>
  <si>
    <t>Feb EFP 4Freight-TD25Expo-700128.75344</t>
  </si>
  <si>
    <t>Feb EFP 4Freight-TD25Expo700128.75345</t>
  </si>
  <si>
    <t>Feb EFP 4Freight-TD7Expo700109346</t>
  </si>
  <si>
    <t>Feb EFP 4WTI-BrentExpo-700-3.4347</t>
  </si>
  <si>
    <t>Feb EFP 4WTI-BrentHedge700-3.4348</t>
  </si>
  <si>
    <t>Feb EFP 4WTI-BrentHedge-700-3.26349</t>
  </si>
  <si>
    <t>UnallocatedDFLHedge6000.93350</t>
  </si>
  <si>
    <t>UnallocatedDFLHedge-6000.22351</t>
  </si>
  <si>
    <t>CIF RDAM Jan 12-14 Load (BP)PhysicalExpo704-1.4352</t>
  </si>
  <si>
    <t>CIF RDAM Jan 12-14 Load (BP)WTI SprdsExpo-7040.49353</t>
  </si>
  <si>
    <t>CIF RDAM Jan 12-14 Load (BP)WTI-BrentExpo-704-4.23354</t>
  </si>
  <si>
    <t>CIF RDAM Jan 12-14 Load (BP)DFLExpo7040.93355</t>
  </si>
  <si>
    <t>CIF RDAM Jan 12-14 Load (BP)Freight-TD25Expo0128.5356</t>
  </si>
  <si>
    <t>UnallocatedBrent SprdsHedge11850.4357</t>
  </si>
  <si>
    <t>UnallocatedDFLHedge14000.93358</t>
  </si>
  <si>
    <t>UnallocatedDFLHedge-14000.22359</t>
  </si>
  <si>
    <t>UnallocatedWTI-BrentExpo65-3.4360</t>
  </si>
  <si>
    <t>UnallocatedDFLHedge3000.93361</t>
  </si>
  <si>
    <t>UnallocatedDFLHedge-3000.22362</t>
  </si>
  <si>
    <t>EOY Flattening OutWTI SprdsHedge00.15363</t>
  </si>
  <si>
    <t>EOY Flattening OutBrent SprdsHedge00.35364</t>
  </si>
  <si>
    <t>EOY Flattening OutWTI-BrentHedge0-3.9365</t>
  </si>
  <si>
    <t>EOY Flattening OutDFLHedge0366</t>
  </si>
  <si>
    <t>EOY Flattening OutPhysicalHedge0367</t>
  </si>
  <si>
    <t>EOY Flattening OutLegacy 2024Hedge0368</t>
  </si>
  <si>
    <t>Landed Taiwain</t>
  </si>
  <si>
    <t>EOY Flattening OutWTI Sprds-FlyHedge00.15369</t>
  </si>
  <si>
    <t>EOY Flattening OutFreight-TD25Hedge0370</t>
  </si>
  <si>
    <t>EOY Flattening OutFreight-TD7Hedge0371</t>
  </si>
  <si>
    <t>EOY Flattening OutFreight-TD22Hedge0372</t>
  </si>
  <si>
    <t>EOY Flattening OutLegacy 2024Hedge0373</t>
  </si>
  <si>
    <t>EOY Flattening OutPhysicalHedge0374</t>
  </si>
  <si>
    <t>EOY Flattening OutPhysicalHedge0375</t>
  </si>
  <si>
    <t>EOY Flattening OutPhysicalHedge0376</t>
  </si>
  <si>
    <t>EOY Flattening OutPhysicalHedge0377</t>
  </si>
  <si>
    <t>EOY Flattening OutPhysicalHedge0378</t>
  </si>
  <si>
    <t>EOY Flattening OutPhysicalHedge0379</t>
  </si>
  <si>
    <t>EOY Flattening OutFreight-TD22Hedge0380</t>
  </si>
  <si>
    <t>EOY Flattening OutBrent SprdsHedge00.35381</t>
  </si>
  <si>
    <t>EOY Flattening OutWTI SprdsHedge00.15382</t>
  </si>
  <si>
    <t>UnallocatedCFDHedge-10000.99383</t>
  </si>
  <si>
    <t>UnallocatedCFDHedge10001.43384</t>
  </si>
  <si>
    <t>UnallocatedDFLHedge4000.22385</t>
  </si>
  <si>
    <t>UnallocatedDFLHedge-4001.13386</t>
  </si>
  <si>
    <t>UnallocatedWTI SprdsHedge-2500.49387</t>
  </si>
  <si>
    <t>UnallocatedWTI SprdsHedge-2500.15388</t>
  </si>
  <si>
    <t>UnallocatedWTI SprdsHedge-2500.49389</t>
  </si>
  <si>
    <t>UnallocatedWTI SprdsHedge-2500.15390</t>
  </si>
  <si>
    <t>UnallocatedWTI-BrentHedge-250-3.42391</t>
  </si>
  <si>
    <t>UnallocatedBrent SprdsHedge27251.09392</t>
  </si>
  <si>
    <t>UnallocatedBrent SprdsHedge-500-0.03393</t>
  </si>
  <si>
    <t>UnallocatedDFLHedge3000.22394</t>
  </si>
  <si>
    <t>UnallocatedDFLHedge-3001.13395</t>
  </si>
  <si>
    <t>UnallocatedDFLHedge7000.22396</t>
  </si>
  <si>
    <t>UnallocatedDFLHedge8000.22397</t>
  </si>
  <si>
    <t>w/O Freight:</t>
  </si>
  <si>
    <t>UnallocatedDFLHedge-7001.13398</t>
  </si>
  <si>
    <t>Normal</t>
  </si>
  <si>
    <t>UnallocatedDFLHedge-8001.13399</t>
  </si>
  <si>
    <t>ATA</t>
  </si>
  <si>
    <t>Jan27-Jan31</t>
  </si>
  <si>
    <t>UnallocatedCFDHedge7000.362400</t>
  </si>
  <si>
    <t>ATF</t>
  </si>
  <si>
    <t>UnallocatedDFLHedge5000.22401</t>
  </si>
  <si>
    <t>HDO</t>
  </si>
  <si>
    <t>UnallocatedDFLHedge-5001.13402</t>
  </si>
  <si>
    <t>UnallocatedCFDHedge3000.362403</t>
  </si>
  <si>
    <t>UnallocatedWTI SprdsHedge20000.49404</t>
  </si>
  <si>
    <t>UnallocatedWTI-BrentHedge2000-4.23405</t>
  </si>
  <si>
    <t>UnallocatedBrent SprdsHedge20001.09406</t>
  </si>
  <si>
    <t>UnallocatedWTI-BrentHedge300-4.23407</t>
  </si>
  <si>
    <t>UnallocatedBrent SprdsHedge20000.37408</t>
  </si>
  <si>
    <t>HDO April 12-22 25Freight-TD22Expo-20009300409</t>
  </si>
  <si>
    <t>HDO April 12-22 25Freight-TD22Hedge20009300410</t>
  </si>
  <si>
    <t>HDO April 12-22 25PhysicalExpo20683.95411</t>
  </si>
  <si>
    <t>HDO April 12-22 25WTI SprdsExpo-20680.49412</t>
  </si>
  <si>
    <t>HDO April 12-22 25WTI SprdsExpo-20680.15413</t>
  </si>
  <si>
    <t>HDO April 12-22 25WTI-BrentExpo-2068-3.42414</t>
  </si>
  <si>
    <t>HDO April 12-22 25Brent SprdsExpo-20680.37415</t>
  </si>
  <si>
    <t>HDO April 12-22 25WTI SprdsHedge20000.49416</t>
  </si>
  <si>
    <t>HDO April 12-22 25WTI SprdsHedge20000.15417</t>
  </si>
  <si>
    <t>HDO April 12-22 25WTI-BrentHedge2000-3.42418</t>
  </si>
  <si>
    <t>HDO April 12-22 25Brent SprdsHedge20000.37419</t>
  </si>
  <si>
    <t>UnallocatedDFLHedge-15000.22420</t>
  </si>
  <si>
    <t>UnallocatedDFLHedge-3001.13421</t>
  </si>
  <si>
    <t>UnallocatedWTI-BrentHedge300-4.23422</t>
  </si>
  <si>
    <t>UnallocatedWTI-BrentHedge250-4.23423</t>
  </si>
  <si>
    <t>UnallocatedWTI-BrentHedge250-4.23424</t>
  </si>
  <si>
    <t>March EFP 1</t>
  </si>
  <si>
    <t>March EFP 1PhysicalHedge7000.42425</t>
  </si>
  <si>
    <t>March EFP 2</t>
  </si>
  <si>
    <t>March EFP 2PhysicalHedge7000.42426</t>
  </si>
  <si>
    <t>March EFP 1WTI-BrentHedge700-4.23427</t>
  </si>
  <si>
    <t>March EFP 2WTI-BrentHedge700-4.23428</t>
  </si>
  <si>
    <t>March EFP 1WTI-BrentExpo-700-4.23429</t>
  </si>
  <si>
    <t>March EFP 2WTI-BrentExpo-700-4.23430</t>
  </si>
  <si>
    <t>March EFP 1Freight-TD25Expo-700150431</t>
  </si>
  <si>
    <t>March EFP 1Freight-TD25Hedge700150432</t>
  </si>
  <si>
    <t>March EFP 1Freight-TD7Expo700111.45433</t>
  </si>
  <si>
    <t>March EFP 2Freight-TD25Expo0150434</t>
  </si>
  <si>
    <t>March EFP 2Freight-TD7Expo700111.45435</t>
  </si>
  <si>
    <t>UnallocatedDFLHedge-3001.13436</t>
  </si>
  <si>
    <t>UnallocatedWTI Sprds-FlyHedge-5000.15437</t>
  </si>
  <si>
    <t>UnallocatedWTI Sprds-FlyHedge5000.25438</t>
  </si>
  <si>
    <t>UnallocatedWTI Sprds-FlyHedge-10000.15439</t>
  </si>
  <si>
    <t>UnallocatedWTI Sprds-FlyHedge10000.25440</t>
  </si>
  <si>
    <t>UnallocatedWTI Sprds-FlyHedge-10000.15441</t>
  </si>
  <si>
    <t>UnallocatedWTI Sprds-FlyHedge10000.25442</t>
  </si>
  <si>
    <t>UnallocatedPhysicalExpo00443</t>
  </si>
  <si>
    <t>UnallocatedWTI-BrentHedge3000-4.23444</t>
  </si>
  <si>
    <t>UnallocatedWTI-BrentHedge-1500-3.26445</t>
  </si>
  <si>
    <t>UnallocatedWTI-BrentHedge-1500-4.91446</t>
  </si>
  <si>
    <t>UnallocatedWTI SprdsHedge2820.49447</t>
  </si>
  <si>
    <t>CPC TAIWAN APR 23-27Freight-TD22Expo-210010050448</t>
  </si>
  <si>
    <t>CPC TAIWAN APR 23-27Freight-TD22Expo21008200449</t>
  </si>
  <si>
    <t>CPC TAIWAN APR 23-27PhysicalExpo21005.1450</t>
  </si>
  <si>
    <t>CPC TAIWAN APR 23-27WTI SprdsExpo-21000.15451</t>
  </si>
  <si>
    <t>CPC TAIWAN APR 23-27WTI-BrentExpo-2100-3.42452</t>
  </si>
  <si>
    <t>CPC TAIWAN APR 23-27Brent SprdsExpo-21000.37453</t>
  </si>
  <si>
    <t>CPC TAIWAN APR 23-27DFLExpo21001.13454</t>
  </si>
  <si>
    <t>CPC TAIWAN APR 23-27DFLHedge-5001.13455</t>
  </si>
  <si>
    <t>UnallocatedWTI-BrentHedge1003-4.23456</t>
  </si>
  <si>
    <t>UnallocatedDFLHedge-3000.22457</t>
  </si>
  <si>
    <t>UnallocatedDFLHedge-7000.22458</t>
  </si>
  <si>
    <t>CPC TAIWAN APR 23-27WTI-BrentHedge2100-3.42459</t>
  </si>
  <si>
    <t>UnallocatedWTI-BrentHedge1900-3.42460</t>
  </si>
  <si>
    <t>CPC TAIWAN APR 23-27DFLHedge-2001.13461</t>
  </si>
  <si>
    <t>UnallocatedDFLHedge-61930.93462</t>
  </si>
  <si>
    <t>UnallocatedCFDHedge-2000.362463</t>
  </si>
  <si>
    <t>UnallocatedCFDHedge-2000.362464</t>
  </si>
  <si>
    <t>UnallocatedCFDHedge-2000.362465</t>
  </si>
  <si>
    <t>UnallocatedCFDHedge-2000.362466</t>
  </si>
  <si>
    <t>UnallocatedCFDHedge-2000.362467</t>
  </si>
  <si>
    <t>UnallocatedDFLHedge-14500.22468</t>
  </si>
  <si>
    <t>UnallocatedDFLHedge1001.13469</t>
  </si>
  <si>
    <t>UnallocatedWTI SprdsHedge-5000.15470</t>
  </si>
  <si>
    <t>UnallocatedWTI SprdsHedge-5000.25471</t>
  </si>
  <si>
    <t>UnallocatedWTI-BrentHedge-500-3.26472</t>
  </si>
  <si>
    <t>UnallocatedDFLHedge2000.22473</t>
  </si>
  <si>
    <t>UnallocatedDFLHedge-6000.22474</t>
  </si>
  <si>
    <t>UnallocatedWTI SprdsHedge2500.15475</t>
  </si>
  <si>
    <t>UnallocatedWTI SprdsHedge2500.25476</t>
  </si>
  <si>
    <t>UnallocatedWTI-BrentHedge250-3.26477</t>
  </si>
  <si>
    <t>UnallocatedWTI SprdsHedge3500.15478</t>
  </si>
  <si>
    <t>UnallocatedWTI SprdsHedge3500.15479</t>
  </si>
  <si>
    <t>UnallocatedWTI-BrentHedge100-4.23480</t>
  </si>
  <si>
    <t>UnallocatedWTI-BrentHedge100-4.23481</t>
  </si>
  <si>
    <t>UnallocatedWTI-BrentHedge200-4.23482</t>
  </si>
  <si>
    <t>UnallocatedDFLHedge-5000.22483</t>
  </si>
  <si>
    <t>UnallocatedWTI SprdsHedge3500.15484</t>
  </si>
  <si>
    <t>CPC TAIWAN APR 23-27Brent SprdsExpo261.09485</t>
  </si>
  <si>
    <t>UnallocatedWTI-BrentHedge111-4.23486</t>
  </si>
  <si>
    <t>UnallocatedWTI SprdsHedge3000.15487</t>
  </si>
  <si>
    <t>UnallocatedWTI SprdsHedge3000.15488</t>
  </si>
  <si>
    <t>UnallocatedWTI SprdsHedge1840.15489</t>
  </si>
  <si>
    <t>UnallocatedWTI SprdsHedge1160.15490</t>
  </si>
  <si>
    <t>UnallocatedWTI SprdsHedge3000.15491</t>
  </si>
  <si>
    <t>UnallocatedWTI SprdsHedge3000.15492</t>
  </si>
  <si>
    <t>UnallocatedWTI Sprds-FlyHedge5000.15493</t>
  </si>
  <si>
    <t>UnallocatedWTI Sprds-FlyHedge-5000.25494</t>
  </si>
  <si>
    <t>UnallocatedWTI-BrentHedge500-3.26495</t>
  </si>
  <si>
    <t>UnallocatedWTI SprdsHedge20000.15496</t>
  </si>
  <si>
    <t>UnallocatedWTI-BrentHedge250-3.26497</t>
  </si>
  <si>
    <t>CPC TAIWAN APR 23-27Brent SprdsHedge5000.37498</t>
  </si>
  <si>
    <t>UnallocatedWTI-BrentHedge250-3.26499</t>
  </si>
  <si>
    <t>Gunvor FOB Feb 23-24PhysicalExpo7000.64500</t>
  </si>
  <si>
    <t>Gunvor FOB Feb 23-24WTI SprdsExpo-7000.15501</t>
  </si>
  <si>
    <t>Gunvor FOB Feb 23-24WTI SprdsExpo-7000.25502</t>
  </si>
  <si>
    <t>Gunvor FOB Feb 23-24WTI-BrentHedge-700-3.26503</t>
  </si>
  <si>
    <t>Gunvor FOB Feb 23-24WTI-BrentHedge500-3.26504</t>
  </si>
  <si>
    <t>Gunvor FOB Feb 23-24WTI-BrentHedge200-3.26505</t>
  </si>
  <si>
    <t>UnallocatedWTI SprdsHedge-9320.15506</t>
  </si>
  <si>
    <t>UnallocatedWTI Sprds-FlyHedge9320.15507</t>
  </si>
  <si>
    <t>UnallocatedWTI SprdsHedge9320.25508</t>
  </si>
  <si>
    <t>UnallocatedWTI Sprds-FlyHedge-9320.25509</t>
  </si>
  <si>
    <t>HDO May 10-20 WTI+WTL</t>
  </si>
  <si>
    <t>HDO May 10-20 WTI+WTLFreight-TD22Expo-20009250510</t>
  </si>
  <si>
    <t>HDO May 10-20 WTI+WTLFreight-TD22Expo20009250511</t>
  </si>
  <si>
    <t>HDO May 10-20 WTI+WTLPhysicalExpo14004.91512</t>
  </si>
  <si>
    <t>HDO May 10-20 WTI+WTLPhysicalExpo7004.61513</t>
  </si>
  <si>
    <t>HDO May 10-20 WTI+WTLWTI SprdsExpo-21000.15514</t>
  </si>
  <si>
    <t>HDO May 10-20 WTI+WTLWTI SprdsExpo-21000.25515</t>
  </si>
  <si>
    <t>HDO May 10-20 WTI+WTLWTI-BrentExpo-2100-3.26516</t>
  </si>
  <si>
    <t>HDO May 10-20 WTI+WTLBrent SprdsExpo-1999-0.03517</t>
  </si>
  <si>
    <t>HDO May 10-20 WTI+WTLBrent SprdsExpo1002.06518</t>
  </si>
  <si>
    <t>HDO May 10-20 WTI+WTLWTI SprdsHedge21000.15519</t>
  </si>
  <si>
    <t>HDO May 10-20 WTI+WTLWTI SprdsHedge21000.25520</t>
  </si>
  <si>
    <t>HDO May 10-20 WTI+WTLWTI-BrentHedge2100-3.26521</t>
  </si>
  <si>
    <t>HDO May 10-20 WTI+WTLBrent SprdsHedge2100-0.03522</t>
  </si>
  <si>
    <t>HDO May 10-20 WTI+WTLMEHExpo-7001.48890909090909523</t>
  </si>
  <si>
    <t>UnallocatedWTI Sprds-FlyHedge3000.15524</t>
  </si>
  <si>
    <t>UnallocatedWTI Sprds-FlyHedge-3000.25525</t>
  </si>
  <si>
    <t>UnallocatedWTI-BrentHedge71-3.26526</t>
  </si>
  <si>
    <t>UnallocatedWTI-BrentHedge179-3.26527</t>
  </si>
  <si>
    <t>UnallocatedWTI-BrentHedge50-3.42528</t>
  </si>
  <si>
    <t>UnallocatedWTI Sprds-FlyHedge2680.15529</t>
  </si>
  <si>
    <t>UnallocatedWTI Sprds-FlyHedge-2680.25530</t>
  </si>
  <si>
    <t>UnallocatedWTI SprdsHedge-5000.25531</t>
  </si>
  <si>
    <t>UnallocatedWTI SprdsHedge-5000.67532</t>
  </si>
  <si>
    <t>UnallocatedWTI Sprds-FlyHedge2500.15533</t>
  </si>
  <si>
    <t>UnallocatedWTI Sprds-FlyHedge-2500.25534</t>
  </si>
  <si>
    <t>UnallocatedWTI Sprds-FlyHedge2500.15535</t>
  </si>
  <si>
    <t>UnallocatedWTI Sprds-FlyHedge-2500.25536</t>
  </si>
  <si>
    <t>UnallocatedWTI-BrentHedge50-3.42537</t>
  </si>
  <si>
    <t>UnallocatedWTI-BrentHedge50-3.42538</t>
  </si>
  <si>
    <t>UnallocatedWTI-BrentHedge50-3.42539</t>
  </si>
  <si>
    <t>UnallocatedWTI-BrentHedge250-3.26540</t>
  </si>
  <si>
    <t>Vitol FOB March BookoutPhysicalExpo700-1.9541</t>
  </si>
  <si>
    <t>Vitol FOB March BookoutWTI SprdsExpo-7000.15542</t>
  </si>
  <si>
    <t>Vitol FOB March BookoutWTI SprdsExpo-7000.25543</t>
  </si>
  <si>
    <t>Vitol FOB March BookoutWTI-BrentExpo-700-3.26544</t>
  </si>
  <si>
    <t>UnallocatedWTI SprdsHedge6500.15545</t>
  </si>
  <si>
    <t>UnallocatedLegacy 2024Hedge0546</t>
  </si>
  <si>
    <t>UnallocatedWTI SprdsHedge500.15547</t>
  </si>
  <si>
    <t>UnallocatedWTI SprdsHedge-5000.25548</t>
  </si>
  <si>
    <t>UnallocatedBrent SprdsHedge20000.37549</t>
  </si>
  <si>
    <t>UnallocatedBrent SprdsExpo-2530.37550</t>
  </si>
  <si>
    <t>UnallocatedCFDHedge2001.32551</t>
  </si>
  <si>
    <t>UnallocatedCFDHedge-2000.54552</t>
  </si>
  <si>
    <t>UnallocatedWTI-BrentHedge18-3.42553</t>
  </si>
  <si>
    <t>UnallocatedDFLHedge-2220.22554</t>
  </si>
  <si>
    <t>Mitsui CIF Rotts Apr 16-30</t>
  </si>
  <si>
    <t>Mitsui CIF Rotts Apr 16-30PhysicalExpo7001.45555</t>
  </si>
  <si>
    <t>Mitsui CIF Rotts Apr 16-30WTI SprdsExpo-7000.15556</t>
  </si>
  <si>
    <t>Mitsui CIF Rotts Apr 16-30WTI SprdsHedge3500.15557</t>
  </si>
  <si>
    <t>Mitsui CIF Rotts Apr 16-30WTI SprdsHedge3500.15558</t>
  </si>
  <si>
    <t>Mitsui CIF Rotts Apr 16-30WTI SprdsExpo-7000.25559</t>
  </si>
  <si>
    <t>Mitsui CIF Rotts Apr 16-30WTI-BrentExpo-700-3.26560</t>
  </si>
  <si>
    <t>Mitsui CIF Rotts Apr 16-30Brent SprdsExpo-700-0.03561</t>
  </si>
  <si>
    <t>Mitsui CIF Rotts Apr 16-30DFLExpo7001.42562</t>
  </si>
  <si>
    <t>Mitsui CIF Rotts Apr 16-30Freight-TD25Expo-700138563</t>
  </si>
  <si>
    <t>Mitsui CIF Rotts Apr 16-30Freight-TD25Hedge700138564</t>
  </si>
  <si>
    <t>UnallocatedFreight-TD7Hedge-2800109565</t>
  </si>
  <si>
    <t>HDO May 10-20 WTI+WTLMEHExpo7001.48890909090909566</t>
  </si>
  <si>
    <t>FOB BP March 15-16 Epic</t>
  </si>
  <si>
    <t>FOB BP March 15-16 EpicPhysicalExpo685-0.55567</t>
  </si>
  <si>
    <t>FOB BP March 15-16 EpicWTI SprdsExpo7000.15568</t>
  </si>
  <si>
    <t>FOB BP March 15-16 EpicWTI SprdsHedge-7000.15569</t>
  </si>
  <si>
    <t>FOB BP March 15-16 EpicWTI SprdsExpo-6850.25570</t>
  </si>
  <si>
    <t>FOB BP March 15-16 EpicWTI SprdsExpo-6850.67571</t>
  </si>
  <si>
    <t>FOB BP March 15-16 EpicWTI-BrentExpo-685-4.91572</t>
  </si>
  <si>
    <t>Mitsui CIF Rotts Apr 16-30DFLHedge-7001.42573</t>
  </si>
  <si>
    <t>EXTAP CIF Rotts Apr 20-24PhysicalExpo21000.45574</t>
  </si>
  <si>
    <t>EXTAP CIF Rotts Apr 20-24WTI SprdsExpo-21000.15575</t>
  </si>
  <si>
    <t>EXTAP CIF Rotts Apr 20-24WTI SprdsHedge3720.15576</t>
  </si>
  <si>
    <t>EXTAP CIF Rotts Apr 20-24WTI SprdsHedge17280.15577</t>
  </si>
  <si>
    <t>EXTAP CIF Rotts Apr 20-24WTI SprdsExpo-21000.25578</t>
  </si>
  <si>
    <t>EXTAP CIF Rotts Apr 20-24WTI SprdsExpo-21000.67579</t>
  </si>
  <si>
    <t>EXTAP CIF Rotts Apr 20-24WTI-BrentExpo-2100-4.91580</t>
  </si>
  <si>
    <t>EXTAP CIF Rotts Apr 20-24DFLExpo21001.42581</t>
  </si>
  <si>
    <t>EXTAP CIF Rotts Apr 20-24DFLHedge-17001.42582</t>
  </si>
  <si>
    <t>EXTAP CIF Rotts Apr 20-24WTI SprdsHedge6000.25583</t>
  </si>
  <si>
    <t>EXTAP CIF Rotts Apr 20-24WTI SprdsHedge6000.67584</t>
  </si>
  <si>
    <t>EXTAP CIF Rotts Apr 20-24WTI SprdsHedge6000.25585</t>
  </si>
  <si>
    <t>EXTAP CIF Rotts Apr 20-24WTI SprdsHedge6000.67586</t>
  </si>
  <si>
    <t>EXTAP CIF Rotts Apr 20-24WTI-BrentHedge500-3.11587</t>
  </si>
  <si>
    <t>EXTAP CIF Rotts Apr 20-24WTI SprdsHedge16000.25588</t>
  </si>
  <si>
    <t>EXTAP CIF Rotts Apr 20-24WTI SprdsHedge16000.67589</t>
  </si>
  <si>
    <t>EXTAP CIF Rotts Apr 20-24WTI-BrentHedge1600-4.91590</t>
  </si>
  <si>
    <t>EXTAP CIF Rotts Apr 20-24WTI SprdsHedge5000.25591</t>
  </si>
  <si>
    <t>EXTAP CIF Rotts Apr 20-24WTI SprdsHedge5000.67592</t>
  </si>
  <si>
    <t>EXTAP CIF Rotts Apr 20-24DFLHedge-5001.42593</t>
  </si>
  <si>
    <t>EXTAP CIF Rotts Apr 20-24WTI SprdsHedge5000.25594</t>
  </si>
  <si>
    <t>EXTAP CIF Rotts Apr 20-24WTI SprdsHedge5000.67595</t>
  </si>
  <si>
    <t>UnallocatedWTI-BrentHedge250-3.26596</t>
  </si>
  <si>
    <t>UnallocatedWTI-BrentHedge250-3.26597</t>
  </si>
  <si>
    <t>UnallocatedWTI-BrentHedge250-3.26598</t>
  </si>
  <si>
    <t>UnallocatedWTI-BrentHedge250-3.26599</t>
  </si>
  <si>
    <t>UnallocatedWTI-BrentHedge250-3.26600</t>
  </si>
  <si>
    <t>HDO June DAP 5-15 WTI+WTL</t>
  </si>
  <si>
    <t>HDO June DAP 5-15 WTI+WTLFreight-TD22Expo-20007300601</t>
  </si>
  <si>
    <t>HDO June DAP 5-15 WTI+WTLFreight-TD22Expo20007300602</t>
  </si>
  <si>
    <t>HDO June DAP 5-15 WTI+WTLPhysicalExpo14003.98603</t>
  </si>
  <si>
    <t>HDO June DAP 5-15 WTI+WTLPhysicalExpo7003.68604</t>
  </si>
  <si>
    <t>HDO June DAP 5-15 WTI+WTLWTI SprdsExpo-14000.25605</t>
  </si>
  <si>
    <t>HDO June DAP 5-15 WTI+WTLWTI SprdsExpo-14000.67606</t>
  </si>
  <si>
    <t>HDO June DAP 5-15 WTI+WTLWTI-BrentExpo-1400-4.91607</t>
  </si>
  <si>
    <t>HDO June DAP 5-15 WTI+WTLBrent SprdsExpo-21002.06608</t>
  </si>
  <si>
    <t>HDO June DAP 5-15 WTI+WTLWTI-BrentHedge500-4.91609</t>
  </si>
  <si>
    <t>HDO June DAP 5-15 WTI+WTLWTI-BrentHedge500-3.11610</t>
  </si>
  <si>
    <t>EXTAP CIF Rotts Apr 20-24DFLHedge-1001.42611</t>
  </si>
  <si>
    <t>HDO June DAP 5-15 WTI+WTLWTI-BrentHedge250-4.91612</t>
  </si>
  <si>
    <t>HDO June DAP 5-15 WTI+WTLWTI-BrentHedge217-4.91613</t>
  </si>
  <si>
    <t>HDO June DAP 5-15 WTI+WTLWTI-BrentHedge500-4.91614</t>
  </si>
  <si>
    <t>UnallocatedBrent SprdsHedge0.012.06615</t>
  </si>
  <si>
    <t>UnallocatedWTI-BrentHedge200-3.26616</t>
  </si>
  <si>
    <t>UnallocatedWTI SprdsHedge2500.25617</t>
  </si>
  <si>
    <t>UnallocatedWTI SprdsHedge2500.25618</t>
  </si>
  <si>
    <t>UnallocatedWTI SprdsHedge2500.25619</t>
  </si>
  <si>
    <t>UnallocatedWTI SprdsHedge2500.25620</t>
  </si>
  <si>
    <t>UnallocatedWTI SprdsHedge2500.25621</t>
  </si>
  <si>
    <t>UnallocatedWTI SprdsHedge2500.25622</t>
  </si>
  <si>
    <t>UnallocatedWTI-BrentHedge250-4.91623</t>
  </si>
  <si>
    <t>UnallocatedWTI-BrentHedge250-4.91624</t>
  </si>
  <si>
    <t>UnallocatedWTI-BrentHedge250-4.91625</t>
  </si>
  <si>
    <t>UnallocatedWTI-BrentHedge250-4.91626</t>
  </si>
  <si>
    <t>UnallocatedWTI SprdsHedge5000.25627</t>
  </si>
  <si>
    <t>UnallocatedWTI SprdsHedge4000.25628</t>
  </si>
  <si>
    <t>UnallocatedWTI SprdsHedge2500.25629</t>
  </si>
  <si>
    <t>UnallocatedWTI SprdsHedge1530.25630</t>
  </si>
  <si>
    <t>UnallocatedWTI SprdsHedge-13230.67631</t>
  </si>
  <si>
    <t>UnallocatedWTI SprdsHedge-23020.67632</t>
  </si>
  <si>
    <t>Glencore CIF Rdam Apr 22-26</t>
  </si>
  <si>
    <t>Glencore CIF Rdam Apr 22-26PhysicalExpo7351.75633</t>
  </si>
  <si>
    <t>Glencore CIF Rdam Apr 22-26WTI SprdsExpo-7350.67634</t>
  </si>
  <si>
    <t>Glencore CIF Rdam Apr 22-26WTI-BrentExpo-735-4.91635</t>
  </si>
  <si>
    <t>Glencore CIF Rdam Apr 22-26DFLExpo7351.42636</t>
  </si>
  <si>
    <t>Glencore CIF Rdam Apr 22-26DFLHedge-7001.42637</t>
  </si>
  <si>
    <t>Trafi FOB Apr 23-24</t>
  </si>
  <si>
    <t>Trafi FOB Apr 23-24PhysicalExpo700-1.5638</t>
  </si>
  <si>
    <t>Trafi FOB Apr 23-24WTI SprdsExpo-7000.67639</t>
  </si>
  <si>
    <t>Trafi FOB Apr 23-24WTI-BrentExpo-700-4.91640</t>
  </si>
  <si>
    <t>UnallocatedDFLHedge5001.42641</t>
  </si>
  <si>
    <t>UnallocatedDFLHedge-5000.141213642</t>
  </si>
  <si>
    <t>UnallocatedBrent SprdsExpo729-0.03643</t>
  </si>
  <si>
    <t>UnallocatedWTI-BrentExpo900-3.26644</t>
  </si>
  <si>
    <t>UnallocatedDFLHedge-10000.141213645</t>
  </si>
  <si>
    <t>HDO May 10-20 WTI+WTLBrent SprdsExpo370-0.03646</t>
  </si>
  <si>
    <t>Exxon CIF Rdam May 1-5</t>
  </si>
  <si>
    <t>Exxon CIF Rdam May 1-5PhysicalExpo6922.4647</t>
  </si>
  <si>
    <t>Exxon CIF Rdam May 1-5WTI SprdsExpo-6920.67648</t>
  </si>
  <si>
    <t>Exxon CIF Rdam May 1-5WTI-BrentExpo-692-4.91649</t>
  </si>
  <si>
    <t>Exxon CIF Rdam May 1-5DFLExpo6920.141213650</t>
  </si>
  <si>
    <t>Exxon CIF Rdam May 1-5Freight-TD25Expo-700167.5651</t>
  </si>
  <si>
    <t>Exxon CIF Rdam May 1-5Freight-TD25Expo700167.5652</t>
  </si>
  <si>
    <t>Exxon CIF Rdam May 1-5Brent SprdsExpo-6922.06653</t>
  </si>
  <si>
    <t>UnallocatedFreight-TD7Hedge-1400111.45654</t>
  </si>
  <si>
    <t>UnallocatedCFDHedge5002.26655</t>
  </si>
  <si>
    <t>UnallocatedCFDHedge-5001.86656</t>
  </si>
  <si>
    <t>PhysicalExpo2.55657</t>
  </si>
  <si>
    <t>WTI SprdsExpo0.67658</t>
  </si>
  <si>
    <t>WTI SprdsExpo0.55659</t>
  </si>
  <si>
    <t>WTI-BrentExpo-3.11660</t>
  </si>
  <si>
    <t>DFLExpo0.141213661</t>
  </si>
  <si>
    <t>Freight-TD25Expo185662</t>
  </si>
  <si>
    <t>UnallocatedDFLHedge-2791.13663</t>
  </si>
  <si>
    <t>UnallocatedWTI Sprds-FlyHedge10000.67664</t>
  </si>
  <si>
    <t>UnallocatedWTI Sprds-FlyHedge-10000.55665</t>
  </si>
  <si>
    <t>UnallocatedBrent SprdsHedge5002.06666</t>
  </si>
  <si>
    <t>UnallocatedBrent SprdsHedge5002.06667</t>
  </si>
  <si>
    <t>UnallocatedBrent SprdsHedge5002.06668</t>
  </si>
  <si>
    <t>UnallocatedBrent SprdsHedge5002.06669</t>
  </si>
  <si>
    <t>UnallocatedBrent SprdsHedge5002.06670</t>
  </si>
  <si>
    <t>UnallocatedBrent SprdsHedge5002.06671</t>
  </si>
  <si>
    <t>IOC DAP Paradip June 9-18</t>
  </si>
  <si>
    <t>IOC DAP Paradip June 9-18DFLHedge-1000.141213672</t>
  </si>
  <si>
    <t>IOC DAP Paradip June 9-18PhysicalExpo20542.54673</t>
  </si>
  <si>
    <t>IOC DAP Paradip June 9-18WTI SprdsExpo-20650.67674</t>
  </si>
  <si>
    <t>IOC DAP Paradip June 9-18WTI SprdsExpo-20540.55675</t>
  </si>
  <si>
    <t>IOC DAP Paradip June 9-18WTI-BrentExpo-2054-3.11676</t>
  </si>
  <si>
    <t>IOC DAP Paradip June 9-18DFLExpo20540.141213677</t>
  </si>
  <si>
    <t>IOC DAP Paradip June 9-18WTI SprdsHedge5000.67678</t>
  </si>
  <si>
    <t>IOC DAP Paradip June 9-18WTI SprdsHedge5000.67679</t>
  </si>
  <si>
    <t>IOC DAP Paradip June 9-18WTI SprdsHedge13020.67680</t>
  </si>
  <si>
    <t>IOC DAP Paradip June 9-18WTI SprdsHedge4500.67681</t>
  </si>
  <si>
    <t>IOC DAP Paradip June 9-18DFLHedge-20000.141213682</t>
  </si>
  <si>
    <t>UnallocatedWTI SprdsHedge11910.67683</t>
  </si>
  <si>
    <t>UnallocatedWTI SprdsHedge10000.55684</t>
  </si>
  <si>
    <t>UnallocatedWTI SprdsHedge10001.64685</t>
  </si>
  <si>
    <t>UnallocatedWTI SprdsHedge10001.25686</t>
  </si>
  <si>
    <t>UnallocatedWTI SprdsHedge10000.58687</t>
  </si>
  <si>
    <t>UnallocatedWTI SprdsHedge10000.28688</t>
  </si>
  <si>
    <t>UnallocatedWTI SprdsHedge10000.5689</t>
  </si>
  <si>
    <t>UnallocatedWTI SprdsHedge-10000.58690</t>
  </si>
  <si>
    <t>UnallocatedWTI SprdsHedge-10000.28691</t>
  </si>
  <si>
    <t>UnallocatedWTI SprdsHedge-10000.5692</t>
  </si>
  <si>
    <t>UnallocatedBrent SprdsHedge-2502.06693</t>
  </si>
  <si>
    <t>UnallocatedBrent SprdsHedge-2502.06694</t>
  </si>
  <si>
    <t>UnallocatedBrent SprdsHedge-2002.06695</t>
  </si>
  <si>
    <t>UnallocatedBrent SprdsHedge-1502.06696</t>
  </si>
  <si>
    <t>UnallocatedBrent SprdsHedge-1502.06697</t>
  </si>
  <si>
    <t>UnallocatedWTI SprdsHedge-10000.55698</t>
  </si>
  <si>
    <t>UnallocatedWTI SprdsHedge-10001.64699</t>
  </si>
  <si>
    <t>UnallocatedWTI SprdsHedge-10001.25700</t>
  </si>
  <si>
    <t>UnallocatedWTI SprdsHedge20000.67701</t>
  </si>
  <si>
    <t>UnallocatedWTI SprdsHedge-20000.55702</t>
  </si>
  <si>
    <t>UnallocatedWTI SprdsHedge20000.67703</t>
  </si>
  <si>
    <t>UnallocatedWTI SprdsHedge-20000.55704</t>
  </si>
  <si>
    <t>UnallocatedWTI SprdsHedge10000.67705</t>
  </si>
  <si>
    <t>UnallocatedWTI SprdsHedge10000.55706</t>
  </si>
  <si>
    <t>UnallocatedFreight-TD25Hedge185707</t>
  </si>
  <si>
    <t>UnallocatedWTI SprdsHedge0.67708</t>
  </si>
  <si>
    <t>UnallocatedWTI-BrentHedge500-4.91709</t>
  </si>
  <si>
    <t>UnallocatedWTI-BrentHedge250-4.91710</t>
  </si>
  <si>
    <t>UnallocatedWTI SprdsHedge5000.55711</t>
  </si>
  <si>
    <t>UnallocatedWTI SprdsHedge0.55712</t>
  </si>
  <si>
    <t>UnallocatedDFLHedge-8000.141213713</t>
  </si>
  <si>
    <t>UnallocatedWTI Sprds-FlyHedge-10000.67714</t>
  </si>
  <si>
    <t>UnallocatedWTI Sprds-FlyHedge10000.55715</t>
  </si>
  <si>
    <t>UnallocatedWTI SprdsHedge10000.67716</t>
  </si>
  <si>
    <t>UnallocatedWTI SprdsHedge-10000.55717</t>
  </si>
  <si>
    <t>UnallocatedWTI SprdsHedge20000.55718</t>
  </si>
  <si>
    <t>UnallocatedBrent SprdsHedge20001.12719</t>
  </si>
  <si>
    <t>UnallocatedWTI SprdsHedge-15000.67720</t>
  </si>
  <si>
    <t>UnallocatedWTI SprdsHedge15000.55721</t>
  </si>
  <si>
    <t>UnallocatedWTI SprdsHedge5000.67722</t>
  </si>
  <si>
    <t>UnallocatedWTI SprdsHedge5000.55723</t>
  </si>
  <si>
    <t>UnallocatedBrent SprdsHedge5002.06724</t>
  </si>
  <si>
    <t>Taiyo CFR Malaysia Jul 14-23</t>
  </si>
  <si>
    <t>Taiyo CFR Malaysia Jul 14-23PhysicalExpo11984.36725</t>
  </si>
  <si>
    <t>Taiyo CFR Malaysia Jul 14-23PhysicalExpo5504.36726</t>
  </si>
  <si>
    <t>Taiyo CFR Malaysia Jul 14-23PhysicalExpo3154.16727</t>
  </si>
  <si>
    <t>Taiyo CFR Malaysia Jul 14-23WTI SprdsExpo-21000.67728</t>
  </si>
  <si>
    <t>Taiyo CFR Malaysia Jul 14-23WTI SprdsExpo-21000.55729</t>
  </si>
  <si>
    <t>Taiyo CFR Malaysia Jul 14-23WTI-BrentExpo-2063-3.11730</t>
  </si>
  <si>
    <t>Taiyo CFR Malaysia Jul 14-23Brent SprdsExpo-20631.12731</t>
  </si>
  <si>
    <t>Taiyo CFR Malaysia Jul 14-23Brent SprdsExpo-20630.87732</t>
  </si>
  <si>
    <t>Exxon CIF Rotts May 15-19</t>
  </si>
  <si>
    <t>Exxon CIF Rotts May 15-19PhysicalExpo7002733</t>
  </si>
  <si>
    <t>Exxon CIF Rotts May 15-19WTI SprdsExpo-7000.67734</t>
  </si>
  <si>
    <t>Exxon CIF Rotts May 15-19WTI-BrentExpo-700-4.91735</t>
  </si>
  <si>
    <t>Exxon CIF Rotts May 15-19Brent SprdsExpo-7002.06736</t>
  </si>
  <si>
    <t>Exxon CIF Rotts May 15-19DFLExpo7000.141213737</t>
  </si>
  <si>
    <t>Exxon CIF Rotts May 16-20</t>
  </si>
  <si>
    <t>Exxon CIF Rotts May 16-20PhysicalExpo7002738</t>
  </si>
  <si>
    <t>Exxon CIF Rotts May 16-20WTI SprdsExpo-7000.67739</t>
  </si>
  <si>
    <t>Exxon CIF Rotts May 16-20WTI-BrentExpo-700-4.91740</t>
  </si>
  <si>
    <t>Exxon CIF Rotts May 16-20Brent SprdsExpo-7002.06741</t>
  </si>
  <si>
    <t>Exxon CIF Rotts May 16-20DFLExpo7000.141213742</t>
  </si>
  <si>
    <t>UnallocatedWTI SprdsHedge20000.67743</t>
  </si>
  <si>
    <t>UnallocatedMEHExpo-8651.09744</t>
  </si>
  <si>
    <t>UnallocatedMEHHedge8651.09745</t>
  </si>
  <si>
    <t>UnallocatedWTI SprdsHedge20000.67746</t>
  </si>
  <si>
    <t>UnallocatedWTI SprdsHedge20000.55747</t>
  </si>
  <si>
    <t>UnallocatedWTI SprdsHedge9860.67748</t>
  </si>
  <si>
    <t>UnallocatedWTI SprdsHedge9860.55749</t>
  </si>
  <si>
    <t>UnallocatedWTI SprdsHedge-17270.67750</t>
  </si>
  <si>
    <t>UnallocatedWTI SprdsHedge-9300.55751</t>
  </si>
  <si>
    <t>Exxon CIF Rotts May 16-20WTI-BrentHedge269-4.91752</t>
  </si>
  <si>
    <t>Exxon CIF Rotts May 16-20Brent SprdsHedge-5002.06753</t>
  </si>
  <si>
    <t>Exxon CIF Rotts May 16-20DFLHedge-5001.72754</t>
  </si>
  <si>
    <t>CPC CFR Taiwan July 22-26</t>
  </si>
  <si>
    <t>CPC CFR Taiwan July 22-26WTI SprdsHedge10000.55755</t>
  </si>
  <si>
    <t>CPC CFR Taiwan July 22-26PhysicalExpo21003.46756</t>
  </si>
  <si>
    <t>CPC CFR Taiwan July 22-26WTI SprdsExpo-20750.55757</t>
  </si>
  <si>
    <t>CPC CFR Taiwan July 22-26WTI-BrentExpo-2100-3.11758</t>
  </si>
  <si>
    <t>CPC CFR Taiwan July 22-26Brent SprdsExpo-21001.12759</t>
  </si>
  <si>
    <t>CPC CFR Taiwan July 22-26DFLExpo21001.72760</t>
  </si>
  <si>
    <t>CPC CFR Taiwan July 22-26WTI-BrentHedge700-4.91761</t>
  </si>
  <si>
    <t>CPC CFR Taiwan July 22-26WTI-BrentHedge700-4.91762</t>
  </si>
  <si>
    <t>CPC CFR Taiwan July 22-26WTI SprdsHedge10000.55763</t>
  </si>
  <si>
    <t>Taiyo CFR Malaysia Jul 14-23Freight-TD22Expo-20008300764</t>
  </si>
  <si>
    <t>CPC CFR Taiwan July 22-26Freight-TD22Expo-20008300765</t>
  </si>
  <si>
    <t>CPC CFR Taiwan July 22-26DFLHedge-5000.141213766</t>
  </si>
  <si>
    <t>CPC CFR Taiwan July 22-26DFLHedge-2000.141213767</t>
  </si>
  <si>
    <t>CPC CFR Taiwan July 22-26WTI-BrentHedge114-3.11768</t>
  </si>
  <si>
    <t>CPC CFR Taiwan July 22-26DFLHedge-7000.141213769</t>
  </si>
  <si>
    <t>CPC CFR Taiwan July 22-26DFLHedge-1000.141213770</t>
  </si>
  <si>
    <t>CPC CFR Taiwan July 22-26DFLHedge-14000.141213771</t>
  </si>
  <si>
    <t>UnallocatedWTI-BrentHedge248-4.91772</t>
  </si>
  <si>
    <t>May05-May09</t>
  </si>
  <si>
    <t>UnallocatedCFDHedge-500-0.18125773</t>
  </si>
  <si>
    <t>UnallocatedWTI-BrentHedge2478-4.91774</t>
  </si>
  <si>
    <t>UnallocatedBrent SprdsHedge20922.06775</t>
  </si>
  <si>
    <t>UnallocatedWTI-BrentHedge-500-3.11776</t>
  </si>
  <si>
    <t>UnallocatedWTI-BrentHedge500-2.5777</t>
  </si>
  <si>
    <t>CPC CFR Taiwan July 22-26DFLHedge-10000.141213778</t>
  </si>
  <si>
    <t>Taiyo CFR Malaysia Jul 14-23Freight-TD22Expo20008400779</t>
  </si>
  <si>
    <t>CPC CFR Taiwan July 22-26Freight-TD22Expo20008400780</t>
  </si>
  <si>
    <t>UnallocatedWTI-BrentHedge500-2.5781</t>
  </si>
  <si>
    <t>UnallocatedWTI-BrentHedge500-2.5782</t>
  </si>
  <si>
    <t>UnallocatedWTI-BrentHedge500-2.5783</t>
  </si>
  <si>
    <t>May12-May16</t>
  </si>
  <si>
    <t>UnallocatedCFDHedge-500-0.097784</t>
  </si>
  <si>
    <t>UnallocatedCFDHedge-5000.472785</t>
  </si>
  <si>
    <t>UnallocatedCFDHedge-300-0.097786</t>
  </si>
  <si>
    <t>Gunvor June EFP</t>
  </si>
  <si>
    <t>Gunvor June EFPPhysicalExpo7000.45787</t>
  </si>
  <si>
    <t>Gunvor June EFPWTI-BrentExpo-700-3.11788</t>
  </si>
  <si>
    <t>Gunvor June EFPWTI SprdsExpo-7000.55789</t>
  </si>
  <si>
    <t>Gunvor June EFPFreight-TD25Expo-700125790</t>
  </si>
  <si>
    <t>Trafi CIF Rdam June 13-17Freight-TD25Expo700125791</t>
  </si>
  <si>
    <t>Gunvor June EFPFreight-TD7Expo700122792</t>
  </si>
  <si>
    <t>UnallocatedDFLHedge-3351.42793</t>
  </si>
  <si>
    <t>UnallocatedDFLHedge-5000.141213794</t>
  </si>
  <si>
    <t>Gunvor June EFPWTI SprdsHedge5000.55795</t>
  </si>
  <si>
    <t>UnallocatedWTI-BrentHedge2000-3.11796</t>
  </si>
  <si>
    <t>UnallocatedWTI SprdsHedge-5000.55797</t>
  </si>
  <si>
    <t>July25 EFP 1</t>
  </si>
  <si>
    <t>July25 EFP 1PhysicalExpo7000.01798</t>
  </si>
  <si>
    <t>July25 EFP 1WTI-BrentExpo-700-3.11799</t>
  </si>
  <si>
    <t>July25 EFP 1WTI SprdsExpo00.55800</t>
  </si>
  <si>
    <t>July25 EFP 1Freight-TD25Expo-700150.771017185323801</t>
  </si>
  <si>
    <t>July25 EFP 1Freight-TD25Expo700150.771017185323802</t>
  </si>
  <si>
    <t>Gunvor June EFPFreight-TD7Expo-700122803</t>
  </si>
  <si>
    <t>July25 EFP 1Freight-TD7Expo700117804</t>
  </si>
  <si>
    <t>July25 EFP 2</t>
  </si>
  <si>
    <t>July25 EFP 2PhysicalExpo00.01805</t>
  </si>
  <si>
    <t>July25 EFP 2WTI-BrentExpo-3.11806</t>
  </si>
  <si>
    <t>July25 EFP 2WTI SprdsExpo0.55807</t>
  </si>
  <si>
    <t>July25 EFP 2Freight-TD25Expo0808</t>
  </si>
  <si>
    <t>July25 EFP 2Freight-TD7Expo0809</t>
  </si>
  <si>
    <t>July25 EFP 3</t>
  </si>
  <si>
    <t>July25 EFP 3PhysicalExpo0.01810</t>
  </si>
  <si>
    <t>July25 EFP 3WTI-BrentExpo-3.11811</t>
  </si>
  <si>
    <t>July25 EFP 3WTI SprdsExpo0.55812</t>
  </si>
  <si>
    <t>July25 EFP 3Freight-TD25Expo0813</t>
  </si>
  <si>
    <t>July25 EFP 3Freight-TD7Expo0814</t>
  </si>
  <si>
    <t>UnallocatedCFDHedge-200-0.097815</t>
  </si>
  <si>
    <t>UnallocatedDFLHedge-5000.141213816</t>
  </si>
  <si>
    <t>July25 EFP 3WTI SprdsHedge7000.55817</t>
  </si>
  <si>
    <t>July25 EFP 2WTI SprdsHedge3000.55818</t>
  </si>
  <si>
    <t>July25 EFP 2WTI SprdsHedge6000.55819</t>
  </si>
  <si>
    <t>UnallocatedCFDHedge500-0.097820</t>
  </si>
  <si>
    <t>UnallocatedBrent SprdsHedge6211.12821</t>
  </si>
  <si>
    <t>UnallocatedBrent SprdsHedge6210.87822</t>
  </si>
  <si>
    <t>UnallocatedBrent SprdsHedge30001.12823</t>
  </si>
  <si>
    <t>UnallocatedBrent SprdsHedge30000.87824</t>
  </si>
  <si>
    <t>UnallocatedCFDHedge-2000.472825</t>
  </si>
  <si>
    <t>UnallocatedCFDHedge500-0.18125826</t>
  </si>
  <si>
    <t>Trafi CIF Rdam May30-Jun03</t>
  </si>
  <si>
    <t>Trafi CIF Rdam May30-Jun03PhysicalExpo7000.6827</t>
  </si>
  <si>
    <t>Trafi CIF Rdam May30-Jun03WTI SprdsExpo-7000.55828</t>
  </si>
  <si>
    <t>Trafi CIF Rdam May30-Jun03WTI-BrentExpo-420-3.11829</t>
  </si>
  <si>
    <t>Trafi CIF Rdam May30-Jun03Brent SprdsExpo-761.12830</t>
  </si>
  <si>
    <t>May26-May30</t>
  </si>
  <si>
    <t>Trafi CIF Rdam May30-Jun03CFDExpo4200.48875831</t>
  </si>
  <si>
    <t>Jun02-Jun06</t>
  </si>
  <si>
    <t>Trafi CIF Rdam May30-Jun03CFDExpo2801.81832</t>
  </si>
  <si>
    <t>UnallocatedCFDHedge-4000.472833</t>
  </si>
  <si>
    <t>UnallocatedDFLHedge-5000.141213834</t>
  </si>
  <si>
    <t>UnallocatedBrent SprdsHedge-15001.12835</t>
  </si>
  <si>
    <t>UnallocatedWTI SprdsHedge30000.55836</t>
  </si>
  <si>
    <t>Exxon CIF Rdam June 22-26</t>
  </si>
  <si>
    <t>Exxon CIF Rdam June 22-26PhysicalExpo7001.65837</t>
  </si>
  <si>
    <t>Exxon CIF Rdam June 22-26WTI SprdsExpo-7000.55838</t>
  </si>
  <si>
    <t>Exxon CIF Rdam June 22-26WTI-BrentExpo-700-3.11839</t>
  </si>
  <si>
    <t>Exxon CIF Rdam June 22-26Brent SprdsExpo-7001.12840</t>
  </si>
  <si>
    <t>Exxon CIF Rdam June 22-26Freight-TD25Expo-700115841</t>
  </si>
  <si>
    <t>Exxon CIF Rdam June 22-26Freight-TD25Hedge700115842</t>
  </si>
  <si>
    <t>UnallocatedCFDHedge-2000.472843</t>
  </si>
  <si>
    <t>Jun09-Jun13</t>
  </si>
  <si>
    <t>UnallocatedCFDHedge2001.526844</t>
  </si>
  <si>
    <t>UnallocatedDFLHedge2500.445626845</t>
  </si>
  <si>
    <t>UnallocatedCFDHedge-2000.472846</t>
  </si>
  <si>
    <t>UnallocatedCFDHedge500-0.097847</t>
  </si>
  <si>
    <t>Exxon CIF Rdam June 22-26Brent SprdsHedge9581.12848</t>
  </si>
  <si>
    <t>Exxon CIF Rdam June 22-26Brent SprdsHedge-9580.87849</t>
  </si>
  <si>
    <t>PTIN CIF Rdam June 9-13</t>
  </si>
  <si>
    <t>PTIN CIF Rdam June 9-13PhysicalExpo7001.3850</t>
  </si>
  <si>
    <t>PTIN CIF Rdam June 9-13WTI SprdsExpo-7000.55851</t>
  </si>
  <si>
    <t>PTIN CIF Rdam June 9-13WTI-BrentExpo-700-3.11852</t>
  </si>
  <si>
    <t>PTIN CIF Rdam June 9-13Brent SprdsExpo-1401.12853</t>
  </si>
  <si>
    <t>PTIN CIF Rdam June 9-13Freight-TD25Expo-700137.5854</t>
  </si>
  <si>
    <t>PTIN CIF Rdam June 9-13Freight-TD25Hedge700137.5855</t>
  </si>
  <si>
    <t>Trafi CIF Rdam June 13-17PhysicalExpo7001.45856</t>
  </si>
  <si>
    <t>Trafi CIF Rdam June 13-17WTI SprdsExpo-7000.55857</t>
  </si>
  <si>
    <t>Trafi CIF Rdam June 13-17WTI-BrentExpo-700-3.11858</t>
  </si>
  <si>
    <t>Trafi CIF Rdam June 13-17Brent SprdsExpo-7001.12859</t>
  </si>
  <si>
    <t>Trafi CIF Rdam June 13-17Freight-TD25Expo-700125860</t>
  </si>
  <si>
    <t>Trafi CIF Rdam June 13-17Freight-TD25Hedge700125861</t>
  </si>
  <si>
    <t>BP CIF Rdam June 17-21</t>
  </si>
  <si>
    <t>BP CIF Rdam June 17-21PhysicalExpo7001.55862</t>
  </si>
  <si>
    <t>BP CIF Rdam June 17-21WTI SprdsExpo-7000.55863</t>
  </si>
  <si>
    <t>BP CIF Rdam June 17-21WTI-BrentExpo-700-3.11864</t>
  </si>
  <si>
    <t>BP CIF Rdam June 17-21Brent SprdsExpo-7001.12865</t>
  </si>
  <si>
    <t>BP CIF Rdam June 17-21Freight-TD25Expo-700120866</t>
  </si>
  <si>
    <t>BP CIF Rdam June 17-21Freight-TD25Hedge700120867</t>
  </si>
  <si>
    <t>BP CIF Rdam June 17-21WTI SprdsHedge33730.55868</t>
  </si>
  <si>
    <t>BP CIF Rdam June 17-21WTI SprdsHedge-21000.55869</t>
  </si>
  <si>
    <t>BP CIF Rdam June 17-21Brent SprdsHedge14001.12870</t>
  </si>
  <si>
    <t>CPC Taiwain Aug 15-22</t>
  </si>
  <si>
    <t>CPC Taiwain Aug 15-22PhysicalExpo20982.99871</t>
  </si>
  <si>
    <t>CPC Taiwain Aug 15-22WTI SprdsExpo-20751.64872</t>
  </si>
  <si>
    <t>CPC Taiwain Aug 15-22WTI SprdsExpo-20751.25873</t>
  </si>
  <si>
    <t>CPC Taiwain Aug 15-22WTI-BrentExpo-2098-3.27874</t>
  </si>
  <si>
    <t>CPC Taiwain Aug 15-22DFLExpo20981.47875</t>
  </si>
  <si>
    <t>CPC Taiwain Aug 15-22Freight-TD22Expo-20008100876</t>
  </si>
  <si>
    <t>CPC Taiwain Aug 15-22Freight-TD22Hedge20008100877</t>
  </si>
  <si>
    <t>UnallocatedWTI Sprds-FlyHedge-5001.64878</t>
  </si>
  <si>
    <t>UnallocatedWTI Sprds-FlyHedge5001.25879</t>
  </si>
  <si>
    <t>UnallocatedWTI-BrentHedge2000-3.11880</t>
  </si>
  <si>
    <t>UnallocatedWTI-BrentHedge-2000-2.5881</t>
  </si>
  <si>
    <t>PTIN CIF Rdam June 9-13CFDHedge-2001.81882</t>
  </si>
  <si>
    <t>PTIN CIF Rdam June 9-13CFDHedge-2001.526883</t>
  </si>
  <si>
    <t>Jun16-Jun20</t>
  </si>
  <si>
    <t>Trafi CIF Rdam June 13-17CFDHedge-2001.818884</t>
  </si>
  <si>
    <t>June</t>
  </si>
  <si>
    <t>July</t>
  </si>
  <si>
    <t>Aug</t>
  </si>
  <si>
    <t>PTIN CIF Rdam June 9-13CFDHedge-1001.526885</t>
  </si>
  <si>
    <t>CPC Taiwain Aug 15-22DFLHedge-7001.72886</t>
  </si>
  <si>
    <t>CPC Taiwain Aug 15-22DFLHedge-5001.47887</t>
  </si>
  <si>
    <t>PTIN CIF Rdam June 9-13CFDExpo1401.81888</t>
  </si>
  <si>
    <t>BP CIF Rdam June 17-21CFDExpo11211.526889</t>
  </si>
  <si>
    <t>Trafi CIF Rdam June 13-17CFDExpo8461.818890</t>
  </si>
  <si>
    <t>PTIN CIF Rdam June 9-13CFDHedge-3001.81891</t>
  </si>
  <si>
    <t>BP CIF Rdam June 17-21CFDHedge-3001.526892</t>
  </si>
  <si>
    <t>CPC Taiwain Aug 15-22DFLHedge-3001.72893</t>
  </si>
  <si>
    <t>CPC Taiwain Aug 15-22WTI SprdsHedge-5001.64894</t>
  </si>
  <si>
    <t>CPC Taiwain Aug 15-22WTI SprdsHedge-5001.25895</t>
  </si>
  <si>
    <t>UnallocatedWTI-BrentHedge2500-3.11896</t>
  </si>
  <si>
    <t>CPC Taiwain Aug 15-22DFLHedge-5001.72897</t>
  </si>
  <si>
    <t>CPC Taiwain Aug 15-22DFLHedge-7501.47898</t>
  </si>
  <si>
    <t>BP CIF Rdam June 17-21CFDHedge-2001.526899</t>
  </si>
  <si>
    <t>Trafi CIF Rdam June 13-17CFDHedge-1001.818900</t>
  </si>
  <si>
    <t>UnallocatedWTI-BrentHedge1853-3.11901</t>
  </si>
  <si>
    <t>UnallocatedBrent SprdsHedge0.87902</t>
  </si>
  <si>
    <t>Trafi CIF Rdam June 13-17CFDHedge15000.472903</t>
  </si>
  <si>
    <t>BP FOB June 9-10 EHSC</t>
  </si>
  <si>
    <t>BP FOB June 9-10 EHSCPhysicalExpo700-1.2904</t>
  </si>
  <si>
    <t>BP FOB June 9-10 EHSCWTI SprdsExpo-7001.64905</t>
  </si>
  <si>
    <t>BP FOB June 9-10 EHSCWTI-BrentExpo-700-2.5906</t>
  </si>
  <si>
    <t>UnallocatedWTI SprdsHedge-10001.64907</t>
  </si>
  <si>
    <t>UnallocatedWTI SprdsHedge-10001.25908</t>
  </si>
  <si>
    <t>UnallocatedDFLHedge-6251.47909</t>
  </si>
  <si>
    <t>UnallocatedCFDHedge-2001.526910</t>
  </si>
  <si>
    <t>UnallocatedCFDHedge-1001.526911</t>
  </si>
  <si>
    <t>UnallocatedCFDHedge-1001.818912</t>
  </si>
  <si>
    <t>UnallocatedWTI SprdsHedge-10001.64913</t>
  </si>
  <si>
    <t>UnallocatedWTI SprdsHedge-10001.25914</t>
  </si>
  <si>
    <t>UnallocatedBrent SprdsHedge00.87915</t>
  </si>
  <si>
    <t>UnallocatedWTI-BrentHedge1870-3.11916</t>
  </si>
  <si>
    <t>UnallocatedWTI-BrentHedge-1853-2.5917</t>
  </si>
  <si>
    <t>UnallocatedWTI SprdsHedge1.25918</t>
  </si>
  <si>
    <t>UnallocatedBrent SprdsHedge3380.87919</t>
  </si>
  <si>
    <t>UnallocatedWTI-BrentHedge500-3.27920</t>
  </si>
  <si>
    <t>UnallocatedWTI SprdsHedge5001.64921</t>
  </si>
  <si>
    <t>UnallocatedWTI SprdsHedge5001.25922</t>
  </si>
  <si>
    <t>UnallocatedWTI SprdsHedge4001.64923</t>
  </si>
  <si>
    <t>UnallocatedWTI SprdsHedge4001.25924</t>
  </si>
  <si>
    <t>UnallocatedWTI SprdsHedge4001.64925</t>
  </si>
  <si>
    <t>UnallocatedWTI SprdsHedge4001.25926</t>
  </si>
  <si>
    <t>UnallocatedWTI SprdsHedge4001.64927</t>
  </si>
  <si>
    <t>UnallocatedWTI SprdsHedge4001.25928</t>
  </si>
  <si>
    <t>UnallocatedDFLHedge54040.141213929</t>
  </si>
  <si>
    <t>Trafi CIF Rdam May30-Jun03CFDHedge-4200.48875930</t>
  </si>
  <si>
    <t>UnallocatedWTI SprdsHedge3501.64931</t>
  </si>
  <si>
    <t>UnallocatedWTI SprdsHedge3501.25932</t>
  </si>
  <si>
    <t>UnallocatedWTI SprdsHedge3501.64933</t>
  </si>
  <si>
    <t>UnallocatedWTI SprdsHedge3501.25934</t>
  </si>
  <si>
    <t>UnallocatedWTI SprdsHedge3501.64935</t>
  </si>
  <si>
    <t>UnallocatedWTI SprdsHedge3501.25936</t>
  </si>
  <si>
    <t>UnallocatedWTI SprdsHedge3501.64937</t>
  </si>
  <si>
    <t>UnallocatedWTI SprdsHedge3501.25938</t>
  </si>
  <si>
    <t>UnallocatedWTI SprdsHedge3501.64939</t>
  </si>
  <si>
    <t>UnallocatedWTI SprdsHedge3501.25940</t>
  </si>
  <si>
    <t>UnallocatedWTI SprdsHedge3501.64941</t>
  </si>
  <si>
    <t>UnallocatedWTI SprdsHedge3501.25942</t>
  </si>
  <si>
    <t>UnallocatedWTI SprdsHedge3501.64943</t>
  </si>
  <si>
    <t>UnallocatedWTI SprdsHedge3501.25944</t>
  </si>
  <si>
    <t>UnallocatedWTI SprdsHedge2501.64945</t>
  </si>
  <si>
    <t>Vitol FOB June Bookout</t>
  </si>
  <si>
    <t>Vitol FOB June BookoutPhysicalExpo7001.15946</t>
  </si>
  <si>
    <t>UnallocatedWTI SprdsHedge5001.64947</t>
  </si>
  <si>
    <t>UnallocatedWTI-BrentHedge500-2.5948</t>
  </si>
  <si>
    <t>UnallocatedWTI SprdsHedge3001.64949</t>
  </si>
  <si>
    <t>UnallocatedWTI SprdsHedge2001.64950</t>
  </si>
  <si>
    <t>UnallocatedWTI SprdsHedge3001.64951</t>
  </si>
  <si>
    <t>UnallocatedWTI SprdsHedge3001.64952</t>
  </si>
  <si>
    <t>HDO CFR Korea Sep 12-22</t>
  </si>
  <si>
    <t>HDO CFR Korea Sep 12-22PhysicalExpo20654.76953</t>
  </si>
  <si>
    <t>HDO CFR Korea Sep 12-22WTI SprdsExpo-20751.64954</t>
  </si>
  <si>
    <t>HDO CFR Korea Sep 12-22WTI SprdsExpo-20651.25955</t>
  </si>
  <si>
    <t>HDO CFR Korea Sep 12-22WTI-BrentExpo-2065-3.27956</t>
  </si>
  <si>
    <t>HDO CFR Korea Sep 12-22Brent SprdsExpo-20650.83957</t>
  </si>
  <si>
    <t>HDO CFR Korea Sep 12-22Freight-TD22Expo-20006000958</t>
  </si>
  <si>
    <t>HDO CFR Korea Sep 12-22Freight-TD22Hedge20006000959</t>
  </si>
  <si>
    <t>HDO CFR Korea Sep 12-22WTI SprdsHedge21001.64960</t>
  </si>
  <si>
    <t>HDO CFR Korea Sep 12-22WTI SprdsHedge21001.25961</t>
  </si>
  <si>
    <t>HDO CFR Korea Sep 12-22WTI-BrentHedge2100-3.27962</t>
  </si>
  <si>
    <t>Equinor FOB Bookout June/July</t>
  </si>
  <si>
    <t>Equinor FOB Bookout June/JulyPhysicalExpo7000.25963</t>
  </si>
  <si>
    <t>Equinor FOB Bookout June/JulyWTI SprdsExpo-7001.64964</t>
  </si>
  <si>
    <t>Equinor FOB Bookout June/JulyWTI SprdsExpo-7001.25965</t>
  </si>
  <si>
    <t>Equinor FOB Bookout June/JulyWTI-BrentExpo-700-3.27966</t>
  </si>
  <si>
    <t>Equinor FOB Bookout June/JulyWTI SprdsHedge9001.64967</t>
  </si>
  <si>
    <t>Equinor FOB Bookout June/JulyWTI SprdsHedge9001.25968</t>
  </si>
  <si>
    <t>Equinor FOB Bookout June/JulyWTI-BrentHedge900-3.27969</t>
  </si>
  <si>
    <t>UnallocatedDFLHedge-2001.47970</t>
  </si>
  <si>
    <t>UnallocatedDFLHedge1001.47971</t>
  </si>
  <si>
    <t>UnallocatedCFDHedge-2001.818972</t>
  </si>
  <si>
    <t>UnallocatedWTI SprdsHedge-5001.64973</t>
  </si>
  <si>
    <t>UnallocatedWTI SprdsHedge-5001.25974</t>
  </si>
  <si>
    <t>UnallocatedWTI SprdsHedge-1501.64975</t>
  </si>
  <si>
    <t>UnallocatedWTI SprdsHedge-1501.25976</t>
  </si>
  <si>
    <t>UnallocatedWTI SprdsHedge-14001.64977</t>
  </si>
  <si>
    <t>UnallocatedCFDHedge-2211.526978</t>
  </si>
  <si>
    <t>UnallocatedCFDHedge801.81979</t>
  </si>
  <si>
    <t>Equinor FOB Bookout June/JulyWTI SprdsHedge2001.64980</t>
  </si>
  <si>
    <t>Equinor FOB Bookout June/JulyWTI SprdsHedge2001.25981</t>
  </si>
  <si>
    <t>Equinor FOB Bookout June/JulyWTI SprdsHedge2001.64982</t>
  </si>
  <si>
    <t>Equinor FOB Bookout June/JulyWTI SprdsHedge2001.64983</t>
  </si>
  <si>
    <t>Equinor FOB Bookout June/JulyWTI SprdsHedge7421.64984</t>
  </si>
  <si>
    <t>Brent SprdsHedge5000.83985</t>
  </si>
  <si>
    <t>WTI-BrentHedge500-3.27986</t>
  </si>
  <si>
    <t>WTI-BrentHedge200-2.5987</t>
  </si>
  <si>
    <t>ENI FOB July 7-10 TBN2</t>
  </si>
  <si>
    <t>ENI FOB July 7-10 TBN2PhysicalExpo7000.45988</t>
  </si>
  <si>
    <t>ENI FOB July 7-10 TBN2WTI SprdsExpo-7001.64989</t>
  </si>
  <si>
    <t>ENI FOB July 7-10 TBN2WTI SprdsExpo-7001.25990</t>
  </si>
  <si>
    <t>ENI FOB July 7-10 TBN2WTI-BrentExpo-700-3.27991</t>
  </si>
  <si>
    <t>UnallocatedWTI SprdsHedge19001.64992</t>
  </si>
  <si>
    <t>UnallocatedWTI SprdsHedge19001.25993</t>
  </si>
  <si>
    <t>UnallocatedWTI-BrentHedge1900-3.27994</t>
  </si>
  <si>
    <t>UnallocatedBrent SprdsHedge5000.87995</t>
  </si>
  <si>
    <t>UnallocatedBrent SprdsHedge5000.87996</t>
  </si>
  <si>
    <t>UnallocatedBrent SprdsHedge5000.83997</t>
  </si>
  <si>
    <t>UnallocatedWTI-BrentHedge1000-2.5998</t>
  </si>
  <si>
    <t>UnallocatedWTI SprdsHedge-9421.64999</t>
  </si>
  <si>
    <t>UnallocatedWTI SprdsHedge-5001.641000</t>
  </si>
  <si>
    <t>UnallocatedWTI SprdsHedge5001.251001</t>
  </si>
  <si>
    <t>UnallocatedWTI Sprds-FlyHedge5001.641002</t>
  </si>
  <si>
    <t>UnallocatedWTI Sprds-FlyHedge-5001.251003</t>
  </si>
  <si>
    <t>UnallocatedWTI-BrentHedge709-2.51004</t>
  </si>
  <si>
    <t>UnallocatedWTI SprdsHedge5001.251005</t>
  </si>
  <si>
    <t>Aug EFP 1</t>
  </si>
  <si>
    <t>Aug EFP 1PhysicalExpo0.041006</t>
  </si>
  <si>
    <t>Aug EFP 1WTI-BrentExpo0-2.51007</t>
  </si>
  <si>
    <t>Aug EFP 1Freight-TD25Expo01008</t>
  </si>
  <si>
    <t>Aug EFP 1Freight-TD7Expo01009</t>
  </si>
  <si>
    <t>Aug EFP 2</t>
  </si>
  <si>
    <t>Aug EFP 2PhysicalExpo0.041010</t>
  </si>
  <si>
    <t>Aug EFP 2WTI-BrentExpo0-2.51011</t>
  </si>
  <si>
    <t>Aug EFP 2Freight-TD25Expo01012</t>
  </si>
  <si>
    <t>Aug EFP 2Freight-TD7Expo01013</t>
  </si>
  <si>
    <t>Aug EFP 3</t>
  </si>
  <si>
    <t>Aug EFP 3PhysicalExpo0.041014</t>
  </si>
  <si>
    <t>Aug EFP 3WTI-BrentExpo0-2.51015</t>
  </si>
  <si>
    <t>Aug EFP 3Freight-TD25Expo01016</t>
  </si>
  <si>
    <t>Aug EFP 3Freight-TD7Expo01017</t>
  </si>
  <si>
    <t>UnallocatedBrent SprdsHedge-10000.871018</t>
  </si>
  <si>
    <t>UnallocatedWTI SprdsHedge-5001.251019</t>
  </si>
  <si>
    <t>UnallocatedWTI SprdsHedge-5000.581020</t>
  </si>
  <si>
    <t>Trafi FOB July 19-20 Pin Oak</t>
  </si>
  <si>
    <t>Trafi FOB July 19-20 Pin OakPhysicalExpo700-0.551021</t>
  </si>
  <si>
    <t>Trafi FOB July 19-20 Pin OakWTI SprdsExpo-7001.251022</t>
  </si>
  <si>
    <t>Trafi FOB July 19-20 Pin OakWTI-BrentExpo-700-3.271023</t>
  </si>
  <si>
    <t>UnallocatedWTI-BrentHedge200-2.51024</t>
  </si>
  <si>
    <t>UnallocatedWTI-BrentHedge54-2.51025</t>
  </si>
  <si>
    <t>Vitol FOB July 14-15 Bookout</t>
  </si>
  <si>
    <t>Vitol FOB July 14-15 BookoutPhysicalExpo700-0.51026</t>
  </si>
  <si>
    <t>Vitol FOB July 14-15 BookoutWTI SprdsExpo-7001.251027</t>
  </si>
  <si>
    <t>Vitol FOB July 14-15 BookoutWTI-BrentExpo-700-3.271028</t>
  </si>
  <si>
    <t>UnallocatedWTI-BrentHedge2100-2.51029</t>
  </si>
  <si>
    <t>UnallocatedWTI-BrentHedge-2100-4.111030</t>
  </si>
  <si>
    <t>UnallocatedWTI-BrentHedge-1000-2.51031</t>
  </si>
  <si>
    <t>UnallocatedWTI-BrentHedge-300-2.51032</t>
  </si>
  <si>
    <t>UnallocatedWTI-BrentHedge-400-2.51033</t>
  </si>
  <si>
    <t>UnallocatedWTI-BrentHedge-400-2.51034</t>
  </si>
  <si>
    <t>UnallocatedBrent SprdsHedge-7690.871035</t>
  </si>
  <si>
    <t>UnallocatedBrent SprdsHedge-1310.871036</t>
  </si>
  <si>
    <t>Trafi FOB July 19-20 Pin OakWTI SprdsHedge5001.251037</t>
  </si>
  <si>
    <t>Trafi FOB July 19-20 Pin OakWTI SprdsHedge5000.581038</t>
  </si>
  <si>
    <t>UnallocatedCFDExpo-2461.8181039</t>
  </si>
  <si>
    <t>Trafi FOB July 19-20 Pin OakWTI SprdsHedge2001.251040</t>
  </si>
  <si>
    <t>UnallocatedWTI-BrentHedge-110-2.51041</t>
  </si>
  <si>
    <t>UnallocatedBrent SprdsHedge-380.871042</t>
  </si>
  <si>
    <t>UnallocatedWTI-BrentHedge500-3.271043</t>
  </si>
  <si>
    <t>Trafi FOB July 19-20 Pin OakWTI SprdsHedge7001.251044</t>
  </si>
  <si>
    <t>UnallocatedWTI-BrentHedge117-4.111045</t>
  </si>
  <si>
    <t>UnallocatedWTI-BrentHedge500-3.271046</t>
  </si>
  <si>
    <t>UnallocatedWTI-BrentHedge500-4.111047</t>
  </si>
  <si>
    <t>CPC Taiwain Aug 15-22DFLHedge-1001.721048</t>
  </si>
  <si>
    <t>GS Caltex DAP Oct 10-16</t>
  </si>
  <si>
    <t>GS Caltex DAP Oct 10-16PhysicalExpo13345.361049</t>
  </si>
  <si>
    <t>GS Caltex DAP Oct 10-16PhysicalExpo7004.961050</t>
  </si>
  <si>
    <t>GS Caltex DAP Oct 10-16WTI SprdsExpo-14001.251051</t>
  </si>
  <si>
    <t>GS Caltex DAP Oct 10-16WTI SprdsExpo-13340.581052</t>
  </si>
  <si>
    <t>GS Caltex DAP Oct 10-16WTI-BrentExpo-1334-4.111053</t>
  </si>
  <si>
    <t>GS Caltex DAP Oct 10-16Brent SprdsExpo-20340.641054</t>
  </si>
  <si>
    <t>GS Caltex DAP Oct 10-16Freight-TD22Expo-200071001055</t>
  </si>
  <si>
    <t>GS Caltex DAP Oct 10-16Freight-TD22Hedge200071001056</t>
  </si>
  <si>
    <t>GS Caltex DAP Oct 10-16Brent SprdsHedge10000.641057</t>
  </si>
  <si>
    <t>GS Caltex DAP Oct 10-16WTI-BrentHedge1000-4.111058</t>
  </si>
  <si>
    <t>GS Caltex DAP Oct 10-16Brent SprdsHedge10000.831059</t>
  </si>
  <si>
    <t>GS Caltex DAP Oct 10-16Brent SprdsHedge10000.641060</t>
  </si>
  <si>
    <t>GS Caltex DAP Oct 10-16WTI SprdsHedge2001.251061</t>
  </si>
  <si>
    <t>GS Caltex DAP Oct 10-16WTI-BrentHedge195-4.111062</t>
  </si>
  <si>
    <t>UnallocatedWTI SprdsHedge-2101.251063</t>
  </si>
  <si>
    <t>UnallocatedWTI SprdsHedge-700.581064</t>
  </si>
  <si>
    <t>UnallocatedWTI-BrentHedge300-4.111065</t>
  </si>
  <si>
    <t>UnallocatedWTI Sprds-FlyHedge-10000.581066</t>
  </si>
  <si>
    <t>UnallocatedWTI Sprds-FlyHedge10000.281067</t>
  </si>
  <si>
    <t>UnallocatedWTI Sprds-FlyHedge-10000.581068</t>
  </si>
  <si>
    <t>UnallocatedWTI Sprds-FlyHedge10000.281069</t>
  </si>
  <si>
    <t>GS Caltex DAP Oct 10-16WTI-BrentHedge500-4.111070</t>
  </si>
  <si>
    <t>GS Caltex DAP Oct 10-16WTI-BrentHedge500-4.111071</t>
  </si>
  <si>
    <t>GS Caltex DAP Oct 10-16WTI-BrentHedge500-4.111072</t>
  </si>
  <si>
    <t>GS Caltex DAP Oct 10-16WTI-BrentHedge500-4.111073</t>
  </si>
  <si>
    <t>GS Caltex DAP Oct 10-16WTI-BrentHedge500-4.111074</t>
  </si>
  <si>
    <t>GS Caltex DAP Oct 10-16WTI-BrentHedge500-4.111075</t>
  </si>
  <si>
    <t>UnallocatedWTI Sprds-FlyHedge-10000.581076</t>
  </si>
  <si>
    <t>UnallocatedWTI Sprds-FlyHedge10000.281077</t>
  </si>
  <si>
    <t>UnallocatedWTI-BrentHedge500-3.271078</t>
  </si>
  <si>
    <t>BP FOB Aug 7-9 EHSC</t>
  </si>
  <si>
    <t>BP FOB Aug 7-9 EHSCPhysicalExpo700-0.221079</t>
  </si>
  <si>
    <t>BP FOB Aug 7-9 EHSCWTI SprdsExpo-7001.251080</t>
  </si>
  <si>
    <t>BP FOB Aug 7-9 EHSCWTI SprdsExpo-7000.581081</t>
  </si>
  <si>
    <t>GS Caltex DAP Oct 10-16WTI-BrentExpo-700-4.111082</t>
  </si>
  <si>
    <t>BP FOB Aug 7-9 EHSCWTI SprdsHedge1501.251083</t>
  </si>
  <si>
    <t>BP FOB Aug 7-9 EHSCWTI SprdsHedge-1920.581084</t>
  </si>
  <si>
    <t>BP FOB Aug 7-9 EHSCWTI SprdsHedge-1920.281085</t>
  </si>
  <si>
    <t>UnallocatedWTI SprdsHedge6381.251086</t>
  </si>
  <si>
    <t>UnallocatedWTI SprdsHedge10001.251087</t>
  </si>
  <si>
    <t>UnallocatedWTI SprdsExpo-7381.251088</t>
  </si>
  <si>
    <t>UnallocatedWTI Sprds-FlyHedge-10000.51089</t>
  </si>
  <si>
    <t>UnallocatedWTI Sprds-FlyHedge10000.191090</t>
  </si>
  <si>
    <t>CPC Taiwan Oct 19-23</t>
  </si>
  <si>
    <t>CPC Taiwan Oct 19-23PhysicalExpo20402.81091</t>
  </si>
  <si>
    <t>CPC Taiwan Oct 19-23WTI SprdsExpo-20400.581092</t>
  </si>
  <si>
    <t>CPC Taiwan Oct 19-23WTI-BrentExpo-2040-4.111093</t>
  </si>
  <si>
    <t>CPC Taiwan Oct 19-23Brent SprdsExpo-20400.641094</t>
  </si>
  <si>
    <t>CPC Taiwan Oct 19-23DFLExpo20400.491095</t>
  </si>
  <si>
    <t>CPC Taiwan Oct 19-23Freight-TD22Expo-200072001096</t>
  </si>
  <si>
    <t>CPC Taiwan Oct 19-23Freight-TD22Hedge200064001097</t>
  </si>
  <si>
    <t>UnallocatedWTI Sprds-FlyHedge-1220.51098</t>
  </si>
  <si>
    <t>UnallocatedWTI Sprds-FlyHedge1220.191099</t>
  </si>
  <si>
    <t>Cargo NameBrent SprdsHedge650.831100</t>
  </si>
  <si>
    <t>UnallocatedWTI-BrentHedge-437-3.271101</t>
  </si>
  <si>
    <t>UnallocatedWTI-BrentHedge437-4.111102</t>
  </si>
  <si>
    <t>CPC Taiwan Oct 19-23DFLHedge-1231.471103</t>
  </si>
  <si>
    <t>July25 EFP 1Freight-TD7Expo-7001171104</t>
  </si>
  <si>
    <t>CPC Taiwan Oct 19-23WTI SprdsHedge3000.581105</t>
  </si>
  <si>
    <t>CPC Taiwan Oct 19-23WTI SprdsHedge3000.581106</t>
  </si>
  <si>
    <t>CPC Taiwan Oct 19-23WTI SprdsHedge3000.581107</t>
  </si>
  <si>
    <t>CPC Taiwan Oct 19-23WTI SprdsHedge3000.581108</t>
  </si>
  <si>
    <t>CPC Taiwan Oct 19-23WTI SprdsHedge3000.581109</t>
  </si>
  <si>
    <t>CPC Taiwan Oct 19-23DFLHedge-3500.491110</t>
  </si>
  <si>
    <t>CPC Taiwan Oct 19-23DFLHedge-3000.491111</t>
  </si>
  <si>
    <t>HDO DAP Korea Nov 8-18</t>
  </si>
  <si>
    <t>HDO DAP Korea Nov 8-18PhysicalExpo14294.11112</t>
  </si>
  <si>
    <t>HDO DAP Korea Nov 8-18PhysicalExpo6983.81113</t>
  </si>
  <si>
    <t>HDO DAP Korea Nov 8-18WTI SprdsExpo-21270.581114</t>
  </si>
  <si>
    <t>HDO DAP Korea Nov 8-18WTI SprdsExpo-21270.281115</t>
  </si>
  <si>
    <t>HDO DAP Korea Nov 8-18WTI-BrentExpo-2127-4.651116</t>
  </si>
  <si>
    <t>HDO DAP Korea Nov 8-18Brent SprdsExpo-21270.991117</t>
  </si>
  <si>
    <t>HDO DAP Korea Nov 8-18Freight-TD22Expo-200072001118</t>
  </si>
  <si>
    <t>HDO DAP Korea Nov 8-18Freight-TD22Hedge200072001119</t>
  </si>
  <si>
    <t>HDO DAP Korea Nov 8-18WTI SprdsHedge20000.581120</t>
  </si>
  <si>
    <t>HDO DAP Korea Nov 8-18WTI SprdsHedge20000.281121</t>
  </si>
  <si>
    <t>HDO DAP Korea Nov 8-18WTI-BrentHedge2000-4.651122</t>
  </si>
  <si>
    <t>HDO DAP Korea Nov 8-18WTI-BrentHedge630-4.111123</t>
  </si>
  <si>
    <t>Ampol FOB Sep 15-20</t>
  </si>
  <si>
    <t>Ampol FOB Sep 15-20PhysicalExpo740-11124</t>
  </si>
  <si>
    <t>Ampol FOB Sep 15-20WTI SprdsExpo-7400.581125</t>
  </si>
  <si>
    <t>Ampol FOB Sep 15-20WTI SprdsExpo-7400.281126</t>
  </si>
  <si>
    <t>Ampol FOB Sep 15-20WTI-BrentExpo-740-4.651127</t>
  </si>
  <si>
    <t>CPC Taiwan Oct 19-23DFLHedge-2000.491128</t>
  </si>
  <si>
    <t>BP FOB Sep 5-10</t>
  </si>
  <si>
    <t>BP FOB Sep 5-10PhysicalExpo700-0.951129</t>
  </si>
  <si>
    <t>BP FOB Sep 5-10WTI SprdsExpo-7000.581130</t>
  </si>
  <si>
    <t>BP FOB Sep 5-10WTI SprdsExpo-7000.281131</t>
  </si>
  <si>
    <t>BP FOB Sep 5-10WTI-BrentExpo-700-4.651132</t>
  </si>
  <si>
    <t>Ampol FOB Sep 15-20WTI SprdsHedge2500.581133</t>
  </si>
  <si>
    <t>Ampol FOB Sep 15-20WTI SprdsHedge2500.581134</t>
  </si>
  <si>
    <t>Ampol FOB Sep 15-20WTI SprdsHedge2500.581135</t>
  </si>
  <si>
    <t>Ampol FOB Sep 15-20WTI SprdsHedge2500.581136</t>
  </si>
  <si>
    <t>Ampol FOB Sep 15-20WTI SprdsHedge2500.581137</t>
  </si>
  <si>
    <t>HDO DAP Korea Nov 8-18Brent SprdsHedge5000.641138</t>
  </si>
  <si>
    <t>HDO DAP Korea Nov 8-18Brent SprdsHedge5000.991139</t>
  </si>
  <si>
    <t>HDO DAP Korea Nov 8-18WTI SprdsHedge10000.581140</t>
  </si>
  <si>
    <t>Ampol FOB Sep 15-20WTI SprdsHedge2500.581141</t>
  </si>
  <si>
    <t>UnallocatedWTI Sprds-FlyHedge30000.581142</t>
  </si>
  <si>
    <t>UnallocatedWTI Sprds-FlyHedge-30000.281143</t>
  </si>
  <si>
    <t>Ampol FOB Sep 15-20WTI-BrentHedge500-4.651144</t>
  </si>
  <si>
    <t>HDO DAP Korea Nov 8-18Brent SprdsHedge-2000.641145</t>
  </si>
  <si>
    <t>HDO DAP Korea Nov 8-18Brent SprdsHedge-2000.991146</t>
  </si>
  <si>
    <t>HDO DAP Korea Nov 8-18WTI SprdsHedge10000.581147</t>
  </si>
  <si>
    <t>HDO DAP Korea Nov 8-18WTI SprdsHedge6410.581148</t>
  </si>
  <si>
    <t>HDO DAP Korea Nov 8-18WTI SprdsHedge2620.581149</t>
  </si>
  <si>
    <t>UnallocatedBrent SprdsHedge-10000.641150</t>
  </si>
  <si>
    <t>UnallocatedBrent SprdsHedge-10000.991151</t>
  </si>
  <si>
    <t>UnallocatedBrent SprdsHedge10000.641152</t>
  </si>
  <si>
    <t>UnallocatedBrent SprdsHedge10000.991153</t>
  </si>
  <si>
    <t>UnallocatedWTI SprdsHedge15000.281154</t>
  </si>
  <si>
    <t>UnallocatedWTI SprdsHedge15000.51155</t>
  </si>
  <si>
    <t>UnallocatedDFLHedge17000.491156</t>
  </si>
  <si>
    <t>UnallocatedFreight-TD25Hedge5001621157</t>
  </si>
  <si>
    <t>UnallocatedBrent SprdsHedge8870.641158</t>
  </si>
  <si>
    <t>UnallocatedBrent SprdsHedge8870.991159</t>
  </si>
  <si>
    <t>Sep01-Sep05</t>
  </si>
  <si>
    <t>UnallocatedCFDHedge-2000.4121160</t>
  </si>
  <si>
    <t>Sep08-Sep12</t>
  </si>
  <si>
    <t>UnallocatedCFDHedge-200-0.0351161</t>
  </si>
  <si>
    <t>Sep15-Sep19</t>
  </si>
  <si>
    <t>UnallocatedCFDHedge-2000.2211162</t>
  </si>
  <si>
    <t>UnallocatedDFLHedge-5000.491163</t>
  </si>
  <si>
    <t>Oct EFP 1</t>
  </si>
  <si>
    <t>Oct EFP 1PhysicalExpo700-0.011164</t>
  </si>
  <si>
    <t>Oct EFP 1WTI-BrentExpo-700-4.111165</t>
  </si>
  <si>
    <t>Oct EFP 1Freight-TD25Expo-7001621166</t>
  </si>
  <si>
    <t>Oct EFP 1Freight-TD25Hedge7001621167</t>
  </si>
  <si>
    <t>Oct EFP 1Freight-TD7Expo700145.051168</t>
  </si>
  <si>
    <t>Oct EFP 1Freight-TD7Hedge-700145.051169</t>
  </si>
  <si>
    <t>Oct EFP 1WTI-BrentHedge105-4.111170</t>
  </si>
  <si>
    <t>UnallocatedCFDHedge-1000.4121171</t>
  </si>
  <si>
    <t>UnallocatedDFLHedge-6000.491172</t>
  </si>
  <si>
    <t>UnallocatedDFLHedge-5000.491173</t>
  </si>
  <si>
    <t>UnallocatedBrent SprdsHedge-5000.991174</t>
  </si>
  <si>
    <t>UnallocatedBrent SprdsHedge-5000.31175</t>
  </si>
  <si>
    <t>UnallocatedBrent SprdsHedge9970.641176</t>
  </si>
  <si>
    <t>Oct EFP 1WTI-BrentHedge590-4.111177</t>
  </si>
  <si>
    <t>UnallocatedWTI SprdsHedge1100.281178</t>
  </si>
  <si>
    <t>UnallocatedBrent SprdsHedge-1100.641179</t>
  </si>
  <si>
    <t>UnallocatedCFDHedge-4000.4121180</t>
  </si>
  <si>
    <t>UnallocatedCFDHedge200-0.0351181</t>
  </si>
  <si>
    <t>UnallocatedCFDHedge2000.2211182</t>
  </si>
  <si>
    <t>Oct EFP 1WTI-BrentHedge250-4.651183</t>
  </si>
  <si>
    <t>Oct EFP 1WTI-BrentHedge250-4.651184</t>
  </si>
  <si>
    <t>Oct EFP 1WTI-BrentHedge250-4.651185</t>
  </si>
  <si>
    <t>Oct EFP 1WTI-BrentHedge500-4.651186</t>
  </si>
  <si>
    <t>Oct EFP 1WTI-BrentHedge500-4.651187</t>
  </si>
  <si>
    <t>UnallocatedBrent SprdsHedge20000.991188</t>
  </si>
  <si>
    <t>UnallocatedBrent SprdsHedge20000.31189</t>
  </si>
  <si>
    <t>UnallocatedWTI SprdsHedge10000.281190</t>
  </si>
  <si>
    <t>Nov25 EFP 1</t>
  </si>
  <si>
    <t>Nov25 EFP 1PhysicalExpo700-0.011191</t>
  </si>
  <si>
    <t>Nov25 EFP 1WTI SprdsExpo-7000.281192</t>
  </si>
  <si>
    <t>Nov25 EFP 1WTI-BrentExpo-700-4.651193</t>
  </si>
  <si>
    <t>Nov25 EFP 1Freight-TD25Expo-700175.151194</t>
  </si>
  <si>
    <t>Nov25 EFP 1Freight-TD25Hedge700175.151195</t>
  </si>
  <si>
    <t>Nov25 EFP 1Freight-TD7Expo7001581196</t>
  </si>
  <si>
    <t>Nov25 EFP 1Freight-TD7Hedge-7001581197</t>
  </si>
  <si>
    <t>UnallocatedCFDHedge7000.4121198</t>
  </si>
  <si>
    <t>Trafi FOB Oct 5-10</t>
  </si>
  <si>
    <t>Trafi FOB Oct 5-10PhysicalExpo70001199</t>
  </si>
  <si>
    <t>Trafi FOB Oct 5-10WTI SprdsExpo-7000.281200</t>
  </si>
  <si>
    <t>Trafi FOB Oct 5-10WTI-BrentExpo-700-4.091201</t>
  </si>
  <si>
    <t>Trafi FOB Oct 5-10WTI SprdsExpo-7000.51202</t>
  </si>
  <si>
    <t>UnallocatedWTI SprdsHedge-7720.191203</t>
  </si>
  <si>
    <t>UnallocatedWTI SprdsHedge-3780.51204</t>
  </si>
  <si>
    <t>UnallocatedBrent SprdsHedge-15000.31205</t>
  </si>
  <si>
    <t>UnallocatedBrent SprdsHedge-8000.991206</t>
  </si>
  <si>
    <t>UnallocatedWTI SprdsHedge5490.281207</t>
  </si>
  <si>
    <t>UnallocatedBrent SprdsHedge2400.991208</t>
  </si>
  <si>
    <t>UnallocatedWTI-BrentHedge17-4.651209</t>
  </si>
  <si>
    <t>UnallocatedWTI SprdsHedge2500.51210</t>
  </si>
  <si>
    <t>UnallocatedDFLHedge-12900.491211</t>
  </si>
  <si>
    <t>UnallocatedFreight-TD25Hedge-5001621212</t>
  </si>
  <si>
    <t>UnallocatedDFLHedge2100.071213</t>
  </si>
  <si>
    <t>UnallocatedWTI-BrentHedge272-4.091214</t>
  </si>
  <si>
    <t>UnallocatedWTI SprdsHedge2720.51215</t>
  </si>
  <si>
    <t>BP FOB VLCC Nov 15-20</t>
  </si>
  <si>
    <t>BP FOB VLCC Nov 15-20PhysicalExpo2100-2.051216</t>
  </si>
  <si>
    <t>BP FOB VLCC Nov 15-20WTI SprdsExpo-21000.51217</t>
  </si>
  <si>
    <t>BP FOB VLCC Nov 15-20WTI SprdsExpo-21000.191218</t>
  </si>
  <si>
    <t>BP FOB VLCC Nov 15-20WTI-BrentExpo-2100-4.651219</t>
  </si>
  <si>
    <t>UnallocatedDFLHedge-5000.071220</t>
  </si>
  <si>
    <t>UnallocatedWTI SprdsHedge4000.51221</t>
  </si>
  <si>
    <t>UnallocatedWTI SprdsHedge4000.51222</t>
  </si>
  <si>
    <t>UnallocatedWTI SprdsHedge1390.51223</t>
  </si>
  <si>
    <t>BP FOB VLCC Nov 15-20WTI-BrentHedge82-4.091224</t>
  </si>
  <si>
    <t>CPC Taiwan Jan 17-21</t>
  </si>
  <si>
    <t>CPC Taiwan Jan 17-21PhysicalExpo21003.981225</t>
  </si>
  <si>
    <t>CPC Taiwan Jan 17-21WTI SprdsExpo-20750.51226</t>
  </si>
  <si>
    <t>CPC Taiwan Jan 17-21WTI SprdsExpo-21000.191227</t>
  </si>
  <si>
    <t>CPC Taiwan Jan 17-21WTI-BrentExpo-2100-4.651228</t>
  </si>
  <si>
    <t>CPC Taiwan Jan 17-21DFLExpo21000.991229</t>
  </si>
  <si>
    <t>CPC Taiwan Jan 17-21Brent SprdsExpo-21000.821230</t>
  </si>
  <si>
    <t>CPC Taiwan Jan 17-21Freight-TD22Expo-2000122501231</t>
  </si>
  <si>
    <t>CPC Taiwan Jan 17-21Freight-TD22Expo2000122501232</t>
  </si>
  <si>
    <t>UnallocatedWTI SprdsHedge34140.51233</t>
  </si>
  <si>
    <t>CPC Taiwan Jan 17-21WTI SprdsHedge3000.191234</t>
  </si>
  <si>
    <t>UnallocatedBrent SprdsHedge10000.821235</t>
  </si>
  <si>
    <t>UnallocatedWTI SprdsHedge8930.191236</t>
  </si>
  <si>
    <t>UnallocatedWTI SprdsHedge-8930.151237</t>
  </si>
  <si>
    <t>UnallocatedDFLHedge5000.031238</t>
  </si>
  <si>
    <t>UnallocatedDFLHedge5000.031239</t>
  </si>
  <si>
    <t>UnallocatedWTI SprdsHedge10000.191240</t>
  </si>
  <si>
    <t>UnallocatedWTI SprdsHedge-10000.151241</t>
  </si>
  <si>
    <t>UnallocatedBrent SprdsHedge10000.31242</t>
  </si>
  <si>
    <t>UnallocatedBrent SprdsHedge10000.31243</t>
  </si>
  <si>
    <t>UnallocatedDFLHedge-3010.031244</t>
  </si>
  <si>
    <t>UnallocatedDFLHedge3010.991245</t>
  </si>
  <si>
    <t>UnallocatedWTI SprdsHedge5000.191246</t>
  </si>
  <si>
    <t>UnallocatedWTI SprdsHedge2000.191247</t>
  </si>
  <si>
    <t>UnallocatedWTI SprdsHedge10000.191248</t>
  </si>
  <si>
    <t>Dec25 EFP 1</t>
  </si>
  <si>
    <t>Dec25 EFP 1PhysicalExpo700-0.021249</t>
  </si>
  <si>
    <t>Dec25 EFP 1WTI-BrentExpo-700-4.091250</t>
  </si>
  <si>
    <t>Dec25 EFP 1Freight-TD25Expo-700208.931251</t>
  </si>
  <si>
    <t>Dec25 EFP 1Freight-TD25Hedge700208.931252</t>
  </si>
  <si>
    <t>Dec25 EFP 1Freight-TD7Expo7001601253</t>
  </si>
  <si>
    <t>Dec25 EFP 1Freight-TD7Expo-7001601254</t>
  </si>
  <si>
    <t>Dec25 EFP 1WTI-BrentHedge700-4.091255</t>
  </si>
  <si>
    <t>CPC Taiwan Jan 17-21WTI-BrentHedge1000-4.651256</t>
  </si>
  <si>
    <t>UnallocatedDFLHedge-4000.031257</t>
  </si>
  <si>
    <t>UnallocatedDFLHedge4000.991258</t>
  </si>
  <si>
    <t>UnallocatedWTI-BrentHedge346-4.091259</t>
  </si>
  <si>
    <t>UnallocatedWTI-BrentHedge1000-4.651260</t>
  </si>
  <si>
    <t>UnallocatedWTI SprdsHedge5000.191261</t>
  </si>
  <si>
    <t>UnallocatedBrent SprdsHedge-10000.31262</t>
  </si>
  <si>
    <t>UnallocatedBrent SprdsHedge10000.821263</t>
  </si>
  <si>
    <t>Dec25 EFP 2</t>
  </si>
  <si>
    <t>Dec25 EFP 2PhysicalExpo0.011264</t>
  </si>
  <si>
    <t>Dec25 EFP 2WTI-BrentExpo0-4.091265</t>
  </si>
  <si>
    <t>Dec25 EFP 2WTI-BrentExpo0-4.091266</t>
  </si>
  <si>
    <t>Dec25 EFP 2WTI-BrentExpo0-4.651267</t>
  </si>
  <si>
    <t>Dec25 EFP 2WTI SprdsExpo00.191268</t>
  </si>
  <si>
    <t>Dec25 EFP 2Brent SprdsExpo00.31269</t>
  </si>
  <si>
    <t>Dec25 EFP 2Brent SprdsHedge-7000.31270</t>
  </si>
  <si>
    <t>Dec25 EFP 2Freight-TD25Expo208.931271</t>
  </si>
  <si>
    <t>Dec25 EFP 2Freight-TD7Expo1601272</t>
  </si>
  <si>
    <t>UnallocatedBrent SprdsHedge-10000.31273</t>
  </si>
  <si>
    <t>UnallocatedBrent SprdsHedge10000.821274</t>
  </si>
  <si>
    <t>UnallocatedPhysicalHedge-208651275</t>
  </si>
  <si>
    <t>Dec25 EFP 1Brent SprdsHedge7000.31276</t>
  </si>
  <si>
    <t>UnallocatedDFLHedge-90.031277</t>
  </si>
  <si>
    <t>UnallocatedDFLHedge-10000.991278</t>
  </si>
  <si>
    <t>UnallocatedDFLHedge-10000.991279</t>
  </si>
  <si>
    <t>UnallocatedWTI SprdsHedge5000.151280</t>
  </si>
  <si>
    <t>UnallocatedWTI SprdsHedge3000.191281</t>
  </si>
  <si>
    <t>UnallocatedWTI SprdsHedge3000.151282</t>
  </si>
  <si>
    <t>UnallocatedDFLHedge-4000.991283</t>
  </si>
  <si>
    <t>UnallocatedDFLHedge-4010.991284</t>
  </si>
  <si>
    <t>UnallocatedWTI SprdsHedge-8430.191285</t>
  </si>
  <si>
    <t>UnallocatedWTI SprdsHedge10930.151286</t>
  </si>
  <si>
    <t>Dec25 EFP 2WTI-BrentHedge1200-4.651287</t>
  </si>
  <si>
    <t>Dec25 EFP 2Brent SprdsHedge-9000.821288</t>
  </si>
  <si>
    <t>Dec25 EFP 2WTI-BrentHedge893-4.651289</t>
  </si>
  <si>
    <t>HDO Feb26 5-15</t>
  </si>
  <si>
    <t>HDO Feb26 5-15PhysicalExpo21004.811290</t>
  </si>
  <si>
    <t>HDO Feb26 5-15WTI SprdsExpo-21000.191291</t>
  </si>
  <si>
    <t>HDO Feb26 5-15WTI SprdsExpo-21000.151292</t>
  </si>
  <si>
    <t>HDO Feb26 5-15WTI-BrentExpo-2100-3.971293</t>
  </si>
  <si>
    <t>HDO Feb26 5-15Brent SprdsExpo-20050.591294</t>
  </si>
  <si>
    <t>HDO Feb26 5-15Brent SprdsExpo-950.631295</t>
  </si>
  <si>
    <t>HDO Feb26 5-15Freight-TD22Expo-2000137501296</t>
  </si>
  <si>
    <t>HDO Feb26 5-15Freight-TD22Expo2000137501297</t>
  </si>
  <si>
    <t>HDO Feb26 5-15WTI SprdsHedge7250.191298</t>
  </si>
  <si>
    <t>HDO Feb26 5-15WTI SprdsHedge7250.151299</t>
  </si>
  <si>
    <t>HDO Feb26 5-15WTI-BrentHedge725-3.971300</t>
  </si>
  <si>
    <t>HDO Feb26 5-15WTI SprdsHedge14000.191301</t>
  </si>
  <si>
    <t>HDO Feb26 5-15WTI SprdsHedge14000.151302</t>
  </si>
  <si>
    <t>HDO Feb26 5-15WTI-BrentHedge1400-3.971303</t>
  </si>
  <si>
    <t>UnallocatedPhysicalExpo-700-31304</t>
  </si>
  <si>
    <t>HDO Feb26 5-15Brent SprdsHedge2000.591305</t>
  </si>
  <si>
    <t>HDO Feb26 5-15Brent SprdsHedge2000.591306</t>
  </si>
  <si>
    <t>PhysicalExpo700-2.51307</t>
  </si>
  <si>
    <t>WTI SprdsExpo-7000.191308</t>
  </si>
  <si>
    <t>WTI SprdsExpo-7000.151309</t>
  </si>
  <si>
    <t>WTI-BrentExpo-700-3.971310</t>
  </si>
  <si>
    <t>WTI SprdsHedge10000.191311</t>
  </si>
  <si>
    <t>WTI SprdsHedge-10000.151312</t>
  </si>
  <si>
    <t>UnallocatedDFLHedge-4000.991313</t>
  </si>
  <si>
    <t>UnallocatedDFLHedge-3500.991314</t>
  </si>
  <si>
    <t>WTI-BrentHedge350-3.971315</t>
  </si>
  <si>
    <t>WTI-BrentHedge-350-3.651316</t>
  </si>
  <si>
    <t>WTI-BrentHedge500-3.971317</t>
  </si>
  <si>
    <t>WTI-BrentHedge-500-3.651318</t>
  </si>
  <si>
    <t>UnallocatedDFLHedge-4000.991319</t>
  </si>
  <si>
    <t>UnallocatedDFLHedge-5000.991320</t>
  </si>
  <si>
    <t>Exxon CIF Rotts Jan 2-6</t>
  </si>
  <si>
    <t>Exxon CIF Rotts Jan 2-6PhysicalExpo7001.861321</t>
  </si>
  <si>
    <t>Exxon CIF Rotts Jan 2-6WTI SprdsExpo-7000.191322</t>
  </si>
  <si>
    <t>Exxon CIF Rotts Jan 2-6WTI SprdsExpo-7000.151323</t>
  </si>
  <si>
    <t>Exxon CIF Rotts Jan 2-6WTI-BrentExpo-700-3.971324</t>
  </si>
  <si>
    <t>Exxon CIF Rotts Jan 2-6Brent SprdsExpo-7000.591325</t>
  </si>
  <si>
    <t>Exxon CIF Rotts Jan 2-6DFLExpo7001.831326</t>
  </si>
  <si>
    <t>Exxon CIF Rotts Jan 2-6WTI SprdsHedge7000.191327</t>
  </si>
  <si>
    <t>UnallocatedWTI SprdsExpo-14000.191328</t>
  </si>
  <si>
    <t>UnallocatedWTI SprdsHedge10750.191329</t>
  </si>
  <si>
    <t>UnallocatedWTI-BrentHedge107-4.651330</t>
  </si>
  <si>
    <t>Dec25 EFP 1Freight-TD25Expo-700208.931331</t>
  </si>
  <si>
    <t>Dec25 EFP 1Freight-TD25Hedge700208.931332</t>
  </si>
  <si>
    <t>Dec25 EFP 1Freight-TD25Expo-250208.931333</t>
  </si>
  <si>
    <t>UnallocatedBrent SprdsHedge10000.591334</t>
  </si>
  <si>
    <t>UnallocatedWTI SprdsHedge10000.151335</t>
  </si>
  <si>
    <t>UnallocatedDFLHedge10000.991336</t>
  </si>
  <si>
    <t>UnallocatedDFLHedge-10001.831337</t>
  </si>
  <si>
    <t>Dec22-Dec26</t>
  </si>
  <si>
    <t>UnallocatedCFDHedge3001.111338</t>
  </si>
  <si>
    <t>UnallocatedDFLHedge720.991339</t>
  </si>
  <si>
    <t>Exxon CIF Rotts VLCC Jan 19-23</t>
  </si>
  <si>
    <t>Exxon CIF Rotts VLCC Jan 19-23PhysicalExpo13490.51340</t>
  </si>
  <si>
    <t>Exxon CIF Rotts VLCC Jan 19-23PhysicalExpo7000.51341</t>
  </si>
  <si>
    <t>Exxon CIF Rotts VLCC Jan 19-23WTI SprdsExpo-13650.151342</t>
  </si>
  <si>
    <t>Exxon CIF Rotts VLCC Jan 19-23WTI-BrentExpo-1349-3.971343</t>
  </si>
  <si>
    <t>Exxon CIF Rotts VLCC Jan 19-23Brent SprdsExpo-20490.591344</t>
  </si>
  <si>
    <t>Exxon CIF Rotts VLCC Jan 19-23DFLExpo20491.831345</t>
  </si>
  <si>
    <t>HDO Feb26 5-15WTI-BrentHedge450-3.971346</t>
  </si>
  <si>
    <t>HDO Feb26 5-15Brent SprdsHedge10000.591347</t>
  </si>
  <si>
    <t>HDO Feb26 5-15WTI SprdsHedge14000.151348</t>
  </si>
  <si>
    <t>HDO Feb26 5-15WTI-BrentHedge1400-3.971349</t>
  </si>
  <si>
    <t>UnallocatedDFLHedge1880.11350</t>
  </si>
  <si>
    <t>UnallocatedDFLHedge1880.11351</t>
  </si>
  <si>
    <t>UnallocatedDFLHedge1880.11352</t>
  </si>
  <si>
    <t>Dec15-Dec19</t>
  </si>
  <si>
    <t>UnallocatedCFDHedge3001.11353</t>
  </si>
  <si>
    <t>UnallocatedCFDHedge-3001.111354</t>
  </si>
  <si>
    <t>HDO Feb26 5-15WTI SprdsHedge10000.151355</t>
  </si>
  <si>
    <t>Exxon CIF Rotts VLCC Jan 19-23PhysicalHedge00.51356</t>
  </si>
  <si>
    <t>Exxon CIF Rotts VLCC Jan 19-23MEHHedge00.51357</t>
  </si>
  <si>
    <t>January 26 2x EFP</t>
  </si>
  <si>
    <t>January 26 2x EFPPhysicalExpo1400-0.011358</t>
  </si>
  <si>
    <t>January 26 2x EFPWTI-BrentExpo-1400-4.651359</t>
  </si>
  <si>
    <t>January 26 2x EFPFreight-TD25Expo-1400233.511360</t>
  </si>
  <si>
    <t>January 26 2x EFPFreight-TD25Hedge700233.511361</t>
  </si>
  <si>
    <t>January 26 2x EFPFreight-TD25Hedge700233.511362</t>
  </si>
  <si>
    <t>January 26 2x EFPFreight-TD7Expo14001481363</t>
  </si>
  <si>
    <t>January 26 2x EFPFreight-TD7Hedge-140015.45121364</t>
  </si>
  <si>
    <t>UnallocatedDFLHedge10750.991365</t>
  </si>
  <si>
    <t>UnallocatedDFLHedge-10751.831366</t>
  </si>
  <si>
    <t>January 26 2x EFPWTI-BrentExpo1400-4.651367</t>
  </si>
  <si>
    <t>UnallocatedWTI SprdsHedge3350.151368</t>
  </si>
  <si>
    <t>UnallocatedWTI SprdsHedge1340.131369</t>
  </si>
  <si>
    <t>UnallocatedWTI SprdsHedge3350.151370</t>
  </si>
  <si>
    <t>UnallocatedWTI SprdsHedge1340.131371</t>
  </si>
  <si>
    <t>UnallocatedWTI SprdsHedge3350.151372</t>
  </si>
  <si>
    <t>UnallocatedWTI SprdsHedge1340.131373</t>
  </si>
  <si>
    <t>UnallocatedBrent SprdsHedge4290.591374</t>
  </si>
  <si>
    <t>UnallocatedCFDHedge-2001.11375</t>
  </si>
  <si>
    <t>UnallocatedDFLHedge-4001.831376</t>
  </si>
  <si>
    <t>UnallocatedBrent SprdsHedge2000.591377</t>
  </si>
  <si>
    <t>UnallocatedBrent SprdsHedge2000.591378</t>
  </si>
  <si>
    <t>UnallocatedBrent SprdsHedge2000.591379</t>
  </si>
  <si>
    <t>UnallocatedBrent SprdsHedge2000.591380</t>
  </si>
  <si>
    <t>UnallocatedWTI SprdsHedge3350.151381</t>
  </si>
  <si>
    <t>UnallocatedWTI SprdsHedge1340.131382</t>
  </si>
  <si>
    <t>BP FOB Jan26 11-15</t>
  </si>
  <si>
    <t>BP FOB Jan26 11-15PhysicalExpo7001.11383</t>
  </si>
  <si>
    <t>BP FOB Jan26 11-15WTI SprdsExpo-7000.151384</t>
  </si>
  <si>
    <t>BP FOB Jan26 11-15WTI SprdsExpo-2330.131385</t>
  </si>
  <si>
    <t>Jan05-Jan09</t>
  </si>
  <si>
    <t>UnallocatedCFDHedge-2000.971386</t>
  </si>
  <si>
    <t>Jan19-Jan23</t>
  </si>
  <si>
    <t>UnallocatedCFDHedge2000.421387</t>
  </si>
  <si>
    <t>UnallocatedDFLHedge-5000.961388</t>
  </si>
  <si>
    <t>UnallocatedCFDHedge-1001.11389</t>
  </si>
  <si>
    <t>HDO March26 10-20</t>
  </si>
  <si>
    <t>HDO March26 10-20PhysicalExpo20735.251390</t>
  </si>
  <si>
    <t>HDO March26 10-20WTI SprdsExpo-20730.151391</t>
  </si>
  <si>
    <t>HDO March26 10-20WTI SprdsExpo-20730.131392</t>
  </si>
  <si>
    <t>HDO March26 10-20WTI-BrentExpo-2073-4.471393</t>
  </si>
  <si>
    <t>HDO March26 10-20Brent SprdsExpo-19800.631394</t>
  </si>
  <si>
    <t>HDO March26 10-20Brent SprdsExpo-930.371395</t>
  </si>
  <si>
    <t>HDO March26 10-20Freight-TD22Expo-2000137501396</t>
  </si>
  <si>
    <t>HDO March26 10-20Freight-TD22Hedge2000137501397</t>
  </si>
  <si>
    <t>HDO March26 10-20WTI SprdsHedge10240.151398</t>
  </si>
  <si>
    <t>HDO March26 10-20WTI SprdsHedge10240.131399</t>
  </si>
  <si>
    <t>HDO March26 10-20WTI-BrentHedge1024-4.471400</t>
  </si>
  <si>
    <t>HDO March26 10-20WTI-BrentHedge500-4.471401</t>
  </si>
  <si>
    <t>HDO March26 10-20Brent SprdsHedge20000.631402</t>
  </si>
  <si>
    <t>HDO March26 10-20Brent SprdsHedge10000.591403</t>
  </si>
  <si>
    <t>HDO March26 10-20WTI-BrentHedge500-4.471404</t>
  </si>
  <si>
    <t>UnallocatedDFLHedge-3751.831405</t>
  </si>
  <si>
    <t>HDO March26 10-20WTI SprdsHedge2300.151406</t>
  </si>
  <si>
    <t>HDO March26 10-20WTI SprdsHedge920.131407</t>
  </si>
  <si>
    <t>HDO March26 10-20WTI SprdsHedge2300.151408</t>
  </si>
  <si>
    <t>HDO March26 10-20WTI SprdsHedge920.131409</t>
  </si>
  <si>
    <t>HDO March26 10-20WTI SprdsHedge2890.151410</t>
  </si>
  <si>
    <t>HDO March26 10-20WTI SprdsHedge920.131411</t>
  </si>
  <si>
    <t>HDO March26 10-20WTI-BrentHedge500-3.651412</t>
  </si>
  <si>
    <t>UnallocatedWTI-BrentHedge409-4.471413</t>
  </si>
  <si>
    <t>UnallocatedWTI SprdsHedge10000.131414</t>
  </si>
  <si>
    <t>UnallocatedWTI SprdsHedge10000.191415</t>
  </si>
  <si>
    <t>UnallocatedWTI SprdsHedge10000.141416</t>
  </si>
  <si>
    <t>UnallocatedPhysicalExpo1417</t>
  </si>
  <si>
    <t>Glencore FOB VLCC Jan26-30</t>
  </si>
  <si>
    <t>Glencore FOB VLCC Jan26-30PhysicalExpo1400-2.021418</t>
  </si>
  <si>
    <t>Glencore FOB VLCC Jan26-30WTI SprdsExpo-14000.131419</t>
  </si>
  <si>
    <t>Glencore FOB VLCC Jan26-30WTI SprdsExpo-14000.191420</t>
  </si>
  <si>
    <t>Glencore FOB VLCC Jan26-30WTI-BrentExpo-1400-4.031421</t>
  </si>
  <si>
    <t>Glencore FOB VLCC Jan26-30WTI-BrentHedge500-4.471422</t>
  </si>
  <si>
    <t>Glencore FOB VLCC Jan26-30WTI SprdsHedge870.131423</t>
  </si>
  <si>
    <t>Glencore FOB VLCC Jan26-30WTI SprdsHedge5000.131424</t>
  </si>
  <si>
    <t>Feb26 EFP 1</t>
  </si>
  <si>
    <t>Feb26 EFP 1PhysicalExpo7000.011425</t>
  </si>
  <si>
    <t>Feb26 EFP 1WTI-BrentExpo-700-3.971426</t>
  </si>
  <si>
    <t>Feb26 EFP 1WTI-BrentHedge700-3.971427</t>
  </si>
  <si>
    <t>Feb26 EFP 1Freight-TD25Expo-700229.7551428</t>
  </si>
  <si>
    <t>Feb26 EFP 1Freight-TD7Expo7001351429</t>
  </si>
  <si>
    <t>Vitol FOB Jan 28-29 EHSC</t>
  </si>
  <si>
    <t>Vitol FOB Jan 28-29 EHSCPhysicalExpo700-2.321430</t>
  </si>
  <si>
    <t>Vitol FOB Jan 28-29 EHSCMEHExpo1.151431</t>
  </si>
  <si>
    <t>Vitol FOB Jan 28-29 EHSCWTI SprdsExpo-7000.131432</t>
  </si>
  <si>
    <t>Vitol FOB Jan 28-29 EHSCWTI-BrentExpo-700-4.471433</t>
  </si>
  <si>
    <t>UnallocatedCFDHedge2000.971434</t>
  </si>
  <si>
    <t>UnallocatedCFDHedge-2000.421435</t>
  </si>
  <si>
    <t>Vitol FOB Jan 28-29 EHSCWTI SprdsHedge3540.131436</t>
  </si>
  <si>
    <t>Vitol FOB Jan 28-29 EHSCWTI SprdsHedge930.191437</t>
  </si>
  <si>
    <t>Vitol FOB Jan 28-29 EHSCBrent SprdsHedge1250.591438</t>
  </si>
  <si>
    <t>Vitol FOB Jan 28-29 EHSCWTI-BrentHedge24-3.971439</t>
  </si>
  <si>
    <t>Vitol FOB Jan 28-29 EHSCWTI SprdsHedge3540.131440</t>
  </si>
  <si>
    <t>Vitol FOB Jan 28-29 EHSCWTI SprdsHedge930.191441</t>
  </si>
  <si>
    <t>Vitol FOB Jan 28-29 EHSCMEHHedge3751.151442</t>
  </si>
  <si>
    <t>Vitol FOB Jan 28-29 EHSCMEHExpo121.151443</t>
  </si>
  <si>
    <t>Vitol FOB Jan 28-29 EHSCWTI-BrentHedge400-4.031444</t>
  </si>
  <si>
    <t>Vitol FOB Jan 28-29 EHSCWTI SprdsHedge3540.131445</t>
  </si>
  <si>
    <t>Vitol FOB Jan 28-29 EHSCWTI SprdsHedge930.191446</t>
  </si>
  <si>
    <t>Dec25 EFP 1Freight-TD25Expo250208.931447</t>
  </si>
  <si>
    <t>UnallocatedDFLHedge30.991448</t>
  </si>
  <si>
    <t>Vitol FOB Jan 28-29 EHSCMEHHedge2001.151449</t>
  </si>
  <si>
    <t>EOY Flattening OutBrent SprdsHedge1450</t>
  </si>
  <si>
    <t>EOY Flattening OutCFDHedge1451</t>
  </si>
  <si>
    <t>EOY Flattening OutDFLHedge1452</t>
  </si>
  <si>
    <t>EOY Flattening OutFreight-TD22Hedge1453</t>
  </si>
  <si>
    <t>EOY Flattening OutFreight-TD25Hedge1454</t>
  </si>
  <si>
    <t>EOY Flattening OutFreight-TD7Hedge1455</t>
  </si>
  <si>
    <t>EOY Flattening OutLegacy 2024Hedge1456</t>
  </si>
  <si>
    <t>EOY Flattening OutMEHHedge1457</t>
  </si>
  <si>
    <t>EOY Flattening OutPhysicalHedge1458</t>
  </si>
  <si>
    <t>EOY Flattening OutWTI SprdsHedge1459</t>
  </si>
  <si>
    <t>EOY Flattening OutWTI Sprds-FlyHedge1460</t>
  </si>
  <si>
    <t>EOY Flattening OutWTI-BrentHedge1461</t>
  </si>
  <si>
    <t>PLUG, MATCH AFFAN</t>
  </si>
  <si>
    <t>Dangote VLCC March 15-25</t>
  </si>
  <si>
    <t>May/Jun 26</t>
  </si>
  <si>
    <t>Glencore FOB VLCC Jan26-31</t>
  </si>
  <si>
    <t>RA Deal Number</t>
  </si>
  <si>
    <t>SAP Deal Number</t>
  </si>
  <si>
    <t>Physical Xref</t>
  </si>
  <si>
    <t>M1 Instrument</t>
  </si>
  <si>
    <t>M1 Month</t>
  </si>
  <si>
    <t>M1 Volume</t>
  </si>
  <si>
    <t>M2</t>
  </si>
  <si>
    <t>M2 Month</t>
  </si>
  <si>
    <t>M2 Volume</t>
  </si>
  <si>
    <t>Cargoes</t>
  </si>
  <si>
    <t>Feb02-Feb06</t>
  </si>
  <si>
    <t>Feb09-Feb13</t>
  </si>
  <si>
    <t>Gunvor FOB Feb 27-28 STG</t>
  </si>
  <si>
    <t>P66 FOB March 9-14</t>
  </si>
  <si>
    <t>Vitol CIF CCLZ Feb 17</t>
  </si>
  <si>
    <t>HDO May 1-10 WTI+WTL</t>
  </si>
  <si>
    <t>Gunvor FOB Feb28-01 FOB</t>
  </si>
  <si>
    <t>April26 EFP 1</t>
  </si>
  <si>
    <t>GS Caltex Taiwan May 24-28</t>
  </si>
  <si>
    <t>HDO FOB APR 7-12</t>
  </si>
  <si>
    <t>May26 EFP 2</t>
  </si>
  <si>
    <t>May26 EFP 1</t>
  </si>
  <si>
    <t>May26 EFP2</t>
  </si>
  <si>
    <t>CPC Taiwan June 18-22</t>
  </si>
  <si>
    <t>ATS/Vitol June 12-22 b2b</t>
  </si>
  <si>
    <t>HDO July26 10-20</t>
  </si>
  <si>
    <t>ENEOS July 20-30</t>
  </si>
  <si>
    <t>Jun26 EFP1</t>
  </si>
  <si>
    <t>Jun26 EFP2</t>
  </si>
  <si>
    <t>BP FOB June26 10-15</t>
  </si>
  <si>
    <t>GS Caltex Korea Aug 16-22</t>
  </si>
  <si>
    <t>HDO Aug26 22-31 DAP</t>
  </si>
  <si>
    <t>Unipec FOB June26 28-30</t>
  </si>
  <si>
    <t>PX_SETTLE</t>
  </si>
  <si>
    <t>CFDs</t>
  </si>
  <si>
    <t>Dec29-Jan03</t>
  </si>
  <si>
    <t>Spreads</t>
  </si>
  <si>
    <t>Feb</t>
  </si>
  <si>
    <t>PnL ($k)</t>
  </si>
  <si>
    <t>Grand Total</t>
  </si>
  <si>
    <t>Jan12-Jan16</t>
  </si>
  <si>
    <t>Total Spreads</t>
  </si>
  <si>
    <t>Total Sum of Average Price</t>
  </si>
  <si>
    <t>Jul/Aug 26</t>
  </si>
  <si>
    <t>Sum of Average Price</t>
  </si>
  <si>
    <t>Jan26-Jan30</t>
  </si>
  <si>
    <t>Aug/Sep 26</t>
  </si>
  <si>
    <t>Sep/Oct 26</t>
  </si>
  <si>
    <t>Feb16-Feb20</t>
  </si>
  <si>
    <t>Jul 26</t>
  </si>
  <si>
    <t>Feb23-Feb27</t>
  </si>
  <si>
    <t>Aug 26</t>
  </si>
  <si>
    <t>2026 YTD</t>
  </si>
  <si>
    <t>(Multiple Items)</t>
  </si>
  <si>
    <t>Daily Change</t>
  </si>
  <si>
    <t>Sum of Quantity</t>
  </si>
  <si>
    <t>Column Labels</t>
  </si>
  <si>
    <t>Row Labels</t>
  </si>
  <si>
    <t>Sep 26</t>
  </si>
  <si>
    <t>2026 IOU</t>
  </si>
  <si>
    <t>Being a badass</t>
  </si>
  <si>
    <t>ws700 Repsol outcharter</t>
  </si>
  <si>
    <t>TVM on June EFPs</t>
  </si>
  <si>
    <t>632k TVM May HDO</t>
  </si>
  <si>
    <t>May STS cost ENEOS</t>
  </si>
  <si>
    <t>ENEOS TVM</t>
  </si>
  <si>
    <t>FEB 2026</t>
  </si>
  <si>
    <t>Load Month</t>
  </si>
  <si>
    <t>Gunvor FOB Feb28-01</t>
  </si>
  <si>
    <t>Deal Number</t>
  </si>
  <si>
    <t>Vessel Class</t>
  </si>
  <si>
    <t>Volume</t>
  </si>
  <si>
    <t>MEH Diff</t>
  </si>
  <si>
    <t>(+) Premium to MEH</t>
  </si>
  <si>
    <t>FOB Corpus (vs.WTI)</t>
  </si>
  <si>
    <t>FOB Corpus (ICE Brent)</t>
  </si>
  <si>
    <t>(+) Freight</t>
  </si>
  <si>
    <t>(-) TD7 Freight*</t>
  </si>
  <si>
    <t>(+) Demurrage</t>
  </si>
  <si>
    <t>(+) STS</t>
  </si>
  <si>
    <t>(+) TVM</t>
  </si>
  <si>
    <t>(+) Other</t>
  </si>
  <si>
    <t>Landed</t>
  </si>
  <si>
    <t xml:space="preserve">Sold </t>
  </si>
  <si>
    <t>P&amp;L ($/bbl)</t>
  </si>
  <si>
    <t>Day 1 P&amp;L ($k)</t>
  </si>
  <si>
    <t>* Only if Brent EFP cargo</t>
  </si>
  <si>
    <t>Total Costs</t>
  </si>
  <si>
    <t>MARCH 2026</t>
  </si>
  <si>
    <t>Trade Date</t>
  </si>
  <si>
    <t>Sales Price</t>
  </si>
  <si>
    <t>Costs</t>
  </si>
  <si>
    <t>Mark</t>
  </si>
  <si>
    <t>Margin</t>
  </si>
  <si>
    <t>Deal</t>
  </si>
  <si>
    <t>Contract Price</t>
  </si>
  <si>
    <t>Mark (MEH FOB)</t>
  </si>
  <si>
    <t>MEH Month</t>
  </si>
  <si>
    <t>ARA26HS00036</t>
  </si>
  <si>
    <t>HDH26HS00001</t>
  </si>
  <si>
    <t>VIT26HP00037</t>
  </si>
  <si>
    <t>ARA26HS00046</t>
  </si>
  <si>
    <t>ARA26HS00047</t>
  </si>
  <si>
    <t>ARA26HS00045</t>
  </si>
  <si>
    <t>(+) April WTI/Brent</t>
  </si>
  <si>
    <t>ARA26HS00053</t>
  </si>
  <si>
    <t>ARA26HS00044-1</t>
  </si>
  <si>
    <t>ARA26HS00044-2</t>
  </si>
  <si>
    <t>ARA26HP00019-1</t>
  </si>
  <si>
    <t>Price to Receiver (May Dubai)</t>
  </si>
  <si>
    <t>ARA26HP00019-2</t>
  </si>
  <si>
    <t>(-) May BDSS conversion</t>
  </si>
  <si>
    <t>ENE26HS00007</t>
  </si>
  <si>
    <t>Total</t>
  </si>
  <si>
    <t>(-) Interco Fee</t>
  </si>
  <si>
    <t>ARA26HS00069-1</t>
  </si>
  <si>
    <t>(-) TVM Expense</t>
  </si>
  <si>
    <t>ARA26HS00069-2</t>
  </si>
  <si>
    <t>Interco Price ( May Brent Swap)</t>
  </si>
  <si>
    <t>(+) Jun/Jul Brent</t>
  </si>
  <si>
    <t>(-) May DFL</t>
  </si>
  <si>
    <t>Marks Assumptions</t>
  </si>
  <si>
    <t>April</t>
  </si>
  <si>
    <t>May</t>
  </si>
  <si>
    <t>Platts Dated Brent</t>
  </si>
  <si>
    <t>Platts Dubai</t>
  </si>
  <si>
    <t>ICE Brent</t>
  </si>
  <si>
    <t>Argus WTI Houston</t>
  </si>
  <si>
    <t>APRIL 2026</t>
  </si>
  <si>
    <t>(+) May WTI/Brent</t>
  </si>
  <si>
    <t>MAY 2026</t>
  </si>
  <si>
    <t>June Cargo MTM</t>
  </si>
  <si>
    <t>MAY Phys MtM</t>
  </si>
  <si>
    <t>MEH Prices</t>
  </si>
  <si>
    <t>ARA26HS00075</t>
  </si>
  <si>
    <t>ARA26HS00078</t>
  </si>
  <si>
    <t>UNI26HP00023</t>
  </si>
  <si>
    <t>BPO26HS00009</t>
  </si>
  <si>
    <t>JUNE 2026</t>
  </si>
  <si>
    <t>Jun26 EFP 1</t>
  </si>
  <si>
    <t>Jun26 EFP 2</t>
  </si>
  <si>
    <t>(+) Jun WTI/Brent</t>
  </si>
  <si>
    <t>(-) Jul BD</t>
  </si>
  <si>
    <t>Premium</t>
  </si>
  <si>
    <t>Feb MEH</t>
  </si>
  <si>
    <t>Mar MEH</t>
  </si>
  <si>
    <t>GH CL</t>
  </si>
  <si>
    <t>HJ CL</t>
  </si>
  <si>
    <t>Sold to Vitol</t>
  </si>
  <si>
    <t>March WTI</t>
  </si>
  <si>
    <t>JK CL</t>
  </si>
  <si>
    <t>March/Apr WTI</t>
  </si>
  <si>
    <t>May wTI/B</t>
  </si>
  <si>
    <t>KM CL</t>
  </si>
  <si>
    <t>Apr WTI/B</t>
  </si>
  <si>
    <t>FOB</t>
  </si>
  <si>
    <t>Freight*</t>
  </si>
  <si>
    <t>Other</t>
  </si>
  <si>
    <t>Apr DFL</t>
  </si>
  <si>
    <t>STS</t>
  </si>
  <si>
    <t>May/June Brent</t>
  </si>
  <si>
    <t>TVM</t>
  </si>
  <si>
    <t>Sold</t>
  </si>
  <si>
    <t>Apr/May Brent</t>
  </si>
  <si>
    <t>March DFL</t>
  </si>
  <si>
    <t>WTL</t>
  </si>
  <si>
    <t>Apr MEH</t>
  </si>
  <si>
    <t>Apr/May WTI</t>
  </si>
  <si>
    <t>May WTI-Brent</t>
  </si>
  <si>
    <t>May/June WTI</t>
  </si>
  <si>
    <t>June WTI-Brent</t>
  </si>
  <si>
    <t>FOB Corpus (June ICE Brent)</t>
  </si>
  <si>
    <t>$7,300k VLCC Freight</t>
  </si>
  <si>
    <t>Landed Korea</t>
  </si>
  <si>
    <t>June/July Brent</t>
  </si>
  <si>
    <t>Landed Korea (July ICE basis)</t>
  </si>
  <si>
    <t>Sold to ATF (July ICE basis)</t>
  </si>
  <si>
    <t>Volume (econs assuming 720kb)</t>
  </si>
  <si>
    <t>Volume (econs assuming 700kb)</t>
  </si>
  <si>
    <t>May MEH vs May Nymex WTI</t>
  </si>
  <si>
    <t>Cash</t>
  </si>
  <si>
    <t>FOB Corpus (vs. April Nymex WTI)</t>
  </si>
  <si>
    <t>(+) May/June WTI</t>
  </si>
  <si>
    <t>(+) June WTI-Brent</t>
  </si>
  <si>
    <t>FOB Corpus (vs. June ICE Brent)</t>
  </si>
  <si>
    <t>WS170</t>
  </si>
  <si>
    <t>(+) Freight*</t>
  </si>
  <si>
    <t>April DFL</t>
  </si>
  <si>
    <t>(-) April DFL</t>
  </si>
  <si>
    <t>Landed Rotterdam Apr Dated basis</t>
  </si>
  <si>
    <t>Landed Rotterdam (April Dated basis)</t>
  </si>
  <si>
    <t>Olympic Sky</t>
  </si>
  <si>
    <t>ws rate</t>
  </si>
  <si>
    <t>Landed Rotterdam</t>
  </si>
  <si>
    <t>FOB Corpus (vs. May Nymex WTI)</t>
  </si>
  <si>
    <t>(+) June/July WTI</t>
  </si>
  <si>
    <t>(+) July WTI-Brent</t>
  </si>
  <si>
    <t>Landed India</t>
  </si>
  <si>
    <t>WTI - ATA</t>
  </si>
  <si>
    <t>WTI - MPC</t>
  </si>
  <si>
    <t>WTL - MPC</t>
  </si>
  <si>
    <t>(+) June/July Brent</t>
  </si>
  <si>
    <t>(+) July/Aug Brent</t>
  </si>
  <si>
    <t>(+) Aug/Sep Brent</t>
  </si>
  <si>
    <t>Landed Malaysia</t>
  </si>
  <si>
    <t>FOB Corpus (vs. July ICE Brent)</t>
  </si>
  <si>
    <t>ws157</t>
  </si>
  <si>
    <t>ws150</t>
  </si>
  <si>
    <t>(-) TD7 Freight</t>
  </si>
  <si>
    <t>ws120</t>
  </si>
  <si>
    <t>(-) June DFL</t>
  </si>
  <si>
    <t>ws145</t>
  </si>
  <si>
    <t>FOB Corpus (vs. June Nymex WTI)</t>
  </si>
  <si>
    <t>(+) July/Aug WTI</t>
  </si>
  <si>
    <t>(+) Aug WTI-Brent</t>
  </si>
  <si>
    <t>(+) Aug/Sep WTI</t>
  </si>
  <si>
    <t>(+) Sep WTI-Brent</t>
  </si>
  <si>
    <t>(-) July DFL</t>
  </si>
  <si>
    <t xml:space="preserve">Landed </t>
  </si>
  <si>
    <t>June MEH</t>
  </si>
  <si>
    <t>(+) Sep/Oct Brent</t>
  </si>
  <si>
    <t>Vitol Aug 14-15 Bookout</t>
  </si>
  <si>
    <t>Aug MEH</t>
  </si>
  <si>
    <t>(+) Sep/Oct WTI</t>
  </si>
  <si>
    <t>(+) Oct WTI-Brent</t>
  </si>
  <si>
    <t>(+) Oct/Nov Brent</t>
  </si>
  <si>
    <t>(-) Sep DFL</t>
  </si>
  <si>
    <t>Sep MEH</t>
  </si>
  <si>
    <t>FOB Corpus (vs. Sep Nymex WTI)</t>
  </si>
  <si>
    <t>(+) Oct/Nov WTI</t>
  </si>
  <si>
    <t>(+) Nov WTI-Brent</t>
  </si>
  <si>
    <t>FOB Corpus (vs. Nov ICE Brent)</t>
  </si>
  <si>
    <t>(+) Nov/DecBrent</t>
  </si>
  <si>
    <t>Nov EFP  1</t>
  </si>
  <si>
    <t>Oct/Nov WTI</t>
  </si>
  <si>
    <t>Nov/Dec Brent</t>
  </si>
  <si>
    <t>Nov/Dec WTI</t>
  </si>
  <si>
    <t>Dec/Jan WTI</t>
  </si>
  <si>
    <t>(+) Jan WTI-Brent</t>
  </si>
  <si>
    <t>(+) Jan/Feb Brent</t>
  </si>
  <si>
    <t>(-) Dec DFL</t>
  </si>
  <si>
    <t>(+) Nov/Dec WTI</t>
  </si>
  <si>
    <t>(+) Dec/Jan WTI</t>
  </si>
  <si>
    <t>(+) Jan/FebWTI</t>
  </si>
  <si>
    <t>(+) Feb WTI-Brent</t>
  </si>
  <si>
    <t>Jan/Feb WTI</t>
  </si>
  <si>
    <t>Feb/Mar WTI</t>
  </si>
  <si>
    <t>(+) March WTI-Brent</t>
  </si>
  <si>
    <t>Feb26 MEH</t>
  </si>
  <si>
    <t>Mar/Apr WTI</t>
  </si>
  <si>
    <t>(+) April WTI-Brent</t>
  </si>
  <si>
    <t>(+) Mar/Apr Brent</t>
  </si>
  <si>
    <t>FOB Corpus (vs. Nymex WTI)</t>
  </si>
  <si>
    <t>(+) Apr/May Brent</t>
  </si>
  <si>
    <t>(+) WTI WTI-Brent</t>
  </si>
  <si>
    <t>Yes</t>
  </si>
  <si>
    <t>2026 Active List</t>
  </si>
  <si>
    <t>Sum of PnL</t>
  </si>
  <si>
    <t>Jun/Jul 26</t>
  </si>
  <si>
    <t>Jun/May 26</t>
  </si>
  <si>
    <t>Size</t>
  </si>
  <si>
    <t>Cargo</t>
  </si>
  <si>
    <t>Counterpart</t>
  </si>
  <si>
    <t>Amount</t>
  </si>
  <si>
    <t>CRU24TS118</t>
  </si>
  <si>
    <t>ARX24TS0094</t>
  </si>
  <si>
    <t>Aframax</t>
  </si>
  <si>
    <t>CRU24TS0100</t>
  </si>
  <si>
    <t>ARW24TS0005</t>
  </si>
  <si>
    <t>VLCC</t>
  </si>
  <si>
    <t>CRU24TS0104</t>
  </si>
  <si>
    <t>ARX24TS0081</t>
  </si>
  <si>
    <t>CRU24TS0106</t>
  </si>
  <si>
    <t>ARX24TS0086</t>
  </si>
  <si>
    <t>CRU24TS0108</t>
  </si>
  <si>
    <t>ARW25TS0001</t>
  </si>
  <si>
    <t>CRU24TS0098</t>
  </si>
  <si>
    <t>ARX24TS0080</t>
  </si>
  <si>
    <t>CRU24TS0110</t>
  </si>
  <si>
    <t>ARX24TS0083</t>
  </si>
  <si>
    <t>CRU24TS0112</t>
  </si>
  <si>
    <t>ARX24TS0084</t>
  </si>
  <si>
    <t>CRU24TS0113</t>
  </si>
  <si>
    <t>ARX24TS0085</t>
  </si>
  <si>
    <t>CRU24TS0114</t>
  </si>
  <si>
    <t>ARW24TS0006</t>
  </si>
  <si>
    <t>CRU24TS116</t>
  </si>
  <si>
    <t>SHH24TS0063</t>
  </si>
  <si>
    <t>CRU24TS0119</t>
  </si>
  <si>
    <t>ARW24TS0007</t>
  </si>
  <si>
    <t>CRU24TS0116</t>
  </si>
  <si>
    <t>ARV24TS0022</t>
  </si>
  <si>
    <t>CRU24TS0124</t>
  </si>
  <si>
    <t>GUJ24TS0095</t>
  </si>
  <si>
    <t>CRU24TS0125</t>
  </si>
  <si>
    <t>EQD24TS0031</t>
  </si>
  <si>
    <t>ARW24TS0009</t>
  </si>
  <si>
    <t>CRU25TS003</t>
  </si>
  <si>
    <t>MHI24TS0001</t>
  </si>
  <si>
    <t>CRU25TS004</t>
  </si>
  <si>
    <t>ARW25TS0002</t>
  </si>
  <si>
    <t>CRU25TS006</t>
  </si>
  <si>
    <t>ARX24TS0097</t>
  </si>
  <si>
    <t xml:space="preserve">CRU25TS007 </t>
  </si>
  <si>
    <t>ARX24TS0098</t>
  </si>
  <si>
    <t>CRU25TS009</t>
  </si>
  <si>
    <t>ARX24TS0099</t>
  </si>
  <si>
    <t>CRU25TS011</t>
  </si>
  <si>
    <t>ARW24TS0010</t>
  </si>
  <si>
    <t>CRU25TS008</t>
  </si>
  <si>
    <t>ARX24TS0101</t>
  </si>
  <si>
    <t>CRU25TS010</t>
  </si>
  <si>
    <t>ARX24TS0100</t>
  </si>
  <si>
    <t>CRU25TS014</t>
  </si>
  <si>
    <t>ARV25TS0002</t>
  </si>
  <si>
    <t>CRU25TS019</t>
  </si>
  <si>
    <t>ARX25TS0005-1</t>
  </si>
  <si>
    <t>CRU25TS020</t>
  </si>
  <si>
    <t>ARX25TS0005-2</t>
  </si>
  <si>
    <t>ARA25HS00007</t>
  </si>
  <si>
    <t>CRU25TS016</t>
  </si>
  <si>
    <t>ARW25TS0003</t>
  </si>
  <si>
    <t>CRU25TS018</t>
  </si>
  <si>
    <t>GUJ25TS0014</t>
  </si>
  <si>
    <t>CRU25TS021</t>
  </si>
  <si>
    <t>ARV24TS0004</t>
  </si>
  <si>
    <t>ARA25HS00003</t>
  </si>
  <si>
    <t>CRU25TS024</t>
  </si>
  <si>
    <t>VIT25TS0015</t>
  </si>
  <si>
    <t>VIT25HS00004</t>
  </si>
  <si>
    <t>CRU25TS023</t>
  </si>
  <si>
    <t>MIT25HS00001</t>
  </si>
  <si>
    <t>CRU25TS027</t>
  </si>
  <si>
    <t>BPO25HS0003</t>
  </si>
  <si>
    <t>BPO25HS0004</t>
  </si>
  <si>
    <t>CRU25TS025</t>
  </si>
  <si>
    <t>ARA25HS00005</t>
  </si>
  <si>
    <t>CRU25TS030</t>
  </si>
  <si>
    <t>ARA25HS00006</t>
  </si>
  <si>
    <t>CRU25TS031</t>
  </si>
  <si>
    <t>GLE25HS00000</t>
  </si>
  <si>
    <t>GLE25HS00002</t>
  </si>
  <si>
    <t>CRU25TS032</t>
  </si>
  <si>
    <t>TRA25HS00002</t>
  </si>
  <si>
    <t>TRA25HS00003</t>
  </si>
  <si>
    <t>CRU25TS033</t>
  </si>
  <si>
    <t>ARA25HS00008</t>
  </si>
  <si>
    <t>ARA25HS00009</t>
  </si>
  <si>
    <t>Exxon CIF Rdam May 5-9</t>
  </si>
  <si>
    <t>CRU25TS035</t>
  </si>
  <si>
    <t>ARA25HS00012</t>
  </si>
  <si>
    <t>CRU25TS034</t>
  </si>
  <si>
    <t>ARA25HS000011-1</t>
  </si>
  <si>
    <t>ARA25HS00011</t>
  </si>
  <si>
    <t>CRU25TS037</t>
  </si>
  <si>
    <t>ARA25HS000011-2</t>
  </si>
  <si>
    <t>CRU25TS038</t>
  </si>
  <si>
    <t>ARA25HS00013</t>
  </si>
  <si>
    <t>CRU25TS040</t>
  </si>
  <si>
    <t>ARA25HS00014</t>
  </si>
  <si>
    <t>CRU25TS041</t>
  </si>
  <si>
    <t>ARA25HS00016</t>
  </si>
  <si>
    <t>ARA25HS00017-1</t>
  </si>
  <si>
    <t>ARA25HS00017-2</t>
  </si>
  <si>
    <t>ARA25HS00017-3</t>
  </si>
  <si>
    <t>ARA25HS00019</t>
  </si>
  <si>
    <t>ARA25HS00020</t>
  </si>
  <si>
    <t>ARA25HS00021-1</t>
  </si>
  <si>
    <t>ARA25HS00021-2</t>
  </si>
  <si>
    <t>ARA25HS00021-3</t>
  </si>
  <si>
    <t>ARA25HS00022</t>
  </si>
  <si>
    <t>BPO25HS00008</t>
  </si>
  <si>
    <t>VIT25HS00006</t>
  </si>
  <si>
    <t>REP25HS00010</t>
  </si>
  <si>
    <t>Repsol FOB July 18-20 V Dock</t>
  </si>
  <si>
    <t xml:space="preserve">EQU25HS00009 </t>
  </si>
  <si>
    <t>Equinor FOB Bookout 2</t>
  </si>
  <si>
    <t>ARA25HS00031</t>
  </si>
  <si>
    <t>ENI25HS00001</t>
  </si>
  <si>
    <t>ARA25HS00034</t>
  </si>
  <si>
    <t>Corpus Linefill</t>
  </si>
  <si>
    <t>TRA25HS00027</t>
  </si>
  <si>
    <t>VIT25HS00025</t>
  </si>
  <si>
    <t>ARA25HS00038</t>
  </si>
  <si>
    <t>TRA25HP00045</t>
  </si>
  <si>
    <t>Trafi WTL GS Caltex DAP Oct 10-16</t>
  </si>
  <si>
    <t>BPO25HS00009</t>
  </si>
  <si>
    <t>ARA25HS00048</t>
  </si>
  <si>
    <t>ARA25HS00051</t>
  </si>
  <si>
    <t>TRA25HP00072</t>
  </si>
  <si>
    <t>Sep 15-20 Trafi FOB (from MEH)</t>
  </si>
  <si>
    <t>AMP25HS00001</t>
  </si>
  <si>
    <t>BPO25HS00012</t>
  </si>
  <si>
    <t>ARA25HS00061</t>
  </si>
  <si>
    <t>ARA25HS00070</t>
  </si>
  <si>
    <t>TRA25HS00070</t>
  </si>
  <si>
    <t>BPP25HS00089</t>
  </si>
  <si>
    <t>ARA26HS00006</t>
  </si>
  <si>
    <t>ARA25HS00092</t>
  </si>
  <si>
    <t>ARA26HS00007</t>
  </si>
  <si>
    <t>EXX25HS00147</t>
  </si>
  <si>
    <t>Exxon FOB Dec25 9-10</t>
  </si>
  <si>
    <t>EXX26HS00007</t>
  </si>
  <si>
    <t>ARA26HS00009</t>
  </si>
  <si>
    <t>ARA26HS00010</t>
  </si>
  <si>
    <t>BPO26HS00002</t>
  </si>
  <si>
    <t>ARA26HS00013</t>
  </si>
  <si>
    <t>GLE26HS00001</t>
  </si>
  <si>
    <t>VIT26HS00009</t>
  </si>
  <si>
    <t>ARA26HS00017</t>
  </si>
  <si>
    <t>ARA26HS00023</t>
  </si>
  <si>
    <t>GUN26HS00012</t>
  </si>
  <si>
    <t>PHI26HS00007</t>
  </si>
  <si>
    <t>VIT26HS00011</t>
  </si>
  <si>
    <t>ARA26HS00032</t>
  </si>
  <si>
    <t>GUN26HS00014</t>
  </si>
  <si>
    <t>Trafi WTL FOB Purchase March 13-14</t>
  </si>
  <si>
    <t>ARA26HS000036</t>
  </si>
  <si>
    <t>Order</t>
  </si>
  <si>
    <t>Ending Position</t>
  </si>
  <si>
    <t>Sep</t>
  </si>
  <si>
    <t>Oct</t>
  </si>
  <si>
    <t>ARA26HS00044</t>
  </si>
  <si>
    <t>Start Date</t>
  </si>
  <si>
    <t>Reserve</t>
  </si>
  <si>
    <t>End Date</t>
  </si>
  <si>
    <t>Corpus</t>
  </si>
  <si>
    <t>FDBSM0 Index</t>
  </si>
  <si>
    <t>AGDH26 Comdty</t>
  </si>
  <si>
    <t>PTCRUKU8 PLRT Index</t>
  </si>
  <si>
    <t>NATD00EF Index</t>
  </si>
  <si>
    <t>LHRI003B Index</t>
  </si>
  <si>
    <t>CL1 Comdty</t>
  </si>
  <si>
    <t>YEST_LAST_TRADE</t>
  </si>
  <si>
    <t>Dates</t>
  </si>
  <si>
    <t>PX_LAST</t>
  </si>
  <si>
    <t>LAST_PRICE</t>
  </si>
  <si>
    <t>Corpus / EPIC</t>
  </si>
  <si>
    <t>Corpus / DDI</t>
  </si>
  <si>
    <t>Feb03-Feb07</t>
  </si>
  <si>
    <t>Feb10-Feb14</t>
  </si>
  <si>
    <t>Feb17-Feb21</t>
  </si>
  <si>
    <t>Feb24-Feb28</t>
  </si>
  <si>
    <t>Mar10-Mar14</t>
  </si>
  <si>
    <t>Mar24-Mar28</t>
  </si>
  <si>
    <t>Mar31-Apr04</t>
  </si>
  <si>
    <t>Apr21-Apr25</t>
  </si>
  <si>
    <t>Apr28-May02</t>
  </si>
  <si>
    <t>Jun23-Jun27</t>
  </si>
  <si>
    <t>Sep22-Sep26</t>
  </si>
  <si>
    <t>Sep29-Oct03</t>
  </si>
  <si>
    <t>Oct06-Oct10</t>
  </si>
  <si>
    <t>Oct13-Oct17</t>
  </si>
  <si>
    <t>Oct20-Oct24</t>
  </si>
  <si>
    <t>Oct27-Oct31</t>
  </si>
  <si>
    <t>Nov03-Nov07</t>
  </si>
  <si>
    <t>Nov10-Nov14</t>
  </si>
  <si>
    <t>Nov17-Nov21</t>
  </si>
  <si>
    <t>Nov24-Nov28</t>
  </si>
  <si>
    <t>Dec01-Dec05</t>
  </si>
  <si>
    <t>Dec08-Dec12</t>
  </si>
  <si>
    <t>PCRUDTB1 Index</t>
  </si>
  <si>
    <t>PCRUBRT2 Index</t>
  </si>
  <si>
    <t>CO1 Comdty</t>
  </si>
  <si>
    <t>PX_settle</t>
  </si>
  <si>
    <t>XNSEA</t>
  </si>
  <si>
    <t>Daily</t>
  </si>
  <si>
    <t>Mar</t>
  </si>
  <si>
    <t>Cargoes YTD P&amp;L</t>
  </si>
  <si>
    <t>Jan</t>
  </si>
  <si>
    <t>Apr</t>
  </si>
  <si>
    <t>IOUs</t>
  </si>
  <si>
    <t>Sheet</t>
  </si>
  <si>
    <t>Corpus Adj.</t>
  </si>
  <si>
    <t>.</t>
  </si>
  <si>
    <t>EPIC</t>
  </si>
  <si>
    <t>Saudi/COSA</t>
  </si>
  <si>
    <t>HOU Jamie</t>
  </si>
  <si>
    <t>YTD</t>
  </si>
  <si>
    <t>400 flat</t>
  </si>
  <si>
    <t>October</t>
  </si>
  <si>
    <t>EPIC Math</t>
  </si>
  <si>
    <t xml:space="preserve">  </t>
  </si>
  <si>
    <t>(blank)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</si>
  <si>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</si>
  <si>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</si>
  <si>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</si>
  <si>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</si>
  <si>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</si>
  <si>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</si>
  <si>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</si>
  <si>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25/08/2025</t>
  </si>
  <si>
    <t>26/08/2025</t>
  </si>
  <si>
    <t>27/08/2025</t>
  </si>
  <si>
    <t>28/08/2025</t>
  </si>
  <si>
    <t>29/08/2025</t>
  </si>
  <si>
    <t>15/09/2025</t>
  </si>
  <si>
    <t>16/09/2025</t>
  </si>
  <si>
    <t>EN</t>
  </si>
  <si>
    <t>Spread</t>
  </si>
  <si>
    <t>Price Type</t>
  </si>
  <si>
    <t>Tenor</t>
  </si>
  <si>
    <t>PX_SETTLE_ACTUAL_RT</t>
  </si>
  <si>
    <t>CL</t>
  </si>
  <si>
    <t>CO</t>
  </si>
  <si>
    <t>FSCCM</t>
  </si>
  <si>
    <t>Block</t>
  </si>
  <si>
    <t>Load Mo</t>
  </si>
  <si>
    <t>Volume (kbbl)</t>
  </si>
  <si>
    <t>(+) Prem to MEH</t>
  </si>
  <si>
    <t>FOB Corpus (vs WTI)</t>
  </si>
  <si>
    <t>TD7 Freight</t>
  </si>
  <si>
    <t>Total Cost ($/bbl)</t>
  </si>
  <si>
    <t>Total Costs ($k)</t>
  </si>
  <si>
    <t>Flag</t>
  </si>
  <si>
    <t>All</t>
  </si>
  <si>
    <t>Exclude flagged</t>
  </si>
  <si>
    <t>Incl</t>
  </si>
  <si>
    <t>Month List</t>
  </si>
  <si>
    <t>Vessel List</t>
  </si>
  <si>
    <t>CARGO ECONOMICS DASHBOARD — 2026</t>
  </si>
  <si>
    <t>Cargoes shown</t>
  </si>
  <si>
    <t>Total Volume (kbbl)</t>
  </si>
  <si>
    <t>Total Day-1 P&amp;L ($k)</t>
  </si>
  <si>
    <t>Wtd Avg P&amp;L ($/bbl)</t>
  </si>
  <si>
    <t>Avg Cost ($/bbl)</t>
  </si>
  <si>
    <t>Win Rate</t>
  </si>
  <si>
    <t>P&amp;L BY LOAD MONTH</t>
  </si>
  <si>
    <t>Day-1 P&amp;L ($k)</t>
  </si>
  <si>
    <t>$/bbl</t>
  </si>
  <si>
    <t>P&amp;L BY VESSEL CLASS</t>
  </si>
  <si>
    <t>COST BUILD-UP ($/bbl, volume-weighted)</t>
  </si>
  <si>
    <t>Component</t>
  </si>
  <si>
    <t>CARGO DETAIL (filtered)</t>
  </si>
  <si>
    <t>Vessel</t>
  </si>
  <si>
    <t>FILTERS  ▼  (use dropdowns)</t>
  </si>
  <si>
    <t>Chart helper: Month</t>
  </si>
  <si>
    <t>Chart helper: Vessel</t>
  </si>
  <si>
    <t>Freight ($k)</t>
  </si>
  <si>
    <t>TD7 Freight ($k)</t>
  </si>
  <si>
    <t>Demurrage ($k)</t>
  </si>
  <si>
    <t>STS ($k)</t>
  </si>
  <si>
    <t>TVM ($k)</t>
  </si>
  <si>
    <t>Other ($k)</t>
  </si>
  <si>
    <t>Cost Total ($k)</t>
  </si>
  <si>
    <t>CostIncl</t>
  </si>
  <si>
    <t>CARGO COST DASHBOARD — 2026</t>
  </si>
  <si>
    <t>FILTERS  ▼</t>
  </si>
  <si>
    <t>Freight % of Costs</t>
  </si>
  <si>
    <t>TD7 Credit ($k)</t>
  </si>
  <si>
    <t>COSTS BY LOAD MONTH ($k)</t>
  </si>
  <si>
    <t>COSTS BY VESSEL CLASS ($k)</t>
  </si>
  <si>
    <t>COST MIX — ALL FILTERED CARGOES</t>
  </si>
  <si>
    <t>Total ($k)</t>
  </si>
  <si>
    <t>% of Total</t>
  </si>
  <si>
    <t>* TD7 Freight applies only to Brent EFP cargoes</t>
  </si>
  <si>
    <t>COST DETAIL BY CARGO (filtered, sorted by Total Costs)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</si>
</sst>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[$-409]mmm\-yy;@"/>
    <numFmt numFmtId="166" formatCode="#,##0_);[Red]\(#,##0\);&quot;&quot;_)"/>
    <numFmt numFmtId="167" formatCode="mmm"/>
    <numFmt numFmtId="168" formatCode="0_);[Red]\(0\);&quot;&quot;_)"/>
    <numFmt numFmtId="169" formatCode="_(* #,##0_);_(* \(#,##0\);_(* &quot;-&quot;??_);_(@_)"/>
    <numFmt numFmtId="170" formatCode="_-* #,##0.00_-;\-* #,##0.00_-;_-* &quot;-&quot;??_-;_-@_-"/>
    <numFmt numFmtId="171" formatCode="#,##0;[Red]\(#,##0\);&quot;-&quot;"/>
    <numFmt numFmtId="172" formatCode="&quot;$&quot;#,##0;[Red]\(&quot;$&quot;#,##0\)"/>
    <numFmt numFmtId="173" formatCode="&quot;$&quot;0.00;[Red]\(&quot;$&quot;0.00\)"/>
    <numFmt numFmtId="174" formatCode="&quot;$&quot;#,##0"/>
    <numFmt numFmtId="175" formatCode="&quot;$&quot;0.00"/>
    <numFmt numFmtId="176" formatCode="0.0%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0"/>
      <name val="Calibri"/>
      <family val="2"/>
    </font>
    <font>
      <b/>
      <u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8"/>
      <color rgb="FFFFFFFF"/>
      <name val="Calibri"/>
      <family val="2"/>
      <scheme val="minor"/>
    </font>
    <font>
      <b/>
      <sz val="11"/>
      <color rgb="FF2E5C8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rgb="FF1F3864"/>
      <name val="Calibri"/>
      <family val="2"/>
      <scheme val="minor"/>
    </font>
    <font>
      <i/>
      <sz val="9"/>
      <color rgb="FF80808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CC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5C8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53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38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" fontId="0" fillId="0" borderId="3" xfId="0" applyNumberFormat="1" applyBorder="1"/>
    <xf numFmtId="16" fontId="0" fillId="2" borderId="0" xfId="0" applyNumberFormat="1" applyFill="1"/>
    <xf numFmtId="167" fontId="0" fillId="0" borderId="0" xfId="0" applyNumberFormat="1"/>
    <xf numFmtId="43" fontId="0" fillId="0" borderId="0" xfId="1" applyFont="1" applyAlignment="1">
      <alignment horizontal="center"/>
    </xf>
    <xf numFmtId="14" fontId="0" fillId="0" borderId="0" xfId="0" applyNumberFormat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vertical="center"/>
    </xf>
    <xf numFmtId="0" fontId="0" fillId="2" borderId="0" xfId="0" applyFill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0" fillId="0" borderId="5" xfId="0" applyBorder="1"/>
    <xf numFmtId="165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167" fontId="0" fillId="0" borderId="8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/>
    <xf numFmtId="165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2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0" fontId="0" fillId="0" borderId="11" xfId="0" applyBorder="1"/>
    <xf numFmtId="165" fontId="0" fillId="0" borderId="11" xfId="0" applyNumberFormat="1" applyBorder="1" applyAlignment="1">
      <alignment horizontal="center"/>
    </xf>
    <xf numFmtId="0" fontId="0" fillId="0" borderId="12" xfId="0" applyBorder="1"/>
    <xf numFmtId="0" fontId="2" fillId="2" borderId="0" xfId="0" applyFont="1" applyFill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/>
    </xf>
    <xf numFmtId="164" fontId="0" fillId="0" borderId="0" xfId="3" applyNumberFormat="1" applyFont="1"/>
    <xf numFmtId="164" fontId="9" fillId="2" borderId="1" xfId="0" applyNumberFormat="1" applyFont="1" applyFill="1" applyBorder="1"/>
    <xf numFmtId="0" fontId="10" fillId="3" borderId="13" xfId="0" applyFont="1" applyFill="1" applyBorder="1"/>
    <xf numFmtId="0" fontId="0" fillId="4" borderId="0" xfId="0" applyFill="1" applyAlignment="1">
      <alignment horizontal="left"/>
    </xf>
    <xf numFmtId="164" fontId="0" fillId="4" borderId="0" xfId="3" applyNumberFormat="1" applyFont="1" applyFill="1"/>
    <xf numFmtId="164" fontId="0" fillId="4" borderId="0" xfId="0" applyNumberFormat="1" applyFill="1"/>
    <xf numFmtId="0" fontId="2" fillId="0" borderId="14" xfId="0" applyFont="1" applyBorder="1" applyAlignment="1">
      <alignment horizontal="left"/>
    </xf>
    <xf numFmtId="0" fontId="11" fillId="0" borderId="15" xfId="0" applyFont="1" applyBorder="1" applyAlignment="1">
      <alignment horizontal="center"/>
    </xf>
    <xf numFmtId="17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/>
    </xf>
    <xf numFmtId="168" fontId="0" fillId="4" borderId="5" xfId="0" applyNumberFormat="1" applyFill="1" applyBorder="1" applyAlignment="1">
      <alignment horizontal="center"/>
    </xf>
    <xf numFmtId="168" fontId="0" fillId="4" borderId="4" xfId="0" applyNumberFormat="1" applyFill="1" applyBorder="1" applyAlignment="1">
      <alignment horizontal="center"/>
    </xf>
    <xf numFmtId="168" fontId="11" fillId="4" borderId="19" xfId="0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168" fontId="0" fillId="0" borderId="21" xfId="0" applyNumberFormat="1" applyBorder="1" applyAlignment="1">
      <alignment horizontal="center"/>
    </xf>
    <xf numFmtId="168" fontId="0" fillId="0" borderId="22" xfId="0" applyNumberFormat="1" applyBorder="1" applyAlignment="1">
      <alignment horizontal="center"/>
    </xf>
    <xf numFmtId="168" fontId="0" fillId="4" borderId="23" xfId="0" applyNumberFormat="1" applyFill="1" applyBorder="1" applyAlignment="1">
      <alignment horizontal="center"/>
    </xf>
    <xf numFmtId="0" fontId="0" fillId="0" borderId="24" xfId="0" applyBorder="1" applyAlignment="1">
      <alignment horizontal="center"/>
    </xf>
    <xf numFmtId="168" fontId="0" fillId="0" borderId="25" xfId="0" applyNumberFormat="1" applyBorder="1" applyAlignment="1">
      <alignment horizontal="center"/>
    </xf>
    <xf numFmtId="0" fontId="11" fillId="0" borderId="26" xfId="0" applyFont="1" applyBorder="1" applyAlignment="1">
      <alignment horizontal="center"/>
    </xf>
    <xf numFmtId="168" fontId="11" fillId="4" borderId="27" xfId="0" applyNumberFormat="1" applyFont="1" applyFill="1" applyBorder="1" applyAlignment="1">
      <alignment horizontal="center"/>
    </xf>
    <xf numFmtId="168" fontId="11" fillId="5" borderId="28" xfId="0" applyNumberFormat="1" applyFont="1" applyFill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7" fontId="0" fillId="0" borderId="8" xfId="0" quotePrefix="1" applyNumberFormat="1" applyBorder="1" applyAlignment="1">
      <alignment horizontal="center"/>
    </xf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167" fontId="0" fillId="0" borderId="31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0" fontId="0" fillId="0" borderId="31" xfId="0" applyBorder="1"/>
    <xf numFmtId="165" fontId="0" fillId="0" borderId="31" xfId="0" applyNumberForma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167" fontId="0" fillId="0" borderId="34" xfId="0" applyNumberFormat="1" applyBorder="1" applyAlignment="1">
      <alignment horizontal="center"/>
    </xf>
    <xf numFmtId="166" fontId="0" fillId="0" borderId="34" xfId="0" applyNumberFormat="1" applyBorder="1" applyAlignment="1">
      <alignment horizontal="center"/>
    </xf>
    <xf numFmtId="0" fontId="0" fillId="0" borderId="34" xfId="0" applyBorder="1"/>
    <xf numFmtId="165" fontId="0" fillId="0" borderId="34" xfId="0" applyNumberFormat="1" applyBorder="1" applyAlignment="1">
      <alignment horizontal="center"/>
    </xf>
    <xf numFmtId="0" fontId="0" fillId="0" borderId="35" xfId="0" applyBorder="1"/>
    <xf numFmtId="43" fontId="0" fillId="0" borderId="0" xfId="0" applyNumberFormat="1"/>
    <xf numFmtId="167" fontId="0" fillId="0" borderId="5" xfId="0" quotePrefix="1" applyNumberFormat="1" applyBorder="1" applyAlignment="1">
      <alignment horizontal="center"/>
    </xf>
    <xf numFmtId="9" fontId="0" fillId="0" borderId="0" xfId="4" applyFont="1"/>
    <xf numFmtId="0" fontId="2" fillId="2" borderId="8" xfId="0" applyFont="1" applyFill="1" applyBorder="1" applyAlignment="1">
      <alignment horizontal="center" vertical="center"/>
    </xf>
    <xf numFmtId="166" fontId="0" fillId="0" borderId="37" xfId="0" applyNumberFormat="1" applyBorder="1" applyAlignment="1">
      <alignment horizontal="center"/>
    </xf>
    <xf numFmtId="166" fontId="0" fillId="0" borderId="38" xfId="0" applyNumberFormat="1" applyBorder="1" applyAlignment="1">
      <alignment horizontal="center"/>
    </xf>
    <xf numFmtId="166" fontId="0" fillId="0" borderId="39" xfId="0" applyNumberFormat="1" applyBorder="1" applyAlignment="1">
      <alignment horizontal="center"/>
    </xf>
    <xf numFmtId="2" fontId="0" fillId="0" borderId="0" xfId="0" applyNumberFormat="1"/>
    <xf numFmtId="0" fontId="0" fillId="2" borderId="5" xfId="0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/>
    </xf>
    <xf numFmtId="0" fontId="2" fillId="6" borderId="0" xfId="0" applyFont="1" applyFill="1"/>
    <xf numFmtId="169" fontId="0" fillId="0" borderId="0" xfId="1" applyNumberFormat="1" applyFont="1"/>
    <xf numFmtId="14" fontId="2" fillId="0" borderId="0" xfId="0" applyNumberFormat="1" applyFont="1"/>
    <xf numFmtId="43" fontId="2" fillId="0" borderId="0" xfId="1" applyFont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43" fontId="2" fillId="0" borderId="0" xfId="1" applyFont="1"/>
    <xf numFmtId="2" fontId="2" fillId="0" borderId="0" xfId="0" applyNumberFormat="1" applyFont="1"/>
    <xf numFmtId="0" fontId="2" fillId="8" borderId="40" xfId="0" applyFont="1" applyFill="1" applyBorder="1" applyAlignment="1">
      <alignment horizontal="left"/>
    </xf>
    <xf numFmtId="0" fontId="10" fillId="7" borderId="41" xfId="0" applyFont="1" applyFill="1" applyBorder="1" applyAlignment="1">
      <alignment horizontal="left"/>
    </xf>
    <xf numFmtId="43" fontId="0" fillId="0" borderId="0" xfId="0" applyNumberFormat="1" applyAlignment="1">
      <alignment horizontal="center"/>
    </xf>
    <xf numFmtId="0" fontId="0" fillId="2" borderId="3" xfId="0" applyFill="1" applyBorder="1"/>
    <xf numFmtId="0" fontId="13" fillId="0" borderId="3" xfId="0" applyFont="1" applyBorder="1"/>
    <xf numFmtId="0" fontId="2" fillId="0" borderId="10" xfId="0" applyFont="1" applyBorder="1"/>
    <xf numFmtId="43" fontId="2" fillId="0" borderId="11" xfId="1" applyFont="1" applyBorder="1"/>
    <xf numFmtId="43" fontId="2" fillId="0" borderId="12" xfId="1" applyFont="1" applyBorder="1"/>
    <xf numFmtId="43" fontId="1" fillId="0" borderId="0" xfId="1" applyFont="1"/>
    <xf numFmtId="0" fontId="2" fillId="6" borderId="0" xfId="0" applyFont="1" applyFill="1" applyAlignment="1">
      <alignment horizontal="center"/>
    </xf>
    <xf numFmtId="43" fontId="2" fillId="0" borderId="0" xfId="1" applyFont="1" applyAlignment="1">
      <alignment horizontal="center"/>
    </xf>
    <xf numFmtId="44" fontId="0" fillId="0" borderId="0" xfId="0" applyNumberFormat="1"/>
    <xf numFmtId="0" fontId="13" fillId="0" borderId="0" xfId="0" applyFont="1"/>
    <xf numFmtId="0" fontId="15" fillId="0" borderId="0" xfId="0" applyFont="1" applyAlignment="1">
      <alignment vertical="center"/>
    </xf>
    <xf numFmtId="43" fontId="15" fillId="0" borderId="0" xfId="1" applyFont="1" applyAlignment="1">
      <alignment horizontal="center" vertical="center"/>
    </xf>
    <xf numFmtId="43" fontId="16" fillId="0" borderId="42" xfId="1" applyFont="1" applyBorder="1" applyAlignment="1">
      <alignment horizontal="center" vertical="center"/>
    </xf>
    <xf numFmtId="43" fontId="16" fillId="0" borderId="0" xfId="1" applyFont="1" applyAlignment="1">
      <alignment horizontal="center" vertical="center"/>
    </xf>
    <xf numFmtId="43" fontId="15" fillId="0" borderId="42" xfId="1" applyFont="1" applyBorder="1" applyAlignment="1">
      <alignment horizontal="center" vertical="center"/>
    </xf>
    <xf numFmtId="43" fontId="16" fillId="0" borderId="43" xfId="1" applyFont="1" applyBorder="1" applyAlignment="1">
      <alignment horizontal="center" vertical="center"/>
    </xf>
    <xf numFmtId="43" fontId="15" fillId="0" borderId="0" xfId="1" applyFont="1" applyBorder="1" applyAlignment="1">
      <alignment horizontal="center" vertical="center"/>
    </xf>
    <xf numFmtId="38" fontId="0" fillId="0" borderId="0" xfId="0" applyNumberFormat="1" applyAlignment="1">
      <alignment horizontal="center"/>
    </xf>
    <xf numFmtId="0" fontId="15" fillId="0" borderId="42" xfId="0" applyFont="1" applyBorder="1" applyAlignment="1">
      <alignment vertical="center"/>
    </xf>
    <xf numFmtId="0" fontId="16" fillId="0" borderId="44" xfId="0" applyFont="1" applyBorder="1" applyAlignment="1">
      <alignment vertical="center"/>
    </xf>
    <xf numFmtId="44" fontId="15" fillId="0" borderId="44" xfId="3" applyFont="1" applyBorder="1" applyAlignment="1">
      <alignment horizontal="center" vertical="center"/>
    </xf>
    <xf numFmtId="0" fontId="16" fillId="0" borderId="36" xfId="0" applyFont="1" applyBorder="1" applyAlignment="1">
      <alignment vertical="center"/>
    </xf>
    <xf numFmtId="0" fontId="16" fillId="0" borderId="43" xfId="0" applyFont="1" applyBorder="1" applyAlignment="1">
      <alignment vertical="center"/>
    </xf>
    <xf numFmtId="44" fontId="15" fillId="0" borderId="44" xfId="3" applyFont="1" applyBorder="1" applyAlignment="1">
      <alignment vertical="center"/>
    </xf>
    <xf numFmtId="0" fontId="2" fillId="2" borderId="0" xfId="0" applyFont="1" applyFill="1"/>
    <xf numFmtId="14" fontId="18" fillId="0" borderId="0" xfId="0" applyNumberFormat="1" applyFont="1" applyAlignment="1">
      <alignment horizontal="center"/>
    </xf>
    <xf numFmtId="17" fontId="0" fillId="0" borderId="0" xfId="0" applyNumberFormat="1"/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43" fontId="15" fillId="0" borderId="42" xfId="1" applyFont="1" applyBorder="1" applyAlignment="1">
      <alignment vertical="center"/>
    </xf>
    <xf numFmtId="43" fontId="1" fillId="6" borderId="0" xfId="1" applyFont="1" applyFill="1"/>
    <xf numFmtId="0" fontId="0" fillId="0" borderId="39" xfId="0" applyBorder="1"/>
    <xf numFmtId="0" fontId="0" fillId="0" borderId="43" xfId="0" applyBorder="1"/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center"/>
    </xf>
    <xf numFmtId="167" fontId="0" fillId="0" borderId="43" xfId="0" applyNumberFormat="1" applyBorder="1" applyAlignment="1">
      <alignment horizontal="center"/>
    </xf>
    <xf numFmtId="165" fontId="0" fillId="0" borderId="43" xfId="0" applyNumberFormat="1" applyBorder="1" applyAlignment="1">
      <alignment horizontal="center"/>
    </xf>
    <xf numFmtId="0" fontId="0" fillId="0" borderId="45" xfId="0" applyBorder="1"/>
    <xf numFmtId="166" fontId="0" fillId="6" borderId="43" xfId="0" applyNumberFormat="1" applyFill="1" applyBorder="1" applyAlignment="1">
      <alignment horizontal="center"/>
    </xf>
    <xf numFmtId="14" fontId="0" fillId="0" borderId="0" xfId="1" applyNumberFormat="1" applyFont="1"/>
    <xf numFmtId="165" fontId="0" fillId="2" borderId="0" xfId="0" applyNumberFormat="1" applyFill="1" applyAlignment="1">
      <alignment horizontal="center"/>
    </xf>
    <xf numFmtId="0" fontId="0" fillId="2" borderId="2" xfId="0" applyFill="1" applyBorder="1"/>
    <xf numFmtId="166" fontId="0" fillId="9" borderId="0" xfId="0" applyNumberFormat="1" applyFill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/>
    <xf numFmtId="38" fontId="0" fillId="0" borderId="42" xfId="0" applyNumberFormat="1" applyBorder="1" applyAlignment="1">
      <alignment horizontal="center"/>
    </xf>
    <xf numFmtId="14" fontId="0" fillId="0" borderId="47" xfId="0" applyNumberFormat="1" applyBorder="1"/>
    <xf numFmtId="0" fontId="0" fillId="0" borderId="42" xfId="0" applyBorder="1"/>
    <xf numFmtId="164" fontId="0" fillId="0" borderId="2" xfId="3" applyNumberFormat="1" applyFont="1" applyBorder="1" applyAlignment="1">
      <alignment horizontal="center"/>
    </xf>
    <xf numFmtId="164" fontId="0" fillId="0" borderId="47" xfId="3" applyNumberFormat="1" applyFont="1" applyBorder="1" applyAlignment="1">
      <alignment horizontal="center"/>
    </xf>
    <xf numFmtId="164" fontId="0" fillId="0" borderId="46" xfId="3" applyNumberFormat="1" applyFont="1" applyBorder="1" applyAlignment="1">
      <alignment horizontal="center"/>
    </xf>
    <xf numFmtId="43" fontId="1" fillId="10" borderId="0" xfId="1" applyFont="1" applyFill="1"/>
    <xf numFmtId="0" fontId="15" fillId="10" borderId="0" xfId="0" applyFont="1" applyFill="1" applyAlignment="1">
      <alignment vertical="center"/>
    </xf>
    <xf numFmtId="43" fontId="20" fillId="11" borderId="0" xfId="1" applyFont="1" applyFill="1"/>
    <xf numFmtId="0" fontId="0" fillId="0" borderId="29" xfId="0" applyBorder="1"/>
    <xf numFmtId="0" fontId="0" fillId="0" borderId="38" xfId="0" applyBorder="1"/>
    <xf numFmtId="0" fontId="0" fillId="0" borderId="48" xfId="0" applyBorder="1"/>
    <xf numFmtId="43" fontId="1" fillId="0" borderId="0" xfId="1" applyFont="1" applyAlignment="1">
      <alignment vertical="center"/>
    </xf>
    <xf numFmtId="169" fontId="0" fillId="0" borderId="0" xfId="1" applyNumberFormat="1" applyFont="1" applyBorder="1"/>
    <xf numFmtId="167" fontId="0" fillId="0" borderId="0" xfId="0" applyNumberFormat="1" applyAlignment="1">
      <alignment horizontal="center"/>
    </xf>
    <xf numFmtId="167" fontId="0" fillId="0" borderId="0" xfId="0" quotePrefix="1" applyNumberFormat="1" applyAlignment="1">
      <alignment horizontal="center"/>
    </xf>
    <xf numFmtId="14" fontId="0" fillId="0" borderId="3" xfId="0" applyNumberFormat="1" applyBorder="1"/>
    <xf numFmtId="16" fontId="0" fillId="0" borderId="4" xfId="0" applyNumberFormat="1" applyBorder="1"/>
    <xf numFmtId="16" fontId="0" fillId="0" borderId="7" xfId="0" applyNumberFormat="1" applyBorder="1"/>
    <xf numFmtId="16" fontId="0" fillId="0" borderId="10" xfId="0" applyNumberFormat="1" applyBorder="1"/>
    <xf numFmtId="0" fontId="0" fillId="2" borderId="0" xfId="0" applyFill="1" applyAlignment="1">
      <alignment horizontal="center" vertical="center"/>
    </xf>
    <xf numFmtId="16" fontId="0" fillId="0" borderId="49" xfId="0" applyNumberFormat="1" applyBorder="1"/>
    <xf numFmtId="16" fontId="0" fillId="0" borderId="50" xfId="0" applyNumberFormat="1" applyBorder="1"/>
    <xf numFmtId="14" fontId="0" fillId="0" borderId="0" xfId="0" applyNumberFormat="1" applyAlignment="1">
      <alignment horizontal="center"/>
    </xf>
    <xf numFmtId="14" fontId="0" fillId="2" borderId="3" xfId="0" applyNumberFormat="1" applyFill="1" applyBorder="1"/>
    <xf numFmtId="14" fontId="0" fillId="2" borderId="0" xfId="0" applyNumberFormat="1" applyFill="1"/>
    <xf numFmtId="14" fontId="0" fillId="2" borderId="0" xfId="0" applyNumberFormat="1" applyFill="1" applyAlignment="1">
      <alignment horizontal="center"/>
    </xf>
    <xf numFmtId="0" fontId="0" fillId="0" borderId="0" xfId="0" quotePrefix="1"/>
    <xf numFmtId="16" fontId="0" fillId="2" borderId="3" xfId="0" applyNumberFormat="1" applyFill="1" applyBorder="1"/>
    <xf numFmtId="0" fontId="2" fillId="0" borderId="0" xfId="0" applyFont="1" applyAlignment="1">
      <alignment horizontal="center" vertical="center"/>
    </xf>
    <xf numFmtId="14" fontId="0" fillId="0" borderId="51" xfId="0" applyNumberFormat="1" applyBorder="1"/>
    <xf numFmtId="43" fontId="16" fillId="0" borderId="0" xfId="1" applyFon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2" fillId="2" borderId="37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51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2" fontId="19" fillId="0" borderId="3" xfId="0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11" xfId="1" applyFont="1" applyBorder="1" applyAlignment="1">
      <alignment horizontal="center"/>
    </xf>
    <xf numFmtId="43" fontId="0" fillId="0" borderId="31" xfId="1" applyFont="1" applyBorder="1" applyAlignment="1">
      <alignment horizontal="center"/>
    </xf>
    <xf numFmtId="43" fontId="0" fillId="0" borderId="34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2" fillId="0" borderId="8" xfId="1" applyFont="1" applyBorder="1" applyAlignment="1">
      <alignment horizontal="center"/>
    </xf>
    <xf numFmtId="43" fontId="2" fillId="0" borderId="5" xfId="1" applyFont="1" applyBorder="1" applyAlignment="1">
      <alignment horizontal="center"/>
    </xf>
    <xf numFmtId="43" fontId="0" fillId="2" borderId="0" xfId="1" applyFont="1" applyFill="1" applyAlignment="1">
      <alignment horizontal="center"/>
    </xf>
    <xf numFmtId="43" fontId="0" fillId="0" borderId="43" xfId="1" applyFont="1" applyBorder="1" applyAlignment="1">
      <alignment horizontal="center"/>
    </xf>
    <xf numFmtId="0" fontId="0" fillId="2" borderId="0" xfId="0" applyFill="1" applyAlignment="1">
      <alignment horizontal="center"/>
    </xf>
    <xf numFmtId="43" fontId="1" fillId="0" borderId="0" xfId="1" applyFont="1" applyAlignment="1">
      <alignment horizontal="center"/>
    </xf>
    <xf numFmtId="43" fontId="1" fillId="0" borderId="0" xfId="1" applyFont="1" applyBorder="1" applyAlignment="1">
      <alignment horizontal="center"/>
    </xf>
    <xf numFmtId="14" fontId="17" fillId="0" borderId="3" xfId="0" applyNumberFormat="1" applyFont="1" applyBorder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167" fontId="17" fillId="0" borderId="0" xfId="0" applyNumberFormat="1" applyFont="1" applyAlignment="1">
      <alignment horizontal="center"/>
    </xf>
    <xf numFmtId="43" fontId="17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52" xfId="0" applyBorder="1"/>
    <xf numFmtId="0" fontId="0" fillId="0" borderId="44" xfId="0" applyBorder="1"/>
    <xf numFmtId="14" fontId="0" fillId="0" borderId="53" xfId="0" applyNumberFormat="1" applyBorder="1"/>
    <xf numFmtId="0" fontId="2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7" fontId="0" fillId="0" borderId="44" xfId="0" applyNumberFormat="1" applyBorder="1" applyAlignment="1">
      <alignment horizontal="center"/>
    </xf>
    <xf numFmtId="43" fontId="0" fillId="0" borderId="44" xfId="1" applyFont="1" applyBorder="1" applyAlignment="1">
      <alignment horizontal="center"/>
    </xf>
    <xf numFmtId="2" fontId="2" fillId="0" borderId="53" xfId="0" applyNumberFormat="1" applyFont="1" applyBorder="1" applyAlignment="1">
      <alignment horizontal="center"/>
    </xf>
    <xf numFmtId="166" fontId="0" fillId="0" borderId="44" xfId="0" applyNumberFormat="1" applyBorder="1" applyAlignment="1">
      <alignment horizontal="center"/>
    </xf>
    <xf numFmtId="167" fontId="0" fillId="0" borderId="44" xfId="0" applyNumberFormat="1" applyBorder="1"/>
    <xf numFmtId="165" fontId="0" fillId="0" borderId="44" xfId="0" applyNumberFormat="1" applyBorder="1" applyAlignment="1">
      <alignment horizontal="center"/>
    </xf>
    <xf numFmtId="0" fontId="0" fillId="0" borderId="54" xfId="0" applyBorder="1"/>
    <xf numFmtId="0" fontId="0" fillId="0" borderId="55" xfId="0" applyBorder="1"/>
    <xf numFmtId="0" fontId="0" fillId="0" borderId="20" xfId="0" applyBorder="1"/>
    <xf numFmtId="0" fontId="0" fillId="0" borderId="56" xfId="0" applyBorder="1"/>
    <xf numFmtId="16" fontId="0" fillId="0" borderId="57" xfId="0" applyNumberFormat="1" applyBorder="1"/>
    <xf numFmtId="0" fontId="2" fillId="2" borderId="42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7" fontId="0" fillId="0" borderId="42" xfId="0" applyNumberFormat="1" applyBorder="1" applyAlignment="1">
      <alignment horizontal="center"/>
    </xf>
    <xf numFmtId="43" fontId="0" fillId="0" borderId="42" xfId="1" applyFont="1" applyBorder="1" applyAlignment="1">
      <alignment horizontal="center"/>
    </xf>
    <xf numFmtId="2" fontId="19" fillId="0" borderId="57" xfId="0" applyNumberFormat="1" applyFont="1" applyBorder="1" applyAlignment="1">
      <alignment horizontal="center"/>
    </xf>
    <xf numFmtId="166" fontId="0" fillId="0" borderId="42" xfId="0" applyNumberFormat="1" applyBorder="1" applyAlignment="1">
      <alignment horizontal="center"/>
    </xf>
    <xf numFmtId="167" fontId="0" fillId="0" borderId="42" xfId="0" applyNumberFormat="1" applyBorder="1"/>
    <xf numFmtId="165" fontId="0" fillId="0" borderId="42" xfId="0" applyNumberFormat="1" applyBorder="1" applyAlignment="1">
      <alignment horizontal="center"/>
    </xf>
    <xf numFmtId="0" fontId="0" fillId="0" borderId="47" xfId="0" applyBorder="1"/>
    <xf numFmtId="0" fontId="0" fillId="0" borderId="58" xfId="0" applyBorder="1"/>
    <xf numFmtId="43" fontId="0" fillId="0" borderId="42" xfId="0" applyNumberFormat="1" applyBorder="1"/>
    <xf numFmtId="171" fontId="0" fillId="0" borderId="0" xfId="1" applyNumberFormat="1" applyFont="1" applyBorder="1" applyAlignment="1">
      <alignment horizontal="center"/>
    </xf>
    <xf numFmtId="171" fontId="8" fillId="0" borderId="0" xfId="1" applyNumberFormat="1" applyFont="1" applyBorder="1" applyAlignment="1">
      <alignment horizontal="center"/>
    </xf>
    <xf numFmtId="171" fontId="8" fillId="0" borderId="5" xfId="1" applyNumberFormat="1" applyFont="1" applyBorder="1" applyAlignment="1">
      <alignment horizontal="center"/>
    </xf>
    <xf numFmtId="171" fontId="0" fillId="0" borderId="5" xfId="1" applyNumberFormat="1" applyFont="1" applyBorder="1" applyAlignment="1">
      <alignment horizontal="center"/>
    </xf>
    <xf numFmtId="171" fontId="0" fillId="0" borderId="8" xfId="1" applyNumberFormat="1" applyFont="1" applyBorder="1" applyAlignment="1">
      <alignment horizontal="center"/>
    </xf>
    <xf numFmtId="171" fontId="0" fillId="0" borderId="11" xfId="1" applyNumberFormat="1" applyFont="1" applyBorder="1" applyAlignment="1">
      <alignment horizontal="center"/>
    </xf>
    <xf numFmtId="171" fontId="2" fillId="0" borderId="0" xfId="1" applyNumberFormat="1" applyFont="1" applyBorder="1" applyAlignment="1">
      <alignment horizontal="center"/>
    </xf>
    <xf numFmtId="171" fontId="0" fillId="0" borderId="31" xfId="1" applyNumberFormat="1" applyFont="1" applyBorder="1" applyAlignment="1">
      <alignment horizontal="center"/>
    </xf>
    <xf numFmtId="171" fontId="0" fillId="0" borderId="34" xfId="1" applyNumberFormat="1" applyFont="1" applyBorder="1" applyAlignment="1">
      <alignment horizontal="center"/>
    </xf>
    <xf numFmtId="171" fontId="2" fillId="0" borderId="5" xfId="1" applyNumberFormat="1" applyFont="1" applyBorder="1" applyAlignment="1">
      <alignment horizontal="center"/>
    </xf>
    <xf numFmtId="171" fontId="0" fillId="0" borderId="1" xfId="1" applyNumberFormat="1" applyFont="1" applyBorder="1" applyAlignment="1">
      <alignment horizontal="center"/>
    </xf>
    <xf numFmtId="171" fontId="2" fillId="0" borderId="29" xfId="1" applyNumberFormat="1" applyFont="1" applyBorder="1" applyAlignment="1">
      <alignment horizontal="center"/>
    </xf>
    <xf numFmtId="171" fontId="0" fillId="0" borderId="38" xfId="1" applyNumberFormat="1" applyFont="1" applyBorder="1" applyAlignment="1">
      <alignment horizontal="center"/>
    </xf>
    <xf numFmtId="171" fontId="0" fillId="6" borderId="0" xfId="1" applyNumberFormat="1" applyFont="1" applyFill="1" applyBorder="1" applyAlignment="1">
      <alignment horizontal="center"/>
    </xf>
    <xf numFmtId="171" fontId="1" fillId="0" borderId="0" xfId="1" applyNumberFormat="1" applyFont="1" applyBorder="1" applyAlignment="1">
      <alignment horizontal="center"/>
    </xf>
    <xf numFmtId="171" fontId="1" fillId="6" borderId="0" xfId="1" applyNumberFormat="1" applyFont="1" applyFill="1" applyBorder="1" applyAlignment="1">
      <alignment horizontal="center"/>
    </xf>
    <xf numFmtId="171" fontId="0" fillId="2" borderId="0" xfId="1" applyNumberFormat="1" applyFont="1" applyFill="1" applyBorder="1" applyAlignment="1">
      <alignment horizontal="center"/>
    </xf>
    <xf numFmtId="171" fontId="0" fillId="0" borderId="43" xfId="1" applyNumberFormat="1" applyFont="1" applyBorder="1" applyAlignment="1">
      <alignment horizontal="center"/>
    </xf>
    <xf numFmtId="171" fontId="0" fillId="0" borderId="0" xfId="1" applyNumberFormat="1" applyFont="1" applyFill="1" applyBorder="1" applyAlignment="1">
      <alignment horizontal="center"/>
    </xf>
    <xf numFmtId="171" fontId="0" fillId="12" borderId="0" xfId="1" applyNumberFormat="1" applyFont="1" applyFill="1" applyBorder="1" applyAlignment="1">
      <alignment horizontal="center"/>
    </xf>
    <xf numFmtId="171" fontId="0" fillId="0" borderId="48" xfId="1" applyNumberFormat="1" applyFont="1" applyBorder="1" applyAlignment="1">
      <alignment horizontal="center"/>
    </xf>
    <xf numFmtId="171" fontId="2" fillId="0" borderId="38" xfId="1" applyNumberFormat="1" applyFont="1" applyBorder="1" applyAlignment="1">
      <alignment horizontal="center"/>
    </xf>
    <xf numFmtId="171" fontId="17" fillId="0" borderId="38" xfId="1" applyNumberFormat="1" applyFont="1" applyBorder="1" applyAlignment="1">
      <alignment horizontal="center"/>
    </xf>
    <xf numFmtId="171" fontId="2" fillId="0" borderId="44" xfId="1" applyNumberFormat="1" applyFont="1" applyBorder="1" applyAlignment="1">
      <alignment horizontal="center"/>
    </xf>
    <xf numFmtId="171" fontId="0" fillId="0" borderId="42" xfId="1" applyNumberFormat="1" applyFont="1" applyBorder="1" applyAlignment="1">
      <alignment horizontal="center"/>
    </xf>
    <xf numFmtId="171" fontId="17" fillId="0" borderId="0" xfId="1" applyNumberFormat="1" applyFont="1" applyBorder="1" applyAlignment="1">
      <alignment horizontal="center"/>
    </xf>
    <xf numFmtId="169" fontId="0" fillId="0" borderId="0" xfId="1" applyNumberFormat="1" applyFont="1" applyAlignment="1">
      <alignment horizontal="center"/>
    </xf>
    <xf numFmtId="14" fontId="0" fillId="0" borderId="4" xfId="0" applyNumberFormat="1" applyBorder="1"/>
    <xf numFmtId="43" fontId="1" fillId="0" borderId="5" xfId="1" applyFont="1" applyBorder="1" applyAlignment="1">
      <alignment horizontal="center"/>
    </xf>
    <xf numFmtId="167" fontId="0" fillId="0" borderId="5" xfId="0" applyNumberFormat="1" applyBorder="1"/>
    <xf numFmtId="14" fontId="0" fillId="0" borderId="7" xfId="0" applyNumberFormat="1" applyBorder="1"/>
    <xf numFmtId="43" fontId="1" fillId="0" borderId="8" xfId="1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167" fontId="0" fillId="0" borderId="8" xfId="0" applyNumberFormat="1" applyBorder="1"/>
    <xf numFmtId="0" fontId="17" fillId="0" borderId="10" xfId="0" applyFont="1" applyBorder="1"/>
    <xf numFmtId="0" fontId="17" fillId="0" borderId="11" xfId="0" applyFont="1" applyBorder="1"/>
    <xf numFmtId="14" fontId="17" fillId="0" borderId="10" xfId="0" applyNumberFormat="1" applyFont="1" applyBorder="1"/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/>
    </xf>
    <xf numFmtId="171" fontId="17" fillId="0" borderId="11" xfId="1" applyNumberFormat="1" applyFont="1" applyBorder="1" applyAlignment="1">
      <alignment horizontal="center"/>
    </xf>
    <xf numFmtId="167" fontId="17" fillId="0" borderId="11" xfId="0" applyNumberFormat="1" applyFont="1" applyBorder="1" applyAlignment="1">
      <alignment horizontal="center"/>
    </xf>
    <xf numFmtId="43" fontId="17" fillId="0" borderId="11" xfId="1" applyFont="1" applyBorder="1" applyAlignment="1">
      <alignment horizontal="center"/>
    </xf>
    <xf numFmtId="2" fontId="17" fillId="0" borderId="10" xfId="0" applyNumberFormat="1" applyFont="1" applyBorder="1" applyAlignment="1">
      <alignment horizontal="center"/>
    </xf>
    <xf numFmtId="167" fontId="17" fillId="0" borderId="11" xfId="0" applyNumberFormat="1" applyFont="1" applyBorder="1"/>
    <xf numFmtId="165" fontId="17" fillId="0" borderId="11" xfId="0" applyNumberFormat="1" applyFont="1" applyBorder="1" applyAlignment="1">
      <alignment horizontal="center"/>
    </xf>
    <xf numFmtId="0" fontId="17" fillId="0" borderId="12" xfId="0" applyFont="1" applyBorder="1"/>
    <xf numFmtId="43" fontId="2" fillId="0" borderId="0" xfId="1" applyFont="1" applyBorder="1" applyAlignment="1">
      <alignment horizontal="center"/>
    </xf>
    <xf numFmtId="14" fontId="0" fillId="0" borderId="57" xfId="0" applyNumberFormat="1" applyBorder="1"/>
    <xf numFmtId="166" fontId="3" fillId="13" borderId="11" xfId="0" applyNumberFormat="1" applyFont="1" applyFill="1" applyBorder="1" applyAlignment="1">
      <alignment horizontal="center"/>
    </xf>
    <xf numFmtId="14" fontId="0" fillId="0" borderId="44" xfId="0" applyNumberFormat="1" applyBorder="1"/>
    <xf numFmtId="6" fontId="2" fillId="8" borderId="40" xfId="0" applyNumberFormat="1" applyFont="1" applyFill="1" applyBorder="1"/>
    <xf numFmtId="6" fontId="2" fillId="2" borderId="41" xfId="0" applyNumberFormat="1" applyFont="1" applyFill="1" applyBorder="1"/>
    <xf numFmtId="0" fontId="21" fillId="0" borderId="0" xfId="0" applyFont="1"/>
    <xf numFmtId="0" fontId="0" fillId="0" borderId="0" xfId="0" pivotButton="1"/>
    <xf numFmtId="0" fontId="0" fillId="0" borderId="0" xfId="0" pivotButton="1" applyAlignment="1">
      <alignment horizontal="center"/>
    </xf>
    <xf numFmtId="171" fontId="0" fillId="0" borderId="0" xfId="0" applyNumberFormat="1" applyAlignment="1">
      <alignment horizontal="center"/>
    </xf>
    <xf numFmtId="171" fontId="20" fillId="0" borderId="0" xfId="0" applyNumberFormat="1" applyFont="1" applyAlignment="1">
      <alignment horizontal="center"/>
    </xf>
    <xf numFmtId="43" fontId="1" fillId="11" borderId="0" xfId="1" applyFont="1" applyFill="1"/>
    <xf numFmtId="2" fontId="2" fillId="0" borderId="0" xfId="0" applyNumberFormat="1" applyFont="1" applyAlignment="1">
      <alignment horizontal="center"/>
    </xf>
    <xf numFmtId="16" fontId="2" fillId="0" borderId="0" xfId="0" applyNumberFormat="1" applyFont="1"/>
    <xf numFmtId="43" fontId="10" fillId="11" borderId="0" xfId="1" applyFont="1" applyFill="1"/>
    <xf numFmtId="2" fontId="19" fillId="0" borderId="0" xfId="0" applyNumberFormat="1" applyFont="1" applyAlignment="1">
      <alignment horizontal="center"/>
    </xf>
    <xf numFmtId="2" fontId="2" fillId="0" borderId="44" xfId="0" applyNumberFormat="1" applyFont="1" applyBorder="1" applyAlignment="1">
      <alignment horizontal="center"/>
    </xf>
    <xf numFmtId="14" fontId="0" fillId="0" borderId="42" xfId="0" applyNumberFormat="1" applyBorder="1"/>
    <xf numFmtId="0" fontId="0" fillId="0" borderId="42" xfId="0" applyBorder="1" applyAlignment="1">
      <alignment horizontal="center"/>
    </xf>
    <xf numFmtId="43" fontId="1" fillId="0" borderId="42" xfId="1" applyFont="1" applyBorder="1" applyAlignment="1">
      <alignment horizontal="center"/>
    </xf>
    <xf numFmtId="2" fontId="19" fillId="0" borderId="42" xfId="0" applyNumberFormat="1" applyFont="1" applyBorder="1" applyAlignment="1">
      <alignment horizontal="center"/>
    </xf>
    <xf numFmtId="167" fontId="0" fillId="0" borderId="42" xfId="0" quotePrefix="1" applyNumberFormat="1" applyBorder="1" applyAlignment="1">
      <alignment horizontal="center"/>
    </xf>
    <xf numFmtId="43" fontId="17" fillId="0" borderId="0" xfId="1" applyFont="1" applyBorder="1" applyAlignment="1">
      <alignment horizontal="center"/>
    </xf>
    <xf numFmtId="171" fontId="3" fillId="0" borderId="0" xfId="0" applyNumberFormat="1" applyFont="1" applyAlignment="1">
      <alignment horizontal="center"/>
    </xf>
    <xf numFmtId="6" fontId="0" fillId="2" borderId="0" xfId="0" applyNumberFormat="1" applyFill="1" applyAlignment="1">
      <alignment horizontal="center"/>
    </xf>
    <xf numFmtId="14" fontId="0" fillId="0" borderId="5" xfId="0" applyNumberFormat="1" applyBorder="1"/>
    <xf numFmtId="0" fontId="2" fillId="0" borderId="5" xfId="0" applyFont="1" applyBorder="1" applyAlignment="1">
      <alignment horizontal="center" vertical="center"/>
    </xf>
    <xf numFmtId="0" fontId="0" fillId="0" borderId="60" xfId="0" applyBorder="1"/>
    <xf numFmtId="14" fontId="0" fillId="0" borderId="8" xfId="0" applyNumberFormat="1" applyBorder="1"/>
    <xf numFmtId="2" fontId="0" fillId="0" borderId="7" xfId="0" applyNumberFormat="1" applyBorder="1" applyAlignment="1">
      <alignment horizontal="center"/>
    </xf>
    <xf numFmtId="0" fontId="0" fillId="0" borderId="61" xfId="0" applyBorder="1"/>
    <xf numFmtId="43" fontId="8" fillId="2" borderId="0" xfId="1" applyFont="1" applyFill="1" applyBorder="1" applyAlignment="1">
      <alignment horizontal="center"/>
    </xf>
    <xf numFmtId="169" fontId="0" fillId="0" borderId="0" xfId="0" applyNumberFormat="1"/>
    <xf numFmtId="0" fontId="0" fillId="11" borderId="0" xfId="0" applyFill="1"/>
    <xf numFmtId="0" fontId="0" fillId="2" borderId="44" xfId="0" applyFill="1" applyBorder="1"/>
    <xf numFmtId="14" fontId="0" fillId="2" borderId="53" xfId="0" applyNumberFormat="1" applyFill="1" applyBorder="1"/>
    <xf numFmtId="0" fontId="2" fillId="2" borderId="44" xfId="0" applyFon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171" fontId="2" fillId="2" borderId="44" xfId="1" applyNumberFormat="1" applyFont="1" applyFill="1" applyBorder="1" applyAlignment="1">
      <alignment horizontal="center"/>
    </xf>
    <xf numFmtId="167" fontId="0" fillId="2" borderId="44" xfId="0" applyNumberFormat="1" applyFill="1" applyBorder="1" applyAlignment="1">
      <alignment horizontal="center"/>
    </xf>
    <xf numFmtId="43" fontId="0" fillId="2" borderId="44" xfId="1" applyFont="1" applyFill="1" applyBorder="1" applyAlignment="1">
      <alignment horizontal="center"/>
    </xf>
    <xf numFmtId="2" fontId="2" fillId="2" borderId="53" xfId="0" applyNumberFormat="1" applyFont="1" applyFill="1" applyBorder="1" applyAlignment="1">
      <alignment horizontal="center"/>
    </xf>
    <xf numFmtId="166" fontId="0" fillId="2" borderId="44" xfId="0" applyNumberFormat="1" applyFill="1" applyBorder="1" applyAlignment="1">
      <alignment horizontal="center"/>
    </xf>
    <xf numFmtId="167" fontId="0" fillId="2" borderId="44" xfId="0" applyNumberFormat="1" applyFill="1" applyBorder="1"/>
    <xf numFmtId="165" fontId="0" fillId="2" borderId="44" xfId="0" applyNumberFormat="1" applyFill="1" applyBorder="1" applyAlignment="1">
      <alignment horizontal="center"/>
    </xf>
    <xf numFmtId="0" fontId="0" fillId="2" borderId="54" xfId="0" applyFill="1" applyBorder="1"/>
    <xf numFmtId="0" fontId="0" fillId="2" borderId="55" xfId="0" applyFill="1" applyBorder="1"/>
    <xf numFmtId="43" fontId="0" fillId="0" borderId="3" xfId="0" applyNumberFormat="1" applyBorder="1" applyAlignment="1">
      <alignment horizontal="center"/>
    </xf>
    <xf numFmtId="167" fontId="0" fillId="0" borderId="0" xfId="0" quotePrefix="1" applyNumberFormat="1"/>
    <xf numFmtId="43" fontId="8" fillId="0" borderId="0" xfId="1" applyFont="1" applyAlignment="1">
      <alignment horizontal="center"/>
    </xf>
    <xf numFmtId="0" fontId="0" fillId="10" borderId="0" xfId="0" applyFill="1"/>
    <xf numFmtId="171" fontId="0" fillId="0" borderId="0" xfId="0" applyNumberFormat="1"/>
    <xf numFmtId="14" fontId="0" fillId="0" borderId="5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19" fillId="0" borderId="8" xfId="0" applyNumberFormat="1" applyFont="1" applyBorder="1" applyAlignment="1">
      <alignment horizontal="center"/>
    </xf>
    <xf numFmtId="43" fontId="0" fillId="0" borderId="8" xfId="0" applyNumberFormat="1" applyBorder="1"/>
    <xf numFmtId="43" fontId="8" fillId="2" borderId="8" xfId="1" applyFont="1" applyFill="1" applyBorder="1" applyAlignment="1">
      <alignment horizontal="center"/>
    </xf>
    <xf numFmtId="43" fontId="3" fillId="0" borderId="0" xfId="1" applyFont="1" applyAlignment="1">
      <alignment horizontal="center"/>
    </xf>
    <xf numFmtId="0" fontId="0" fillId="0" borderId="0" xfId="0" applyAlignment="1">
      <alignment horizontal="left" indent="2"/>
    </xf>
    <xf numFmtId="43" fontId="20" fillId="14" borderId="0" xfId="1" applyFont="1" applyFill="1"/>
    <xf numFmtId="43" fontId="20" fillId="0" borderId="0" xfId="0" applyNumberFormat="1" applyFont="1" applyAlignment="1">
      <alignment horizontal="center"/>
    </xf>
    <xf numFmtId="43" fontId="3" fillId="0" borderId="0" xfId="0" applyNumberFormat="1" applyFont="1" applyAlignment="1">
      <alignment horizontal="center"/>
    </xf>
    <xf numFmtId="43" fontId="2" fillId="0" borderId="0" xfId="0" applyNumberFormat="1" applyFont="1"/>
    <xf numFmtId="0" fontId="2" fillId="2" borderId="5" xfId="0" applyFont="1" applyFill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/>
    </xf>
    <xf numFmtId="167" fontId="0" fillId="2" borderId="0" xfId="0" applyNumberFormat="1" applyFill="1" applyAlignment="1">
      <alignment horizontal="center"/>
    </xf>
    <xf numFmtId="43" fontId="8" fillId="2" borderId="0" xfId="1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7" fontId="0" fillId="2" borderId="0" xfId="0" applyNumberFormat="1" applyFill="1"/>
    <xf numFmtId="0" fontId="8" fillId="2" borderId="0" xfId="0" applyFont="1" applyFill="1"/>
    <xf numFmtId="43" fontId="0" fillId="6" borderId="0" xfId="1" applyFont="1" applyFill="1" applyAlignment="1">
      <alignment horizontal="center"/>
    </xf>
    <xf numFmtId="0" fontId="15" fillId="0" borderId="44" xfId="0" applyFont="1" applyBorder="1" applyAlignment="1">
      <alignment vertical="center"/>
    </xf>
    <xf numFmtId="6" fontId="0" fillId="0" borderId="0" xfId="0" applyNumberFormat="1" applyAlignment="1">
      <alignment horizontal="center"/>
    </xf>
    <xf numFmtId="0" fontId="0" fillId="0" borderId="0" xfId="0" applyAlignment="1">
      <alignment horizontal="left" indent="3"/>
    </xf>
    <xf numFmtId="169" fontId="0" fillId="0" borderId="0" xfId="1" applyNumberFormat="1" applyFont="1" applyBorder="1" applyAlignment="1">
      <alignment horizontal="center"/>
    </xf>
    <xf numFmtId="0" fontId="2" fillId="15" borderId="0" xfId="0" applyFont="1" applyFill="1" applyAlignment="1">
      <alignment horizontal="center" vertical="center"/>
    </xf>
    <xf numFmtId="43" fontId="0" fillId="0" borderId="0" xfId="1" applyFont="1" applyFill="1" applyAlignment="1">
      <alignment vertical="center"/>
    </xf>
    <xf numFmtId="6" fontId="2" fillId="8" borderId="40" xfId="0" applyNumberFormat="1" applyFont="1" applyFill="1" applyBorder="1" applyAlignment="1">
      <alignment horizontal="center"/>
    </xf>
    <xf numFmtId="0" fontId="2" fillId="15" borderId="42" xfId="0" applyFont="1" applyFill="1" applyBorder="1" applyAlignment="1">
      <alignment horizontal="center" vertical="center"/>
    </xf>
    <xf numFmtId="171" fontId="0" fillId="0" borderId="0" xfId="1" applyNumberFormat="1" applyFont="1" applyAlignment="1">
      <alignment horizontal="center"/>
    </xf>
    <xf numFmtId="0" fontId="0" fillId="0" borderId="44" xfId="0" applyBorder="1" applyAlignment="1">
      <alignment horizontal="center"/>
    </xf>
    <xf numFmtId="171" fontId="0" fillId="0" borderId="44" xfId="1" applyNumberFormat="1" applyFont="1" applyBorder="1" applyAlignment="1">
      <alignment horizontal="center"/>
    </xf>
    <xf numFmtId="0" fontId="0" fillId="0" borderId="62" xfId="0" applyBorder="1"/>
    <xf numFmtId="0" fontId="0" fillId="0" borderId="24" xfId="0" applyBorder="1"/>
    <xf numFmtId="43" fontId="0" fillId="2" borderId="42" xfId="1" applyFont="1" applyFill="1" applyBorder="1" applyAlignment="1">
      <alignment horizontal="center"/>
    </xf>
    <xf numFmtId="0" fontId="0" fillId="16" borderId="52" xfId="0" applyFill="1" applyBorder="1"/>
    <xf numFmtId="0" fontId="0" fillId="16" borderId="0" xfId="0" applyFill="1"/>
    <xf numFmtId="0" fontId="13" fillId="2" borderId="0" xfId="0" applyFont="1" applyFill="1"/>
    <xf numFmtId="171" fontId="0" fillId="17" borderId="0" xfId="1" applyNumberFormat="1" applyFont="1" applyFill="1" applyBorder="1" applyAlignment="1">
      <alignment horizontal="center"/>
    </xf>
    <xf numFmtId="167" fontId="0" fillId="0" borderId="63" xfId="0" applyNumberFormat="1" applyBorder="1" applyAlignment="1">
      <alignment horizontal="center"/>
    </xf>
    <xf numFmtId="43" fontId="0" fillId="2" borderId="0" xfId="1" applyFont="1" applyFill="1" applyBorder="1" applyAlignment="1">
      <alignment horizontal="center"/>
    </xf>
    <xf numFmtId="43" fontId="21" fillId="0" borderId="0" xfId="0" applyNumberFormat="1" applyFont="1"/>
    <xf numFmtId="171" fontId="0" fillId="2" borderId="44" xfId="1" applyNumberFormat="1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2" fontId="0" fillId="6" borderId="3" xfId="0" applyNumberFormat="1" applyFill="1" applyBorder="1" applyAlignment="1">
      <alignment horizontal="center"/>
    </xf>
    <xf numFmtId="0" fontId="0" fillId="16" borderId="44" xfId="0" applyFill="1" applyBorder="1"/>
    <xf numFmtId="166" fontId="0" fillId="8" borderId="5" xfId="0" applyNumberFormat="1" applyFill="1" applyBorder="1" applyAlignment="1">
      <alignment horizontal="center"/>
    </xf>
    <xf numFmtId="171" fontId="0" fillId="0" borderId="44" xfId="0" applyNumberFormat="1" applyBorder="1"/>
    <xf numFmtId="171" fontId="0" fillId="0" borderId="55" xfId="0" applyNumberFormat="1" applyBorder="1"/>
    <xf numFmtId="171" fontId="0" fillId="0" borderId="56" xfId="0" applyNumberFormat="1" applyBorder="1"/>
    <xf numFmtId="171" fontId="0" fillId="0" borderId="42" xfId="0" applyNumberFormat="1" applyBorder="1"/>
    <xf numFmtId="171" fontId="0" fillId="0" borderId="58" xfId="0" applyNumberFormat="1" applyBorder="1"/>
    <xf numFmtId="8" fontId="0" fillId="0" borderId="0" xfId="0" applyNumberFormat="1"/>
    <xf numFmtId="8" fontId="0" fillId="0" borderId="0" xfId="0" applyNumberFormat="1" applyAlignment="1">
      <alignment horizontal="center"/>
    </xf>
    <xf numFmtId="8" fontId="20" fillId="0" borderId="0" xfId="0" applyNumberFormat="1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2" fillId="0" borderId="0" xfId="0" applyFont="1"/>
    <xf numFmtId="169" fontId="22" fillId="0" borderId="0" xfId="0" applyNumberFormat="1" applyFont="1" applyAlignment="1">
      <alignment horizontal="center"/>
    </xf>
    <xf numFmtId="0" fontId="23" fillId="0" borderId="0" xfId="0" applyFont="1"/>
    <xf numFmtId="169" fontId="18" fillId="0" borderId="0" xfId="0" applyNumberFormat="1" applyFont="1" applyAlignment="1">
      <alignment horizontal="center"/>
    </xf>
    <xf numFmtId="0" fontId="24" fillId="0" borderId="0" xfId="0" applyFont="1"/>
    <xf numFmtId="44" fontId="25" fillId="0" borderId="44" xfId="3" applyFont="1" applyBorder="1" applyAlignment="1">
      <alignment horizontal="center" vertical="center"/>
    </xf>
    <xf numFmtId="44" fontId="25" fillId="0" borderId="44" xfId="3" applyFont="1" applyBorder="1" applyAlignment="1">
      <alignment horizontal="left" vertical="center"/>
    </xf>
    <xf numFmtId="43" fontId="26" fillId="0" borderId="43" xfId="1" applyFont="1" applyBorder="1" applyAlignment="1">
      <alignment horizontal="center" vertical="center"/>
    </xf>
    <xf numFmtId="43" fontId="26" fillId="10" borderId="43" xfId="1" applyFont="1" applyFill="1" applyBorder="1" applyAlignment="1">
      <alignment horizontal="left" vertical="center"/>
    </xf>
    <xf numFmtId="43" fontId="25" fillId="0" borderId="42" xfId="1" applyFont="1" applyBorder="1" applyAlignment="1">
      <alignment horizontal="center" vertical="center"/>
    </xf>
    <xf numFmtId="43" fontId="25" fillId="10" borderId="0" xfId="1" applyFont="1" applyFill="1" applyAlignment="1">
      <alignment horizontal="left" vertical="center"/>
    </xf>
    <xf numFmtId="43" fontId="25" fillId="0" borderId="44" xfId="1" applyFont="1" applyBorder="1" applyAlignment="1">
      <alignment horizontal="center" vertical="center"/>
    </xf>
    <xf numFmtId="0" fontId="25" fillId="0" borderId="42" xfId="0" applyFont="1" applyBorder="1" applyAlignment="1">
      <alignment horizontal="left" vertical="center"/>
    </xf>
    <xf numFmtId="43" fontId="25" fillId="0" borderId="0" xfId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43" fontId="18" fillId="10" borderId="0" xfId="1" applyFont="1" applyFill="1" applyAlignment="1">
      <alignment horizontal="left"/>
    </xf>
    <xf numFmtId="43" fontId="27" fillId="11" borderId="0" xfId="1" applyFont="1" applyFill="1" applyAlignment="1">
      <alignment horizontal="center" vertical="center"/>
    </xf>
    <xf numFmtId="43" fontId="22" fillId="10" borderId="0" xfId="1" applyFont="1" applyFill="1" applyAlignment="1">
      <alignment horizontal="left"/>
    </xf>
    <xf numFmtId="43" fontId="26" fillId="0" borderId="44" xfId="1" applyFont="1" applyBorder="1" applyAlignment="1">
      <alignment horizontal="center" vertical="center"/>
    </xf>
    <xf numFmtId="43" fontId="26" fillId="0" borderId="0" xfId="1" applyFont="1" applyAlignment="1">
      <alignment horizontal="center" vertical="center"/>
    </xf>
    <xf numFmtId="0" fontId="18" fillId="0" borderId="42" xfId="0" applyFont="1" applyBorder="1" applyAlignment="1">
      <alignment horizontal="left"/>
    </xf>
    <xf numFmtId="43" fontId="18" fillId="0" borderId="0" xfId="1" applyFont="1" applyAlignment="1">
      <alignment horizontal="center"/>
    </xf>
    <xf numFmtId="0" fontId="25" fillId="0" borderId="44" xfId="0" applyFont="1" applyBorder="1" applyAlignment="1">
      <alignment horizontal="left" vertical="center"/>
    </xf>
    <xf numFmtId="43" fontId="25" fillId="0" borderId="42" xfId="1" applyFont="1" applyBorder="1" applyAlignment="1">
      <alignment horizontal="left" vertical="center"/>
    </xf>
    <xf numFmtId="43" fontId="25" fillId="0" borderId="0" xfId="1" applyFont="1" applyAlignment="1">
      <alignment horizontal="left" vertical="center"/>
    </xf>
    <xf numFmtId="169" fontId="22" fillId="0" borderId="0" xfId="1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26" fillId="0" borderId="36" xfId="0" applyFont="1" applyBorder="1" applyAlignment="1">
      <alignment vertical="center"/>
    </xf>
    <xf numFmtId="8" fontId="25" fillId="0" borderId="42" xfId="1" applyNumberFormat="1" applyFont="1" applyBorder="1" applyAlignment="1">
      <alignment horizontal="center" vertical="center"/>
    </xf>
    <xf numFmtId="0" fontId="25" fillId="0" borderId="42" xfId="0" applyFont="1" applyBorder="1" applyAlignment="1">
      <alignment vertical="center"/>
    </xf>
    <xf numFmtId="0" fontId="25" fillId="0" borderId="44" xfId="0" applyFont="1" applyBorder="1" applyAlignment="1">
      <alignment vertical="center"/>
    </xf>
    <xf numFmtId="0" fontId="26" fillId="0" borderId="44" xfId="0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169" fontId="26" fillId="0" borderId="0" xfId="1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43" fontId="18" fillId="0" borderId="0" xfId="0" applyNumberFormat="1" applyFont="1" applyAlignment="1">
      <alignment horizontal="center"/>
    </xf>
    <xf numFmtId="0" fontId="18" fillId="0" borderId="42" xfId="0" applyFont="1" applyBorder="1"/>
    <xf numFmtId="169" fontId="22" fillId="0" borderId="0" xfId="1" applyNumberFormat="1" applyFont="1" applyAlignment="1">
      <alignment horizontal="center"/>
    </xf>
    <xf numFmtId="0" fontId="22" fillId="0" borderId="0" xfId="0" applyFont="1" applyAlignment="1">
      <alignment horizontal="center"/>
    </xf>
    <xf numFmtId="43" fontId="2" fillId="16" borderId="0" xfId="1" applyFont="1" applyFill="1" applyAlignment="1">
      <alignment vertical="center"/>
    </xf>
    <xf numFmtId="43" fontId="2" fillId="19" borderId="0" xfId="1" applyFont="1" applyFill="1" applyAlignment="1">
      <alignment vertical="center"/>
    </xf>
    <xf numFmtId="6" fontId="0" fillId="0" borderId="0" xfId="0" applyNumberFormat="1"/>
    <xf numFmtId="43" fontId="0" fillId="0" borderId="44" xfId="1" applyFont="1" applyFill="1" applyBorder="1" applyAlignment="1">
      <alignment horizontal="center"/>
    </xf>
    <xf numFmtId="43" fontId="0" fillId="0" borderId="42" xfId="1" applyFont="1" applyFill="1" applyBorder="1" applyAlignment="1">
      <alignment horizontal="center"/>
    </xf>
    <xf numFmtId="43" fontId="0" fillId="20" borderId="0" xfId="1" applyFont="1" applyFill="1" applyAlignment="1">
      <alignment vertical="center"/>
    </xf>
    <xf numFmtId="166" fontId="3" fillId="21" borderId="5" xfId="0" applyNumberFormat="1" applyFont="1" applyFill="1" applyBorder="1" applyAlignment="1">
      <alignment horizontal="center"/>
    </xf>
    <xf numFmtId="171" fontId="0" fillId="15" borderId="0" xfId="1" applyNumberFormat="1" applyFont="1" applyFill="1" applyBorder="1" applyAlignment="1">
      <alignment horizontal="center"/>
    </xf>
    <xf numFmtId="43" fontId="0" fillId="0" borderId="0" xfId="1" applyFont="1" applyAlignment="1">
      <alignment horizontal="left" vertical="center"/>
    </xf>
    <xf numFmtId="0" fontId="10" fillId="7" borderId="64" xfId="0" applyFont="1" applyFill="1" applyBorder="1"/>
    <xf numFmtId="43" fontId="2" fillId="22" borderId="0" xfId="1" applyFont="1" applyFill="1"/>
    <xf numFmtId="12" fontId="0" fillId="0" borderId="0" xfId="1" applyNumberFormat="1" applyFont="1"/>
    <xf numFmtId="43" fontId="2" fillId="0" borderId="0" xfId="1" applyFont="1" applyFill="1" applyAlignment="1">
      <alignment vertical="center"/>
    </xf>
    <xf numFmtId="169" fontId="18" fillId="0" borderId="0" xfId="0" applyNumberFormat="1" applyFont="1"/>
    <xf numFmtId="43" fontId="18" fillId="0" borderId="0" xfId="1" applyFont="1"/>
    <xf numFmtId="43" fontId="18" fillId="0" borderId="0" xfId="0" applyNumberFormat="1" applyFont="1"/>
    <xf numFmtId="0" fontId="18" fillId="22" borderId="0" xfId="0" applyFont="1" applyFill="1"/>
    <xf numFmtId="43" fontId="18" fillId="22" borderId="0" xfId="0" applyNumberFormat="1" applyFont="1" applyFill="1"/>
    <xf numFmtId="169" fontId="18" fillId="0" borderId="0" xfId="1" applyNumberFormat="1" applyFont="1"/>
    <xf numFmtId="43" fontId="18" fillId="22" borderId="0" xfId="1" applyFont="1" applyFill="1"/>
    <xf numFmtId="169" fontId="18" fillId="22" borderId="0" xfId="1" applyNumberFormat="1" applyFont="1" applyFill="1"/>
    <xf numFmtId="6" fontId="18" fillId="0" borderId="0" xfId="0" applyNumberFormat="1" applyFont="1" applyAlignment="1">
      <alignment horizontal="left"/>
    </xf>
    <xf numFmtId="6" fontId="18" fillId="0" borderId="0" xfId="0" applyNumberFormat="1" applyFont="1"/>
    <xf numFmtId="6" fontId="18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 vertical="center"/>
    </xf>
    <xf numFmtId="16" fontId="18" fillId="0" borderId="0" xfId="0" applyNumberFormat="1" applyFont="1"/>
    <xf numFmtId="169" fontId="18" fillId="0" borderId="0" xfId="1" applyNumberFormat="1" applyFont="1" applyAlignment="1">
      <alignment horizontal="center"/>
    </xf>
    <xf numFmtId="43" fontId="18" fillId="20" borderId="0" xfId="1" applyFont="1" applyFill="1" applyAlignment="1">
      <alignment horizontal="center"/>
    </xf>
    <xf numFmtId="169" fontId="18" fillId="20" borderId="0" xfId="1" applyNumberFormat="1" applyFont="1" applyFill="1" applyAlignment="1">
      <alignment horizontal="center"/>
    </xf>
    <xf numFmtId="0" fontId="18" fillId="20" borderId="0" xfId="0" applyFont="1" applyFill="1" applyAlignment="1">
      <alignment horizontal="center"/>
    </xf>
    <xf numFmtId="43" fontId="18" fillId="20" borderId="0" xfId="0" applyNumberFormat="1" applyFont="1" applyFill="1" applyAlignment="1">
      <alignment horizontal="center"/>
    </xf>
    <xf numFmtId="43" fontId="18" fillId="22" borderId="0" xfId="1" applyFont="1" applyFill="1" applyAlignment="1">
      <alignment horizontal="center"/>
    </xf>
    <xf numFmtId="169" fontId="18" fillId="22" borderId="0" xfId="1" applyNumberFormat="1" applyFont="1" applyFill="1" applyAlignment="1">
      <alignment horizontal="center"/>
    </xf>
    <xf numFmtId="0" fontId="18" fillId="22" borderId="0" xfId="0" applyFont="1" applyFill="1" applyAlignment="1">
      <alignment horizontal="center"/>
    </xf>
    <xf numFmtId="43" fontId="18" fillId="22" borderId="0" xfId="0" applyNumberFormat="1" applyFont="1" applyFill="1" applyAlignment="1">
      <alignment horizontal="center"/>
    </xf>
    <xf numFmtId="43" fontId="26" fillId="0" borderId="42" xfId="1" applyFont="1" applyBorder="1" applyAlignment="1">
      <alignment horizontal="center" vertical="center"/>
    </xf>
    <xf numFmtId="0" fontId="0" fillId="16" borderId="20" xfId="0" applyFill="1" applyBorder="1"/>
    <xf numFmtId="43" fontId="30" fillId="11" borderId="0" xfId="1" applyFont="1" applyFill="1" applyAlignment="1">
      <alignment horizontal="center" vertical="center"/>
    </xf>
    <xf numFmtId="43" fontId="27" fillId="0" borderId="0" xfId="1" applyFont="1" applyFill="1" applyAlignment="1">
      <alignment horizontal="center" vertical="center"/>
    </xf>
    <xf numFmtId="43" fontId="31" fillId="0" borderId="0" xfId="1" applyFont="1" applyFill="1" applyAlignment="1">
      <alignment horizontal="center" vertical="center"/>
    </xf>
    <xf numFmtId="169" fontId="10" fillId="11" borderId="0" xfId="1" applyNumberFormat="1" applyFont="1" applyFill="1"/>
    <xf numFmtId="0" fontId="2" fillId="6" borderId="0" xfId="0" applyFont="1" applyFill="1" applyAlignment="1">
      <alignment horizontal="center" vertical="center"/>
    </xf>
    <xf numFmtId="14" fontId="18" fillId="0" borderId="0" xfId="0" applyNumberFormat="1" applyFont="1"/>
    <xf numFmtId="43" fontId="22" fillId="0" borderId="0" xfId="0" applyNumberFormat="1" applyFont="1"/>
    <xf numFmtId="0" fontId="33" fillId="0" borderId="0" xfId="0" applyFont="1"/>
    <xf numFmtId="0" fontId="34" fillId="25" borderId="0" xfId="0" applyFont="1" applyFill="1" applyAlignment="1">
      <alignment horizontal="center" wrapText="1"/>
    </xf>
    <xf numFmtId="3" fontId="35" fillId="26" borderId="0" xfId="0" applyNumberFormat="1" applyFont="1" applyFill="1" applyAlignment="1">
      <alignment horizontal="center"/>
    </xf>
    <xf numFmtId="172" fontId="35" fillId="26" borderId="0" xfId="0" applyNumberFormat="1" applyFont="1" applyFill="1" applyAlignment="1">
      <alignment horizontal="center"/>
    </xf>
    <xf numFmtId="173" fontId="35" fillId="26" borderId="0" xfId="0" applyNumberFormat="1" applyFont="1" applyFill="1" applyAlignment="1">
      <alignment horizontal="center"/>
    </xf>
    <xf numFmtId="174" fontId="35" fillId="26" borderId="0" xfId="0" applyNumberFormat="1" applyFont="1" applyFill="1" applyAlignment="1">
      <alignment horizontal="center"/>
    </xf>
    <xf numFmtId="175" fontId="35" fillId="26" borderId="0" xfId="0" applyNumberFormat="1" applyFont="1" applyFill="1" applyAlignment="1">
      <alignment horizontal="center"/>
    </xf>
    <xf numFmtId="176" fontId="35" fillId="26" borderId="0" xfId="0" applyNumberFormat="1" applyFont="1" applyFill="1" applyAlignment="1">
      <alignment horizontal="center"/>
    </xf>
    <xf numFmtId="0" fontId="36" fillId="0" borderId="0" xfId="0" applyFont="1"/>
    <xf numFmtId="3" fontId="0" fillId="0" borderId="0" xfId="0" applyNumberFormat="1"/>
    <xf numFmtId="172" fontId="0" fillId="0" borderId="0" xfId="0" applyNumberFormat="1"/>
    <xf numFmtId="173" fontId="0" fillId="0" borderId="0" xfId="0" applyNumberFormat="1"/>
    <xf numFmtId="0" fontId="2" fillId="27" borderId="5" xfId="0" applyFont="1" applyFill="1" applyBorder="1"/>
    <xf numFmtId="3" fontId="2" fillId="27" borderId="5" xfId="0" applyNumberFormat="1" applyFont="1" applyFill="1" applyBorder="1"/>
    <xf numFmtId="172" fontId="2" fillId="27" borderId="5" xfId="0" applyNumberFormat="1" applyFont="1" applyFill="1" applyBorder="1"/>
    <xf numFmtId="173" fontId="2" fillId="27" borderId="5" xfId="0" applyNumberFormat="1" applyFont="1" applyFill="1" applyBorder="1"/>
    <xf numFmtId="49" fontId="2" fillId="24" borderId="65" xfId="0" applyNumberFormat="1" applyFont="1" applyFill="1" applyBorder="1"/>
    <xf numFmtId="176" fontId="0" fillId="0" borderId="0" xfId="0" applyNumberFormat="1"/>
    <xf numFmtId="176" fontId="2" fillId="27" borderId="5" xfId="0" applyNumberFormat="1" applyFont="1" applyFill="1" applyBorder="1"/>
    <xf numFmtId="0" fontId="37" fillId="0" borderId="0" xfId="0" applyFont="1"/>
    <xf numFmtId="43" fontId="18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0" fillId="7" borderId="59" xfId="0" applyFont="1" applyFill="1" applyBorder="1" applyAlignment="1">
      <alignment horizontal="center"/>
    </xf>
    <xf numFmtId="0" fontId="32" fillId="23" borderId="0" xfId="0" applyFont="1" applyFill="1" applyAlignment="1">
      <alignment vertical="center"/>
    </xf>
    <xf numFmtId="0" fontId="29" fillId="18" borderId="0" xfId="0" quotePrefix="1" applyFont="1" applyFill="1" applyAlignment="1">
      <alignment horizontal="center"/>
    </xf>
    <xf numFmtId="0" fontId="15" fillId="0" borderId="0" xfId="0" applyFont="1" applyAlignment="1">
      <alignment vertical="center"/>
    </xf>
    <xf numFmtId="0" fontId="15" fillId="0" borderId="42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6" fillId="0" borderId="4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36" xfId="0" applyFont="1" applyBorder="1" applyAlignment="1">
      <alignment vertical="center"/>
    </xf>
    <xf numFmtId="0" fontId="16" fillId="0" borderId="43" xfId="0" applyFont="1" applyBorder="1" applyAlignment="1">
      <alignment vertical="center"/>
    </xf>
    <xf numFmtId="44" fontId="15" fillId="0" borderId="44" xfId="3" applyFont="1" applyBorder="1" applyAlignment="1">
      <alignment horizontal="center" vertical="center"/>
    </xf>
    <xf numFmtId="0" fontId="14" fillId="0" borderId="0" xfId="0" applyFo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3" fontId="0" fillId="0" borderId="0" xfId="0" applyNumberFormat="1" applyFont="1" applyAlignment="1">
      <alignment horizontal="center"/>
    </xf>
  </cellXfs>
  <cellStyles count="6">
    <cellStyle name="Comma" xfId="1" builtinId="3"/>
    <cellStyle name="Comma 2" xfId="5" xr:uid="{80D95C05-0AA5-4DEE-BE7F-7C5CFC9E7C32}"/>
    <cellStyle name="Currency" xfId="3" builtinId="4"/>
    <cellStyle name="Normal" xfId="0" builtinId="0"/>
    <cellStyle name="Normal 2" xfId="2" xr:uid="{DBBAD1AC-31EF-4788-8104-57A11A454E89}"/>
    <cellStyle name="Percent" xfId="4" builtinId="5"/>
  </cellStyles>
  <dxfs count="481"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71" formatCode="#,##0;[Red]\(#,##0\);&quot;-&quot;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0"/>
      </font>
    </dxf>
    <dxf>
      <font>
        <color theme="0"/>
      </font>
    </dxf>
    <dxf>
      <font>
        <color auto="1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</dxf>
    <dxf>
      <numFmt numFmtId="35" formatCode="_(* #,##0.00_);_(* \(#,##0.00\);_(* &quot;-&quot;??_);_(@_)"/>
    </dxf>
    <dxf>
      <font>
        <color theme="1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theme="0"/>
      </font>
    </dxf>
    <dxf>
      <font>
        <color auto="1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71" formatCode="#,##0;[Red]\(#,##0\);&quot;-&quot;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71" formatCode="#,##0;[Red]\(#,##0\);&quot;-&quot;"/>
    </dxf>
    <dxf>
      <font>
        <color theme="0"/>
      </font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theme="0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71" formatCode="#,##0;[Red]\(#,##0\);&quot;-&quot;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0"/>
      </font>
    </dxf>
    <dxf>
      <numFmt numFmtId="171" formatCode="#,##0;[Red]\(#,##0\);&quot;-&quot;"/>
    </dxf>
    <dxf>
      <font>
        <color theme="0"/>
      </font>
    </dxf>
    <dxf>
      <font>
        <color auto="1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71" formatCode="#,##0;[Red]\(#,##0\);&quot;-&quot;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numFmt numFmtId="12" formatCode="&quot;$&quot;#,##0.00_);[Red]\(&quot;$&quot;#,##0.00\)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0"/>
      </font>
    </dxf>
    <dxf>
      <numFmt numFmtId="171" formatCode="#,##0;[Red]\(#,##0\);&quot;-&quot;"/>
    </dxf>
    <dxf>
      <font>
        <color theme="0"/>
      </font>
    </dxf>
    <dxf>
      <font>
        <color auto="1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color theme="0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0"/>
      </font>
    </dxf>
    <dxf>
      <numFmt numFmtId="171" formatCode="#,##0;[Red]\(#,##0\);&quot;-&quot;"/>
    </dxf>
    <dxf>
      <font>
        <color theme="0"/>
      </font>
    </dxf>
    <dxf>
      <font>
        <color auto="1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8000"/>
      </font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FE699"/>
        </patternFill>
      </fill>
    </dxf>
    <dxf>
      <font>
        <color rgb="FFC00000"/>
      </font>
    </dxf>
    <dxf>
      <fill>
        <patternFill patternType="solid">
          <fgColor indexed="64"/>
          <bgColor rgb="FFF7F9FC"/>
        </patternFill>
      </fill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9" formatCode="m/d/yyyy"/>
    </dxf>
    <dxf>
      <numFmt numFmtId="19" formatCode="m/d/yyyy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numFmt numFmtId="171" formatCode="#,##0;[Red]\(#,##0\);&quot;-&quot;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auto="1"/>
      </font>
    </dxf>
    <dxf>
      <font>
        <color theme="0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theme="1"/>
      </font>
    </dxf>
    <dxf>
      <numFmt numFmtId="35" formatCode="_(* #,##0.00_);_(* \(#,##0.00\);_(* &quot;-&quot;??_);_(@_)"/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0"/>
      </font>
    </dxf>
    <dxf>
      <font>
        <color auto="1"/>
      </font>
    </dxf>
    <dxf>
      <font>
        <color theme="0"/>
      </font>
    </dxf>
    <dxf>
      <font>
        <color theme="0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numFmt numFmtId="171" formatCode="#,##0;[Red]\(#,##0\);&quot;-&quot;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71" formatCode="#,##0;[Red]\(#,##0\);&quot;-&quot;"/>
    </dxf>
    <dxf>
      <numFmt numFmtId="167" formatCode="mmm"/>
    </dxf>
    <dxf>
      <numFmt numFmtId="171" formatCode="#,##0;[Red]\(#,##0\);&quot;-&quot;"/>
    </dxf>
    <dxf>
      <numFmt numFmtId="167" formatCode="mmm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5" formatCode="[$-409]mmm\-yy;@"/>
      <alignment horizontal="center" vertical="bottom" textRotation="0" wrapText="0" indent="0" justifyLastLine="0" shrinkToFit="0" readingOrder="0"/>
    </dxf>
    <dxf>
      <numFmt numFmtId="167" formatCode="mmm"/>
    </dxf>
    <dxf>
      <numFmt numFmtId="166" formatCode="#,##0_);[Red]\(#,##0\);&quot;&quot;_)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7" formatCode="mmm"/>
      <alignment horizontal="center" vertical="bottom" textRotation="0" wrapText="0" indent="0" justifyLastLine="0" shrinkToFit="0" readingOrder="0"/>
    </dxf>
    <dxf>
      <numFmt numFmtId="167" formatCode="m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#,##0;[Red]\(#,##0\);&quot;-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border diagonalUp="0" diagonalDown="0">
        <left style="thin">
          <color indexed="64"/>
        </left>
        <right/>
        <top/>
        <bottom/>
        <vertical/>
        <horizontal/>
      </border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0"/>
      </font>
    </dxf>
    <dxf>
      <font>
        <color auto="1"/>
      </font>
    </dxf>
    <dxf>
      <font>
        <color theme="0"/>
      </font>
    </dxf>
    <dxf>
      <numFmt numFmtId="171" formatCode="#,##0;[Red]\(#,##0\);&quot;-&quot;"/>
    </dxf>
    <dxf>
      <font>
        <color theme="0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0"/>
      </font>
    </dxf>
    <dxf>
      <font>
        <color auto="1"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0"/>
      </font>
    </dxf>
    <dxf>
      <font>
        <color auto="1"/>
      </font>
    </dxf>
    <dxf>
      <font>
        <color theme="0"/>
      </font>
    </dxf>
    <dxf>
      <numFmt numFmtId="171" formatCode="#,##0;[Red]\(#,##0\);&quot;-&quot;"/>
    </dxf>
    <dxf>
      <font>
        <color theme="0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numFmt numFmtId="12" formatCode="&quot;$&quot;#,##0.00_);[Red]\(&quot;$&quot;#,##0.00\)"/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numFmt numFmtId="171" formatCode="#,##0;[Red]\(#,##0\);&quot;-&quot;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0"/>
      </font>
    </dxf>
    <dxf>
      <font>
        <color auto="1"/>
      </font>
    </dxf>
    <dxf>
      <font>
        <color theme="0"/>
      </font>
    </dxf>
    <dxf>
      <numFmt numFmtId="171" formatCode="#,##0;[Red]\(#,##0\);&quot;-&quot;"/>
    </dxf>
    <dxf>
      <font>
        <color theme="0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numFmt numFmtId="171" formatCode="#,##0;[Red]\(#,##0\);&quot;-&quot;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0"/>
      </font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theme="0"/>
      </font>
    </dxf>
    <dxf>
      <numFmt numFmtId="171" formatCode="#,##0;[Red]\(#,##0\);&quot;-&quot;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#N/A Requesting Data...</v>
        <stp/>
        <stp>##V3_BFIELDINFOV12</stp>
        <stp>[PP_2026.xlsx]WTI-Brent!R7C3</stp>
        <stp>PX_SETTLE</stp>
        <tr r="C7" s="33"/>
      </tp>
      <tp t="s">
        <v>#N/A Requesting Data...</v>
        <stp/>
        <stp>##V3_BFIELDINFOV12</stp>
        <stp>[PP_2026.xlsx]WTI-Brent!R7C2</stp>
        <stp>PX_SETTLE</stp>
        <tr r="B7" s="33"/>
      </tp>
      <tp t="s">
        <v>#N/A Requesting Data...</v>
        <stp/>
        <stp>##V3_BFIELDINFOV12</stp>
        <stp>[PP_2026.xlsx]WTI-Brent!R7C5</stp>
        <stp>PX_SETTLE</stp>
        <tr r="E7" s="33"/>
      </tp>
      <tp t="s">
        <v>#N/A Requesting Data...</v>
        <stp/>
        <stp>##V3_BFIELDINFOV12</stp>
        <stp>[PP_2026.xlsx]WTI-Brent!R7C4</stp>
        <stp>PX_SETTLE</stp>
        <tr r="D7" s="33"/>
      </tp>
      <tp t="s">
        <v>#N/A Requesting Data...</v>
        <stp/>
        <stp>##V3_BFIELDINFOV12</stp>
        <stp>[PP_2026.xlsx]WTI-Brent!R7C7</stp>
        <stp>PX_SETTLE</stp>
        <tr r="G7" s="33"/>
      </tp>
      <tp t="s">
        <v>#N/A Requesting Data...</v>
        <stp/>
        <stp>##V3_BFIELDINFOV12</stp>
        <stp>[PP_2026.xlsx]WTI-Brent!R7C6</stp>
        <stp>PX_SETTLE</stp>
        <tr r="F7" s="33"/>
      </tp>
      <tp t="s">
        <v>#N/A Requesting Data...</v>
        <stp/>
        <stp>##V3_BFIELDINFOV12</stp>
        <stp>[PP_2026.xlsx]WTI-Brent!R7C9</stp>
        <stp>PX_SETTLE</stp>
        <tr r="I7" s="33"/>
      </tp>
      <tp t="s">
        <v>#N/A Requesting Data...</v>
        <stp/>
        <stp>##V3_BFIELDINFOV12</stp>
        <stp>[PP_2026.xlsx]WTI-Brent!R7C8</stp>
        <stp>PX_SETTLE</stp>
        <tr r="H7" s="33"/>
      </tp>
    </main>
    <main first="bofaddin.rtdserver">
      <tp t="e">
        <v>#N/A</v>
        <stp/>
        <stp>BDH|10075331925569799204</stp>
        <tr r="AU8" s="3"/>
      </tp>
      <tp t="e">
        <v>#N/A</v>
        <stp/>
        <stp>BDH|11815293540285235808</stp>
        <tr r="J10" s="31"/>
      </tp>
      <tp t="e">
        <v>#N/A</v>
        <stp/>
        <stp>BDH|13494795191030882737</stp>
        <tr r="AZ8" s="3"/>
      </tp>
      <tp t="e">
        <v>#N/A</v>
        <stp/>
        <stp>BDH|14612860571074155598</stp>
        <tr r="K10" s="31"/>
      </tp>
      <tp t="e">
        <v>#N/A</v>
        <stp/>
        <stp>BDH|14457452796854130782</stp>
        <tr r="T8" s="3"/>
      </tp>
      <tp t="e">
        <v>#N/A</v>
        <stp/>
        <stp>BDH|17249151836539650767</stp>
        <tr r="AX8" s="3"/>
      </tp>
      <tp t="e">
        <v>#N/A</v>
        <stp/>
        <stp>BDH|13721334552068688550</stp>
        <tr r="J8" s="3"/>
      </tp>
      <tp t="e">
        <v>#N/A</v>
        <stp/>
        <stp>BDH|13400662401319997425</stp>
        <tr r="AD10" s="31"/>
      </tp>
      <tp t="e">
        <v>#N/A</v>
        <stp/>
        <stp>BDH|17489931798067892941</stp>
        <tr r="W10" s="32"/>
      </tp>
      <tp t="e">
        <v>#N/A</v>
        <stp/>
        <stp>BDH|16497035553632604875</stp>
        <tr r="AK8" s="3"/>
      </tp>
      <tp t="e">
        <v>#N/A</v>
        <stp/>
        <stp>BDH|11380430391951832408</stp>
        <tr r="H10" s="33"/>
      </tp>
      <tp t="e">
        <v>#N/A</v>
        <stp/>
        <stp>BDH|18122666863102906364</stp>
        <tr r="AJ10" s="31"/>
      </tp>
      <tp t="e">
        <v>#N/A</v>
        <stp/>
        <stp>BDH|17485980806946617137</stp>
        <tr r="F10" s="33"/>
      </tp>
      <tp t="e">
        <v>#N/A</v>
        <stp/>
        <stp>BDH|18371701001790559164</stp>
        <tr r="L10" s="31"/>
      </tp>
      <tp t="e">
        <v>#N/A</v>
        <stp/>
        <stp>BDH|13035405137893389981</stp>
        <tr r="G10" s="32"/>
      </tp>
      <tp t="e">
        <v>#N/A</v>
        <stp/>
        <stp>BDH|17984275695662255156</stp>
        <tr r="Q10" s="32"/>
      </tp>
      <tp t="e">
        <v>#N/A</v>
        <stp/>
        <stp>BDH|16210930545841116612</stp>
        <tr r="G10" s="33"/>
      </tp>
      <tp t="e">
        <v>#N/A</v>
        <stp/>
        <stp>BDH|16629338930629678343</stp>
        <tr r="B10" s="31"/>
      </tp>
      <tp t="e">
        <v>#N/A</v>
        <stp/>
        <stp>BDH|13267498506208654304</stp>
        <tr r="Z10" s="32"/>
      </tp>
      <tp t="e">
        <v>#N/A</v>
        <stp/>
        <stp>BDH|11983062082215510042</stp>
        <tr r="Z10" s="31"/>
      </tp>
      <tp t="e">
        <v>#N/A</v>
        <stp/>
        <stp>BDH|16705255584106876623</stp>
        <tr r="O10" s="31"/>
      </tp>
      <tp t="e">
        <v>#N/A</v>
        <stp/>
        <stp>BDH|17844543380451321700</stp>
        <tr r="AF10" s="31"/>
      </tp>
      <tp t="e">
        <v>#N/A</v>
        <stp/>
        <stp>BDH|14631131124123737974</stp>
        <tr r="Y10" s="32"/>
      </tp>
      <tp t="e">
        <v>#N/A</v>
        <stp/>
        <stp>BDH|13780814695587036850</stp>
        <tr r="T10" s="31"/>
      </tp>
      <tp t="e">
        <v>#N/A</v>
        <stp/>
        <stp>BDH|10041865515075067189</stp>
        <tr r="AB8" s="3"/>
      </tp>
      <tp t="e">
        <v>#N/A</v>
        <stp/>
        <stp>BDH|16134364300460823837</stp>
        <tr r="AV8" s="3"/>
      </tp>
      <tp t="e">
        <v>#N/A</v>
        <stp/>
        <stp>BDH|14282512471936685241</stp>
        <tr r="V8" s="3"/>
      </tp>
      <tp t="e">
        <v>#N/A</v>
        <stp/>
        <stp>BDH|14356589050307867112</stp>
        <tr r="W10" s="31"/>
      </tp>
      <tp t="e">
        <v>#N/A</v>
        <stp/>
        <stp>BDH|11853791857403192259</stp>
        <tr r="AI10" s="31"/>
      </tp>
      <tp t="e">
        <v>#N/A</v>
        <stp/>
        <stp>BDH|11655368442706502229</stp>
        <tr r="AW8" s="3"/>
      </tp>
      <tp t="e">
        <v>#N/A</v>
        <stp/>
        <stp>BDH|14751693490379564036</stp>
        <tr r="S10" s="32"/>
      </tp>
      <tp t="e">
        <v>#N/A</v>
        <stp/>
        <stp>BDH|10784581334696103277</stp>
        <tr r="S8" s="3"/>
      </tp>
      <tp t="e">
        <v>#N/A</v>
        <stp/>
        <stp>BDH|17631454475526488132</stp>
        <tr r="I10" s="31"/>
      </tp>
      <tp t="e">
        <v>#N/A</v>
        <stp/>
        <stp>BDH|16018275783099378663</stp>
        <tr r="L10" s="33"/>
      </tp>
      <tp t="e">
        <v>#N/A</v>
        <stp/>
        <stp>BDH|13185329333207197717</stp>
        <tr r="R8" s="3"/>
      </tp>
      <tp t="e">
        <v>#N/A</v>
        <stp/>
        <stp>BDH|10124963655369758634</stp>
        <tr r="V10" s="31"/>
      </tp>
      <tp t="e">
        <v>#N/A</v>
        <stp/>
        <stp>BDH|15246329440629980822</stp>
        <tr r="Q10" s="33"/>
      </tp>
      <tp t="e">
        <v>#N/A</v>
        <stp/>
        <stp>BDH|11432041451376989151</stp>
        <tr r="Z8" s="3"/>
      </tp>
      <tp t="e">
        <v>#N/A</v>
        <stp/>
        <stp>BDH|18316746598630361515</stp>
        <tr r="M10" s="33"/>
      </tp>
      <tp t="e">
        <v>#N/A</v>
        <stp/>
        <stp>BDH|11118147457806523369</stp>
        <tr r="D8" s="3"/>
      </tp>
      <tp t="e">
        <v>#N/A</v>
        <stp/>
        <stp>BDH|15484321044134666602</stp>
        <tr r="AQ8" s="3"/>
      </tp>
      <tp t="e">
        <v>#N/A</v>
        <stp/>
        <stp>BDH|12820484878507068613</stp>
        <tr r="G10" s="31"/>
      </tp>
      <tp t="e">
        <v>#N/A</v>
        <stp/>
        <stp>BDH|14094023030352157587</stp>
        <tr r="J10" s="33"/>
      </tp>
      <tp t="e">
        <v>#N/A</v>
        <stp/>
        <stp>BDH|10165398622761010079</stp>
        <tr r="AM8" s="3"/>
      </tp>
      <tp t="e">
        <v>#N/A</v>
        <stp/>
        <stp>BDH|11861660078352635313</stp>
        <tr r="F10" s="32"/>
      </tp>
      <tp t="e">
        <v>#N/A</v>
        <stp/>
        <stp>BDH|17659237263311779314</stp>
        <tr r="K10" s="33"/>
      </tp>
      <tp t="e">
        <v>#N/A</v>
        <stp/>
        <stp>BDH|11143612677156736739</stp>
        <tr r="L8" s="3"/>
      </tp>
      <tp t="e">
        <v>#N/A</v>
        <stp/>
        <stp>BDH|18005611107718895773</stp>
        <tr r="AY8" s="3"/>
      </tp>
      <tp t="e">
        <v>#N/A</v>
        <stp/>
        <stp>BDH|13734120953402501496</stp>
        <tr r="R10" s="32"/>
      </tp>
      <tp t="e">
        <v>#N/A</v>
        <stp/>
        <stp>BDH|18345787345189321376</stp>
        <tr r="AE8" s="3"/>
      </tp>
      <tp t="e">
        <v>#N/A</v>
        <stp/>
        <stp>BDH|17356184359421251426</stp>
        <tr r="H10" s="31"/>
      </tp>
      <tp t="e">
        <v>#N/A</v>
        <stp/>
        <stp>BDH|17267608471047216765</stp>
        <tr r="C10" s="32"/>
      </tp>
      <tp t="e">
        <v>#N/A</v>
        <stp/>
        <stp>BDH|14691122860093437692</stp>
        <tr r="S10" s="31"/>
      </tp>
      <tp t="e">
        <v>#N/A</v>
        <stp/>
        <stp>BDH|10909005556883716054</stp>
        <tr r="C10" s="33"/>
      </tp>
      <tp t="e">
        <v>#N/A</v>
        <stp/>
        <stp>BDH|12576231252364433630</stp>
        <tr r="AG8" s="3"/>
      </tp>
      <tp t="e">
        <v>#N/A</v>
        <stp/>
        <stp>BDH|17762273362130650467</stp>
        <tr r="N10" s="33"/>
      </tp>
      <tp t="e">
        <v>#N/A</v>
        <stp/>
        <stp>BDH|13148634252625663232</stp>
        <tr r="AA10" s="31"/>
      </tp>
      <tp t="e">
        <v>#N/A</v>
        <stp/>
        <stp>BDH|16325495276631796375</stp>
        <tr r="O8" s="3"/>
      </tp>
      <tp t="e">
        <v>#N/A</v>
        <stp/>
        <stp>BDH|17299876601890206880</stp>
        <tr r="F10" s="31"/>
      </tp>
      <tp t="e">
        <v>#N/A</v>
        <stp/>
        <stp>BDH|15118682469198779927</stp>
        <tr r="C10" s="31"/>
      </tp>
      <tp t="e">
        <v>#N/A</v>
        <stp/>
        <stp>BDH|13848434210947535577</stp>
        <tr r="F8" s="3"/>
      </tp>
      <tp t="e">
        <v>#N/A</v>
        <stp/>
        <stp>BDH|17363491633536508249</stp>
        <tr r="S10" s="33"/>
      </tp>
      <tp t="e">
        <v>#N/A</v>
        <stp/>
        <stp>BDH|10565848797355899007</stp>
        <tr r="N10" s="32"/>
      </tp>
      <tp t="e">
        <v>#N/A</v>
        <stp/>
        <stp>BDH|17097733321004897387</stp>
        <tr r="AN10" s="31"/>
      </tp>
      <tp t="e">
        <v>#N/A</v>
        <stp/>
        <stp>BDH|12758583101930155225</stp>
        <tr r="AF8" s="3"/>
      </tp>
    </main>
    <main first="bofaddin.rtdserver">
      <tp t="e">
        <v>#N/A</v>
        <stp/>
        <stp>BDH|7313959251207274038</stp>
        <tr r="U10" s="33"/>
      </tp>
      <tp t="e">
        <v>#N/A</v>
        <stp/>
        <stp>BDH|7942524898341419614</stp>
        <tr r="B10" s="33"/>
      </tp>
      <tp t="e">
        <v>#N/A</v>
        <stp/>
        <stp>BDH|4708912682998832046</stp>
        <tr r="H8" s="3"/>
      </tp>
      <tp t="e">
        <v>#N/A</v>
        <stp/>
        <stp>BDH|3926951608080678716</stp>
        <tr r="O10" s="32"/>
      </tp>
      <tp t="e">
        <v>#N/A</v>
        <stp/>
        <stp>BDH|6684794324977985970</stp>
        <tr r="E10" s="33"/>
      </tp>
      <tp t="e">
        <v>#N/A</v>
        <stp/>
        <stp>BDH|4879164621218228163</stp>
        <tr r="N8" s="3"/>
      </tp>
      <tp t="e">
        <v>#N/A</v>
        <stp/>
        <stp>BDH|2983793891813819112</stp>
        <tr r="E10" s="31"/>
      </tp>
      <tp t="e">
        <v>#N/A</v>
        <stp/>
        <stp>BDH|6501214600109305381</stp>
        <tr r="W10" s="33"/>
      </tp>
      <tp t="e">
        <v>#N/A</v>
        <stp/>
        <stp>BDH|9972058536731171570</stp>
        <tr r="J10" s="32"/>
      </tp>
      <tp t="e">
        <v>#N/A</v>
        <stp/>
        <stp>BDH|8054643941727346255</stp>
        <tr r="I8" s="3"/>
      </tp>
      <tp t="e">
        <v>#N/A</v>
        <stp/>
        <stp>BDH|2415992322975080455</stp>
        <tr r="O10" s="33"/>
      </tp>
      <tp t="e">
        <v>#N/A</v>
        <stp/>
        <stp>BDH|3373080601682349910</stp>
        <tr r="P8" s="3"/>
      </tp>
      <tp t="e">
        <v>#N/A</v>
        <stp/>
        <stp>BDH|2232307202558965162</stp>
        <tr r="D10" s="33"/>
      </tp>
      <tp t="e">
        <v>#N/A</v>
        <stp/>
        <stp>BDH|4799152793510643412</stp>
        <tr r="P10" s="32"/>
      </tp>
      <tp t="e">
        <v>#N/A</v>
        <stp/>
        <stp>BDH|17708119933279081</stp>
        <tr r="AK10" s="31"/>
      </tp>
      <tp t="e">
        <v>#N/A</v>
        <stp/>
        <stp>BDH|5822868122081164729</stp>
        <tr r="D10" s="31"/>
      </tp>
      <tp t="e">
        <v>#N/A</v>
        <stp/>
        <stp>BDH|5293999513464187065</stp>
        <tr r="V10" s="33"/>
      </tp>
      <tp t="e">
        <v>#N/A</v>
        <stp/>
        <stp>BDH|1484086326218788212</stp>
        <tr r="L10" s="32"/>
      </tp>
      <tp t="e">
        <v>#N/A</v>
        <stp/>
        <stp>BDH|4769495579719950731</stp>
        <tr r="AD8" s="3"/>
      </tp>
      <tp t="e">
        <v>#N/A</v>
        <stp/>
        <stp>BDH|2214031700972623977</stp>
        <tr r="AB10" s="33"/>
      </tp>
      <tp t="e">
        <v>#N/A</v>
        <stp/>
        <stp>BDH|5120467606008599037</stp>
        <tr r="P10" s="33"/>
      </tp>
      <tp t="e">
        <v>#N/A</v>
        <stp/>
        <stp>BDH|4826974911311140743</stp>
        <tr r="AM10" s="31"/>
      </tp>
      <tp t="e">
        <v>#N/A</v>
        <stp/>
        <stp>BDH|3712011453534585835</stp>
        <tr r="U8" s="3"/>
      </tp>
      <tp t="e">
        <v>#N/A</v>
        <stp/>
        <stp>BDH|2620326307723358869</stp>
        <tr r="R10" s="31"/>
      </tp>
      <tp t="e">
        <v>#N/A</v>
        <stp/>
        <stp>BDH|8191340364053056462</stp>
        <tr r="G8" s="3"/>
      </tp>
      <tp t="e">
        <v>#N/A</v>
        <stp/>
        <stp>BDH|8532344642004772113</stp>
        <tr r="AT8" s="3"/>
      </tp>
      <tp t="e">
        <v>#N/A</v>
        <stp/>
        <stp>BDH|3593816662783331408</stp>
        <tr r="AH10" s="31"/>
      </tp>
      <tp t="e">
        <v>#N/A</v>
        <stp/>
        <stp>BDH|5239973418091992610</stp>
        <tr r="AB10" s="32"/>
      </tp>
      <tp t="e">
        <v>#N/A</v>
        <stp/>
        <stp>BDH|5514977539305174116</stp>
        <tr r="E9" s="7"/>
      </tp>
      <tp t="e">
        <v>#N/A</v>
        <stp/>
        <stp>BDH|8600295245820044529</stp>
        <tr r="AG10" s="31"/>
      </tp>
      <tp t="e">
        <v>#N/A</v>
        <stp/>
        <stp>BDH|2482614488626665141</stp>
        <tr r="E8" s="3"/>
      </tp>
      <tp t="e">
        <v>#N/A</v>
        <stp/>
        <stp>BDH|4717016375909830174</stp>
        <tr r="B8" s="3"/>
      </tp>
      <tp t="e">
        <v>#N/A</v>
        <stp/>
        <stp>BDH|1856324071529184805</stp>
        <tr r="N10" s="31"/>
      </tp>
      <tp t="e">
        <v>#N/A</v>
        <stp/>
        <stp>BDH|8882338233554554800</stp>
        <tr r="M10" s="31"/>
      </tp>
      <tp t="e">
        <v>#N/A</v>
        <stp/>
        <stp>BDH|4718368475985284151</stp>
        <tr r="AA8" s="3"/>
      </tp>
      <tp t="e">
        <v>#N/A</v>
        <stp/>
        <stp>BDH|7188116937157403637</stp>
        <tr r="AL8" s="3"/>
      </tp>
      <tp t="e">
        <v>#N/A</v>
        <stp/>
        <stp>BDH|4144055181670614842</stp>
        <tr r="T10" s="32"/>
      </tp>
      <tp t="e">
        <v>#N/A</v>
        <stp/>
        <stp>BDH|4090540937024277262</stp>
        <tr r="X10" s="31"/>
      </tp>
      <tp t="e">
        <v>#N/A</v>
        <stp/>
        <stp>BDH|2814065933680473430</stp>
        <tr r="AJ8" s="3"/>
      </tp>
      <tp t="e">
        <v>#N/A</v>
        <stp/>
        <stp>BDH|2900465722371607000</stp>
        <tr r="AR8" s="3"/>
      </tp>
      <tp t="e">
        <v>#N/A</v>
        <stp/>
        <stp>BDH|4678283709370671385</stp>
        <tr r="AC10" s="31"/>
      </tp>
      <tp t="e">
        <v>#N/A</v>
        <stp/>
        <stp>BDH|5766575829992110571</stp>
        <tr r="AA10" s="33"/>
      </tp>
      <tp t="e">
        <v>#N/A</v>
        <stp/>
        <stp>BDH|3498227165842618023</stp>
        <tr r="U10" s="32"/>
      </tp>
      <tp t="e">
        <v>#N/A</v>
        <stp/>
        <stp>BDH|8138979165794556636</stp>
        <tr r="AI8" s="3"/>
      </tp>
      <tp t="e">
        <v>#N/A</v>
        <stp/>
        <stp>BDH|6968681848030535271</stp>
        <tr r="AS8" s="3"/>
      </tp>
      <tp t="e">
        <v>#N/A</v>
        <stp/>
        <stp>BDH|4843242943554766009</stp>
        <tr r="I10" s="33"/>
      </tp>
      <tp t="e">
        <v>#N/A</v>
        <stp/>
        <stp>BDH|1845147321372471672</stp>
        <tr r="H10" s="32"/>
      </tp>
      <tp t="e">
        <v>#N/A</v>
        <stp/>
        <stp>BDH|9187079699665248320</stp>
        <tr r="M8" s="3"/>
      </tp>
      <tp t="e">
        <v>#N/A</v>
        <stp/>
        <stp>BDH|8384807500977613171</stp>
        <tr r="B10" s="32"/>
      </tp>
      <tp t="e">
        <v>#N/A</v>
        <stp/>
        <stp>BDH|3272620558861351782</stp>
        <tr r="AL10" s="31"/>
      </tp>
      <tp t="e">
        <v>#N/A</v>
        <stp/>
        <stp>BDH|5461034728492910378</stp>
        <tr r="C8" s="3"/>
      </tp>
      <tp t="e">
        <v>#N/A</v>
        <stp/>
        <stp>BDH|9626209444849771025</stp>
        <tr r="P10" s="31"/>
      </tp>
      <tp t="e">
        <v>#N/A</v>
        <stp/>
        <stp>BDH|3710410789609565130</stp>
        <tr r="AA10" s="32"/>
      </tp>
      <tp t="e">
        <v>#N/A</v>
        <stp/>
        <stp>BDH|2849157576661308210</stp>
        <tr r="AO10" s="31"/>
      </tp>
      <tp t="e">
        <v>#N/A</v>
        <stp/>
        <stp>BDH|6144413386059880496</stp>
        <tr r="M10" s="32"/>
      </tp>
      <tp t="e">
        <v>#N/A</v>
        <stp/>
        <stp>BDH|3740339312135448360</stp>
        <tr r="X10" s="33"/>
      </tp>
      <tp t="e">
        <v>#N/A</v>
        <stp/>
        <stp>BDH|3861787232932942542</stp>
        <tr r="Y8" s="3"/>
      </tp>
      <tp t="e">
        <v>#N/A</v>
        <stp/>
        <stp>BDH|6579000107673495540</stp>
        <tr r="BA8" s="3"/>
      </tp>
      <tp t="e">
        <v>#N/A</v>
        <stp/>
        <stp>BDH|3651276155517190375</stp>
        <tr r="Z10" s="33"/>
      </tp>
      <tp t="e">
        <v>#N/A</v>
        <stp/>
        <stp>BDH|9810108319960669963</stp>
        <tr r="K10" s="32"/>
      </tp>
      <tp t="e">
        <v>#N/A</v>
        <stp/>
        <stp>BDH|3291891644556292868</stp>
        <tr r="AO8" s="3"/>
      </tp>
      <tp t="e">
        <v>#N/A</v>
        <stp/>
        <stp>BDH|1979196029491354230</stp>
        <tr r="Y10" s="31"/>
      </tp>
      <tp t="e">
        <v>#N/A</v>
        <stp/>
        <stp>BDH|3491255934670847338</stp>
        <tr r="U10" s="31"/>
      </tp>
      <tp t="e">
        <v>#N/A</v>
        <stp/>
        <stp>BDH|5749886672549928297</stp>
        <tr r="R10" s="33"/>
      </tp>
      <tp t="e">
        <v>#N/A</v>
        <stp/>
        <stp>BDH|3719102853621616726</stp>
        <tr r="Q10" s="31"/>
      </tp>
      <tp t="e">
        <v>#N/A</v>
        <stp/>
        <stp>BDH|5406796083099111150</stp>
        <tr r="I10" s="32"/>
      </tp>
      <tp t="e">
        <v>#N/A</v>
        <stp/>
        <stp>BDH|1646085267690259521</stp>
        <tr r="AB10" s="31"/>
      </tp>
      <tp t="e">
        <v>#N/A</v>
        <stp/>
        <stp>BDH|5951092414537069185</stp>
        <tr r="AN8" s="3"/>
      </tp>
      <tp t="e">
        <v>#N/A</v>
        <stp/>
        <stp>BDH|3267734547177840524</stp>
        <tr r="X8" s="3"/>
      </tp>
      <tp t="e">
        <v>#N/A</v>
        <stp/>
        <stp>BDH|3036407552748294831</stp>
        <tr r="AE10" s="31"/>
      </tp>
      <tp t="e">
        <v>#N/A</v>
        <stp/>
        <stp>BDH|3373255873483754690</stp>
        <tr r="X10" s="32"/>
      </tp>
      <tp t="e">
        <v>#N/A</v>
        <stp/>
        <stp>BDH|7736557832107224591</stp>
        <tr r="D10" s="32"/>
      </tp>
      <tp t="e">
        <v>#N/A</v>
        <stp/>
        <stp>BDH|4892763954310848536</stp>
        <tr r="K8" s="3"/>
      </tp>
      <tp t="e">
        <v>#N/A</v>
        <stp/>
        <stp>BDH|9616050774399691406</stp>
        <tr r="V10" s="32"/>
      </tp>
      <tp t="e">
        <v>#N/A</v>
        <stp/>
        <stp>BDH|1489095246555939335</stp>
        <tr r="T10" s="33"/>
      </tp>
    </main>
    <main first="bloomberg.rtd">
      <tp t="s">
        <v>#N/A Requesting Data...</v>
        <stp/>
        <stp>##V3_BFIELDINFOV12</stp>
        <stp>[PP_2026.xlsx]Brent Sprds!R7C3</stp>
        <stp>PX_SETTLE</stp>
        <tr r="C7" s="32"/>
      </tp>
      <tp t="s">
        <v>#N/A Requesting Data...</v>
        <stp/>
        <stp>##V3_BFIELDINFOV12</stp>
        <stp>[PP_2026.xlsx]Brent Sprds!R7C2</stp>
        <stp>PX_SETTLE</stp>
        <tr r="B7" s="32"/>
      </tp>
    </main>
    <main first="bofaddin.rtdserver">
      <tp t="e">
        <v>#N/A</v>
        <stp/>
        <stp>BDH|626021937102089606</stp>
        <tr r="W8" s="3"/>
      </tp>
      <tp t="e">
        <v>#N/A</v>
        <stp/>
        <stp>BDH|675043901069649822</stp>
        <tr r="Y10" s="33"/>
      </tp>
    </main>
    <main first="bloomberg.rtd">
      <tp t="s">
        <v>#N/A Requesting Data...</v>
        <stp/>
        <stp>##V3_BFIELDINFOV12</stp>
        <stp>[PP_2026.xlsx]Brent Sprds!R7C7</stp>
        <stp>PX_SETTLE</stp>
        <tr r="G7" s="32"/>
      </tp>
      <tp t="s">
        <v>#N/A Requesting Data...</v>
        <stp/>
        <stp>##V3_BFIELDINFOV12</stp>
        <stp>[PP_2026.xlsx]Brent Sprds!R7C6</stp>
        <stp>PX_SETTLE</stp>
        <tr r="F7" s="32"/>
      </tp>
    </main>
    <main first="bofaddin.rtdserver">
      <tp t="e">
        <v>#N/A</v>
        <stp/>
        <stp>BDH|681451309843819467</stp>
        <tr r="Q8" s="3"/>
      </tp>
    </main>
    <main first="bloomberg.rtd">
      <tp t="s">
        <v>#N/A Requesting Data...</v>
        <stp/>
        <stp>##V3_BFIELDINFOV12</stp>
        <stp>[PP_2026.xlsx]Brent Sprds!R7C5</stp>
        <stp>PX_SETTLE</stp>
        <tr r="E7" s="32"/>
      </tp>
      <tp t="s">
        <v>#N/A Requesting Data...</v>
        <stp/>
        <stp>##V3_BFIELDINFOV12</stp>
        <stp>[PP_2026.xlsx]Brent Sprds!R7C4</stp>
        <stp>PX_SETTLE</stp>
        <tr r="D7" s="32"/>
      </tp>
    </main>
    <main first="bofaddin.rtdserver">
      <tp t="e">
        <v>#N/A</v>
        <stp/>
        <stp>BDH|880841831295827386</stp>
        <tr r="AP8" s="3"/>
      </tp>
      <tp t="e">
        <v>#N/A</v>
        <stp/>
        <stp>BDH|173977201107606376</stp>
        <tr r="AH8" s="3"/>
      </tp>
      <tp t="e">
        <v>#N/A</v>
        <stp/>
        <stp>BDH|197998603842960794</stp>
        <tr r="E10" s="32"/>
      </tp>
    </main>
    <main first="bloomberg.rtd">
      <tp t="s">
        <v>#N/A Requesting Data...</v>
        <stp/>
        <stp>##V3_BFIELDINFOV12</stp>
        <stp>[PP_2026.xlsx]Brent Sprds!R7C9</stp>
        <stp>PX_SETTLE</stp>
        <tr r="I7" s="32"/>
      </tp>
      <tp t="s">
        <v>#N/A Requesting Data...</v>
        <stp/>
        <stp>##V3_BFIELDINFOV12</stp>
        <stp>[PP_2026.xlsx]Brent Sprds!R7C8</stp>
        <stp>PX_SETTLE</stp>
        <tr r="H7" s="32"/>
      </tp>
      <tp t="s">
        <v>#N/A Requesting Data...</v>
        <stp/>
        <stp>##V3_BFIELDINFOV12</stp>
        <stp>[PP_2026.xlsx]WTI-Brent!R7C25</stp>
        <stp>PX_SETTLE</stp>
        <tr r="Y7" s="33"/>
      </tp>
      <tp t="s">
        <v>#N/A Requesting Data...</v>
        <stp/>
        <stp>##V3_BFIELDINFOV12</stp>
        <stp>[PP_2026.xlsx]WTI-Brent!R7C15</stp>
        <stp>PX_SETTLE</stp>
        <tr r="O7" s="33"/>
      </tp>
      <tp t="s">
        <v>#N/A Requesting Data...</v>
        <stp/>
        <stp>##V3_BFIELDINFOV12</stp>
        <stp>[PP_2026.xlsx]Brent Sprds!R7C16</stp>
        <stp>PX_SETTLE</stp>
        <tr r="P7" s="32"/>
      </tp>
      <tp t="s">
        <v>#N/A Requesting Data...</v>
        <stp/>
        <stp>##V3_BFIELDINFOV12</stp>
        <stp>[PP_2026.xlsx]Brent Sprds!R7C26</stp>
        <stp>PX_SETTLE</stp>
        <tr r="Z7" s="32"/>
      </tp>
      <tp t="s">
        <v>#N/A Requesting Data...</v>
        <stp/>
        <stp>##V3_BFIELDINFOV12</stp>
        <stp>[PP_2026.xlsx]BBG!R6C20</stp>
        <stp>PX_SETTLE</stp>
        <tr r="T6" s="3"/>
      </tp>
      <tp t="s">
        <v>#N/A Requesting Data...</v>
        <stp/>
        <stp>##V3_BFIELDINFOV12</stp>
        <stp>[PP_2026.xlsx]BBG!R6C30</stp>
        <stp>PX_SETTLE</stp>
        <tr r="AD6" s="3"/>
      </tp>
      <tp t="s">
        <v>#N/A Requesting Data...</v>
        <stp/>
        <stp>##V3_BFIELDINFOV12</stp>
        <stp>[PP_2026.xlsx]BBG!R6C10</stp>
        <stp>PX_SETTLE</stp>
        <tr r="J6" s="3"/>
      </tp>
      <tp t="s">
        <v>#N/A Requesting Data...</v>
        <stp/>
        <stp>##V3_BFIELDINFOV12</stp>
        <stp>[PP_2026.xlsx]BBG!R6C40</stp>
        <stp>PX_SETTLE</stp>
        <tr r="AN6" s="3"/>
      </tp>
      <tp t="s">
        <v>#N/A Requesting Data...</v>
        <stp/>
        <stp>##V3_BFIELDINFOV12</stp>
        <stp>[PP_2026.xlsx]BBG!R6C50</stp>
        <stp>PX_SETTLE</stp>
        <tr r="AX6" s="3"/>
      </tp>
      <tp t="s">
        <v>#N/A Requesting Data...</v>
        <stp/>
        <stp>##V3_BFIELDINFOV12</stp>
        <stp>[PP_2026.xlsx]WTI-Brent!R7C24</stp>
        <stp>PX_SETTLE</stp>
        <tr r="X7" s="33"/>
      </tp>
      <tp t="s">
        <v>#N/A Requesting Data...</v>
        <stp/>
        <stp>##V3_BFIELDINFOV12</stp>
        <stp>[PP_2026.xlsx]WTI-Brent!R7C14</stp>
        <stp>PX_SETTLE</stp>
        <tr r="N7" s="33"/>
      </tp>
      <tp t="s">
        <v>#N/A Requesting Data...</v>
        <stp/>
        <stp>##V3_BFIELDINFOV12</stp>
        <stp>[PP_2026.xlsx]Brent Sprds!R7C17</stp>
        <stp>PX_SETTLE</stp>
        <tr r="Q7" s="32"/>
      </tp>
      <tp t="s">
        <v>#N/A Requesting Data...</v>
        <stp/>
        <stp>##V3_BFIELDINFOV12</stp>
        <stp>[PP_2026.xlsx]Brent Sprds!R7C27</stp>
        <stp>PX_SETTLE</stp>
        <tr r="AA7" s="32"/>
      </tp>
      <tp t="s">
        <v>#N/A Requesting Data...</v>
        <stp/>
        <stp>##V3_BFIELDINFOV12</stp>
        <stp>[PP_2026.xlsx]BBG!R6C21</stp>
        <stp>PX_SETTLE</stp>
        <tr r="U6" s="3"/>
      </tp>
      <tp t="s">
        <v>#N/A Requesting Data...</v>
        <stp/>
        <stp>##V3_BFIELDINFOV12</stp>
        <stp>[PP_2026.xlsx]BBG!R6C31</stp>
        <stp>PX_SETTLE</stp>
        <tr r="AE6" s="3"/>
      </tp>
      <tp t="s">
        <v>#N/A Requesting Data...</v>
        <stp/>
        <stp>##V3_BFIELDINFOV12</stp>
        <stp>[PP_2026.xlsx]BBG!R6C11</stp>
        <stp>PX_SETTLE</stp>
        <tr r="K6" s="3"/>
      </tp>
      <tp t="s">
        <v>#N/A Requesting Data...</v>
        <stp/>
        <stp>##V3_BFIELDINFOV12</stp>
        <stp>[PP_2026.xlsx]BBG!R6C41</stp>
        <stp>PX_SETTLE</stp>
        <tr r="AO6" s="3"/>
      </tp>
      <tp t="s">
        <v>#N/A Requesting Data...</v>
        <stp/>
        <stp>##V3_BFIELDINFOV12</stp>
        <stp>[PP_2026.xlsx]BBG!R6C51</stp>
        <stp>PX_SETTLE</stp>
        <tr r="AY6" s="3"/>
      </tp>
      <tp t="s">
        <v>#N/A Requesting Data...</v>
        <stp/>
        <stp>##V3_BFIELDINFOV12</stp>
        <stp>[PP_2026.xlsx]WTI-Brent!R7C27</stp>
        <stp>PX_SETTLE</stp>
        <tr r="AA7" s="33"/>
      </tp>
      <tp t="s">
        <v>#N/A Requesting Data...</v>
        <stp/>
        <stp>##V3_BFIELDINFOV12</stp>
        <stp>[PP_2026.xlsx]WTI-Brent!R7C17</stp>
        <stp>PX_SETTLE</stp>
        <tr r="Q7" s="33"/>
      </tp>
      <tp t="s">
        <v>#N/A Requesting Data...</v>
        <stp/>
        <stp>##V3_BFIELDINFOV12</stp>
        <stp>[PP_2026.xlsx]Brent Sprds!R7C14</stp>
        <stp>PX_SETTLE</stp>
        <tr r="N7" s="32"/>
      </tp>
      <tp t="s">
        <v>#N/A Requesting Data...</v>
        <stp/>
        <stp>##V3_BFIELDINFOV12</stp>
        <stp>[PP_2026.xlsx]Brent Sprds!R7C24</stp>
        <stp>PX_SETTLE</stp>
        <tr r="X7" s="32"/>
      </tp>
      <tp t="s">
        <v>#N/A Requesting Data...</v>
        <stp/>
        <stp>##V3_BFIELDINFOV12</stp>
        <stp>[PP_2026.xlsx]BBG!R6C22</stp>
        <stp>PX_SETTLE</stp>
        <tr r="V6" s="3"/>
      </tp>
      <tp t="s">
        <v>#N/A Requesting Data...</v>
        <stp/>
        <stp>##V3_BFIELDINFOV12</stp>
        <stp>[PP_2026.xlsx]BBG!R6C32</stp>
        <stp>PX_SETTLE</stp>
        <tr r="AF6" s="3"/>
      </tp>
      <tp t="s">
        <v>#N/A Requesting Data...</v>
        <stp/>
        <stp>##V3_BFIELDINFOV12</stp>
        <stp>[PP_2026.xlsx]BBG!R6C12</stp>
        <stp>PX_SETTLE</stp>
        <tr r="L6" s="3"/>
      </tp>
      <tp t="s">
        <v>#N/A Requesting Data...</v>
        <stp/>
        <stp>##V3_BFIELDINFOV12</stp>
        <stp>[PP_2026.xlsx]BBG!R6C42</stp>
        <stp>PX_SETTLE</stp>
        <tr r="AP6" s="3"/>
      </tp>
      <tp t="s">
        <v>#N/A Requesting Data...</v>
        <stp/>
        <stp>##V3_BFIELDINFOV12</stp>
        <stp>[PP_2026.xlsx]BBG!R6C52</stp>
        <stp>PX_SETTLE</stp>
        <tr r="AZ6" s="3"/>
      </tp>
      <tp t="s">
        <v>#N/A Requesting Data...</v>
        <stp/>
        <stp>##V3_BFIELDINFOV12</stp>
        <stp>[PP_2026.xlsx]WTI-Brent!R7C26</stp>
        <stp>PX_SETTLE</stp>
        <tr r="Z7" s="33"/>
      </tp>
      <tp t="s">
        <v>#N/A Requesting Data...</v>
        <stp/>
        <stp>##V3_BFIELDINFOV12</stp>
        <stp>[PP_2026.xlsx]WTI-Brent!R7C16</stp>
        <stp>PX_SETTLE</stp>
        <tr r="P7" s="33"/>
      </tp>
      <tp t="s">
        <v>#N/A Requesting Data...</v>
        <stp/>
        <stp>##V3_BFIELDINFOV12</stp>
        <stp>[PP_2026.xlsx]Brent Sprds!R7C15</stp>
        <stp>PX_SETTLE</stp>
        <tr r="O7" s="32"/>
      </tp>
      <tp t="s">
        <v>#N/A Requesting Data...</v>
        <stp/>
        <stp>##V3_BFIELDINFOV12</stp>
        <stp>[PP_2026.xlsx]Brent Sprds!R7C25</stp>
        <stp>PX_SETTLE</stp>
        <tr r="Y7" s="32"/>
      </tp>
      <tp t="s">
        <v>#N/A Requesting Data...</v>
        <stp/>
        <stp>##V3_BFIELDINFOV12</stp>
        <stp>[PP_2026.xlsx]BBG!R6C23</stp>
        <stp>PX_SETTLE</stp>
        <tr r="W6" s="3"/>
      </tp>
      <tp t="s">
        <v>#N/A Requesting Data...</v>
        <stp/>
        <stp>##V3_BFIELDINFOV12</stp>
        <stp>[PP_2026.xlsx]BBG!R6C33</stp>
        <stp>PX_SETTLE</stp>
        <tr r="AG6" s="3"/>
      </tp>
      <tp t="s">
        <v>#N/A Requesting Data...</v>
        <stp/>
        <stp>##V3_BFIELDINFOV12</stp>
        <stp>[PP_2026.xlsx]BBG!R6C13</stp>
        <stp>PX_SETTLE</stp>
        <tr r="M6" s="3"/>
      </tp>
      <tp t="s">
        <v>#N/A Requesting Data...</v>
        <stp/>
        <stp>##V3_BFIELDINFOV12</stp>
        <stp>[PP_2026.xlsx]BBG!R6C43</stp>
        <stp>PX_SETTLE</stp>
        <tr r="AQ6" s="3"/>
      </tp>
      <tp t="s">
        <v>#N/A Requesting Data...</v>
        <stp/>
        <stp>##V3_BFIELDINFOV12</stp>
        <stp>[PP_2026.xlsx]BBG!R6C53</stp>
        <stp>PX_SETTLE</stp>
        <tr r="BA6" s="3"/>
      </tp>
      <tp t="s">
        <v>#N/A Requesting Data...</v>
        <stp/>
        <stp>##V3_BFIELDINFOV12</stp>
        <stp>[PP_2026.xlsx]WTI-Brent!R7C21</stp>
        <stp>PX_SETTLE</stp>
        <tr r="U7" s="33"/>
      </tp>
      <tp t="s">
        <v>#N/A Requesting Data...</v>
        <stp/>
        <stp>##V3_BFIELDINFOV12</stp>
        <stp>[PP_2026.xlsx]WTI-Brent!R7C11</stp>
        <stp>PX_SETTLE</stp>
        <tr r="K7" s="33"/>
      </tp>
      <tp t="s">
        <v>#N/A Requesting Data...</v>
        <stp/>
        <stp>##V3_BFIELDINFOV12</stp>
        <stp>[PP_2026.xlsx]Brent Sprds!R7C12</stp>
        <stp>PX_SETTLE</stp>
        <tr r="L7" s="32"/>
      </tp>
      <tp t="s">
        <v>#N/A Requesting Data...</v>
        <stp/>
        <stp>##V3_BFIELDINFOV12</stp>
        <stp>[PP_2026.xlsx]Brent Sprds!R7C22</stp>
        <stp>PX_SETTLE</stp>
        <tr r="V7" s="32"/>
      </tp>
      <tp t="s">
        <v>#N/A Requesting Data...</v>
        <stp/>
        <stp>##V3_BFIELDINFOV12</stp>
        <stp>[PP_2026.xlsx]BBG!R6C24</stp>
        <stp>PX_SETTLE</stp>
        <tr r="X6" s="3"/>
      </tp>
      <tp t="s">
        <v>#N/A Requesting Data...</v>
        <stp/>
        <stp>##V3_BFIELDINFOV12</stp>
        <stp>[PP_2026.xlsx]BBG!R6C34</stp>
        <stp>PX_SETTLE</stp>
        <tr r="AH6" s="3"/>
      </tp>
      <tp t="s">
        <v>#N/A Requesting Data...</v>
        <stp/>
        <stp>##V3_BFIELDINFOV12</stp>
        <stp>[PP_2026.xlsx]BBG!R6C14</stp>
        <stp>PX_SETTLE</stp>
        <tr r="N6" s="3"/>
      </tp>
      <tp t="s">
        <v>#N/A Requesting Data...</v>
        <stp/>
        <stp>##V3_BFIELDINFOV12</stp>
        <stp>[PP_2026.xlsx]BBG!R6C44</stp>
        <stp>PX_SETTLE</stp>
        <tr r="AR6" s="3"/>
      </tp>
      <tp t="s">
        <v>#N/A Requesting Data...</v>
        <stp/>
        <stp>##V3_BFIELDINFOV12</stp>
        <stp>[PP_2026.xlsx]BBG!R6C9</stp>
        <stp>PX_SETTLE</stp>
        <tr r="I6" s="3"/>
      </tp>
      <tp t="s">
        <v>#N/A Requesting Data...</v>
        <stp/>
        <stp>##V3_BFIELDINFOV12</stp>
        <stp>[PP_2026.xlsx]WTI-Brent!R7C20</stp>
        <stp>PX_SETTLE</stp>
        <tr r="T7" s="33"/>
      </tp>
      <tp t="s">
        <v>#N/A Requesting Data...</v>
        <stp/>
        <stp>##V3_BFIELDINFOV12</stp>
        <stp>[PP_2026.xlsx]WTI-Brent!R7C10</stp>
        <stp>PX_SETTLE</stp>
        <tr r="J7" s="33"/>
      </tp>
      <tp t="s">
        <v>#N/A Requesting Data...</v>
        <stp/>
        <stp>##V3_BFIELDINFOV12</stp>
        <stp>[PP_2026.xlsx]Brent Sprds!R7C13</stp>
        <stp>PX_SETTLE</stp>
        <tr r="M7" s="32"/>
      </tp>
      <tp t="s">
        <v>#N/A Requesting Data...</v>
        <stp/>
        <stp>##V3_BFIELDINFOV12</stp>
        <stp>[PP_2026.xlsx]Brent Sprds!R7C23</stp>
        <stp>PX_SETTLE</stp>
        <tr r="W7" s="32"/>
      </tp>
      <tp t="s">
        <v>#N/A Requesting Data...</v>
        <stp/>
        <stp>##V3_BFIELDINFOV12</stp>
        <stp>[PP_2026.xlsx]BBG!R6C25</stp>
        <stp>PX_SETTLE</stp>
        <tr r="Y6" s="3"/>
      </tp>
      <tp t="s">
        <v>#N/A Requesting Data...</v>
        <stp/>
        <stp>##V3_BFIELDINFOV12</stp>
        <stp>[PP_2026.xlsx]BBG!R6C35</stp>
        <stp>PX_SETTLE</stp>
        <tr r="AI6" s="3"/>
      </tp>
      <tp t="s">
        <v>#N/A Requesting Data...</v>
        <stp/>
        <stp>##V3_BFIELDINFOV12</stp>
        <stp>[PP_2026.xlsx]BBG!R6C15</stp>
        <stp>PX_SETTLE</stp>
        <tr r="O6" s="3"/>
      </tp>
      <tp t="s">
        <v>#N/A Requesting Data...</v>
        <stp/>
        <stp>##V3_BFIELDINFOV12</stp>
        <stp>[PP_2026.xlsx]BBG!R6C45</stp>
        <stp>PX_SETTLE</stp>
        <tr r="AS6" s="3"/>
      </tp>
      <tp t="s">
        <v>#N/A Requesting Data...</v>
        <stp/>
        <stp>##V3_BFIELDINFOV12</stp>
        <stp>[PP_2026.xlsx]BBG!R6C8</stp>
        <stp>PX_SETTLE</stp>
        <tr r="H6" s="3"/>
      </tp>
      <tp t="s">
        <v>#N/A Requesting Data...</v>
        <stp/>
        <stp>##V3_BFIELDINFOV12</stp>
        <stp>[PP_2026.xlsx]WTI-Brent!R7C23</stp>
        <stp>PX_SETTLE</stp>
        <tr r="W7" s="33"/>
      </tp>
      <tp t="s">
        <v>#N/A Requesting Data...</v>
        <stp/>
        <stp>##V3_BFIELDINFOV12</stp>
        <stp>[PP_2026.xlsx]WTI-Brent!R7C13</stp>
        <stp>PX_SETTLE</stp>
        <tr r="M7" s="33"/>
      </tp>
      <tp t="s">
        <v>#N/A Requesting Data...</v>
        <stp/>
        <stp>##V3_BFIELDINFOV12</stp>
        <stp>[PP_2026.xlsx]Brent Sprds!R7C10</stp>
        <stp>PX_SETTLE</stp>
        <tr r="J7" s="32"/>
      </tp>
      <tp t="s">
        <v>#N/A Requesting Data...</v>
        <stp/>
        <stp>##V3_BFIELDINFOV12</stp>
        <stp>[PP_2026.xlsx]Brent Sprds!R7C20</stp>
        <stp>PX_SETTLE</stp>
        <tr r="T7" s="32"/>
      </tp>
      <tp t="s">
        <v>#N/A Requesting Data...</v>
        <stp/>
        <stp>##V3_BFIELDINFOV12</stp>
        <stp>[PP_2026.xlsx]BBG!R6C26</stp>
        <stp>PX_SETTLE</stp>
        <tr r="Z6" s="3"/>
      </tp>
      <tp t="s">
        <v>#N/A Requesting Data...</v>
        <stp/>
        <stp>##V3_BFIELDINFOV12</stp>
        <stp>[PP_2026.xlsx]BBG!R6C36</stp>
        <stp>PX_SETTLE</stp>
        <tr r="AJ6" s="3"/>
      </tp>
      <tp t="s">
        <v>#N/A Requesting Data...</v>
        <stp/>
        <stp>##V3_BFIELDINFOV12</stp>
        <stp>[PP_2026.xlsx]BBG!R6C16</stp>
        <stp>PX_SETTLE</stp>
        <tr r="P6" s="3"/>
      </tp>
      <tp t="s">
        <v>#N/A Requesting Data...</v>
        <stp/>
        <stp>##V3_BFIELDINFOV12</stp>
        <stp>[PP_2026.xlsx]BBG!R6C46</stp>
        <stp>PX_SETTLE</stp>
        <tr r="AT6" s="3"/>
      </tp>
      <tp t="s">
        <v>#N/A Requesting Data...</v>
        <stp/>
        <stp>##V3_BFIELDINFOV12</stp>
        <stp>[PP_2026.xlsx]WTI-Brent!R7C22</stp>
        <stp>PX_SETTLE</stp>
        <tr r="V7" s="33"/>
      </tp>
      <tp t="s">
        <v>#N/A Requesting Data...</v>
        <stp/>
        <stp>##V3_BFIELDINFOV12</stp>
        <stp>[PP_2026.xlsx]WTI-Brent!R7C12</stp>
        <stp>PX_SETTLE</stp>
        <tr r="L7" s="33"/>
      </tp>
      <tp t="s">
        <v>#N/A Requesting Data...</v>
        <stp/>
        <stp>##V3_BFIELDINFOV12</stp>
        <stp>[PP_2026.xlsx]Brent Sprds!R7C11</stp>
        <stp>PX_SETTLE</stp>
        <tr r="K7" s="32"/>
      </tp>
      <tp t="s">
        <v>#N/A Requesting Data...</v>
        <stp/>
        <stp>##V3_BFIELDINFOV12</stp>
        <stp>[PP_2026.xlsx]Brent Sprds!R7C21</stp>
        <stp>PX_SETTLE</stp>
        <tr r="U7" s="32"/>
      </tp>
      <tp t="s">
        <v>#N/A Requesting Data...</v>
        <stp/>
        <stp>##V3_BFIELDINFOV12</stp>
        <stp>[PP_2026.xlsx]BBG!R6C27</stp>
        <stp>PX_SETTLE</stp>
        <tr r="AA6" s="3"/>
      </tp>
      <tp t="s">
        <v>#N/A Requesting Data...</v>
        <stp/>
        <stp>##V3_BFIELDINFOV12</stp>
        <stp>[PP_2026.xlsx]BBG!R6C37</stp>
        <stp>PX_SETTLE</stp>
        <tr r="AK6" s="3"/>
      </tp>
      <tp t="s">
        <v>#N/A Requesting Data...</v>
        <stp/>
        <stp>##V3_BFIELDINFOV12</stp>
        <stp>[PP_2026.xlsx]BBG!R6C17</stp>
        <stp>PX_SETTLE</stp>
        <tr r="Q6" s="3"/>
      </tp>
      <tp t="s">
        <v>#N/A Requesting Data...</v>
        <stp/>
        <stp>##V3_BFIELDINFOV12</stp>
        <stp>[PP_2026.xlsx]BBG!R6C47</stp>
        <stp>PX_SETTLE</stp>
        <tr r="AU6" s="3"/>
      </tp>
      <tp t="s">
        <v>#N/A Requesting Data...</v>
        <stp/>
        <stp>##V3_BFIELDINFOV12</stp>
        <stp>[PP_2026.xlsx]BBG!R6C28</stp>
        <stp>PX_SETTLE</stp>
        <tr r="AB6" s="3"/>
      </tp>
      <tp t="s">
        <v>#N/A Requesting Data...</v>
        <stp/>
        <stp>##V3_BFIELDINFOV12</stp>
        <stp>[PP_2026.xlsx]BBG!R6C38</stp>
        <stp>PX_SETTLE</stp>
        <tr r="AL6" s="3"/>
      </tp>
      <tp t="s">
        <v>#N/A Requesting Data...</v>
        <stp/>
        <stp>##V3_BFIELDINFOV12</stp>
        <stp>[PP_2026.xlsx]BBG!R6C18</stp>
        <stp>PX_SETTLE</stp>
        <tr r="R6" s="3"/>
      </tp>
      <tp t="s">
        <v>#N/A Requesting Data...</v>
        <stp/>
        <stp>##V3_BFIELDINFOV12</stp>
        <stp>[PP_2026.xlsx]BBG!R6C48</stp>
        <stp>PX_SETTLE</stp>
        <tr r="AV6" s="3"/>
      </tp>
      <tp t="s">
        <v>#N/A Requesting Data...</v>
        <stp/>
        <stp>##V3_BFIELDINFOV12</stp>
        <stp>[PP_2026.xlsx]BBG!R6C5</stp>
        <stp>PX_SETTLE</stp>
        <tr r="E6" s="3"/>
      </tp>
      <tp t="s">
        <v>#N/A Requesting Data...</v>
        <stp/>
        <stp>##V3_BFIELDINFOV12</stp>
        <stp>[PP_2026.xlsx]BBG!R6C39</stp>
        <stp>PX_SETTLE</stp>
        <tr r="AM6" s="3"/>
      </tp>
      <tp t="s">
        <v>#N/A Requesting Data...</v>
        <stp/>
        <stp>##V3_BFIELDINFOV12</stp>
        <stp>[PP_2026.xlsx]BBG!R6C19</stp>
        <stp>PX_SETTLE</stp>
        <tr r="S6" s="3"/>
      </tp>
      <tp t="s">
        <v>#N/A Requesting Data...</v>
        <stp/>
        <stp>##V3_BFIELDINFOV12</stp>
        <stp>[PP_2026.xlsx]BBG!R6C49</stp>
        <stp>PX_SETTLE</stp>
        <tr r="AW6" s="3"/>
      </tp>
      <tp t="s">
        <v>#N/A Requesting Data...</v>
        <stp/>
        <stp>##V3_BFIELDINFOV12</stp>
        <stp>[PP_2026.xlsx]BBG!R6C4</stp>
        <stp>PX_SETTLE</stp>
        <tr r="D6" s="3"/>
      </tp>
      <tp t="s">
        <v>#N/A Requesting Data...</v>
        <stp/>
        <stp>##V3_BFIELDINFOV12</stp>
        <stp>[PP_2026.xlsx]BBG!R6C7</stp>
        <stp>PX_SETTLE</stp>
        <tr r="G6" s="3"/>
      </tp>
      <tp t="s">
        <v>#N/A Requesting Data...</v>
        <stp/>
        <stp>##V3_BFIELDINFOV12</stp>
        <stp>[PP_2026.xlsx]BBG!R6C6</stp>
        <stp>PX_SETTLE</stp>
        <tr r="F6" s="3"/>
      </tp>
      <tp t="s">
        <v>#N/A Requesting Data...</v>
        <stp/>
        <stp>##V3_BFIELDINFOV12</stp>
        <stp>[PP_2026.xlsx]WTI-Brent!R7C19</stp>
        <stp>PX_SETTLE</stp>
        <tr r="S7" s="33"/>
      </tp>
      <tp t="s">
        <v>#N/A Requesting Data...</v>
        <stp/>
        <stp>##V3_BFIELDINFOV12</stp>
        <stp>[PP_2026.xlsx]WTI-Brent!R7C28</stp>
        <stp>PX_SETTLE</stp>
        <tr r="AB7" s="33"/>
      </tp>
      <tp t="s">
        <v>#N/A Requesting Data...</v>
        <stp/>
        <stp>##V3_BFIELDINFOV12</stp>
        <stp>[PP_2026.xlsx]WTI-Brent!R7C18</stp>
        <stp>PX_SETTLE</stp>
        <tr r="R7" s="33"/>
      </tp>
      <tp t="s">
        <v>#N/A Requesting Data...</v>
        <stp/>
        <stp>##V3_BFIELDINFOV12</stp>
        <stp>[PP_2026.xlsx]Brent Sprds!R7C18</stp>
        <stp>PX_SETTLE</stp>
        <tr r="R7" s="32"/>
      </tp>
      <tp t="s">
        <v>#N/A Requesting Data...</v>
        <stp/>
        <stp>##V3_BFIELDINFOV12</stp>
        <stp>[PP_2026.xlsx]Brent Sprds!R7C28</stp>
        <stp>PX_SETTLE</stp>
        <tr r="AB7" s="32"/>
      </tp>
      <tp t="s">
        <v>#N/A Requesting Data...</v>
        <stp/>
        <stp>##V3_BFIELDINFOV12</stp>
        <stp>[PP_2026.xlsx]BBG!R6C3</stp>
        <stp>PX_SETTLE</stp>
        <tr r="C6" s="3"/>
      </tp>
      <tp t="s">
        <v>#N/A Requesting Data...</v>
        <stp/>
        <stp>##V3_BFIELDINFOV12</stp>
        <stp>[PP_2026.xlsx]Brent Sprds!R7C19</stp>
        <stp>PX_SETTLE</stp>
        <tr r="S7" s="32"/>
      </tp>
      <tp t="s">
        <v>#N/A Requesting Data...</v>
        <stp/>
        <stp>##V3_BFIELDINFOV12</stp>
        <stp>[PP_2026.xlsx]BBG!R6C2</stp>
        <stp>PX_SETTLE</stp>
        <tr r="B6" s="3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9" Type="http://schemas.openxmlformats.org/officeDocument/2006/relationships/customXml" Target="../customXml/item5.xml"/><Relationship Id="rId21" Type="http://schemas.openxmlformats.org/officeDocument/2006/relationships/externalLink" Target="externalLinks/externalLink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microsoft.com/office/2017/06/relationships/rdRichValueTypes" Target="richData/rdRichValueType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microsoft.com/office/2017/06/relationships/rdRichValueStructure" Target="richData/rdrichvaluestructure.xml"/><Relationship Id="rId37" Type="http://schemas.openxmlformats.org/officeDocument/2006/relationships/customXml" Target="../customXml/item3.xml"/><Relationship Id="rId40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Day-1 P&amp;L by Load Month ($k)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Dashboard!$AB$13</c:f>
              <c:strCache>
                <c:ptCount val="1"/>
                <c:pt idx="0">
                  <c:v>Day-1 P&amp;L ($k)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Dashboard!$AA$14:$AA$19</c:f>
              <c:strCache>
                <c:ptCount val="5"/>
                <c:pt idx="0">
                  <c:v>Feb-26</c:v>
                </c:pt>
                <c:pt idx="1">
                  <c:v>Mar-26</c:v>
                </c:pt>
                <c:pt idx="2">
                  <c:v>Apr-26</c:v>
                </c:pt>
                <c:pt idx="3">
                  <c:v>May-26</c:v>
                </c:pt>
                <c:pt idx="4">
                  <c:v>Jun-26</c:v>
                </c:pt>
              </c:strCache>
            </c:strRef>
          </c:cat>
          <c:val>
            <c:numRef>
              <c:f>Dashboard!$AB$14:$AB$19</c:f>
              <c:numCache>
                <c:formatCode>General</c:formatCode>
                <c:ptCount val="6"/>
                <c:pt idx="0">
                  <c:v>495.64474000000286</c:v>
                </c:pt>
                <c:pt idx="1">
                  <c:v>873.08655136985999</c:v>
                </c:pt>
                <c:pt idx="2">
                  <c:v>886.4800000000082</c:v>
                </c:pt>
                <c:pt idx="3">
                  <c:v>6396.7099999999873</c:v>
                </c:pt>
                <c:pt idx="4">
                  <c:v>2115.7263713477932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D-4293-B0B6-68E54A2EA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449040"/>
        <c:axId val="477450480"/>
      </c:barChart>
      <c:catAx>
        <c:axId val="47744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50480"/>
        <c:crosses val="autoZero"/>
        <c:auto val="1"/>
        <c:lblAlgn val="ctr"/>
        <c:lblOffset val="100"/>
        <c:noMultiLvlLbl val="0"/>
      </c:catAx>
      <c:valAx>
        <c:axId val="47745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4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Share by Vessel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Dashboard!$AE$13</c:f>
              <c:strCache>
                <c:ptCount val="1"/>
                <c:pt idx="0">
                  <c:v>Volume (kbbl)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F0-40E7-AEC5-3248D2FB06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F0-40E7-AEC5-3248D2FB06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F0-40E7-AEC5-3248D2FB06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F0-40E7-AEC5-3248D2FB06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F0-40E7-AEC5-3248D2FB06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Dashboard!$AD$14:$AD$18</c:f>
              <c:strCache>
                <c:ptCount val="3"/>
                <c:pt idx="0">
                  <c:v>Aframax</c:v>
                </c:pt>
                <c:pt idx="1">
                  <c:v>FOB</c:v>
                </c:pt>
                <c:pt idx="2">
                  <c:v>VLCC</c:v>
                </c:pt>
              </c:strCache>
            </c:strRef>
          </c:cat>
          <c:val>
            <c:numRef>
              <c:f>Dashboard!$AE$14:$AE$18</c:f>
              <c:numCache>
                <c:formatCode>General</c:formatCode>
                <c:ptCount val="5"/>
                <c:pt idx="0">
                  <c:v>4900</c:v>
                </c:pt>
                <c:pt idx="1">
                  <c:v>4000</c:v>
                </c:pt>
                <c:pt idx="2">
                  <c:v>16096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A-4EA6-BEEF-A5CD3BDAB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Build-Up ($/bbl)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Dashboard!$B$25:$B$30</c:f>
              <c:strCache>
                <c:ptCount val="6"/>
                <c:pt idx="0">
                  <c:v>Freight</c:v>
                </c:pt>
                <c:pt idx="1">
                  <c:v>TD7 Freight</c:v>
                </c:pt>
                <c:pt idx="2">
                  <c:v>Demurrage</c:v>
                </c:pt>
                <c:pt idx="3">
                  <c:v>STS</c:v>
                </c:pt>
                <c:pt idx="4">
                  <c:v>TVM</c:v>
                </c:pt>
                <c:pt idx="5">
                  <c:v>Other</c:v>
                </c:pt>
              </c:strCache>
            </c:strRef>
          </c:cat>
          <c:val>
            <c:numRef>
              <c:f>Dashboard!$C$25:$C$30</c:f>
              <c:numCache>
                <c:formatCode>"$"0.00;[Red]\("$"0.00\)</c:formatCode>
                <c:ptCount val="6"/>
                <c:pt idx="0">
                  <c:v>5.8558488942773721</c:v>
                </c:pt>
                <c:pt idx="1">
                  <c:v>-0.17505692870859338</c:v>
                </c:pt>
                <c:pt idx="2">
                  <c:v>9.0736478251223315E-2</c:v>
                </c:pt>
                <c:pt idx="3">
                  <c:v>0.17503045539124151</c:v>
                </c:pt>
                <c:pt idx="4">
                  <c:v>6.20504760213689E-2</c:v>
                </c:pt>
                <c:pt idx="5">
                  <c:v>0.24230706488910045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E-4FBB-A158-ED9F43F95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4640928"/>
        <c:axId val="844638048"/>
      </c:barChart>
      <c:catAx>
        <c:axId val="844640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638048"/>
        <c:crosses val="autoZero"/>
        <c:auto val="1"/>
        <c:lblAlgn val="ctr"/>
        <c:lblOffset val="100"/>
        <c:noMultiLvlLbl val="0"/>
      </c:catAx>
      <c:valAx>
        <c:axId val="84463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0;[Red]\(&quot;$&quot;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64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PnL!$E$2</c:f>
              <c:strCache>
                <c:ptCount val="1"/>
                <c:pt idx="0">
                  <c:v>Cargoes YTD P&amp;L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PnL!$B$6:$B$143</c:f>
              <c:strCache>
                <c:ptCount val="93"/>
                <c:pt idx="0">
                  <c:v>5/1/2025</c:v>
                </c:pt>
                <c:pt idx="1">
                  <c:v>5/2/2025</c:v>
                </c:pt>
                <c:pt idx="2">
                  <c:v>5/5/2025</c:v>
                </c:pt>
                <c:pt idx="3">
                  <c:v>5/6/2025</c:v>
                </c:pt>
                <c:pt idx="4">
                  <c:v>5/7/2025</c:v>
                </c:pt>
                <c:pt idx="5">
                  <c:v>5/8/2025</c:v>
                </c:pt>
                <c:pt idx="6">
                  <c:v>5/9/2025</c:v>
                </c:pt>
                <c:pt idx="7">
                  <c:v>5/12/2025</c:v>
                </c:pt>
                <c:pt idx="8">
                  <c:v>5/13/2025</c:v>
                </c:pt>
                <c:pt idx="9">
                  <c:v>5/14/2025</c:v>
                </c:pt>
                <c:pt idx="10">
                  <c:v>5/15/2025</c:v>
                </c:pt>
                <c:pt idx="11">
                  <c:v>5/16/2025</c:v>
                </c:pt>
                <c:pt idx="12">
                  <c:v>5/19/2025</c:v>
                </c:pt>
                <c:pt idx="13">
                  <c:v>5/20/2025</c:v>
                </c:pt>
                <c:pt idx="14">
                  <c:v>5/21/2025</c:v>
                </c:pt>
                <c:pt idx="15">
                  <c:v>5/22/2025</c:v>
                </c:pt>
                <c:pt idx="16">
                  <c:v>5/23/2025</c:v>
                </c:pt>
                <c:pt idx="17">
                  <c:v>5/27/2025</c:v>
                </c:pt>
                <c:pt idx="18">
                  <c:v>5/28/2025</c:v>
                </c:pt>
                <c:pt idx="19">
                  <c:v>5/29/2025</c:v>
                </c:pt>
                <c:pt idx="20">
                  <c:v>5/30/2025</c:v>
                </c:pt>
                <c:pt idx="21">
                  <c:v>6/2/2025</c:v>
                </c:pt>
                <c:pt idx="22">
                  <c:v>6/3/2025</c:v>
                </c:pt>
                <c:pt idx="23">
                  <c:v>6/4/2025</c:v>
                </c:pt>
                <c:pt idx="24">
                  <c:v>6/5/2025</c:v>
                </c:pt>
                <c:pt idx="25">
                  <c:v>6/6/2025</c:v>
                </c:pt>
                <c:pt idx="26">
                  <c:v>6/9/2025</c:v>
                </c:pt>
                <c:pt idx="27">
                  <c:v>6/10/2025</c:v>
                </c:pt>
                <c:pt idx="28">
                  <c:v>6/11/2025</c:v>
                </c:pt>
                <c:pt idx="29">
                  <c:v>6/12/2025</c:v>
                </c:pt>
                <c:pt idx="30">
                  <c:v>6/13/2025</c:v>
                </c:pt>
                <c:pt idx="31">
                  <c:v>6/16/2025</c:v>
                </c:pt>
                <c:pt idx="32">
                  <c:v>6/17/2025</c:v>
                </c:pt>
                <c:pt idx="33">
                  <c:v>6/18/2025</c:v>
                </c:pt>
                <c:pt idx="34">
                  <c:v>6/20/2025</c:v>
                </c:pt>
                <c:pt idx="35">
                  <c:v>6/23/2025</c:v>
                </c:pt>
                <c:pt idx="36">
                  <c:v>6/24/2025</c:v>
                </c:pt>
                <c:pt idx="37">
                  <c:v>6/25/2025</c:v>
                </c:pt>
                <c:pt idx="38">
                  <c:v>6/26/2025</c:v>
                </c:pt>
                <c:pt idx="39">
                  <c:v>6/27/2025</c:v>
                </c:pt>
                <c:pt idx="40">
                  <c:v>6/30/2025</c:v>
                </c:pt>
                <c:pt idx="41">
                  <c:v>7/1/2025</c:v>
                </c:pt>
                <c:pt idx="42">
                  <c:v>7/2/2025</c:v>
                </c:pt>
                <c:pt idx="43">
                  <c:v>7/3/2025</c:v>
                </c:pt>
                <c:pt idx="44">
                  <c:v>7/7/2025</c:v>
                </c:pt>
                <c:pt idx="45">
                  <c:v>7/8/2025</c:v>
                </c:pt>
                <c:pt idx="46">
                  <c:v>7/9/2025</c:v>
                </c:pt>
                <c:pt idx="47">
                  <c:v>7/10/2025</c:v>
                </c:pt>
                <c:pt idx="48">
                  <c:v>7/11/2025</c:v>
                </c:pt>
                <c:pt idx="49">
                  <c:v>7/14/2025</c:v>
                </c:pt>
                <c:pt idx="50">
                  <c:v>7/15/2025</c:v>
                </c:pt>
                <c:pt idx="51">
                  <c:v>7/16/2025</c:v>
                </c:pt>
                <c:pt idx="52">
                  <c:v>7/17/2025</c:v>
                </c:pt>
                <c:pt idx="53">
                  <c:v>7/18/2025</c:v>
                </c:pt>
                <c:pt idx="54">
                  <c:v>7/21/2025</c:v>
                </c:pt>
                <c:pt idx="55">
                  <c:v>7/22/2025</c:v>
                </c:pt>
                <c:pt idx="56">
                  <c:v>7/23/2025</c:v>
                </c:pt>
                <c:pt idx="57">
                  <c:v>7/24/2025</c:v>
                </c:pt>
                <c:pt idx="58">
                  <c:v>7/25/2025</c:v>
                </c:pt>
                <c:pt idx="59">
                  <c:v>7/28/2025</c:v>
                </c:pt>
                <c:pt idx="60">
                  <c:v>7/29/2025</c:v>
                </c:pt>
                <c:pt idx="61">
                  <c:v>7/30/2025</c:v>
                </c:pt>
                <c:pt idx="62">
                  <c:v>7/31/2025</c:v>
                </c:pt>
                <c:pt idx="63">
                  <c:v>8/1/2025</c:v>
                </c:pt>
                <c:pt idx="64">
                  <c:v>8/4/2025</c:v>
                </c:pt>
                <c:pt idx="65">
                  <c:v>8/5/2025</c:v>
                </c:pt>
                <c:pt idx="66">
                  <c:v>8/6/2025</c:v>
                </c:pt>
                <c:pt idx="67">
                  <c:v>8/7/2025</c:v>
                </c:pt>
                <c:pt idx="68">
                  <c:v>8/8/2025</c:v>
                </c:pt>
                <c:pt idx="69">
                  <c:v>8/11/2025</c:v>
                </c:pt>
                <c:pt idx="70">
                  <c:v>13/08/2025</c:v>
                </c:pt>
                <c:pt idx="71">
                  <c:v>14/08/2025</c:v>
                </c:pt>
                <c:pt idx="72">
                  <c:v>15/08/2025</c:v>
                </c:pt>
                <c:pt idx="73">
                  <c:v>18/08/2025</c:v>
                </c:pt>
                <c:pt idx="74">
                  <c:v>19/08/2025</c:v>
                </c:pt>
                <c:pt idx="75">
                  <c:v>20/08/2025</c:v>
                </c:pt>
                <c:pt idx="76">
                  <c:v>21/08/2025</c:v>
                </c:pt>
                <c:pt idx="77">
                  <c:v>25/08/2025</c:v>
                </c:pt>
                <c:pt idx="78">
                  <c:v>26/08/2025</c:v>
                </c:pt>
                <c:pt idx="79">
                  <c:v>27/08/2025</c:v>
                </c:pt>
                <c:pt idx="80">
                  <c:v>28/08/2025</c:v>
                </c:pt>
                <c:pt idx="81">
                  <c:v>29/08/2025</c:v>
                </c:pt>
                <c:pt idx="82">
                  <c:v>2/9/2025</c:v>
                </c:pt>
                <c:pt idx="83">
                  <c:v>3/9/2025</c:v>
                </c:pt>
                <c:pt idx="84">
                  <c:v>4/9/2025</c:v>
                </c:pt>
                <c:pt idx="85">
                  <c:v>5/9/2025</c:v>
                </c:pt>
                <c:pt idx="86">
                  <c:v>8/9/2025</c:v>
                </c:pt>
                <c:pt idx="87">
                  <c:v>9/9/2025</c:v>
                </c:pt>
                <c:pt idx="88">
                  <c:v>10/9/2025</c:v>
                </c:pt>
                <c:pt idx="89">
                  <c:v>11/9/2025</c:v>
                </c:pt>
                <c:pt idx="90">
                  <c:v>12/9/2025</c:v>
                </c:pt>
                <c:pt idx="91">
                  <c:v>15/09/2025</c:v>
                </c:pt>
                <c:pt idx="92">
                  <c:v>16/09/2025</c:v>
                </c:pt>
              </c:strCache>
            </c:strRef>
          </c:cat>
          <c:val>
            <c:numRef>
              <c:f>PnL!$E$6:$E$143</c:f>
              <c:numCache>
                <c:formatCode>_("$"* #,##0_);_("$"* \(#,##0\);_("$"* "-"??_);_(@_)</c:formatCode>
                <c:ptCount val="93"/>
                <c:pt idx="0">
                  <c:v>9579</c:v>
                </c:pt>
                <c:pt idx="1">
                  <c:v>9504</c:v>
                </c:pt>
                <c:pt idx="2">
                  <c:v>9860</c:v>
                </c:pt>
                <c:pt idx="3">
                  <c:v>10122</c:v>
                </c:pt>
                <c:pt idx="4">
                  <c:v>10122</c:v>
                </c:pt>
                <c:pt idx="5">
                  <c:v>11620</c:v>
                </c:pt>
                <c:pt idx="6">
                  <c:v>11620</c:v>
                </c:pt>
                <c:pt idx="7">
                  <c:v>11620</c:v>
                </c:pt>
                <c:pt idx="8">
                  <c:v>11620</c:v>
                </c:pt>
                <c:pt idx="9">
                  <c:v>10459</c:v>
                </c:pt>
                <c:pt idx="10">
                  <c:v>9419</c:v>
                </c:pt>
                <c:pt idx="11">
                  <c:v>9094</c:v>
                </c:pt>
                <c:pt idx="12">
                  <c:v>7975</c:v>
                </c:pt>
                <c:pt idx="13">
                  <c:v>8336</c:v>
                </c:pt>
                <c:pt idx="14">
                  <c:v>9337</c:v>
                </c:pt>
                <c:pt idx="15">
                  <c:v>9399</c:v>
                </c:pt>
                <c:pt idx="16">
                  <c:v>9714</c:v>
                </c:pt>
                <c:pt idx="17">
                  <c:v>9847</c:v>
                </c:pt>
                <c:pt idx="18">
                  <c:v>9680</c:v>
                </c:pt>
                <c:pt idx="19">
                  <c:v>9855</c:v>
                </c:pt>
                <c:pt idx="20">
                  <c:v>9048</c:v>
                </c:pt>
                <c:pt idx="21">
                  <c:v>9401</c:v>
                </c:pt>
                <c:pt idx="22">
                  <c:v>10737</c:v>
                </c:pt>
                <c:pt idx="23">
                  <c:v>10533</c:v>
                </c:pt>
                <c:pt idx="24">
                  <c:v>10434</c:v>
                </c:pt>
                <c:pt idx="25">
                  <c:v>10434</c:v>
                </c:pt>
                <c:pt idx="26">
                  <c:v>10946</c:v>
                </c:pt>
                <c:pt idx="27">
                  <c:v>11688</c:v>
                </c:pt>
                <c:pt idx="28">
                  <c:v>11619</c:v>
                </c:pt>
                <c:pt idx="29">
                  <c:v>11158</c:v>
                </c:pt>
                <c:pt idx="30">
                  <c:v>11158</c:v>
                </c:pt>
                <c:pt idx="31">
                  <c:v>10992</c:v>
                </c:pt>
                <c:pt idx="32">
                  <c:v>11092</c:v>
                </c:pt>
                <c:pt idx="33">
                  <c:v>10669</c:v>
                </c:pt>
                <c:pt idx="34">
                  <c:v>10201</c:v>
                </c:pt>
                <c:pt idx="35">
                  <c:v>9130</c:v>
                </c:pt>
                <c:pt idx="36">
                  <c:v>9354</c:v>
                </c:pt>
                <c:pt idx="37">
                  <c:v>8447</c:v>
                </c:pt>
                <c:pt idx="38">
                  <c:v>7405</c:v>
                </c:pt>
                <c:pt idx="39">
                  <c:v>7546</c:v>
                </c:pt>
                <c:pt idx="40">
                  <c:v>7778</c:v>
                </c:pt>
                <c:pt idx="41">
                  <c:v>8322</c:v>
                </c:pt>
                <c:pt idx="42">
                  <c:v>8265</c:v>
                </c:pt>
                <c:pt idx="43">
                  <c:v>8277</c:v>
                </c:pt>
                <c:pt idx="44">
                  <c:v>8182</c:v>
                </c:pt>
                <c:pt idx="45">
                  <c:v>8086</c:v>
                </c:pt>
                <c:pt idx="46">
                  <c:v>7984</c:v>
                </c:pt>
                <c:pt idx="47">
                  <c:v>8296</c:v>
                </c:pt>
                <c:pt idx="48">
                  <c:v>7850</c:v>
                </c:pt>
                <c:pt idx="49">
                  <c:v>8078</c:v>
                </c:pt>
                <c:pt idx="50">
                  <c:v>8337</c:v>
                </c:pt>
                <c:pt idx="51">
                  <c:v>8232</c:v>
                </c:pt>
                <c:pt idx="52">
                  <c:v>7896</c:v>
                </c:pt>
                <c:pt idx="53">
                  <c:v>7936</c:v>
                </c:pt>
                <c:pt idx="54">
                  <c:v>8400</c:v>
                </c:pt>
                <c:pt idx="55">
                  <c:v>8886</c:v>
                </c:pt>
                <c:pt idx="56">
                  <c:v>9251</c:v>
                </c:pt>
                <c:pt idx="57">
                  <c:v>8926</c:v>
                </c:pt>
                <c:pt idx="58">
                  <c:v>9268</c:v>
                </c:pt>
                <c:pt idx="59">
                  <c:v>9268</c:v>
                </c:pt>
                <c:pt idx="60">
                  <c:v>9268</c:v>
                </c:pt>
                <c:pt idx="61">
                  <c:v>9268</c:v>
                </c:pt>
                <c:pt idx="62">
                  <c:v>9268</c:v>
                </c:pt>
                <c:pt idx="63">
                  <c:v>9268</c:v>
                </c:pt>
                <c:pt idx="64">
                  <c:v>9268</c:v>
                </c:pt>
                <c:pt idx="65">
                  <c:v>9268</c:v>
                </c:pt>
                <c:pt idx="66">
                  <c:v>9268</c:v>
                </c:pt>
                <c:pt idx="67">
                  <c:v>10280</c:v>
                </c:pt>
                <c:pt idx="68">
                  <c:v>10821</c:v>
                </c:pt>
                <c:pt idx="69">
                  <c:v>11035</c:v>
                </c:pt>
                <c:pt idx="70">
                  <c:v>12574</c:v>
                </c:pt>
                <c:pt idx="71">
                  <c:v>12148</c:v>
                </c:pt>
                <c:pt idx="72">
                  <c:v>13037</c:v>
                </c:pt>
                <c:pt idx="73">
                  <c:v>12976</c:v>
                </c:pt>
                <c:pt idx="74">
                  <c:v>13662</c:v>
                </c:pt>
                <c:pt idx="75">
                  <c:v>13674</c:v>
                </c:pt>
                <c:pt idx="76">
                  <c:v>13576</c:v>
                </c:pt>
                <c:pt idx="77">
                  <c:v>13136</c:v>
                </c:pt>
                <c:pt idx="78">
                  <c:v>12808</c:v>
                </c:pt>
                <c:pt idx="79">
                  <c:v>12624</c:v>
                </c:pt>
                <c:pt idx="80">
                  <c:v>12760</c:v>
                </c:pt>
                <c:pt idx="81">
                  <c:v>12981</c:v>
                </c:pt>
                <c:pt idx="82">
                  <c:v>13241</c:v>
                </c:pt>
                <c:pt idx="83">
                  <c:v>13241</c:v>
                </c:pt>
                <c:pt idx="84">
                  <c:v>13241</c:v>
                </c:pt>
                <c:pt idx="85">
                  <c:v>13241</c:v>
                </c:pt>
                <c:pt idx="86">
                  <c:v>13241</c:v>
                </c:pt>
                <c:pt idx="87">
                  <c:v>13241</c:v>
                </c:pt>
                <c:pt idx="88">
                  <c:v>13241</c:v>
                </c:pt>
                <c:pt idx="89">
                  <c:v>13241</c:v>
                </c:pt>
                <c:pt idx="90">
                  <c:v>13241</c:v>
                </c:pt>
                <c:pt idx="91">
                  <c:v>12525</c:v>
                </c:pt>
                <c:pt idx="92">
                  <c:v>12529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4-4590-95FF-26479774B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521439"/>
        <c:axId val="1314247376"/>
      </c:lineChart>
      <c:catAx>
        <c:axId val="289521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247376"/>
        <c:crosses val="autoZero"/>
        <c:auto val="1"/>
        <c:lblAlgn val="ctr"/>
        <c:lblOffset val="100"/>
        <c:noMultiLvlLbl val="1"/>
      </c:catAx>
      <c:valAx>
        <c:axId val="1314247376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52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20</xdr:col>
      <xdr:colOff>0</xdr:colOff>
      <xdr:row>17</xdr:row>
      <xdr:rowOff>0</xdr:rowOff>
    </xdr:to>
    <xdr:graphicFrame macro="">
      <xdr:nvGraphicFramePr>
        <xdr:cNvPr id="2" name="PnLByMonth">
          <a:extLst>
            <a:ext uri="{FF2B5EF4-FFF2-40B4-BE49-F238E27FC236}">
              <a16:creationId xmlns:a16="http://schemas.microsoft.com/office/drawing/2014/main" id="{E5B93A03-3C58-D7A7-788A-CD437D7E9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18</xdr:row>
      <xdr:rowOff>0</xdr:rowOff>
    </xdr:from>
    <xdr:to>
      <xdr:col>20</xdr:col>
      <xdr:colOff>0</xdr:colOff>
      <xdr:row>32</xdr:row>
      <xdr:rowOff>0</xdr:rowOff>
    </xdr:to>
    <xdr:graphicFrame macro="">
      <xdr:nvGraphicFramePr>
        <xdr:cNvPr id="3" name="VolByVessel">
          <a:extLst>
            <a:ext uri="{FF2B5EF4-FFF2-40B4-BE49-F238E27FC236}">
              <a16:creationId xmlns:a16="http://schemas.microsoft.com/office/drawing/2014/main" id="{167AE027-0C34-46C2-ED89-7D54A40D7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33</xdr:row>
      <xdr:rowOff>0</xdr:rowOff>
    </xdr:from>
    <xdr:to>
      <xdr:col>20</xdr:col>
      <xdr:colOff>0</xdr:colOff>
      <xdr:row>48</xdr:row>
      <xdr:rowOff>0</xdr:rowOff>
    </xdr:to>
    <xdr:graphicFrame macro="">
      <xdr:nvGraphicFramePr>
        <xdr:cNvPr id="4" name="CostStack">
          <a:extLst>
            <a:ext uri="{FF2B5EF4-FFF2-40B4-BE49-F238E27FC236}">
              <a16:creationId xmlns:a16="http://schemas.microsoft.com/office/drawing/2014/main" id="{4339495D-FD5F-25A8-1F20-FEEC8A891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50</xdr:row>
      <xdr:rowOff>135627</xdr:rowOff>
    </xdr:from>
    <xdr:to>
      <xdr:col>22</xdr:col>
      <xdr:colOff>489404</xdr:colOff>
      <xdr:row>81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97F230-61BE-2099-34FF-D2FD76899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amcotradingus.sharepoint.com/sites/Teams-ATA-Crude-TradingCoverage/Shared%20Documents/Trading%20Coverage/ATA%20Lights/Cargoes/Alberto%20Daily/MEH%20Exposure%202025.xlsx" TargetMode="External"/><Relationship Id="rId1" Type="http://schemas.openxmlformats.org/officeDocument/2006/relationships/externalLinkPath" Target="MEH%20Exposure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amcotradingus.sharepoint.com/sites/Teams-ATA-Crude-TradingCoverage/Shared%20Documents/Trading%20Coverage/ATA%20Lights/Cargoes/Alberto%20Daily/US%20Domestic23.xlsx" TargetMode="External"/><Relationship Id="rId1" Type="http://schemas.openxmlformats.org/officeDocument/2006/relationships/externalLinkPath" Target="US%20Domestic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amcotradingus.sharepoint.com/sites/Teams-ATA-Crude-TradingCoverage/Shared%20Documents/Trading%20Coverage/ATA%20Lights/Cargoes/Alberto%20Daily/CARGO%20ECONS%202026.xlsx" TargetMode="External"/><Relationship Id="rId1" Type="http://schemas.openxmlformats.org/officeDocument/2006/relationships/externalLinkPath" Target="CARGO%20ECON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FQoqCbh206mEEV060HFKDzw8twIyeRClMveWoHTLIWOSuE2TccIT7G8ayu3-_Dd" itemId="01ZTSDROP2ZYR54GFVXRGLAT5A4BJH3O33">
      <xxl21:absoluteUrl r:id="rId2"/>
    </xxl21:alternateUrls>
    <sheetNames>
      <sheetName val="Control"/>
      <sheetName val="PnL22"/>
      <sheetName val="PAPER"/>
      <sheetName val="EXPO"/>
      <sheetName val="DEALS"/>
      <sheetName val="RUNOUT"/>
      <sheetName val="SWAP"/>
      <sheetName val="SW.RUNOUT"/>
      <sheetName val="Jul21 archive"/>
      <sheetName val="Aug21 archive"/>
      <sheetName val="Sep21 archive"/>
      <sheetName val="Calendar Management"/>
      <sheetName val="RA Position"/>
      <sheetName val="Sheet1"/>
      <sheetName val="Holidays &amp; Prompt Contract"/>
      <sheetName val="Calendar"/>
      <sheetName val="Oct21"/>
      <sheetName val="Nov21"/>
      <sheetName val="Dec21 Archive"/>
    </sheetNames>
    <sheetDataSet>
      <sheetData sheetId="0"/>
      <sheetData sheetId="1"/>
      <sheetData sheetId="2"/>
      <sheetData sheetId="3">
        <row r="58">
          <cell r="AC58">
            <v>46081</v>
          </cell>
          <cell r="AD58">
            <v>46112</v>
          </cell>
          <cell r="AE58"/>
          <cell r="AH58" t="str">
            <v>xCrd-Trading Cargoes</v>
          </cell>
          <cell r="AI58">
            <v>45382</v>
          </cell>
          <cell r="AJ58">
            <v>45412</v>
          </cell>
          <cell r="AK58">
            <v>45443</v>
          </cell>
          <cell r="AL58">
            <v>45473</v>
          </cell>
          <cell r="AM58">
            <v>45504</v>
          </cell>
          <cell r="AN58">
            <v>45535</v>
          </cell>
          <cell r="AO58">
            <v>45565</v>
          </cell>
          <cell r="AP58">
            <v>45838</v>
          </cell>
          <cell r="AQ58">
            <v>45869</v>
          </cell>
        </row>
        <row r="59">
          <cell r="AC59">
            <v>0</v>
          </cell>
          <cell r="AD59">
            <v>0</v>
          </cell>
          <cell r="AE59">
            <v>1145.3922380952376</v>
          </cell>
          <cell r="AF59">
            <v>1145.3922380952376</v>
          </cell>
          <cell r="AG59"/>
          <cell r="AH59" t="str">
            <v>Nymex WTI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</row>
        <row r="60"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/>
          <cell r="AH60" t="str">
            <v>ICE Brent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</row>
        <row r="61">
          <cell r="AC61">
            <v>0</v>
          </cell>
          <cell r="AD61">
            <v>0</v>
          </cell>
          <cell r="AE61">
            <v>0</v>
          </cell>
          <cell r="AH61" t="str">
            <v>Platts Dubai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</row>
        <row r="62">
          <cell r="AC62">
            <v>0</v>
          </cell>
          <cell r="AD62">
            <v>0</v>
          </cell>
          <cell r="AE62">
            <v>0</v>
          </cell>
          <cell r="AG62"/>
          <cell r="AH62" t="str">
            <v>Dated Brent (DFLs)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</row>
        <row r="63">
          <cell r="AC63"/>
          <cell r="AD63"/>
          <cell r="AE63">
            <v>1145.3922380952376</v>
          </cell>
          <cell r="AH63" t="str">
            <v>Total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FQoqCbh206mEEV060HFKDzw8twIyeRClMveWoHTLIWOSuE2TccIT7G8ayu3-_Dd" itemId="01ZTSDROMOMS7XNYPZ4VEYHR2S5YI2P4SN">
      <xxl21:absoluteUrl r:id="rId2"/>
    </xxl21:alternateUrls>
    <sheetNames>
      <sheetName val="Sheet1"/>
      <sheetName val="USG"/>
      <sheetName val="FWD"/>
      <sheetName val="EFPs"/>
      <sheetName val="Freight"/>
      <sheetName val="Cash"/>
      <sheetName val="BBG"/>
      <sheetName val="FFAs"/>
      <sheetName val="CALENDAR"/>
      <sheetName val="Sheet2"/>
      <sheetName val="FWD_History"/>
    </sheetNames>
    <sheetDataSet>
      <sheetData sheetId="0"/>
      <sheetData sheetId="1">
        <row r="45">
          <cell r="O45" t="str">
            <v>Freight</v>
          </cell>
          <cell r="P45">
            <v>46259</v>
          </cell>
          <cell r="Q45"/>
        </row>
        <row r="46">
          <cell r="O46"/>
          <cell r="P46" t="str">
            <v>Freight-TD25</v>
          </cell>
          <cell r="Q46" t="str">
            <v>Freight-TD7</v>
          </cell>
          <cell r="R46" t="str">
            <v>Freight-TD25 $/MT</v>
          </cell>
          <cell r="S46" t="str">
            <v>Freight-TD7 $/MT</v>
          </cell>
        </row>
        <row r="47">
          <cell r="O47" t="str">
            <v>Balmo</v>
          </cell>
          <cell r="P47">
            <v>255</v>
          </cell>
          <cell r="Q47">
            <v>213.38235294117646</v>
          </cell>
          <cell r="R47">
            <v>53.575499999999998</v>
          </cell>
          <cell r="S47">
            <v>22.682544117647062</v>
          </cell>
        </row>
        <row r="48">
          <cell r="O48">
            <v>45961</v>
          </cell>
          <cell r="P48">
            <v>175.15</v>
          </cell>
          <cell r="Q48">
            <v>145.05000000000001</v>
          </cell>
          <cell r="R48">
            <v>175.15</v>
          </cell>
        </row>
        <row r="49">
          <cell r="O49">
            <v>45991</v>
          </cell>
          <cell r="P49">
            <v>212.3</v>
          </cell>
          <cell r="Q49">
            <v>158</v>
          </cell>
          <cell r="R49">
            <v>212.3</v>
          </cell>
        </row>
        <row r="50">
          <cell r="O50">
            <v>46022</v>
          </cell>
          <cell r="P50">
            <v>208.93</v>
          </cell>
          <cell r="Q50">
            <v>160</v>
          </cell>
          <cell r="R50">
            <v>44.98</v>
          </cell>
          <cell r="S50">
            <v>16.61</v>
          </cell>
        </row>
        <row r="51">
          <cell r="O51">
            <v>46053</v>
          </cell>
          <cell r="P51">
            <v>268</v>
          </cell>
          <cell r="Q51">
            <v>175.25</v>
          </cell>
          <cell r="R51">
            <v>47.234000000000002</v>
          </cell>
          <cell r="S51">
            <v>18.296099999999999</v>
          </cell>
        </row>
        <row r="52">
          <cell r="O52">
            <v>46081</v>
          </cell>
          <cell r="P52">
            <v>290</v>
          </cell>
          <cell r="Q52">
            <v>192.5</v>
          </cell>
          <cell r="R52">
            <v>62.262999999999998</v>
          </cell>
          <cell r="S52">
            <v>20.096999999999998</v>
          </cell>
        </row>
        <row r="53">
          <cell r="O53">
            <v>46112</v>
          </cell>
          <cell r="P53">
            <v>465</v>
          </cell>
          <cell r="Q53">
            <v>283</v>
          </cell>
          <cell r="R53">
            <v>97.696500000000015</v>
          </cell>
          <cell r="S53">
            <v>39.862500000000004</v>
          </cell>
        </row>
        <row r="54">
          <cell r="O54">
            <v>46142</v>
          </cell>
          <cell r="P54">
            <v>477.5</v>
          </cell>
          <cell r="Q54">
            <v>313.5</v>
          </cell>
          <cell r="R54">
            <v>100.32275000000001</v>
          </cell>
          <cell r="S54">
            <v>22.323000000000004</v>
          </cell>
        </row>
        <row r="55">
          <cell r="O55">
            <v>46173</v>
          </cell>
          <cell r="P55">
            <v>265.5</v>
          </cell>
          <cell r="Q55">
            <v>188.5</v>
          </cell>
          <cell r="R55">
            <v>55.781550000000003</v>
          </cell>
          <cell r="S55">
            <v>20.037550000000003</v>
          </cell>
        </row>
        <row r="56">
          <cell r="O56">
            <v>46203</v>
          </cell>
          <cell r="P56">
            <v>202</v>
          </cell>
          <cell r="Q56">
            <v>146.75</v>
          </cell>
          <cell r="R56">
            <v>42.440200000000004</v>
          </cell>
          <cell r="S56">
            <v>15.599525000000002</v>
          </cell>
        </row>
        <row r="57">
          <cell r="O57">
            <v>46234</v>
          </cell>
          <cell r="P57">
            <v>296</v>
          </cell>
          <cell r="Q57">
            <v>191.5</v>
          </cell>
          <cell r="R57">
            <v>62.189600000000006</v>
          </cell>
          <cell r="S57">
            <v>20.356450000000002</v>
          </cell>
        </row>
        <row r="58">
          <cell r="O58">
            <v>46265</v>
          </cell>
          <cell r="P58">
            <v>317.5</v>
          </cell>
          <cell r="Q58">
            <v>207.5</v>
          </cell>
          <cell r="R58">
            <v>66.70675</v>
          </cell>
          <cell r="S58">
            <v>22.057250000000003</v>
          </cell>
        </row>
        <row r="59">
          <cell r="O59">
            <v>46295</v>
          </cell>
          <cell r="P59">
            <v>296</v>
          </cell>
          <cell r="Q59">
            <v>195</v>
          </cell>
          <cell r="R59">
            <v>62.189600000000006</v>
          </cell>
          <cell r="S59">
            <v>20.7285</v>
          </cell>
        </row>
        <row r="60">
          <cell r="O60">
            <v>46326</v>
          </cell>
          <cell r="P60">
            <v>306</v>
          </cell>
          <cell r="Q60">
            <v>192.5</v>
          </cell>
          <cell r="R60">
            <v>64.290600000000012</v>
          </cell>
          <cell r="S60">
            <v>20.462750000000003</v>
          </cell>
        </row>
        <row r="61">
          <cell r="O61">
            <v>46356</v>
          </cell>
          <cell r="P61">
            <v>298</v>
          </cell>
          <cell r="Q61">
            <v>182.5</v>
          </cell>
          <cell r="R61">
            <v>62.609800000000007</v>
          </cell>
          <cell r="S61">
            <v>19.399750000000001</v>
          </cell>
        </row>
        <row r="62">
          <cell r="O62">
            <v>46387</v>
          </cell>
          <cell r="P62">
            <v>308</v>
          </cell>
          <cell r="Q62">
            <v>172.5</v>
          </cell>
          <cell r="R62">
            <v>64.710800000000006</v>
          </cell>
          <cell r="S62">
            <v>18.336750000000002</v>
          </cell>
        </row>
        <row r="63">
          <cell r="O63">
            <v>46418</v>
          </cell>
          <cell r="P63">
            <v>254.64064731080435</v>
          </cell>
          <cell r="Q63">
            <v>155.97235932872655</v>
          </cell>
          <cell r="R63">
            <v>53.5</v>
          </cell>
          <cell r="S63">
            <v>16.579861796643634</v>
          </cell>
        </row>
        <row r="64">
          <cell r="O64">
            <v>46446</v>
          </cell>
          <cell r="P64">
            <v>249.8810090433127</v>
          </cell>
          <cell r="Q64">
            <v>155.97235932872655</v>
          </cell>
          <cell r="R64">
            <v>52.5</v>
          </cell>
          <cell r="S64">
            <v>16.579861796643634</v>
          </cell>
        </row>
        <row r="65">
          <cell r="O65"/>
          <cell r="P65"/>
          <cell r="Q65"/>
        </row>
        <row r="66">
          <cell r="O66"/>
          <cell r="P66"/>
          <cell r="Q66"/>
        </row>
        <row r="67">
          <cell r="O67"/>
          <cell r="P67"/>
          <cell r="Q67"/>
        </row>
        <row r="68">
          <cell r="O68"/>
          <cell r="P68"/>
          <cell r="Q68"/>
        </row>
        <row r="69">
          <cell r="O69"/>
          <cell r="P69"/>
          <cell r="Q69"/>
        </row>
        <row r="70">
          <cell r="O70"/>
          <cell r="P70"/>
          <cell r="Q70"/>
        </row>
        <row r="71">
          <cell r="O71"/>
          <cell r="P71"/>
          <cell r="Q71"/>
        </row>
        <row r="72">
          <cell r="O72"/>
          <cell r="P72"/>
          <cell r="Q72"/>
        </row>
        <row r="73">
          <cell r="O73"/>
          <cell r="P73"/>
          <cell r="Q73"/>
        </row>
        <row r="74">
          <cell r="O74"/>
          <cell r="P74"/>
          <cell r="Q74"/>
        </row>
        <row r="75">
          <cell r="O75"/>
          <cell r="P75"/>
          <cell r="Q75"/>
        </row>
        <row r="76">
          <cell r="O76"/>
          <cell r="P76"/>
          <cell r="Q76"/>
        </row>
        <row r="77">
          <cell r="O77"/>
          <cell r="P77"/>
          <cell r="Q77"/>
        </row>
        <row r="78">
          <cell r="O78"/>
          <cell r="P78"/>
          <cell r="Q78"/>
        </row>
        <row r="79">
          <cell r="O79"/>
          <cell r="P79"/>
          <cell r="Q79"/>
        </row>
        <row r="80">
          <cell r="O80"/>
          <cell r="P80">
            <v>1535</v>
          </cell>
          <cell r="Q80"/>
        </row>
        <row r="81">
          <cell r="P81"/>
          <cell r="Q81"/>
        </row>
        <row r="82">
          <cell r="P82"/>
          <cell r="Q82"/>
        </row>
        <row r="83">
          <cell r="O83"/>
          <cell r="P83"/>
          <cell r="Q83"/>
        </row>
        <row r="84">
          <cell r="O84"/>
          <cell r="P84"/>
          <cell r="Q84"/>
        </row>
        <row r="85">
          <cell r="O85"/>
          <cell r="P85"/>
          <cell r="Q85"/>
        </row>
        <row r="86">
          <cell r="O86"/>
          <cell r="P86"/>
          <cell r="Q86"/>
          <cell r="S86">
            <v>1.6</v>
          </cell>
        </row>
        <row r="87">
          <cell r="O87"/>
          <cell r="P87"/>
          <cell r="Q87"/>
        </row>
        <row r="88">
          <cell r="O88"/>
          <cell r="P88"/>
          <cell r="Q88"/>
        </row>
        <row r="89">
          <cell r="O89"/>
          <cell r="P89">
            <v>1525</v>
          </cell>
          <cell r="Q89"/>
        </row>
        <row r="90">
          <cell r="P90"/>
          <cell r="Q90"/>
        </row>
        <row r="91">
          <cell r="P91"/>
          <cell r="Q91"/>
        </row>
        <row r="92">
          <cell r="P92">
            <v>-10</v>
          </cell>
          <cell r="Q92"/>
          <cell r="R92"/>
          <cell r="S92"/>
        </row>
        <row r="93">
          <cell r="P93"/>
          <cell r="Q93"/>
        </row>
        <row r="94">
          <cell r="P94"/>
          <cell r="Q94"/>
        </row>
        <row r="95">
          <cell r="P95"/>
          <cell r="Q95"/>
          <cell r="R95"/>
          <cell r="S95"/>
        </row>
        <row r="96">
          <cell r="P96"/>
          <cell r="Q96"/>
          <cell r="R96"/>
          <cell r="S96"/>
        </row>
        <row r="97">
          <cell r="P97"/>
          <cell r="Q97"/>
          <cell r="R97"/>
          <cell r="S97"/>
        </row>
        <row r="98">
          <cell r="P98"/>
          <cell r="Q98"/>
          <cell r="R98"/>
          <cell r="S98"/>
        </row>
        <row r="99">
          <cell r="P99"/>
          <cell r="Q99"/>
          <cell r="R99"/>
          <cell r="S99"/>
        </row>
        <row r="100">
          <cell r="P100"/>
          <cell r="Q100"/>
          <cell r="R100"/>
          <cell r="S100"/>
        </row>
        <row r="101">
          <cell r="P101"/>
          <cell r="Q101"/>
          <cell r="R101"/>
          <cell r="S101"/>
        </row>
        <row r="102">
          <cell r="P102"/>
          <cell r="Q102"/>
          <cell r="R102"/>
          <cell r="S102"/>
        </row>
        <row r="103">
          <cell r="P103"/>
          <cell r="Q103"/>
          <cell r="R103"/>
          <cell r="S103"/>
        </row>
        <row r="104">
          <cell r="P104"/>
          <cell r="Q104"/>
          <cell r="R104"/>
          <cell r="S104"/>
        </row>
        <row r="105">
          <cell r="P105"/>
          <cell r="Q105"/>
          <cell r="R105"/>
          <cell r="S105"/>
        </row>
        <row r="106">
          <cell r="P106"/>
          <cell r="Q106"/>
          <cell r="R106"/>
          <cell r="S106"/>
        </row>
        <row r="107">
          <cell r="P107"/>
          <cell r="Q107"/>
          <cell r="R107"/>
          <cell r="S107"/>
        </row>
        <row r="108">
          <cell r="P108"/>
          <cell r="Q108"/>
          <cell r="R108"/>
          <cell r="S108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DO STS Apr26"/>
    </sheetNames>
    <sheetDataSet>
      <sheetData sheetId="0">
        <row r="44">
          <cell r="J44">
            <v>0.95125000000000004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ntafio, Alberto (ATA)" refreshedDate="46233.599941550929" createdVersion="8" refreshedVersion="8" minRefreshableVersion="3" recordCount="1460" xr:uid="{2F41394C-1879-4798-B4A7-038F8B31C29F}">
  <cacheSource type="worksheet">
    <worksheetSource ref="A1:T1461" sheet="Trades 2026 1.14"/>
  </cacheSource>
  <cacheFields count="20">
    <cacheField name="Cargo Name" numFmtId="0">
      <sharedItems containsBlank="1"/>
    </cacheField>
    <cacheField name="Date" numFmtId="0">
      <sharedItems containsSemiMixedTypes="0" containsDate="1" containsString="0" containsMixedTypes="1" minDate="2023-10-07T00:00:00" maxDate="2026-01-03T00:00:00"/>
    </cacheField>
    <cacheField name="Sub-Instrument" numFmtId="0">
      <sharedItems/>
    </cacheField>
    <cacheField name="Expo Type" numFmtId="0">
      <sharedItems/>
    </cacheField>
    <cacheField name="Quantity" numFmtId="171">
      <sharedItems containsString="0" containsBlank="1" containsNumber="1" minValue="-6225" maxValue="6243"/>
    </cacheField>
    <cacheField name="Month1" numFmtId="0">
      <sharedItems containsDate="1" containsBlank="1" containsMixedTypes="1" minDate="2023-01-31T00:00:00" maxDate="2026-07-01T00:00:00"/>
    </cacheField>
    <cacheField name="Month2" numFmtId="0">
      <sharedItems containsNonDate="0" containsDate="1" containsString="0" containsBlank="1" minDate="1931-04-01T00:00:00" maxDate="2026-07-01T00:00:00"/>
    </cacheField>
    <cacheField name="Price" numFmtId="43">
      <sharedItems containsString="0" containsBlank="1" containsNumber="1" minValue="-9.3800000000000008" maxValue="13750"/>
    </cacheField>
    <cacheField name="Mtm" numFmtId="0">
      <sharedItems containsBlank="1" containsMixedTypes="1" containsNumber="1" minValue="-4.9400000000000004" maxValue="13750"/>
    </cacheField>
    <cacheField name="PnL" numFmtId="0">
      <sharedItems containsBlank="1" containsMixedTypes="1" containsNumber="1" minValue="-8569.2546979999988" maxValue="4098.2200000000021"/>
    </cacheField>
    <cacheField name="Average" numFmtId="0">
      <sharedItems containsSemiMixedTypes="0" containsString="0" containsNumber="1" minValue="-21840000" maxValue="21105000"/>
    </cacheField>
    <cacheField name="Name" numFmtId="167">
      <sharedItems count="62">
        <s v="Nov/Dec 25"/>
        <s v="Dec/Jan 25"/>
        <s v="Apr07-Apr11/Apr 25"/>
        <s v="Apr14-Apr18/Apr 25"/>
        <s v="Dec 16-20/Dec 24"/>
        <s v="Dec 23-27/Dec 24"/>
        <s v="Mar03-Mar07/Jan 25"/>
        <s v="Mar17-Mar21/Jan 25"/>
        <s v="May19-May23/Jun 25"/>
        <s v="May19-May23/May 25"/>
        <s v="Nov/Dec 24"/>
        <s v="Dec/Jan 24"/>
        <s v="Jan/Feb 25"/>
        <s v="Feb/Mar 25"/>
        <s v="Mar/Apr 25"/>
        <s v="Apr/May 25"/>
        <s v="May/Jun 25"/>
        <s v="Dec 24"/>
        <s v="Jan 25"/>
        <s v="Feb 25"/>
        <s v="Mar 25"/>
        <s v="Apr 25"/>
        <s v="May 25"/>
        <s v="Oct 24"/>
        <s v="Nov 24"/>
        <s v="Jan 23"/>
        <s v="Sep/Oct 24"/>
        <s v="Jan 6-10/Jan 25"/>
        <s v="Jan 20-24/Jan 25"/>
        <s v="Jan27-Jan31/Jan 25"/>
        <s v="Jun 25"/>
        <s v="Jun/Jul 25"/>
        <s v="Jul 25"/>
        <s v="Jul/Aug 25"/>
        <s v="Aug/Sep 25"/>
        <s v="Sep/Oct 25"/>
        <s v="Oct/Nov 25"/>
        <s v="May05-May09/May 25"/>
        <s v="Aug 25"/>
        <s v="May12-May16/May 25"/>
        <s v="May26-May30/May 25"/>
        <s v="Jun02-Jun06/Jun 25"/>
        <s v="Jun09-Jun13/Jun 25"/>
        <s v="Sep 25"/>
        <s v="Jun16-Jun20/Jun 25"/>
        <s v="Jan 00"/>
        <s v="Oct 25"/>
        <s v="Nov 25"/>
        <s v="Sep01-Sep05/Sep 25"/>
        <s v="Sep08-Sep12/Sep 25"/>
        <s v="Sep15-Sep19/Sep 25"/>
        <s v="Dec 25"/>
        <s v="Jan 26"/>
        <s v="Jan/Feb 26"/>
        <s v="Feb 26"/>
        <s v="Feb/Mar 26"/>
        <s v="Mar/Apr 26"/>
        <s v="Jun 26"/>
        <s v="Apr 26"/>
        <s v="May 26"/>
        <s v="Mar 26"/>
        <s v="Apr/May 26"/>
      </sharedItems>
    </cacheField>
    <cacheField name="Buy/Sell" numFmtId="165">
      <sharedItems/>
    </cacheField>
    <cacheField name="Average MtM" numFmtId="0">
      <sharedItems containsMixedTypes="1" containsNumber="1" minValue="-27500000" maxValue="27500000"/>
    </cacheField>
    <cacheField name="Instrument Type" numFmtId="0">
      <sharedItems count="5">
        <s v="Futures"/>
        <s v="Swaps"/>
        <s v="Physical"/>
        <s v="Freight"/>
        <s v="Legacy 2024"/>
      </sharedItems>
    </cacheField>
    <cacheField name="Instrument" numFmtId="0">
      <sharedItems count="8">
        <s v="WTI Sprds"/>
        <s v="Dated"/>
        <s v="Brent Sprds"/>
        <s v="WTI-Brent"/>
        <s v="Physical"/>
        <s v="Freight"/>
        <s v="Legacy 2024"/>
        <s v="MEH"/>
      </sharedItems>
    </cacheField>
    <cacheField name="Year" numFmtId="0">
      <sharedItems containsSemiMixedTypes="0" containsString="0" containsNumber="1" containsInteger="1" minValue="1900" maxValue="2026"/>
    </cacheField>
    <cacheField name="Side" numFmtId="0">
      <sharedItems/>
    </cacheField>
    <cacheField name="Accounting" numFmtId="0">
      <sharedItems count="2">
        <s v="Expired"/>
        <s v="Active"/>
      </sharedItems>
    </cacheField>
    <cacheField name="Trade ID" numFmtId="0">
      <sharedItems count="1460">
        <s v="UnallocatedWTI SprdsHedge-11220.52"/>
        <s v="UnallocatedWTI Sprds-FlyHedge11220.53"/>
        <s v="UnallocatedWTI SprdsHedge11220.194"/>
        <s v="UnallocatedWTI Sprds-FlyHedge-11220.195"/>
        <s v="UnallocatedCFDHedge-5002.266"/>
        <s v="UnallocatedCFDHedge5001.867"/>
        <s v="UnallocatedCFDHedge4000.8478"/>
        <s v="UnallocatedCFDHedge200-0.099"/>
        <s v="UnallocatedCFDHedge-2001.3210"/>
        <s v="UnallocatedCFDHedge2000.5411"/>
        <s v="Trafi CIF Rdam June 13-17CFDHedge-15000.47212"/>
        <s v="UnallocatedCFDHedge15000.47213"/>
        <s v="UnallocatedWTI SprdsHedge-42890.5214"/>
        <s v="Jan 1-10 EXTAP VLCCWTI SprdsHedge10500.5215"/>
        <s v="Jan 4-6 KAL AfraWTI SprdsHedge7070.5216"/>
        <s v="Nov 19-21 Shell Rdam VLCCWTI SprdsHedge21000.5217"/>
        <s v="Nov 22-26 Tranmere AfraWTI SprdsHedge4320.5218"/>
        <s v="UnallocatedWTI SprdsHedge-15000.1519"/>
        <s v="CPC TAIWAN JAN 8-14WTI SprdsHedge-500.1520"/>
        <s v="EXTAP Feb 15-25WTI SprdsHedge-240.1521"/>
        <s v="Gunvor FOB Dec 6-7WTI SprdsHedge680.1522"/>
        <s v="HDO Feb 5-15WTI SprdsHedge240.1523"/>
        <s v="Jan 1-10 EXTAP VLCCWTI SprdsHedge10500.1524"/>
        <s v="Nov 22-26 Tranmere AfraWTI SprdsHedge4320.1525"/>
        <s v="CPC TAIWAN FEB 20-24WTI SprdsHedge8000.5626"/>
        <s v="CPC TAIWAN MARCH 11-15WTI SprdsHedge20960.5627"/>
        <s v="EXTAP Feb 15-25WTI SprdsHedge-240.5628"/>
        <s v="Feb EFP 2WTI SprdsHedge7000.5629"/>
        <s v="HDO Feb 5-15WTI SprdsHedge470.5630"/>
        <s v="Jan 4-6 KAL AfraWTI SprdsHedge350.5631"/>
        <s v="Mitsui CIF Rdam Jan 27-29WTI SprdsHedge7350.5632"/>
        <s v="UnallocatedWTI SprdsHedge-43890.5633"/>
        <s v="BPCL DES India March 16-22WTI SprdsHedge20790.4934"/>
        <s v="CIF RDAM Jan 12-14 Load (BP)WTI SprdsHedge7040.4935"/>
        <s v="CPC TAIWAN MARCH 11-15WTI SprdsHedge20960.4936"/>
        <s v="HDO April 12-22 25WTI SprdsHedge680.4937"/>
        <s v="Jan 4-6 KAL AfraWTI SprdsHedge-7000.4938"/>
        <s v="Mitsui CIF Rdam Jan 27-29WTI SprdsHedge7350.4939"/>
        <s v="UnallocatedWTI SprdsHedge-49820.4940"/>
        <s v="CPC TAIWAN APR 23-27WTI SprdsHedge21000.1541"/>
        <s v="Gunvor FOB Feb 23-24WTI SprdsHedge7000.1542"/>
        <s v="HDO April 12-22 25WTI SprdsHedge680.1543"/>
        <s v="UnallocatedWTI SprdsHedge-35680.1544"/>
        <s v="Vitol FOB March BookoutWTI SprdsHedge7000.1545"/>
        <s v="EXTAP CIF Rotts Apr 20-24WTI SprdsHedge-3180.2546"/>
        <s v="UnallocatedWTI SprdsHedge3180.2547"/>
        <s v="EXTAP CIF Rotts Apr 20-24WTI SprdsHedge-5000.6748"/>
        <s v="UnallocatedWTI SprdsHedge5000.6749"/>
        <s v="Jan 4-6 KAL AfraBrent SprdsHedge7070.3550"/>
        <s v="Nov 19-21 Shell Rdam VLCCBrent SprdsHedge21000.3551"/>
        <s v="UnallocatedBrent SprdsHedge-28070.3552"/>
        <s v="CPC TAIWAN FEB 20-24Brent SprdsHedge-13831.153"/>
        <s v="CPC TAIWAN JAN 8-14Brent SprdsHedge20501.154"/>
        <s v="Dec 15-25 EXTAP VLCCBrent SprdsHedge20831.155"/>
        <s v="Jan 1-10 EXTAP VLCCBrent SprdsHedge20501.156"/>
        <s v="UnallocatedBrent SprdsHedge-48001.157"/>
        <s v="CPC TAIWAN FEB 20-24Brent SprdsHedge13000.458"/>
        <s v="EXTAP Feb 15-25Brent SprdsHedge-20470.459"/>
        <s v="HDO Feb 5-15Brent SprdsHedge21470.460"/>
        <s v="Jan 1-10 EXTAP VLCCBrent SprdsHedge20500.461"/>
        <s v="Jan 4-6 KAL AfraBrent SprdsHedge7350.462"/>
        <s v="UnallocatedBrent SprdsHedge-41850.463"/>
        <s v="BPCL DES India March 16-22Brent SprdsHedge20791.0964"/>
        <s v="CPC TAIWAN APR 23-27Brent SprdsHedge-261.0965"/>
        <s v="CPC TAIWAN MARCH 11-15Brent SprdsHedge20961.0966"/>
        <s v="EXTAP Feb 15-25Brent SprdsHedge20761.0967"/>
        <s v="UnallocatedBrent SprdsHedge-62251.0968"/>
        <s v="BPCL DES India March 16-22Brent SprdsHedge20790.3769"/>
        <s v="CPC TAIWAN APR 23-27Brent SprdsHedge16000.3770"/>
        <s v="HDO April 12-22 25Brent SprdsHedge680.3771"/>
        <s v="UnallocatedBrent SprdsHedge-37470.3772"/>
        <s v="Dec EFP 2WTI-BrentHedge-300-3.973"/>
        <s v="Jan 4-6 KAL AfraWTI-BrentHedge707-3.974"/>
        <s v="Nov 19-21 Shell Rdam VLCCWTI-BrentHedge2100-3.975"/>
        <s v="UnallocatedWTI-BrentHedge-2507-3.976"/>
        <s v="CPC TAIWAN JAN 8-14WTI-BrentHedge-50-4.9477"/>
        <s v="Dec EFP 2WTI-BrentHedge300-4.9478"/>
        <s v="Dec EFP 3WTI-BrentHedge700-4.9479"/>
        <s v="FOB Shell Nov 13-15WTI-BrentHedge700-4.9480"/>
        <s v="Jan 1-10 EXTAP VLCCWTI-BrentHedge1750-4.9481"/>
        <s v="Nov 22-26 Tranmere AfraWTI-BrentHedge-268-4.9482"/>
        <s v="UnallocatedWTI-BrentHedge-3132-4.9483"/>
        <s v="CPC TAIWAN FEB 20-24WTI-BrentHedge1300-3.484"/>
        <s v="EXTAP Feb 15-25WTI-BrentHedge-24-3.485"/>
        <s v="Feb EFP 1WTI-BrentHedge700-3.486"/>
        <s v="Feb EFP 2WTI-BrentHedge700-3.487"/>
        <s v="Feb EFP 3WTI-BrentHedge707-3.488"/>
        <s v="Gunvor FOB Dec 6-7WTI-BrentHedge700-3.489"/>
        <s v="HDO Feb 5-15WTI-BrentHedge47-3.490"/>
        <s v="Jan 4-6 KAL AfraWTI-BrentHedge735-3.491"/>
        <s v="UnallocatedWTI-BrentHedge-4865-3.492"/>
        <s v="BPCL DES India March 16-22WTI-BrentHedge2079-4.2393"/>
        <s v="CIF RDAM Jan 12-14 Load (BP)WTI-BrentHedge704-4.2394"/>
        <s v="CPC TAIWAN MARCH 11-15WTI-BrentHedge2096-4.2395"/>
        <s v="Mitsui CIF Rdam Jan 27-29WTI-BrentHedge735-4.2396"/>
        <s v="UnallocatedWTI-BrentHedge-5614-4.2397"/>
        <s v="HDO April 12-22 25WTI-BrentHedge68-3.4298"/>
        <s v="UnallocatedWTI-BrentHedge-68-3.4299"/>
        <s v="Feb EFP 4WTI-BrentHedge700-3.26100"/>
        <s v="UnallocatedWTI-BrentHedge-700-3.26101"/>
        <s v="Vitol FOB March BookoutWTI-BrentHedge300-3.26102"/>
        <s v="UnallocatedWTI-BrentHedge-300-3.26103"/>
        <s v="Oct 27-29 KAL AfraDFLExpo-7000.27104"/>
        <s v="UnallocatedDFLExpo-1971.04105"/>
        <s v="UnallocatedDFLExpo-46830.82106"/>
        <s v="Jan 4-6 KAL AfraDFLHedge2931.04107"/>
        <s v="Nov 19-21 Shell Rdam VLCCDFLHedge-21001.04108"/>
        <s v="Nov 22-26 Tranmere AfraDFLHedge-6901.04109"/>
        <s v="UnallocatedDFLHedge24971.04110"/>
        <s v="CPC TAIWAN JAN 8-14DFLHedge-20500.82111"/>
        <s v="Dec 15-25 EXTAP VLCCDFLHedge-20830.82112"/>
        <s v="EOY Flattening OutDFLHedge00.82113"/>
        <s v="UnallocatedDFLHedge41330.82114"/>
        <s v="CIF RDAM Jan 12-14 Load (BP)DFLHedge-7040.93115"/>
        <s v="CPC TAIWAN FEB 20-24DFLHedge-20000.93116"/>
        <s v="Jan 1-10 EXTAP VLCCDFLHedge-20690.93117"/>
        <s v="Jan 4-6 KAL AfraDFLHedge-7350.93118"/>
        <s v="Mitsui CIF Rdam Jan 27-29DFLHedge-7350.93119"/>
        <s v="UnallocatedDFLHedge62430.93120"/>
        <s v="CPC TAIWAN MARCH 11-15DFLHedge-15960.22121"/>
        <s v="EXTAP Feb 15-25DFLHedge-20760.22122"/>
        <s v="UnallocatedDFLHedge36720.22123"/>
        <s v="Jan 4-6 KAL AfraBrent SprdsExpo-7070.35124"/>
        <s v="Dec 15-25 EXTAP VLCCBrent SprdsExpo-20831.1125"/>
        <s v="Nov 19-21 Shell Rdam VLCCBrent SprdsExpo-21000.35126"/>
        <s v="Jan 4-6 KAL AfraDFLExpo7071.04127"/>
        <s v="Dec 15-25 EXTAP VLCCDFLExpo20830.82128"/>
        <s v="Nov 19-21 Shell Rdam VLCCDFLExpo21001.04129"/>
        <s v="Jan 4-6 KAL AfraWTI SprdsExpo-7070.52130"/>
        <s v="Nov 19-21 Shell Rdam VLCCWTI SprdsExpo-21000.52131"/>
        <s v="Jan 4-6 KAL AfraWTI-BrentExpo-707-3.9132"/>
        <s v="Nov 19-21 Shell Rdam VLCCWTI-BrentExpo-2100-3.9133"/>
        <s v="Jan 4-6 KAL AfraPhysicalExpo7071.4134"/>
        <s v="Nov 19-21 Shell Rdam VLCCPhysicalExpo21002.45135"/>
        <e v="#N/A"/>
        <s v="Nov 22-26 Tranmere AfraDFLExpo6901.04137"/>
        <s v="Nov 22-26 Tranmere AfraFreight-TD25Expo-690166138"/>
        <s v="Nov 22-26 Tranmere AfraFreight-TD25Expo690166139"/>
        <s v="Nov 22-26 Tranmere AfraPhysicalExpo-6901.75140"/>
        <s v="Nov 22-26 Tranmere AfraWTI SprdsExpo-6900.52141"/>
        <s v="Nov 22-26 Tranmere AfraWTI SprdsExpo-6900.15142"/>
        <s v="Nov 22-26 Tranmere AfraWTI-BrentExpo-690-4.94143"/>
        <s v="Jan 1-10 EXTAP VLCCBrent SprdsExpo-20501.1144"/>
        <s v="Jan 1-10 EXTAP VLCCBrent SprdsExpo-20500.4145"/>
        <s v="Jan 1-10 EXTAP VLCCDFLExpo20690.93146"/>
        <s v="Jan 1-10 EXTAP VLCCPhysicalExpo20693.6147"/>
        <s v="Jan 1-10 EXTAP VLCCWTI SprdsExpo-20500.52148"/>
        <s v="Jan 1-10 EXTAP VLCCWTI SprdsExpo-20500.15149"/>
        <s v="Jan 1-10 EXTAP VLCCWTI-BrentExpo-2050-4.94150"/>
        <s v="Jan 1-10 EXTAP VLCCPhysicalExpo0151"/>
        <s v="Jan 4-6 KAL AfraDFLHedge-5001.04152"/>
        <s v="Oct 27-29 KAL AfraDFLExpo7000.27153"/>
        <s v="Nov 22-26 Tranmere AfraWTI-BrentHedge700-4.94154"/>
        <s v="Dec EFP 1WTI-BrentExpo-700-3.9155"/>
        <s v="Dec EFP 2WTI-BrentExpo-700-3.9156"/>
        <s v="Dec EFP 3WTI-BrentExpo-700-3.9157"/>
        <s v="Jan 1-10 EXTAP VLCCWTI-BrentHedge300-4.94158"/>
        <s v="UnallocatedWTI SprdsHedge20000.52159"/>
        <s v="Jan 1-10 EXTAP VLCCWTI SprdsHedge10000.52160"/>
        <s v="Jan 1-10 EXTAP VLCCWTI SprdsHedge10000.15161"/>
        <s v="UnallocatedWTI-BrentHedge2000-3.9162"/>
        <s v="Jan 1-10 EXTAP VLCCWTI-BrentHedge-4.94163"/>
        <s v="Nov 22-26 Tranmere AfraWTI SprdsHedge2580.52164"/>
        <s v="Nov 22-26 Tranmere AfraWTI SprdsHedge2580.15165"/>
        <s v="UnallocatedWTI SprdsHedge8000.52166"/>
        <s v="UnallocatedWTI SprdsHedge15530.52167"/>
        <s v="UnallocatedWTI SprdsHedge-640.52168"/>
        <s v="Nov 22-26 Tranmere AfraWTI-BrentHedge258-4.94169"/>
        <s v="Jan 4-6 KAL AfraDFLHedge-5001.04170"/>
        <s v="UnallocatedDFLHedge-4001.04171"/>
        <s v="UnallocatedDFLHedge-1000.82172"/>
        <s v="UnallocatedDFLHedge-1000.93173"/>
        <s v="CPC TAIWAN JAN 8-14Brent SprdsExpo-20501.1174"/>
        <s v="CPC TAIWAN JAN 8-14DFLExpo20500.82175"/>
        <s v="CPC TAIWAN JAN 8-14Freight-TD22Expo08400176"/>
        <s v="CPC TAIWAN JAN 8-14PhysicalExpo20502.36177"/>
        <s v="CPC TAIWAN JAN 8-14WTI SprdsExpo-20500.15178"/>
        <s v="Dec EFP 2WTI-BrentHedge300-3.9179"/>
        <s v="CPC TAIWAN JAN 8-14WTI-BrentExpo-2050-4.94180"/>
        <s v="UnallocatedDFLHedge-3001.04181"/>
        <s v="UnallocatedDFLHedge-10001.04182"/>
        <s v="UnallocatedDFLHedge10000.82183"/>
        <s v="CPC TAIWAN JAN 8-14WTI SprdsHedge21000.15184"/>
        <s v="CPC TAIWAN JAN 8-14WTI-BrentHedge2100-4.94185"/>
        <s v="Dec EFP 1Freight-TD25Expo0126.5186"/>
        <s v="Dec EFP 2Freight-TD25Expo0135187"/>
        <s v="Dec EFP 3Freight-TD25Expo0130188"/>
        <s v="Dec EFP 1Freight-TD7Expo700128189"/>
        <s v="Dec EFP 2Freight-TD7Expo700128190"/>
        <s v="Dec EFP 3Freight-TD7Expo700128191"/>
        <s v="Dec EFP 3Freight-TD7Hedge-2100128192"/>
        <s v="UnallocatedWTI SprdsHedge10000.15193"/>
        <s v="FOB Shell Nov 13-15WTI SprdsExpo-7000.15194"/>
        <s v="UnallocatedWTI-BrentHedge1000-4.94195"/>
        <s v="FOB Shell Nov 13-15WTI-BrentExpo-700-4.94196"/>
        <s v="FOB Shell Nov 13-15WTI SprdsExpo7000.15197"/>
        <s v="UnallocatedDFLHedge-2001.04198"/>
        <s v="Dec EFP 1WTI-BrentHedge700-3.9199"/>
        <s v="Dec EFP 1WTI-BrentHedge-700-4.94200"/>
        <s v="Dec EFP 2WTI-BrentHedge700-3.9201"/>
        <s v="Dec EFP 2WTI-BrentHedge-700-4.94202"/>
        <s v="Dec EFP 3WTI-BrentHedge700-3.9203"/>
        <s v="Dec EFP 3WTI-BrentHedge-700-4.94204"/>
        <s v="UnallocatedWTI-BrentHedge507-3.9205"/>
        <s v="UnallocatedBrent SprdsExpo28070.35206"/>
        <s v="UnallocatedDFLHedge-4001.04207"/>
        <s v="UnallocatedDFLHedge-3500.82208"/>
        <s v="EXTAP Feb 15-25Freight-TD22Expo07350209"/>
        <s v="EXTAP Feb 15-25PhysicalExpo20762.71210"/>
        <s v="EXTAP Feb 15-25WTI SprdsExpo-20760.15211"/>
        <s v="EXTAP Feb 15-25WTI SprdsExpo-20760.56212"/>
        <s v="EXTAP Feb 15-25WTI-BrentExpo-2076-3.4213"/>
        <s v="EXTAP Feb 15-25Brent SprdsExpo-20760.4214"/>
        <s v="EXTAP Feb 15-25Brent SprdsExpo-20761.09215"/>
        <s v="EXTAP Feb 15-25DFLExpo20760.22216"/>
        <s v="EXTAP Feb 15-25WTI SprdsHedge21000.15217"/>
        <s v="EXTAP Feb 15-25WTI SprdsHedge21000.56218"/>
        <s v="EXTAP Feb 15-25WTI-BrentHedge2100-3.4219"/>
        <s v="EXTAP Feb 15-25Brent SprdsHedge21230.4220"/>
        <s v="HDO Feb 5-15Freight-TD22Expo07100221"/>
        <s v="HDO Feb 5-15PhysicalExpo21474.6222"/>
        <s v="HDO Feb 5-15WTI SprdsExpo-21470.15223"/>
        <s v="HDO Feb 5-15WTI SprdsExpo-21470.56224"/>
        <s v="HDO Feb 5-15WTI-BrentExpo-2147-3.4225"/>
        <s v="HDO Feb 5-15Brent SprdsExpo-21470.4226"/>
        <s v="UnallocatedBrent SprdsHedge20001.1227"/>
        <s v="HDO Feb 5-15WTI SprdsHedge21230.15228"/>
        <s v="HDO Feb 5-15WTI SprdsHedge21000.56229"/>
        <s v="HDO Feb 5-15WTI-BrentHedge2100-3.4230"/>
        <s v="UnallocatedWTI SprdsExpo5000.15231"/>
        <s v="UnallocatedBrent SprdsHedge13001.1232"/>
        <s v="UnallocatedBrent SprdsHedge5001.1233"/>
        <s v="UnallocatedBrent SprdsHedge5000.4234"/>
        <s v="Gunvor FOB Dec 6-7WTI SprdsExpo-7000.15235"/>
        <s v="Gunvor FOB Dec 6-7WTI SprdsExpo-7000.56236"/>
        <s v="Gunvor FOB Dec 6-7WTI-BrentExpo-700-3.4237"/>
        <s v="Dec EFP 1WTI-BrentHedge700-4.94238"/>
        <s v="EXTAP Feb 15-25Brent SprdsExpo20000.4239"/>
        <s v="Gunvor FOB Dec 6-7WTI SprdsExpo6320.15240"/>
        <s v="Gunvor FOB Dec 6-7WTI SprdsExpo7000.56241"/>
        <s v="Equinor FOB Dec 7-8WTI SprdsExpo-7000.15242"/>
        <s v="Equinor FOB Dec 7-8WTI SprdsExpo-7000.56243"/>
        <s v="Equinor FOB Dec 7-8WTI-BrentExpo-700-3.4244"/>
        <s v="Equinor FOB Dec 7-8PhysicalExpo7001.1245"/>
        <s v="Dec EFP 2WTI-BrentHedge200-4.94246"/>
        <s v="Dec EFP 2WTI-BrentHedge200-4.94247"/>
        <s v="Equinor FOB Dec 7-8WTI SprdsHedge7000.15248"/>
        <s v="Equinor FOB Dec 7-8WTI SprdsHedge7000.56249"/>
        <s v="Equinor FOB Dec 7-8WTI-BrentHedge700-3.4250"/>
        <s v="CPC TAIWAN FEB 20-24WTI SprdsHedge5000.56251"/>
        <s v="CPC TAIWAN FEB 20-24Freight-TD22Expo07400252"/>
        <s v="CPC TAIWAN FEB 20-24PhysicalExpo20002.1253"/>
        <s v="CPC TAIWAN FEB 20-24WTI SprdsExpo-20000.56254"/>
        <s v="CPC TAIWAN FEB 20-24WTI-BrentExpo-2000-3.4255"/>
        <s v="CPC TAIWAN FEB 20-24Brent SprdsExpo-20000.4256"/>
        <s v="CPC TAIWAN FEB 20-24DFLExpo20000.93257"/>
        <s v="UnallocatedWTI-BrentHedge300-4.94258"/>
        <s v="UnallocatedWTI-BrentHedge300-4.94259"/>
        <s v="UnallocatedWTI-BrentHedge200-4.94260"/>
        <s v="UnallocatedWTI-BrentHedge200-4.94261"/>
        <s v="UnallocatedWTI-BrentHedge200-4.94262"/>
        <s v="UnallocatedBrent SprdsHedge10001.1263"/>
        <s v="CPC TAIWAN FEB 20-24WTI SprdsHedge7000.56264"/>
        <s v="CPC TAIWAN FEB 20-24WTI-BrentHedge700-3.4265"/>
        <s v="CPC TAIWAN FEB 20-24Brent SprdsHedge7000.4266"/>
        <s v="UnallocatedWTI-BrentHedge300-4.94267"/>
        <s v="UnallocatedWTI-BrentHedge300-4.94268"/>
        <s v="UnallocatedWTI-BrentHedge332-4.94269"/>
        <s v="CPC TAIWAN FEB 20-24Brent SprdsExpo13831.1270"/>
        <s v="UnallocatedCFDHedge-4000.847271"/>
        <s v="UnallocatedCFDHedge-200-0.09272"/>
        <s v="UnallocatedWTI SprdsHedge15000.56273"/>
        <s v="UnallocatedWTI SprdsHedge15000.49274"/>
        <s v="UnallocatedBrent SprdsHedge15000.4275"/>
        <s v="UnallocatedBrent SprdsHedge15001.09276"/>
        <s v="UnallocatedWTI-BrentHedge1000-3.4277"/>
        <s v="Jan 4-6 KAL AfraPhysicalExpo735-1.2278"/>
        <s v="Jan 4-6 KAL AfraWTI SprdsExpo-7350.56279"/>
        <s v="Jan 4-6 KAL AfraWTI-BrentExpo-735-3.4280"/>
        <s v="Jan 4-6 KAL AfraBrent SprdsExpo-7350.4281"/>
        <s v="Jan 4-6 KAL AfraDFLExpo7350.93282"/>
        <s v="Jan 4-6 KAL AfraWTI SprdsHedge7000.56283"/>
        <s v="Jan 4-6 KAL AfraWTI SprdsHedge7000.49284"/>
        <s v="UnallocatedWTI SprdsHedge5000.56285"/>
        <s v="UnallocatedWTI SprdsHedge7000.56286"/>
        <s v="UnallocatedWTI SprdsHedge7000.49287"/>
        <s v="UnallocatedWTI SprdsHedge5000.56288"/>
        <s v="UnallocatedWTI SprdsHedge5000.49289"/>
        <s v="UnallocatedWTI SprdsHedge5000.56290"/>
        <s v="UnallocatedWTI SprdsHedge5000.49291"/>
        <s v="UnallocatedBrent SprdsHedge5000.4292"/>
        <s v="UnallocatedBrent SprdsHedge5000.4293"/>
        <s v="UnallocatedDFLHedge-7500.93294"/>
        <s v="UnallocatedCFDHedge5000.99295"/>
        <s v="UnallocatedCFDHedge-5001.43296"/>
        <s v="UnallocatedDFLHedge-10000.93297"/>
        <s v="UnallocatedDFLHedge10000.22298"/>
        <s v="Mitsui CIF Rdam Jan 27-29PhysicalExpo735-1.45299"/>
        <s v="Mitsui CIF Rdam Jan 27-29WTI SprdsExpo-7350.56300"/>
        <s v="Mitsui CIF Rdam Jan 27-29WTI SprdsExpo-7350.49301"/>
        <s v="Mitsui CIF Rdam Jan 27-29WTI-BrentExpo-735-4.23302"/>
        <s v="Mitsui CIF Rdam Jan 27-29DFLExpo7350.93303"/>
        <s v="Mitsui CIF Rdam Jan 27-29Freight-TD25Expo0127.5304"/>
        <s v="CPC TAIWAN MARCH 11-15Freight-TD22Expo06500305"/>
        <s v="CPC TAIWAN MARCH 11-15PhysicalExpo2096-1.65306"/>
        <s v="CPC TAIWAN MARCH 11-15WTI SprdsExpo-20960.56307"/>
        <s v="CPC TAIWAN MARCH 11-15WTI SprdsExpo-20960.49308"/>
        <s v="CPC TAIWAN MARCH 11-15WTI-BrentExpo-2096-4.23309"/>
        <s v="CPC TAIWAN MARCH 11-15Brent SprdsExpo-20961.09310"/>
        <s v="CPC TAIWAN MARCH 11-15DFLExpo20960.22311"/>
        <s v="Feb EFP 1PhysicalExpo7001312"/>
        <s v="Feb EFP 1Freight-TD25Expo0152.5313"/>
        <s v="Feb EFP 1Freight-TD7Expo700109314"/>
        <s v="Feb EFP 1WTI SprdsExpo-7000.56315"/>
        <s v="Feb EFP 1WTI-BrentExpo-700-3.4316"/>
        <s v="Feb EFP 2PhysicalExpo7001317"/>
        <s v="Feb EFP 2Freight-TD25Expo0129.5318"/>
        <s v="Feb EFP 2Freight-TD7Expo700109319"/>
        <s v="Feb EFP 2WTI SprdsExpo-7000.56320"/>
        <s v="Feb EFP 2WTI-BrentExpo-700-3.4321"/>
        <s v="Feb EFP 3PhysicalExpo7071.55322"/>
        <s v="Feb EFP 3Freight-TD25Expo-707137.5323"/>
        <s v="Feb EFP 3Freight-TD25Expo707137.5324"/>
        <s v="Feb EFP 3Freight-TD7Expo700109325"/>
        <s v="Feb EFP 3WTI-BrentExpo-707-3.4326"/>
        <s v="CPC TAIWAN MARCH 11-15DFLHedge-5000.22327"/>
        <s v="UnallocatedCFDHedge5000.99328"/>
        <s v="UnallocatedCFDHedge-5001.43329"/>
        <s v="UnallocatedDFLHedge-5000.93330"/>
        <s v="UnallocatedWTI-BrentHedge3800-3.4331"/>
        <s v="UnallocatedWTI-BrentHedge-2000-4.23332"/>
        <s v="UnallocatedWTI-BrentHedge-1800-3.42333"/>
        <s v="Feb EFP 1WTI SprdsHedge7000.56334"/>
        <s v="UnallocatedWTI SprdsHedge6890.56335"/>
        <s v="BPCL DES India March 16-22Freight-TD22Expo06000336"/>
        <s v="BPCL DES India March 16-22PhysicalExpo20792.5337"/>
        <s v="BPCL DES India March 16-22WTI SprdsExpo-20790.49338"/>
        <s v="BPCL DES India March 16-22WTI-BrentExpo-2079-4.23339"/>
        <s v="BPCL DES India March 16-22Brent SprdsExpo-20791.09340"/>
        <s v="BPCL DES India March 16-22Brent SprdsExpo-20790.37341"/>
        <s v="BPCL DES India March 16-22DFLExpo20791.13342"/>
        <s v="Feb EFP 4PhysicalExpo7001.55343"/>
        <s v="Feb EFP 4Freight-TD25Expo-700128.75344"/>
        <s v="Feb EFP 4Freight-TD25Expo700128.75345"/>
        <s v="Feb EFP 4Freight-TD7Expo700109346"/>
        <s v="Feb EFP 4WTI-BrentExpo-700-3.4347"/>
        <s v="Feb EFP 4WTI-BrentHedge700-3.4348"/>
        <s v="Feb EFP 4WTI-BrentHedge-700-3.26349"/>
        <s v="UnallocatedDFLHedge6000.93350"/>
        <s v="UnallocatedDFLHedge-6000.22351"/>
        <s v="CIF RDAM Jan 12-14 Load (BP)PhysicalExpo704-1.4352"/>
        <s v="CIF RDAM Jan 12-14 Load (BP)WTI SprdsExpo-7040.49353"/>
        <s v="CIF RDAM Jan 12-14 Load (BP)WTI-BrentExpo-704-4.23354"/>
        <s v="CIF RDAM Jan 12-14 Load (BP)DFLExpo7040.93355"/>
        <s v="CIF RDAM Jan 12-14 Load (BP)Freight-TD25Expo0128.5356"/>
        <s v="UnallocatedBrent SprdsHedge11850.4357"/>
        <s v="UnallocatedDFLHedge14000.93358"/>
        <s v="UnallocatedDFLHedge-14000.22359"/>
        <s v="UnallocatedWTI-BrentExpo65-3.4360"/>
        <s v="UnallocatedDFLHedge3000.93361"/>
        <s v="UnallocatedDFLHedge-3000.22362"/>
        <s v="EOY Flattening OutWTI SprdsHedge00.15363"/>
        <s v="EOY Flattening OutBrent SprdsHedge00.35364"/>
        <s v="EOY Flattening OutWTI-BrentHedge0-3.9365"/>
        <s v="EOY Flattening OutDFLHedge0366"/>
        <s v="EOY Flattening OutPhysicalHedge0367"/>
        <s v="EOY Flattening OutLegacy 2024Hedge0368"/>
        <s v="EOY Flattening OutWTI Sprds-FlyHedge00.15369"/>
        <s v="EOY Flattening OutFreight-TD25Hedge0370"/>
        <s v="EOY Flattening OutFreight-TD7Hedge0371"/>
        <s v="EOY Flattening OutFreight-TD22Hedge0372"/>
        <s v="EOY Flattening OutLegacy 2024Hedge0373"/>
        <s v="EOY Flattening OutPhysicalHedge0374"/>
        <s v="EOY Flattening OutPhysicalHedge0375"/>
        <s v="EOY Flattening OutPhysicalHedge0376"/>
        <s v="EOY Flattening OutPhysicalHedge0377"/>
        <s v="EOY Flattening OutPhysicalHedge0378"/>
        <s v="EOY Flattening OutPhysicalHedge0379"/>
        <s v="EOY Flattening OutFreight-TD22Hedge0380"/>
        <s v="EOY Flattening OutBrent SprdsHedge00.35381"/>
        <s v="EOY Flattening OutWTI SprdsHedge00.15382"/>
        <s v="UnallocatedCFDHedge-10000.99383"/>
        <s v="UnallocatedCFDHedge10001.43384"/>
        <s v="UnallocatedDFLHedge4000.22385"/>
        <s v="UnallocatedDFLHedge-4001.13386"/>
        <s v="UnallocatedWTI SprdsHedge-2500.49387"/>
        <s v="UnallocatedWTI SprdsHedge-2500.15388"/>
        <s v="UnallocatedWTI SprdsHedge-2500.49389"/>
        <s v="UnallocatedWTI SprdsHedge-2500.15390"/>
        <s v="UnallocatedWTI-BrentHedge-250-3.42391"/>
        <s v="UnallocatedBrent SprdsHedge27251.09392"/>
        <s v="UnallocatedBrent SprdsHedge-500-0.03393"/>
        <s v="UnallocatedDFLHedge3000.22394"/>
        <s v="UnallocatedDFLHedge-3001.13395"/>
        <s v="UnallocatedDFLHedge7000.22396"/>
        <s v="UnallocatedDFLHedge8000.22397"/>
        <s v="UnallocatedDFLHedge-7001.13398"/>
        <s v="UnallocatedDFLHedge-8001.13399"/>
        <s v="UnallocatedCFDHedge7000.362400"/>
        <s v="UnallocatedDFLHedge5000.22401"/>
        <s v="UnallocatedDFLHedge-5001.13402"/>
        <s v="UnallocatedCFDHedge3000.362403"/>
        <s v="UnallocatedWTI SprdsHedge20000.49404"/>
        <s v="UnallocatedWTI-BrentHedge2000-4.23405"/>
        <s v="UnallocatedBrent SprdsHedge20001.09406"/>
        <s v="UnallocatedWTI-BrentHedge300-4.23407"/>
        <s v="UnallocatedBrent SprdsHedge20000.37408"/>
        <s v="HDO April 12-22 25Freight-TD22Expo-20009300409"/>
        <s v="HDO April 12-22 25Freight-TD22Hedge20009300410"/>
        <s v="HDO April 12-22 25PhysicalExpo20683.95411"/>
        <s v="HDO April 12-22 25WTI SprdsExpo-20680.49412"/>
        <s v="HDO April 12-22 25WTI SprdsExpo-20680.15413"/>
        <s v="HDO April 12-22 25WTI-BrentExpo-2068-3.42414"/>
        <s v="HDO April 12-22 25Brent SprdsExpo-20680.37415"/>
        <s v="HDO April 12-22 25WTI SprdsHedge20000.49416"/>
        <s v="HDO April 12-22 25WTI SprdsHedge20000.15417"/>
        <s v="HDO April 12-22 25WTI-BrentHedge2000-3.42418"/>
        <s v="HDO April 12-22 25Brent SprdsHedge20000.37419"/>
        <s v="UnallocatedDFLHedge-15000.22420"/>
        <s v="UnallocatedDFLHedge-3001.13421"/>
        <s v="UnallocatedWTI-BrentHedge300-4.23422"/>
        <s v="UnallocatedWTI-BrentHedge250-4.23423"/>
        <s v="UnallocatedWTI-BrentHedge250-4.23424"/>
        <s v="March EFP 1PhysicalHedge7000.42425"/>
        <s v="March EFP 2PhysicalHedge7000.42426"/>
        <s v="March EFP 1WTI-BrentHedge700-4.23427"/>
        <s v="March EFP 2WTI-BrentHedge700-4.23428"/>
        <s v="March EFP 1WTI-BrentExpo-700-4.23429"/>
        <s v="March EFP 2WTI-BrentExpo-700-4.23430"/>
        <s v="March EFP 1Freight-TD25Expo-700150431"/>
        <s v="March EFP 1Freight-TD25Hedge700150432"/>
        <s v="March EFP 1Freight-TD7Expo700111.45433"/>
        <s v="March EFP 2Freight-TD25Expo0150434"/>
        <s v="March EFP 2Freight-TD7Expo700111.45435"/>
        <s v="UnallocatedDFLHedge-3001.13436"/>
        <s v="UnallocatedWTI Sprds-FlyHedge-5000.15437"/>
        <s v="UnallocatedWTI Sprds-FlyHedge5000.25438"/>
        <s v="UnallocatedWTI Sprds-FlyHedge-10000.15439"/>
        <s v="UnallocatedWTI Sprds-FlyHedge10000.25440"/>
        <s v="UnallocatedWTI Sprds-FlyHedge-10000.15441"/>
        <s v="UnallocatedWTI Sprds-FlyHedge10000.25442"/>
        <s v="UnallocatedPhysicalExpo00443"/>
        <s v="UnallocatedWTI-BrentHedge3000-4.23444"/>
        <s v="UnallocatedWTI-BrentHedge-1500-3.26445"/>
        <s v="UnallocatedWTI-BrentHedge-1500-4.91446"/>
        <s v="UnallocatedWTI SprdsHedge2820.49447"/>
        <s v="CPC TAIWAN APR 23-27Freight-TD22Expo-210010050448"/>
        <s v="CPC TAIWAN APR 23-27Freight-TD22Expo21008200449"/>
        <s v="CPC TAIWAN APR 23-27PhysicalExpo21005.1450"/>
        <s v="CPC TAIWAN APR 23-27WTI SprdsExpo-21000.15451"/>
        <s v="CPC TAIWAN APR 23-27WTI-BrentExpo-2100-3.42452"/>
        <s v="CPC TAIWAN APR 23-27Brent SprdsExpo-21000.37453"/>
        <s v="CPC TAIWAN APR 23-27DFLExpo21001.13454"/>
        <s v="CPC TAIWAN APR 23-27DFLHedge-5001.13455"/>
        <s v="UnallocatedWTI-BrentHedge1003-4.23456"/>
        <s v="UnallocatedDFLHedge-3000.22457"/>
        <s v="UnallocatedDFLHedge-7000.22458"/>
        <s v="CPC TAIWAN APR 23-27WTI-BrentHedge2100-3.42459"/>
        <s v="UnallocatedWTI-BrentHedge1900-3.42460"/>
        <s v="CPC TAIWAN APR 23-27DFLHedge-2001.13461"/>
        <s v="UnallocatedDFLHedge-61930.93462"/>
        <s v="UnallocatedCFDHedge-2000.362463"/>
        <s v="UnallocatedCFDHedge-2000.362464"/>
        <s v="UnallocatedCFDHedge-2000.362465"/>
        <s v="UnallocatedCFDHedge-2000.362466"/>
        <s v="UnallocatedCFDHedge-2000.362467"/>
        <s v="UnallocatedDFLHedge-14500.22468"/>
        <s v="UnallocatedDFLHedge1001.13469"/>
        <s v="UnallocatedWTI SprdsHedge-5000.15470"/>
        <s v="UnallocatedWTI SprdsHedge-5000.25471"/>
        <s v="UnallocatedWTI-BrentHedge-500-3.26472"/>
        <s v="UnallocatedDFLHedge2000.22473"/>
        <s v="UnallocatedDFLHedge-6000.22474"/>
        <s v="UnallocatedWTI SprdsHedge2500.15475"/>
        <s v="UnallocatedWTI SprdsHedge2500.25476"/>
        <s v="UnallocatedWTI-BrentHedge250-3.26477"/>
        <s v="UnallocatedWTI SprdsHedge3500.15478"/>
        <s v="UnallocatedWTI SprdsHedge3500.15479"/>
        <s v="UnallocatedWTI-BrentHedge100-4.23480"/>
        <s v="UnallocatedWTI-BrentHedge100-4.23481"/>
        <s v="UnallocatedWTI-BrentHedge200-4.23482"/>
        <s v="UnallocatedDFLHedge-5000.22483"/>
        <s v="UnallocatedWTI SprdsHedge3500.15484"/>
        <s v="CPC TAIWAN APR 23-27Brent SprdsExpo261.09485"/>
        <s v="UnallocatedWTI-BrentHedge111-4.23486"/>
        <s v="UnallocatedWTI SprdsHedge3000.15487"/>
        <s v="UnallocatedWTI SprdsHedge3000.15488"/>
        <s v="UnallocatedWTI SprdsHedge1840.15489"/>
        <s v="UnallocatedWTI SprdsHedge1160.15490"/>
        <s v="UnallocatedWTI SprdsHedge3000.15491"/>
        <s v="UnallocatedWTI SprdsHedge3000.15492"/>
        <s v="UnallocatedWTI Sprds-FlyHedge5000.15493"/>
        <s v="UnallocatedWTI Sprds-FlyHedge-5000.25494"/>
        <s v="UnallocatedWTI-BrentHedge500-3.26495"/>
        <s v="UnallocatedWTI SprdsHedge20000.15496"/>
        <s v="UnallocatedWTI-BrentHedge250-3.26497"/>
        <s v="CPC TAIWAN APR 23-27Brent SprdsHedge5000.37498"/>
        <s v="UnallocatedWTI-BrentHedge250-3.26499"/>
        <s v="Gunvor FOB Feb 23-24PhysicalExpo7000.64500"/>
        <s v="Gunvor FOB Feb 23-24WTI SprdsExpo-7000.15501"/>
        <s v="Gunvor FOB Feb 23-24WTI SprdsExpo-7000.25502"/>
        <s v="Gunvor FOB Feb 23-24WTI-BrentHedge-700-3.26503"/>
        <s v="Gunvor FOB Feb 23-24WTI-BrentHedge500-3.26504"/>
        <s v="Gunvor FOB Feb 23-24WTI-BrentHedge200-3.26505"/>
        <s v="UnallocatedWTI SprdsHedge-9320.15506"/>
        <s v="UnallocatedWTI Sprds-FlyHedge9320.15507"/>
        <s v="UnallocatedWTI SprdsHedge9320.25508"/>
        <s v="UnallocatedWTI Sprds-FlyHedge-9320.25509"/>
        <s v="HDO May 10-20 WTI+WTLFreight-TD22Expo-20009250510"/>
        <s v="HDO May 10-20 WTI+WTLFreight-TD22Expo20009250511"/>
        <s v="HDO May 10-20 WTI+WTLPhysicalExpo14004.91512"/>
        <s v="HDO May 10-20 WTI+WTLPhysicalExpo7004.61513"/>
        <s v="HDO May 10-20 WTI+WTLWTI SprdsExpo-21000.15514"/>
        <s v="HDO May 10-20 WTI+WTLWTI SprdsExpo-21000.25515"/>
        <s v="HDO May 10-20 WTI+WTLWTI-BrentExpo-2100-3.26516"/>
        <s v="HDO May 10-20 WTI+WTLBrent SprdsExpo-1999-0.03517"/>
        <s v="HDO May 10-20 WTI+WTLBrent SprdsExpo1002.06518"/>
        <s v="HDO May 10-20 WTI+WTLWTI SprdsHedge21000.15519"/>
        <s v="HDO May 10-20 WTI+WTLWTI SprdsHedge21000.25520"/>
        <s v="HDO May 10-20 WTI+WTLWTI-BrentHedge2100-3.26521"/>
        <s v="HDO May 10-20 WTI+WTLBrent SprdsHedge2100-0.03522"/>
        <s v="HDO May 10-20 WTI+WTLMEHExpo-7001.48890909090909523"/>
        <s v="UnallocatedWTI Sprds-FlyHedge3000.15524"/>
        <s v="UnallocatedWTI Sprds-FlyHedge-3000.25525"/>
        <s v="UnallocatedWTI-BrentHedge71-3.26526"/>
        <s v="UnallocatedWTI-BrentHedge179-3.26527"/>
        <s v="UnallocatedWTI-BrentHedge50-3.42528"/>
        <s v="UnallocatedWTI Sprds-FlyHedge2680.15529"/>
        <s v="UnallocatedWTI Sprds-FlyHedge-2680.25530"/>
        <s v="UnallocatedWTI SprdsHedge-5000.25531"/>
        <s v="UnallocatedWTI SprdsHedge-5000.67532"/>
        <s v="UnallocatedWTI Sprds-FlyHedge2500.15533"/>
        <s v="UnallocatedWTI Sprds-FlyHedge-2500.25534"/>
        <s v="UnallocatedWTI Sprds-FlyHedge2500.15535"/>
        <s v="UnallocatedWTI Sprds-FlyHedge-2500.25536"/>
        <s v="UnallocatedWTI-BrentHedge50-3.42537"/>
        <s v="UnallocatedWTI-BrentHedge50-3.42538"/>
        <s v="UnallocatedWTI-BrentHedge50-3.42539"/>
        <s v="UnallocatedWTI-BrentHedge250-3.26540"/>
        <s v="Vitol FOB March BookoutPhysicalExpo700-1.9541"/>
        <s v="Vitol FOB March BookoutWTI SprdsExpo-7000.15542"/>
        <s v="Vitol FOB March BookoutWTI SprdsExpo-7000.25543"/>
        <s v="Vitol FOB March BookoutWTI-BrentExpo-700-3.26544"/>
        <s v="UnallocatedWTI SprdsHedge6500.15545"/>
        <s v="UnallocatedLegacy 2024Hedge0546"/>
        <s v="UnallocatedWTI SprdsHedge500.15547"/>
        <s v="UnallocatedWTI SprdsHedge-5000.25548"/>
        <s v="UnallocatedBrent SprdsHedge20000.37549"/>
        <s v="UnallocatedBrent SprdsExpo-2530.37550"/>
        <s v="UnallocatedCFDHedge2001.32551"/>
        <s v="UnallocatedCFDHedge-2000.54552"/>
        <s v="UnallocatedWTI-BrentHedge18-3.42553"/>
        <s v="UnallocatedDFLHedge-2220.22554"/>
        <s v="Mitsui CIF Rotts Apr 16-30PhysicalExpo7001.45555"/>
        <s v="Mitsui CIF Rotts Apr 16-30WTI SprdsExpo-7000.15556"/>
        <s v="Mitsui CIF Rotts Apr 16-30WTI SprdsHedge3500.15557"/>
        <s v="Mitsui CIF Rotts Apr 16-30WTI SprdsHedge3500.15558"/>
        <s v="Mitsui CIF Rotts Apr 16-30WTI SprdsExpo-7000.25559"/>
        <s v="Mitsui CIF Rotts Apr 16-30WTI-BrentExpo-700-3.26560"/>
        <s v="Mitsui CIF Rotts Apr 16-30Brent SprdsExpo-700-0.03561"/>
        <s v="Mitsui CIF Rotts Apr 16-30DFLExpo7001.42562"/>
        <s v="Mitsui CIF Rotts Apr 16-30Freight-TD25Expo-700138563"/>
        <s v="Mitsui CIF Rotts Apr 16-30Freight-TD25Hedge700138564"/>
        <s v="UnallocatedFreight-TD7Hedge-2800109565"/>
        <s v="HDO May 10-20 WTI+WTLMEHExpo7001.48890909090909566"/>
        <s v="FOB BP March 15-16 EpicPhysicalExpo685-0.55567"/>
        <s v="FOB BP March 15-16 EpicWTI SprdsExpo7000.15568"/>
        <s v="FOB BP March 15-16 EpicWTI SprdsHedge-7000.15569"/>
        <s v="FOB BP March 15-16 EpicWTI SprdsExpo-6850.25570"/>
        <s v="FOB BP March 15-16 EpicWTI SprdsExpo-6850.67571"/>
        <s v="FOB BP March 15-16 EpicWTI-BrentExpo-685-4.91572"/>
        <s v="Mitsui CIF Rotts Apr 16-30DFLHedge-7001.42573"/>
        <s v="EXTAP CIF Rotts Apr 20-24PhysicalExpo21000.45574"/>
        <s v="EXTAP CIF Rotts Apr 20-24WTI SprdsExpo-21000.15575"/>
        <s v="EXTAP CIF Rotts Apr 20-24WTI SprdsHedge3720.15576"/>
        <s v="EXTAP CIF Rotts Apr 20-24WTI SprdsHedge17280.15577"/>
        <s v="EXTAP CIF Rotts Apr 20-24WTI SprdsExpo-21000.25578"/>
        <s v="EXTAP CIF Rotts Apr 20-24WTI SprdsExpo-21000.67579"/>
        <s v="EXTAP CIF Rotts Apr 20-24WTI-BrentExpo-2100-4.91580"/>
        <s v="EXTAP CIF Rotts Apr 20-24DFLExpo21001.42581"/>
        <s v="EXTAP CIF Rotts Apr 20-24DFLHedge-17001.42582"/>
        <s v="EXTAP CIF Rotts Apr 20-24WTI SprdsHedge6000.25583"/>
        <s v="EXTAP CIF Rotts Apr 20-24WTI SprdsHedge6000.67584"/>
        <s v="EXTAP CIF Rotts Apr 20-24WTI SprdsHedge6000.25585"/>
        <s v="EXTAP CIF Rotts Apr 20-24WTI SprdsHedge6000.67586"/>
        <s v="EXTAP CIF Rotts Apr 20-24WTI-BrentHedge500-3.11587"/>
        <s v="EXTAP CIF Rotts Apr 20-24WTI SprdsHedge16000.25588"/>
        <s v="EXTAP CIF Rotts Apr 20-24WTI SprdsHedge16000.67589"/>
        <s v="EXTAP CIF Rotts Apr 20-24WTI-BrentHedge1600-4.91590"/>
        <s v="EXTAP CIF Rotts Apr 20-24WTI SprdsHedge5000.25591"/>
        <s v="EXTAP CIF Rotts Apr 20-24WTI SprdsHedge5000.67592"/>
        <s v="EXTAP CIF Rotts Apr 20-24DFLHedge-5001.42593"/>
        <s v="EXTAP CIF Rotts Apr 20-24WTI SprdsHedge5000.25594"/>
        <s v="EXTAP CIF Rotts Apr 20-24WTI SprdsHedge5000.67595"/>
        <s v="UnallocatedWTI-BrentHedge250-3.26596"/>
        <s v="UnallocatedWTI-BrentHedge250-3.26597"/>
        <s v="UnallocatedWTI-BrentHedge250-3.26598"/>
        <s v="UnallocatedWTI-BrentHedge250-3.26599"/>
        <s v="UnallocatedWTI-BrentHedge250-3.26600"/>
        <s v="HDO June DAP 5-15 WTI+WTLFreight-TD22Expo-20007300601"/>
        <s v="HDO June DAP 5-15 WTI+WTLFreight-TD22Expo20007300602"/>
        <s v="HDO June DAP 5-15 WTI+WTLPhysicalExpo14003.98603"/>
        <s v="HDO June DAP 5-15 WTI+WTLPhysicalExpo7003.68604"/>
        <s v="HDO June DAP 5-15 WTI+WTLWTI SprdsExpo-14000.25605"/>
        <s v="HDO June DAP 5-15 WTI+WTLWTI SprdsExpo-14000.67606"/>
        <s v="HDO June DAP 5-15 WTI+WTLWTI-BrentExpo-1400-4.91607"/>
        <s v="HDO June DAP 5-15 WTI+WTLBrent SprdsExpo-21002.06608"/>
        <s v="HDO June DAP 5-15 WTI+WTLWTI-BrentHedge500-4.91609"/>
        <s v="HDO June DAP 5-15 WTI+WTLWTI-BrentHedge500-3.11610"/>
        <s v="EXTAP CIF Rotts Apr 20-24DFLHedge-1001.42611"/>
        <s v="HDO June DAP 5-15 WTI+WTLWTI-BrentHedge250-4.91612"/>
        <s v="HDO June DAP 5-15 WTI+WTLWTI-BrentHedge217-4.91613"/>
        <s v="HDO June DAP 5-15 WTI+WTLWTI-BrentHedge500-4.91614"/>
        <s v="UnallocatedBrent SprdsHedge0.012.06615"/>
        <s v="UnallocatedWTI-BrentHedge200-3.26616"/>
        <s v="UnallocatedWTI SprdsHedge2500.25617"/>
        <s v="UnallocatedWTI SprdsHedge2500.25618"/>
        <s v="UnallocatedWTI SprdsHedge2500.25619"/>
        <s v="UnallocatedWTI SprdsHedge2500.25620"/>
        <s v="UnallocatedWTI SprdsHedge2500.25621"/>
        <s v="UnallocatedWTI SprdsHedge2500.25622"/>
        <s v="UnallocatedWTI-BrentHedge250-4.91623"/>
        <s v="UnallocatedWTI-BrentHedge250-4.91624"/>
        <s v="UnallocatedWTI-BrentHedge250-4.91625"/>
        <s v="UnallocatedWTI-BrentHedge250-4.91626"/>
        <s v="UnallocatedWTI SprdsHedge5000.25627"/>
        <s v="UnallocatedWTI SprdsHedge4000.25628"/>
        <s v="UnallocatedWTI SprdsHedge2500.25629"/>
        <s v="UnallocatedWTI SprdsHedge1530.25630"/>
        <s v="UnallocatedWTI SprdsHedge-13230.67631"/>
        <s v="UnallocatedWTI SprdsHedge-23020.67632"/>
        <s v="Glencore CIF Rdam Apr 22-26PhysicalExpo7351.75633"/>
        <s v="Glencore CIF Rdam Apr 22-26WTI SprdsExpo-7350.67634"/>
        <s v="Glencore CIF Rdam Apr 22-26WTI-BrentExpo-735-4.91635"/>
        <s v="Glencore CIF Rdam Apr 22-26DFLExpo7351.42636"/>
        <s v="Glencore CIF Rdam Apr 22-26DFLHedge-7001.42637"/>
        <s v="Trafi FOB Apr 23-24PhysicalExpo700-1.5638"/>
        <s v="Trafi FOB Apr 23-24WTI SprdsExpo-7000.67639"/>
        <s v="Trafi FOB Apr 23-24WTI-BrentExpo-700-4.91640"/>
        <s v="UnallocatedDFLHedge5001.42641"/>
        <s v="UnallocatedDFLHedge-5000.141213642"/>
        <s v="UnallocatedBrent SprdsExpo729-0.03643"/>
        <s v="UnallocatedWTI-BrentExpo900-3.26644"/>
        <s v="UnallocatedDFLHedge-10000.141213645"/>
        <s v="HDO May 10-20 WTI+WTLBrent SprdsExpo370-0.03646"/>
        <s v="Exxon CIF Rdam May 1-5PhysicalExpo6922.4647"/>
        <s v="Exxon CIF Rdam May 1-5WTI SprdsExpo-6920.67648"/>
        <s v="Exxon CIF Rdam May 1-5WTI-BrentExpo-692-4.91649"/>
        <s v="Exxon CIF Rdam May 1-5DFLExpo6920.141213650"/>
        <s v="Exxon CIF Rdam May 1-5Freight-TD25Expo-700167.5651"/>
        <s v="Exxon CIF Rdam May 1-5Freight-TD25Expo700167.5652"/>
        <s v="Exxon CIF Rdam May 1-5Brent SprdsExpo-6922.06653"/>
        <s v="UnallocatedFreight-TD7Hedge-1400111.45654"/>
        <s v="UnallocatedCFDHedge5002.26655"/>
        <s v="UnallocatedCFDHedge-5001.86656"/>
        <s v="PhysicalExpo2.55657"/>
        <s v="WTI SprdsExpo0.67658"/>
        <s v="WTI SprdsExpo0.55659"/>
        <s v="WTI-BrentExpo-3.11660"/>
        <s v="DFLExpo0.141213661"/>
        <s v="Freight-TD25Expo185662"/>
        <s v="UnallocatedDFLHedge-2791.13663"/>
        <s v="UnallocatedWTI Sprds-FlyHedge10000.67664"/>
        <s v="UnallocatedWTI Sprds-FlyHedge-10000.55665"/>
        <s v="UnallocatedBrent SprdsHedge5002.06666"/>
        <s v="UnallocatedBrent SprdsHedge5002.06667"/>
        <s v="UnallocatedBrent SprdsHedge5002.06668"/>
        <s v="UnallocatedBrent SprdsHedge5002.06669"/>
        <s v="UnallocatedBrent SprdsHedge5002.06670"/>
        <s v="UnallocatedBrent SprdsHedge5002.06671"/>
        <s v="IOC DAP Paradip June 9-18DFLHedge-1000.141213672"/>
        <s v="IOC DAP Paradip June 9-18PhysicalExpo20542.54673"/>
        <s v="IOC DAP Paradip June 9-18WTI SprdsExpo-20650.67674"/>
        <s v="IOC DAP Paradip June 9-18WTI SprdsExpo-20540.55675"/>
        <s v="IOC DAP Paradip June 9-18WTI-BrentExpo-2054-3.11676"/>
        <s v="IOC DAP Paradip June 9-18DFLExpo20540.141213677"/>
        <s v="IOC DAP Paradip June 9-18WTI SprdsHedge5000.67678"/>
        <s v="IOC DAP Paradip June 9-18WTI SprdsHedge5000.67679"/>
        <s v="IOC DAP Paradip June 9-18WTI SprdsHedge13020.67680"/>
        <s v="IOC DAP Paradip June 9-18WTI SprdsHedge4500.67681"/>
        <s v="IOC DAP Paradip June 9-18DFLHedge-20000.141213682"/>
        <s v="UnallocatedWTI SprdsHedge11910.67683"/>
        <s v="UnallocatedWTI SprdsHedge10000.55684"/>
        <s v="UnallocatedWTI SprdsHedge10001.64685"/>
        <s v="UnallocatedWTI SprdsHedge10001.25686"/>
        <s v="UnallocatedWTI SprdsHedge10000.58687"/>
        <s v="UnallocatedWTI SprdsHedge10000.28688"/>
        <s v="UnallocatedWTI SprdsHedge10000.5689"/>
        <s v="UnallocatedWTI SprdsHedge-10000.58690"/>
        <s v="UnallocatedWTI SprdsHedge-10000.28691"/>
        <s v="UnallocatedWTI SprdsHedge-10000.5692"/>
        <s v="UnallocatedBrent SprdsHedge-2502.06693"/>
        <s v="UnallocatedBrent SprdsHedge-2502.06694"/>
        <s v="UnallocatedBrent SprdsHedge-2002.06695"/>
        <s v="UnallocatedBrent SprdsHedge-1502.06696"/>
        <s v="UnallocatedBrent SprdsHedge-1502.06697"/>
        <s v="UnallocatedWTI SprdsHedge-10000.55698"/>
        <s v="UnallocatedWTI SprdsHedge-10001.64699"/>
        <s v="UnallocatedWTI SprdsHedge-10001.25700"/>
        <s v="UnallocatedWTI SprdsHedge20000.67701"/>
        <s v="UnallocatedWTI SprdsHedge-20000.55702"/>
        <s v="UnallocatedWTI SprdsHedge20000.67703"/>
        <s v="UnallocatedWTI SprdsHedge-20000.55704"/>
        <s v="UnallocatedWTI SprdsHedge10000.67705"/>
        <s v="UnallocatedWTI SprdsHedge10000.55706"/>
        <s v="UnallocatedFreight-TD25Hedge185707"/>
        <s v="UnallocatedWTI SprdsHedge0.67708"/>
        <s v="UnallocatedWTI-BrentHedge500-4.91709"/>
        <s v="UnallocatedWTI-BrentHedge250-4.91710"/>
        <s v="UnallocatedWTI SprdsHedge5000.55711"/>
        <s v="UnallocatedWTI SprdsHedge0.55712"/>
        <s v="UnallocatedDFLHedge-8000.141213713"/>
        <s v="UnallocatedWTI Sprds-FlyHedge-10000.67714"/>
        <s v="UnallocatedWTI Sprds-FlyHedge10000.55715"/>
        <s v="UnallocatedWTI SprdsHedge10000.67716"/>
        <s v="UnallocatedWTI SprdsHedge-10000.55717"/>
        <s v="UnallocatedWTI SprdsHedge20000.55718"/>
        <s v="UnallocatedBrent SprdsHedge20001.12719"/>
        <s v="UnallocatedWTI SprdsHedge-15000.67720"/>
        <s v="UnallocatedWTI SprdsHedge15000.55721"/>
        <s v="UnallocatedWTI SprdsHedge5000.67722"/>
        <s v="UnallocatedWTI SprdsHedge5000.55723"/>
        <s v="UnallocatedBrent SprdsHedge5002.06724"/>
        <s v="Taiyo CFR Malaysia Jul 14-23PhysicalExpo11984.36725"/>
        <s v="Taiyo CFR Malaysia Jul 14-23PhysicalExpo5504.36726"/>
        <s v="Taiyo CFR Malaysia Jul 14-23PhysicalExpo3154.16727"/>
        <s v="Taiyo CFR Malaysia Jul 14-23WTI SprdsExpo-21000.67728"/>
        <s v="Taiyo CFR Malaysia Jul 14-23WTI SprdsExpo-21000.55729"/>
        <s v="Taiyo CFR Malaysia Jul 14-23WTI-BrentExpo-2063-3.11730"/>
        <s v="Taiyo CFR Malaysia Jul 14-23Brent SprdsExpo-20631.12731"/>
        <s v="Taiyo CFR Malaysia Jul 14-23Brent SprdsExpo-20630.87732"/>
        <s v="Exxon CIF Rotts May 15-19PhysicalExpo7002733"/>
        <s v="Exxon CIF Rotts May 15-19WTI SprdsExpo-7000.67734"/>
        <s v="Exxon CIF Rotts May 15-19WTI-BrentExpo-700-4.91735"/>
        <s v="Exxon CIF Rotts May 15-19Brent SprdsExpo-7002.06736"/>
        <s v="Exxon CIF Rotts May 15-19DFLExpo7000.141213737"/>
        <s v="Exxon CIF Rotts May 16-20PhysicalExpo7002738"/>
        <s v="Exxon CIF Rotts May 16-20WTI SprdsExpo-7000.67739"/>
        <s v="Exxon CIF Rotts May 16-20WTI-BrentExpo-700-4.91740"/>
        <s v="Exxon CIF Rotts May 16-20Brent SprdsExpo-7002.06741"/>
        <s v="Exxon CIF Rotts May 16-20DFLExpo7000.141213742"/>
        <s v="UnallocatedWTI SprdsHedge20000.67743"/>
        <s v="UnallocatedMEHExpo-8651.09744"/>
        <s v="UnallocatedMEHHedge8651.09745"/>
        <s v="UnallocatedWTI SprdsHedge20000.67746"/>
        <s v="UnallocatedWTI SprdsHedge20000.55747"/>
        <s v="UnallocatedWTI SprdsHedge9860.67748"/>
        <s v="UnallocatedWTI SprdsHedge9860.55749"/>
        <s v="UnallocatedWTI SprdsHedge-17270.67750"/>
        <s v="UnallocatedWTI SprdsHedge-9300.55751"/>
        <s v="Exxon CIF Rotts May 16-20WTI-BrentHedge269-4.91752"/>
        <s v="Exxon CIF Rotts May 16-20Brent SprdsHedge-5002.06753"/>
        <s v="Exxon CIF Rotts May 16-20DFLHedge-5001.72754"/>
        <s v="CPC CFR Taiwan July 22-26WTI SprdsHedge10000.55755"/>
        <s v="CPC CFR Taiwan July 22-26PhysicalExpo21003.46756"/>
        <s v="CPC CFR Taiwan July 22-26WTI SprdsExpo-20750.55757"/>
        <s v="CPC CFR Taiwan July 22-26WTI-BrentExpo-2100-3.11758"/>
        <s v="CPC CFR Taiwan July 22-26Brent SprdsExpo-21001.12759"/>
        <s v="CPC CFR Taiwan July 22-26DFLExpo21001.72760"/>
        <s v="CPC CFR Taiwan July 22-26WTI-BrentHedge700-4.91761"/>
        <s v="CPC CFR Taiwan July 22-26WTI-BrentHedge700-4.91762"/>
        <s v="CPC CFR Taiwan July 22-26WTI SprdsHedge10000.55763"/>
        <s v="Taiyo CFR Malaysia Jul 14-23Freight-TD22Expo-20008300764"/>
        <s v="CPC CFR Taiwan July 22-26Freight-TD22Expo-20008300765"/>
        <s v="CPC CFR Taiwan July 22-26DFLHedge-5000.141213766"/>
        <s v="CPC CFR Taiwan July 22-26DFLHedge-2000.141213767"/>
        <s v="CPC CFR Taiwan July 22-26WTI-BrentHedge114-3.11768"/>
        <s v="CPC CFR Taiwan July 22-26DFLHedge-7000.141213769"/>
        <s v="CPC CFR Taiwan July 22-26DFLHedge-1000.141213770"/>
        <s v="CPC CFR Taiwan July 22-26DFLHedge-14000.141213771"/>
        <s v="UnallocatedWTI-BrentHedge248-4.91772"/>
        <s v="UnallocatedCFDHedge-500-0.18125773"/>
        <s v="UnallocatedWTI-BrentHedge2478-4.91774"/>
        <s v="UnallocatedBrent SprdsHedge20922.06775"/>
        <s v="UnallocatedWTI-BrentHedge-500-3.11776"/>
        <s v="UnallocatedWTI-BrentHedge500-2.5777"/>
        <s v="CPC CFR Taiwan July 22-26DFLHedge-10000.141213778"/>
        <s v="Taiyo CFR Malaysia Jul 14-23Freight-TD22Expo20008400779"/>
        <s v="CPC CFR Taiwan July 22-26Freight-TD22Expo20008400780"/>
        <s v="UnallocatedWTI-BrentHedge500-2.5781"/>
        <s v="UnallocatedWTI-BrentHedge500-2.5782"/>
        <s v="UnallocatedWTI-BrentHedge500-2.5783"/>
        <s v="UnallocatedCFDHedge-500-0.097784"/>
        <s v="UnallocatedCFDHedge-5000.472785"/>
        <s v="UnallocatedCFDHedge-300-0.097786"/>
        <s v="Gunvor June EFPPhysicalExpo7000.45787"/>
        <s v="Gunvor June EFPWTI-BrentExpo-700-3.11788"/>
        <s v="Gunvor June EFPWTI SprdsExpo-7000.55789"/>
        <s v="Gunvor June EFPFreight-TD25Expo-700125790"/>
        <s v="Trafi CIF Rdam June 13-17Freight-TD25Expo700125791"/>
        <s v="Gunvor June EFPFreight-TD7Expo700122792"/>
        <s v="UnallocatedDFLHedge-3351.42793"/>
        <s v="UnallocatedDFLHedge-5000.141213794"/>
        <s v="Gunvor June EFPWTI SprdsHedge5000.55795"/>
        <s v="UnallocatedWTI-BrentHedge2000-3.11796"/>
        <s v="UnallocatedWTI SprdsHedge-5000.55797"/>
        <s v="July25 EFP 1PhysicalExpo7000.01798"/>
        <s v="July25 EFP 1WTI-BrentExpo-700-3.11799"/>
        <s v="July25 EFP 1WTI SprdsExpo00.55800"/>
        <s v="July25 EFP 1Freight-TD25Expo-700150.771017185323801"/>
        <s v="July25 EFP 1Freight-TD25Expo700150.771017185323802"/>
        <s v="Gunvor June EFPFreight-TD7Expo-700122803"/>
        <s v="July25 EFP 1Freight-TD7Expo700117804"/>
        <s v="July25 EFP 2PhysicalExpo00.01805"/>
        <s v="July25 EFP 2WTI-BrentExpo-3.11806"/>
        <s v="July25 EFP 2WTI SprdsExpo0.55807"/>
        <s v="July25 EFP 2Freight-TD25Expo0808"/>
        <s v="July25 EFP 2Freight-TD7Expo0809"/>
        <s v="July25 EFP 3PhysicalExpo0.01810"/>
        <s v="July25 EFP 3WTI-BrentExpo-3.11811"/>
        <s v="July25 EFP 3WTI SprdsExpo0.55812"/>
        <s v="July25 EFP 3Freight-TD25Expo0813"/>
        <s v="July25 EFP 3Freight-TD7Expo0814"/>
        <s v="UnallocatedCFDHedge-200-0.097815"/>
        <s v="UnallocatedDFLHedge-5000.141213816"/>
        <s v="July25 EFP 3WTI SprdsHedge7000.55817"/>
        <s v="July25 EFP 2WTI SprdsHedge3000.55818"/>
        <s v="July25 EFP 2WTI SprdsHedge6000.55819"/>
        <s v="UnallocatedCFDHedge500-0.097820"/>
        <s v="UnallocatedBrent SprdsHedge6211.12821"/>
        <s v="UnallocatedBrent SprdsHedge6210.87822"/>
        <s v="UnallocatedBrent SprdsHedge30001.12823"/>
        <s v="UnallocatedBrent SprdsHedge30000.87824"/>
        <s v="UnallocatedCFDHedge-2000.472825"/>
        <s v="UnallocatedCFDHedge500-0.18125826"/>
        <s v="Trafi CIF Rdam May30-Jun03PhysicalExpo7000.6827"/>
        <s v="Trafi CIF Rdam May30-Jun03WTI SprdsExpo-7000.55828"/>
        <s v="Trafi CIF Rdam May30-Jun03WTI-BrentExpo-420-3.11829"/>
        <s v="Trafi CIF Rdam May30-Jun03Brent SprdsExpo-761.12830"/>
        <s v="Trafi CIF Rdam May30-Jun03CFDExpo4200.48875831"/>
        <s v="Trafi CIF Rdam May30-Jun03CFDExpo2801.81832"/>
        <s v="UnallocatedCFDHedge-4000.472833"/>
        <s v="UnallocatedDFLHedge-5000.141213834"/>
        <s v="UnallocatedBrent SprdsHedge-15001.12835"/>
        <s v="UnallocatedWTI SprdsHedge30000.55836"/>
        <s v="Exxon CIF Rdam June 22-26PhysicalExpo7001.65837"/>
        <s v="Exxon CIF Rdam June 22-26WTI SprdsExpo-7000.55838"/>
        <s v="Exxon CIF Rdam June 22-26WTI-BrentExpo-700-3.11839"/>
        <s v="Exxon CIF Rdam June 22-26Brent SprdsExpo-7001.12840"/>
        <s v="Exxon CIF Rdam June 22-26Freight-TD25Expo-700115841"/>
        <s v="Exxon CIF Rdam June 22-26Freight-TD25Hedge700115842"/>
        <s v="UnallocatedCFDHedge-2000.472843"/>
        <s v="UnallocatedCFDHedge2001.526844"/>
        <s v="UnallocatedDFLHedge2500.445626845"/>
        <s v="UnallocatedCFDHedge-2000.472846"/>
        <s v="UnallocatedCFDHedge500-0.097847"/>
        <s v="Exxon CIF Rdam June 22-26Brent SprdsHedge9581.12848"/>
        <s v="Exxon CIF Rdam June 22-26Brent SprdsHedge-9580.87849"/>
        <s v="PTIN CIF Rdam June 9-13PhysicalExpo7001.3850"/>
        <s v="PTIN CIF Rdam June 9-13WTI SprdsExpo-7000.55851"/>
        <s v="PTIN CIF Rdam June 9-13WTI-BrentExpo-700-3.11852"/>
        <s v="PTIN CIF Rdam June 9-13Brent SprdsExpo-1401.12853"/>
        <s v="PTIN CIF Rdam June 9-13Freight-TD25Expo-700137.5854"/>
        <s v="PTIN CIF Rdam June 9-13Freight-TD25Hedge700137.5855"/>
        <s v="Trafi CIF Rdam June 13-17PhysicalExpo7001.45856"/>
        <s v="Trafi CIF Rdam June 13-17WTI SprdsExpo-7000.55857"/>
        <s v="Trafi CIF Rdam June 13-17WTI-BrentExpo-700-3.11858"/>
        <s v="Trafi CIF Rdam June 13-17Brent SprdsExpo-7001.12859"/>
        <s v="Trafi CIF Rdam June 13-17Freight-TD25Expo-700125860"/>
        <s v="Trafi CIF Rdam June 13-17Freight-TD25Hedge700125861"/>
        <s v="BP CIF Rdam June 17-21PhysicalExpo7001.55862"/>
        <s v="BP CIF Rdam June 17-21WTI SprdsExpo-7000.55863"/>
        <s v="BP CIF Rdam June 17-21WTI-BrentExpo-700-3.11864"/>
        <s v="BP CIF Rdam June 17-21Brent SprdsExpo-7001.12865"/>
        <s v="BP CIF Rdam June 17-21Freight-TD25Expo-700120866"/>
        <s v="BP CIF Rdam June 17-21Freight-TD25Hedge700120867"/>
        <s v="BP CIF Rdam June 17-21WTI SprdsHedge33730.55868"/>
        <s v="BP CIF Rdam June 17-21WTI SprdsHedge-21000.55869"/>
        <s v="BP CIF Rdam June 17-21Brent SprdsHedge14001.12870"/>
        <s v="CPC Taiwain Aug 15-22PhysicalExpo20982.99871"/>
        <s v="CPC Taiwain Aug 15-22WTI SprdsExpo-20751.64872"/>
        <s v="CPC Taiwain Aug 15-22WTI SprdsExpo-20751.25873"/>
        <s v="CPC Taiwain Aug 15-22WTI-BrentExpo-2098-3.27874"/>
        <s v="CPC Taiwain Aug 15-22DFLExpo20981.47875"/>
        <s v="CPC Taiwain Aug 15-22Freight-TD22Expo-20008100876"/>
        <s v="CPC Taiwain Aug 15-22Freight-TD22Hedge20008100877"/>
        <s v="UnallocatedWTI Sprds-FlyHedge-5001.64878"/>
        <s v="UnallocatedWTI Sprds-FlyHedge5001.25879"/>
        <s v="UnallocatedWTI-BrentHedge2000-3.11880"/>
        <s v="UnallocatedWTI-BrentHedge-2000-2.5881"/>
        <s v="PTIN CIF Rdam June 9-13CFDHedge-2001.81882"/>
        <s v="PTIN CIF Rdam June 9-13CFDHedge-2001.526883"/>
        <s v="Trafi CIF Rdam June 13-17CFDHedge-2001.818884"/>
        <s v="PTIN CIF Rdam June 9-13CFDHedge-1001.526885"/>
        <s v="CPC Taiwain Aug 15-22DFLHedge-7001.72886"/>
        <s v="CPC Taiwain Aug 15-22DFLHedge-5001.47887"/>
        <s v="PTIN CIF Rdam June 9-13CFDExpo1401.81888"/>
        <s v="BP CIF Rdam June 17-21CFDExpo11211.526889"/>
        <s v="Trafi CIF Rdam June 13-17CFDExpo8461.818890"/>
        <s v="PTIN CIF Rdam June 9-13CFDHedge-3001.81891"/>
        <s v="BP CIF Rdam June 17-21CFDHedge-3001.526892"/>
        <s v="CPC Taiwain Aug 15-22DFLHedge-3001.72893"/>
        <s v="CPC Taiwain Aug 15-22WTI SprdsHedge-5001.64894"/>
        <s v="CPC Taiwain Aug 15-22WTI SprdsHedge-5001.25895"/>
        <s v="UnallocatedWTI-BrentHedge2500-3.11896"/>
        <s v="CPC Taiwain Aug 15-22DFLHedge-5001.72897"/>
        <s v="CPC Taiwain Aug 15-22DFLHedge-7501.47898"/>
        <s v="BP CIF Rdam June 17-21CFDHedge-2001.526899"/>
        <s v="Trafi CIF Rdam June 13-17CFDHedge-1001.818900"/>
        <s v="UnallocatedWTI-BrentHedge1853-3.11901"/>
        <s v="UnallocatedBrent SprdsHedge0.87902"/>
        <s v="Trafi CIF Rdam June 13-17CFDHedge15000.472903"/>
        <s v="BP FOB June 9-10 EHSCPhysicalExpo700-1.2904"/>
        <s v="BP FOB June 9-10 EHSCWTI SprdsExpo-7001.64905"/>
        <s v="BP FOB June 9-10 EHSCWTI-BrentExpo-700-2.5906"/>
        <s v="UnallocatedWTI SprdsHedge-10001.64907"/>
        <s v="UnallocatedWTI SprdsHedge-10001.25908"/>
        <s v="UnallocatedDFLHedge-6251.47909"/>
        <s v="UnallocatedCFDHedge-2001.526910"/>
        <s v="UnallocatedCFDHedge-1001.526911"/>
        <s v="UnallocatedCFDHedge-1001.818912"/>
        <s v="UnallocatedWTI SprdsHedge-10001.64913"/>
        <s v="UnallocatedWTI SprdsHedge-10001.25914"/>
        <s v="UnallocatedBrent SprdsHedge00.87915"/>
        <s v="UnallocatedWTI-BrentHedge1870-3.11916"/>
        <s v="UnallocatedWTI-BrentHedge-1853-2.5917"/>
        <s v="UnallocatedWTI SprdsHedge1.25918"/>
        <s v="UnallocatedBrent SprdsHedge3380.87919"/>
        <s v="UnallocatedWTI-BrentHedge500-3.27920"/>
        <s v="UnallocatedWTI SprdsHedge5001.64921"/>
        <s v="UnallocatedWTI SprdsHedge5001.25922"/>
        <s v="UnallocatedWTI SprdsHedge4001.64923"/>
        <s v="UnallocatedWTI SprdsHedge4001.25924"/>
        <s v="UnallocatedWTI SprdsHedge4001.64925"/>
        <s v="UnallocatedWTI SprdsHedge4001.25926"/>
        <s v="UnallocatedWTI SprdsHedge4001.64927"/>
        <s v="UnallocatedWTI SprdsHedge4001.25928"/>
        <s v="UnallocatedDFLHedge54040.141213929"/>
        <s v="Trafi CIF Rdam May30-Jun03CFDHedge-4200.48875930"/>
        <s v="UnallocatedWTI SprdsHedge3501.64931"/>
        <s v="UnallocatedWTI SprdsHedge3501.25932"/>
        <s v="UnallocatedWTI SprdsHedge3501.64933"/>
        <s v="UnallocatedWTI SprdsHedge3501.25934"/>
        <s v="UnallocatedWTI SprdsHedge3501.64935"/>
        <s v="UnallocatedWTI SprdsHedge3501.25936"/>
        <s v="UnallocatedWTI SprdsHedge3501.64937"/>
        <s v="UnallocatedWTI SprdsHedge3501.25938"/>
        <s v="UnallocatedWTI SprdsHedge3501.64939"/>
        <s v="UnallocatedWTI SprdsHedge3501.25940"/>
        <s v="UnallocatedWTI SprdsHedge3501.64941"/>
        <s v="UnallocatedWTI SprdsHedge3501.25942"/>
        <s v="UnallocatedWTI SprdsHedge3501.64943"/>
        <s v="UnallocatedWTI SprdsHedge3501.25944"/>
        <s v="UnallocatedWTI SprdsHedge2501.64945"/>
        <s v="Vitol FOB June BookoutPhysicalExpo7001.15946"/>
        <s v="UnallocatedWTI SprdsHedge5001.64947"/>
        <s v="UnallocatedWTI-BrentHedge500-2.5948"/>
        <s v="UnallocatedWTI SprdsHedge3001.64949"/>
        <s v="UnallocatedWTI SprdsHedge2001.64950"/>
        <s v="UnallocatedWTI SprdsHedge3001.64951"/>
        <s v="UnallocatedWTI SprdsHedge3001.64952"/>
        <s v="HDO CFR Korea Sep 12-22PhysicalExpo20654.76953"/>
        <s v="HDO CFR Korea Sep 12-22WTI SprdsExpo-20751.64954"/>
        <s v="HDO CFR Korea Sep 12-22WTI SprdsExpo-20651.25955"/>
        <s v="HDO CFR Korea Sep 12-22WTI-BrentExpo-2065-3.27956"/>
        <s v="HDO CFR Korea Sep 12-22Brent SprdsExpo-20650.83957"/>
        <s v="HDO CFR Korea Sep 12-22Freight-TD22Expo-20006000958"/>
        <s v="HDO CFR Korea Sep 12-22Freight-TD22Hedge20006000959"/>
        <s v="HDO CFR Korea Sep 12-22WTI SprdsHedge21001.64960"/>
        <s v="HDO CFR Korea Sep 12-22WTI SprdsHedge21001.25961"/>
        <s v="HDO CFR Korea Sep 12-22WTI-BrentHedge2100-3.27962"/>
        <s v="Equinor FOB Bookout June/JulyPhysicalExpo7000.25963"/>
        <s v="Equinor FOB Bookout June/JulyWTI SprdsExpo-7001.64964"/>
        <s v="Equinor FOB Bookout June/JulyWTI SprdsExpo-7001.25965"/>
        <s v="Equinor FOB Bookout June/JulyWTI-BrentExpo-700-3.27966"/>
        <s v="Equinor FOB Bookout June/JulyWTI SprdsHedge9001.64967"/>
        <s v="Equinor FOB Bookout June/JulyWTI SprdsHedge9001.25968"/>
        <s v="Equinor FOB Bookout June/JulyWTI-BrentHedge900-3.27969"/>
        <s v="UnallocatedDFLHedge-2001.47970"/>
        <s v="UnallocatedDFLHedge1001.47971"/>
        <s v="UnallocatedCFDHedge-2001.818972"/>
        <s v="UnallocatedWTI SprdsHedge-5001.64973"/>
        <s v="UnallocatedWTI SprdsHedge-5001.25974"/>
        <s v="UnallocatedWTI SprdsHedge-1501.64975"/>
        <s v="UnallocatedWTI SprdsHedge-1501.25976"/>
        <s v="UnallocatedWTI SprdsHedge-14001.64977"/>
        <s v="UnallocatedCFDHedge-2211.526978"/>
        <s v="UnallocatedCFDHedge801.81979"/>
        <s v="Equinor FOB Bookout June/JulyWTI SprdsHedge2001.64980"/>
        <s v="Equinor FOB Bookout June/JulyWTI SprdsHedge2001.25981"/>
        <s v="Equinor FOB Bookout June/JulyWTI SprdsHedge2001.64982"/>
        <s v="Equinor FOB Bookout June/JulyWTI SprdsHedge2001.64983"/>
        <s v="Equinor FOB Bookout June/JulyWTI SprdsHedge7421.64984"/>
        <s v="Brent SprdsHedge5000.83985"/>
        <s v="WTI-BrentHedge500-3.27986"/>
        <s v="WTI-BrentHedge200-2.5987"/>
        <s v="ENI FOB July 7-10 TBN2PhysicalExpo7000.45988"/>
        <s v="ENI FOB July 7-10 TBN2WTI SprdsExpo-7001.64989"/>
        <s v="ENI FOB July 7-10 TBN2WTI SprdsExpo-7001.25990"/>
        <s v="ENI FOB July 7-10 TBN2WTI-BrentExpo-700-3.27991"/>
        <s v="UnallocatedWTI SprdsHedge19001.64992"/>
        <s v="UnallocatedWTI SprdsHedge19001.25993"/>
        <s v="UnallocatedWTI-BrentHedge1900-3.27994"/>
        <s v="UnallocatedBrent SprdsHedge5000.87995"/>
        <s v="UnallocatedBrent SprdsHedge5000.87996"/>
        <s v="UnallocatedBrent SprdsHedge5000.83997"/>
        <s v="UnallocatedWTI-BrentHedge1000-2.5998"/>
        <s v="UnallocatedWTI SprdsHedge-9421.64999"/>
        <s v="UnallocatedWTI SprdsHedge-5001.641000"/>
        <s v="UnallocatedWTI SprdsHedge5001.251001"/>
        <s v="UnallocatedWTI Sprds-FlyHedge5001.641002"/>
        <s v="UnallocatedWTI Sprds-FlyHedge-5001.251003"/>
        <s v="UnallocatedWTI-BrentHedge709-2.51004"/>
        <s v="UnallocatedWTI SprdsHedge5001.251005"/>
        <s v="Aug EFP 1PhysicalExpo0.041006"/>
        <s v="Aug EFP 1WTI-BrentExpo0-2.51007"/>
        <s v="Aug EFP 1Freight-TD25Expo01008"/>
        <s v="Aug EFP 1Freight-TD7Expo01009"/>
        <s v="Aug EFP 2PhysicalExpo0.041010"/>
        <s v="Aug EFP 2WTI-BrentExpo0-2.51011"/>
        <s v="Aug EFP 2Freight-TD25Expo01012"/>
        <s v="Aug EFP 2Freight-TD7Expo01013"/>
        <s v="Aug EFP 3PhysicalExpo0.041014"/>
        <s v="Aug EFP 3WTI-BrentExpo0-2.51015"/>
        <s v="Aug EFP 3Freight-TD25Expo01016"/>
        <s v="Aug EFP 3Freight-TD7Expo01017"/>
        <s v="UnallocatedBrent SprdsHedge-10000.871018"/>
        <s v="UnallocatedWTI SprdsHedge-5001.251019"/>
        <s v="UnallocatedWTI SprdsHedge-5000.581020"/>
        <s v="Trafi FOB July 19-20 Pin OakPhysicalExpo700-0.551021"/>
        <s v="Trafi FOB July 19-20 Pin OakWTI SprdsExpo-7001.251022"/>
        <s v="Trafi FOB July 19-20 Pin OakWTI-BrentExpo-700-3.271023"/>
        <s v="UnallocatedWTI-BrentHedge200-2.51024"/>
        <s v="UnallocatedWTI-BrentHedge54-2.51025"/>
        <s v="Vitol FOB July 14-15 BookoutPhysicalExpo700-0.51026"/>
        <s v="Vitol FOB July 14-15 BookoutWTI SprdsExpo-7001.251027"/>
        <s v="Vitol FOB July 14-15 BookoutWTI-BrentExpo-700-3.271028"/>
        <s v="UnallocatedWTI-BrentHedge2100-2.51029"/>
        <s v="UnallocatedWTI-BrentHedge-2100-4.111030"/>
        <s v="UnallocatedWTI-BrentHedge-1000-2.51031"/>
        <s v="UnallocatedWTI-BrentHedge-300-2.51032"/>
        <s v="UnallocatedWTI-BrentHedge-400-2.51033"/>
        <s v="UnallocatedWTI-BrentHedge-400-2.51034"/>
        <s v="UnallocatedBrent SprdsHedge-7690.871035"/>
        <s v="UnallocatedBrent SprdsHedge-1310.871036"/>
        <s v="Trafi FOB July 19-20 Pin OakWTI SprdsHedge5001.251037"/>
        <s v="Trafi FOB July 19-20 Pin OakWTI SprdsHedge5000.581038"/>
        <s v="UnallocatedCFDExpo-2461.8181039"/>
        <s v="Trafi FOB July 19-20 Pin OakWTI SprdsHedge2001.251040"/>
        <s v="UnallocatedWTI-BrentHedge-110-2.51041"/>
        <s v="UnallocatedBrent SprdsHedge-380.871042"/>
        <s v="UnallocatedWTI-BrentHedge500-3.271043"/>
        <s v="Trafi FOB July 19-20 Pin OakWTI SprdsHedge7001.251044"/>
        <s v="UnallocatedWTI-BrentHedge117-4.111045"/>
        <s v="UnallocatedWTI-BrentHedge500-3.271046"/>
        <s v="UnallocatedWTI-BrentHedge500-4.111047"/>
        <s v="CPC Taiwain Aug 15-22DFLHedge-1001.721048"/>
        <s v="GS Caltex DAP Oct 10-16PhysicalExpo13345.361049"/>
        <s v="GS Caltex DAP Oct 10-16PhysicalExpo7004.961050"/>
        <s v="GS Caltex DAP Oct 10-16WTI SprdsExpo-14001.251051"/>
        <s v="GS Caltex DAP Oct 10-16WTI SprdsExpo-13340.581052"/>
        <s v="GS Caltex DAP Oct 10-16WTI-BrentExpo-1334-4.111053"/>
        <s v="GS Caltex DAP Oct 10-16Brent SprdsExpo-20340.641054"/>
        <s v="GS Caltex DAP Oct 10-16Freight-TD22Expo-200071001055"/>
        <s v="GS Caltex DAP Oct 10-16Freight-TD22Hedge200071001056"/>
        <s v="GS Caltex DAP Oct 10-16Brent SprdsHedge10000.641057"/>
        <s v="GS Caltex DAP Oct 10-16WTI-BrentHedge1000-4.111058"/>
        <s v="GS Caltex DAP Oct 10-16Brent SprdsHedge10000.831059"/>
        <s v="GS Caltex DAP Oct 10-16Brent SprdsHedge10000.641060"/>
        <s v="GS Caltex DAP Oct 10-16WTI SprdsHedge2001.251061"/>
        <s v="GS Caltex DAP Oct 10-16WTI-BrentHedge195-4.111062"/>
        <s v="UnallocatedWTI SprdsHedge-2101.251063"/>
        <s v="UnallocatedWTI SprdsHedge-700.581064"/>
        <s v="UnallocatedWTI-BrentHedge300-4.111065"/>
        <s v="UnallocatedWTI Sprds-FlyHedge-10000.581066"/>
        <s v="UnallocatedWTI Sprds-FlyHedge10000.281067"/>
        <s v="UnallocatedWTI Sprds-FlyHedge-10000.581068"/>
        <s v="UnallocatedWTI Sprds-FlyHedge10000.281069"/>
        <s v="GS Caltex DAP Oct 10-16WTI-BrentHedge500-4.111070"/>
        <s v="GS Caltex DAP Oct 10-16WTI-BrentHedge500-4.111071"/>
        <s v="GS Caltex DAP Oct 10-16WTI-BrentHedge500-4.111072"/>
        <s v="GS Caltex DAP Oct 10-16WTI-BrentHedge500-4.111073"/>
        <s v="GS Caltex DAP Oct 10-16WTI-BrentHedge500-4.111074"/>
        <s v="GS Caltex DAP Oct 10-16WTI-BrentHedge500-4.111075"/>
        <s v="UnallocatedWTI Sprds-FlyHedge-10000.581076"/>
        <s v="UnallocatedWTI Sprds-FlyHedge10000.281077"/>
        <s v="UnallocatedWTI-BrentHedge500-3.271078"/>
        <s v="BP FOB Aug 7-9 EHSCPhysicalExpo700-0.221079"/>
        <s v="BP FOB Aug 7-9 EHSCWTI SprdsExpo-7001.251080"/>
        <s v="BP FOB Aug 7-9 EHSCWTI SprdsExpo-7000.581081"/>
        <s v="GS Caltex DAP Oct 10-16WTI-BrentExpo-700-4.111082"/>
        <s v="BP FOB Aug 7-9 EHSCWTI SprdsHedge1501.251083"/>
        <s v="BP FOB Aug 7-9 EHSCWTI SprdsHedge-1920.581084"/>
        <s v="BP FOB Aug 7-9 EHSCWTI SprdsHedge-1920.281085"/>
        <s v="UnallocatedWTI SprdsHedge6381.251086"/>
        <s v="UnallocatedWTI SprdsHedge10001.251087"/>
        <s v="UnallocatedWTI SprdsExpo-7381.251088"/>
        <s v="UnallocatedWTI Sprds-FlyHedge-10000.51089"/>
        <s v="UnallocatedWTI Sprds-FlyHedge10000.191090"/>
        <s v="CPC Taiwan Oct 19-23PhysicalExpo20402.81091"/>
        <s v="CPC Taiwan Oct 19-23WTI SprdsExpo-20400.581092"/>
        <s v="CPC Taiwan Oct 19-23WTI-BrentExpo-2040-4.111093"/>
        <s v="CPC Taiwan Oct 19-23Brent SprdsExpo-20400.641094"/>
        <s v="CPC Taiwan Oct 19-23DFLExpo20400.491095"/>
        <s v="CPC Taiwan Oct 19-23Freight-TD22Expo-200072001096"/>
        <s v="CPC Taiwan Oct 19-23Freight-TD22Hedge200064001097"/>
        <s v="UnallocatedWTI Sprds-FlyHedge-1220.51098"/>
        <s v="UnallocatedWTI Sprds-FlyHedge1220.191099"/>
        <s v="Cargo NameBrent SprdsHedge650.831100"/>
        <s v="UnallocatedWTI-BrentHedge-437-3.271101"/>
        <s v="UnallocatedWTI-BrentHedge437-4.111102"/>
        <s v="CPC Taiwan Oct 19-23DFLHedge-1231.471103"/>
        <s v="July25 EFP 1Freight-TD7Expo-7001171104"/>
        <s v="CPC Taiwan Oct 19-23WTI SprdsHedge3000.581105"/>
        <s v="CPC Taiwan Oct 19-23WTI SprdsHedge3000.581106"/>
        <s v="CPC Taiwan Oct 19-23WTI SprdsHedge3000.581107"/>
        <s v="CPC Taiwan Oct 19-23WTI SprdsHedge3000.581108"/>
        <s v="CPC Taiwan Oct 19-23WTI SprdsHedge3000.581109"/>
        <s v="CPC Taiwan Oct 19-23DFLHedge-3500.491110"/>
        <s v="CPC Taiwan Oct 19-23DFLHedge-3000.491111"/>
        <s v="HDO DAP Korea Nov 8-18PhysicalExpo14294.11112"/>
        <s v="HDO DAP Korea Nov 8-18PhysicalExpo6983.81113"/>
        <s v="HDO DAP Korea Nov 8-18WTI SprdsExpo-21270.581114"/>
        <s v="HDO DAP Korea Nov 8-18WTI SprdsExpo-21270.281115"/>
        <s v="HDO DAP Korea Nov 8-18WTI-BrentExpo-2127-4.651116"/>
        <s v="HDO DAP Korea Nov 8-18Brent SprdsExpo-21270.991117"/>
        <s v="HDO DAP Korea Nov 8-18Freight-TD22Expo-200072001118"/>
        <s v="HDO DAP Korea Nov 8-18Freight-TD22Hedge200072001119"/>
        <s v="HDO DAP Korea Nov 8-18WTI SprdsHedge20000.581120"/>
        <s v="HDO DAP Korea Nov 8-18WTI SprdsHedge20000.281121"/>
        <s v="HDO DAP Korea Nov 8-18WTI-BrentHedge2000-4.651122"/>
        <s v="HDO DAP Korea Nov 8-18WTI-BrentHedge630-4.111123"/>
        <s v="Ampol FOB Sep 15-20PhysicalExpo740-11124"/>
        <s v="Ampol FOB Sep 15-20WTI SprdsExpo-7400.581125"/>
        <s v="Ampol FOB Sep 15-20WTI SprdsExpo-7400.281126"/>
        <s v="Ampol FOB Sep 15-20WTI-BrentExpo-740-4.651127"/>
        <s v="CPC Taiwan Oct 19-23DFLHedge-2000.491128"/>
        <s v="BP FOB Sep 5-10PhysicalExpo700-0.951129"/>
        <s v="BP FOB Sep 5-10WTI SprdsExpo-7000.581130"/>
        <s v="BP FOB Sep 5-10WTI SprdsExpo-7000.281131"/>
        <s v="BP FOB Sep 5-10WTI-BrentExpo-700-4.651132"/>
        <s v="Ampol FOB Sep 15-20WTI SprdsHedge2500.581133"/>
        <s v="Ampol FOB Sep 15-20WTI SprdsHedge2500.581134"/>
        <s v="Ampol FOB Sep 15-20WTI SprdsHedge2500.581135"/>
        <s v="Ampol FOB Sep 15-20WTI SprdsHedge2500.581136"/>
        <s v="Ampol FOB Sep 15-20WTI SprdsHedge2500.581137"/>
        <s v="HDO DAP Korea Nov 8-18Brent SprdsHedge5000.641138"/>
        <s v="HDO DAP Korea Nov 8-18Brent SprdsHedge5000.991139"/>
        <s v="HDO DAP Korea Nov 8-18WTI SprdsHedge10000.581140"/>
        <s v="Ampol FOB Sep 15-20WTI SprdsHedge2500.581141"/>
        <s v="UnallocatedWTI Sprds-FlyHedge30000.581142"/>
        <s v="UnallocatedWTI Sprds-FlyHedge-30000.281143"/>
        <s v="Ampol FOB Sep 15-20WTI-BrentHedge500-4.651144"/>
        <s v="HDO DAP Korea Nov 8-18Brent SprdsHedge-2000.641145"/>
        <s v="HDO DAP Korea Nov 8-18Brent SprdsHedge-2000.991146"/>
        <s v="HDO DAP Korea Nov 8-18WTI SprdsHedge10000.581147"/>
        <s v="HDO DAP Korea Nov 8-18WTI SprdsHedge6410.581148"/>
        <s v="HDO DAP Korea Nov 8-18WTI SprdsHedge2620.581149"/>
        <s v="UnallocatedBrent SprdsHedge-10000.641150"/>
        <s v="UnallocatedBrent SprdsHedge-10000.991151"/>
        <s v="UnallocatedBrent SprdsHedge10000.641152"/>
        <s v="UnallocatedBrent SprdsHedge10000.991153"/>
        <s v="UnallocatedWTI SprdsHedge15000.281154"/>
        <s v="UnallocatedWTI SprdsHedge15000.51155"/>
        <s v="UnallocatedDFLHedge17000.491156"/>
        <s v="UnallocatedFreight-TD25Hedge5001621157"/>
        <s v="UnallocatedBrent SprdsHedge8870.641158"/>
        <s v="UnallocatedBrent SprdsHedge8870.991159"/>
        <s v="UnallocatedCFDHedge-2000.4121160"/>
        <s v="UnallocatedCFDHedge-200-0.0351161"/>
        <s v="UnallocatedCFDHedge-2000.2211162"/>
        <s v="UnallocatedDFLHedge-5000.491163"/>
        <s v="Oct EFP 1PhysicalExpo700-0.011164"/>
        <s v="Oct EFP 1WTI-BrentExpo-700-4.111165"/>
        <s v="Oct EFP 1Freight-TD25Expo-7001621166"/>
        <s v="Oct EFP 1Freight-TD25Hedge7001621167"/>
        <s v="Oct EFP 1Freight-TD7Expo700145.051168"/>
        <s v="Oct EFP 1Freight-TD7Hedge-700145.051169"/>
        <s v="Oct EFP 1WTI-BrentHedge105-4.111170"/>
        <s v="UnallocatedCFDHedge-1000.4121171"/>
        <s v="UnallocatedDFLHedge-6000.491172"/>
        <s v="UnallocatedDFLHedge-5000.491173"/>
        <s v="UnallocatedBrent SprdsHedge-5000.991174"/>
        <s v="UnallocatedBrent SprdsHedge-5000.31175"/>
        <s v="UnallocatedBrent SprdsHedge9970.641176"/>
        <s v="Oct EFP 1WTI-BrentHedge590-4.111177"/>
        <s v="UnallocatedWTI SprdsHedge1100.281178"/>
        <s v="UnallocatedBrent SprdsHedge-1100.641179"/>
        <s v="UnallocatedCFDHedge-4000.4121180"/>
        <s v="UnallocatedCFDHedge200-0.0351181"/>
        <s v="UnallocatedCFDHedge2000.2211182"/>
        <s v="Oct EFP 1WTI-BrentHedge250-4.651183"/>
        <s v="Oct EFP 1WTI-BrentHedge250-4.651184"/>
        <s v="Oct EFP 1WTI-BrentHedge250-4.651185"/>
        <s v="Oct EFP 1WTI-BrentHedge500-4.651186"/>
        <s v="Oct EFP 1WTI-BrentHedge500-4.651187"/>
        <s v="UnallocatedBrent SprdsHedge20000.991188"/>
        <s v="UnallocatedBrent SprdsHedge20000.31189"/>
        <s v="UnallocatedWTI SprdsHedge10000.281190"/>
        <s v="Nov25 EFP 1PhysicalExpo700-0.011191"/>
        <s v="Nov25 EFP 1WTI SprdsExpo-7000.281192"/>
        <s v="Nov25 EFP 1WTI-BrentExpo-700-4.651193"/>
        <s v="Nov25 EFP 1Freight-TD25Expo-700175.151194"/>
        <s v="Nov25 EFP 1Freight-TD25Hedge700175.151195"/>
        <s v="Nov25 EFP 1Freight-TD7Expo7001581196"/>
        <s v="Nov25 EFP 1Freight-TD7Hedge-7001581197"/>
        <s v="UnallocatedCFDHedge7000.4121198"/>
        <s v="Trafi FOB Oct 5-10PhysicalExpo70001199"/>
        <s v="Trafi FOB Oct 5-10WTI SprdsExpo-7000.281200"/>
        <s v="Trafi FOB Oct 5-10WTI-BrentExpo-700-4.091201"/>
        <s v="Trafi FOB Oct 5-10WTI SprdsExpo-7000.51202"/>
        <s v="UnallocatedWTI SprdsHedge-7720.191203"/>
        <s v="UnallocatedWTI SprdsHedge-3780.51204"/>
        <s v="UnallocatedBrent SprdsHedge-15000.31205"/>
        <s v="UnallocatedBrent SprdsHedge-8000.991206"/>
        <s v="UnallocatedWTI SprdsHedge5490.281207"/>
        <s v="UnallocatedBrent SprdsHedge2400.991208"/>
        <s v="UnallocatedWTI-BrentHedge17-4.651209"/>
        <s v="UnallocatedWTI SprdsHedge2500.51210"/>
        <s v="UnallocatedDFLHedge-12900.491211"/>
        <s v="UnallocatedFreight-TD25Hedge-5001621212"/>
        <s v="UnallocatedDFLHedge2100.071213"/>
        <s v="UnallocatedWTI-BrentHedge272-4.091214"/>
        <s v="UnallocatedWTI SprdsHedge2720.51215"/>
        <s v="BP FOB VLCC Nov 15-20PhysicalExpo2100-2.051216"/>
        <s v="BP FOB VLCC Nov 15-20WTI SprdsExpo-21000.51217"/>
        <s v="BP FOB VLCC Nov 15-20WTI SprdsExpo-21000.191218"/>
        <s v="BP FOB VLCC Nov 15-20WTI-BrentExpo-2100-4.651219"/>
        <s v="UnallocatedDFLHedge-5000.071220"/>
        <s v="UnallocatedWTI SprdsHedge4000.51221"/>
        <s v="UnallocatedWTI SprdsHedge4000.51222"/>
        <s v="UnallocatedWTI SprdsHedge1390.51223"/>
        <s v="BP FOB VLCC Nov 15-20WTI-BrentHedge82-4.091224"/>
        <s v="CPC Taiwan Jan 17-21PhysicalExpo21003.981225"/>
        <s v="CPC Taiwan Jan 17-21WTI SprdsExpo-20750.51226"/>
        <s v="CPC Taiwan Jan 17-21WTI SprdsExpo-21000.191227"/>
        <s v="CPC Taiwan Jan 17-21WTI-BrentExpo-2100-4.651228"/>
        <s v="CPC Taiwan Jan 17-21DFLExpo21000.991229"/>
        <s v="CPC Taiwan Jan 17-21Brent SprdsExpo-21000.821230"/>
        <s v="CPC Taiwan Jan 17-21Freight-TD22Expo-2000122501231"/>
        <s v="CPC Taiwan Jan 17-21Freight-TD22Expo2000122501232"/>
        <s v="UnallocatedWTI SprdsHedge34140.51233"/>
        <s v="CPC Taiwan Jan 17-21WTI SprdsHedge3000.191234"/>
        <s v="UnallocatedBrent SprdsHedge10000.821235"/>
        <s v="UnallocatedWTI SprdsHedge8930.191236"/>
        <s v="UnallocatedWTI SprdsHedge-8930.151237"/>
        <s v="UnallocatedDFLHedge5000.031238"/>
        <s v="UnallocatedDFLHedge5000.031239"/>
        <s v="UnallocatedWTI SprdsHedge10000.191240"/>
        <s v="UnallocatedWTI SprdsHedge-10000.151241"/>
        <s v="UnallocatedBrent SprdsHedge10000.31242"/>
        <s v="UnallocatedBrent SprdsHedge10000.31243"/>
        <s v="UnallocatedDFLHedge-3010.031244"/>
        <s v="UnallocatedDFLHedge3010.991245"/>
        <s v="UnallocatedWTI SprdsHedge5000.191246"/>
        <s v="UnallocatedWTI SprdsHedge2000.191247"/>
        <s v="UnallocatedWTI SprdsHedge10000.191248"/>
        <s v="Dec25 EFP 1PhysicalExpo700-0.021249"/>
        <s v="Dec25 EFP 1WTI-BrentExpo-700-4.091250"/>
        <s v="Dec25 EFP 1Freight-TD25Expo-700208.931251"/>
        <s v="Dec25 EFP 1Freight-TD25Hedge700208.931252"/>
        <s v="Dec25 EFP 1Freight-TD7Expo7001601253"/>
        <s v="Dec25 EFP 1Freight-TD7Expo-7001601254"/>
        <s v="Dec25 EFP 1WTI-BrentHedge700-4.091255"/>
        <s v="CPC Taiwan Jan 17-21WTI-BrentHedge1000-4.651256"/>
        <s v="UnallocatedDFLHedge-4000.031257"/>
        <s v="UnallocatedDFLHedge4000.991258"/>
        <s v="UnallocatedWTI-BrentHedge346-4.091259"/>
        <s v="UnallocatedWTI-BrentHedge1000-4.651260"/>
        <s v="UnallocatedWTI SprdsHedge5000.191261"/>
        <s v="UnallocatedBrent SprdsHedge-10000.31262"/>
        <s v="UnallocatedBrent SprdsHedge10000.821263"/>
        <s v="Dec25 EFP 2PhysicalExpo0.011264"/>
        <s v="Dec25 EFP 2WTI-BrentExpo0-4.091265"/>
        <s v="Dec25 EFP 2WTI-BrentExpo0-4.091266"/>
        <s v="Dec25 EFP 2WTI-BrentExpo0-4.651267"/>
        <s v="Dec25 EFP 2WTI SprdsExpo00.191268"/>
        <s v="Dec25 EFP 2Brent SprdsExpo00.31269"/>
        <s v="Dec25 EFP 2Brent SprdsHedge-7000.31270"/>
        <s v="Dec25 EFP 2Freight-TD25Expo208.931271"/>
        <s v="Dec25 EFP 2Freight-TD7Expo1601272"/>
        <s v="UnallocatedBrent SprdsHedge-10000.31273"/>
        <s v="UnallocatedBrent SprdsHedge10000.821274"/>
        <s v="UnallocatedPhysicalHedge-208651275"/>
        <s v="Dec25 EFP 1Brent SprdsHedge7000.31276"/>
        <s v="UnallocatedDFLHedge-90.031277"/>
        <s v="UnallocatedDFLHedge-10000.991278"/>
        <s v="UnallocatedDFLHedge-10000.991279"/>
        <s v="UnallocatedWTI SprdsHedge5000.151280"/>
        <s v="UnallocatedWTI SprdsHedge3000.191281"/>
        <s v="UnallocatedWTI SprdsHedge3000.151282"/>
        <s v="UnallocatedDFLHedge-4000.991283"/>
        <s v="UnallocatedDFLHedge-4010.991284"/>
        <s v="UnallocatedWTI SprdsHedge-8430.191285"/>
        <s v="UnallocatedWTI SprdsHedge10930.151286"/>
        <s v="Dec25 EFP 2WTI-BrentHedge1200-4.651287"/>
        <s v="Dec25 EFP 2Brent SprdsHedge-9000.821288"/>
        <s v="Dec25 EFP 2WTI-BrentHedge893-4.651289"/>
        <s v="HDO Feb26 5-15PhysicalExpo21004.811290"/>
        <s v="HDO Feb26 5-15WTI SprdsExpo-21000.191291"/>
        <s v="HDO Feb26 5-15WTI SprdsExpo-21000.151292"/>
        <s v="HDO Feb26 5-15WTI-BrentExpo-2100-3.971293"/>
        <s v="HDO Feb26 5-15Brent SprdsExpo-20050.591294"/>
        <s v="HDO Feb26 5-15Brent SprdsExpo-950.631295"/>
        <s v="HDO Feb26 5-15Freight-TD22Expo-2000137501296"/>
        <s v="HDO Feb26 5-15Freight-TD22Expo2000137501297"/>
        <s v="HDO Feb26 5-15WTI SprdsHedge7250.191298"/>
        <s v="HDO Feb26 5-15WTI SprdsHedge7250.151299"/>
        <s v="HDO Feb26 5-15WTI-BrentHedge725-3.971300"/>
        <s v="HDO Feb26 5-15WTI SprdsHedge14000.191301"/>
        <s v="HDO Feb26 5-15WTI SprdsHedge14000.151302"/>
        <s v="HDO Feb26 5-15WTI-BrentHedge1400-3.971303"/>
        <s v="UnallocatedPhysicalExpo-700-31304"/>
        <s v="HDO Feb26 5-15Brent SprdsHedge2000.591305"/>
        <s v="HDO Feb26 5-15Brent SprdsHedge2000.591306"/>
        <s v="PhysicalExpo700-2.51307"/>
        <s v="WTI SprdsExpo-7000.191308"/>
        <s v="WTI SprdsExpo-7000.151309"/>
        <s v="WTI-BrentExpo-700-3.971310"/>
        <s v="WTI SprdsHedge10000.191311"/>
        <s v="WTI SprdsHedge-10000.151312"/>
        <s v="UnallocatedDFLHedge-4000.991313"/>
        <s v="UnallocatedDFLHedge-3500.991314"/>
        <s v="WTI-BrentHedge350-3.971315"/>
        <s v="WTI-BrentHedge-350-3.651316"/>
        <s v="WTI-BrentHedge500-3.971317"/>
        <s v="WTI-BrentHedge-500-3.651318"/>
        <s v="UnallocatedDFLHedge-4000.991319"/>
        <s v="UnallocatedDFLHedge-5000.991320"/>
        <s v="Exxon CIF Rotts Jan 2-6PhysicalExpo7001.861321"/>
        <s v="Exxon CIF Rotts Jan 2-6WTI SprdsExpo-7000.191322"/>
        <s v="Exxon CIF Rotts Jan 2-6WTI SprdsExpo-7000.151323"/>
        <s v="Exxon CIF Rotts Jan 2-6WTI-BrentExpo-700-3.971324"/>
        <s v="Exxon CIF Rotts Jan 2-6Brent SprdsExpo-7000.591325"/>
        <s v="Exxon CIF Rotts Jan 2-6DFLExpo7001.831326"/>
        <s v="Exxon CIF Rotts Jan 2-6WTI SprdsHedge7000.191327"/>
        <s v="UnallocatedWTI SprdsExpo-14000.191328"/>
        <s v="UnallocatedWTI SprdsHedge10750.191329"/>
        <s v="UnallocatedWTI-BrentHedge107-4.651330"/>
        <s v="Dec25 EFP 1Freight-TD25Expo-700208.931331"/>
        <s v="Dec25 EFP 1Freight-TD25Hedge700208.931332"/>
        <s v="Dec25 EFP 1Freight-TD25Expo-250208.931333"/>
        <s v="UnallocatedBrent SprdsHedge10000.591334"/>
        <s v="UnallocatedWTI SprdsHedge10000.151335"/>
        <s v="UnallocatedDFLHedge10000.991336"/>
        <s v="UnallocatedDFLHedge-10001.831337"/>
        <s v="UnallocatedCFDHedge3001.111338"/>
        <s v="UnallocatedDFLHedge720.991339"/>
        <s v="Exxon CIF Rotts VLCC Jan 19-23PhysicalExpo13490.51340"/>
        <s v="Exxon CIF Rotts VLCC Jan 19-23PhysicalExpo7000.51341"/>
        <s v="Exxon CIF Rotts VLCC Jan 19-23WTI SprdsExpo-13650.151342"/>
        <s v="Exxon CIF Rotts VLCC Jan 19-23WTI-BrentExpo-1349-3.971343"/>
        <s v="Exxon CIF Rotts VLCC Jan 19-23Brent SprdsExpo-20490.591344"/>
        <s v="Exxon CIF Rotts VLCC Jan 19-23DFLExpo20491.831345"/>
        <s v="HDO Feb26 5-15WTI-BrentHedge450-3.971346"/>
        <s v="HDO Feb26 5-15Brent SprdsHedge10000.591347"/>
        <s v="HDO Feb26 5-15WTI SprdsHedge14000.151348"/>
        <s v="HDO Feb26 5-15WTI-BrentHedge1400-3.971349"/>
        <s v="UnallocatedDFLHedge1880.11350"/>
        <s v="UnallocatedDFLHedge1880.11351"/>
        <s v="UnallocatedDFLHedge1880.11352"/>
        <s v="UnallocatedCFDHedge3001.11353"/>
        <s v="UnallocatedCFDHedge-3001.111354"/>
        <s v="HDO Feb26 5-15WTI SprdsHedge10000.151355"/>
        <s v="Exxon CIF Rotts VLCC Jan 19-23PhysicalHedge00.51356"/>
        <s v="Exxon CIF Rotts VLCC Jan 19-23MEHHedge00.51357"/>
        <s v="January 26 2x EFPPhysicalExpo1400-0.011358"/>
        <s v="January 26 2x EFPWTI-BrentExpo-1400-4.651359"/>
        <s v="January 26 2x EFPFreight-TD25Expo-1400233.511360"/>
        <s v="January 26 2x EFPFreight-TD25Hedge700233.511361"/>
        <s v="January 26 2x EFPFreight-TD25Hedge700233.511362"/>
        <s v="January 26 2x EFPFreight-TD7Expo14001481363"/>
        <s v="January 26 2x EFPFreight-TD7Hedge-140015.45121364"/>
        <s v="UnallocatedDFLHedge10750.991365"/>
        <s v="UnallocatedDFLHedge-10751.831366"/>
        <s v="January 26 2x EFPWTI-BrentExpo1400-4.651367"/>
        <s v="UnallocatedWTI SprdsHedge3350.151368"/>
        <s v="UnallocatedWTI SprdsHedge1340.131369"/>
        <s v="UnallocatedWTI SprdsHedge3350.151370"/>
        <s v="UnallocatedWTI SprdsHedge1340.131371"/>
        <s v="UnallocatedWTI SprdsHedge3350.151372"/>
        <s v="UnallocatedWTI SprdsHedge1340.131373"/>
        <s v="UnallocatedBrent SprdsHedge4290.591374"/>
        <s v="UnallocatedCFDHedge-2001.11375"/>
        <s v="UnallocatedDFLHedge-4001.831376"/>
        <s v="UnallocatedBrent SprdsHedge2000.591377"/>
        <s v="UnallocatedBrent SprdsHedge2000.591378"/>
        <s v="UnallocatedBrent SprdsHedge2000.591379"/>
        <s v="UnallocatedBrent SprdsHedge2000.591380"/>
        <s v="UnallocatedWTI SprdsHedge3350.151381"/>
        <s v="UnallocatedWTI SprdsHedge1340.131382"/>
        <s v="BP FOB Jan26 11-15PhysicalExpo7001.11383"/>
        <s v="BP FOB Jan26 11-15WTI SprdsExpo-7000.151384"/>
        <s v="BP FOB Jan26 11-15WTI SprdsExpo-2330.131385"/>
        <s v="UnallocatedCFDHedge-2000.971386"/>
        <s v="UnallocatedCFDHedge2000.421387"/>
        <s v="UnallocatedDFLHedge-5000.961388"/>
        <s v="UnallocatedCFDHedge-1001.11389"/>
        <s v="HDO March26 10-20PhysicalExpo20735.251390"/>
        <s v="HDO March26 10-20WTI SprdsExpo-20730.151391"/>
        <s v="HDO March26 10-20WTI SprdsExpo-20730.131392"/>
        <s v="HDO March26 10-20WTI-BrentExpo-2073-4.471393"/>
        <s v="HDO March26 10-20Brent SprdsExpo-19800.631394"/>
        <s v="HDO March26 10-20Brent SprdsExpo-930.371395"/>
        <s v="HDO March26 10-20Freight-TD22Expo-2000137501396"/>
        <s v="HDO March26 10-20Freight-TD22Hedge2000137501397"/>
        <s v="HDO March26 10-20WTI SprdsHedge10240.151398"/>
        <s v="HDO March26 10-20WTI SprdsHedge10240.131399"/>
        <s v="HDO March26 10-20WTI-BrentHedge1024-4.471400"/>
        <s v="HDO March26 10-20WTI-BrentHedge500-4.471401"/>
        <s v="HDO March26 10-20Brent SprdsHedge20000.631402"/>
        <s v="HDO March26 10-20Brent SprdsHedge10000.591403"/>
        <s v="HDO March26 10-20WTI-BrentHedge500-4.471404"/>
        <s v="UnallocatedDFLHedge-3751.831405"/>
        <s v="HDO March26 10-20WTI SprdsHedge2300.151406"/>
        <s v="HDO March26 10-20WTI SprdsHedge920.131407"/>
        <s v="HDO March26 10-20WTI SprdsHedge2300.151408"/>
        <s v="HDO March26 10-20WTI SprdsHedge920.131409"/>
        <s v="HDO March26 10-20WTI SprdsHedge2890.151410"/>
        <s v="HDO March26 10-20WTI SprdsHedge920.131411"/>
        <s v="HDO March26 10-20WTI-BrentHedge500-3.651412"/>
        <s v="UnallocatedWTI-BrentHedge409-4.471413"/>
        <s v="UnallocatedWTI SprdsHedge10000.131414"/>
        <s v="UnallocatedWTI SprdsHedge10000.191415"/>
        <s v="UnallocatedWTI SprdsHedge10000.141416"/>
        <s v="UnallocatedPhysicalExpo1417"/>
        <s v="Glencore FOB VLCC Jan26-30PhysicalExpo1400-2.021418"/>
        <s v="Glencore FOB VLCC Jan26-30WTI SprdsExpo-14000.131419"/>
        <s v="Glencore FOB VLCC Jan26-30WTI SprdsExpo-14000.191420"/>
        <s v="Glencore FOB VLCC Jan26-30WTI-BrentExpo-1400-4.031421"/>
        <s v="Glencore FOB VLCC Jan26-30WTI-BrentHedge500-4.471422"/>
        <s v="Glencore FOB VLCC Jan26-30WTI SprdsHedge870.131423"/>
        <s v="Glencore FOB VLCC Jan26-30WTI SprdsHedge5000.131424"/>
        <s v="Feb26 EFP 1PhysicalExpo7000.011425"/>
        <s v="Feb26 EFP 1WTI-BrentExpo-700-3.971426"/>
        <s v="Feb26 EFP 1WTI-BrentHedge700-3.971427"/>
        <s v="Feb26 EFP 1Freight-TD25Expo-700229.7551428"/>
        <s v="Feb26 EFP 1Freight-TD7Expo7001351429"/>
        <s v="Vitol FOB Jan 28-29 EHSCPhysicalExpo700-2.321430"/>
        <s v="Vitol FOB Jan 28-29 EHSCMEHExpo1.151431"/>
        <s v="Vitol FOB Jan 28-29 EHSCWTI SprdsExpo-7000.131432"/>
        <s v="Vitol FOB Jan 28-29 EHSCWTI-BrentExpo-700-4.471433"/>
        <s v="UnallocatedCFDHedge2000.971434"/>
        <s v="UnallocatedCFDHedge-2000.421435"/>
        <s v="Vitol FOB Jan 28-29 EHSCWTI SprdsHedge3540.131436"/>
        <s v="Vitol FOB Jan 28-29 EHSCWTI SprdsHedge930.191437"/>
        <s v="Vitol FOB Jan 28-29 EHSCBrent SprdsHedge1250.591438"/>
        <s v="Vitol FOB Jan 28-29 EHSCWTI-BrentHedge24-3.971439"/>
        <s v="Vitol FOB Jan 28-29 EHSCWTI SprdsHedge3540.131440"/>
        <s v="Vitol FOB Jan 28-29 EHSCWTI SprdsHedge930.191441"/>
        <s v="Vitol FOB Jan 28-29 EHSCMEHHedge3751.151442"/>
        <s v="Vitol FOB Jan 28-29 EHSCMEHExpo121.151443"/>
        <s v="Vitol FOB Jan 28-29 EHSCWTI-BrentHedge400-4.031444"/>
        <s v="Vitol FOB Jan 28-29 EHSCWTI SprdsHedge3540.131445"/>
        <s v="Vitol FOB Jan 28-29 EHSCWTI SprdsHedge930.191446"/>
        <s v="Dec25 EFP 1Freight-TD25Expo250208.931447"/>
        <s v="UnallocatedDFLHedge30.991448"/>
        <s v="Vitol FOB Jan 28-29 EHSCMEHHedge2001.151449"/>
        <s v="EOY Flattening OutBrent SprdsHedge1450"/>
        <s v="EOY Flattening OutCFDHedge1451"/>
        <s v="EOY Flattening OutDFLHedge1452"/>
        <s v="EOY Flattening OutFreight-TD22Hedge1453"/>
        <s v="EOY Flattening OutFreight-TD25Hedge1454"/>
        <s v="EOY Flattening OutFreight-TD7Hedge1455"/>
        <s v="EOY Flattening OutLegacy 2024Hedge1456"/>
        <s v="EOY Flattening OutMEHHedge1457"/>
        <s v="EOY Flattening OutPhysicalHedge1458"/>
        <s v="EOY Flattening OutWTI SprdsHedge1459"/>
        <s v="EOY Flattening OutWTI Sprds-FlyHedge1460"/>
        <s v="EOY Flattening OutWTI-BrentHedge146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ntafio, Alberto (ATA)" refreshedDate="46233.599943865738" createdVersion="8" refreshedVersion="8" minRefreshableVersion="3" recordCount="1460" xr:uid="{3BFC9170-9BEF-4CEA-9180-372AF2B75BD3}">
  <cacheSource type="worksheet">
    <worksheetSource ref="A1:U1461" sheet="Trades 2026 1.14"/>
  </cacheSource>
  <cacheFields count="21">
    <cacheField name="Cargo Name" numFmtId="0">
      <sharedItems containsBlank="1" count="90">
        <s v="Unallocated"/>
        <s v="Trafi CIF Rdam June 13-17"/>
        <s v="Jan 1-10 EXTAP VLCC"/>
        <s v="Jan 4-6 KAL Afra"/>
        <s v="Nov 19-21 Shell Rdam VLCC"/>
        <s v="Nov 22-26 Tranmere Afra"/>
        <s v="CPC TAIWAN JAN 8-14"/>
        <s v="EXTAP Feb 15-25"/>
        <s v="Gunvor FOB Dec 6-7"/>
        <s v="HDO Feb 5-15"/>
        <s v="CPC TAIWAN FEB 20-24"/>
        <s v="CPC TAIWAN MARCH 11-15"/>
        <s v="Feb EFP 2"/>
        <s v="Mitsui CIF Rdam Jan 27-29"/>
        <s v="BPCL DES India March 16-22"/>
        <s v="CIF RDAM Jan 12-14 Load (BP)"/>
        <s v="HDO April 12-22 25"/>
        <s v="CPC TAIWAN APR 23-27"/>
        <s v="Gunvor FOB Feb 23-24"/>
        <s v="Vitol FOB March Bookout"/>
        <s v="EXTAP CIF Rotts Apr 20-24"/>
        <s v="Dec 15-25 EXTAP VLCC"/>
        <s v="Dec EFP 2"/>
        <s v="Dec EFP 3"/>
        <s v="FOB Shell Nov 13-15"/>
        <s v="Feb EFP 1"/>
        <s v="Feb EFP 3"/>
        <s v="Feb EFP 4"/>
        <s v="Oct 27-29 KAL Afra"/>
        <s v="EOY Flattening Out"/>
        <s v="Spec"/>
        <s v="Dec EFP 1"/>
        <s v="Equinor FOB Dec 7-8"/>
        <s v="March EFP 1"/>
        <s v="March EFP 2"/>
        <s v="HDO May 10-20 WTI+WTL"/>
        <s v="Mitsui CIF Rotts Apr 16-30"/>
        <s v="FOB BP March 15-16 Epic"/>
        <s v="HDO June DAP 5-15 WTI+WTL"/>
        <s v="Glencore CIF Rdam Apr 22-26"/>
        <s v="Trafi FOB Apr 23-24"/>
        <s v="Exxon CIF Rdam May 1-5"/>
        <m/>
        <s v="IOC DAP Paradip June 9-18"/>
        <s v="Taiyo CFR Malaysia Jul 14-23"/>
        <s v="Exxon CIF Rotts May 15-19"/>
        <s v="Exxon CIF Rotts May 16-20"/>
        <s v="CPC CFR Taiwan July 22-26"/>
        <s v="Gunvor June EFP"/>
        <s v="July25 EFP 1"/>
        <s v="July25 EFP 2"/>
        <s v="July25 EFP 3"/>
        <s v="Trafi CIF Rdam May30-Jun03"/>
        <s v="Exxon CIF Rdam June 22-26"/>
        <s v="PTIN CIF Rdam June 9-13"/>
        <s v="BP CIF Rdam June 17-21"/>
        <s v="CPC Taiwain Aug 15-22"/>
        <s v="BP FOB June 9-10 EHSC"/>
        <s v="Vitol FOB June Bookout"/>
        <s v="HDO CFR Korea Sep 12-22"/>
        <s v="Equinor FOB Bookout June/July"/>
        <s v="ENI FOB July 7-10 TBN2"/>
        <s v="Aug EFP 1"/>
        <s v="Aug EFP 2"/>
        <s v="Aug EFP 3"/>
        <s v="Trafi FOB July 19-20 Pin Oak"/>
        <s v="Vitol FOB July 14-15 Bookout"/>
        <s v="GS Caltex DAP Oct 10-16"/>
        <s v="BP FOB Aug 7-9 EHSC"/>
        <s v="CPC Taiwan Oct 19-23"/>
        <s v="Cargo Name"/>
        <s v="HDO DAP Korea Nov 8-18"/>
        <s v="Ampol FOB Sep 15-20"/>
        <s v="BP FOB Sep 5-10"/>
        <s v="Oct EFP 1"/>
        <s v="Nov25 EFP 1"/>
        <s v="Trafi FOB Oct 5-10"/>
        <s v="BP FOB VLCC Nov 15-20"/>
        <s v="CPC Taiwan Jan 17-21"/>
        <s v="Dec25 EFP 1"/>
        <s v="Dec25 EFP 2"/>
        <s v="HDO Feb26 5-15"/>
        <s v="Exxon CIF Rotts Jan 2-6"/>
        <s v="Exxon CIF Rotts VLCC Jan 19-23"/>
        <s v="January 26 2x EFP"/>
        <s v="BP FOB Jan26 11-15"/>
        <s v="HDO March26 10-20"/>
        <s v="Glencore FOB VLCC Jan26-30"/>
        <s v="Feb26 EFP 1"/>
        <s v="Vitol FOB Jan 28-29 EHSC"/>
      </sharedItems>
    </cacheField>
    <cacheField name="Date" numFmtId="0">
      <sharedItems containsSemiMixedTypes="0" containsDate="1" containsString="0" containsMixedTypes="1" minDate="2023-10-07T00:00:00" maxDate="2026-01-03T00:00:00"/>
    </cacheField>
    <cacheField name="Sub-Instrument" numFmtId="0">
      <sharedItems/>
    </cacheField>
    <cacheField name="Expo Type" numFmtId="0">
      <sharedItems/>
    </cacheField>
    <cacheField name="Quantity" numFmtId="171">
      <sharedItems containsString="0" containsBlank="1" containsNumber="1" minValue="-6225" maxValue="6243"/>
    </cacheField>
    <cacheField name="Month1" numFmtId="0">
      <sharedItems containsDate="1" containsBlank="1" containsMixedTypes="1" minDate="2023-01-31T00:00:00" maxDate="2026-07-01T00:00:00"/>
    </cacheField>
    <cacheField name="Month2" numFmtId="0">
      <sharedItems containsNonDate="0" containsDate="1" containsString="0" containsBlank="1" minDate="1931-04-01T00:00:00" maxDate="2026-07-01T00:00:00"/>
    </cacheField>
    <cacheField name="Price" numFmtId="43">
      <sharedItems containsString="0" containsBlank="1" containsNumber="1" minValue="-9.3800000000000008" maxValue="13750"/>
    </cacheField>
    <cacheField name="Mtm" numFmtId="0">
      <sharedItems containsBlank="1" containsMixedTypes="1" containsNumber="1" minValue="-4.9400000000000004" maxValue="13750"/>
    </cacheField>
    <cacheField name="PnL" numFmtId="0">
      <sharedItems containsBlank="1" containsMixedTypes="1" containsNumber="1" minValue="-8569.2546979999988" maxValue="4098.2200000000021"/>
    </cacheField>
    <cacheField name="Average" numFmtId="0">
      <sharedItems containsSemiMixedTypes="0" containsString="0" containsNumber="1" minValue="-21840000" maxValue="21105000"/>
    </cacheField>
    <cacheField name="Name" numFmtId="167">
      <sharedItems count="62">
        <s v="Nov/Dec 25"/>
        <s v="Dec/Jan 25"/>
        <s v="Apr07-Apr11/Apr 25"/>
        <s v="Apr14-Apr18/Apr 25"/>
        <s v="Dec 16-20/Dec 24"/>
        <s v="Dec 23-27/Dec 24"/>
        <s v="Mar03-Mar07/Jan 25"/>
        <s v="Mar17-Mar21/Jan 25"/>
        <s v="May19-May23/Jun 25"/>
        <s v="May19-May23/May 25"/>
        <s v="Nov/Dec 24"/>
        <s v="Dec/Jan 24"/>
        <s v="Jan/Feb 25"/>
        <s v="Feb/Mar 25"/>
        <s v="Mar/Apr 25"/>
        <s v="Apr/May 25"/>
        <s v="May/Jun 25"/>
        <s v="Dec 24"/>
        <s v="Jan 25"/>
        <s v="Feb 25"/>
        <s v="Mar 25"/>
        <s v="Apr 25"/>
        <s v="May 25"/>
        <s v="Oct 24"/>
        <s v="Nov 24"/>
        <s v="Jan 23"/>
        <s v="Sep/Oct 24"/>
        <s v="Jan 6-10/Jan 25"/>
        <s v="Jan 20-24/Jan 25"/>
        <s v="Jan27-Jan31/Jan 25"/>
        <s v="Jun 25"/>
        <s v="Jun/Jul 25"/>
        <s v="Jul 25"/>
        <s v="Jul/Aug 25"/>
        <s v="Aug/Sep 25"/>
        <s v="Sep/Oct 25"/>
        <s v="Oct/Nov 25"/>
        <s v="May05-May09/May 25"/>
        <s v="Aug 25"/>
        <s v="May12-May16/May 25"/>
        <s v="May26-May30/May 25"/>
        <s v="Jun02-Jun06/Jun 25"/>
        <s v="Jun09-Jun13/Jun 25"/>
        <s v="Sep 25"/>
        <s v="Jun16-Jun20/Jun 25"/>
        <s v="Jan 00"/>
        <s v="Oct 25"/>
        <s v="Nov 25"/>
        <s v="Sep01-Sep05/Sep 25"/>
        <s v="Sep08-Sep12/Sep 25"/>
        <s v="Sep15-Sep19/Sep 25"/>
        <s v="Dec 25"/>
        <s v="Jan 26"/>
        <s v="Jan/Feb 26"/>
        <s v="Feb 26"/>
        <s v="Feb/Mar 26"/>
        <s v="Mar/Apr 26"/>
        <s v="Jun 26"/>
        <s v="Apr 26"/>
        <s v="May 26"/>
        <s v="Mar 26"/>
        <s v="Apr/May 26"/>
      </sharedItems>
    </cacheField>
    <cacheField name="Buy/Sell" numFmtId="165">
      <sharedItems/>
    </cacheField>
    <cacheField name="Average MtM" numFmtId="0">
      <sharedItems containsMixedTypes="1" containsNumber="1" minValue="-27500000" maxValue="27500000"/>
    </cacheField>
    <cacheField name="Instrument Type" numFmtId="0">
      <sharedItems count="5">
        <s v="Futures"/>
        <s v="Swaps"/>
        <s v="Physical"/>
        <s v="Freight"/>
        <s v="Legacy 2024"/>
      </sharedItems>
    </cacheField>
    <cacheField name="Instrument" numFmtId="0">
      <sharedItems count="8">
        <s v="WTI Sprds"/>
        <s v="Dated"/>
        <s v="Brent Sprds"/>
        <s v="WTI-Brent"/>
        <s v="Physical"/>
        <s v="Freight"/>
        <s v="Legacy 2024"/>
        <s v="MEH"/>
      </sharedItems>
    </cacheField>
    <cacheField name="Year" numFmtId="0">
      <sharedItems containsSemiMixedTypes="0" containsString="0" containsNumber="1" containsInteger="1" minValue="1900" maxValue="2026"/>
    </cacheField>
    <cacheField name="Side" numFmtId="0">
      <sharedItems/>
    </cacheField>
    <cacheField name="Accounting" numFmtId="0">
      <sharedItems count="2">
        <s v="Expired"/>
        <s v="Active"/>
      </sharedItems>
    </cacheField>
    <cacheField name="Trade ID" numFmtId="0">
      <sharedItems/>
    </cacheField>
    <cacheField name="Phys Active?" numFmtId="0">
      <sharedItems containsMixedTypes="1" containsNumber="1" containsInteger="1" minValue="0" maxValue="0" count="3">
        <s v="No"/>
        <s v="Yes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ntafio, Alberto (ATA)" refreshedDate="46295.614368750001" createdVersion="8" refreshedVersion="8" minRefreshableVersion="3" recordCount="594" xr:uid="{4B538653-BBE6-4F4E-B5B8-69871E0C9125}">
  <cacheSource type="worksheet">
    <worksheetSource name="table3"/>
  </cacheSource>
  <cacheFields count="27">
    <cacheField name="Cargo Name" numFmtId="0">
      <sharedItems containsBlank="1" count="38">
        <s v="CPC Taiwan Jan 17-21"/>
        <s v="HDO March26 10-20"/>
        <s v="Exxon CIF Rotts VLCC Jan 19-23"/>
        <s v="Legacy 2025"/>
        <s v="BP FOB VLCC Nov 15-20"/>
        <s v="Unallocated"/>
        <s v="Dec25 EFP 2"/>
        <s v="HDO Feb26 5-15"/>
        <m/>
        <s v="Exxon CIF Rotts Jan 2-6"/>
        <s v="January 26 2x EFP"/>
        <s v="BP FOB Jan26 11-15"/>
        <s v="Glencore FOB VLCC Jan26-30"/>
        <s v="Feb26 EFP 1"/>
        <s v="Vitol FOB Jan 28-29 EHSC"/>
        <s v="Dangote VLCC March 15-25"/>
        <s v="Glencore FOB VLCC Jan26-31"/>
        <s v="Gunvor FOB Feb 27-28 STG"/>
        <s v="P66 FOB March 9-14"/>
        <s v="Vitol CIF CCLZ Feb 17"/>
        <s v="HDO May 1-10 WTI+WTL"/>
        <s v="Gunvor FOB Feb28-01 FOB"/>
        <s v="April26 EFP 1"/>
        <s v="GS Caltex Taiwan May 24-28"/>
        <s v="HDO FOB APR 7-12"/>
        <s v="May26 EFP 2"/>
        <s v="May26 EFP 1"/>
        <s v="May26 EFP2"/>
        <s v="CPC Taiwan June 18-22"/>
        <s v="ATS/Vitol June 12-22 b2b"/>
        <s v="HDO July26 10-20"/>
        <s v="ENEOS July 20-30"/>
        <s v="Jun26 EFP1"/>
        <s v="Jun26 EFP2"/>
        <s v="BP FOB June26 10-15"/>
        <s v="GS Caltex Korea Aug 16-22"/>
        <s v="HDO Aug26 22-31 DAP"/>
        <s v="Unipec FOB June26 28-30"/>
      </sharedItems>
    </cacheField>
    <cacheField name="Date" numFmtId="0">
      <sharedItems containsSemiMixedTypes="0" containsNonDate="0" containsDate="1" containsString="0" minDate="2025-10-14T00:00:00" maxDate="2026-08-01T00:00:00" count="116">
        <d v="2025-12-31T00:00:00"/>
        <d v="2025-10-14T00:00:00"/>
        <d v="2025-10-17T00:00:00"/>
        <d v="2025-10-28T00:00:00"/>
        <d v="2025-10-29T00:00:00"/>
        <d v="2025-10-30T00:00:00"/>
        <d v="2025-11-05T00:00:00"/>
        <d v="2025-11-12T00:00:00"/>
        <d v="2025-11-11T00:00:00"/>
        <d v="2025-11-17T00:00:00"/>
        <d v="2025-11-18T00:00:00"/>
        <d v="2025-11-19T00:00:00"/>
        <d v="2025-11-21T00:00:00"/>
        <d v="2025-11-24T00:00:00"/>
        <d v="2025-11-25T00:00:00"/>
        <d v="2025-11-26T00:00:00"/>
        <d v="2025-12-23T00:00:00"/>
        <d v="2025-12-03T00:00:00"/>
        <d v="2025-11-28T00:00:00"/>
        <d v="2025-12-01T00:00:00"/>
        <d v="2025-12-02T00:00:00"/>
        <d v="2025-12-09T00:00:00"/>
        <d v="2025-12-11T00:00:00"/>
        <d v="2025-12-12T00:00:00"/>
        <d v="2025-12-15T00:00:00"/>
        <d v="2025-12-16T00:00:00"/>
        <d v="2025-12-17T00:00:00"/>
        <d v="2025-12-18T00:00:00"/>
        <d v="2025-12-24T00:00:00"/>
        <d v="2025-12-29T00:00:00"/>
        <d v="2025-12-30T00:00:00"/>
        <d v="2026-01-02T00:00:00"/>
        <d v="2026-01-08T00:00:00"/>
        <d v="2026-01-05T00:00:00"/>
        <d v="2026-01-09T00:00:00"/>
        <d v="2026-01-11T00:00:00"/>
        <d v="2026-01-12T00:00:00"/>
        <d v="2026-01-13T00:00:00"/>
        <d v="2026-01-14T00:00:00"/>
        <d v="2026-01-15T00:00:00"/>
        <d v="2026-01-16T00:00:00"/>
        <d v="2026-01-20T00:00:00"/>
        <d v="2026-01-21T00:00:00"/>
        <d v="2026-01-22T00:00:00"/>
        <d v="2026-01-23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13T00:00:00"/>
        <d v="2026-02-19T00:00:00"/>
        <d v="2026-02-20T00:00:00"/>
        <d v="2026-02-23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7T00:00:00"/>
        <d v="2026-04-20T00:00:00"/>
        <d v="2026-04-22T00:00:00"/>
        <d v="2026-04-23T00:00:00"/>
        <d v="2026-04-28T00:00:00"/>
        <d v="2026-04-29T00:00:00"/>
        <d v="2026-04-30T00:00:00"/>
        <d v="2026-05-05T00:00:00"/>
        <d v="2026-05-07T00:00:00"/>
        <d v="2026-05-08T00:00:00"/>
        <d v="2026-05-11T00:00:00"/>
        <d v="2026-05-12T00:00:00"/>
        <d v="2026-05-14T00:00:00"/>
        <d v="2026-05-18T00:00:00"/>
        <d v="2026-05-19T00:00:00"/>
        <d v="2026-05-21T00:00:00"/>
        <d v="2026-05-22T00:00:00"/>
        <d v="2026-05-29T00:00:00"/>
        <d v="2026-06-01T00:00:00"/>
        <d v="2026-06-19T00:00:00"/>
        <d v="2026-06-24T00:00:00"/>
        <d v="2026-06-29T00:00:00"/>
        <d v="2026-06-30T00:00:00"/>
        <d v="2026-07-30T00:00:00"/>
        <d v="2026-07-31T00:00:00"/>
      </sharedItems>
    </cacheField>
    <cacheField name="Sub-Instrument" numFmtId="0">
      <sharedItems containsBlank="1" count="12">
        <s v="Legacy 2025"/>
        <s v="WTI-Brent"/>
        <s v="Physical"/>
        <s v="Brent Sprds"/>
        <s v="DFL"/>
        <s v="Freight-TD25"/>
        <s v="Freight-TD7"/>
        <s v="WTI Sprds"/>
        <s v="CFD"/>
        <s v="Freight-TD22"/>
        <s v="MEH"/>
        <m u="1"/>
      </sharedItems>
    </cacheField>
    <cacheField name="Expo Type" numFmtId="0">
      <sharedItems containsBlank="1" count="3">
        <s v="Expo"/>
        <m/>
        <s v="Hedge"/>
      </sharedItems>
    </cacheField>
    <cacheField name="Quantity" numFmtId="0">
      <sharedItems containsString="0" containsBlank="1" containsNumber="1" minValue="-2564" maxValue="2139"/>
    </cacheField>
    <cacheField name="Month1" numFmtId="0">
      <sharedItems containsDate="1" containsBlank="1" containsMixedTypes="1" minDate="2023-01-31T00:00:00" maxDate="2026-10-01T00:00:00" count="27">
        <d v="2025-11-30T00:00:00"/>
        <d v="2025-12-31T00:00:00"/>
        <m/>
        <d v="2026-01-31T00:00:00"/>
        <d v="2026-02-28T00:00:00"/>
        <d v="2026-03-31T00:00:00"/>
        <d v="2026-06-30T00:00:00"/>
        <d v="2026-04-30T00:00:00"/>
        <d v="2026-05-31T00:00:00"/>
        <s v="Jan05-Jan09"/>
        <s v="Jan19-Jan23"/>
        <s v="Feb02-Feb06"/>
        <s v="Feb09-Feb13"/>
        <d v="2026-07-31T00:00:00"/>
        <d v="2026-08-31T00:00:00"/>
        <d v="2026-09-30T00:00:00"/>
        <d v="2023-01-31T00:00:00" u="1"/>
        <d v="2024-11-30T00:00:00" u="1"/>
        <d v="2024-12-31T00:00:00" u="1"/>
        <d v="2025-01-31T00:00:00" u="1"/>
        <d v="2025-02-28T00:00:00" u="1"/>
        <d v="2025-03-31T00:00:00" u="1"/>
        <d v="2025-04-30T00:00:00" u="1"/>
        <d v="2025-05-31T00:00:00" u="1"/>
        <d v="2025-06-30T00:00:00" u="1"/>
        <d v="2025-08-31T00:00:00" u="1"/>
        <d v="2025-09-30T00:00:00" u="1"/>
      </sharedItems>
    </cacheField>
    <cacheField name="Month2" numFmtId="0">
      <sharedItems containsNonDate="0" containsDate="1" containsString="0" containsBlank="1" minDate="2025-11-30T00:00:00" maxDate="2026-11-01T00:00:00"/>
    </cacheField>
    <cacheField name="Price" numFmtId="43">
      <sharedItems containsString="0" containsBlank="1" containsNumber="1" minValue="-411.82602928571424" maxValue="25000"/>
    </cacheField>
    <cacheField name="Mtm" numFmtId="0">
      <sharedItems containsString="0" containsBlank="1" containsNumber="1" minValue="-16.97" maxValue="25000"/>
    </cacheField>
    <cacheField name="PnL" numFmtId="0">
      <sharedItems containsString="0" containsBlank="1" containsNumber="1" minValue="-27937.63" maxValue="27093.599999999999"/>
    </cacheField>
    <cacheField name="Average" numFmtId="0">
      <sharedItems containsSemiMixedTypes="0" containsString="0" containsNumber="1" minValue="-271250" maxValue="245000"/>
    </cacheField>
    <cacheField name="Name" numFmtId="0">
      <sharedItems containsDate="1" containsBlank="1" containsMixedTypes="1" minDate="2026-05-26T00:00:00" maxDate="2026-08-27T00:00:00" count="38">
        <s v="Nov 25"/>
        <s v="Dec 25"/>
        <m/>
        <s v="Jan 26"/>
        <s v="Feb 26"/>
        <s v="Feb/Mar 26"/>
        <s v="Mar/Apr 26"/>
        <s v="Jun 26"/>
        <s v="Apr 26"/>
        <s v="May 26"/>
        <s v="Mar 26"/>
        <s v="Apr/May 26"/>
        <s v="May/Jun 26"/>
        <s v="Jul 26"/>
        <s v="Aug 26"/>
        <s v="Sep 26"/>
        <s v="Jun/Jul 26"/>
        <s v="Jul/Aug 26"/>
        <s v="Aug/Sep 26"/>
        <s v="Jun/May 26"/>
        <s v="Sep/Oct 26"/>
        <d v="2026-08-26T00:00:00" u="1"/>
        <d v="2026-06-26T00:00:00" u="1"/>
        <d v="2026-05-26T00:00:00" u="1"/>
        <s v="Aug/Jul 26" u="1"/>
        <s v="Feb/Jan 26" u="1"/>
        <s v="Jan 23" u="1"/>
        <s v="Nov 24" u="1"/>
        <s v="Dec 24" u="1"/>
        <s v="Jan 25" u="1"/>
        <s v="Feb 25" u="1"/>
        <s v="Mar 25" u="1"/>
        <s v="Apr 25" u="1"/>
        <s v="May 25" u="1"/>
        <s v="Jun 25" u="1"/>
        <s v="Aug 25" u="1"/>
        <s v="Sep 25" u="1"/>
        <s v="May/Apr 26" u="1"/>
      </sharedItems>
    </cacheField>
    <cacheField name="Buy/Sell" numFmtId="0">
      <sharedItems/>
    </cacheField>
    <cacheField name="Average MtM" numFmtId="0">
      <sharedItems containsSemiMixedTypes="0" containsString="0" containsNumber="1" minValue="-50000000" maxValue="50000000"/>
    </cacheField>
    <cacheField name="Instrument Type" numFmtId="0">
      <sharedItems containsBlank="1" count="6">
        <s v="Legacy 2025"/>
        <s v="Swaps"/>
        <s v="Physical"/>
        <s v="Futures"/>
        <s v="Freight"/>
        <m u="1"/>
      </sharedItems>
    </cacheField>
    <cacheField name="Instrument" numFmtId="0">
      <sharedItems containsBlank="1" count="9">
        <s v="Legacy 2025"/>
        <s v="Brent Sprds"/>
        <s v="WTI Sprds"/>
        <s v="Freight"/>
        <s v="Dated"/>
        <s v="MEH"/>
        <s v="WTI-Brent"/>
        <s v="Physical"/>
        <m u="1"/>
      </sharedItems>
    </cacheField>
    <cacheField name="Year" numFmtId="0">
      <sharedItems containsSemiMixedTypes="0" containsString="0" containsNumber="1" containsInteger="1" minValue="2025" maxValue="2026"/>
    </cacheField>
    <cacheField name="Side" numFmtId="0">
      <sharedItems/>
    </cacheField>
    <cacheField name="Accounting" numFmtId="0">
      <sharedItems containsBlank="1"/>
    </cacheField>
    <cacheField name="M1 Instrument" numFmtId="0">
      <sharedItems containsMixedTypes="1" containsNumber="1" containsInteger="1" minValue="0" maxValue="0"/>
    </cacheField>
    <cacheField name="M1 Month" numFmtId="167">
      <sharedItems containsDate="1" containsMixedTypes="1" minDate="1899-12-30T00:00:00" maxDate="2026-10-01T00:00:00"/>
    </cacheField>
    <cacheField name="M1 Volume" numFmtId="171">
      <sharedItems containsString="0" containsBlank="1" containsNumber="1" minValue="-2564" maxValue="2139"/>
    </cacheField>
    <cacheField name="M2" numFmtId="0">
      <sharedItems containsMixedTypes="1" containsNumber="1" containsInteger="1" minValue="0" maxValue="0"/>
    </cacheField>
    <cacheField name="M2 Month" numFmtId="167">
      <sharedItems containsSemiMixedTypes="0" containsNonDate="0" containsDate="1" containsString="0" minDate="1899-12-30T00:00:00" maxDate="2026-11-01T00:00:00"/>
    </cacheField>
    <cacheField name="M2 Volume" numFmtId="171">
      <sharedItems containsString="0" containsBlank="1" containsNumber="1" minValue="-2139" maxValue="2564"/>
    </cacheField>
    <cacheField name="Average Price" numFmtId="0" formula="IFERROR(SUM(Average) / SUM(Quantity),0)" databaseField="0"/>
    <cacheField name="Average MtM Price" numFmtId="0" formula="'Average MtM'/#NAME?" databaseField="0"/>
  </cacheFields>
  <extLst>
    <ext xmlns:x14="http://schemas.microsoft.com/office/spreadsheetml/2009/9/main" uri="{725AE2AE-9491-48be-B2B4-4EB974FC3084}">
      <x14:pivotCacheDefinition pivotCacheId="15193176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0">
  <r>
    <s v="Unallocated"/>
    <d v="2025-11-19T00:00:00"/>
    <s v="WTI Sprds"/>
    <s v="Hedge"/>
    <n v="-1122"/>
    <d v="2025-11-30T00:00:00"/>
    <d v="2025-12-31T00:00:00"/>
    <n v="0.5"/>
    <n v="0.5"/>
    <n v="0"/>
    <n v="-561"/>
    <x v="0"/>
    <s v="Sell"/>
    <n v="-561"/>
    <x v="0"/>
    <x v="0"/>
    <n v="2025"/>
    <s v="Sell"/>
    <x v="0"/>
    <x v="0"/>
  </r>
  <r>
    <s v="Unallocated"/>
    <d v="2025-11-19T00:00:00"/>
    <s v="WTI Sprds-Fly"/>
    <s v="Hedge"/>
    <n v="1122"/>
    <d v="2025-11-30T00:00:00"/>
    <d v="2025-12-31T00:00:00"/>
    <n v="0.5"/>
    <n v="0.5"/>
    <m/>
    <n v="213.18"/>
    <x v="0"/>
    <s v="Buy"/>
    <n v="561"/>
    <x v="0"/>
    <x v="0"/>
    <n v="2025"/>
    <s v="Buy"/>
    <x v="0"/>
    <x v="1"/>
  </r>
  <r>
    <s v="Unallocated"/>
    <d v="2025-11-19T00:00:00"/>
    <s v="WTI Sprds"/>
    <s v="Hedge"/>
    <n v="1122"/>
    <d v="2025-12-31T00:00:00"/>
    <d v="2026-01-31T00:00:00"/>
    <n v="0.19"/>
    <n v="0.19"/>
    <m/>
    <n v="561"/>
    <x v="1"/>
    <s v="Buy"/>
    <n v="213.18"/>
    <x v="0"/>
    <x v="0"/>
    <n v="2025"/>
    <s v="Buy"/>
    <x v="0"/>
    <x v="2"/>
  </r>
  <r>
    <s v="Unallocated"/>
    <d v="2025-11-19T00:00:00"/>
    <s v="WTI Sprds-Fly"/>
    <s v="Hedge"/>
    <n v="-1122"/>
    <d v="2025-12-31T00:00:00"/>
    <d v="2026-01-31T00:00:00"/>
    <n v="0.19"/>
    <n v="0.19"/>
    <n v="0"/>
    <n v="-213.18"/>
    <x v="1"/>
    <s v="Sell"/>
    <n v="-213.18"/>
    <x v="0"/>
    <x v="0"/>
    <n v="2025"/>
    <s v="Sell"/>
    <x v="0"/>
    <x v="3"/>
  </r>
  <r>
    <s v="Unallocated"/>
    <d v="2025-09-06T00:00:00"/>
    <s v="CFD"/>
    <s v="Hedge"/>
    <n v="-500"/>
    <s v="Apr07-Apr11"/>
    <d v="2025-04-30T00:00:00"/>
    <n v="2.2599999999999998"/>
    <n v="2.2599999999999998"/>
    <n v="0"/>
    <n v="-1130"/>
    <x v="2"/>
    <s v="Buy"/>
    <n v="397.59999999999997"/>
    <x v="1"/>
    <x v="1"/>
    <n v="2025"/>
    <s v="Sell"/>
    <x v="0"/>
    <x v="4"/>
  </r>
  <r>
    <s v="Unallocated"/>
    <d v="2025-09-06T00:00:00"/>
    <s v="CFD"/>
    <s v="Hedge"/>
    <n v="500"/>
    <s v="Apr14-Apr18"/>
    <d v="2025-04-30T00:00:00"/>
    <n v="1.86"/>
    <n v="1.86"/>
    <n v="0"/>
    <n v="930"/>
    <x v="3"/>
    <s v="Buy"/>
    <n v="397.59999999999997"/>
    <x v="1"/>
    <x v="1"/>
    <n v="2025"/>
    <s v="Buy"/>
    <x v="0"/>
    <x v="5"/>
  </r>
  <r>
    <s v="Unallocated"/>
    <d v="2025-09-06T00:00:00"/>
    <s v="CFD"/>
    <s v="Hedge"/>
    <n v="400"/>
    <s v="Dec 16-20"/>
    <d v="2024-12-31T00:00:00"/>
    <n v="0.84699999999999998"/>
    <n v="0.84699999999999998"/>
    <n v="0"/>
    <n v="338.8"/>
    <x v="4"/>
    <s v="Buy"/>
    <n v="397.59999999999997"/>
    <x v="1"/>
    <x v="1"/>
    <n v="2024"/>
    <s v="Buy"/>
    <x v="0"/>
    <x v="6"/>
  </r>
  <r>
    <s v="Unallocated"/>
    <d v="2025-09-06T00:00:00"/>
    <s v="CFD"/>
    <s v="Hedge"/>
    <n v="200"/>
    <s v="Dec 23-27"/>
    <d v="2024-12-31T00:00:00"/>
    <n v="-0.09"/>
    <n v="-0.09"/>
    <n v="0"/>
    <n v="-18"/>
    <x v="5"/>
    <s v="Buy"/>
    <n v="397.59999999999997"/>
    <x v="1"/>
    <x v="1"/>
    <n v="2024"/>
    <s v="Buy"/>
    <x v="0"/>
    <x v="7"/>
  </r>
  <r>
    <s v="Unallocated"/>
    <d v="2025-03-03T00:00:00"/>
    <s v="CFD"/>
    <s v="Hedge"/>
    <n v="-200"/>
    <s v="Mar03-Mar07"/>
    <d v="2025-01-31T00:00:00"/>
    <n v="1.32"/>
    <n v="1.32"/>
    <n v="0"/>
    <n v="-264"/>
    <x v="6"/>
    <s v="Sell"/>
    <n v="-264"/>
    <x v="1"/>
    <x v="1"/>
    <n v="2025"/>
    <s v="Sell"/>
    <x v="0"/>
    <x v="8"/>
  </r>
  <r>
    <s v="Unallocated"/>
    <d v="2025-03-03T00:00:00"/>
    <s v="CFD"/>
    <s v="Hedge"/>
    <n v="200"/>
    <s v="Mar17-Mar21"/>
    <d v="2025-01-31T00:00:00"/>
    <n v="0.54"/>
    <n v="0.54"/>
    <n v="0"/>
    <n v="108"/>
    <x v="7"/>
    <s v="Buy"/>
    <n v="108"/>
    <x v="1"/>
    <x v="1"/>
    <n v="2025"/>
    <s v="Buy"/>
    <x v="0"/>
    <x v="9"/>
  </r>
  <r>
    <s v="Trafi CIF Rdam June 13-17"/>
    <d v="2025-05-27T00:00:00"/>
    <s v="CFD"/>
    <s v="Hedge"/>
    <n v="-1500"/>
    <s v="May19-May23"/>
    <d v="2025-06-30T00:00:00"/>
    <n v="0.47199999999999998"/>
    <n v="0.47200000000000009"/>
    <n v="-1.6653345369377348E-13"/>
    <n v="-708"/>
    <x v="8"/>
    <s v="Sell"/>
    <n v="-708.00000000000011"/>
    <x v="1"/>
    <x v="1"/>
    <n v="2025"/>
    <s v="Sell"/>
    <x v="0"/>
    <x v="10"/>
  </r>
  <r>
    <s v="Unallocated"/>
    <d v="2025-05-16T00:00:00"/>
    <s v="CFD"/>
    <s v="Hedge"/>
    <n v="1500"/>
    <s v="May19-May23"/>
    <d v="2025-05-31T00:00:00"/>
    <n v="0.47200000000000009"/>
    <n v="0.47200000000000009"/>
    <n v="0"/>
    <n v="708.00000000000011"/>
    <x v="9"/>
    <s v="Buy"/>
    <n v="708.00000000000011"/>
    <x v="1"/>
    <x v="1"/>
    <n v="2025"/>
    <s v="Buy"/>
    <x v="0"/>
    <x v="11"/>
  </r>
  <r>
    <s v="Unallocated"/>
    <n v="45727"/>
    <s v="WTI Sprds"/>
    <s v="Hedge"/>
    <n v="-4289"/>
    <d v="2024-11-30T00:00:00"/>
    <d v="2024-12-31T00:00:00"/>
    <n v="0.62"/>
    <n v="0.52"/>
    <n v="428.89999999999992"/>
    <n v="-2659.18"/>
    <x v="10"/>
    <s v="Sell"/>
    <n v="-2230.2800000000002"/>
    <x v="0"/>
    <x v="0"/>
    <n v="2024"/>
    <s v="Sell"/>
    <x v="0"/>
    <x v="12"/>
  </r>
  <r>
    <s v="Jan 1-10 EXTAP VLCC"/>
    <n v="45727"/>
    <s v="WTI Sprds"/>
    <s v="Hedge"/>
    <n v="1050"/>
    <d v="2024-11-30T00:00:00"/>
    <d v="2024-12-31T00:00:00"/>
    <n v="0.62"/>
    <n v="0.52"/>
    <n v="-104.99999999999997"/>
    <n v="651"/>
    <x v="10"/>
    <s v="Buy"/>
    <n v="546"/>
    <x v="0"/>
    <x v="0"/>
    <n v="2024"/>
    <s v="Buy"/>
    <x v="0"/>
    <x v="13"/>
  </r>
  <r>
    <s v="Jan 4-6 KAL Afra"/>
    <n v="45727"/>
    <s v="WTI Sprds"/>
    <s v="Hedge"/>
    <n v="707"/>
    <d v="2024-11-30T00:00:00"/>
    <d v="2024-12-31T00:00:00"/>
    <n v="0.62"/>
    <n v="0.52"/>
    <n v="-70.699999999999989"/>
    <n v="438.34"/>
    <x v="10"/>
    <s v="Buy"/>
    <n v="367.64"/>
    <x v="0"/>
    <x v="0"/>
    <n v="2024"/>
    <s v="Buy"/>
    <x v="0"/>
    <x v="14"/>
  </r>
  <r>
    <s v="Nov 19-21 Shell Rdam VLCC"/>
    <n v="45727"/>
    <s v="WTI Sprds"/>
    <s v="Hedge"/>
    <n v="2100"/>
    <d v="2024-11-30T00:00:00"/>
    <d v="2024-12-31T00:00:00"/>
    <n v="0.62"/>
    <n v="0.52"/>
    <n v="-209.99999999999994"/>
    <n v="1302"/>
    <x v="10"/>
    <s v="Buy"/>
    <n v="1092"/>
    <x v="0"/>
    <x v="0"/>
    <n v="2024"/>
    <s v="Buy"/>
    <x v="0"/>
    <x v="15"/>
  </r>
  <r>
    <s v="Nov 22-26 Tranmere Afra"/>
    <n v="45727"/>
    <s v="WTI Sprds"/>
    <s v="Hedge"/>
    <n v="432"/>
    <d v="2024-11-30T00:00:00"/>
    <d v="2024-12-31T00:00:00"/>
    <n v="0.62"/>
    <n v="0.52"/>
    <n v="-43.199999999999989"/>
    <n v="267.83999999999997"/>
    <x v="10"/>
    <s v="Buy"/>
    <n v="224.64000000000001"/>
    <x v="0"/>
    <x v="0"/>
    <n v="2024"/>
    <s v="Buy"/>
    <x v="0"/>
    <x v="16"/>
  </r>
  <r>
    <s v="Unallocated"/>
    <n v="45727"/>
    <s v="WTI Sprds"/>
    <s v="Hedge"/>
    <n v="-1500"/>
    <d v="2024-12-31T00:00:00"/>
    <d v="2025-01-31T00:00:00"/>
    <n v="0.28000000000000003"/>
    <n v="0.15"/>
    <n v="195.00000000000006"/>
    <n v="-420.00000000000006"/>
    <x v="11"/>
    <s v="Sell"/>
    <n v="-225"/>
    <x v="0"/>
    <x v="0"/>
    <n v="2024"/>
    <s v="Sell"/>
    <x v="0"/>
    <x v="17"/>
  </r>
  <r>
    <s v="CPC TAIWAN JAN 8-14"/>
    <n v="45727"/>
    <s v="WTI Sprds"/>
    <s v="Hedge"/>
    <n v="-50"/>
    <d v="2024-12-31T00:00:00"/>
    <d v="2025-01-31T00:00:00"/>
    <n v="0.28000000000000003"/>
    <n v="0.15"/>
    <n v="6.5000000000000018"/>
    <n v="-14.000000000000002"/>
    <x v="11"/>
    <s v="Sell"/>
    <n v="-7.5"/>
    <x v="0"/>
    <x v="0"/>
    <n v="2024"/>
    <s v="Sell"/>
    <x v="0"/>
    <x v="18"/>
  </r>
  <r>
    <s v="EXTAP Feb 15-25"/>
    <n v="45727"/>
    <s v="WTI Sprds"/>
    <s v="Hedge"/>
    <n v="-24"/>
    <d v="2024-12-31T00:00:00"/>
    <d v="2025-01-31T00:00:00"/>
    <n v="0.28000000000000003"/>
    <n v="0.15"/>
    <n v="3.120000000000001"/>
    <n v="-6.7200000000000006"/>
    <x v="11"/>
    <s v="Sell"/>
    <n v="-3.5999999999999996"/>
    <x v="0"/>
    <x v="0"/>
    <n v="2024"/>
    <s v="Sell"/>
    <x v="0"/>
    <x v="19"/>
  </r>
  <r>
    <s v="Gunvor FOB Dec 6-7"/>
    <n v="45727"/>
    <s v="WTI Sprds"/>
    <s v="Hedge"/>
    <n v="68"/>
    <d v="2024-12-31T00:00:00"/>
    <d v="2025-01-31T00:00:00"/>
    <n v="0.28000000000000003"/>
    <n v="0.15"/>
    <n v="-8.8400000000000016"/>
    <n v="19.040000000000003"/>
    <x v="11"/>
    <s v="Buy"/>
    <n v="10.199999999999999"/>
    <x v="0"/>
    <x v="0"/>
    <n v="2024"/>
    <s v="Buy"/>
    <x v="0"/>
    <x v="20"/>
  </r>
  <r>
    <s v="HDO Feb 5-15"/>
    <n v="45727"/>
    <s v="WTI Sprds"/>
    <s v="Hedge"/>
    <n v="24"/>
    <d v="2024-12-31T00:00:00"/>
    <d v="2025-01-31T00:00:00"/>
    <n v="0.28000000000000003"/>
    <n v="0.15"/>
    <n v="-3.120000000000001"/>
    <n v="6.7200000000000006"/>
    <x v="11"/>
    <s v="Buy"/>
    <n v="3.5999999999999996"/>
    <x v="0"/>
    <x v="0"/>
    <n v="2024"/>
    <s v="Buy"/>
    <x v="0"/>
    <x v="21"/>
  </r>
  <r>
    <s v="Jan 1-10 EXTAP VLCC"/>
    <n v="45727"/>
    <s v="WTI Sprds"/>
    <s v="Hedge"/>
    <n v="1050"/>
    <d v="2024-12-31T00:00:00"/>
    <d v="2025-01-31T00:00:00"/>
    <n v="0.28000000000000003"/>
    <n v="0.15"/>
    <n v="-136.50000000000003"/>
    <n v="294"/>
    <x v="11"/>
    <s v="Buy"/>
    <n v="157.5"/>
    <x v="0"/>
    <x v="0"/>
    <n v="2024"/>
    <s v="Buy"/>
    <x v="0"/>
    <x v="22"/>
  </r>
  <r>
    <s v="Nov 22-26 Tranmere Afra"/>
    <n v="45727"/>
    <s v="WTI Sprds"/>
    <s v="Hedge"/>
    <n v="432"/>
    <d v="2024-12-31T00:00:00"/>
    <d v="2025-01-31T00:00:00"/>
    <n v="0.28000000000000003"/>
    <n v="0.15"/>
    <n v="-56.160000000000011"/>
    <n v="120.96000000000001"/>
    <x v="11"/>
    <s v="Buy"/>
    <n v="64.8"/>
    <x v="0"/>
    <x v="0"/>
    <n v="2024"/>
    <s v="Buy"/>
    <x v="0"/>
    <x v="23"/>
  </r>
  <r>
    <s v="CPC TAIWAN FEB 20-24"/>
    <n v="45727"/>
    <s v="WTI Sprds"/>
    <s v="Hedge"/>
    <n v="800"/>
    <d v="2025-01-31T00:00:00"/>
    <d v="2025-02-28T00:00:00"/>
    <n v="0.42"/>
    <n v="0.56000000000000005"/>
    <n v="112.00000000000006"/>
    <n v="336"/>
    <x v="12"/>
    <s v="Buy"/>
    <n v="448.00000000000006"/>
    <x v="0"/>
    <x v="0"/>
    <n v="2025"/>
    <s v="Buy"/>
    <x v="0"/>
    <x v="24"/>
  </r>
  <r>
    <s v="CPC TAIWAN MARCH 11-15"/>
    <n v="45727"/>
    <s v="WTI Sprds"/>
    <s v="Hedge"/>
    <n v="2096"/>
    <d v="2025-01-31T00:00:00"/>
    <d v="2025-02-28T00:00:00"/>
    <n v="0.42"/>
    <n v="0.56000000000000005"/>
    <n v="293.44000000000017"/>
    <n v="880.31999999999994"/>
    <x v="12"/>
    <s v="Buy"/>
    <n v="1173.7600000000002"/>
    <x v="0"/>
    <x v="0"/>
    <n v="2025"/>
    <s v="Buy"/>
    <x v="0"/>
    <x v="25"/>
  </r>
  <r>
    <s v="EXTAP Feb 15-25"/>
    <n v="45727"/>
    <s v="WTI Sprds"/>
    <s v="Hedge"/>
    <n v="-24"/>
    <d v="2025-01-31T00:00:00"/>
    <d v="2025-02-28T00:00:00"/>
    <n v="0.42"/>
    <n v="0.56000000000000005"/>
    <n v="-3.3600000000000017"/>
    <n v="-10.08"/>
    <x v="12"/>
    <s v="Sell"/>
    <n v="-13.440000000000001"/>
    <x v="0"/>
    <x v="0"/>
    <n v="2025"/>
    <s v="Sell"/>
    <x v="0"/>
    <x v="26"/>
  </r>
  <r>
    <s v="Feb EFP 2"/>
    <n v="45727"/>
    <s v="WTI Sprds"/>
    <s v="Hedge"/>
    <n v="700"/>
    <d v="2025-01-31T00:00:00"/>
    <d v="2025-02-28T00:00:00"/>
    <n v="0.42"/>
    <n v="0.56000000000000005"/>
    <n v="98.000000000000043"/>
    <n v="294"/>
    <x v="12"/>
    <s v="Buy"/>
    <n v="392.00000000000006"/>
    <x v="0"/>
    <x v="0"/>
    <n v="2025"/>
    <s v="Buy"/>
    <x v="0"/>
    <x v="27"/>
  </r>
  <r>
    <s v="HDO Feb 5-15"/>
    <n v="45727"/>
    <s v="WTI Sprds"/>
    <s v="Hedge"/>
    <n v="47"/>
    <d v="2025-01-31T00:00:00"/>
    <d v="2025-02-28T00:00:00"/>
    <n v="0.42"/>
    <n v="0.56000000000000005"/>
    <n v="6.5800000000000036"/>
    <n v="19.739999999999998"/>
    <x v="12"/>
    <s v="Buy"/>
    <n v="26.320000000000004"/>
    <x v="0"/>
    <x v="0"/>
    <n v="2025"/>
    <s v="Buy"/>
    <x v="0"/>
    <x v="28"/>
  </r>
  <r>
    <s v="Jan 4-6 KAL Afra"/>
    <n v="45727"/>
    <s v="WTI Sprds"/>
    <s v="Hedge"/>
    <n v="35"/>
    <d v="2025-01-31T00:00:00"/>
    <d v="2025-02-28T00:00:00"/>
    <n v="0.42"/>
    <n v="0.56000000000000005"/>
    <n v="4.9000000000000021"/>
    <n v="14.7"/>
    <x v="12"/>
    <s v="Buy"/>
    <n v="19.600000000000001"/>
    <x v="0"/>
    <x v="0"/>
    <n v="2025"/>
    <s v="Buy"/>
    <x v="0"/>
    <x v="29"/>
  </r>
  <r>
    <s v="Mitsui CIF Rdam Jan 27-29"/>
    <n v="45727"/>
    <s v="WTI Sprds"/>
    <s v="Hedge"/>
    <n v="735"/>
    <d v="2025-01-31T00:00:00"/>
    <d v="2025-02-28T00:00:00"/>
    <n v="0.42"/>
    <n v="0.56000000000000005"/>
    <n v="102.90000000000005"/>
    <n v="308.7"/>
    <x v="12"/>
    <s v="Buy"/>
    <n v="411.6"/>
    <x v="0"/>
    <x v="0"/>
    <n v="2025"/>
    <s v="Buy"/>
    <x v="0"/>
    <x v="30"/>
  </r>
  <r>
    <s v="Unallocated"/>
    <n v="45727"/>
    <s v="WTI Sprds"/>
    <s v="Hedge"/>
    <n v="-4389"/>
    <d v="2025-01-31T00:00:00"/>
    <d v="2025-02-28T00:00:00"/>
    <n v="0.42"/>
    <n v="0.56000000000000005"/>
    <n v="-614.46000000000026"/>
    <n v="-1843.3799999999999"/>
    <x v="12"/>
    <s v="Sell"/>
    <n v="-2457.84"/>
    <x v="0"/>
    <x v="0"/>
    <n v="2025"/>
    <s v="Sell"/>
    <x v="0"/>
    <x v="31"/>
  </r>
  <r>
    <s v="BPCL DES India March 16-22"/>
    <n v="45727"/>
    <s v="WTI Sprds"/>
    <s v="Hedge"/>
    <n v="2079"/>
    <d v="2025-02-28T00:00:00"/>
    <d v="2025-03-31T00:00:00"/>
    <n v="0.39"/>
    <n v="0.49"/>
    <n v="207.89999999999995"/>
    <n v="810.81000000000006"/>
    <x v="13"/>
    <s v="Buy"/>
    <n v="1018.71"/>
    <x v="0"/>
    <x v="0"/>
    <n v="2025"/>
    <s v="Buy"/>
    <x v="0"/>
    <x v="32"/>
  </r>
  <r>
    <s v="CIF RDAM Jan 12-14 Load (BP)"/>
    <n v="45727"/>
    <s v="WTI Sprds"/>
    <s v="Hedge"/>
    <n v="704"/>
    <d v="2025-02-28T00:00:00"/>
    <d v="2025-03-31T00:00:00"/>
    <n v="0.39"/>
    <n v="0.49"/>
    <n v="70.399999999999977"/>
    <n v="274.56"/>
    <x v="13"/>
    <s v="Buy"/>
    <n v="344.96"/>
    <x v="0"/>
    <x v="0"/>
    <n v="2025"/>
    <s v="Buy"/>
    <x v="0"/>
    <x v="33"/>
  </r>
  <r>
    <s v="CPC TAIWAN MARCH 11-15"/>
    <n v="45727"/>
    <s v="WTI Sprds"/>
    <s v="Hedge"/>
    <n v="2096"/>
    <d v="2025-02-28T00:00:00"/>
    <d v="2025-03-31T00:00:00"/>
    <n v="0.39"/>
    <n v="0.49"/>
    <n v="209.59999999999997"/>
    <n v="817.44"/>
    <x v="13"/>
    <s v="Buy"/>
    <n v="1027.04"/>
    <x v="0"/>
    <x v="0"/>
    <n v="2025"/>
    <s v="Buy"/>
    <x v="0"/>
    <x v="34"/>
  </r>
  <r>
    <s v="HDO April 12-22 25"/>
    <n v="45727"/>
    <s v="WTI Sprds"/>
    <s v="Hedge"/>
    <n v="68"/>
    <d v="2025-02-28T00:00:00"/>
    <d v="2025-03-31T00:00:00"/>
    <n v="0.39"/>
    <n v="0.49"/>
    <n v="6.7999999999999989"/>
    <n v="26.52"/>
    <x v="13"/>
    <s v="Buy"/>
    <n v="33.32"/>
    <x v="0"/>
    <x v="0"/>
    <n v="2025"/>
    <s v="Buy"/>
    <x v="0"/>
    <x v="35"/>
  </r>
  <r>
    <s v="Jan 4-6 KAL Afra"/>
    <n v="45727"/>
    <s v="WTI Sprds"/>
    <s v="Hedge"/>
    <n v="-700"/>
    <d v="2025-02-28T00:00:00"/>
    <d v="2025-03-31T00:00:00"/>
    <n v="0.39"/>
    <n v="0.49"/>
    <n v="-69.999999999999986"/>
    <n v="-273"/>
    <x v="13"/>
    <s v="Sell"/>
    <n v="-343"/>
    <x v="0"/>
    <x v="0"/>
    <n v="2025"/>
    <s v="Sell"/>
    <x v="0"/>
    <x v="36"/>
  </r>
  <r>
    <s v="Mitsui CIF Rdam Jan 27-29"/>
    <n v="45727"/>
    <s v="WTI Sprds"/>
    <s v="Hedge"/>
    <n v="735"/>
    <d v="2025-02-28T00:00:00"/>
    <d v="2025-03-31T00:00:00"/>
    <n v="0.39"/>
    <n v="0.49"/>
    <n v="73.499999999999986"/>
    <n v="286.65000000000003"/>
    <x v="13"/>
    <s v="Buy"/>
    <n v="360.15"/>
    <x v="0"/>
    <x v="0"/>
    <n v="2025"/>
    <s v="Buy"/>
    <x v="0"/>
    <x v="37"/>
  </r>
  <r>
    <s v="Unallocated"/>
    <n v="45727"/>
    <s v="WTI Sprds"/>
    <s v="Hedge"/>
    <n v="-4982"/>
    <d v="2025-02-28T00:00:00"/>
    <d v="2025-03-31T00:00:00"/>
    <n v="0.39"/>
    <n v="0.49"/>
    <n v="-498.19999999999987"/>
    <n v="-1942.98"/>
    <x v="13"/>
    <s v="Sell"/>
    <n v="-2441.1799999999998"/>
    <x v="0"/>
    <x v="0"/>
    <n v="2025"/>
    <s v="Sell"/>
    <x v="0"/>
    <x v="38"/>
  </r>
  <r>
    <s v="CPC TAIWAN APR 23-27"/>
    <n v="45727"/>
    <s v="WTI Sprds"/>
    <s v="Hedge"/>
    <n v="2100"/>
    <d v="2025-03-31T00:00:00"/>
    <d v="2025-04-30T00:00:00"/>
    <n v="0.42"/>
    <n v="0.15"/>
    <n v="-567"/>
    <n v="882"/>
    <x v="14"/>
    <s v="Buy"/>
    <n v="315"/>
    <x v="0"/>
    <x v="0"/>
    <n v="2025"/>
    <s v="Buy"/>
    <x v="0"/>
    <x v="39"/>
  </r>
  <r>
    <s v="Gunvor FOB Feb 23-24"/>
    <n v="45727"/>
    <s v="WTI Sprds"/>
    <s v="Hedge"/>
    <n v="700"/>
    <d v="2025-03-31T00:00:00"/>
    <d v="2025-04-30T00:00:00"/>
    <n v="0.42"/>
    <n v="0.15"/>
    <n v="-189"/>
    <n v="294"/>
    <x v="14"/>
    <s v="Buy"/>
    <n v="105"/>
    <x v="0"/>
    <x v="0"/>
    <n v="2025"/>
    <s v="Buy"/>
    <x v="0"/>
    <x v="40"/>
  </r>
  <r>
    <s v="HDO April 12-22 25"/>
    <n v="45727"/>
    <s v="WTI Sprds"/>
    <s v="Hedge"/>
    <n v="68"/>
    <d v="2025-03-31T00:00:00"/>
    <d v="2025-04-30T00:00:00"/>
    <n v="0.42"/>
    <n v="0.15"/>
    <n v="-18.36"/>
    <n v="28.56"/>
    <x v="14"/>
    <s v="Buy"/>
    <n v="10.199999999999999"/>
    <x v="0"/>
    <x v="0"/>
    <n v="2025"/>
    <s v="Buy"/>
    <x v="0"/>
    <x v="41"/>
  </r>
  <r>
    <s v="Unallocated"/>
    <n v="45727"/>
    <s v="WTI Sprds"/>
    <s v="Hedge"/>
    <n v="-3568"/>
    <d v="2025-03-31T00:00:00"/>
    <d v="2025-04-30T00:00:00"/>
    <n v="0.42"/>
    <n v="0.15"/>
    <n v="963.36"/>
    <n v="-1498.56"/>
    <x v="14"/>
    <s v="Sell"/>
    <n v="-535.19999999999993"/>
    <x v="0"/>
    <x v="0"/>
    <n v="2025"/>
    <s v="Sell"/>
    <x v="0"/>
    <x v="42"/>
  </r>
  <r>
    <s v="Vitol FOB March Bookout"/>
    <n v="45727"/>
    <s v="WTI Sprds"/>
    <s v="Hedge"/>
    <n v="700"/>
    <d v="2025-03-31T00:00:00"/>
    <d v="2025-04-30T00:00:00"/>
    <n v="0.42"/>
    <n v="0.15"/>
    <n v="-189"/>
    <n v="294"/>
    <x v="14"/>
    <s v="Buy"/>
    <n v="105"/>
    <x v="0"/>
    <x v="0"/>
    <n v="2025"/>
    <s v="Buy"/>
    <x v="0"/>
    <x v="43"/>
  </r>
  <r>
    <s v="EXTAP CIF Rotts Apr 20-24"/>
    <n v="45727"/>
    <s v="WTI Sprds"/>
    <s v="Hedge"/>
    <n v="-318"/>
    <d v="2025-04-30T00:00:00"/>
    <d v="2025-05-31T00:00:00"/>
    <n v="0.23"/>
    <n v="0.25"/>
    <n v="-6.3599999999999968"/>
    <n v="-73.14"/>
    <x v="15"/>
    <s v="Sell"/>
    <n v="-79.5"/>
    <x v="0"/>
    <x v="0"/>
    <n v="2025"/>
    <s v="Sell"/>
    <x v="0"/>
    <x v="44"/>
  </r>
  <r>
    <s v="Unallocated"/>
    <n v="45727"/>
    <s v="WTI Sprds"/>
    <s v="Hedge"/>
    <n v="318"/>
    <d v="2025-04-30T00:00:00"/>
    <d v="2025-05-31T00:00:00"/>
    <n v="0.23"/>
    <n v="0.25"/>
    <n v="6.3599999999999968"/>
    <n v="73.14"/>
    <x v="15"/>
    <s v="Buy"/>
    <n v="79.5"/>
    <x v="0"/>
    <x v="0"/>
    <n v="2025"/>
    <s v="Buy"/>
    <x v="0"/>
    <x v="45"/>
  </r>
  <r>
    <s v="EXTAP CIF Rotts Apr 20-24"/>
    <n v="45727"/>
    <s v="WTI Sprds"/>
    <s v="Hedge"/>
    <n v="-500"/>
    <d v="2025-05-31T00:00:00"/>
    <d v="2025-06-30T00:00:00"/>
    <n v="0"/>
    <n v="0.67"/>
    <n v="-335"/>
    <n v="0"/>
    <x v="16"/>
    <s v="Sell"/>
    <n v="-335"/>
    <x v="0"/>
    <x v="0"/>
    <n v="2025"/>
    <s v="Sell"/>
    <x v="0"/>
    <x v="46"/>
  </r>
  <r>
    <s v="Unallocated"/>
    <n v="45727"/>
    <s v="WTI Sprds"/>
    <s v="Hedge"/>
    <n v="500"/>
    <d v="2025-05-31T00:00:00"/>
    <d v="2025-06-30T00:00:00"/>
    <n v="0"/>
    <n v="0.67"/>
    <n v="335"/>
    <n v="0"/>
    <x v="16"/>
    <s v="Buy"/>
    <n v="335"/>
    <x v="0"/>
    <x v="0"/>
    <n v="2025"/>
    <s v="Buy"/>
    <x v="0"/>
    <x v="47"/>
  </r>
  <r>
    <s v="Jan 4-6 KAL Afra"/>
    <d v="2025-03-11T00:00:00"/>
    <s v="Brent Sprds"/>
    <s v="Hedge"/>
    <n v="707"/>
    <d v="2024-12-31T00:00:00"/>
    <d v="2025-01-31T00:00:00"/>
    <n v="0.39"/>
    <n v="0.35"/>
    <n v="-28.280000000000026"/>
    <n v="275.73"/>
    <x v="11"/>
    <s v="Buy"/>
    <n v="247.45"/>
    <x v="0"/>
    <x v="2"/>
    <n v="2024"/>
    <s v="Buy"/>
    <x v="0"/>
    <x v="48"/>
  </r>
  <r>
    <s v="Nov 19-21 Shell Rdam VLCC"/>
    <d v="2025-03-11T00:00:00"/>
    <s v="Brent Sprds"/>
    <s v="Hedge"/>
    <n v="2100"/>
    <d v="2024-12-31T00:00:00"/>
    <d v="2025-01-31T00:00:00"/>
    <n v="0.39"/>
    <n v="0.35"/>
    <n v="-84.000000000000071"/>
    <n v="819"/>
    <x v="11"/>
    <s v="Buy"/>
    <n v="735"/>
    <x v="0"/>
    <x v="2"/>
    <n v="2024"/>
    <s v="Buy"/>
    <x v="0"/>
    <x v="49"/>
  </r>
  <r>
    <s v="Unallocated"/>
    <d v="2025-03-11T00:00:00"/>
    <s v="Brent Sprds"/>
    <s v="Hedge"/>
    <n v="-2807"/>
    <d v="2024-12-31T00:00:00"/>
    <d v="2025-01-31T00:00:00"/>
    <n v="0.39"/>
    <n v="0.35"/>
    <n v="112.2800000000001"/>
    <n v="-1094.73"/>
    <x v="11"/>
    <s v="Sell"/>
    <n v="-982.44999999999993"/>
    <x v="0"/>
    <x v="2"/>
    <n v="2024"/>
    <s v="Sell"/>
    <x v="0"/>
    <x v="50"/>
  </r>
  <r>
    <s v="CPC TAIWAN FEB 20-24"/>
    <d v="2025-03-11T00:00:00"/>
    <s v="Brent Sprds"/>
    <s v="Hedge"/>
    <n v="-1383"/>
    <d v="2025-01-31T00:00:00"/>
    <d v="2025-02-28T00:00:00"/>
    <n v="0.39"/>
    <n v="1.1000000000000001"/>
    <n v="-981.93000000000006"/>
    <n v="-539.37"/>
    <x v="12"/>
    <s v="Sell"/>
    <n v="-1521.3000000000002"/>
    <x v="0"/>
    <x v="2"/>
    <n v="2025"/>
    <s v="Sell"/>
    <x v="0"/>
    <x v="51"/>
  </r>
  <r>
    <s v="CPC TAIWAN JAN 8-14"/>
    <d v="2025-03-11T00:00:00"/>
    <s v="Brent Sprds"/>
    <s v="Hedge"/>
    <n v="2050"/>
    <d v="2025-01-31T00:00:00"/>
    <d v="2025-02-28T00:00:00"/>
    <n v="0.39"/>
    <n v="1.1000000000000001"/>
    <n v="1455.5000000000002"/>
    <n v="799.5"/>
    <x v="12"/>
    <s v="Buy"/>
    <n v="2255"/>
    <x v="0"/>
    <x v="2"/>
    <n v="2025"/>
    <s v="Buy"/>
    <x v="0"/>
    <x v="52"/>
  </r>
  <r>
    <s v="Dec 15-25 EXTAP VLCC"/>
    <d v="2025-03-11T00:00:00"/>
    <s v="Brent Sprds"/>
    <s v="Hedge"/>
    <n v="2083"/>
    <d v="2025-01-31T00:00:00"/>
    <d v="2025-02-28T00:00:00"/>
    <n v="0.39"/>
    <n v="1.1000000000000001"/>
    <n v="1478.93"/>
    <n v="812.37"/>
    <x v="12"/>
    <s v="Buy"/>
    <n v="2291.3000000000002"/>
    <x v="0"/>
    <x v="2"/>
    <n v="2025"/>
    <s v="Buy"/>
    <x v="0"/>
    <x v="53"/>
  </r>
  <r>
    <s v="Jan 1-10 EXTAP VLCC"/>
    <d v="2025-03-11T00:00:00"/>
    <s v="Brent Sprds"/>
    <s v="Hedge"/>
    <n v="2050"/>
    <d v="2025-01-31T00:00:00"/>
    <d v="2025-02-28T00:00:00"/>
    <n v="0.39"/>
    <n v="1.1000000000000001"/>
    <n v="1455.5000000000002"/>
    <n v="799.5"/>
    <x v="12"/>
    <s v="Buy"/>
    <n v="2255"/>
    <x v="0"/>
    <x v="2"/>
    <n v="2025"/>
    <s v="Buy"/>
    <x v="0"/>
    <x v="54"/>
  </r>
  <r>
    <s v="Unallocated"/>
    <d v="2025-03-11T00:00:00"/>
    <s v="Brent Sprds"/>
    <s v="Hedge"/>
    <n v="-4800"/>
    <d v="2025-01-31T00:00:00"/>
    <d v="2025-02-28T00:00:00"/>
    <n v="0.39"/>
    <n v="1.1000000000000001"/>
    <n v="-3408.0000000000005"/>
    <n v="-1872"/>
    <x v="12"/>
    <s v="Sell"/>
    <n v="-5280"/>
    <x v="0"/>
    <x v="2"/>
    <n v="2025"/>
    <s v="Sell"/>
    <x v="0"/>
    <x v="55"/>
  </r>
  <r>
    <s v="CPC TAIWAN FEB 20-24"/>
    <d v="2025-03-11T00:00:00"/>
    <s v="Brent Sprds"/>
    <s v="Hedge"/>
    <n v="1300"/>
    <d v="2025-02-28T00:00:00"/>
    <d v="2025-03-31T00:00:00"/>
    <n v="0.38"/>
    <n v="0.4"/>
    <n v="26.000000000000021"/>
    <n v="494"/>
    <x v="13"/>
    <s v="Buy"/>
    <n v="520"/>
    <x v="0"/>
    <x v="2"/>
    <n v="2025"/>
    <s v="Buy"/>
    <x v="0"/>
    <x v="56"/>
  </r>
  <r>
    <s v="EXTAP Feb 15-25"/>
    <d v="2025-03-11T00:00:00"/>
    <s v="Brent Sprds"/>
    <s v="Hedge"/>
    <n v="-2047"/>
    <d v="2025-02-28T00:00:00"/>
    <d v="2025-03-31T00:00:00"/>
    <n v="0.38"/>
    <n v="0.4"/>
    <n v="-40.940000000000033"/>
    <n v="-777.86"/>
    <x v="13"/>
    <s v="Sell"/>
    <n v="-818.80000000000007"/>
    <x v="0"/>
    <x v="2"/>
    <n v="2025"/>
    <s v="Sell"/>
    <x v="0"/>
    <x v="57"/>
  </r>
  <r>
    <s v="HDO Feb 5-15"/>
    <d v="2025-03-11T00:00:00"/>
    <s v="Brent Sprds"/>
    <s v="Hedge"/>
    <n v="2147"/>
    <d v="2025-02-28T00:00:00"/>
    <d v="2025-03-31T00:00:00"/>
    <n v="0.38"/>
    <n v="0.4"/>
    <n v="42.94000000000004"/>
    <n v="815.86"/>
    <x v="13"/>
    <s v="Buy"/>
    <n v="858.80000000000007"/>
    <x v="0"/>
    <x v="2"/>
    <n v="2025"/>
    <s v="Buy"/>
    <x v="0"/>
    <x v="58"/>
  </r>
  <r>
    <s v="Jan 1-10 EXTAP VLCC"/>
    <d v="2025-03-11T00:00:00"/>
    <s v="Brent Sprds"/>
    <s v="Hedge"/>
    <n v="2050"/>
    <d v="2025-02-28T00:00:00"/>
    <d v="2025-03-31T00:00:00"/>
    <n v="0.38"/>
    <n v="0.4"/>
    <n v="41.000000000000036"/>
    <n v="779"/>
    <x v="13"/>
    <s v="Buy"/>
    <n v="820"/>
    <x v="0"/>
    <x v="2"/>
    <n v="2025"/>
    <s v="Buy"/>
    <x v="0"/>
    <x v="59"/>
  </r>
  <r>
    <s v="Jan 4-6 KAL Afra"/>
    <d v="2025-03-11T00:00:00"/>
    <s v="Brent Sprds"/>
    <s v="Hedge"/>
    <n v="735"/>
    <d v="2025-02-28T00:00:00"/>
    <d v="2025-03-31T00:00:00"/>
    <n v="0.38"/>
    <n v="0.4"/>
    <n v="14.700000000000014"/>
    <n v="279.3"/>
    <x v="13"/>
    <s v="Buy"/>
    <n v="294"/>
    <x v="0"/>
    <x v="2"/>
    <n v="2025"/>
    <s v="Buy"/>
    <x v="0"/>
    <x v="60"/>
  </r>
  <r>
    <s v="Unallocated"/>
    <d v="2025-03-11T00:00:00"/>
    <s v="Brent Sprds"/>
    <s v="Hedge"/>
    <n v="-4185"/>
    <d v="2025-02-28T00:00:00"/>
    <d v="2025-03-31T00:00:00"/>
    <n v="0.38"/>
    <n v="0.4"/>
    <n v="-83.700000000000074"/>
    <n v="-1590.3"/>
    <x v="13"/>
    <s v="Sell"/>
    <n v="-1674"/>
    <x v="0"/>
    <x v="2"/>
    <n v="2025"/>
    <s v="Sell"/>
    <x v="0"/>
    <x v="61"/>
  </r>
  <r>
    <s v="BPCL DES India March 16-22"/>
    <d v="2025-03-11T00:00:00"/>
    <s v="Brent Sprds"/>
    <s v="Hedge"/>
    <n v="2079"/>
    <d v="2025-03-31T00:00:00"/>
    <d v="2025-04-30T00:00:00"/>
    <n v="0.52"/>
    <n v="1.0900000000000001"/>
    <n v="1185.0300000000002"/>
    <n v="1081.08"/>
    <x v="14"/>
    <s v="Buy"/>
    <n v="2266.11"/>
    <x v="0"/>
    <x v="2"/>
    <n v="2025"/>
    <s v="Buy"/>
    <x v="0"/>
    <x v="62"/>
  </r>
  <r>
    <s v="CPC TAIWAN APR 23-27"/>
    <d v="2025-03-11T00:00:00"/>
    <s v="Brent Sprds"/>
    <s v="Hedge"/>
    <n v="-26"/>
    <d v="2025-03-31T00:00:00"/>
    <d v="2025-04-30T00:00:00"/>
    <n v="0.52"/>
    <n v="1.0900000000000001"/>
    <n v="-14.820000000000002"/>
    <n v="-13.52"/>
    <x v="14"/>
    <s v="Sell"/>
    <n v="-28.340000000000003"/>
    <x v="0"/>
    <x v="2"/>
    <n v="2025"/>
    <s v="Sell"/>
    <x v="0"/>
    <x v="63"/>
  </r>
  <r>
    <s v="CPC TAIWAN MARCH 11-15"/>
    <d v="2025-03-11T00:00:00"/>
    <s v="Brent Sprds"/>
    <s v="Hedge"/>
    <n v="2096"/>
    <d v="2025-03-31T00:00:00"/>
    <d v="2025-04-30T00:00:00"/>
    <n v="0.52"/>
    <n v="1.0900000000000001"/>
    <n v="1194.72"/>
    <n v="1089.92"/>
    <x v="14"/>
    <s v="Buy"/>
    <n v="2284.6400000000003"/>
    <x v="0"/>
    <x v="2"/>
    <n v="2025"/>
    <s v="Buy"/>
    <x v="0"/>
    <x v="64"/>
  </r>
  <r>
    <s v="EXTAP Feb 15-25"/>
    <d v="2025-03-11T00:00:00"/>
    <s v="Brent Sprds"/>
    <s v="Hedge"/>
    <n v="2076"/>
    <d v="2025-03-31T00:00:00"/>
    <d v="2025-04-30T00:00:00"/>
    <n v="0.52"/>
    <n v="1.0900000000000001"/>
    <n v="1183.3200000000002"/>
    <n v="1079.52"/>
    <x v="14"/>
    <s v="Buy"/>
    <n v="2262.84"/>
    <x v="0"/>
    <x v="2"/>
    <n v="2025"/>
    <s v="Buy"/>
    <x v="0"/>
    <x v="65"/>
  </r>
  <r>
    <s v="Unallocated"/>
    <d v="2025-03-11T00:00:00"/>
    <s v="Brent Sprds"/>
    <s v="Hedge"/>
    <n v="-6225"/>
    <d v="2025-03-31T00:00:00"/>
    <d v="2025-04-30T00:00:00"/>
    <n v="0.52"/>
    <n v="1.0900000000000001"/>
    <n v="-3548.2500000000005"/>
    <n v="-3237"/>
    <x v="14"/>
    <s v="Sell"/>
    <n v="-6785.2500000000009"/>
    <x v="0"/>
    <x v="2"/>
    <n v="2025"/>
    <s v="Sell"/>
    <x v="0"/>
    <x v="66"/>
  </r>
  <r>
    <s v="BPCL DES India March 16-22"/>
    <d v="2025-03-11T00:00:00"/>
    <s v="Brent Sprds"/>
    <s v="Hedge"/>
    <n v="2079"/>
    <d v="2025-04-30T00:00:00"/>
    <d v="2025-05-31T00:00:00"/>
    <n v="0.47"/>
    <n v="0.37"/>
    <n v="-207.89999999999995"/>
    <n v="977.13"/>
    <x v="15"/>
    <s v="Buy"/>
    <n v="769.23"/>
    <x v="0"/>
    <x v="2"/>
    <n v="2025"/>
    <s v="Buy"/>
    <x v="0"/>
    <x v="67"/>
  </r>
  <r>
    <s v="CPC TAIWAN APR 23-27"/>
    <d v="2025-03-11T00:00:00"/>
    <s v="Brent Sprds"/>
    <s v="Hedge"/>
    <n v="1600"/>
    <d v="2025-04-30T00:00:00"/>
    <d v="2025-05-31T00:00:00"/>
    <n v="0.47"/>
    <n v="0.37"/>
    <n v="-159.99999999999997"/>
    <n v="752"/>
    <x v="15"/>
    <s v="Buy"/>
    <n v="592"/>
    <x v="0"/>
    <x v="2"/>
    <n v="2025"/>
    <s v="Buy"/>
    <x v="0"/>
    <x v="68"/>
  </r>
  <r>
    <s v="HDO April 12-22 25"/>
    <d v="2025-03-11T00:00:00"/>
    <s v="Brent Sprds"/>
    <s v="Hedge"/>
    <n v="68"/>
    <d v="2025-04-30T00:00:00"/>
    <d v="2025-05-31T00:00:00"/>
    <n v="0.47"/>
    <n v="0.37"/>
    <n v="-6.7999999999999989"/>
    <n v="31.959999999999997"/>
    <x v="15"/>
    <s v="Buy"/>
    <n v="25.16"/>
    <x v="0"/>
    <x v="2"/>
    <n v="2025"/>
    <s v="Buy"/>
    <x v="0"/>
    <x v="69"/>
  </r>
  <r>
    <s v="Unallocated"/>
    <d v="2025-03-11T00:00:00"/>
    <s v="Brent Sprds"/>
    <s v="Hedge"/>
    <n v="-3747"/>
    <d v="2025-04-30T00:00:00"/>
    <d v="2025-05-31T00:00:00"/>
    <n v="0.47"/>
    <n v="0.37"/>
    <n v="374.69999999999993"/>
    <n v="-1761.09"/>
    <x v="15"/>
    <s v="Sell"/>
    <n v="-1386.3899999999999"/>
    <x v="0"/>
    <x v="2"/>
    <n v="2025"/>
    <s v="Sell"/>
    <x v="0"/>
    <x v="70"/>
  </r>
  <r>
    <s v="Dec EFP 2"/>
    <d v="2025-03-10T00:00:00"/>
    <s v="WTI-Brent"/>
    <s v="Hedge"/>
    <n v="-300"/>
    <d v="2024-12-31T00:00:00"/>
    <d v="2024-12-31T00:00:00"/>
    <n v="-3.52"/>
    <n v="-3.9"/>
    <n v="113.99999999999997"/>
    <n v="1056"/>
    <x v="17"/>
    <s v="Sell"/>
    <n v="1170"/>
    <x v="1"/>
    <x v="3"/>
    <n v="2024"/>
    <s v="Sell"/>
    <x v="0"/>
    <x v="71"/>
  </r>
  <r>
    <s v="Jan 4-6 KAL Afra"/>
    <d v="2025-03-10T00:00:00"/>
    <s v="WTI-Brent"/>
    <s v="Hedge"/>
    <n v="707"/>
    <d v="2024-12-31T00:00:00"/>
    <d v="2024-12-31T00:00:00"/>
    <n v="-3.52"/>
    <n v="-3.9"/>
    <n v="-268.65999999999991"/>
    <n v="-2488.64"/>
    <x v="17"/>
    <s v="Buy"/>
    <n v="-2757.2999999999997"/>
    <x v="1"/>
    <x v="3"/>
    <n v="2024"/>
    <s v="Buy"/>
    <x v="0"/>
    <x v="72"/>
  </r>
  <r>
    <s v="Nov 19-21 Shell Rdam VLCC"/>
    <d v="2025-03-10T00:00:00"/>
    <s v="WTI-Brent"/>
    <s v="Hedge"/>
    <n v="2100"/>
    <d v="2024-12-31T00:00:00"/>
    <d v="2024-12-31T00:00:00"/>
    <n v="-3.52"/>
    <n v="-3.9"/>
    <n v="-797.99999999999977"/>
    <n v="-7392"/>
    <x v="17"/>
    <s v="Buy"/>
    <n v="-8190"/>
    <x v="1"/>
    <x v="3"/>
    <n v="2024"/>
    <s v="Buy"/>
    <x v="0"/>
    <x v="73"/>
  </r>
  <r>
    <s v="Unallocated"/>
    <d v="2025-03-10T00:00:00"/>
    <s v="WTI-Brent"/>
    <s v="Hedge"/>
    <n v="-2507"/>
    <d v="2024-12-31T00:00:00"/>
    <d v="2024-12-31T00:00:00"/>
    <n v="-3.52"/>
    <n v="-3.9"/>
    <n v="952.65999999999974"/>
    <n v="8824.64"/>
    <x v="17"/>
    <s v="Sell"/>
    <n v="9777.2999999999993"/>
    <x v="1"/>
    <x v="3"/>
    <n v="2024"/>
    <s v="Sell"/>
    <x v="0"/>
    <x v="74"/>
  </r>
  <r>
    <s v="CPC TAIWAN JAN 8-14"/>
    <d v="2025-03-10T00:00:00"/>
    <s v="WTI-Brent"/>
    <s v="Hedge"/>
    <n v="-50"/>
    <d v="2025-01-31T00:00:00"/>
    <d v="2025-01-31T00:00:00"/>
    <n v="-4.0999999999999996"/>
    <n v="-4.9400000000000004"/>
    <n v="42.000000000000036"/>
    <n v="204.99999999999997"/>
    <x v="18"/>
    <s v="Sell"/>
    <n v="247.00000000000003"/>
    <x v="1"/>
    <x v="3"/>
    <n v="2025"/>
    <s v="Sell"/>
    <x v="0"/>
    <x v="75"/>
  </r>
  <r>
    <s v="Dec EFP 2"/>
    <d v="2025-03-10T00:00:00"/>
    <s v="WTI-Brent"/>
    <s v="Hedge"/>
    <n v="300"/>
    <d v="2025-01-31T00:00:00"/>
    <d v="2025-01-31T00:00:00"/>
    <n v="-4.0999999999999996"/>
    <n v="-4.9400000000000004"/>
    <n v="-252.00000000000023"/>
    <n v="-1230"/>
    <x v="18"/>
    <s v="Buy"/>
    <n v="-1482.0000000000002"/>
    <x v="1"/>
    <x v="3"/>
    <n v="2025"/>
    <s v="Buy"/>
    <x v="0"/>
    <x v="76"/>
  </r>
  <r>
    <s v="Dec EFP 3"/>
    <d v="2025-03-10T00:00:00"/>
    <s v="WTI-Brent"/>
    <s v="Hedge"/>
    <n v="700"/>
    <d v="2025-01-31T00:00:00"/>
    <d v="2025-01-31T00:00:00"/>
    <n v="-4.0999999999999996"/>
    <n v="-4.9400000000000004"/>
    <n v="-588.00000000000057"/>
    <n v="-2869.9999999999995"/>
    <x v="18"/>
    <s v="Buy"/>
    <n v="-3458.0000000000005"/>
    <x v="1"/>
    <x v="3"/>
    <n v="2025"/>
    <s v="Buy"/>
    <x v="0"/>
    <x v="77"/>
  </r>
  <r>
    <s v="FOB Shell Nov 13-15"/>
    <d v="2025-03-10T00:00:00"/>
    <s v="WTI-Brent"/>
    <s v="Hedge"/>
    <n v="700"/>
    <d v="2025-01-31T00:00:00"/>
    <d v="2025-01-31T00:00:00"/>
    <n v="-4.0999999999999996"/>
    <n v="-4.9400000000000004"/>
    <n v="-588.00000000000057"/>
    <n v="-2869.9999999999995"/>
    <x v="18"/>
    <s v="Buy"/>
    <n v="-3458.0000000000005"/>
    <x v="1"/>
    <x v="3"/>
    <n v="2025"/>
    <s v="Buy"/>
    <x v="0"/>
    <x v="78"/>
  </r>
  <r>
    <s v="Jan 1-10 EXTAP VLCC"/>
    <d v="2025-03-10T00:00:00"/>
    <s v="WTI-Brent"/>
    <s v="Hedge"/>
    <n v="1750"/>
    <d v="2025-01-31T00:00:00"/>
    <d v="2025-01-31T00:00:00"/>
    <n v="-4.0999999999999996"/>
    <n v="-4.9400000000000004"/>
    <n v="-1470.0000000000014"/>
    <n v="-7174.9999999999991"/>
    <x v="18"/>
    <s v="Buy"/>
    <n v="-8645"/>
    <x v="1"/>
    <x v="3"/>
    <n v="2025"/>
    <s v="Buy"/>
    <x v="0"/>
    <x v="79"/>
  </r>
  <r>
    <s v="Nov 22-26 Tranmere Afra"/>
    <d v="2025-03-10T00:00:00"/>
    <s v="WTI-Brent"/>
    <s v="Hedge"/>
    <n v="-268"/>
    <d v="2025-01-31T00:00:00"/>
    <d v="2025-01-31T00:00:00"/>
    <n v="-4.0999999999999996"/>
    <n v="-4.9400000000000004"/>
    <n v="225.1200000000002"/>
    <n v="1098.8"/>
    <x v="18"/>
    <s v="Sell"/>
    <n v="1323.92"/>
    <x v="1"/>
    <x v="3"/>
    <n v="2025"/>
    <s v="Sell"/>
    <x v="0"/>
    <x v="80"/>
  </r>
  <r>
    <s v="Unallocated"/>
    <d v="2025-03-10T00:00:00"/>
    <s v="WTI-Brent"/>
    <s v="Hedge"/>
    <n v="-3132"/>
    <d v="2025-01-31T00:00:00"/>
    <d v="2025-01-31T00:00:00"/>
    <n v="-4.0999999999999996"/>
    <n v="-4.9400000000000004"/>
    <n v="2630.8800000000024"/>
    <n v="12841.199999999999"/>
    <x v="18"/>
    <s v="Sell"/>
    <n v="15472.080000000002"/>
    <x v="1"/>
    <x v="3"/>
    <n v="2025"/>
    <s v="Sell"/>
    <x v="0"/>
    <x v="81"/>
  </r>
  <r>
    <s v="CPC TAIWAN FEB 20-24"/>
    <d v="2025-03-10T00:00:00"/>
    <s v="WTI-Brent"/>
    <s v="Hedge"/>
    <n v="1300"/>
    <d v="2025-02-28T00:00:00"/>
    <d v="2025-02-28T00:00:00"/>
    <n v="-3.52"/>
    <n v="-3.4"/>
    <n v="156.00000000000014"/>
    <n v="-4576"/>
    <x v="19"/>
    <s v="Buy"/>
    <n v="-4420"/>
    <x v="1"/>
    <x v="3"/>
    <n v="2025"/>
    <s v="Buy"/>
    <x v="0"/>
    <x v="82"/>
  </r>
  <r>
    <s v="EXTAP Feb 15-25"/>
    <d v="2025-03-10T00:00:00"/>
    <s v="WTI-Brent"/>
    <s v="Hedge"/>
    <n v="-24"/>
    <d v="2025-02-28T00:00:00"/>
    <d v="2025-02-28T00:00:00"/>
    <n v="-3.52"/>
    <n v="-3.4"/>
    <n v="-2.8800000000000026"/>
    <n v="84.48"/>
    <x v="19"/>
    <s v="Sell"/>
    <n v="81.599999999999994"/>
    <x v="1"/>
    <x v="3"/>
    <n v="2025"/>
    <s v="Sell"/>
    <x v="0"/>
    <x v="83"/>
  </r>
  <r>
    <s v="Feb EFP 1"/>
    <d v="2025-03-10T00:00:00"/>
    <s v="WTI-Brent"/>
    <s v="Hedge"/>
    <n v="700"/>
    <d v="2025-02-28T00:00:00"/>
    <d v="2025-02-28T00:00:00"/>
    <n v="-3.52"/>
    <n v="-3.4"/>
    <n v="84.000000000000071"/>
    <n v="-2464"/>
    <x v="19"/>
    <s v="Buy"/>
    <n v="-2380"/>
    <x v="1"/>
    <x v="3"/>
    <n v="2025"/>
    <s v="Buy"/>
    <x v="0"/>
    <x v="84"/>
  </r>
  <r>
    <s v="Feb EFP 2"/>
    <d v="2025-03-10T00:00:00"/>
    <s v="WTI-Brent"/>
    <s v="Hedge"/>
    <n v="700"/>
    <d v="2025-02-28T00:00:00"/>
    <d v="2025-02-28T00:00:00"/>
    <n v="-3.52"/>
    <n v="-3.4"/>
    <n v="84.000000000000071"/>
    <n v="-2464"/>
    <x v="19"/>
    <s v="Buy"/>
    <n v="-2380"/>
    <x v="1"/>
    <x v="3"/>
    <n v="2025"/>
    <s v="Buy"/>
    <x v="0"/>
    <x v="85"/>
  </r>
  <r>
    <s v="Feb EFP 3"/>
    <d v="2025-03-10T00:00:00"/>
    <s v="WTI-Brent"/>
    <s v="Hedge"/>
    <n v="707"/>
    <d v="2025-02-28T00:00:00"/>
    <d v="2025-02-28T00:00:00"/>
    <n v="-3.52"/>
    <n v="-3.4"/>
    <n v="84.840000000000074"/>
    <n v="-2488.64"/>
    <x v="19"/>
    <s v="Buy"/>
    <n v="-2403.7999999999997"/>
    <x v="1"/>
    <x v="3"/>
    <n v="2025"/>
    <s v="Buy"/>
    <x v="0"/>
    <x v="86"/>
  </r>
  <r>
    <s v="Gunvor FOB Dec 6-7"/>
    <d v="2025-03-10T00:00:00"/>
    <s v="WTI-Brent"/>
    <s v="Hedge"/>
    <n v="700"/>
    <d v="2025-02-28T00:00:00"/>
    <d v="2025-02-28T00:00:00"/>
    <n v="-3.52"/>
    <n v="-3.4"/>
    <n v="84.000000000000071"/>
    <n v="-2464"/>
    <x v="19"/>
    <s v="Buy"/>
    <n v="-2380"/>
    <x v="1"/>
    <x v="3"/>
    <n v="2025"/>
    <s v="Buy"/>
    <x v="0"/>
    <x v="87"/>
  </r>
  <r>
    <s v="HDO Feb 5-15"/>
    <d v="2025-03-10T00:00:00"/>
    <s v="WTI-Brent"/>
    <s v="Hedge"/>
    <n v="47"/>
    <d v="2025-02-28T00:00:00"/>
    <d v="2025-02-28T00:00:00"/>
    <n v="-3.52"/>
    <n v="-3.4"/>
    <n v="5.640000000000005"/>
    <n v="-165.44"/>
    <x v="19"/>
    <s v="Buy"/>
    <n v="-159.79999999999998"/>
    <x v="1"/>
    <x v="3"/>
    <n v="2025"/>
    <s v="Buy"/>
    <x v="0"/>
    <x v="88"/>
  </r>
  <r>
    <s v="Jan 4-6 KAL Afra"/>
    <d v="2025-03-10T00:00:00"/>
    <s v="WTI-Brent"/>
    <s v="Hedge"/>
    <n v="735"/>
    <d v="2025-02-28T00:00:00"/>
    <d v="2025-02-28T00:00:00"/>
    <n v="-3.52"/>
    <n v="-3.4"/>
    <n v="88.200000000000074"/>
    <n v="-2587.1999999999998"/>
    <x v="19"/>
    <s v="Buy"/>
    <n v="-2499"/>
    <x v="1"/>
    <x v="3"/>
    <n v="2025"/>
    <s v="Buy"/>
    <x v="0"/>
    <x v="89"/>
  </r>
  <r>
    <s v="Unallocated"/>
    <d v="2025-03-10T00:00:00"/>
    <s v="WTI-Brent"/>
    <s v="Hedge"/>
    <n v="-4865"/>
    <d v="2025-02-28T00:00:00"/>
    <d v="2025-02-28T00:00:00"/>
    <n v="-3.52"/>
    <n v="-3.4"/>
    <n v="-583.80000000000052"/>
    <n v="17124.8"/>
    <x v="19"/>
    <s v="Sell"/>
    <n v="16541"/>
    <x v="1"/>
    <x v="3"/>
    <n v="2025"/>
    <s v="Sell"/>
    <x v="0"/>
    <x v="90"/>
  </r>
  <r>
    <s v="BPCL DES India March 16-22"/>
    <d v="2025-03-10T00:00:00"/>
    <s v="WTI-Brent"/>
    <s v="Hedge"/>
    <n v="2079"/>
    <d v="2025-03-31T00:00:00"/>
    <d v="2025-03-31T00:00:00"/>
    <n v="-3.5"/>
    <n v="-4.2300000000000004"/>
    <n v="-1517.670000000001"/>
    <n v="-7276.5"/>
    <x v="20"/>
    <s v="Buy"/>
    <n v="-8794.17"/>
    <x v="1"/>
    <x v="3"/>
    <n v="2025"/>
    <s v="Buy"/>
    <x v="0"/>
    <x v="91"/>
  </r>
  <r>
    <s v="CIF RDAM Jan 12-14 Load (BP)"/>
    <d v="2025-03-10T00:00:00"/>
    <s v="WTI-Brent"/>
    <s v="Hedge"/>
    <n v="704"/>
    <d v="2025-03-31T00:00:00"/>
    <d v="2025-03-31T00:00:00"/>
    <n v="-3.5"/>
    <n v="-4.2300000000000004"/>
    <n v="-513.9200000000003"/>
    <n v="-2464"/>
    <x v="20"/>
    <s v="Buy"/>
    <n v="-2977.92"/>
    <x v="1"/>
    <x v="3"/>
    <n v="2025"/>
    <s v="Buy"/>
    <x v="0"/>
    <x v="92"/>
  </r>
  <r>
    <s v="CPC TAIWAN MARCH 11-15"/>
    <d v="2025-03-10T00:00:00"/>
    <s v="WTI-Brent"/>
    <s v="Hedge"/>
    <n v="2096"/>
    <d v="2025-03-31T00:00:00"/>
    <d v="2025-03-31T00:00:00"/>
    <n v="-3.5"/>
    <n v="-4.2300000000000004"/>
    <n v="-1530.0800000000008"/>
    <n v="-7336"/>
    <x v="20"/>
    <s v="Buy"/>
    <n v="-8866.0800000000017"/>
    <x v="1"/>
    <x v="3"/>
    <n v="2025"/>
    <s v="Buy"/>
    <x v="0"/>
    <x v="93"/>
  </r>
  <r>
    <s v="Mitsui CIF Rdam Jan 27-29"/>
    <d v="2025-03-10T00:00:00"/>
    <s v="WTI-Brent"/>
    <s v="Hedge"/>
    <n v="735"/>
    <d v="2025-03-31T00:00:00"/>
    <d v="2025-03-31T00:00:00"/>
    <n v="-3.5"/>
    <n v="-4.2300000000000004"/>
    <n v="-536.5500000000003"/>
    <n v="-2572.5"/>
    <x v="20"/>
    <s v="Buy"/>
    <n v="-3109.05"/>
    <x v="1"/>
    <x v="3"/>
    <n v="2025"/>
    <s v="Buy"/>
    <x v="0"/>
    <x v="94"/>
  </r>
  <r>
    <s v="Unallocated"/>
    <d v="2025-03-10T00:00:00"/>
    <s v="WTI-Brent"/>
    <s v="Hedge"/>
    <n v="-5614"/>
    <d v="2025-03-31T00:00:00"/>
    <d v="2025-03-31T00:00:00"/>
    <n v="-3.5"/>
    <n v="-4.2300000000000004"/>
    <n v="4098.2200000000021"/>
    <n v="19649"/>
    <x v="20"/>
    <s v="Sell"/>
    <n v="23747.22"/>
    <x v="1"/>
    <x v="3"/>
    <n v="2025"/>
    <s v="Sell"/>
    <x v="0"/>
    <x v="95"/>
  </r>
  <r>
    <s v="HDO April 12-22 25"/>
    <d v="2025-03-10T00:00:00"/>
    <s v="WTI-Brent"/>
    <s v="Hedge"/>
    <n v="68"/>
    <d v="2025-04-30T00:00:00"/>
    <d v="2025-04-30T00:00:00"/>
    <n v="-9.3800000000000008"/>
    <n v="-3.42"/>
    <n v="405.28000000000009"/>
    <n v="-637.84"/>
    <x v="21"/>
    <s v="Buy"/>
    <n v="-232.56"/>
    <x v="1"/>
    <x v="3"/>
    <n v="2025"/>
    <s v="Buy"/>
    <x v="0"/>
    <x v="96"/>
  </r>
  <r>
    <s v="Unallocated"/>
    <d v="2025-03-10T00:00:00"/>
    <s v="WTI-Brent"/>
    <s v="Hedge"/>
    <n v="-68"/>
    <d v="2025-04-30T00:00:00"/>
    <d v="2025-04-30T00:00:00"/>
    <n v="-9.3800000000000008"/>
    <n v="-3.42"/>
    <n v="-405.28000000000009"/>
    <n v="637.84"/>
    <x v="21"/>
    <s v="Sell"/>
    <n v="232.56"/>
    <x v="1"/>
    <x v="3"/>
    <n v="2025"/>
    <s v="Sell"/>
    <x v="0"/>
    <x v="97"/>
  </r>
  <r>
    <s v="Feb EFP 4"/>
    <d v="2025-03-10T00:00:00"/>
    <s v="WTI-Brent"/>
    <s v="Hedge"/>
    <n v="700"/>
    <d v="2025-05-31T00:00:00"/>
    <d v="2025-05-31T00:00:00"/>
    <n v="-3.83"/>
    <n v="-3.26"/>
    <n v="399.00000000000023"/>
    <n v="-2681"/>
    <x v="22"/>
    <s v="Buy"/>
    <n v="-2282"/>
    <x v="1"/>
    <x v="3"/>
    <n v="2025"/>
    <s v="Buy"/>
    <x v="0"/>
    <x v="98"/>
  </r>
  <r>
    <s v="Unallocated"/>
    <d v="2025-03-10T00:00:00"/>
    <s v="WTI-Brent"/>
    <s v="Hedge"/>
    <n v="-700"/>
    <d v="2025-05-31T00:00:00"/>
    <d v="2025-05-31T00:00:00"/>
    <n v="-3.83"/>
    <n v="-3.26"/>
    <n v="-399.00000000000023"/>
    <n v="2681"/>
    <x v="22"/>
    <s v="Sell"/>
    <n v="2282"/>
    <x v="1"/>
    <x v="3"/>
    <n v="2025"/>
    <s v="Sell"/>
    <x v="0"/>
    <x v="99"/>
  </r>
  <r>
    <s v="Vitol FOB March Bookout"/>
    <d v="2025-03-10T00:00:00"/>
    <s v="WTI-Brent"/>
    <s v="Hedge"/>
    <n v="300"/>
    <d v="2025-05-31T00:00:00"/>
    <d v="2025-05-31T00:00:00"/>
    <n v="-3.83"/>
    <n v="-3.26"/>
    <n v="171.00000000000009"/>
    <n v="-1149"/>
    <x v="22"/>
    <s v="Buy"/>
    <n v="-977.99999999999989"/>
    <x v="1"/>
    <x v="3"/>
    <n v="2025"/>
    <s v="Buy"/>
    <x v="0"/>
    <x v="100"/>
  </r>
  <r>
    <s v="Unallocated"/>
    <d v="2025-03-10T00:00:00"/>
    <s v="WTI-Brent"/>
    <s v="Hedge"/>
    <n v="-300"/>
    <d v="2025-05-31T00:00:00"/>
    <d v="2025-05-31T00:00:00"/>
    <n v="-3.83"/>
    <n v="-3.26"/>
    <n v="-171.00000000000009"/>
    <n v="1149"/>
    <x v="22"/>
    <s v="Sell"/>
    <n v="977.99999999999989"/>
    <x v="1"/>
    <x v="3"/>
    <n v="2025"/>
    <s v="Sell"/>
    <x v="0"/>
    <x v="101"/>
  </r>
  <r>
    <s v="Oct 27-29 KAL Afra"/>
    <d v="2025-03-11T00:00:00"/>
    <s v="DFL"/>
    <s v="Expo"/>
    <n v="-700"/>
    <d v="2024-10-31T00:00:00"/>
    <d v="2024-10-31T00:00:00"/>
    <n v="0.27"/>
    <n v="0.27"/>
    <n v="0"/>
    <n v="-189"/>
    <x v="23"/>
    <s v="Sell"/>
    <n v="-189"/>
    <x v="1"/>
    <x v="1"/>
    <n v="2024"/>
    <s v="Sell"/>
    <x v="0"/>
    <x v="102"/>
  </r>
  <r>
    <s v="Unallocated"/>
    <d v="2025-03-11T00:00:00"/>
    <s v="DFL"/>
    <s v="Expo"/>
    <n v="-197"/>
    <d v="2024-11-30T00:00:00"/>
    <d v="2024-11-30T00:00:00"/>
    <n v="1.04"/>
    <n v="1.04"/>
    <n v="0"/>
    <n v="-204.88"/>
    <x v="24"/>
    <s v="Sell"/>
    <n v="-204.88"/>
    <x v="1"/>
    <x v="1"/>
    <n v="2024"/>
    <s v="Sell"/>
    <x v="0"/>
    <x v="103"/>
  </r>
  <r>
    <s v="Unallocated"/>
    <d v="2025-03-11T00:00:00"/>
    <s v="DFL"/>
    <s v="Expo"/>
    <n v="-4683"/>
    <d v="2024-12-31T00:00:00"/>
    <d v="2024-12-31T00:00:00"/>
    <n v="0.82"/>
    <n v="0.82"/>
    <n v="0"/>
    <n v="-3840.06"/>
    <x v="17"/>
    <s v="Sell"/>
    <n v="-3840.06"/>
    <x v="1"/>
    <x v="1"/>
    <n v="2024"/>
    <s v="Sell"/>
    <x v="0"/>
    <x v="104"/>
  </r>
  <r>
    <s v="Jan 4-6 KAL Afra"/>
    <d v="2025-03-06T00:00:00"/>
    <s v="DFL"/>
    <s v="Hedge"/>
    <n v="293"/>
    <d v="2024-11-30T00:00:00"/>
    <d v="2024-11-30T00:00:00"/>
    <n v="0.24"/>
    <n v="1.04"/>
    <n v="234.4"/>
    <n v="70.319999999999993"/>
    <x v="24"/>
    <s v="Buy"/>
    <n v="304.72000000000003"/>
    <x v="1"/>
    <x v="1"/>
    <n v="2024"/>
    <s v="Buy"/>
    <x v="0"/>
    <x v="105"/>
  </r>
  <r>
    <s v="Nov 19-21 Shell Rdam VLCC"/>
    <d v="2025-03-06T00:00:00"/>
    <s v="DFL"/>
    <s v="Hedge"/>
    <n v="-2100"/>
    <d v="2024-11-30T00:00:00"/>
    <d v="2024-11-30T00:00:00"/>
    <n v="0.24"/>
    <n v="1.04"/>
    <n v="-1680"/>
    <n v="-504"/>
    <x v="24"/>
    <s v="Sell"/>
    <n v="-2184"/>
    <x v="1"/>
    <x v="1"/>
    <n v="2024"/>
    <s v="Sell"/>
    <x v="0"/>
    <x v="106"/>
  </r>
  <r>
    <s v="Nov 22-26 Tranmere Afra"/>
    <d v="2025-03-06T00:00:00"/>
    <s v="DFL"/>
    <s v="Hedge"/>
    <n v="-690"/>
    <d v="2024-11-30T00:00:00"/>
    <d v="2024-11-30T00:00:00"/>
    <n v="0.24"/>
    <n v="1.04"/>
    <n v="-552"/>
    <n v="-165.6"/>
    <x v="24"/>
    <s v="Sell"/>
    <n v="-717.6"/>
    <x v="1"/>
    <x v="1"/>
    <n v="2024"/>
    <s v="Sell"/>
    <x v="0"/>
    <x v="107"/>
  </r>
  <r>
    <s v="Unallocated"/>
    <d v="2025-03-06T00:00:00"/>
    <s v="DFL"/>
    <s v="Hedge"/>
    <n v="2497"/>
    <d v="2024-11-30T00:00:00"/>
    <d v="2024-11-30T00:00:00"/>
    <n v="0.24"/>
    <n v="1.04"/>
    <n v="1997.6000000000001"/>
    <n v="599.28"/>
    <x v="24"/>
    <s v="Buy"/>
    <n v="2596.88"/>
    <x v="1"/>
    <x v="1"/>
    <n v="2024"/>
    <s v="Buy"/>
    <x v="0"/>
    <x v="108"/>
  </r>
  <r>
    <s v="CPC TAIWAN JAN 8-14"/>
    <d v="2025-03-06T00:00:00"/>
    <s v="DFL"/>
    <s v="Hedge"/>
    <n v="-2050"/>
    <d v="2024-12-31T00:00:00"/>
    <d v="2024-12-31T00:00:00"/>
    <n v="0.91"/>
    <n v="0.82"/>
    <n v="184.50000000000017"/>
    <n v="-1865.5"/>
    <x v="17"/>
    <s v="Sell"/>
    <n v="-1681"/>
    <x v="1"/>
    <x v="1"/>
    <n v="2024"/>
    <s v="Sell"/>
    <x v="0"/>
    <x v="109"/>
  </r>
  <r>
    <s v="Dec 15-25 EXTAP VLCC"/>
    <d v="2025-03-06T00:00:00"/>
    <s v="DFL"/>
    <s v="Hedge"/>
    <n v="-2083"/>
    <d v="2024-12-31T00:00:00"/>
    <d v="2024-12-31T00:00:00"/>
    <n v="0.91"/>
    <n v="0.82"/>
    <n v="187.47000000000017"/>
    <n v="-1895.53"/>
    <x v="17"/>
    <s v="Sell"/>
    <n v="-1708.06"/>
    <x v="1"/>
    <x v="1"/>
    <n v="2024"/>
    <s v="Sell"/>
    <x v="0"/>
    <x v="110"/>
  </r>
  <r>
    <s v="EOY Flattening Out"/>
    <d v="2025-03-06T00:00:00"/>
    <s v="DFL"/>
    <s v="Hedge"/>
    <n v="0"/>
    <d v="2024-12-31T00:00:00"/>
    <d v="2024-12-31T00:00:00"/>
    <n v="0.91"/>
    <n v="0.82"/>
    <n v="0"/>
    <n v="0"/>
    <x v="17"/>
    <s v="Buy"/>
    <n v="0"/>
    <x v="1"/>
    <x v="1"/>
    <n v="2024"/>
    <s v="Sell"/>
    <x v="0"/>
    <x v="111"/>
  </r>
  <r>
    <s v="Unallocated"/>
    <d v="2025-03-06T00:00:00"/>
    <s v="DFL"/>
    <s v="Hedge"/>
    <n v="4133"/>
    <d v="2024-12-31T00:00:00"/>
    <d v="2024-12-31T00:00:00"/>
    <n v="0.91"/>
    <n v="0.82"/>
    <n v="-371.97000000000031"/>
    <n v="3761.03"/>
    <x v="17"/>
    <s v="Buy"/>
    <n v="3389.06"/>
    <x v="1"/>
    <x v="1"/>
    <n v="2024"/>
    <s v="Buy"/>
    <x v="0"/>
    <x v="112"/>
  </r>
  <r>
    <s v="CIF RDAM Jan 12-14 Load (BP)"/>
    <d v="2025-03-06T00:00:00"/>
    <s v="DFL"/>
    <s v="Hedge"/>
    <n v="-704"/>
    <d v="2025-01-31T00:00:00"/>
    <d v="2025-01-31T00:00:00"/>
    <n v="0.86"/>
    <n v="0.93"/>
    <n v="-49.280000000000044"/>
    <n v="-605.43999999999994"/>
    <x v="18"/>
    <s v="Sell"/>
    <n v="-654.72"/>
    <x v="1"/>
    <x v="1"/>
    <n v="2025"/>
    <s v="Sell"/>
    <x v="0"/>
    <x v="113"/>
  </r>
  <r>
    <s v="CPC TAIWAN FEB 20-24"/>
    <d v="2025-03-06T00:00:00"/>
    <s v="DFL"/>
    <s v="Hedge"/>
    <n v="-2000"/>
    <d v="2025-01-31T00:00:00"/>
    <d v="2025-01-31T00:00:00"/>
    <n v="0.86"/>
    <n v="0.93"/>
    <n v="-140.00000000000011"/>
    <n v="-1720"/>
    <x v="18"/>
    <s v="Sell"/>
    <n v="-1860"/>
    <x v="1"/>
    <x v="1"/>
    <n v="2025"/>
    <s v="Sell"/>
    <x v="0"/>
    <x v="114"/>
  </r>
  <r>
    <s v="Jan 1-10 EXTAP VLCC"/>
    <d v="2025-03-06T00:00:00"/>
    <s v="DFL"/>
    <s v="Hedge"/>
    <n v="-2069"/>
    <d v="2025-01-31T00:00:00"/>
    <d v="2025-01-31T00:00:00"/>
    <n v="0.86"/>
    <n v="0.93"/>
    <n v="-144.83000000000013"/>
    <n v="-1779.34"/>
    <x v="18"/>
    <s v="Sell"/>
    <n v="-1924.17"/>
    <x v="1"/>
    <x v="1"/>
    <n v="2025"/>
    <s v="Sell"/>
    <x v="0"/>
    <x v="115"/>
  </r>
  <r>
    <s v="Jan 4-6 KAL Afra"/>
    <d v="2025-03-06T00:00:00"/>
    <s v="DFL"/>
    <s v="Hedge"/>
    <n v="-735"/>
    <d v="2025-01-31T00:00:00"/>
    <d v="2025-01-31T00:00:00"/>
    <n v="0.86"/>
    <n v="0.93"/>
    <n v="-51.450000000000045"/>
    <n v="-632.1"/>
    <x v="18"/>
    <s v="Sell"/>
    <n v="-683.55000000000007"/>
    <x v="1"/>
    <x v="1"/>
    <n v="2025"/>
    <s v="Sell"/>
    <x v="0"/>
    <x v="116"/>
  </r>
  <r>
    <s v="Mitsui CIF Rdam Jan 27-29"/>
    <d v="2025-03-06T00:00:00"/>
    <s v="DFL"/>
    <s v="Hedge"/>
    <n v="-735"/>
    <d v="2025-01-31T00:00:00"/>
    <d v="2025-01-31T00:00:00"/>
    <n v="0.86"/>
    <n v="0.93"/>
    <n v="-51.450000000000045"/>
    <n v="-632.1"/>
    <x v="18"/>
    <s v="Sell"/>
    <n v="-683.55000000000007"/>
    <x v="1"/>
    <x v="1"/>
    <n v="2025"/>
    <s v="Sell"/>
    <x v="0"/>
    <x v="117"/>
  </r>
  <r>
    <s v="Unallocated"/>
    <d v="2025-03-06T00:00:00"/>
    <s v="DFL"/>
    <s v="Hedge"/>
    <n v="6243"/>
    <d v="2025-01-31T00:00:00"/>
    <d v="2025-01-31T00:00:00"/>
    <n v="0.86"/>
    <n v="0.93"/>
    <n v="437.01000000000039"/>
    <n v="5368.98"/>
    <x v="18"/>
    <s v="Buy"/>
    <n v="5805.9900000000007"/>
    <x v="1"/>
    <x v="1"/>
    <n v="2025"/>
    <s v="Buy"/>
    <x v="0"/>
    <x v="118"/>
  </r>
  <r>
    <s v="CPC TAIWAN MARCH 11-15"/>
    <d v="2025-03-06T00:00:00"/>
    <s v="DFL"/>
    <s v="Hedge"/>
    <n v="-1596"/>
    <d v="2025-02-28T00:00:00"/>
    <d v="2025-02-28T00:00:00"/>
    <n v="0.95"/>
    <n v="0.22"/>
    <n v="1165.08"/>
    <n v="-1516.1999999999998"/>
    <x v="19"/>
    <s v="Sell"/>
    <n v="-351.12"/>
    <x v="1"/>
    <x v="1"/>
    <n v="2025"/>
    <s v="Sell"/>
    <x v="0"/>
    <x v="119"/>
  </r>
  <r>
    <s v="EXTAP Feb 15-25"/>
    <d v="2025-03-06T00:00:00"/>
    <s v="DFL"/>
    <s v="Hedge"/>
    <n v="-2076"/>
    <d v="2025-02-28T00:00:00"/>
    <d v="2025-02-28T00:00:00"/>
    <n v="0.95"/>
    <n v="0.22"/>
    <n v="1515.48"/>
    <n v="-1972.1999999999998"/>
    <x v="19"/>
    <s v="Sell"/>
    <n v="-456.72"/>
    <x v="1"/>
    <x v="1"/>
    <n v="2025"/>
    <s v="Sell"/>
    <x v="0"/>
    <x v="120"/>
  </r>
  <r>
    <s v="Unallocated"/>
    <d v="2025-03-06T00:00:00"/>
    <s v="DFL"/>
    <s v="Hedge"/>
    <n v="3672"/>
    <d v="2025-02-28T00:00:00"/>
    <d v="2025-02-28T00:00:00"/>
    <n v="0.95"/>
    <n v="0.22"/>
    <n v="-2680.56"/>
    <n v="3488.3999999999996"/>
    <x v="19"/>
    <s v="Buy"/>
    <n v="807.84"/>
    <x v="1"/>
    <x v="1"/>
    <n v="2025"/>
    <s v="Buy"/>
    <x v="0"/>
    <x v="121"/>
  </r>
  <r>
    <s v="Jan 4-6 KAL Afra"/>
    <d v="2023-10-07T00:00:00"/>
    <s v="Brent Sprds"/>
    <s v="Expo"/>
    <n v="-707"/>
    <d v="2024-12-31T00:00:00"/>
    <d v="2025-01-31T00:00:00"/>
    <n v="0.5"/>
    <n v="0.35"/>
    <n v="106.05000000000001"/>
    <n v="-353.5"/>
    <x v="11"/>
    <s v="Sell"/>
    <n v="-247.45"/>
    <x v="0"/>
    <x v="2"/>
    <n v="2024"/>
    <s v="Sell"/>
    <x v="0"/>
    <x v="122"/>
  </r>
  <r>
    <s v="Dec 15-25 EXTAP VLCC"/>
    <d v="2023-10-07T00:00:00"/>
    <s v="Brent Sprds"/>
    <s v="Expo"/>
    <n v="-2083"/>
    <d v="2025-01-31T00:00:00"/>
    <d v="2025-02-28T00:00:00"/>
    <n v="0.26"/>
    <n v="1.1000000000000001"/>
    <n v="-1749.7200000000003"/>
    <n v="-541.58000000000004"/>
    <x v="12"/>
    <s v="Sell"/>
    <n v="-2291.3000000000002"/>
    <x v="0"/>
    <x v="2"/>
    <n v="2025"/>
    <s v="Sell"/>
    <x v="0"/>
    <x v="123"/>
  </r>
  <r>
    <s v="Nov 19-21 Shell Rdam VLCC"/>
    <d v="2023-10-07T00:00:00"/>
    <s v="Brent Sprds"/>
    <s v="Expo"/>
    <n v="-2100"/>
    <d v="2024-12-31T00:00:00"/>
    <d v="2025-01-31T00:00:00"/>
    <n v="0.5"/>
    <n v="0.35"/>
    <n v="315.00000000000006"/>
    <n v="-1050"/>
    <x v="11"/>
    <s v="Sell"/>
    <n v="-735"/>
    <x v="0"/>
    <x v="2"/>
    <n v="2024"/>
    <s v="Sell"/>
    <x v="0"/>
    <x v="124"/>
  </r>
  <r>
    <s v="Jan 4-6 KAL Afra"/>
    <d v="2023-10-07T00:00:00"/>
    <s v="DFL"/>
    <s v="Expo"/>
    <n v="707"/>
    <d v="2024-11-30T00:00:00"/>
    <d v="2024-11-30T00:00:00"/>
    <n v="0.13"/>
    <n v="1.04"/>
    <n v="643.37"/>
    <n v="91.91"/>
    <x v="24"/>
    <s v="Buy"/>
    <n v="735.28"/>
    <x v="1"/>
    <x v="1"/>
    <n v="2024"/>
    <s v="Buy"/>
    <x v="0"/>
    <x v="125"/>
  </r>
  <r>
    <s v="Dec 15-25 EXTAP VLCC"/>
    <d v="2023-10-07T00:00:00"/>
    <s v="DFL"/>
    <s v="Expo"/>
    <n v="2083"/>
    <d v="2024-12-31T00:00:00"/>
    <d v="2024-12-31T00:00:00"/>
    <n v="0.06"/>
    <n v="0.82"/>
    <n v="1583.08"/>
    <n v="124.97999999999999"/>
    <x v="17"/>
    <s v="Buy"/>
    <n v="1708.06"/>
    <x v="1"/>
    <x v="1"/>
    <n v="2024"/>
    <s v="Buy"/>
    <x v="0"/>
    <x v="126"/>
  </r>
  <r>
    <s v="Nov 19-21 Shell Rdam VLCC"/>
    <d v="2023-10-07T00:00:00"/>
    <s v="DFL"/>
    <s v="Expo"/>
    <n v="2100"/>
    <d v="2024-11-30T00:00:00"/>
    <d v="2024-11-30T00:00:00"/>
    <n v="0.13"/>
    <n v="1.04"/>
    <n v="1911"/>
    <n v="273"/>
    <x v="24"/>
    <s v="Buy"/>
    <n v="2184"/>
    <x v="1"/>
    <x v="1"/>
    <n v="2024"/>
    <s v="Buy"/>
    <x v="0"/>
    <x v="127"/>
  </r>
  <r>
    <s v="Jan 4-6 KAL Afra"/>
    <d v="2023-10-07T00:00:00"/>
    <s v="WTI Sprds"/>
    <s v="Expo"/>
    <n v="-707"/>
    <d v="2024-11-30T00:00:00"/>
    <d v="2024-12-31T00:00:00"/>
    <n v="0.5"/>
    <n v="0.52"/>
    <n v="-14.140000000000013"/>
    <n v="-353.5"/>
    <x v="10"/>
    <s v="Sell"/>
    <n v="-367.64"/>
    <x v="0"/>
    <x v="0"/>
    <n v="2024"/>
    <s v="Sell"/>
    <x v="0"/>
    <x v="128"/>
  </r>
  <r>
    <s v="Nov 19-21 Shell Rdam VLCC"/>
    <d v="2023-10-07T00:00:00"/>
    <s v="WTI Sprds"/>
    <s v="Expo"/>
    <n v="-2100"/>
    <d v="2024-11-30T00:00:00"/>
    <d v="2024-12-31T00:00:00"/>
    <n v="0.5"/>
    <n v="0.52"/>
    <n v="-42.000000000000036"/>
    <n v="-1050"/>
    <x v="10"/>
    <s v="Sell"/>
    <n v="-1092"/>
    <x v="0"/>
    <x v="0"/>
    <n v="2024"/>
    <s v="Sell"/>
    <x v="0"/>
    <x v="129"/>
  </r>
  <r>
    <s v="Jan 4-6 KAL Afra"/>
    <d v="2023-10-07T00:00:00"/>
    <s v="WTI-Brent"/>
    <s v="Expo"/>
    <n v="-707"/>
    <d v="2024-12-31T00:00:00"/>
    <d v="2024-12-31T00:00:00"/>
    <n v="-4.28"/>
    <n v="-3.9"/>
    <n v="-268.66000000000025"/>
    <n v="3025.96"/>
    <x v="17"/>
    <s v="Sell"/>
    <n v="2757.2999999999997"/>
    <x v="1"/>
    <x v="3"/>
    <n v="2024"/>
    <s v="Sell"/>
    <x v="0"/>
    <x v="130"/>
  </r>
  <r>
    <s v="Nov 19-21 Shell Rdam VLCC"/>
    <d v="2023-10-07T00:00:00"/>
    <s v="WTI-Brent"/>
    <s v="Expo"/>
    <n v="-2100"/>
    <d v="2024-12-31T00:00:00"/>
    <d v="2024-12-31T00:00:00"/>
    <n v="-4.28"/>
    <n v="-3.9"/>
    <n v="-798.00000000000068"/>
    <n v="8988"/>
    <x v="17"/>
    <s v="Sell"/>
    <n v="8190"/>
    <x v="1"/>
    <x v="3"/>
    <n v="2024"/>
    <s v="Sell"/>
    <x v="0"/>
    <x v="131"/>
  </r>
  <r>
    <s v="Jan 4-6 KAL Afra"/>
    <d v="2023-10-08T00:00:00"/>
    <s v="Physical"/>
    <s v="Expo"/>
    <n v="707"/>
    <d v="2023-01-31T00:00:00"/>
    <d v="2023-01-31T00:00:00"/>
    <n v="1.4"/>
    <n v="1.4"/>
    <n v="0"/>
    <n v="989.8"/>
    <x v="25"/>
    <s v="Buy"/>
    <n v="989.8"/>
    <x v="2"/>
    <x v="4"/>
    <n v="2023"/>
    <s v="Buy"/>
    <x v="1"/>
    <x v="132"/>
  </r>
  <r>
    <s v="Nov 19-21 Shell Rdam VLCC"/>
    <d v="2023-10-08T00:00:00"/>
    <s v="Physical"/>
    <s v="Expo"/>
    <n v="2100"/>
    <d v="2023-01-31T00:00:00"/>
    <d v="2023-01-31T00:00:00"/>
    <n v="2.15"/>
    <n v="2.4500000000000002"/>
    <n v="630.00000000000057"/>
    <n v="4515"/>
    <x v="25"/>
    <s v="Buy"/>
    <n v="5145"/>
    <x v="2"/>
    <x v="4"/>
    <n v="2023"/>
    <s v="Buy"/>
    <x v="1"/>
    <x v="133"/>
  </r>
  <r>
    <s v="Spec"/>
    <d v="2024-06-18T00:00:00"/>
    <s v="WTI Sprds-Fly"/>
    <s v="Hedge"/>
    <n v="0"/>
    <d v="2024-09-30T00:00:00"/>
    <d v="2024-10-31T00:00:00"/>
    <n v="0.77"/>
    <e v="#N/A"/>
    <s v=""/>
    <n v="0"/>
    <x v="26"/>
    <s v="Buy"/>
    <e v="#N/A"/>
    <x v="0"/>
    <x v="0"/>
    <n v="2024"/>
    <s v="Sell"/>
    <x v="0"/>
    <x v="134"/>
  </r>
  <r>
    <s v="Nov 22-26 Tranmere Afra"/>
    <d v="2024-10-08T00:00:00"/>
    <s v="DFL"/>
    <s v="Expo"/>
    <n v="690"/>
    <d v="2024-11-30T00:00:00"/>
    <d v="2024-11-30T00:00:00"/>
    <n v="0.13"/>
    <n v="1.04"/>
    <n v="627.9"/>
    <n v="89.7"/>
    <x v="24"/>
    <s v="Buy"/>
    <n v="717.6"/>
    <x v="1"/>
    <x v="1"/>
    <n v="2024"/>
    <s v="Buy"/>
    <x v="0"/>
    <x v="135"/>
  </r>
  <r>
    <s v="Nov 22-26 Tranmere Afra"/>
    <d v="2024-10-08T00:00:00"/>
    <s v="Freight-TD25"/>
    <s v="Expo"/>
    <n v="-690"/>
    <d v="2024-11-30T00:00:00"/>
    <d v="2024-11-30T00:00:00"/>
    <n v="170"/>
    <n v="166"/>
    <n v="-55.2"/>
    <n v="-117300"/>
    <x v="24"/>
    <s v="Sell"/>
    <n v="-114540"/>
    <x v="3"/>
    <x v="5"/>
    <n v="2024"/>
    <s v="Sell"/>
    <x v="0"/>
    <x v="136"/>
  </r>
  <r>
    <s v="Nov 22-26 Tranmere Afra"/>
    <d v="2024-10-08T00:00:00"/>
    <s v="Freight-TD25"/>
    <s v="Expo"/>
    <n v="690"/>
    <d v="2024-11-30T00:00:00"/>
    <d v="2024-11-30T00:00:00"/>
    <n v="170"/>
    <n v="166"/>
    <n v="56"/>
    <n v="117300"/>
    <x v="24"/>
    <s v="Buy"/>
    <n v="114540"/>
    <x v="3"/>
    <x v="5"/>
    <n v="2024"/>
    <s v="Buy"/>
    <x v="0"/>
    <x v="137"/>
  </r>
  <r>
    <s v="Nov 22-26 Tranmere Afra"/>
    <d v="2024-10-08T00:00:00"/>
    <s v="Physical"/>
    <s v="Expo"/>
    <n v="-690"/>
    <d v="2023-01-31T00:00:00"/>
    <d v="2023-01-31T00:00:00"/>
    <n v="1.75"/>
    <n v="1.75"/>
    <n v="0"/>
    <n v="-1207.5"/>
    <x v="25"/>
    <s v="Sell"/>
    <n v="-1207.5"/>
    <x v="2"/>
    <x v="4"/>
    <n v="2023"/>
    <s v="Sell"/>
    <x v="1"/>
    <x v="138"/>
  </r>
  <r>
    <s v="Nov 22-26 Tranmere Afra"/>
    <d v="2024-10-08T00:00:00"/>
    <s v="WTI Sprds"/>
    <s v="Expo"/>
    <n v="-690"/>
    <d v="2024-11-30T00:00:00"/>
    <d v="2024-12-31T00:00:00"/>
    <n v="0.57999999999999996"/>
    <n v="0.52"/>
    <n v="41.399999999999963"/>
    <n v="-400.2"/>
    <x v="10"/>
    <s v="Sell"/>
    <n v="-358.8"/>
    <x v="0"/>
    <x v="0"/>
    <n v="2024"/>
    <s v="Sell"/>
    <x v="0"/>
    <x v="139"/>
  </r>
  <r>
    <s v="Nov 22-26 Tranmere Afra"/>
    <d v="2024-10-08T00:00:00"/>
    <s v="WTI Sprds"/>
    <s v="Expo"/>
    <n v="-690"/>
    <d v="2024-12-31T00:00:00"/>
    <d v="2025-01-31T00:00:00"/>
    <n v="0.44"/>
    <n v="0.15"/>
    <n v="200.10000000000002"/>
    <n v="-303.60000000000002"/>
    <x v="11"/>
    <s v="Sell"/>
    <n v="-103.5"/>
    <x v="0"/>
    <x v="0"/>
    <n v="2024"/>
    <s v="Sell"/>
    <x v="0"/>
    <x v="140"/>
  </r>
  <r>
    <s v="Nov 22-26 Tranmere Afra"/>
    <d v="2024-10-08T00:00:00"/>
    <s v="WTI-Brent"/>
    <s v="Expo"/>
    <n v="-690"/>
    <d v="2025-01-31T00:00:00"/>
    <d v="2025-01-31T00:00:00"/>
    <n v="-4.21"/>
    <n v="-4.9400000000000004"/>
    <n v="503.70000000000027"/>
    <n v="2904.9"/>
    <x v="18"/>
    <s v="Sell"/>
    <n v="3408.6000000000004"/>
    <x v="1"/>
    <x v="3"/>
    <n v="2025"/>
    <s v="Sell"/>
    <x v="0"/>
    <x v="141"/>
  </r>
  <r>
    <s v="Jan 1-10 EXTAP VLCC"/>
    <d v="2024-10-09T00:00:00"/>
    <s v="Brent Sprds"/>
    <s v="Expo"/>
    <n v="-2050"/>
    <d v="2025-01-31T00:00:00"/>
    <d v="2025-02-28T00:00:00"/>
    <n v="0.33"/>
    <n v="1.1000000000000001"/>
    <n v="-1578.5"/>
    <n v="-676.5"/>
    <x v="12"/>
    <s v="Sell"/>
    <n v="-2255"/>
    <x v="0"/>
    <x v="2"/>
    <n v="2025"/>
    <s v="Sell"/>
    <x v="0"/>
    <x v="142"/>
  </r>
  <r>
    <s v="Jan 1-10 EXTAP VLCC"/>
    <d v="2024-10-09T00:00:00"/>
    <s v="Brent Sprds"/>
    <s v="Expo"/>
    <n v="-2050"/>
    <d v="2025-02-28T00:00:00"/>
    <d v="2025-03-31T00:00:00"/>
    <n v="0.24"/>
    <n v="0.4"/>
    <n v="-328.00000000000006"/>
    <n v="-492"/>
    <x v="13"/>
    <s v="Sell"/>
    <n v="-820"/>
    <x v="0"/>
    <x v="2"/>
    <n v="2025"/>
    <s v="Sell"/>
    <x v="0"/>
    <x v="143"/>
  </r>
  <r>
    <s v="Jan 1-10 EXTAP VLCC"/>
    <d v="2024-10-09T00:00:00"/>
    <s v="DFL"/>
    <s v="Expo"/>
    <n v="2069"/>
    <d v="2025-01-31T00:00:00"/>
    <d v="2025-01-31T00:00:00"/>
    <n v="0.04"/>
    <n v="0.93"/>
    <n v="1841.41"/>
    <n v="82.76"/>
    <x v="18"/>
    <s v="Buy"/>
    <n v="1924.17"/>
    <x v="1"/>
    <x v="1"/>
    <n v="2025"/>
    <s v="Buy"/>
    <x v="0"/>
    <x v="144"/>
  </r>
  <r>
    <s v="Jan 1-10 EXTAP VLCC"/>
    <d v="2024-10-09T00:00:00"/>
    <s v="Physical"/>
    <s v="Expo"/>
    <n v="2069"/>
    <d v="2023-01-31T00:00:00"/>
    <d v="2023-01-31T00:00:00"/>
    <n v="3.1900000000000004"/>
    <n v="3.6"/>
    <n v="848.2899999999994"/>
    <n v="6744.94"/>
    <x v="25"/>
    <s v="Buy"/>
    <n v="7448.4000000000005"/>
    <x v="2"/>
    <x v="4"/>
    <n v="2023"/>
    <s v="Buy"/>
    <x v="1"/>
    <x v="145"/>
  </r>
  <r>
    <s v="Jan 1-10 EXTAP VLCC"/>
    <d v="2024-10-09T00:00:00"/>
    <s v="WTI Sprds"/>
    <s v="Expo"/>
    <n v="-2050"/>
    <d v="2024-11-30T00:00:00"/>
    <d v="2024-12-31T00:00:00"/>
    <n v="0.63"/>
    <n v="0.52"/>
    <n v="225.49999999999997"/>
    <n v="-1291.5"/>
    <x v="10"/>
    <s v="Sell"/>
    <n v="-1066"/>
    <x v="0"/>
    <x v="0"/>
    <n v="2024"/>
    <s v="Sell"/>
    <x v="0"/>
    <x v="146"/>
  </r>
  <r>
    <s v="Jan 1-10 EXTAP VLCC"/>
    <d v="2024-10-09T00:00:00"/>
    <s v="WTI Sprds"/>
    <s v="Expo"/>
    <n v="-2050"/>
    <d v="2024-12-31T00:00:00"/>
    <d v="2025-01-31T00:00:00"/>
    <n v="0.48"/>
    <n v="0.15"/>
    <n v="676.49999999999989"/>
    <n v="-984"/>
    <x v="11"/>
    <s v="Sell"/>
    <n v="-307.5"/>
    <x v="0"/>
    <x v="0"/>
    <n v="2024"/>
    <s v="Sell"/>
    <x v="0"/>
    <x v="147"/>
  </r>
  <r>
    <s v="Jan 1-10 EXTAP VLCC"/>
    <d v="2024-10-09T00:00:00"/>
    <s v="WTI-Brent"/>
    <s v="Expo"/>
    <n v="-2050"/>
    <d v="2025-01-31T00:00:00"/>
    <d v="2025-01-31T00:00:00"/>
    <n v="-4.12"/>
    <n v="-4.9400000000000004"/>
    <n v="1681.0000000000007"/>
    <n v="8446"/>
    <x v="18"/>
    <s v="Sell"/>
    <n v="10127"/>
    <x v="1"/>
    <x v="3"/>
    <n v="2025"/>
    <s v="Sell"/>
    <x v="0"/>
    <x v="148"/>
  </r>
  <r>
    <s v="Jan 1-10 EXTAP VLCC"/>
    <d v="2025-01-28T00:00:00"/>
    <s v="Physical"/>
    <s v="Expo"/>
    <n v="0"/>
    <d v="2023-01-31T00:00:00"/>
    <d v="2023-01-31T00:00:00"/>
    <m/>
    <m/>
    <n v="-700"/>
    <n v="0"/>
    <x v="25"/>
    <s v="Buy"/>
    <n v="0"/>
    <x v="2"/>
    <x v="4"/>
    <n v="2023"/>
    <s v="Sell"/>
    <x v="1"/>
    <x v="149"/>
  </r>
  <r>
    <s v="Jan 4-6 KAL Afra"/>
    <d v="2024-10-10T00:00:00"/>
    <s v="DFL"/>
    <s v="Hedge"/>
    <n v="-500"/>
    <d v="2024-11-30T00:00:00"/>
    <d v="2024-11-30T00:00:00"/>
    <n v="0.16"/>
    <n v="1.04"/>
    <n v="-440"/>
    <n v="-80"/>
    <x v="24"/>
    <s v="Sell"/>
    <n v="-520"/>
    <x v="1"/>
    <x v="1"/>
    <n v="2024"/>
    <s v="Sell"/>
    <x v="0"/>
    <x v="150"/>
  </r>
  <r>
    <s v="Oct 27-29 KAL Afra"/>
    <d v="2024-10-10T00:00:00"/>
    <s v="DFL"/>
    <s v="Expo"/>
    <n v="700"/>
    <d v="2024-10-31T00:00:00"/>
    <d v="2024-10-31T00:00:00"/>
    <n v="0.4"/>
    <n v="0.27"/>
    <n v="-91"/>
    <n v="280"/>
    <x v="23"/>
    <s v="Buy"/>
    <n v="189"/>
    <x v="1"/>
    <x v="1"/>
    <n v="2024"/>
    <s v="Buy"/>
    <x v="0"/>
    <x v="151"/>
  </r>
  <r>
    <s v="Nov 22-26 Tranmere Afra"/>
    <d v="2024-10-10T00:00:00"/>
    <s v="WTI-Brent"/>
    <s v="Hedge"/>
    <n v="700"/>
    <d v="2025-01-31T00:00:00"/>
    <d v="2025-01-31T00:00:00"/>
    <n v="-4.2699999999999996"/>
    <n v="-4.9400000000000004"/>
    <n v="-469.00000000000057"/>
    <n v="-2988.9999999999995"/>
    <x v="18"/>
    <s v="Buy"/>
    <n v="-3458.0000000000005"/>
    <x v="1"/>
    <x v="3"/>
    <n v="2025"/>
    <s v="Buy"/>
    <x v="0"/>
    <x v="152"/>
  </r>
  <r>
    <s v="Dec EFP 1"/>
    <d v="2024-10-10T00:00:00"/>
    <s v="WTI-Brent"/>
    <s v="Expo"/>
    <n v="-700"/>
    <d v="2024-12-31T00:00:00"/>
    <d v="2024-12-31T00:00:00"/>
    <n v="-4.1900000000000004"/>
    <n v="-3.9"/>
    <n v="-203.00000000000034"/>
    <n v="2933.0000000000005"/>
    <x v="17"/>
    <s v="Sell"/>
    <n v="2730"/>
    <x v="1"/>
    <x v="3"/>
    <n v="2024"/>
    <s v="Sell"/>
    <x v="0"/>
    <x v="153"/>
  </r>
  <r>
    <s v="Dec EFP 2"/>
    <d v="2024-10-10T00:00:00"/>
    <s v="WTI-Brent"/>
    <s v="Expo"/>
    <n v="-700"/>
    <d v="2024-12-31T00:00:00"/>
    <d v="2024-12-31T00:00:00"/>
    <n v="-4.1900000000000004"/>
    <n v="-3.9"/>
    <n v="-203.00000000000034"/>
    <n v="2933.0000000000005"/>
    <x v="17"/>
    <s v="Sell"/>
    <n v="2730"/>
    <x v="1"/>
    <x v="3"/>
    <n v="2024"/>
    <s v="Sell"/>
    <x v="0"/>
    <x v="154"/>
  </r>
  <r>
    <s v="Dec EFP 3"/>
    <d v="2024-10-10T00:00:00"/>
    <s v="WTI-Brent"/>
    <s v="Expo"/>
    <n v="-700"/>
    <d v="2024-12-31T00:00:00"/>
    <d v="2024-12-31T00:00:00"/>
    <n v="-4.1900000000000004"/>
    <n v="-3.9"/>
    <n v="-203.00000000000034"/>
    <n v="2933.0000000000005"/>
    <x v="17"/>
    <s v="Sell"/>
    <n v="2730"/>
    <x v="1"/>
    <x v="3"/>
    <n v="2024"/>
    <s v="Sell"/>
    <x v="0"/>
    <x v="155"/>
  </r>
  <r>
    <s v="Jan 1-10 EXTAP VLCC"/>
    <d v="2024-10-10T00:00:00"/>
    <s v="WTI-Brent"/>
    <s v="Hedge"/>
    <n v="300"/>
    <d v="2025-01-31T00:00:00"/>
    <d v="2025-01-31T00:00:00"/>
    <n v="-4.2699999999999996"/>
    <n v="-4.9400000000000004"/>
    <n v="-201.00000000000026"/>
    <n v="-1280.9999999999998"/>
    <x v="18"/>
    <s v="Buy"/>
    <n v="-1482.0000000000002"/>
    <x v="1"/>
    <x v="3"/>
    <n v="2025"/>
    <s v="Buy"/>
    <x v="0"/>
    <x v="156"/>
  </r>
  <r>
    <s v="Unallocated"/>
    <d v="2024-10-11T00:00:00"/>
    <s v="WTI Sprds"/>
    <s v="Hedge"/>
    <n v="2000"/>
    <d v="2024-11-30T00:00:00"/>
    <d v="2024-12-31T00:00:00"/>
    <n v="0.71"/>
    <n v="0.52"/>
    <n v="-379.99999999999989"/>
    <n v="1420"/>
    <x v="10"/>
    <s v="Buy"/>
    <n v="1040"/>
    <x v="0"/>
    <x v="0"/>
    <n v="2024"/>
    <s v="Buy"/>
    <x v="0"/>
    <x v="157"/>
  </r>
  <r>
    <s v="Jan 1-10 EXTAP VLCC"/>
    <d v="2024-10-11T00:00:00"/>
    <s v="WTI Sprds"/>
    <s v="Hedge"/>
    <n v="1000"/>
    <d v="2024-11-30T00:00:00"/>
    <d v="2024-12-31T00:00:00"/>
    <n v="0.71"/>
    <n v="0.52"/>
    <n v="-189.99999999999994"/>
    <n v="710"/>
    <x v="10"/>
    <s v="Buy"/>
    <n v="520"/>
    <x v="0"/>
    <x v="0"/>
    <n v="2024"/>
    <s v="Buy"/>
    <x v="0"/>
    <x v="158"/>
  </r>
  <r>
    <s v="Jan 1-10 EXTAP VLCC"/>
    <d v="2024-10-11T00:00:00"/>
    <s v="WTI Sprds"/>
    <s v="Hedge"/>
    <n v="1000"/>
    <d v="2024-12-31T00:00:00"/>
    <d v="2025-01-31T00:00:00"/>
    <n v="0.54"/>
    <n v="0.15"/>
    <n v="-390"/>
    <n v="540"/>
    <x v="11"/>
    <s v="Buy"/>
    <n v="150"/>
    <x v="0"/>
    <x v="0"/>
    <n v="2024"/>
    <s v="Buy"/>
    <x v="0"/>
    <x v="159"/>
  </r>
  <r>
    <s v="Unallocated"/>
    <d v="2024-10-11T00:00:00"/>
    <s v="WTI-Brent"/>
    <s v="Hedge"/>
    <n v="2000"/>
    <d v="2024-12-31T00:00:00"/>
    <d v="2024-12-31T00:00:00"/>
    <n v="-4.1900000000000004"/>
    <n v="-3.9"/>
    <n v="580.00000000000091"/>
    <n v="-8380"/>
    <x v="17"/>
    <s v="Buy"/>
    <n v="-7800"/>
    <x v="1"/>
    <x v="3"/>
    <n v="2024"/>
    <s v="Buy"/>
    <x v="0"/>
    <x v="160"/>
  </r>
  <r>
    <s v="Jan 1-10 EXTAP VLCC"/>
    <d v="2024-10-11T00:00:00"/>
    <s v="WTI-Brent"/>
    <s v="Hedge"/>
    <m/>
    <d v="2025-01-31T00:00:00"/>
    <d v="2025-01-31T00:00:00"/>
    <n v="-4.29"/>
    <n v="-4.9400000000000004"/>
    <n v="0"/>
    <n v="0"/>
    <x v="18"/>
    <s v="Buy"/>
    <n v="0"/>
    <x v="1"/>
    <x v="3"/>
    <n v="2025"/>
    <s v="Sell"/>
    <x v="0"/>
    <x v="161"/>
  </r>
  <r>
    <s v="Nov 22-26 Tranmere Afra"/>
    <d v="2024-10-14T00:00:00"/>
    <s v="WTI Sprds"/>
    <s v="Hedge"/>
    <n v="258"/>
    <d v="2024-11-30T00:00:00"/>
    <d v="2024-12-31T00:00:00"/>
    <n v="0.57999999999999996"/>
    <n v="0.52"/>
    <n v="-15.479999999999984"/>
    <n v="149.63999999999999"/>
    <x v="10"/>
    <s v="Buy"/>
    <n v="134.16"/>
    <x v="0"/>
    <x v="0"/>
    <n v="2024"/>
    <s v="Buy"/>
    <x v="0"/>
    <x v="162"/>
  </r>
  <r>
    <s v="Nov 22-26 Tranmere Afra"/>
    <d v="2024-10-14T00:00:00"/>
    <s v="WTI Sprds"/>
    <s v="Hedge"/>
    <n v="258"/>
    <d v="2024-12-31T00:00:00"/>
    <d v="2025-01-31T00:00:00"/>
    <n v="0.41"/>
    <n v="0.15"/>
    <n v="-67.08"/>
    <n v="105.77999999999999"/>
    <x v="11"/>
    <s v="Buy"/>
    <n v="38.699999999999996"/>
    <x v="0"/>
    <x v="0"/>
    <n v="2024"/>
    <s v="Buy"/>
    <x v="0"/>
    <x v="163"/>
  </r>
  <r>
    <s v="Unallocated"/>
    <d v="2024-10-14T00:00:00"/>
    <s v="WTI Sprds"/>
    <s v="Hedge"/>
    <n v="800"/>
    <d v="2024-11-30T00:00:00"/>
    <d v="2024-12-31T00:00:00"/>
    <n v="0.56999999999999995"/>
    <n v="0.52"/>
    <n v="-39.999999999999943"/>
    <n v="455.99999999999994"/>
    <x v="10"/>
    <s v="Buy"/>
    <n v="416"/>
    <x v="0"/>
    <x v="0"/>
    <n v="2024"/>
    <s v="Buy"/>
    <x v="0"/>
    <x v="164"/>
  </r>
  <r>
    <s v="Unallocated"/>
    <d v="2024-10-14T00:00:00"/>
    <s v="WTI Sprds"/>
    <s v="Hedge"/>
    <n v="1553"/>
    <d v="2024-11-30T00:00:00"/>
    <d v="2024-12-31T00:00:00"/>
    <n v="0.52"/>
    <n v="0.52"/>
    <n v="0"/>
    <n v="807.56000000000006"/>
    <x v="10"/>
    <s v="Buy"/>
    <n v="807.56000000000006"/>
    <x v="0"/>
    <x v="0"/>
    <n v="2024"/>
    <s v="Buy"/>
    <x v="0"/>
    <x v="165"/>
  </r>
  <r>
    <s v="Unallocated"/>
    <d v="2024-10-14T00:00:00"/>
    <s v="WTI Sprds"/>
    <s v="Hedge"/>
    <n v="-64"/>
    <d v="2024-11-30T00:00:00"/>
    <d v="2024-12-31T00:00:00"/>
    <n v="0.56999999999999995"/>
    <n v="0.52"/>
    <n v="3.1999999999999957"/>
    <n v="-36.479999999999997"/>
    <x v="10"/>
    <s v="Sell"/>
    <n v="-33.28"/>
    <x v="0"/>
    <x v="0"/>
    <n v="2024"/>
    <s v="Sell"/>
    <x v="0"/>
    <x v="166"/>
  </r>
  <r>
    <s v="Nov 22-26 Tranmere Afra"/>
    <d v="2024-10-14T00:00:00"/>
    <s v="WTI-Brent"/>
    <s v="Hedge"/>
    <n v="258"/>
    <d v="2025-01-31T00:00:00"/>
    <d v="2025-01-31T00:00:00"/>
    <n v="-4.2800000000000011"/>
    <n v="-4.9400000000000004"/>
    <n v="-170.2799999999998"/>
    <n v="-1104.2400000000002"/>
    <x v="18"/>
    <s v="Buy"/>
    <n v="-1274.5200000000002"/>
    <x v="1"/>
    <x v="3"/>
    <n v="2025"/>
    <s v="Buy"/>
    <x v="0"/>
    <x v="167"/>
  </r>
  <r>
    <s v="Jan 4-6 KAL Afra"/>
    <d v="2024-10-15T00:00:00"/>
    <s v="DFL"/>
    <s v="Hedge"/>
    <n v="-500"/>
    <d v="2024-11-30T00:00:00"/>
    <d v="2024-11-30T00:00:00"/>
    <n v="0.01"/>
    <n v="1.04"/>
    <n v="-515"/>
    <n v="-5"/>
    <x v="24"/>
    <s v="Sell"/>
    <n v="-520"/>
    <x v="1"/>
    <x v="1"/>
    <n v="2024"/>
    <s v="Sell"/>
    <x v="0"/>
    <x v="168"/>
  </r>
  <r>
    <s v="Unallocated"/>
    <d v="2024-10-16T00:00:00"/>
    <s v="DFL"/>
    <s v="Hedge"/>
    <n v="-400"/>
    <d v="2024-11-30T00:00:00"/>
    <d v="2024-11-30T00:00:00"/>
    <n v="0.14000000000000001"/>
    <n v="1.04"/>
    <n v="-360"/>
    <n v="-56.000000000000007"/>
    <x v="24"/>
    <s v="Sell"/>
    <n v="-416"/>
    <x v="1"/>
    <x v="1"/>
    <n v="2024"/>
    <s v="Sell"/>
    <x v="0"/>
    <x v="169"/>
  </r>
  <r>
    <s v="Unallocated"/>
    <d v="2024-10-16T00:00:00"/>
    <s v="DFL"/>
    <s v="Hedge"/>
    <n v="-100"/>
    <d v="2024-12-31T00:00:00"/>
    <d v="2024-12-31T00:00:00"/>
    <n v="0.08"/>
    <n v="0.82"/>
    <n v="-74"/>
    <n v="-8"/>
    <x v="17"/>
    <s v="Sell"/>
    <n v="-82"/>
    <x v="1"/>
    <x v="1"/>
    <n v="2024"/>
    <s v="Sell"/>
    <x v="0"/>
    <x v="170"/>
  </r>
  <r>
    <s v="Unallocated"/>
    <d v="2024-10-16T00:00:00"/>
    <s v="DFL"/>
    <s v="Hedge"/>
    <n v="-100"/>
    <d v="2025-01-31T00:00:00"/>
    <d v="2025-01-31T00:00:00"/>
    <n v="0.08"/>
    <n v="0.93"/>
    <n v="-85.000000000000014"/>
    <n v="-8"/>
    <x v="18"/>
    <s v="Sell"/>
    <n v="-93"/>
    <x v="1"/>
    <x v="1"/>
    <n v="2025"/>
    <s v="Sell"/>
    <x v="0"/>
    <x v="171"/>
  </r>
  <r>
    <s v="CPC TAIWAN JAN 8-14"/>
    <d v="2024-10-21T00:00:00"/>
    <s v="Brent Sprds"/>
    <s v="Expo"/>
    <n v="-2050"/>
    <d v="2025-01-31T00:00:00"/>
    <d v="2025-02-28T00:00:00"/>
    <n v="0.41"/>
    <n v="1.1000000000000001"/>
    <n v="-1414.5000000000005"/>
    <n v="-840.5"/>
    <x v="12"/>
    <s v="Sell"/>
    <n v="-2255"/>
    <x v="0"/>
    <x v="2"/>
    <n v="2025"/>
    <s v="Sell"/>
    <x v="0"/>
    <x v="172"/>
  </r>
  <r>
    <s v="CPC TAIWAN JAN 8-14"/>
    <d v="2024-10-21T00:00:00"/>
    <s v="DFL"/>
    <s v="Expo"/>
    <n v="2050"/>
    <d v="2024-12-31T00:00:00"/>
    <d v="2024-12-31T00:00:00"/>
    <n v="0.15"/>
    <n v="0.82"/>
    <n v="1373.4999999999998"/>
    <n v="307.5"/>
    <x v="17"/>
    <s v="Buy"/>
    <n v="1681"/>
    <x v="1"/>
    <x v="1"/>
    <n v="2024"/>
    <s v="Buy"/>
    <x v="0"/>
    <x v="173"/>
  </r>
  <r>
    <s v="CPC TAIWAN JAN 8-14"/>
    <d v="2024-10-21T00:00:00"/>
    <s v="Freight-TD22"/>
    <s v="Expo"/>
    <n v="0"/>
    <d v="2024-11-30T00:00:00"/>
    <d v="2024-11-30T00:00:00"/>
    <n v="8000"/>
    <n v="8400"/>
    <n v="400"/>
    <n v="0"/>
    <x v="24"/>
    <s v="Buy"/>
    <n v="0"/>
    <x v="3"/>
    <x v="5"/>
    <n v="2024"/>
    <s v="Sell"/>
    <x v="0"/>
    <x v="174"/>
  </r>
  <r>
    <s v="CPC TAIWAN JAN 8-14"/>
    <d v="2024-10-21T00:00:00"/>
    <s v="Physical"/>
    <s v="Expo"/>
    <n v="2050"/>
    <d v="2024-11-30T00:00:00"/>
    <d v="2024-11-30T00:00:00"/>
    <n v="2.15"/>
    <n v="2.36"/>
    <n v="430.49999999999994"/>
    <n v="4407.5"/>
    <x v="24"/>
    <s v="Buy"/>
    <n v="4838"/>
    <x v="2"/>
    <x v="4"/>
    <n v="2024"/>
    <s v="Buy"/>
    <x v="1"/>
    <x v="175"/>
  </r>
  <r>
    <s v="CPC TAIWAN JAN 8-14"/>
    <d v="2024-10-21T00:00:00"/>
    <s v="WTI Sprds"/>
    <s v="Expo"/>
    <n v="-2050"/>
    <d v="2024-12-31T00:00:00"/>
    <d v="2025-01-31T00:00:00"/>
    <n v="0.39"/>
    <n v="0.15"/>
    <n v="492.00000000000006"/>
    <n v="-799.5"/>
    <x v="11"/>
    <s v="Sell"/>
    <n v="-307.5"/>
    <x v="0"/>
    <x v="0"/>
    <n v="2024"/>
    <s v="Sell"/>
    <x v="0"/>
    <x v="176"/>
  </r>
  <r>
    <s v="Dec EFP 2"/>
    <d v="2024-10-21T00:00:00"/>
    <s v="WTI-Brent"/>
    <s v="Hedge"/>
    <n v="300"/>
    <d v="2024-12-31T00:00:00"/>
    <d v="2024-12-31T00:00:00"/>
    <n v="-4.24"/>
    <n v="-3.9"/>
    <n v="102.00000000000009"/>
    <n v="-1272"/>
    <x v="17"/>
    <s v="Buy"/>
    <n v="-1170"/>
    <x v="1"/>
    <x v="3"/>
    <n v="2024"/>
    <s v="Buy"/>
    <x v="0"/>
    <x v="177"/>
  </r>
  <r>
    <s v="CPC TAIWAN JAN 8-14"/>
    <d v="2024-10-21T00:00:00"/>
    <s v="WTI-Brent"/>
    <s v="Expo"/>
    <n v="-2050"/>
    <d v="2025-01-31T00:00:00"/>
    <d v="2025-01-31T00:00:00"/>
    <n v="-4.2"/>
    <n v="-4.9400000000000004"/>
    <n v="1517.0000000000005"/>
    <n v="8610"/>
    <x v="18"/>
    <s v="Sell"/>
    <n v="10127"/>
    <x v="1"/>
    <x v="3"/>
    <n v="2025"/>
    <s v="Sell"/>
    <x v="0"/>
    <x v="178"/>
  </r>
  <r>
    <s v="Unallocated"/>
    <d v="2024-10-22T00:00:00"/>
    <s v="DFL"/>
    <s v="Hedge"/>
    <n v="-300"/>
    <d v="2024-11-30T00:00:00"/>
    <d v="2024-11-30T00:00:00"/>
    <n v="0.13"/>
    <n v="1.04"/>
    <n v="-273"/>
    <n v="-39"/>
    <x v="24"/>
    <s v="Sell"/>
    <n v="-312"/>
    <x v="1"/>
    <x v="1"/>
    <n v="2024"/>
    <s v="Sell"/>
    <x v="0"/>
    <x v="179"/>
  </r>
  <r>
    <s v="Unallocated"/>
    <d v="2024-10-23T00:00:00"/>
    <s v="DFL"/>
    <s v="Hedge"/>
    <n v="-1000"/>
    <d v="2024-11-30T00:00:00"/>
    <d v="2024-11-30T00:00:00"/>
    <n v="0.20499999999999999"/>
    <n v="1.04"/>
    <n v="-835.00000000000011"/>
    <n v="-205"/>
    <x v="24"/>
    <s v="Sell"/>
    <n v="-1040"/>
    <x v="1"/>
    <x v="1"/>
    <n v="2024"/>
    <s v="Sell"/>
    <x v="0"/>
    <x v="180"/>
  </r>
  <r>
    <s v="Unallocated"/>
    <d v="2024-10-23T00:00:00"/>
    <s v="DFL"/>
    <s v="Hedge"/>
    <n v="1000"/>
    <d v="2024-12-31T00:00:00"/>
    <d v="2024-12-31T00:00:00"/>
    <n v="0.19"/>
    <n v="0.82"/>
    <n v="629.99999999999989"/>
    <n v="190"/>
    <x v="17"/>
    <s v="Buy"/>
    <n v="820"/>
    <x v="1"/>
    <x v="1"/>
    <n v="2024"/>
    <s v="Buy"/>
    <x v="0"/>
    <x v="181"/>
  </r>
  <r>
    <s v="CPC TAIWAN JAN 8-14"/>
    <d v="2024-10-23T00:00:00"/>
    <s v="WTI Sprds"/>
    <s v="Hedge"/>
    <n v="2100"/>
    <d v="2024-12-31T00:00:00"/>
    <d v="2025-01-31T00:00:00"/>
    <n v="0.39999999999999147"/>
    <n v="0.15"/>
    <n v="-524.99999999998215"/>
    <n v="839.99999999998204"/>
    <x v="11"/>
    <s v="Buy"/>
    <n v="315"/>
    <x v="0"/>
    <x v="0"/>
    <n v="2024"/>
    <s v="Buy"/>
    <x v="0"/>
    <x v="182"/>
  </r>
  <r>
    <s v="CPC TAIWAN JAN 8-14"/>
    <d v="2024-10-23T00:00:00"/>
    <s v="WTI-Brent"/>
    <s v="Hedge"/>
    <n v="2100"/>
    <d v="2025-01-31T00:00:00"/>
    <d v="2025-01-31T00:00:00"/>
    <n v="-4.1899999999999977"/>
    <n v="-4.9400000000000004"/>
    <n v="-1575.0000000000057"/>
    <n v="-8798.9999999999945"/>
    <x v="18"/>
    <s v="Buy"/>
    <n v="-10374"/>
    <x v="1"/>
    <x v="3"/>
    <n v="2025"/>
    <s v="Buy"/>
    <x v="0"/>
    <x v="183"/>
  </r>
  <r>
    <s v="Dec EFP 1"/>
    <d v="2024-10-24T00:00:00"/>
    <s v="Freight-TD25"/>
    <s v="Expo"/>
    <n v="0"/>
    <d v="2024-11-30T00:00:00"/>
    <d v="2024-11-30T00:00:00"/>
    <n v="178"/>
    <n v="126.5"/>
    <n v="721"/>
    <n v="0"/>
    <x v="24"/>
    <s v="Buy"/>
    <n v="0"/>
    <x v="3"/>
    <x v="5"/>
    <n v="2024"/>
    <s v="Sell"/>
    <x v="0"/>
    <x v="184"/>
  </r>
  <r>
    <s v="Dec EFP 2"/>
    <d v="2024-10-24T00:00:00"/>
    <s v="Freight-TD25"/>
    <s v="Expo"/>
    <n v="0"/>
    <d v="2024-11-30T00:00:00"/>
    <d v="2024-11-30T00:00:00"/>
    <n v="178"/>
    <n v="135"/>
    <n v="602"/>
    <n v="0"/>
    <x v="24"/>
    <s v="Buy"/>
    <n v="0"/>
    <x v="3"/>
    <x v="5"/>
    <n v="2024"/>
    <s v="Sell"/>
    <x v="0"/>
    <x v="185"/>
  </r>
  <r>
    <s v="Dec EFP 3"/>
    <d v="2024-10-24T00:00:00"/>
    <s v="Freight-TD25"/>
    <s v="Expo"/>
    <n v="0"/>
    <d v="2024-11-30T00:00:00"/>
    <d v="2024-11-30T00:00:00"/>
    <n v="180"/>
    <n v="130"/>
    <n v="700"/>
    <n v="0"/>
    <x v="24"/>
    <s v="Buy"/>
    <n v="0"/>
    <x v="3"/>
    <x v="5"/>
    <n v="2024"/>
    <s v="Sell"/>
    <x v="0"/>
    <x v="186"/>
  </r>
  <r>
    <s v="Dec EFP 1"/>
    <d v="2024-10-24T00:00:00"/>
    <s v="Freight-TD7"/>
    <s v="Expo"/>
    <n v="700"/>
    <d v="2024-12-31T00:00:00"/>
    <d v="2024-12-31T00:00:00"/>
    <n v="155"/>
    <n v="128"/>
    <n v="-378"/>
    <n v="108500"/>
    <x v="17"/>
    <s v="Buy"/>
    <n v="89600"/>
    <x v="3"/>
    <x v="5"/>
    <n v="2024"/>
    <s v="Buy"/>
    <x v="0"/>
    <x v="187"/>
  </r>
  <r>
    <s v="Dec EFP 2"/>
    <d v="2024-10-24T00:00:00"/>
    <s v="Freight-TD7"/>
    <s v="Expo"/>
    <n v="700"/>
    <d v="2024-12-31T00:00:00"/>
    <d v="2024-12-31T00:00:00"/>
    <n v="155"/>
    <n v="128"/>
    <n v="-378"/>
    <n v="108500"/>
    <x v="17"/>
    <s v="Buy"/>
    <n v="89600"/>
    <x v="3"/>
    <x v="5"/>
    <n v="2024"/>
    <s v="Buy"/>
    <x v="0"/>
    <x v="188"/>
  </r>
  <r>
    <s v="Dec EFP 3"/>
    <d v="2024-10-24T00:00:00"/>
    <s v="Freight-TD7"/>
    <s v="Expo"/>
    <n v="700"/>
    <d v="2024-12-31T00:00:00"/>
    <d v="2024-12-31T00:00:00"/>
    <n v="155"/>
    <n v="128"/>
    <n v="-378"/>
    <n v="108500"/>
    <x v="17"/>
    <s v="Buy"/>
    <n v="89600"/>
    <x v="3"/>
    <x v="5"/>
    <n v="2024"/>
    <s v="Buy"/>
    <x v="0"/>
    <x v="189"/>
  </r>
  <r>
    <s v="Dec EFP 3"/>
    <d v="2024-10-24T00:00:00"/>
    <s v="Freight-TD7"/>
    <s v="Hedge"/>
    <n v="-2100"/>
    <d v="2024-12-31T00:00:00"/>
    <d v="2024-12-31T00:00:00"/>
    <n v="128"/>
    <n v="128"/>
    <n v="0"/>
    <n v="-268800"/>
    <x v="17"/>
    <s v="Sell"/>
    <n v="-268800"/>
    <x v="3"/>
    <x v="5"/>
    <n v="2024"/>
    <s v="Sell"/>
    <x v="0"/>
    <x v="190"/>
  </r>
  <r>
    <s v="Unallocated"/>
    <d v="2024-10-24T00:00:00"/>
    <s v="WTI Sprds"/>
    <s v="Hedge"/>
    <n v="1000"/>
    <d v="2024-12-31T00:00:00"/>
    <d v="2025-01-31T00:00:00"/>
    <n v="0.34999999999999432"/>
    <n v="0.15"/>
    <n v="-199.99999999999432"/>
    <n v="349.99999999999432"/>
    <x v="11"/>
    <s v="Buy"/>
    <n v="150"/>
    <x v="0"/>
    <x v="0"/>
    <n v="2024"/>
    <s v="Buy"/>
    <x v="0"/>
    <x v="191"/>
  </r>
  <r>
    <s v="FOB Shell Nov 13-15"/>
    <d v="2024-10-24T00:00:00"/>
    <s v="WTI Sprds"/>
    <s v="Expo"/>
    <n v="-700"/>
    <d v="2024-12-31T00:00:00"/>
    <d v="2025-01-31T00:00:00"/>
    <n v="0.43"/>
    <n v="0.15"/>
    <n v="196.00000000000003"/>
    <n v="-301"/>
    <x v="11"/>
    <s v="Sell"/>
    <n v="-105"/>
    <x v="0"/>
    <x v="0"/>
    <n v="2024"/>
    <s v="Sell"/>
    <x v="0"/>
    <x v="192"/>
  </r>
  <r>
    <s v="Unallocated"/>
    <d v="2024-10-24T00:00:00"/>
    <s v="WTI-Brent"/>
    <s v="Hedge"/>
    <n v="1000"/>
    <d v="2025-01-31T00:00:00"/>
    <d v="2025-01-31T00:00:00"/>
    <n v="-4.1899999999999977"/>
    <n v="-4.9400000000000004"/>
    <n v="-750.00000000000261"/>
    <n v="-4189.9999999999982"/>
    <x v="18"/>
    <s v="Buy"/>
    <n v="-4940"/>
    <x v="1"/>
    <x v="3"/>
    <n v="2025"/>
    <s v="Buy"/>
    <x v="0"/>
    <x v="193"/>
  </r>
  <r>
    <s v="FOB Shell Nov 13-15"/>
    <d v="2024-10-24T00:00:00"/>
    <s v="WTI-Brent"/>
    <s v="Expo"/>
    <n v="-700"/>
    <d v="2025-01-31T00:00:00"/>
    <d v="2025-01-31T00:00:00"/>
    <n v="-4.28"/>
    <n v="-4.9400000000000004"/>
    <n v="462.00000000000011"/>
    <n v="2996"/>
    <x v="18"/>
    <s v="Sell"/>
    <n v="3458.0000000000005"/>
    <x v="1"/>
    <x v="3"/>
    <n v="2025"/>
    <s v="Sell"/>
    <x v="0"/>
    <x v="194"/>
  </r>
  <r>
    <s v="FOB Shell Nov 13-15"/>
    <d v="2024-10-25T00:00:00"/>
    <s v="WTI Sprds"/>
    <s v="Expo"/>
    <n v="700"/>
    <d v="2024-12-31T00:00:00"/>
    <d v="2025-01-31T00:00:00"/>
    <n v="0.43"/>
    <n v="0.15"/>
    <n v="-196.00000000000003"/>
    <n v="301"/>
    <x v="11"/>
    <s v="Buy"/>
    <n v="105"/>
    <x v="0"/>
    <x v="0"/>
    <n v="2024"/>
    <s v="Buy"/>
    <x v="0"/>
    <x v="195"/>
  </r>
  <r>
    <s v="Unallocated"/>
    <d v="2024-10-29T00:00:00"/>
    <s v="DFL"/>
    <s v="Hedge"/>
    <n v="-200"/>
    <d v="2024-11-30T00:00:00"/>
    <d v="2024-11-30T00:00:00"/>
    <n v="0.46"/>
    <n v="1.04"/>
    <n v="-116.00000000000001"/>
    <n v="-92"/>
    <x v="24"/>
    <s v="Sell"/>
    <n v="-208"/>
    <x v="1"/>
    <x v="1"/>
    <n v="2024"/>
    <s v="Sell"/>
    <x v="0"/>
    <x v="196"/>
  </r>
  <r>
    <s v="Dec EFP 1"/>
    <d v="2024-10-29T00:00:00"/>
    <s v="WTI-Brent"/>
    <s v="Hedge"/>
    <n v="700"/>
    <d v="2024-12-31T00:00:00"/>
    <d v="2024-12-31T00:00:00"/>
    <n v="-3.91"/>
    <n v="-3.9"/>
    <n v="7.0000000000001616"/>
    <n v="-2737"/>
    <x v="17"/>
    <s v="Buy"/>
    <n v="-2730"/>
    <x v="1"/>
    <x v="3"/>
    <n v="2024"/>
    <s v="Buy"/>
    <x v="0"/>
    <x v="197"/>
  </r>
  <r>
    <s v="Dec EFP 1"/>
    <d v="2024-10-29T00:00:00"/>
    <s v="WTI-Brent"/>
    <s v="Hedge"/>
    <n v="-700"/>
    <d v="2025-01-31T00:00:00"/>
    <d v="2025-01-31T00:00:00"/>
    <n v="-3.92"/>
    <n v="-4.9400000000000004"/>
    <n v="714.00000000000034"/>
    <n v="2744"/>
    <x v="18"/>
    <s v="Sell"/>
    <n v="3458.0000000000005"/>
    <x v="1"/>
    <x v="3"/>
    <n v="2025"/>
    <s v="Sell"/>
    <x v="0"/>
    <x v="198"/>
  </r>
  <r>
    <s v="Dec EFP 2"/>
    <d v="2024-10-29T00:00:00"/>
    <s v="WTI-Brent"/>
    <s v="Hedge"/>
    <n v="700"/>
    <d v="2024-12-31T00:00:00"/>
    <d v="2024-12-31T00:00:00"/>
    <n v="-3.91"/>
    <n v="-3.9"/>
    <n v="7.0000000000001616"/>
    <n v="-2737"/>
    <x v="17"/>
    <s v="Buy"/>
    <n v="-2730"/>
    <x v="1"/>
    <x v="3"/>
    <n v="2024"/>
    <s v="Buy"/>
    <x v="0"/>
    <x v="199"/>
  </r>
  <r>
    <s v="Dec EFP 2"/>
    <d v="2024-10-29T00:00:00"/>
    <s v="WTI-Brent"/>
    <s v="Hedge"/>
    <n v="-700"/>
    <d v="2025-01-31T00:00:00"/>
    <d v="2025-01-31T00:00:00"/>
    <n v="-3.92"/>
    <n v="-4.9400000000000004"/>
    <n v="714.00000000000034"/>
    <n v="2744"/>
    <x v="18"/>
    <s v="Sell"/>
    <n v="3458.0000000000005"/>
    <x v="1"/>
    <x v="3"/>
    <n v="2025"/>
    <s v="Sell"/>
    <x v="0"/>
    <x v="200"/>
  </r>
  <r>
    <s v="Dec EFP 3"/>
    <d v="2024-10-29T00:00:00"/>
    <s v="WTI-Brent"/>
    <s v="Hedge"/>
    <n v="700"/>
    <d v="2024-12-31T00:00:00"/>
    <d v="2024-12-31T00:00:00"/>
    <n v="-3.91"/>
    <n v="-3.9"/>
    <n v="7.0000000000001616"/>
    <n v="-2737"/>
    <x v="17"/>
    <s v="Buy"/>
    <n v="-2730"/>
    <x v="1"/>
    <x v="3"/>
    <n v="2024"/>
    <s v="Buy"/>
    <x v="0"/>
    <x v="201"/>
  </r>
  <r>
    <s v="Dec EFP 3"/>
    <d v="2024-10-29T00:00:00"/>
    <s v="WTI-Brent"/>
    <s v="Hedge"/>
    <n v="-700"/>
    <d v="2025-01-31T00:00:00"/>
    <d v="2025-01-31T00:00:00"/>
    <n v="-3.92"/>
    <n v="-4.9400000000000004"/>
    <n v="714.00000000000034"/>
    <n v="2744"/>
    <x v="18"/>
    <s v="Sell"/>
    <n v="3458.0000000000005"/>
    <x v="1"/>
    <x v="3"/>
    <n v="2025"/>
    <s v="Sell"/>
    <x v="0"/>
    <x v="202"/>
  </r>
  <r>
    <s v="Unallocated"/>
    <d v="2024-10-29T00:00:00"/>
    <s v="WTI-Brent"/>
    <s v="Hedge"/>
    <n v="507"/>
    <d v="2024-12-31T00:00:00"/>
    <d v="2024-12-31T00:00:00"/>
    <n v="-3.91"/>
    <n v="-3.9"/>
    <n v="5.0700000000001175"/>
    <n v="-1982.3700000000001"/>
    <x v="17"/>
    <s v="Buy"/>
    <n v="-1977.3"/>
    <x v="1"/>
    <x v="3"/>
    <n v="2024"/>
    <s v="Buy"/>
    <x v="0"/>
    <x v="203"/>
  </r>
  <r>
    <s v="Unallocated"/>
    <d v="2024-10-30T00:00:00"/>
    <s v="Brent Sprds"/>
    <s v="Expo"/>
    <n v="2807"/>
    <d v="2024-12-31T00:00:00"/>
    <d v="2025-01-31T00:00:00"/>
    <n v="0.39"/>
    <n v="0.35"/>
    <n v="-112.2800000000001"/>
    <n v="1094.73"/>
    <x v="11"/>
    <s v="Buy"/>
    <n v="982.44999999999993"/>
    <x v="0"/>
    <x v="2"/>
    <n v="2024"/>
    <s v="Buy"/>
    <x v="0"/>
    <x v="204"/>
  </r>
  <r>
    <s v="Unallocated"/>
    <d v="2024-10-31T00:00:00"/>
    <s v="DFL"/>
    <s v="Hedge"/>
    <n v="-400"/>
    <d v="2024-11-30T00:00:00"/>
    <d v="2024-11-30T00:00:00"/>
    <n v="0.4"/>
    <n v="1.04"/>
    <n v="-256"/>
    <n v="-160"/>
    <x v="24"/>
    <s v="Sell"/>
    <n v="-416"/>
    <x v="1"/>
    <x v="1"/>
    <n v="2024"/>
    <s v="Sell"/>
    <x v="0"/>
    <x v="205"/>
  </r>
  <r>
    <s v="Unallocated"/>
    <d v="2024-11-06T00:00:00"/>
    <s v="DFL"/>
    <s v="Hedge"/>
    <n v="-350"/>
    <d v="2024-12-31T00:00:00"/>
    <d v="2024-12-31T00:00:00"/>
    <n v="0.27"/>
    <n v="0.82"/>
    <n v="-192.49999999999997"/>
    <n v="-94.5"/>
    <x v="17"/>
    <s v="Sell"/>
    <n v="-287"/>
    <x v="1"/>
    <x v="1"/>
    <n v="2024"/>
    <s v="Sell"/>
    <x v="0"/>
    <x v="206"/>
  </r>
  <r>
    <s v="EXTAP Feb 15-25"/>
    <d v="2024-11-07T00:00:00"/>
    <s v="Freight-TD22"/>
    <s v="Expo"/>
    <n v="0"/>
    <d v="2024-11-30T00:00:00"/>
    <d v="2024-11-30T00:00:00"/>
    <n v="7500"/>
    <n v="7350"/>
    <n v="150"/>
    <n v="0"/>
    <x v="24"/>
    <s v="Buy"/>
    <n v="0"/>
    <x v="3"/>
    <x v="5"/>
    <n v="2024"/>
    <s v="Sell"/>
    <x v="0"/>
    <x v="207"/>
  </r>
  <r>
    <s v="EXTAP Feb 15-25"/>
    <d v="2024-11-07T00:00:00"/>
    <s v="Physical"/>
    <s v="Expo"/>
    <n v="2076"/>
    <d v="2024-11-30T00:00:00"/>
    <d v="2024-11-30T00:00:00"/>
    <n v="2.5099999999999998"/>
    <n v="2.71"/>
    <n v="415.20000000000039"/>
    <n v="5210.7599999999993"/>
    <x v="24"/>
    <s v="Buy"/>
    <n v="5625.96"/>
    <x v="2"/>
    <x v="4"/>
    <n v="2024"/>
    <s v="Buy"/>
    <x v="1"/>
    <x v="208"/>
  </r>
  <r>
    <s v="EXTAP Feb 15-25"/>
    <d v="2024-11-07T00:00:00"/>
    <s v="WTI Sprds"/>
    <s v="Expo"/>
    <n v="-2076"/>
    <d v="2024-12-31T00:00:00"/>
    <d v="2025-01-31T00:00:00"/>
    <n v="0.40000000000000568"/>
    <n v="0.15"/>
    <n v="519.00000000001171"/>
    <n v="-830.4000000000118"/>
    <x v="11"/>
    <s v="Sell"/>
    <n v="-311.39999999999998"/>
    <x v="0"/>
    <x v="0"/>
    <n v="2024"/>
    <s v="Sell"/>
    <x v="0"/>
    <x v="209"/>
  </r>
  <r>
    <s v="EXTAP Feb 15-25"/>
    <d v="2024-11-07T00:00:00"/>
    <s v="WTI Sprds"/>
    <s v="Expo"/>
    <n v="-2076"/>
    <d v="2025-01-31T00:00:00"/>
    <d v="2025-02-28T00:00:00"/>
    <n v="0.39000000000000057"/>
    <n v="0.56000000000000005"/>
    <n v="-352.91999999999894"/>
    <n v="-809.64000000000124"/>
    <x v="12"/>
    <s v="Sell"/>
    <n v="-1162.5600000000002"/>
    <x v="0"/>
    <x v="0"/>
    <n v="2025"/>
    <s v="Sell"/>
    <x v="0"/>
    <x v="210"/>
  </r>
  <r>
    <s v="EXTAP Feb 15-25"/>
    <d v="2024-11-07T00:00:00"/>
    <s v="WTI-Brent"/>
    <s v="Expo"/>
    <n v="-2076"/>
    <d v="2025-02-28T00:00:00"/>
    <d v="2025-02-28T00:00:00"/>
    <n v="-3.6900000000000119"/>
    <n v="-3.4"/>
    <n v="-602.04000000002497"/>
    <n v="7660.4400000000251"/>
    <x v="19"/>
    <s v="Sell"/>
    <n v="7058.4"/>
    <x v="1"/>
    <x v="3"/>
    <n v="2025"/>
    <s v="Sell"/>
    <x v="0"/>
    <x v="211"/>
  </r>
  <r>
    <s v="EXTAP Feb 15-25"/>
    <d v="2024-11-07T00:00:00"/>
    <s v="Brent Sprds"/>
    <s v="Expo"/>
    <n v="-2076"/>
    <d v="2025-02-28T00:00:00"/>
    <d v="2025-03-31T00:00:00"/>
    <n v="0.26"/>
    <n v="0.4"/>
    <n v="-290.64000000000004"/>
    <n v="-539.76"/>
    <x v="13"/>
    <s v="Sell"/>
    <n v="-830.40000000000009"/>
    <x v="0"/>
    <x v="2"/>
    <n v="2025"/>
    <s v="Sell"/>
    <x v="0"/>
    <x v="212"/>
  </r>
  <r>
    <s v="EXTAP Feb 15-25"/>
    <d v="2024-11-07T00:00:00"/>
    <s v="Brent Sprds"/>
    <s v="Expo"/>
    <n v="-2076"/>
    <d v="2025-03-31T00:00:00"/>
    <d v="2025-04-30T00:00:00"/>
    <n v="0.2"/>
    <n v="1.0900000000000001"/>
    <n v="-1847.6400000000003"/>
    <n v="-415.20000000000005"/>
    <x v="14"/>
    <s v="Sell"/>
    <n v="-2262.84"/>
    <x v="0"/>
    <x v="2"/>
    <n v="2025"/>
    <s v="Sell"/>
    <x v="0"/>
    <x v="213"/>
  </r>
  <r>
    <s v="EXTAP Feb 15-25"/>
    <d v="2024-11-07T00:00:00"/>
    <s v="DFL"/>
    <s v="Expo"/>
    <n v="2076"/>
    <d v="2025-02-28T00:00:00"/>
    <d v="2025-02-28T00:00:00"/>
    <n v="0"/>
    <n v="0.22"/>
    <n v="456.72"/>
    <n v="0"/>
    <x v="19"/>
    <s v="Buy"/>
    <n v="456.72"/>
    <x v="1"/>
    <x v="1"/>
    <n v="2025"/>
    <s v="Buy"/>
    <x v="0"/>
    <x v="214"/>
  </r>
  <r>
    <s v="EXTAP Feb 15-25"/>
    <d v="2024-11-07T00:00:00"/>
    <s v="WTI Sprds"/>
    <s v="Hedge"/>
    <n v="2100"/>
    <d v="2024-12-31T00:00:00"/>
    <d v="2025-01-31T00:00:00"/>
    <n v="0.40000000000000568"/>
    <n v="0.15"/>
    <n v="-525.00000000001194"/>
    <n v="840.00000000001194"/>
    <x v="11"/>
    <s v="Buy"/>
    <n v="315"/>
    <x v="0"/>
    <x v="0"/>
    <n v="2024"/>
    <s v="Buy"/>
    <x v="0"/>
    <x v="215"/>
  </r>
  <r>
    <s v="EXTAP Feb 15-25"/>
    <d v="2024-11-07T00:00:00"/>
    <s v="WTI Sprds"/>
    <s v="Hedge"/>
    <n v="2100"/>
    <d v="2025-01-31T00:00:00"/>
    <d v="2025-02-28T00:00:00"/>
    <n v="0.39000000000000057"/>
    <n v="0.56000000000000005"/>
    <n v="356.99999999999892"/>
    <n v="819.00000000000114"/>
    <x v="12"/>
    <s v="Buy"/>
    <n v="1176"/>
    <x v="0"/>
    <x v="0"/>
    <n v="2025"/>
    <s v="Buy"/>
    <x v="0"/>
    <x v="216"/>
  </r>
  <r>
    <s v="EXTAP Feb 15-25"/>
    <d v="2024-11-07T00:00:00"/>
    <s v="WTI-Brent"/>
    <s v="Hedge"/>
    <n v="2100"/>
    <d v="2025-02-28T00:00:00"/>
    <d v="2025-02-28T00:00:00"/>
    <n v="-3.6900000000000119"/>
    <n v="-3.4"/>
    <n v="609.00000000002524"/>
    <n v="-7749.0000000000255"/>
    <x v="19"/>
    <s v="Buy"/>
    <n v="-7140"/>
    <x v="1"/>
    <x v="3"/>
    <n v="2025"/>
    <s v="Buy"/>
    <x v="0"/>
    <x v="217"/>
  </r>
  <r>
    <s v="EXTAP Feb 15-25"/>
    <d v="2024-11-07T00:00:00"/>
    <s v="Brent Sprds"/>
    <s v="Hedge"/>
    <n v="2123"/>
    <d v="2025-02-28T00:00:00"/>
    <d v="2025-03-31T00:00:00"/>
    <n v="0.3"/>
    <n v="0.4"/>
    <n v="212.30000000000007"/>
    <n v="636.9"/>
    <x v="13"/>
    <s v="Buy"/>
    <n v="849.2"/>
    <x v="0"/>
    <x v="2"/>
    <n v="2025"/>
    <s v="Buy"/>
    <x v="0"/>
    <x v="218"/>
  </r>
  <r>
    <s v="HDO Feb 5-15"/>
    <d v="2024-11-08T00:00:00"/>
    <s v="Freight-TD22"/>
    <s v="Expo"/>
    <n v="0"/>
    <d v="2024-11-30T00:00:00"/>
    <d v="2024-11-30T00:00:00"/>
    <n v="7500"/>
    <n v="7100"/>
    <n v="400"/>
    <n v="0"/>
    <x v="24"/>
    <s v="Buy"/>
    <n v="0"/>
    <x v="3"/>
    <x v="5"/>
    <n v="2024"/>
    <s v="Sell"/>
    <x v="0"/>
    <x v="219"/>
  </r>
  <r>
    <s v="HDO Feb 5-15"/>
    <d v="2024-11-08T00:00:00"/>
    <s v="Physical"/>
    <s v="Expo"/>
    <n v="2147"/>
    <d v="2024-11-30T00:00:00"/>
    <d v="2024-11-30T00:00:00"/>
    <n v="4.0100000000000007"/>
    <n v="4.5999999999999996"/>
    <n v="1266.7299999999977"/>
    <n v="8609.4700000000012"/>
    <x v="24"/>
    <s v="Buy"/>
    <n v="9876.1999999999989"/>
    <x v="2"/>
    <x v="4"/>
    <n v="2024"/>
    <s v="Buy"/>
    <x v="1"/>
    <x v="220"/>
  </r>
  <r>
    <s v="HDO Feb 5-15"/>
    <d v="2024-11-08T00:00:00"/>
    <s v="WTI Sprds"/>
    <s v="Expo"/>
    <n v="-2147"/>
    <d v="2024-12-31T00:00:00"/>
    <d v="2025-01-31T00:00:00"/>
    <n v="0.26999999999999602"/>
    <n v="0.15"/>
    <n v="257.63999999999146"/>
    <n v="-579.68999999999141"/>
    <x v="11"/>
    <s v="Sell"/>
    <n v="-322.05"/>
    <x v="0"/>
    <x v="0"/>
    <n v="2024"/>
    <s v="Sell"/>
    <x v="0"/>
    <x v="221"/>
  </r>
  <r>
    <s v="HDO Feb 5-15"/>
    <d v="2024-11-08T00:00:00"/>
    <s v="WTI Sprds"/>
    <s v="Expo"/>
    <n v="-2147"/>
    <d v="2025-01-31T00:00:00"/>
    <d v="2025-02-28T00:00:00"/>
    <n v="0.26000000000000512"/>
    <n v="0.56000000000000005"/>
    <n v="-644.09999999998911"/>
    <n v="-558.22000000001094"/>
    <x v="12"/>
    <s v="Sell"/>
    <n v="-1202.3200000000002"/>
    <x v="0"/>
    <x v="0"/>
    <n v="2025"/>
    <s v="Sell"/>
    <x v="0"/>
    <x v="222"/>
  </r>
  <r>
    <s v="HDO Feb 5-15"/>
    <d v="2024-11-08T00:00:00"/>
    <s v="WTI-Brent"/>
    <s v="Expo"/>
    <n v="-2147"/>
    <d v="2025-02-28T00:00:00"/>
    <d v="2025-02-28T00:00:00"/>
    <n v="-3.7600000000000051"/>
    <n v="-3.4"/>
    <n v="-772.92000000001121"/>
    <n v="8072.7200000000112"/>
    <x v="19"/>
    <s v="Sell"/>
    <n v="7299.8"/>
    <x v="1"/>
    <x v="3"/>
    <n v="2025"/>
    <s v="Sell"/>
    <x v="0"/>
    <x v="223"/>
  </r>
  <r>
    <s v="HDO Feb 5-15"/>
    <d v="2024-11-08T00:00:00"/>
    <s v="Brent Sprds"/>
    <s v="Expo"/>
    <n v="-2147"/>
    <d v="2025-02-28T00:00:00"/>
    <d v="2025-03-31T00:00:00"/>
    <n v="0.26"/>
    <n v="0.4"/>
    <n v="-300.58000000000004"/>
    <n v="-558.22"/>
    <x v="13"/>
    <s v="Sell"/>
    <n v="-858.80000000000007"/>
    <x v="0"/>
    <x v="2"/>
    <n v="2025"/>
    <s v="Sell"/>
    <x v="0"/>
    <x v="224"/>
  </r>
  <r>
    <s v="Unallocated"/>
    <d v="2024-11-07T00:00:00"/>
    <s v="Brent Sprds"/>
    <s v="Hedge"/>
    <n v="2000"/>
    <d v="2025-01-31T00:00:00"/>
    <d v="2025-02-28T00:00:00"/>
    <n v="0.37"/>
    <n v="1.1000000000000001"/>
    <n v="1460.0000000000002"/>
    <n v="740"/>
    <x v="12"/>
    <s v="Buy"/>
    <n v="2200"/>
    <x v="0"/>
    <x v="2"/>
    <n v="2025"/>
    <s v="Buy"/>
    <x v="0"/>
    <x v="225"/>
  </r>
  <r>
    <s v="HDO Feb 5-15"/>
    <d v="2024-11-08T00:00:00"/>
    <s v="WTI Sprds"/>
    <s v="Hedge"/>
    <n v="2123"/>
    <d v="2024-12-31T00:00:00"/>
    <d v="2025-01-31T00:00:00"/>
    <n v="0.15"/>
    <n v="0.15"/>
    <n v="0"/>
    <n v="318.45"/>
    <x v="11"/>
    <s v="Buy"/>
    <n v="318.45"/>
    <x v="0"/>
    <x v="0"/>
    <n v="2024"/>
    <s v="Buy"/>
    <x v="0"/>
    <x v="226"/>
  </r>
  <r>
    <s v="HDO Feb 5-15"/>
    <d v="2024-11-08T00:00:00"/>
    <s v="WTI Sprds"/>
    <s v="Hedge"/>
    <n v="2100"/>
    <d v="2025-01-31T00:00:00"/>
    <d v="2025-02-28T00:00:00"/>
    <n v="0.2"/>
    <n v="0.56000000000000005"/>
    <n v="756.00000000000011"/>
    <n v="420"/>
    <x v="12"/>
    <s v="Buy"/>
    <n v="1176"/>
    <x v="0"/>
    <x v="0"/>
    <n v="2025"/>
    <s v="Buy"/>
    <x v="0"/>
    <x v="227"/>
  </r>
  <r>
    <s v="HDO Feb 5-15"/>
    <d v="2024-11-08T00:00:00"/>
    <s v="WTI-Brent"/>
    <s v="Hedge"/>
    <n v="2100"/>
    <d v="2025-02-28T00:00:00"/>
    <d v="2025-02-28T00:00:00"/>
    <n v="-3.88"/>
    <n v="-3.4"/>
    <n v="1008"/>
    <n v="-8148"/>
    <x v="19"/>
    <s v="Buy"/>
    <n v="-7140"/>
    <x v="1"/>
    <x v="3"/>
    <n v="2025"/>
    <s v="Buy"/>
    <x v="0"/>
    <x v="228"/>
  </r>
  <r>
    <s v="Unallocated"/>
    <d v="2024-11-13T00:00:00"/>
    <s v="WTI Sprds"/>
    <s v="Expo"/>
    <n v="500"/>
    <d v="2024-12-31T00:00:00"/>
    <d v="2025-01-31T00:00:00"/>
    <n v="0.15"/>
    <n v="0.15"/>
    <n v="0"/>
    <n v="75"/>
    <x v="11"/>
    <s v="Buy"/>
    <n v="75"/>
    <x v="0"/>
    <x v="0"/>
    <n v="2024"/>
    <s v="Buy"/>
    <x v="0"/>
    <x v="229"/>
  </r>
  <r>
    <s v="Unallocated"/>
    <d v="2024-11-13T00:00:00"/>
    <s v="Brent Sprds"/>
    <s v="Hedge"/>
    <n v="1300"/>
    <d v="2025-01-31T00:00:00"/>
    <d v="2025-02-28T00:00:00"/>
    <n v="0.32"/>
    <n v="1.1000000000000001"/>
    <n v="1014"/>
    <n v="416"/>
    <x v="12"/>
    <s v="Buy"/>
    <n v="1430.0000000000002"/>
    <x v="0"/>
    <x v="2"/>
    <n v="2025"/>
    <s v="Buy"/>
    <x v="0"/>
    <x v="230"/>
  </r>
  <r>
    <s v="Unallocated"/>
    <d v="2024-11-13T00:00:00"/>
    <s v="Brent Sprds"/>
    <s v="Hedge"/>
    <n v="500"/>
    <d v="2025-01-31T00:00:00"/>
    <d v="2025-02-28T00:00:00"/>
    <n v="0.32"/>
    <n v="1.1000000000000001"/>
    <n v="390"/>
    <n v="160"/>
    <x v="12"/>
    <s v="Buy"/>
    <n v="550"/>
    <x v="0"/>
    <x v="2"/>
    <n v="2025"/>
    <s v="Buy"/>
    <x v="0"/>
    <x v="231"/>
  </r>
  <r>
    <s v="Unallocated"/>
    <d v="2024-11-13T00:00:00"/>
    <s v="Brent Sprds"/>
    <s v="Hedge"/>
    <n v="500"/>
    <d v="2025-02-28T00:00:00"/>
    <d v="2025-03-31T00:00:00"/>
    <n v="0.24999999999999994"/>
    <n v="0.4"/>
    <n v="75.000000000000043"/>
    <n v="124.99999999999997"/>
    <x v="13"/>
    <s v="Buy"/>
    <n v="200"/>
    <x v="0"/>
    <x v="2"/>
    <n v="2025"/>
    <s v="Buy"/>
    <x v="0"/>
    <x v="232"/>
  </r>
  <r>
    <s v="Gunvor FOB Dec 6-7"/>
    <d v="2024-11-14T00:00:00"/>
    <s v="WTI Sprds"/>
    <s v="Expo"/>
    <n v="-700"/>
    <d v="2024-12-31T00:00:00"/>
    <d v="2025-01-31T00:00:00"/>
    <n v="0.15"/>
    <n v="0.15"/>
    <n v="0"/>
    <n v="-105"/>
    <x v="11"/>
    <s v="Sell"/>
    <n v="-105"/>
    <x v="0"/>
    <x v="0"/>
    <n v="2024"/>
    <s v="Sell"/>
    <x v="0"/>
    <x v="233"/>
  </r>
  <r>
    <s v="Gunvor FOB Dec 6-7"/>
    <d v="2024-11-14T00:00:00"/>
    <s v="WTI Sprds"/>
    <s v="Expo"/>
    <n v="-700"/>
    <d v="2025-01-31T00:00:00"/>
    <d v="2025-02-28T00:00:00"/>
    <n v="0.26"/>
    <n v="0.56000000000000005"/>
    <n v="-210.00000000000003"/>
    <n v="-182"/>
    <x v="12"/>
    <s v="Sell"/>
    <n v="-392.00000000000006"/>
    <x v="0"/>
    <x v="0"/>
    <n v="2025"/>
    <s v="Sell"/>
    <x v="0"/>
    <x v="234"/>
  </r>
  <r>
    <s v="Gunvor FOB Dec 6-7"/>
    <d v="2024-11-14T00:00:00"/>
    <s v="WTI-Brent"/>
    <s v="Expo"/>
    <n v="-700"/>
    <d v="2025-02-28T00:00:00"/>
    <d v="2025-02-28T00:00:00"/>
    <n v="-3.98"/>
    <n v="-3.4"/>
    <n v="-406.00000000000006"/>
    <n v="2786"/>
    <x v="19"/>
    <s v="Sell"/>
    <n v="2380"/>
    <x v="1"/>
    <x v="3"/>
    <n v="2025"/>
    <s v="Sell"/>
    <x v="0"/>
    <x v="235"/>
  </r>
  <r>
    <s v="Dec EFP 1"/>
    <d v="2024-11-15T00:00:00"/>
    <s v="WTI-Brent"/>
    <s v="Hedge"/>
    <n v="700"/>
    <d v="2025-01-31T00:00:00"/>
    <d v="2025-01-31T00:00:00"/>
    <n v="-4.12"/>
    <n v="-4.9400000000000004"/>
    <n v="-574.00000000000023"/>
    <n v="-2884"/>
    <x v="18"/>
    <s v="Buy"/>
    <n v="-3458.0000000000005"/>
    <x v="1"/>
    <x v="3"/>
    <n v="2025"/>
    <s v="Buy"/>
    <x v="0"/>
    <x v="236"/>
  </r>
  <r>
    <s v="EXTAP Feb 15-25"/>
    <d v="2024-11-15T00:00:00"/>
    <s v="Brent Sprds"/>
    <s v="Expo"/>
    <n v="2000"/>
    <d v="2025-02-28T00:00:00"/>
    <d v="2025-03-31T00:00:00"/>
    <n v="0.21"/>
    <n v="0.4"/>
    <n v="380.00000000000006"/>
    <n v="420"/>
    <x v="13"/>
    <s v="Buy"/>
    <n v="800"/>
    <x v="0"/>
    <x v="2"/>
    <n v="2025"/>
    <s v="Buy"/>
    <x v="0"/>
    <x v="237"/>
  </r>
  <r>
    <s v="Gunvor FOB Dec 6-7"/>
    <d v="2024-11-14T00:00:00"/>
    <s v="WTI Sprds"/>
    <s v="Expo"/>
    <n v="632"/>
    <d v="2024-12-31T00:00:00"/>
    <d v="2025-01-31T00:00:00"/>
    <n v="0.1"/>
    <n v="0.15"/>
    <n v="31.599999999999994"/>
    <n v="63.2"/>
    <x v="11"/>
    <s v="Buy"/>
    <n v="94.8"/>
    <x v="0"/>
    <x v="0"/>
    <n v="2024"/>
    <s v="Buy"/>
    <x v="0"/>
    <x v="238"/>
  </r>
  <r>
    <s v="Gunvor FOB Dec 6-7"/>
    <d v="2024-11-14T00:00:00"/>
    <s v="WTI Sprds"/>
    <s v="Expo"/>
    <n v="700"/>
    <d v="2025-01-31T00:00:00"/>
    <d v="2025-02-28T00:00:00"/>
    <n v="0.2"/>
    <n v="0.56000000000000005"/>
    <n v="252.00000000000003"/>
    <n v="140"/>
    <x v="12"/>
    <s v="Buy"/>
    <n v="392.00000000000006"/>
    <x v="0"/>
    <x v="0"/>
    <n v="2025"/>
    <s v="Buy"/>
    <x v="0"/>
    <x v="239"/>
  </r>
  <r>
    <s v="Equinor FOB Dec 7-8"/>
    <d v="2024-11-18T00:00:00"/>
    <s v="WTI Sprds"/>
    <s v="Expo"/>
    <n v="-700"/>
    <d v="2024-12-31T00:00:00"/>
    <d v="2025-01-31T00:00:00"/>
    <n v="0.03"/>
    <n v="0.15"/>
    <n v="-84"/>
    <n v="-21"/>
    <x v="11"/>
    <s v="Sell"/>
    <n v="-105"/>
    <x v="0"/>
    <x v="0"/>
    <n v="2024"/>
    <s v="Sell"/>
    <x v="0"/>
    <x v="240"/>
  </r>
  <r>
    <s v="Equinor FOB Dec 7-8"/>
    <d v="2024-11-18T00:00:00"/>
    <s v="WTI Sprds"/>
    <s v="Expo"/>
    <n v="-700"/>
    <d v="2025-01-31T00:00:00"/>
    <d v="2025-02-28T00:00:00"/>
    <n v="0.17"/>
    <n v="0.56000000000000005"/>
    <n v="-273"/>
    <n v="-119.00000000000001"/>
    <x v="12"/>
    <s v="Sell"/>
    <n v="-392.00000000000006"/>
    <x v="0"/>
    <x v="0"/>
    <n v="2025"/>
    <s v="Sell"/>
    <x v="0"/>
    <x v="241"/>
  </r>
  <r>
    <s v="Equinor FOB Dec 7-8"/>
    <d v="2024-11-18T00:00:00"/>
    <s v="WTI-Brent"/>
    <s v="Expo"/>
    <n v="-700"/>
    <d v="2025-02-28T00:00:00"/>
    <d v="2025-02-28T00:00:00"/>
    <n v="-4.05"/>
    <n v="-3.4"/>
    <n v="-454.99999999999994"/>
    <n v="2835"/>
    <x v="19"/>
    <s v="Sell"/>
    <n v="2380"/>
    <x v="1"/>
    <x v="3"/>
    <n v="2025"/>
    <s v="Sell"/>
    <x v="0"/>
    <x v="242"/>
  </r>
  <r>
    <s v="Equinor FOB Dec 7-8"/>
    <d v="2024-11-18T00:00:00"/>
    <s v="Physical"/>
    <s v="Expo"/>
    <n v="700"/>
    <d v="2024-12-31T00:00:00"/>
    <d v="2024-12-31T00:00:00"/>
    <n v="1"/>
    <n v="1.1000000000000001"/>
    <n v="70.000000000000057"/>
    <n v="700"/>
    <x v="17"/>
    <s v="Buy"/>
    <n v="770.00000000000011"/>
    <x v="2"/>
    <x v="4"/>
    <n v="2024"/>
    <s v="Buy"/>
    <x v="1"/>
    <x v="243"/>
  </r>
  <r>
    <s v="Dec EFP 2"/>
    <d v="2024-11-18T00:00:00"/>
    <s v="WTI-Brent"/>
    <s v="Hedge"/>
    <n v="200"/>
    <d v="2025-01-31T00:00:00"/>
    <d v="2025-01-31T00:00:00"/>
    <n v="-4.1500000000000004"/>
    <n v="-4.9400000000000004"/>
    <n v="-158"/>
    <n v="-830.00000000000011"/>
    <x v="18"/>
    <s v="Buy"/>
    <n v="-988.00000000000011"/>
    <x v="1"/>
    <x v="3"/>
    <n v="2025"/>
    <s v="Buy"/>
    <x v="0"/>
    <x v="244"/>
  </r>
  <r>
    <s v="Dec EFP 2"/>
    <d v="2024-11-18T00:00:00"/>
    <s v="WTI-Brent"/>
    <s v="Hedge"/>
    <n v="200"/>
    <d v="2025-01-31T00:00:00"/>
    <d v="2025-01-31T00:00:00"/>
    <n v="-4.16"/>
    <n v="-4.9400000000000004"/>
    <n v="-156.00000000000006"/>
    <n v="-832"/>
    <x v="18"/>
    <s v="Buy"/>
    <n v="-988.00000000000011"/>
    <x v="1"/>
    <x v="3"/>
    <n v="2025"/>
    <s v="Buy"/>
    <x v="0"/>
    <x v="245"/>
  </r>
  <r>
    <s v="Equinor FOB Dec 7-8"/>
    <d v="2024-11-18T00:00:00"/>
    <s v="WTI Sprds"/>
    <s v="Hedge"/>
    <n v="700"/>
    <d v="2024-12-31T00:00:00"/>
    <d v="2025-01-31T00:00:00"/>
    <n v="-1.0000000000005116E-2"/>
    <n v="0.15"/>
    <n v="112.00000000000358"/>
    <n v="-7.0000000000035811"/>
    <x v="11"/>
    <s v="Buy"/>
    <n v="105"/>
    <x v="0"/>
    <x v="0"/>
    <n v="2024"/>
    <s v="Buy"/>
    <x v="0"/>
    <x v="246"/>
  </r>
  <r>
    <s v="Equinor FOB Dec 7-8"/>
    <d v="2024-11-18T00:00:00"/>
    <s v="WTI Sprds"/>
    <s v="Hedge"/>
    <n v="700"/>
    <d v="2025-01-31T00:00:00"/>
    <d v="2025-02-28T00:00:00"/>
    <n v="0.18000000000000682"/>
    <n v="0.56000000000000005"/>
    <n v="265.99999999999528"/>
    <n v="126.00000000000477"/>
    <x v="12"/>
    <s v="Buy"/>
    <n v="392.00000000000006"/>
    <x v="0"/>
    <x v="0"/>
    <n v="2025"/>
    <s v="Buy"/>
    <x v="0"/>
    <x v="247"/>
  </r>
  <r>
    <s v="Equinor FOB Dec 7-8"/>
    <d v="2024-11-18T00:00:00"/>
    <s v="WTI-Brent"/>
    <s v="Hedge"/>
    <n v="700"/>
    <d v="2025-02-28T00:00:00"/>
    <d v="2025-02-28T00:00:00"/>
    <n v="-4.0200000000000102"/>
    <n v="-3.4"/>
    <n v="434.00000000000722"/>
    <n v="-2814.0000000000073"/>
    <x v="19"/>
    <s v="Buy"/>
    <n v="-2380"/>
    <x v="1"/>
    <x v="3"/>
    <n v="2025"/>
    <s v="Buy"/>
    <x v="0"/>
    <x v="248"/>
  </r>
  <r>
    <s v="CPC TAIWAN FEB 20-24"/>
    <d v="2024-11-21T00:00:00"/>
    <s v="WTI Sprds"/>
    <s v="Hedge"/>
    <n v="500"/>
    <d v="2025-01-31T00:00:00"/>
    <d v="2025-02-28T00:00:00"/>
    <n v="0.3"/>
    <n v="0.56000000000000005"/>
    <n v="130.00000000000003"/>
    <n v="150"/>
    <x v="12"/>
    <s v="Buy"/>
    <n v="280"/>
    <x v="0"/>
    <x v="0"/>
    <n v="2025"/>
    <s v="Buy"/>
    <x v="0"/>
    <x v="249"/>
  </r>
  <r>
    <s v="CPC TAIWAN FEB 20-24"/>
    <d v="2024-11-21T00:00:00"/>
    <s v="Freight-TD22"/>
    <s v="Expo"/>
    <n v="0"/>
    <d v="2024-11-30T00:00:00"/>
    <d v="2024-11-30T00:00:00"/>
    <n v="7450"/>
    <n v="7400"/>
    <n v="0"/>
    <n v="0"/>
    <x v="24"/>
    <s v="Buy"/>
    <n v="0"/>
    <x v="3"/>
    <x v="5"/>
    <n v="2024"/>
    <s v="Sell"/>
    <x v="0"/>
    <x v="250"/>
  </r>
  <r>
    <s v="CPC TAIWAN FEB 20-24"/>
    <d v="2024-11-21T00:00:00"/>
    <s v="Physical"/>
    <s v="Expo"/>
    <n v="2000"/>
    <d v="2024-11-30T00:00:00"/>
    <d v="2024-11-30T00:00:00"/>
    <n v="2.15"/>
    <n v="2.1"/>
    <n v="-99.999999999999645"/>
    <n v="4300"/>
    <x v="24"/>
    <s v="Buy"/>
    <n v="4200"/>
    <x v="2"/>
    <x v="4"/>
    <n v="2024"/>
    <s v="Buy"/>
    <x v="1"/>
    <x v="251"/>
  </r>
  <r>
    <s v="CPC TAIWAN FEB 20-24"/>
    <d v="2024-11-21T00:00:00"/>
    <s v="WTI Sprds"/>
    <s v="Expo"/>
    <n v="-2000"/>
    <d v="2025-01-31T00:00:00"/>
    <d v="2025-02-28T00:00:00"/>
    <n v="0.28999999999999998"/>
    <n v="0.56000000000000005"/>
    <n v="-540.00000000000011"/>
    <n v="-580"/>
    <x v="12"/>
    <s v="Sell"/>
    <n v="-1120"/>
    <x v="0"/>
    <x v="0"/>
    <n v="2025"/>
    <s v="Sell"/>
    <x v="0"/>
    <x v="252"/>
  </r>
  <r>
    <s v="CPC TAIWAN FEB 20-24"/>
    <d v="2024-11-21T00:00:00"/>
    <s v="WTI-Brent"/>
    <s v="Expo"/>
    <n v="-2000"/>
    <d v="2025-02-28T00:00:00"/>
    <d v="2025-02-28T00:00:00"/>
    <n v="-4.05"/>
    <n v="-3.4"/>
    <n v="-1299.9999999999998"/>
    <n v="8100"/>
    <x v="19"/>
    <s v="Sell"/>
    <n v="6800"/>
    <x v="1"/>
    <x v="3"/>
    <n v="2025"/>
    <s v="Sell"/>
    <x v="0"/>
    <x v="253"/>
  </r>
  <r>
    <s v="CPC TAIWAN FEB 20-24"/>
    <d v="2024-11-21T00:00:00"/>
    <s v="Brent Sprds"/>
    <s v="Expo"/>
    <n v="-2000"/>
    <d v="2025-02-28T00:00:00"/>
    <d v="2025-03-31T00:00:00"/>
    <n v="0.3"/>
    <n v="0.4"/>
    <n v="-200.00000000000006"/>
    <n v="-600"/>
    <x v="13"/>
    <s v="Sell"/>
    <n v="-800"/>
    <x v="0"/>
    <x v="2"/>
    <n v="2025"/>
    <s v="Sell"/>
    <x v="0"/>
    <x v="254"/>
  </r>
  <r>
    <s v="CPC TAIWAN FEB 20-24"/>
    <d v="2024-11-21T00:00:00"/>
    <s v="DFL"/>
    <s v="Expo"/>
    <n v="2000"/>
    <d v="2025-01-31T00:00:00"/>
    <d v="2025-01-31T00:00:00"/>
    <n v="0.15"/>
    <n v="0.93"/>
    <n v="1560"/>
    <n v="300"/>
    <x v="18"/>
    <s v="Buy"/>
    <n v="1860"/>
    <x v="1"/>
    <x v="1"/>
    <n v="2025"/>
    <s v="Buy"/>
    <x v="0"/>
    <x v="255"/>
  </r>
  <r>
    <s v="Unallocated"/>
    <d v="2024-11-25T00:00:00"/>
    <s v="WTI-Brent"/>
    <s v="Hedge"/>
    <n v="300"/>
    <d v="2025-01-31T00:00:00"/>
    <d v="2025-01-31T00:00:00"/>
    <n v="-4"/>
    <n v="-4.9400000000000004"/>
    <n v="-282.00000000000011"/>
    <n v="-1200"/>
    <x v="18"/>
    <s v="Buy"/>
    <n v="-1482.0000000000002"/>
    <x v="1"/>
    <x v="3"/>
    <n v="2025"/>
    <s v="Buy"/>
    <x v="0"/>
    <x v="256"/>
  </r>
  <r>
    <s v="Unallocated"/>
    <d v="2024-11-25T00:00:00"/>
    <s v="WTI-Brent"/>
    <s v="Hedge"/>
    <n v="300"/>
    <d v="2025-01-31T00:00:00"/>
    <d v="2025-01-31T00:00:00"/>
    <n v="-4.0199999999999996"/>
    <n v="-4.9400000000000004"/>
    <n v="-276.00000000000023"/>
    <n v="-1205.9999999999998"/>
    <x v="18"/>
    <s v="Buy"/>
    <n v="-1482.0000000000002"/>
    <x v="1"/>
    <x v="3"/>
    <n v="2025"/>
    <s v="Buy"/>
    <x v="0"/>
    <x v="257"/>
  </r>
  <r>
    <s v="Unallocated"/>
    <d v="2024-11-25T00:00:00"/>
    <s v="WTI-Brent"/>
    <s v="Hedge"/>
    <n v="200"/>
    <d v="2025-01-31T00:00:00"/>
    <d v="2025-01-31T00:00:00"/>
    <n v="-4.04"/>
    <n v="-4.9400000000000004"/>
    <n v="-180.00000000000006"/>
    <n v="-808"/>
    <x v="18"/>
    <s v="Buy"/>
    <n v="-988.00000000000011"/>
    <x v="1"/>
    <x v="3"/>
    <n v="2025"/>
    <s v="Buy"/>
    <x v="0"/>
    <x v="258"/>
  </r>
  <r>
    <s v="Unallocated"/>
    <d v="2024-11-25T00:00:00"/>
    <s v="WTI-Brent"/>
    <s v="Hedge"/>
    <n v="200"/>
    <d v="2025-01-31T00:00:00"/>
    <d v="2025-01-31T00:00:00"/>
    <n v="-4.0599999999999996"/>
    <n v="-4.9400000000000004"/>
    <n v="-176.00000000000017"/>
    <n v="-811.99999999999989"/>
    <x v="18"/>
    <s v="Buy"/>
    <n v="-988.00000000000011"/>
    <x v="1"/>
    <x v="3"/>
    <n v="2025"/>
    <s v="Buy"/>
    <x v="0"/>
    <x v="259"/>
  </r>
  <r>
    <s v="Unallocated"/>
    <d v="2024-11-25T00:00:00"/>
    <s v="WTI-Brent"/>
    <s v="Hedge"/>
    <n v="200"/>
    <d v="2025-01-31T00:00:00"/>
    <d v="2025-01-31T00:00:00"/>
    <n v="-4.08"/>
    <n v="-4.9400000000000004"/>
    <n v="-172.00000000000006"/>
    <n v="-816"/>
    <x v="18"/>
    <s v="Buy"/>
    <n v="-988.00000000000011"/>
    <x v="1"/>
    <x v="3"/>
    <n v="2025"/>
    <s v="Buy"/>
    <x v="0"/>
    <x v="260"/>
  </r>
  <r>
    <s v="Unallocated"/>
    <d v="2024-11-25T00:00:00"/>
    <s v="Brent Sprds"/>
    <s v="Hedge"/>
    <n v="1000"/>
    <d v="2025-01-31T00:00:00"/>
    <d v="2025-02-28T00:00:00"/>
    <n v="0.55000000000000004"/>
    <n v="1.1000000000000001"/>
    <n v="550"/>
    <n v="550"/>
    <x v="12"/>
    <s v="Buy"/>
    <n v="1100"/>
    <x v="0"/>
    <x v="2"/>
    <n v="2025"/>
    <s v="Buy"/>
    <x v="0"/>
    <x v="261"/>
  </r>
  <r>
    <s v="CPC TAIWAN FEB 20-24"/>
    <d v="2024-11-25T00:00:00"/>
    <s v="WTI Sprds"/>
    <s v="Hedge"/>
    <n v="700"/>
    <d v="2025-01-31T00:00:00"/>
    <d v="2025-02-28T00:00:00"/>
    <n v="0.36"/>
    <n v="0.56000000000000005"/>
    <n v="140.00000000000006"/>
    <n v="252"/>
    <x v="12"/>
    <s v="Buy"/>
    <n v="392.00000000000006"/>
    <x v="0"/>
    <x v="0"/>
    <n v="2025"/>
    <s v="Buy"/>
    <x v="0"/>
    <x v="262"/>
  </r>
  <r>
    <s v="CPC TAIWAN FEB 20-24"/>
    <d v="2024-11-25T00:00:00"/>
    <s v="WTI-Brent"/>
    <s v="Hedge"/>
    <n v="700"/>
    <d v="2025-02-28T00:00:00"/>
    <d v="2025-02-28T00:00:00"/>
    <n v="-3.9"/>
    <n v="-3.4"/>
    <n v="350"/>
    <n v="-2730"/>
    <x v="19"/>
    <s v="Buy"/>
    <n v="-2380"/>
    <x v="1"/>
    <x v="3"/>
    <n v="2025"/>
    <s v="Buy"/>
    <x v="0"/>
    <x v="263"/>
  </r>
  <r>
    <s v="CPC TAIWAN FEB 20-24"/>
    <d v="2024-11-25T00:00:00"/>
    <s v="Brent Sprds"/>
    <s v="Hedge"/>
    <n v="700"/>
    <d v="2025-02-28T00:00:00"/>
    <d v="2025-03-31T00:00:00"/>
    <n v="0.34"/>
    <n v="0.4"/>
    <n v="42"/>
    <n v="238.00000000000003"/>
    <x v="13"/>
    <s v="Buy"/>
    <n v="280"/>
    <x v="0"/>
    <x v="2"/>
    <n v="2025"/>
    <s v="Buy"/>
    <x v="0"/>
    <x v="264"/>
  </r>
  <r>
    <s v="Unallocated"/>
    <d v="2024-11-27T00:00:00"/>
    <s v="WTI-Brent"/>
    <s v="Hedge"/>
    <n v="300"/>
    <d v="2025-01-31T00:00:00"/>
    <d v="2025-01-31T00:00:00"/>
    <n v="-4.07"/>
    <n v="-4.9400000000000004"/>
    <n v="-261.00000000000006"/>
    <n v="-1221"/>
    <x v="18"/>
    <s v="Buy"/>
    <n v="-1482.0000000000002"/>
    <x v="1"/>
    <x v="3"/>
    <n v="2025"/>
    <s v="Buy"/>
    <x v="0"/>
    <x v="265"/>
  </r>
  <r>
    <s v="Unallocated"/>
    <d v="2024-11-27T00:00:00"/>
    <s v="WTI-Brent"/>
    <s v="Hedge"/>
    <n v="300"/>
    <d v="2025-01-31T00:00:00"/>
    <d v="2025-01-31T00:00:00"/>
    <n v="-4.0999999999999996"/>
    <n v="-4.9400000000000004"/>
    <n v="-252.00000000000023"/>
    <n v="-1230"/>
    <x v="18"/>
    <s v="Buy"/>
    <n v="-1482.0000000000002"/>
    <x v="1"/>
    <x v="3"/>
    <n v="2025"/>
    <s v="Buy"/>
    <x v="0"/>
    <x v="266"/>
  </r>
  <r>
    <s v="Unallocated"/>
    <d v="2024-11-27T00:00:00"/>
    <s v="WTI-Brent"/>
    <s v="Hedge"/>
    <n v="332"/>
    <d v="2025-01-31T00:00:00"/>
    <d v="2025-01-31T00:00:00"/>
    <n v="-4.08"/>
    <n v="-4.9400000000000004"/>
    <n v="-285.5200000000001"/>
    <n v="-1354.56"/>
    <x v="18"/>
    <s v="Buy"/>
    <n v="-1640.0800000000002"/>
    <x v="1"/>
    <x v="3"/>
    <n v="2025"/>
    <s v="Buy"/>
    <x v="0"/>
    <x v="267"/>
  </r>
  <r>
    <s v="CPC TAIWAN FEB 20-24"/>
    <d v="2024-11-21T00:00:00"/>
    <s v="Brent Sprds"/>
    <s v="Expo"/>
    <n v="1383"/>
    <d v="2025-01-31T00:00:00"/>
    <d v="2025-02-28T00:00:00"/>
    <n v="0.5"/>
    <n v="1.1000000000000001"/>
    <n v="829.80000000000007"/>
    <n v="691.5"/>
    <x v="12"/>
    <s v="Buy"/>
    <n v="1521.3000000000002"/>
    <x v="0"/>
    <x v="2"/>
    <n v="2025"/>
    <s v="Buy"/>
    <x v="0"/>
    <x v="268"/>
  </r>
  <r>
    <s v="Unallocated"/>
    <d v="2024-12-02T00:00:00"/>
    <s v="CFD"/>
    <s v="Hedge"/>
    <n v="-400"/>
    <s v="Dec 16-20"/>
    <d v="2024-12-31T00:00:00"/>
    <n v="0.33"/>
    <n v="0.84699999999999998"/>
    <n v="-206.79999999999995"/>
    <n v="-132"/>
    <x v="4"/>
    <s v="Sell"/>
    <n v="-338.8"/>
    <x v="1"/>
    <x v="1"/>
    <n v="2024"/>
    <s v="Sell"/>
    <x v="0"/>
    <x v="269"/>
  </r>
  <r>
    <s v="Unallocated"/>
    <d v="2024-12-02T00:00:00"/>
    <s v="CFD"/>
    <s v="Hedge"/>
    <n v="-200"/>
    <s v="Dec 23-27"/>
    <d v="2024-12-31T00:00:00"/>
    <n v="0.19"/>
    <n v="-0.09"/>
    <n v="56.000000000000007"/>
    <n v="-38"/>
    <x v="5"/>
    <s v="Sell"/>
    <n v="18"/>
    <x v="1"/>
    <x v="1"/>
    <n v="2024"/>
    <s v="Sell"/>
    <x v="0"/>
    <x v="270"/>
  </r>
  <r>
    <s v="Unallocated"/>
    <d v="2024-12-03T00:00:00"/>
    <s v="WTI Sprds"/>
    <s v="Hedge"/>
    <n v="1500"/>
    <d v="2025-01-31T00:00:00"/>
    <d v="2025-02-28T00:00:00"/>
    <n v="0.4"/>
    <n v="0.56000000000000005"/>
    <n v="240.00000000000006"/>
    <n v="600"/>
    <x v="12"/>
    <s v="Buy"/>
    <n v="840.00000000000011"/>
    <x v="0"/>
    <x v="0"/>
    <n v="2025"/>
    <s v="Buy"/>
    <x v="0"/>
    <x v="271"/>
  </r>
  <r>
    <s v="Unallocated"/>
    <d v="2024-12-03T00:00:00"/>
    <s v="WTI Sprds"/>
    <s v="Hedge"/>
    <n v="1500"/>
    <d v="2025-02-28T00:00:00"/>
    <d v="2025-03-31T00:00:00"/>
    <n v="0.3"/>
    <n v="0.49"/>
    <n v="285"/>
    <n v="450"/>
    <x v="13"/>
    <s v="Buy"/>
    <n v="735"/>
    <x v="0"/>
    <x v="0"/>
    <n v="2025"/>
    <s v="Buy"/>
    <x v="0"/>
    <x v="272"/>
  </r>
  <r>
    <s v="Unallocated"/>
    <d v="2024-12-03T00:00:00"/>
    <s v="Brent Sprds"/>
    <s v="Hedge"/>
    <n v="1500"/>
    <d v="2025-02-28T00:00:00"/>
    <d v="2025-03-31T00:00:00"/>
    <n v="0.42"/>
    <n v="0.4"/>
    <n v="-29.999999999999943"/>
    <n v="630"/>
    <x v="13"/>
    <s v="Buy"/>
    <n v="600"/>
    <x v="0"/>
    <x v="2"/>
    <n v="2025"/>
    <s v="Buy"/>
    <x v="0"/>
    <x v="273"/>
  </r>
  <r>
    <s v="Unallocated"/>
    <d v="2024-12-03T00:00:00"/>
    <s v="Brent Sprds"/>
    <s v="Hedge"/>
    <n v="1500"/>
    <d v="2025-03-31T00:00:00"/>
    <d v="2025-04-30T00:00:00"/>
    <n v="0.28999999999999998"/>
    <n v="1.0900000000000001"/>
    <n v="1200"/>
    <n v="434.99999999999994"/>
    <x v="14"/>
    <s v="Buy"/>
    <n v="1635.0000000000002"/>
    <x v="0"/>
    <x v="2"/>
    <n v="2025"/>
    <s v="Buy"/>
    <x v="0"/>
    <x v="274"/>
  </r>
  <r>
    <s v="Unallocated"/>
    <d v="2024-12-03T00:00:00"/>
    <s v="WTI-Brent"/>
    <s v="Hedge"/>
    <n v="1000"/>
    <d v="2025-02-28T00:00:00"/>
    <d v="2025-02-28T00:00:00"/>
    <n v="-4.08"/>
    <n v="-3.4"/>
    <n v="680.00000000000011"/>
    <n v="-4080"/>
    <x v="19"/>
    <s v="Buy"/>
    <n v="-3400"/>
    <x v="1"/>
    <x v="3"/>
    <n v="2025"/>
    <s v="Buy"/>
    <x v="0"/>
    <x v="275"/>
  </r>
  <r>
    <s v="Jan 4-6 KAL Afra"/>
    <d v="2024-12-03T00:00:00"/>
    <s v="Physical"/>
    <s v="Expo"/>
    <n v="735"/>
    <d v="2024-11-30T00:00:00"/>
    <d v="2024-11-30T00:00:00"/>
    <n v="-1.3800000000000001"/>
    <n v="-1.2"/>
    <n v="132.30000000000013"/>
    <n v="-1014.3000000000001"/>
    <x v="24"/>
    <s v="Buy"/>
    <n v="-882"/>
    <x v="2"/>
    <x v="4"/>
    <n v="2024"/>
    <s v="Buy"/>
    <x v="1"/>
    <x v="276"/>
  </r>
  <r>
    <s v="Jan 4-6 KAL Afra"/>
    <d v="2024-12-03T00:00:00"/>
    <s v="WTI Sprds"/>
    <s v="Expo"/>
    <n v="-735"/>
    <d v="2025-01-31T00:00:00"/>
    <d v="2025-02-28T00:00:00"/>
    <n v="0.39999999999999147"/>
    <n v="0.56000000000000005"/>
    <n v="-117.6000000000063"/>
    <n v="-293.99999999999375"/>
    <x v="12"/>
    <s v="Sell"/>
    <n v="-411.6"/>
    <x v="0"/>
    <x v="0"/>
    <n v="2025"/>
    <s v="Sell"/>
    <x v="0"/>
    <x v="277"/>
  </r>
  <r>
    <s v="Jan 4-6 KAL Afra"/>
    <d v="2024-12-03T00:00:00"/>
    <s v="WTI-Brent"/>
    <s v="Expo"/>
    <n v="-735"/>
    <d v="2025-02-28T00:00:00"/>
    <d v="2025-02-28T00:00:00"/>
    <n v="-4.0799999999999983"/>
    <n v="-3.4"/>
    <n v="-499.79999999999882"/>
    <n v="2998.7999999999988"/>
    <x v="19"/>
    <s v="Sell"/>
    <n v="2499"/>
    <x v="1"/>
    <x v="3"/>
    <n v="2025"/>
    <s v="Sell"/>
    <x v="0"/>
    <x v="278"/>
  </r>
  <r>
    <s v="Jan 4-6 KAL Afra"/>
    <d v="2024-12-03T00:00:00"/>
    <s v="Brent Sprds"/>
    <s v="Expo"/>
    <n v="-735"/>
    <d v="2025-02-28T00:00:00"/>
    <d v="2025-03-31T00:00:00"/>
    <n v="0.35"/>
    <n v="0.4"/>
    <n v="-36.750000000000036"/>
    <n v="-257.25"/>
    <x v="13"/>
    <s v="Sell"/>
    <n v="-294"/>
    <x v="0"/>
    <x v="2"/>
    <n v="2025"/>
    <s v="Sell"/>
    <x v="0"/>
    <x v="279"/>
  </r>
  <r>
    <s v="Jan 4-6 KAL Afra"/>
    <d v="2024-12-03T00:00:00"/>
    <s v="DFL"/>
    <s v="Expo"/>
    <n v="735"/>
    <d v="2025-01-31T00:00:00"/>
    <d v="2025-01-31T00:00:00"/>
    <n v="0.25"/>
    <n v="0.93"/>
    <n v="499.8"/>
    <n v="183.75"/>
    <x v="18"/>
    <s v="Buy"/>
    <n v="683.55000000000007"/>
    <x v="1"/>
    <x v="1"/>
    <n v="2025"/>
    <s v="Buy"/>
    <x v="0"/>
    <x v="280"/>
  </r>
  <r>
    <s v="Jan 4-6 KAL Afra"/>
    <d v="2024-12-03T00:00:00"/>
    <s v="WTI Sprds"/>
    <s v="Hedge"/>
    <n v="700"/>
    <d v="2025-01-31T00:00:00"/>
    <d v="2025-02-28T00:00:00"/>
    <n v="0.4"/>
    <n v="0.56000000000000005"/>
    <n v="112.00000000000003"/>
    <n v="280"/>
    <x v="12"/>
    <s v="Buy"/>
    <n v="392.00000000000006"/>
    <x v="0"/>
    <x v="0"/>
    <n v="2025"/>
    <s v="Buy"/>
    <x v="0"/>
    <x v="281"/>
  </r>
  <r>
    <s v="Jan 4-6 KAL Afra"/>
    <d v="2024-12-03T00:00:00"/>
    <s v="WTI Sprds"/>
    <s v="Hedge"/>
    <n v="700"/>
    <d v="2025-02-28T00:00:00"/>
    <d v="2025-03-31T00:00:00"/>
    <n v="0.28000000000000003"/>
    <n v="0.49"/>
    <n v="146.99999999999997"/>
    <n v="196.00000000000003"/>
    <x v="13"/>
    <s v="Buy"/>
    <n v="343"/>
    <x v="0"/>
    <x v="0"/>
    <n v="2025"/>
    <s v="Buy"/>
    <x v="0"/>
    <x v="282"/>
  </r>
  <r>
    <s v="Unallocated"/>
    <d v="2024-12-04T00:00:00"/>
    <s v="WTI Sprds"/>
    <s v="Hedge"/>
    <n v="500"/>
    <d v="2025-01-31T00:00:00"/>
    <d v="2025-02-28T00:00:00"/>
    <n v="0.4"/>
    <n v="0.56000000000000005"/>
    <n v="80.000000000000014"/>
    <n v="200"/>
    <x v="12"/>
    <s v="Buy"/>
    <n v="280"/>
    <x v="0"/>
    <x v="0"/>
    <n v="2025"/>
    <s v="Buy"/>
    <x v="0"/>
    <x v="283"/>
  </r>
  <r>
    <s v="Unallocated"/>
    <d v="2024-12-04T00:00:00"/>
    <s v="WTI Sprds"/>
    <s v="Hedge"/>
    <n v="700"/>
    <d v="2025-01-31T00:00:00"/>
    <d v="2025-02-28T00:00:00"/>
    <n v="0.4"/>
    <n v="0.56000000000000005"/>
    <n v="112.00000000000003"/>
    <n v="280"/>
    <x v="12"/>
    <s v="Buy"/>
    <n v="392.00000000000006"/>
    <x v="0"/>
    <x v="0"/>
    <n v="2025"/>
    <s v="Buy"/>
    <x v="0"/>
    <x v="284"/>
  </r>
  <r>
    <s v="Unallocated"/>
    <d v="2024-12-04T00:00:00"/>
    <s v="WTI Sprds"/>
    <s v="Hedge"/>
    <n v="700"/>
    <d v="2025-02-28T00:00:00"/>
    <d v="2025-03-31T00:00:00"/>
    <n v="0.28999999999999998"/>
    <n v="0.49"/>
    <n v="140"/>
    <n v="203"/>
    <x v="13"/>
    <s v="Buy"/>
    <n v="343"/>
    <x v="0"/>
    <x v="0"/>
    <n v="2025"/>
    <s v="Buy"/>
    <x v="0"/>
    <x v="285"/>
  </r>
  <r>
    <s v="Unallocated"/>
    <d v="2024-12-04T00:00:00"/>
    <s v="WTI Sprds"/>
    <s v="Hedge"/>
    <n v="500"/>
    <d v="2025-01-31T00:00:00"/>
    <d v="2025-02-28T00:00:00"/>
    <n v="0.38"/>
    <n v="0.56000000000000005"/>
    <n v="90.000000000000028"/>
    <n v="190"/>
    <x v="12"/>
    <s v="Buy"/>
    <n v="280"/>
    <x v="0"/>
    <x v="0"/>
    <n v="2025"/>
    <s v="Buy"/>
    <x v="0"/>
    <x v="286"/>
  </r>
  <r>
    <s v="Unallocated"/>
    <d v="2024-12-04T00:00:00"/>
    <s v="WTI Sprds"/>
    <s v="Hedge"/>
    <n v="500"/>
    <d v="2025-02-28T00:00:00"/>
    <d v="2025-03-31T00:00:00"/>
    <n v="0.27"/>
    <n v="0.49"/>
    <n v="109.99999999999999"/>
    <n v="135"/>
    <x v="13"/>
    <s v="Buy"/>
    <n v="245"/>
    <x v="0"/>
    <x v="0"/>
    <n v="2025"/>
    <s v="Buy"/>
    <x v="0"/>
    <x v="287"/>
  </r>
  <r>
    <s v="Unallocated"/>
    <d v="2024-12-04T00:00:00"/>
    <s v="WTI Sprds"/>
    <s v="Hedge"/>
    <n v="500"/>
    <d v="2025-01-31T00:00:00"/>
    <d v="2025-02-28T00:00:00"/>
    <n v="0.36"/>
    <n v="0.56000000000000005"/>
    <n v="100.00000000000003"/>
    <n v="180"/>
    <x v="12"/>
    <s v="Buy"/>
    <n v="280"/>
    <x v="0"/>
    <x v="0"/>
    <n v="2025"/>
    <s v="Buy"/>
    <x v="0"/>
    <x v="288"/>
  </r>
  <r>
    <s v="Unallocated"/>
    <d v="2024-12-04T00:00:00"/>
    <s v="WTI Sprds"/>
    <s v="Hedge"/>
    <n v="500"/>
    <d v="2025-02-28T00:00:00"/>
    <d v="2025-03-31T00:00:00"/>
    <n v="0.26"/>
    <n v="0.49"/>
    <n v="114.99999999999999"/>
    <n v="130"/>
    <x v="13"/>
    <s v="Buy"/>
    <n v="245"/>
    <x v="0"/>
    <x v="0"/>
    <n v="2025"/>
    <s v="Buy"/>
    <x v="0"/>
    <x v="289"/>
  </r>
  <r>
    <s v="Unallocated"/>
    <d v="2024-12-04T00:00:00"/>
    <s v="Brent Sprds"/>
    <s v="Hedge"/>
    <n v="500"/>
    <d v="2025-02-28T00:00:00"/>
    <d v="2025-03-31T00:00:00"/>
    <n v="0.39"/>
    <n v="0.4"/>
    <n v="5.0000000000000044"/>
    <n v="195"/>
    <x v="13"/>
    <s v="Buy"/>
    <n v="200"/>
    <x v="0"/>
    <x v="2"/>
    <n v="2025"/>
    <s v="Buy"/>
    <x v="0"/>
    <x v="290"/>
  </r>
  <r>
    <s v="Unallocated"/>
    <d v="2024-12-04T00:00:00"/>
    <s v="Brent Sprds"/>
    <s v="Hedge"/>
    <n v="500"/>
    <d v="2025-02-28T00:00:00"/>
    <d v="2025-03-31T00:00:00"/>
    <n v="0.38"/>
    <n v="0.4"/>
    <n v="10.000000000000009"/>
    <n v="190"/>
    <x v="13"/>
    <s v="Buy"/>
    <n v="200"/>
    <x v="0"/>
    <x v="2"/>
    <n v="2025"/>
    <s v="Buy"/>
    <x v="0"/>
    <x v="291"/>
  </r>
  <r>
    <s v="Unallocated"/>
    <d v="2024-12-16T00:00:00"/>
    <s v="DFL"/>
    <s v="Hedge"/>
    <n v="-750"/>
    <d v="2025-01-31T00:00:00"/>
    <d v="2025-01-31T00:00:00"/>
    <n v="0.27"/>
    <n v="0.93"/>
    <n v="-495"/>
    <n v="-202.5"/>
    <x v="18"/>
    <s v="Sell"/>
    <n v="-697.5"/>
    <x v="1"/>
    <x v="1"/>
    <n v="2025"/>
    <s v="Sell"/>
    <x v="0"/>
    <x v="292"/>
  </r>
  <r>
    <s v="Unallocated"/>
    <d v="2024-12-16T00:00:00"/>
    <s v="CFD"/>
    <s v="Hedge"/>
    <n v="500"/>
    <s v="Jan 6-10"/>
    <d v="2025-01-31T00:00:00"/>
    <n v="0.3"/>
    <n v="0.99"/>
    <n v="345"/>
    <n v="150"/>
    <x v="27"/>
    <s v="Buy"/>
    <n v="495"/>
    <x v="1"/>
    <x v="1"/>
    <n v="2025"/>
    <s v="Buy"/>
    <x v="0"/>
    <x v="293"/>
  </r>
  <r>
    <s v="Unallocated"/>
    <d v="2024-12-16T00:00:00"/>
    <s v="CFD"/>
    <s v="Hedge"/>
    <n v="-500"/>
    <s v="Jan 20-24"/>
    <d v="2025-01-31T00:00:00"/>
    <n v="0.06"/>
    <n v="1.43"/>
    <n v="-684.99999999999989"/>
    <n v="-30"/>
    <x v="28"/>
    <s v="Sell"/>
    <n v="-715"/>
    <x v="1"/>
    <x v="1"/>
    <n v="2025"/>
    <s v="Sell"/>
    <x v="0"/>
    <x v="294"/>
  </r>
  <r>
    <s v="Unallocated"/>
    <d v="2024-12-16T00:00:00"/>
    <s v="DFL"/>
    <s v="Hedge"/>
    <n v="-1000"/>
    <d v="2025-01-31T00:00:00"/>
    <d v="2025-01-31T00:00:00"/>
    <n v="0.24"/>
    <n v="0.93"/>
    <n v="-690.00000000000011"/>
    <n v="-240"/>
    <x v="18"/>
    <s v="Sell"/>
    <n v="-930"/>
    <x v="1"/>
    <x v="1"/>
    <n v="2025"/>
    <s v="Sell"/>
    <x v="0"/>
    <x v="295"/>
  </r>
  <r>
    <s v="Unallocated"/>
    <d v="2025-12-10T00:00:00"/>
    <s v="DFL"/>
    <s v="Hedge"/>
    <n v="1000"/>
    <d v="2025-02-28T00:00:00"/>
    <d v="2025-02-28T00:00:00"/>
    <n v="0.12"/>
    <n v="0.22"/>
    <n v="100"/>
    <n v="120"/>
    <x v="19"/>
    <s v="Buy"/>
    <n v="220"/>
    <x v="1"/>
    <x v="1"/>
    <n v="2025"/>
    <s v="Buy"/>
    <x v="0"/>
    <x v="296"/>
  </r>
  <r>
    <s v="Mitsui CIF Rdam Jan 27-29"/>
    <d v="2024-12-16T00:00:00"/>
    <s v="Physical"/>
    <s v="Expo"/>
    <n v="735"/>
    <d v="2024-11-30T00:00:00"/>
    <d v="2024-11-30T00:00:00"/>
    <n v="-1.47"/>
    <n v="-1.45"/>
    <n v="14.700000000000014"/>
    <n v="-1080.45"/>
    <x v="24"/>
    <s v="Buy"/>
    <n v="-1065.75"/>
    <x v="2"/>
    <x v="4"/>
    <n v="2024"/>
    <s v="Buy"/>
    <x v="1"/>
    <x v="297"/>
  </r>
  <r>
    <s v="Mitsui CIF Rdam Jan 27-29"/>
    <d v="2024-12-16T00:00:00"/>
    <s v="WTI Sprds"/>
    <s v="Expo"/>
    <n v="-735"/>
    <d v="2025-01-31T00:00:00"/>
    <d v="2025-02-28T00:00:00"/>
    <n v="0.42"/>
    <n v="0.56000000000000005"/>
    <n v="-102.90000000000005"/>
    <n v="-308.7"/>
    <x v="12"/>
    <s v="Sell"/>
    <n v="-411.6"/>
    <x v="0"/>
    <x v="0"/>
    <n v="2025"/>
    <s v="Sell"/>
    <x v="0"/>
    <x v="298"/>
  </r>
  <r>
    <s v="Mitsui CIF Rdam Jan 27-29"/>
    <d v="2024-12-16T00:00:00"/>
    <s v="WTI Sprds"/>
    <s v="Expo"/>
    <n v="-735"/>
    <d v="2025-02-28T00:00:00"/>
    <d v="2025-03-31T00:00:00"/>
    <n v="0.41"/>
    <n v="0.49"/>
    <n v="-58.800000000000011"/>
    <n v="-301.34999999999997"/>
    <x v="13"/>
    <s v="Sell"/>
    <n v="-360.15"/>
    <x v="0"/>
    <x v="0"/>
    <n v="2025"/>
    <s v="Sell"/>
    <x v="0"/>
    <x v="299"/>
  </r>
  <r>
    <s v="Mitsui CIF Rdam Jan 27-29"/>
    <d v="2024-12-16T00:00:00"/>
    <s v="WTI-Brent"/>
    <s v="Expo"/>
    <n v="-735"/>
    <d v="2025-03-31T00:00:00"/>
    <d v="2025-03-31T00:00:00"/>
    <n v="-3.64"/>
    <n v="-4.2300000000000004"/>
    <n v="433.6500000000002"/>
    <n v="2675.4"/>
    <x v="20"/>
    <s v="Sell"/>
    <n v="3109.05"/>
    <x v="1"/>
    <x v="3"/>
    <n v="2025"/>
    <s v="Sell"/>
    <x v="0"/>
    <x v="300"/>
  </r>
  <r>
    <s v="Mitsui CIF Rdam Jan 27-29"/>
    <d v="2024-12-16T00:00:00"/>
    <s v="DFL"/>
    <s v="Expo"/>
    <n v="735"/>
    <d v="2025-01-31T00:00:00"/>
    <d v="2025-01-31T00:00:00"/>
    <n v="0.3"/>
    <n v="0.93"/>
    <n v="463.05000000000007"/>
    <n v="220.5"/>
    <x v="18"/>
    <s v="Buy"/>
    <n v="683.55000000000007"/>
    <x v="1"/>
    <x v="1"/>
    <n v="2025"/>
    <s v="Buy"/>
    <x v="0"/>
    <x v="301"/>
  </r>
  <r>
    <s v="Mitsui CIF Rdam Jan 27-29"/>
    <d v="2024-12-16T00:00:00"/>
    <s v="Freight-TD25"/>
    <s v="Expo"/>
    <n v="0"/>
    <d v="2025-01-31T00:00:00"/>
    <d v="2025-01-31T00:00:00"/>
    <n v="150"/>
    <n v="127.5"/>
    <n v="315"/>
    <n v="0"/>
    <x v="18"/>
    <s v="Buy"/>
    <n v="0"/>
    <x v="3"/>
    <x v="5"/>
    <n v="2025"/>
    <s v="Sell"/>
    <x v="0"/>
    <x v="302"/>
  </r>
  <r>
    <s v="CPC TAIWAN MARCH 11-15"/>
    <d v="2024-12-16T00:00:00"/>
    <s v="Freight-TD22"/>
    <s v="Expo"/>
    <n v="0"/>
    <d v="2024-11-30T00:00:00"/>
    <d v="2024-11-30T00:00:00"/>
    <n v="6500"/>
    <n v="6500"/>
    <n v="0"/>
    <n v="0"/>
    <x v="24"/>
    <s v="Buy"/>
    <n v="0"/>
    <x v="3"/>
    <x v="5"/>
    <n v="2024"/>
    <s v="Sell"/>
    <x v="0"/>
    <x v="303"/>
  </r>
  <r>
    <s v="CPC TAIWAN MARCH 11-15"/>
    <d v="2024-12-16T00:00:00"/>
    <s v="Physical"/>
    <s v="Expo"/>
    <n v="2096"/>
    <d v="2025-01-31T00:00:00"/>
    <d v="2025-01-31T00:00:00"/>
    <n v="-1.73"/>
    <n v="-1.65"/>
    <n v="167.68000000000015"/>
    <n v="-3626.08"/>
    <x v="18"/>
    <s v="Buy"/>
    <n v="-3458.3999999999996"/>
    <x v="2"/>
    <x v="4"/>
    <n v="2025"/>
    <s v="Buy"/>
    <x v="1"/>
    <x v="304"/>
  </r>
  <r>
    <s v="CPC TAIWAN MARCH 11-15"/>
    <d v="2024-12-16T00:00:00"/>
    <s v="WTI Sprds"/>
    <s v="Expo"/>
    <n v="-2096"/>
    <d v="2025-01-31T00:00:00"/>
    <d v="2025-02-28T00:00:00"/>
    <n v="0.42"/>
    <n v="0.56000000000000005"/>
    <n v="-293.44000000000017"/>
    <n v="-880.31999999999994"/>
    <x v="12"/>
    <s v="Sell"/>
    <n v="-1173.7600000000002"/>
    <x v="0"/>
    <x v="0"/>
    <n v="2025"/>
    <s v="Sell"/>
    <x v="0"/>
    <x v="305"/>
  </r>
  <r>
    <s v="CPC TAIWAN MARCH 11-15"/>
    <d v="2024-12-16T00:00:00"/>
    <s v="WTI Sprds"/>
    <s v="Expo"/>
    <n v="-2096"/>
    <d v="2025-02-28T00:00:00"/>
    <d v="2025-03-31T00:00:00"/>
    <n v="0.41"/>
    <n v="0.49"/>
    <n v="-167.68000000000004"/>
    <n v="-859.3599999999999"/>
    <x v="13"/>
    <s v="Sell"/>
    <n v="-1027.04"/>
    <x v="0"/>
    <x v="0"/>
    <n v="2025"/>
    <s v="Sell"/>
    <x v="0"/>
    <x v="306"/>
  </r>
  <r>
    <s v="CPC TAIWAN MARCH 11-15"/>
    <d v="2024-12-16T00:00:00"/>
    <s v="WTI-Brent"/>
    <s v="Expo"/>
    <n v="-2096"/>
    <d v="2025-03-31T00:00:00"/>
    <d v="2025-03-31T00:00:00"/>
    <n v="-3.64"/>
    <n v="-4.2300000000000004"/>
    <n v="1236.6400000000006"/>
    <n v="7629.4400000000005"/>
    <x v="20"/>
    <s v="Sell"/>
    <n v="8866.0800000000017"/>
    <x v="1"/>
    <x v="3"/>
    <n v="2025"/>
    <s v="Sell"/>
    <x v="0"/>
    <x v="307"/>
  </r>
  <r>
    <s v="CPC TAIWAN MARCH 11-15"/>
    <d v="2024-12-16T00:00:00"/>
    <s v="Brent Sprds"/>
    <s v="Expo"/>
    <n v="-2096"/>
    <d v="2025-03-31T00:00:00"/>
    <d v="2025-04-30T00:00:00"/>
    <n v="0.32"/>
    <n v="1.0900000000000001"/>
    <n v="-1613.92"/>
    <n v="-670.72"/>
    <x v="14"/>
    <s v="Sell"/>
    <n v="-2284.6400000000003"/>
    <x v="0"/>
    <x v="2"/>
    <n v="2025"/>
    <s v="Sell"/>
    <x v="0"/>
    <x v="308"/>
  </r>
  <r>
    <s v="CPC TAIWAN MARCH 11-15"/>
    <d v="2024-12-16T00:00:00"/>
    <s v="DFL"/>
    <s v="Expo"/>
    <n v="2096"/>
    <d v="2025-02-28T00:00:00"/>
    <d v="2025-02-28T00:00:00"/>
    <n v="0.13"/>
    <n v="0.22"/>
    <n v="188.64"/>
    <n v="272.48"/>
    <x v="19"/>
    <s v="Buy"/>
    <n v="461.12"/>
    <x v="1"/>
    <x v="1"/>
    <n v="2025"/>
    <s v="Buy"/>
    <x v="0"/>
    <x v="309"/>
  </r>
  <r>
    <s v="Feb EFP 1"/>
    <d v="2024-12-16T00:00:00"/>
    <s v="Physical"/>
    <s v="Expo"/>
    <n v="700"/>
    <d v="2025-01-31T00:00:00"/>
    <d v="2025-01-31T00:00:00"/>
    <n v="1.02"/>
    <n v="1"/>
    <n v="-14.000000000000012"/>
    <n v="714"/>
    <x v="18"/>
    <s v="Buy"/>
    <n v="700"/>
    <x v="2"/>
    <x v="4"/>
    <n v="2025"/>
    <s v="Buy"/>
    <x v="1"/>
    <x v="310"/>
  </r>
  <r>
    <s v="Feb EFP 1"/>
    <d v="2024-12-16T00:00:00"/>
    <s v="Freight-TD25"/>
    <s v="Expo"/>
    <n v="0"/>
    <d v="2025-01-31T00:00:00"/>
    <d v="2025-01-31T00:00:00"/>
    <n v="150.47619047619048"/>
    <n v="152.5"/>
    <n v="-28.333333333333258"/>
    <n v="0"/>
    <x v="18"/>
    <s v="Buy"/>
    <n v="0"/>
    <x v="3"/>
    <x v="5"/>
    <n v="2025"/>
    <s v="Sell"/>
    <x v="0"/>
    <x v="311"/>
  </r>
  <r>
    <s v="Feb EFP 1"/>
    <d v="2024-12-16T00:00:00"/>
    <s v="Freight-TD7"/>
    <s v="Expo"/>
    <n v="700"/>
    <d v="2025-02-28T00:00:00"/>
    <d v="2025-02-28T00:00:00"/>
    <n v="126.69962917181705"/>
    <n v="109"/>
    <n v="-247.79480840543874"/>
    <n v="88689.740420271934"/>
    <x v="19"/>
    <s v="Buy"/>
    <n v="76300"/>
    <x v="3"/>
    <x v="5"/>
    <n v="2025"/>
    <s v="Buy"/>
    <x v="0"/>
    <x v="312"/>
  </r>
  <r>
    <s v="Feb EFP 1"/>
    <d v="2024-12-16T00:00:00"/>
    <s v="WTI Sprds"/>
    <s v="Expo"/>
    <n v="-700"/>
    <d v="2025-01-31T00:00:00"/>
    <d v="2025-02-28T00:00:00"/>
    <n v="0.42"/>
    <n v="0.56000000000000005"/>
    <n v="-98.000000000000043"/>
    <n v="-294"/>
    <x v="12"/>
    <s v="Sell"/>
    <n v="-392.00000000000006"/>
    <x v="0"/>
    <x v="0"/>
    <n v="2025"/>
    <s v="Sell"/>
    <x v="0"/>
    <x v="313"/>
  </r>
  <r>
    <s v="Feb EFP 1"/>
    <d v="2024-12-16T00:00:00"/>
    <s v="WTI-Brent"/>
    <s v="Expo"/>
    <n v="-700"/>
    <d v="2025-02-28T00:00:00"/>
    <d v="2025-02-28T00:00:00"/>
    <n v="-3.62"/>
    <n v="-3.4"/>
    <n v="-154.00000000000014"/>
    <n v="2534"/>
    <x v="19"/>
    <s v="Sell"/>
    <n v="2380"/>
    <x v="1"/>
    <x v="3"/>
    <n v="2025"/>
    <s v="Sell"/>
    <x v="0"/>
    <x v="314"/>
  </r>
  <r>
    <s v="Feb EFP 2"/>
    <d v="2024-12-16T00:00:00"/>
    <s v="Physical"/>
    <s v="Expo"/>
    <n v="700"/>
    <d v="2025-01-31T00:00:00"/>
    <d v="2025-01-31T00:00:00"/>
    <n v="1.02"/>
    <n v="1"/>
    <n v="-14.000000000000012"/>
    <n v="714"/>
    <x v="18"/>
    <s v="Buy"/>
    <n v="700"/>
    <x v="2"/>
    <x v="4"/>
    <n v="2025"/>
    <s v="Buy"/>
    <x v="1"/>
    <x v="315"/>
  </r>
  <r>
    <s v="Feb EFP 2"/>
    <d v="2024-12-16T00:00:00"/>
    <s v="Freight-TD25"/>
    <s v="Expo"/>
    <n v="0"/>
    <d v="2025-01-31T00:00:00"/>
    <d v="2025-01-31T00:00:00"/>
    <n v="150.47619047619048"/>
    <n v="129.5"/>
    <n v="293.66666666666674"/>
    <n v="0"/>
    <x v="18"/>
    <s v="Buy"/>
    <n v="0"/>
    <x v="3"/>
    <x v="5"/>
    <n v="2025"/>
    <s v="Sell"/>
    <x v="0"/>
    <x v="316"/>
  </r>
  <r>
    <s v="Feb EFP 2"/>
    <d v="2024-12-16T00:00:00"/>
    <s v="Freight-TD7"/>
    <s v="Expo"/>
    <n v="700"/>
    <d v="2025-02-28T00:00:00"/>
    <d v="2025-02-28T00:00:00"/>
    <n v="126.69962917181705"/>
    <n v="109"/>
    <n v="-247.79480840543874"/>
    <n v="88689.740420271934"/>
    <x v="19"/>
    <s v="Buy"/>
    <n v="76300"/>
    <x v="3"/>
    <x v="5"/>
    <n v="2025"/>
    <s v="Buy"/>
    <x v="0"/>
    <x v="317"/>
  </r>
  <r>
    <s v="Feb EFP 2"/>
    <d v="2024-12-16T00:00:00"/>
    <s v="WTI Sprds"/>
    <s v="Expo"/>
    <n v="-700"/>
    <d v="2025-01-31T00:00:00"/>
    <d v="2025-02-28T00:00:00"/>
    <n v="0.42"/>
    <n v="0.56000000000000005"/>
    <n v="-98.000000000000043"/>
    <n v="-294"/>
    <x v="12"/>
    <s v="Sell"/>
    <n v="-392.00000000000006"/>
    <x v="0"/>
    <x v="0"/>
    <n v="2025"/>
    <s v="Sell"/>
    <x v="0"/>
    <x v="318"/>
  </r>
  <r>
    <s v="Feb EFP 2"/>
    <d v="2024-12-16T00:00:00"/>
    <s v="WTI-Brent"/>
    <s v="Expo"/>
    <n v="-700"/>
    <d v="2025-02-28T00:00:00"/>
    <d v="2025-02-28T00:00:00"/>
    <n v="-3.62"/>
    <n v="-3.4"/>
    <n v="-154.00000000000014"/>
    <n v="2534"/>
    <x v="19"/>
    <s v="Sell"/>
    <n v="2380"/>
    <x v="1"/>
    <x v="3"/>
    <n v="2025"/>
    <s v="Sell"/>
    <x v="0"/>
    <x v="319"/>
  </r>
  <r>
    <s v="Feb EFP 3"/>
    <d v="2024-12-16T00:00:00"/>
    <s v="Physical"/>
    <s v="Expo"/>
    <n v="707"/>
    <d v="2025-01-31T00:00:00"/>
    <d v="2025-01-31T00:00:00"/>
    <n v="1.27"/>
    <n v="1.5499999999999998"/>
    <n v="197.95999999999987"/>
    <n v="897.89"/>
    <x v="18"/>
    <s v="Buy"/>
    <n v="1095.8499999999999"/>
    <x v="2"/>
    <x v="4"/>
    <n v="2025"/>
    <s v="Buy"/>
    <x v="1"/>
    <x v="320"/>
  </r>
  <r>
    <s v="Feb EFP 3"/>
    <d v="2024-12-16T00:00:00"/>
    <s v="Freight-TD25"/>
    <s v="Expo"/>
    <n v="-707"/>
    <d v="2025-01-31T00:00:00"/>
    <d v="2025-01-31T00:00:00"/>
    <n v="150"/>
    <n v="137.5"/>
    <n v="175"/>
    <n v="-106050"/>
    <x v="18"/>
    <s v="Sell"/>
    <n v="-97212.5"/>
    <x v="3"/>
    <x v="5"/>
    <n v="2025"/>
    <s v="Sell"/>
    <x v="0"/>
    <x v="321"/>
  </r>
  <r>
    <s v="Feb EFP 3"/>
    <d v="2024-12-16T00:00:00"/>
    <s v="Freight-TD25"/>
    <s v="Expo"/>
    <n v="707"/>
    <d v="2025-01-31T00:00:00"/>
    <d v="2025-01-31T00:00:00"/>
    <n v="137.5"/>
    <n v="137.5"/>
    <n v="0"/>
    <n v="97212.5"/>
    <x v="18"/>
    <s v="Buy"/>
    <n v="97212.5"/>
    <x v="3"/>
    <x v="5"/>
    <n v="2025"/>
    <s v="Buy"/>
    <x v="0"/>
    <x v="322"/>
  </r>
  <r>
    <s v="Feb EFP 3"/>
    <d v="2024-12-16T00:00:00"/>
    <s v="Freight-TD7"/>
    <s v="Expo"/>
    <n v="700"/>
    <d v="2025-02-28T00:00:00"/>
    <d v="2025-02-28T00:00:00"/>
    <n v="126.69962917181705"/>
    <n v="109"/>
    <n v="-247.79480840543874"/>
    <n v="88689.740420271934"/>
    <x v="19"/>
    <s v="Buy"/>
    <n v="76300"/>
    <x v="3"/>
    <x v="5"/>
    <n v="2025"/>
    <s v="Buy"/>
    <x v="0"/>
    <x v="323"/>
  </r>
  <r>
    <s v="Feb EFP 3"/>
    <d v="2024-12-16T00:00:00"/>
    <s v="WTI-Brent"/>
    <s v="Expo"/>
    <n v="-707"/>
    <d v="2025-02-28T00:00:00"/>
    <d v="2025-02-28T00:00:00"/>
    <n v="-3.62"/>
    <n v="-3.4"/>
    <n v="-155.54000000000013"/>
    <n v="2559.34"/>
    <x v="19"/>
    <s v="Sell"/>
    <n v="2403.7999999999997"/>
    <x v="1"/>
    <x v="3"/>
    <n v="2025"/>
    <s v="Sell"/>
    <x v="0"/>
    <x v="324"/>
  </r>
  <r>
    <s v="CPC TAIWAN MARCH 11-15"/>
    <d v="2025-12-19T00:00:00"/>
    <s v="DFL"/>
    <s v="Hedge"/>
    <n v="-500"/>
    <d v="2025-02-28T00:00:00"/>
    <d v="2025-02-28T00:00:00"/>
    <n v="0.16131000000000001"/>
    <n v="0.22"/>
    <n v="-29.344999999999995"/>
    <n v="-80.655000000000001"/>
    <x v="19"/>
    <s v="Sell"/>
    <n v="-110"/>
    <x v="1"/>
    <x v="1"/>
    <n v="2025"/>
    <s v="Sell"/>
    <x v="0"/>
    <x v="325"/>
  </r>
  <r>
    <s v="Unallocated"/>
    <d v="2024-12-18T00:00:00"/>
    <s v="CFD"/>
    <s v="Hedge"/>
    <n v="500"/>
    <s v="Jan 6-10"/>
    <d v="2025-01-31T00:00:00"/>
    <n v="0.3"/>
    <n v="0.99"/>
    <n v="345"/>
    <n v="150"/>
    <x v="27"/>
    <s v="Buy"/>
    <n v="495"/>
    <x v="1"/>
    <x v="1"/>
    <n v="2025"/>
    <s v="Buy"/>
    <x v="0"/>
    <x v="326"/>
  </r>
  <r>
    <s v="Unallocated"/>
    <d v="2024-12-18T00:00:00"/>
    <s v="CFD"/>
    <s v="Hedge"/>
    <n v="-500"/>
    <s v="Jan 20-24"/>
    <d v="2025-01-31T00:00:00"/>
    <n v="0.1"/>
    <n v="1.43"/>
    <n v="-664.99999999999989"/>
    <n v="-50"/>
    <x v="28"/>
    <s v="Sell"/>
    <n v="-715"/>
    <x v="1"/>
    <x v="1"/>
    <n v="2025"/>
    <s v="Sell"/>
    <x v="0"/>
    <x v="327"/>
  </r>
  <r>
    <s v="Unallocated"/>
    <d v="2024-12-16T00:00:00"/>
    <s v="DFL"/>
    <s v="Hedge"/>
    <n v="-500"/>
    <d v="2025-01-31T00:00:00"/>
    <d v="2025-01-31T00:00:00"/>
    <n v="0.28000000000000003"/>
    <n v="0.93"/>
    <n v="-325"/>
    <n v="-140"/>
    <x v="18"/>
    <s v="Sell"/>
    <n v="-465"/>
    <x v="1"/>
    <x v="1"/>
    <n v="2025"/>
    <s v="Sell"/>
    <x v="0"/>
    <x v="328"/>
  </r>
  <r>
    <s v="Unallocated"/>
    <d v="2024-12-18T00:00:00"/>
    <s v="WTI-Brent"/>
    <s v="Hedge"/>
    <n v="3800"/>
    <d v="2025-02-28T00:00:00"/>
    <d v="2025-02-28T00:00:00"/>
    <n v="-3.3700000000000045"/>
    <n v="-3.4"/>
    <n v="-113.99999999998238"/>
    <n v="-12806.000000000018"/>
    <x v="19"/>
    <s v="Buy"/>
    <n v="-12920"/>
    <x v="1"/>
    <x v="3"/>
    <n v="2025"/>
    <s v="Buy"/>
    <x v="0"/>
    <x v="329"/>
  </r>
  <r>
    <s v="Unallocated"/>
    <d v="2024-12-18T00:00:00"/>
    <s v="WTI-Brent"/>
    <s v="Hedge"/>
    <n v="-2000"/>
    <d v="2025-03-31T00:00:00"/>
    <d v="2025-03-31T00:00:00"/>
    <n v="-3.4300000000000068"/>
    <n v="-4.2300000000000004"/>
    <n v="1599.9999999999873"/>
    <n v="6860.0000000000136"/>
    <x v="20"/>
    <s v="Sell"/>
    <n v="8460"/>
    <x v="1"/>
    <x v="3"/>
    <n v="2025"/>
    <s v="Sell"/>
    <x v="0"/>
    <x v="330"/>
  </r>
  <r>
    <s v="Unallocated"/>
    <d v="2024-12-18T00:00:00"/>
    <s v="WTI-Brent"/>
    <s v="Hedge"/>
    <n v="-1800"/>
    <d v="2025-04-30T00:00:00"/>
    <d v="2025-04-30T00:00:00"/>
    <n v="-3.460000000000008"/>
    <n v="-3.42"/>
    <n v="-72.000000000014452"/>
    <n v="6228.0000000000146"/>
    <x v="21"/>
    <s v="Sell"/>
    <n v="6156"/>
    <x v="1"/>
    <x v="3"/>
    <n v="2025"/>
    <s v="Sell"/>
    <x v="0"/>
    <x v="331"/>
  </r>
  <r>
    <s v="Feb EFP 1"/>
    <d v="2024-12-18T00:00:00"/>
    <s v="WTI Sprds"/>
    <s v="Hedge"/>
    <n v="700"/>
    <d v="2025-01-31T00:00:00"/>
    <d v="2025-02-28T00:00:00"/>
    <n v="0.56000000000000005"/>
    <n v="0.56000000000000005"/>
    <n v="0"/>
    <n v="392.00000000000006"/>
    <x v="12"/>
    <s v="Buy"/>
    <n v="392.00000000000006"/>
    <x v="0"/>
    <x v="0"/>
    <n v="2025"/>
    <s v="Buy"/>
    <x v="0"/>
    <x v="332"/>
  </r>
  <r>
    <s v="Unallocated"/>
    <d v="2024-12-18T00:00:00"/>
    <s v="WTI Sprds"/>
    <s v="Hedge"/>
    <n v="689"/>
    <d v="2025-01-31T00:00:00"/>
    <d v="2025-02-28T00:00:00"/>
    <n v="0.56000000000000005"/>
    <n v="0.56000000000000005"/>
    <n v="0"/>
    <n v="385.84000000000003"/>
    <x v="12"/>
    <s v="Buy"/>
    <n v="385.84000000000003"/>
    <x v="0"/>
    <x v="0"/>
    <n v="2025"/>
    <s v="Buy"/>
    <x v="0"/>
    <x v="333"/>
  </r>
  <r>
    <s v="BPCL DES India March 16-22"/>
    <d v="2024-12-20T00:00:00"/>
    <s v="Freight-TD22"/>
    <s v="Expo"/>
    <n v="0"/>
    <d v="2024-11-30T00:00:00"/>
    <d v="2024-11-30T00:00:00"/>
    <n v="6500"/>
    <n v="6000"/>
    <n v="500"/>
    <n v="0"/>
    <x v="24"/>
    <s v="Buy"/>
    <n v="0"/>
    <x v="3"/>
    <x v="5"/>
    <n v="2024"/>
    <s v="Sell"/>
    <x v="0"/>
    <x v="334"/>
  </r>
  <r>
    <s v="BPCL DES India March 16-22"/>
    <d v="2024-12-20T00:00:00"/>
    <s v="Physical"/>
    <s v="Expo"/>
    <n v="2079"/>
    <d v="2025-01-31T00:00:00"/>
    <d v="2025-01-31T00:00:00"/>
    <n v="2.59"/>
    <n v="2.5"/>
    <n v="-187.1099999999997"/>
    <n v="5384.61"/>
    <x v="18"/>
    <s v="Buy"/>
    <n v="5197.5"/>
    <x v="2"/>
    <x v="4"/>
    <n v="2025"/>
    <s v="Buy"/>
    <x v="1"/>
    <x v="335"/>
  </r>
  <r>
    <s v="BPCL DES India March 16-22"/>
    <d v="2024-12-20T00:00:00"/>
    <s v="WTI Sprds"/>
    <s v="Expo"/>
    <n v="-2079"/>
    <d v="2025-02-28T00:00:00"/>
    <d v="2025-03-31T00:00:00"/>
    <n v="0.36"/>
    <n v="0.49"/>
    <n v="-270.27"/>
    <n v="-748.43999999999994"/>
    <x v="13"/>
    <s v="Sell"/>
    <n v="-1018.71"/>
    <x v="0"/>
    <x v="0"/>
    <n v="2025"/>
    <s v="Sell"/>
    <x v="0"/>
    <x v="336"/>
  </r>
  <r>
    <s v="BPCL DES India March 16-22"/>
    <d v="2024-12-20T00:00:00"/>
    <s v="WTI-Brent"/>
    <s v="Expo"/>
    <n v="-2079"/>
    <d v="2025-03-31T00:00:00"/>
    <d v="2025-03-31T00:00:00"/>
    <n v="-3.51"/>
    <n v="-4.2300000000000004"/>
    <n v="1496.8800000000012"/>
    <n v="7297.29"/>
    <x v="20"/>
    <s v="Sell"/>
    <n v="8794.17"/>
    <x v="1"/>
    <x v="3"/>
    <n v="2025"/>
    <s v="Sell"/>
    <x v="0"/>
    <x v="337"/>
  </r>
  <r>
    <s v="BPCL DES India March 16-22"/>
    <d v="2024-12-20T00:00:00"/>
    <s v="Brent Sprds"/>
    <s v="Expo"/>
    <n v="-2079"/>
    <d v="2025-03-31T00:00:00"/>
    <d v="2025-04-30T00:00:00"/>
    <n v="0.38"/>
    <n v="1.0900000000000001"/>
    <n v="-1476.0900000000001"/>
    <n v="-790.02"/>
    <x v="14"/>
    <s v="Sell"/>
    <n v="-2266.11"/>
    <x v="0"/>
    <x v="2"/>
    <n v="2025"/>
    <s v="Sell"/>
    <x v="0"/>
    <x v="338"/>
  </r>
  <r>
    <s v="BPCL DES India March 16-22"/>
    <d v="2024-12-20T00:00:00"/>
    <s v="Brent Sprds"/>
    <s v="Expo"/>
    <n v="-2079"/>
    <d v="2025-04-30T00:00:00"/>
    <d v="2025-05-31T00:00:00"/>
    <n v="0.33"/>
    <n v="0.37"/>
    <n v="-83.159999999999954"/>
    <n v="-686.07"/>
    <x v="15"/>
    <s v="Sell"/>
    <n v="-769.23"/>
    <x v="0"/>
    <x v="2"/>
    <n v="2025"/>
    <s v="Sell"/>
    <x v="0"/>
    <x v="339"/>
  </r>
  <r>
    <s v="BPCL DES India March 16-22"/>
    <d v="2024-12-20T00:00:00"/>
    <s v="DFL"/>
    <s v="Expo"/>
    <n v="2079"/>
    <d v="2025-03-31T00:00:00"/>
    <d v="2025-03-31T00:00:00"/>
    <n v="0.1"/>
    <n v="1.1299999999999999"/>
    <n v="2141.3699999999994"/>
    <n v="207.9"/>
    <x v="20"/>
    <s v="Buy"/>
    <n v="2349.27"/>
    <x v="1"/>
    <x v="1"/>
    <n v="2025"/>
    <s v="Buy"/>
    <x v="0"/>
    <x v="340"/>
  </r>
  <r>
    <s v="Feb EFP 4"/>
    <d v="2024-12-23T00:00:00"/>
    <s v="Physical"/>
    <s v="Expo"/>
    <n v="700"/>
    <d v="2025-01-31T00:00:00"/>
    <d v="2025-01-31T00:00:00"/>
    <n v="1.27"/>
    <n v="1.5499999999999998"/>
    <n v="195.99999999999986"/>
    <n v="889"/>
    <x v="18"/>
    <s v="Buy"/>
    <n v="1084.9999999999998"/>
    <x v="2"/>
    <x v="4"/>
    <n v="2025"/>
    <s v="Buy"/>
    <x v="1"/>
    <x v="341"/>
  </r>
  <r>
    <s v="Feb EFP 4"/>
    <d v="2024-12-23T00:00:00"/>
    <s v="Freight-TD25"/>
    <s v="Expo"/>
    <n v="-700"/>
    <d v="2025-02-28T00:00:00"/>
    <d v="2025-02-28T00:00:00"/>
    <n v="142.85714285714286"/>
    <n v="128.75"/>
    <n v="197.50000000000009"/>
    <n v="-100000"/>
    <x v="19"/>
    <s v="Sell"/>
    <n v="-90125"/>
    <x v="3"/>
    <x v="5"/>
    <n v="2025"/>
    <s v="Sell"/>
    <x v="0"/>
    <x v="342"/>
  </r>
  <r>
    <s v="Feb EFP 4"/>
    <d v="2024-12-23T00:00:00"/>
    <s v="Freight-TD25"/>
    <s v="Expo"/>
    <n v="700"/>
    <d v="2025-02-28T00:00:00"/>
    <d v="2025-02-28T00:00:00"/>
    <n v="128.75"/>
    <n v="128.75"/>
    <n v="0"/>
    <n v="90125"/>
    <x v="19"/>
    <s v="Buy"/>
    <n v="90125"/>
    <x v="3"/>
    <x v="5"/>
    <n v="2025"/>
    <s v="Buy"/>
    <x v="0"/>
    <x v="343"/>
  </r>
  <r>
    <s v="Feb EFP 4"/>
    <d v="2024-12-23T00:00:00"/>
    <s v="Freight-TD7"/>
    <s v="Expo"/>
    <n v="700"/>
    <d v="2025-02-28T00:00:00"/>
    <d v="2025-02-28T00:00:00"/>
    <n v="126.69962917181705"/>
    <n v="109"/>
    <n v="-247.79480840543874"/>
    <n v="88689.740420271934"/>
    <x v="19"/>
    <s v="Buy"/>
    <n v="76300"/>
    <x v="3"/>
    <x v="5"/>
    <n v="2025"/>
    <s v="Buy"/>
    <x v="0"/>
    <x v="344"/>
  </r>
  <r>
    <s v="Feb EFP 4"/>
    <d v="2024-12-23T00:00:00"/>
    <s v="WTI-Brent"/>
    <s v="Expo"/>
    <n v="-700"/>
    <d v="2025-02-28T00:00:00"/>
    <d v="2025-02-28T00:00:00"/>
    <n v="-3.39"/>
    <n v="-3.4"/>
    <n v="6.9999999999998508"/>
    <n v="2373"/>
    <x v="19"/>
    <s v="Sell"/>
    <n v="2380"/>
    <x v="1"/>
    <x v="3"/>
    <n v="2025"/>
    <s v="Sell"/>
    <x v="0"/>
    <x v="345"/>
  </r>
  <r>
    <s v="Feb EFP 4"/>
    <d v="2024-12-23T00:00:00"/>
    <s v="WTI-Brent"/>
    <s v="Hedge"/>
    <n v="700"/>
    <d v="2025-02-28T00:00:00"/>
    <d v="2025-02-28T00:00:00"/>
    <n v="-3.39"/>
    <n v="-3.4"/>
    <n v="-6.9999999999998508"/>
    <n v="-2373"/>
    <x v="19"/>
    <s v="Buy"/>
    <n v="-2380"/>
    <x v="1"/>
    <x v="3"/>
    <n v="2025"/>
    <s v="Buy"/>
    <x v="0"/>
    <x v="346"/>
  </r>
  <r>
    <s v="Feb EFP 4"/>
    <d v="2024-12-23T00:00:00"/>
    <s v="WTI-Brent"/>
    <s v="Hedge"/>
    <n v="-700"/>
    <d v="2025-05-31T00:00:00"/>
    <d v="2025-05-31T00:00:00"/>
    <n v="-3.5"/>
    <n v="-3.26"/>
    <n v="-168.00000000000014"/>
    <n v="2450"/>
    <x v="22"/>
    <s v="Sell"/>
    <n v="2282"/>
    <x v="1"/>
    <x v="3"/>
    <n v="2025"/>
    <s v="Sell"/>
    <x v="0"/>
    <x v="347"/>
  </r>
  <r>
    <s v="Unallocated"/>
    <d v="2024-12-23T00:00:00"/>
    <s v="DFL"/>
    <s v="Hedge"/>
    <n v="600"/>
    <d v="2025-01-31T00:00:00"/>
    <d v="2025-01-31T00:00:00"/>
    <n v="0.2"/>
    <n v="0.93"/>
    <n v="438"/>
    <n v="120"/>
    <x v="18"/>
    <s v="Buy"/>
    <n v="558"/>
    <x v="1"/>
    <x v="1"/>
    <n v="2025"/>
    <s v="Buy"/>
    <x v="0"/>
    <x v="348"/>
  </r>
  <r>
    <s v="Unallocated"/>
    <d v="2024-12-23T00:00:00"/>
    <s v="DFL"/>
    <s v="Hedge"/>
    <n v="-600"/>
    <d v="2025-02-28T00:00:00"/>
    <d v="2025-02-28T00:00:00"/>
    <n v="0.1"/>
    <n v="0.22"/>
    <n v="-72"/>
    <n v="-60"/>
    <x v="19"/>
    <s v="Sell"/>
    <n v="-132"/>
    <x v="1"/>
    <x v="1"/>
    <n v="2025"/>
    <s v="Sell"/>
    <x v="0"/>
    <x v="349"/>
  </r>
  <r>
    <s v="CIF RDAM Jan 12-14 Load (BP)"/>
    <d v="2024-12-19T00:00:00"/>
    <s v="Physical"/>
    <s v="Expo"/>
    <n v="704"/>
    <d v="2025-01-31T00:00:00"/>
    <d v="2025-01-31T00:00:00"/>
    <n v="-1.73"/>
    <n v="-1.4"/>
    <n v="232.32000000000005"/>
    <n v="-1217.92"/>
    <x v="18"/>
    <s v="Buy"/>
    <n v="-985.59999999999991"/>
    <x v="2"/>
    <x v="4"/>
    <n v="2025"/>
    <s v="Buy"/>
    <x v="1"/>
    <x v="350"/>
  </r>
  <r>
    <s v="CIF RDAM Jan 12-14 Load (BP)"/>
    <d v="2024-12-19T00:00:00"/>
    <s v="WTI Sprds"/>
    <s v="Expo"/>
    <n v="-704"/>
    <d v="2025-02-28T00:00:00"/>
    <d v="2025-03-31T00:00:00"/>
    <n v="0.43"/>
    <n v="0.49"/>
    <n v="-42.239999999999995"/>
    <n v="-302.71999999999997"/>
    <x v="13"/>
    <s v="Sell"/>
    <n v="-344.96"/>
    <x v="0"/>
    <x v="0"/>
    <n v="2025"/>
    <s v="Sell"/>
    <x v="0"/>
    <x v="351"/>
  </r>
  <r>
    <s v="CIF RDAM Jan 12-14 Load (BP)"/>
    <d v="2024-12-19T00:00:00"/>
    <s v="WTI-Brent"/>
    <s v="Expo"/>
    <n v="-704"/>
    <d v="2025-03-31T00:00:00"/>
    <d v="2025-03-31T00:00:00"/>
    <n v="-3.5"/>
    <n v="-4.2300000000000004"/>
    <n v="513.9200000000003"/>
    <n v="2464"/>
    <x v="20"/>
    <s v="Sell"/>
    <n v="2977.92"/>
    <x v="1"/>
    <x v="3"/>
    <n v="2025"/>
    <s v="Sell"/>
    <x v="0"/>
    <x v="352"/>
  </r>
  <r>
    <s v="CIF RDAM Jan 12-14 Load (BP)"/>
    <d v="2024-12-19T00:00:00"/>
    <s v="DFL"/>
    <s v="Expo"/>
    <n v="704"/>
    <d v="2025-01-31T00:00:00"/>
    <d v="2025-01-31T00:00:00"/>
    <n v="0.3"/>
    <n v="0.93"/>
    <n v="443.5200000000001"/>
    <n v="211.2"/>
    <x v="18"/>
    <s v="Buy"/>
    <n v="654.72"/>
    <x v="1"/>
    <x v="1"/>
    <n v="2025"/>
    <s v="Buy"/>
    <x v="0"/>
    <x v="353"/>
  </r>
  <r>
    <s v="CIF RDAM Jan 12-14 Load (BP)"/>
    <d v="2024-12-19T00:00:00"/>
    <s v="Freight-TD25"/>
    <s v="Expo"/>
    <n v="0"/>
    <d v="2025-01-31T00:00:00"/>
    <d v="2025-01-31T00:00:00"/>
    <n v="140"/>
    <n v="128.5"/>
    <n v="161"/>
    <n v="0"/>
    <x v="18"/>
    <s v="Buy"/>
    <n v="0"/>
    <x v="3"/>
    <x v="5"/>
    <n v="2025"/>
    <s v="Sell"/>
    <x v="0"/>
    <x v="354"/>
  </r>
  <r>
    <s v="Unallocated"/>
    <d v="2024-12-27T00:00:00"/>
    <s v="Brent Sprds"/>
    <s v="Hedge"/>
    <n v="1185"/>
    <d v="2025-02-28T00:00:00"/>
    <d v="2025-03-31T00:00:00"/>
    <n v="0.38"/>
    <n v="0.4"/>
    <n v="23.700000000000021"/>
    <n v="450.3"/>
    <x v="13"/>
    <s v="Buy"/>
    <n v="474"/>
    <x v="0"/>
    <x v="2"/>
    <n v="2025"/>
    <s v="Buy"/>
    <x v="0"/>
    <x v="355"/>
  </r>
  <r>
    <s v="Unallocated"/>
    <d v="2024-12-30T00:00:00"/>
    <s v="DFL"/>
    <s v="Hedge"/>
    <n v="1400"/>
    <d v="2025-01-31T00:00:00"/>
    <d v="2025-01-31T00:00:00"/>
    <n v="0.5"/>
    <n v="0.93"/>
    <n v="602.00000000000011"/>
    <n v="700"/>
    <x v="18"/>
    <s v="Buy"/>
    <n v="1302"/>
    <x v="1"/>
    <x v="1"/>
    <n v="2025"/>
    <s v="Buy"/>
    <x v="0"/>
    <x v="356"/>
  </r>
  <r>
    <s v="Unallocated"/>
    <d v="2024-12-30T00:00:00"/>
    <s v="DFL"/>
    <s v="Hedge"/>
    <n v="-1400"/>
    <d v="2025-02-28T00:00:00"/>
    <d v="2025-02-28T00:00:00"/>
    <n v="0.31"/>
    <n v="0.22"/>
    <n v="126"/>
    <n v="-434"/>
    <x v="19"/>
    <s v="Sell"/>
    <n v="-308"/>
    <x v="1"/>
    <x v="1"/>
    <n v="2025"/>
    <s v="Sell"/>
    <x v="0"/>
    <x v="357"/>
  </r>
  <r>
    <s v="Unallocated"/>
    <d v="2024-12-19T00:00:00"/>
    <s v="WTI-Brent"/>
    <s v="Expo"/>
    <n v="65"/>
    <d v="2025-02-28T00:00:00"/>
    <d v="2025-02-28T00:00:00"/>
    <n v="-3.57"/>
    <n v="-3.4"/>
    <n v="11.049999999999995"/>
    <n v="-232.04999999999998"/>
    <x v="19"/>
    <s v="Buy"/>
    <n v="-221"/>
    <x v="1"/>
    <x v="3"/>
    <n v="2025"/>
    <s v="Buy"/>
    <x v="0"/>
    <x v="358"/>
  </r>
  <r>
    <s v="Unallocated"/>
    <d v="2025-01-02T00:00:00"/>
    <s v="DFL"/>
    <s v="Hedge"/>
    <n v="300"/>
    <d v="2025-01-31T00:00:00"/>
    <d v="2025-01-31T00:00:00"/>
    <n v="0.55000000000000004"/>
    <n v="0.93"/>
    <n v="114"/>
    <n v="165"/>
    <x v="18"/>
    <s v="Buy"/>
    <n v="279"/>
    <x v="1"/>
    <x v="1"/>
    <n v="2025"/>
    <s v="Buy"/>
    <x v="0"/>
    <x v="359"/>
  </r>
  <r>
    <s v="Unallocated"/>
    <d v="2025-01-02T00:00:00"/>
    <s v="DFL"/>
    <s v="Hedge"/>
    <n v="-300"/>
    <d v="2025-02-28T00:00:00"/>
    <d v="2025-02-28T00:00:00"/>
    <n v="0.35"/>
    <n v="0.22"/>
    <n v="38.999999999999993"/>
    <n v="-105"/>
    <x v="19"/>
    <s v="Sell"/>
    <n v="-66"/>
    <x v="1"/>
    <x v="1"/>
    <n v="2025"/>
    <s v="Sell"/>
    <x v="0"/>
    <x v="360"/>
  </r>
  <r>
    <s v="EOY Flattening Out"/>
    <d v="2024-12-31T00:00:00"/>
    <s v="WTI Sprds"/>
    <s v="Hedge"/>
    <n v="0"/>
    <d v="2024-12-31T00:00:00"/>
    <d v="2024-12-31T00:00:00"/>
    <m/>
    <n v="0.15"/>
    <n v="-291.00000000002012"/>
    <n v="0"/>
    <x v="17"/>
    <s v="Buy"/>
    <n v="0"/>
    <x v="0"/>
    <x v="0"/>
    <n v="2024"/>
    <s v="Sell"/>
    <x v="0"/>
    <x v="361"/>
  </r>
  <r>
    <s v="EOY Flattening Out"/>
    <d v="2024-12-31T00:00:00"/>
    <s v="Brent Sprds"/>
    <s v="Hedge"/>
    <n v="0"/>
    <d v="2024-12-31T00:00:00"/>
    <d v="2024-12-31T00:00:00"/>
    <m/>
    <n v="0.35"/>
    <n v="1154.7000000000251"/>
    <n v="0"/>
    <x v="17"/>
    <s v="Buy"/>
    <n v="0"/>
    <x v="0"/>
    <x v="2"/>
    <n v="2024"/>
    <s v="Sell"/>
    <x v="0"/>
    <x v="362"/>
  </r>
  <r>
    <s v="EOY Flattening Out"/>
    <d v="2024-12-31T00:00:00"/>
    <s v="WTI-Brent"/>
    <s v="Hedge"/>
    <n v="0"/>
    <d v="2024-12-31T00:00:00"/>
    <d v="2024-12-31T00:00:00"/>
    <m/>
    <n v="-3.9"/>
    <n v="3468.2900000000263"/>
    <n v="0"/>
    <x v="17"/>
    <s v="Buy"/>
    <n v="0"/>
    <x v="1"/>
    <x v="3"/>
    <n v="2024"/>
    <s v="Sell"/>
    <x v="0"/>
    <x v="363"/>
  </r>
  <r>
    <s v="EOY Flattening Out"/>
    <d v="2024-12-31T00:00:00"/>
    <s v="DFL"/>
    <s v="Hedge"/>
    <n v="0"/>
    <d v="2024-12-31T00:00:00"/>
    <d v="2024-12-31T00:00:00"/>
    <m/>
    <m/>
    <n v="-5808.7999999999993"/>
    <n v="0"/>
    <x v="17"/>
    <s v="Buy"/>
    <n v="0"/>
    <x v="1"/>
    <x v="1"/>
    <n v="2024"/>
    <s v="Sell"/>
    <x v="0"/>
    <x v="364"/>
  </r>
  <r>
    <s v="EOY Flattening Out"/>
    <d v="2024-12-31T00:00:00"/>
    <s v="Physical"/>
    <s v="Hedge"/>
    <n v="0"/>
    <d v="2024-12-31T00:00:00"/>
    <d v="2024-12-31T00:00:00"/>
    <m/>
    <m/>
    <n v="-3984.2"/>
    <n v="0"/>
    <x v="17"/>
    <s v="Buy"/>
    <n v="0"/>
    <x v="2"/>
    <x v="4"/>
    <n v="2024"/>
    <s v="Sell"/>
    <x v="1"/>
    <x v="365"/>
  </r>
  <r>
    <s v="EOY Flattening Out"/>
    <d v="2024-12-31T00:00:00"/>
    <s v="Legacy 2024"/>
    <s v="Hedge"/>
    <n v="0"/>
    <d v="2024-12-31T00:00:00"/>
    <d v="2024-12-31T00:00:00"/>
    <m/>
    <m/>
    <n v="-650"/>
    <n v="0"/>
    <x v="17"/>
    <s v="Buy"/>
    <n v="0"/>
    <x v="4"/>
    <x v="6"/>
    <n v="2024"/>
    <s v="Sell"/>
    <x v="0"/>
    <x v="366"/>
  </r>
  <r>
    <s v="EOY Flattening Out"/>
    <d v="2024-12-31T00:00:00"/>
    <s v="WTI Sprds-Fly"/>
    <s v="Hedge"/>
    <n v="0"/>
    <d v="2024-12-31T00:00:00"/>
    <d v="2024-12-31T00:00:00"/>
    <m/>
    <n v="0.15"/>
    <n v="0"/>
    <n v="0"/>
    <x v="17"/>
    <s v="Buy"/>
    <n v="0"/>
    <x v="0"/>
    <x v="0"/>
    <n v="2024"/>
    <s v="Sell"/>
    <x v="0"/>
    <x v="367"/>
  </r>
  <r>
    <s v="EOY Flattening Out"/>
    <d v="2024-12-31T00:00:00"/>
    <s v="Freight-TD25"/>
    <s v="Hedge"/>
    <n v="0"/>
    <d v="2024-12-31T00:00:00"/>
    <d v="2024-12-31T00:00:00"/>
    <m/>
    <m/>
    <n v="-2849.7933333333331"/>
    <n v="0"/>
    <x v="17"/>
    <s v="Buy"/>
    <n v="0"/>
    <x v="3"/>
    <x v="5"/>
    <n v="2024"/>
    <s v="Sell"/>
    <x v="0"/>
    <x v="368"/>
  </r>
  <r>
    <s v="EOY Flattening Out"/>
    <d v="2024-12-31T00:00:00"/>
    <s v="Freight-TD7"/>
    <s v="Hedge"/>
    <n v="0"/>
    <d v="2024-12-31T00:00:00"/>
    <d v="2024-12-31T00:00:00"/>
    <m/>
    <m/>
    <n v="1733.179233621755"/>
    <n v="0"/>
    <x v="17"/>
    <s v="Buy"/>
    <n v="0"/>
    <x v="3"/>
    <x v="5"/>
    <n v="2024"/>
    <s v="Sell"/>
    <x v="0"/>
    <x v="369"/>
  </r>
  <r>
    <s v="EOY Flattening Out"/>
    <d v="2024-12-31T00:00:00"/>
    <s v="Freight-TD22"/>
    <s v="Hedge"/>
    <n v="0"/>
    <d v="2024-12-31T00:00:00"/>
    <d v="2024-12-31T00:00:00"/>
    <m/>
    <m/>
    <n v="-1050"/>
    <n v="0"/>
    <x v="17"/>
    <s v="Buy"/>
    <n v="0"/>
    <x v="3"/>
    <x v="5"/>
    <n v="2024"/>
    <s v="Sell"/>
    <x v="0"/>
    <x v="370"/>
  </r>
  <r>
    <s v="EOY Flattening Out"/>
    <d v="2024-12-31T00:00:00"/>
    <s v="Legacy 2024"/>
    <s v="Hedge"/>
    <n v="0"/>
    <d v="2024-12-31T00:00:00"/>
    <d v="2024-12-31T00:00:00"/>
    <m/>
    <m/>
    <n v="-949"/>
    <n v="0"/>
    <x v="17"/>
    <s v="Buy"/>
    <n v="0"/>
    <x v="4"/>
    <x v="6"/>
    <n v="2024"/>
    <s v="Sell"/>
    <x v="0"/>
    <x v="371"/>
  </r>
  <r>
    <s v="EOY Flattening Out"/>
    <d v="2025-07-24T00:00:00"/>
    <s v="Physical"/>
    <s v="Hedge"/>
    <n v="0"/>
    <d v="2024-12-31T00:00:00"/>
    <d v="2024-12-31T00:00:00"/>
    <m/>
    <m/>
    <n v="650"/>
    <n v="0"/>
    <x v="17"/>
    <s v="Buy"/>
    <n v="0"/>
    <x v="2"/>
    <x v="4"/>
    <n v="2024"/>
    <s v="Sell"/>
    <x v="1"/>
    <x v="372"/>
  </r>
  <r>
    <s v="EOY Flattening Out"/>
    <d v="2025-08-14T00:00:00"/>
    <s v="Physical"/>
    <s v="Hedge"/>
    <n v="0"/>
    <d v="2024-12-31T00:00:00"/>
    <d v="2024-12-31T00:00:00"/>
    <m/>
    <m/>
    <m/>
    <n v="0"/>
    <x v="17"/>
    <s v="Buy"/>
    <n v="0"/>
    <x v="2"/>
    <x v="4"/>
    <n v="2024"/>
    <s v="Sell"/>
    <x v="1"/>
    <x v="373"/>
  </r>
  <r>
    <s v="EOY Flattening Out"/>
    <d v="2024-12-31T00:00:00"/>
    <s v="Physical"/>
    <s v="Hedge"/>
    <n v="0"/>
    <d v="2024-12-31T00:00:00"/>
    <d v="2024-12-31T00:00:00"/>
    <m/>
    <m/>
    <n v="-4012"/>
    <n v="0"/>
    <x v="17"/>
    <s v="Buy"/>
    <n v="0"/>
    <x v="2"/>
    <x v="4"/>
    <n v="2024"/>
    <s v="Sell"/>
    <x v="1"/>
    <x v="374"/>
  </r>
  <r>
    <s v="EOY Flattening Out"/>
    <d v="2025-10-13T00:00:00"/>
    <s v="Physical"/>
    <s v="Hedge"/>
    <n v="0"/>
    <d v="2024-12-31T00:00:00"/>
    <d v="2024-12-31T00:00:00"/>
    <m/>
    <m/>
    <n v="500"/>
    <n v="0"/>
    <x v="17"/>
    <s v="Buy"/>
    <n v="0"/>
    <x v="2"/>
    <x v="4"/>
    <n v="2024"/>
    <s v="Sell"/>
    <x v="1"/>
    <x v="375"/>
  </r>
  <r>
    <s v="EOY Flattening Out"/>
    <d v="2025-10-17T00:00:00"/>
    <s v="Physical"/>
    <s v="Hedge"/>
    <n v="0"/>
    <d v="2024-12-31T00:00:00"/>
    <d v="2024-12-31T00:00:00"/>
    <m/>
    <m/>
    <n v="500"/>
    <n v="0"/>
    <x v="17"/>
    <s v="Buy"/>
    <n v="0"/>
    <x v="2"/>
    <x v="4"/>
    <n v="2024"/>
    <s v="Sell"/>
    <x v="1"/>
    <x v="376"/>
  </r>
  <r>
    <s v="EOY Flattening Out"/>
    <d v="2025-10-30T00:00:00"/>
    <s v="Physical"/>
    <s v="Hedge"/>
    <n v="0"/>
    <d v="2024-12-31T00:00:00"/>
    <d v="2024-12-31T00:00:00"/>
    <m/>
    <m/>
    <n v="500"/>
    <n v="0"/>
    <x v="17"/>
    <s v="Buy"/>
    <n v="0"/>
    <x v="2"/>
    <x v="4"/>
    <n v="2024"/>
    <s v="Sell"/>
    <x v="1"/>
    <x v="377"/>
  </r>
  <r>
    <s v="EOY Flattening Out"/>
    <d v="2025-10-31T00:00:00"/>
    <s v="Freight-TD22"/>
    <s v="Hedge"/>
    <n v="0"/>
    <d v="2024-12-31T00:00:00"/>
    <d v="2024-12-31T00:00:00"/>
    <m/>
    <m/>
    <n v="500"/>
    <n v="0"/>
    <x v="17"/>
    <s v="Buy"/>
    <n v="0"/>
    <x v="3"/>
    <x v="5"/>
    <n v="2024"/>
    <s v="Sell"/>
    <x v="0"/>
    <x v="378"/>
  </r>
  <r>
    <s v="EOY Flattening Out"/>
    <d v="2025-11-17T00:00:00"/>
    <s v="Brent Sprds"/>
    <s v="Hedge"/>
    <n v="0"/>
    <d v="2024-12-31T00:00:00"/>
    <d v="2024-12-31T00:00:00"/>
    <m/>
    <n v="0.35"/>
    <n v="2000"/>
    <n v="0"/>
    <x v="17"/>
    <s v="Buy"/>
    <n v="0"/>
    <x v="0"/>
    <x v="2"/>
    <n v="2024"/>
    <s v="Sell"/>
    <x v="0"/>
    <x v="379"/>
  </r>
  <r>
    <s v="EOY Flattening Out"/>
    <d v="2025-11-17T00:00:00"/>
    <s v="WTI Sprds"/>
    <s v="Hedge"/>
    <n v="0"/>
    <d v="2024-12-31T00:00:00"/>
    <d v="2024-12-31T00:00:00"/>
    <m/>
    <n v="0.15"/>
    <n v="2720.8"/>
    <n v="0"/>
    <x v="17"/>
    <s v="Buy"/>
    <n v="0"/>
    <x v="0"/>
    <x v="0"/>
    <n v="2024"/>
    <s v="Sell"/>
    <x v="0"/>
    <x v="380"/>
  </r>
  <r>
    <s v="Unallocated"/>
    <d v="2025-01-03T00:00:00"/>
    <s v="CFD"/>
    <s v="Hedge"/>
    <n v="-1000"/>
    <s v="Jan 6-10"/>
    <d v="2025-01-31T00:00:00"/>
    <n v="0.44"/>
    <n v="0.99"/>
    <n v="-550"/>
    <n v="-440"/>
    <x v="27"/>
    <s v="Sell"/>
    <n v="-990"/>
    <x v="1"/>
    <x v="1"/>
    <n v="2025"/>
    <s v="Sell"/>
    <x v="0"/>
    <x v="381"/>
  </r>
  <r>
    <s v="Unallocated"/>
    <d v="2025-01-03T00:00:00"/>
    <s v="CFD"/>
    <s v="Hedge"/>
    <n v="1000"/>
    <s v="Jan 20-24"/>
    <d v="2025-01-31T00:00:00"/>
    <n v="0.56999999999999995"/>
    <n v="1.43"/>
    <n v="860"/>
    <n v="570"/>
    <x v="28"/>
    <s v="Buy"/>
    <n v="1430"/>
    <x v="1"/>
    <x v="1"/>
    <n v="2025"/>
    <s v="Buy"/>
    <x v="0"/>
    <x v="382"/>
  </r>
  <r>
    <s v="Unallocated"/>
    <d v="2025-01-03T00:00:00"/>
    <s v="DFL"/>
    <s v="Hedge"/>
    <n v="400"/>
    <d v="2025-02-28T00:00:00"/>
    <d v="2025-02-28T00:00:00"/>
    <n v="0.53869"/>
    <n v="0.22"/>
    <n v="-127.47600000000001"/>
    <n v="215.476"/>
    <x v="19"/>
    <s v="Buy"/>
    <n v="88"/>
    <x v="1"/>
    <x v="1"/>
    <n v="2025"/>
    <s v="Buy"/>
    <x v="0"/>
    <x v="383"/>
  </r>
  <r>
    <s v="Unallocated"/>
    <d v="2025-01-03T00:00:00"/>
    <s v="DFL"/>
    <s v="Hedge"/>
    <n v="-400"/>
    <d v="2025-03-31T00:00:00"/>
    <d v="2025-03-31T00:00:00"/>
    <n v="0.35"/>
    <n v="1.1299999999999999"/>
    <n v="-311.99999999999994"/>
    <n v="-140"/>
    <x v="20"/>
    <s v="Sell"/>
    <n v="-451.99999999999994"/>
    <x v="1"/>
    <x v="1"/>
    <n v="2025"/>
    <s v="Sell"/>
    <x v="0"/>
    <x v="384"/>
  </r>
  <r>
    <s v="Unallocated"/>
    <d v="2025-01-03T00:00:00"/>
    <s v="WTI Sprds"/>
    <s v="Hedge"/>
    <n v="-250"/>
    <d v="2025-02-28T00:00:00"/>
    <d v="2025-03-31T00:00:00"/>
    <n v="0.78"/>
    <n v="0.49"/>
    <n v="72.500000000000014"/>
    <n v="-195"/>
    <x v="13"/>
    <s v="Sell"/>
    <n v="-122.5"/>
    <x v="0"/>
    <x v="0"/>
    <n v="2025"/>
    <s v="Sell"/>
    <x v="0"/>
    <x v="385"/>
  </r>
  <r>
    <s v="Unallocated"/>
    <d v="2025-01-03T00:00:00"/>
    <s v="WTI Sprds"/>
    <s v="Hedge"/>
    <n v="-250"/>
    <d v="2025-03-31T00:00:00"/>
    <d v="2025-04-30T00:00:00"/>
    <n v="0.6"/>
    <n v="0.15"/>
    <n v="112.49999999999999"/>
    <n v="-150"/>
    <x v="14"/>
    <s v="Sell"/>
    <n v="-37.5"/>
    <x v="0"/>
    <x v="0"/>
    <n v="2025"/>
    <s v="Sell"/>
    <x v="0"/>
    <x v="386"/>
  </r>
  <r>
    <s v="Unallocated"/>
    <d v="2025-01-03T00:00:00"/>
    <s v="WTI Sprds"/>
    <s v="Hedge"/>
    <n v="-250"/>
    <d v="2025-02-28T00:00:00"/>
    <d v="2025-03-31T00:00:00"/>
    <n v="0.8"/>
    <n v="0.49"/>
    <n v="77.500000000000014"/>
    <n v="-200"/>
    <x v="13"/>
    <s v="Sell"/>
    <n v="-122.5"/>
    <x v="0"/>
    <x v="0"/>
    <n v="2025"/>
    <s v="Sell"/>
    <x v="0"/>
    <x v="387"/>
  </r>
  <r>
    <s v="Unallocated"/>
    <d v="2025-01-03T00:00:00"/>
    <s v="WTI Sprds"/>
    <s v="Hedge"/>
    <n v="-250"/>
    <d v="2025-03-31T00:00:00"/>
    <d v="2025-04-30T00:00:00"/>
    <n v="0.6"/>
    <n v="0.15"/>
    <n v="112.49999999999999"/>
    <n v="-150"/>
    <x v="14"/>
    <s v="Sell"/>
    <n v="-37.5"/>
    <x v="0"/>
    <x v="0"/>
    <n v="2025"/>
    <s v="Sell"/>
    <x v="0"/>
    <x v="388"/>
  </r>
  <r>
    <s v="Unallocated"/>
    <d v="2025-01-03T00:00:00"/>
    <s v="WTI-Brent"/>
    <s v="Hedge"/>
    <n v="-250"/>
    <d v="2025-04-30T00:00:00"/>
    <d v="2025-04-30T00:00:00"/>
    <n v="-3.27"/>
    <n v="-3.42"/>
    <n v="37.499999999999979"/>
    <n v="817.5"/>
    <x v="21"/>
    <s v="Sell"/>
    <n v="855"/>
    <x v="1"/>
    <x v="3"/>
    <n v="2025"/>
    <s v="Sell"/>
    <x v="0"/>
    <x v="389"/>
  </r>
  <r>
    <s v="Unallocated"/>
    <d v="2025-01-06T00:00:00"/>
    <s v="Brent Sprds"/>
    <s v="Hedge"/>
    <n v="2725"/>
    <d v="2025-03-31T00:00:00"/>
    <d v="2025-04-30T00:00:00"/>
    <n v="0.6"/>
    <n v="1.0900000000000001"/>
    <n v="1335.2500000000002"/>
    <n v="1635"/>
    <x v="14"/>
    <s v="Buy"/>
    <n v="2970.25"/>
    <x v="0"/>
    <x v="2"/>
    <n v="2025"/>
    <s v="Buy"/>
    <x v="0"/>
    <x v="390"/>
  </r>
  <r>
    <s v="Unallocated"/>
    <d v="2025-01-06T00:00:00"/>
    <s v="Brent Sprds"/>
    <s v="Hedge"/>
    <n v="-500"/>
    <d v="2025-05-31T00:00:00"/>
    <d v="2025-06-30T00:00:00"/>
    <n v="0.38"/>
    <n v="-0.03"/>
    <n v="205.00000000000003"/>
    <n v="-190"/>
    <x v="16"/>
    <s v="Sell"/>
    <n v="15"/>
    <x v="0"/>
    <x v="2"/>
    <n v="2025"/>
    <s v="Sell"/>
    <x v="0"/>
    <x v="391"/>
  </r>
  <r>
    <s v="Unallocated"/>
    <d v="2025-01-06T00:00:00"/>
    <s v="DFL"/>
    <s v="Hedge"/>
    <n v="300"/>
    <d v="2025-02-28T00:00:00"/>
    <d v="2025-02-28T00:00:00"/>
    <n v="0.58869000000000005"/>
    <n v="0.22"/>
    <n v="-110.60700000000003"/>
    <n v="176.60700000000003"/>
    <x v="19"/>
    <s v="Buy"/>
    <n v="66"/>
    <x v="1"/>
    <x v="1"/>
    <n v="2025"/>
    <s v="Buy"/>
    <x v="0"/>
    <x v="392"/>
  </r>
  <r>
    <s v="Unallocated"/>
    <d v="2025-01-06T00:00:00"/>
    <s v="DFL"/>
    <s v="Hedge"/>
    <n v="-300"/>
    <d v="2025-03-31T00:00:00"/>
    <d v="2025-03-31T00:00:00"/>
    <n v="0.38"/>
    <n v="1.1299999999999999"/>
    <n v="-224.99999999999997"/>
    <n v="-114"/>
    <x v="20"/>
    <s v="Sell"/>
    <n v="-338.99999999999994"/>
    <x v="1"/>
    <x v="1"/>
    <n v="2025"/>
    <s v="Sell"/>
    <x v="0"/>
    <x v="393"/>
  </r>
  <r>
    <s v="Unallocated"/>
    <d v="2025-01-07T00:00:00"/>
    <s v="DFL"/>
    <s v="Hedge"/>
    <n v="700"/>
    <d v="2025-02-28T00:00:00"/>
    <d v="2025-02-28T00:00:00"/>
    <n v="0.64868999999999999"/>
    <n v="0.22"/>
    <n v="-300.08300000000003"/>
    <n v="454.08299999999997"/>
    <x v="19"/>
    <s v="Buy"/>
    <n v="154"/>
    <x v="1"/>
    <x v="1"/>
    <n v="2025"/>
    <s v="Buy"/>
    <x v="0"/>
    <x v="394"/>
  </r>
  <r>
    <s v="Unallocated"/>
    <d v="2025-01-08T00:00:00"/>
    <s v="DFL"/>
    <s v="Hedge"/>
    <n v="800"/>
    <d v="2025-02-28T00:00:00"/>
    <d v="2025-02-28T00:00:00"/>
    <n v="0.66769000000000001"/>
    <n v="0.22"/>
    <n v="-358.15200000000004"/>
    <n v="534.15200000000004"/>
    <x v="19"/>
    <s v="Buy"/>
    <n v="176"/>
    <x v="1"/>
    <x v="1"/>
    <n v="2025"/>
    <s v="Buy"/>
    <x v="0"/>
    <x v="395"/>
  </r>
  <r>
    <s v="Unallocated"/>
    <d v="2025-01-07T00:00:00"/>
    <s v="DFL"/>
    <s v="Hedge"/>
    <n v="-700"/>
    <d v="2025-03-31T00:00:00"/>
    <d v="2025-03-31T00:00:00"/>
    <n v="0.40500000000000003"/>
    <n v="1.1299999999999999"/>
    <n v="-507.49999999999989"/>
    <n v="-283.5"/>
    <x v="20"/>
    <s v="Sell"/>
    <n v="-790.99999999999989"/>
    <x v="1"/>
    <x v="1"/>
    <n v="2025"/>
    <s v="Sell"/>
    <x v="0"/>
    <x v="396"/>
  </r>
  <r>
    <s v="Unallocated"/>
    <d v="2025-01-08T00:00:00"/>
    <s v="DFL"/>
    <s v="Hedge"/>
    <n v="-800"/>
    <d v="2025-03-31T00:00:00"/>
    <d v="2025-03-31T00:00:00"/>
    <n v="0.44629999999999997"/>
    <n v="1.1299999999999999"/>
    <n v="-546.96"/>
    <n v="-357.03999999999996"/>
    <x v="20"/>
    <s v="Sell"/>
    <n v="-903.99999999999989"/>
    <x v="1"/>
    <x v="1"/>
    <n v="2025"/>
    <s v="Sell"/>
    <x v="0"/>
    <x v="397"/>
  </r>
  <r>
    <s v="Unallocated"/>
    <d v="2025-01-07T00:00:00"/>
    <s v="CFD"/>
    <s v="Hedge"/>
    <n v="700"/>
    <s v="Jan27-Jan31"/>
    <d v="2025-01-31T00:00:00"/>
    <n v="0.72"/>
    <n v="0.36199999999999999"/>
    <n v="-250.6"/>
    <n v="504"/>
    <x v="29"/>
    <s v="Buy"/>
    <n v="253.4"/>
    <x v="1"/>
    <x v="1"/>
    <n v="2025"/>
    <s v="Buy"/>
    <x v="0"/>
    <x v="398"/>
  </r>
  <r>
    <s v="Unallocated"/>
    <d v="2025-01-09T00:00:00"/>
    <s v="DFL"/>
    <s v="Hedge"/>
    <n v="500"/>
    <d v="2025-02-28T00:00:00"/>
    <d v="2025-02-28T00:00:00"/>
    <n v="0.67869000000000002"/>
    <n v="0.22"/>
    <n v="-229.34500000000003"/>
    <n v="339.34500000000003"/>
    <x v="19"/>
    <s v="Buy"/>
    <n v="110"/>
    <x v="1"/>
    <x v="1"/>
    <n v="2025"/>
    <s v="Buy"/>
    <x v="0"/>
    <x v="399"/>
  </r>
  <r>
    <s v="Unallocated"/>
    <d v="2025-01-09T00:00:00"/>
    <s v="DFL"/>
    <s v="Hedge"/>
    <n v="-500"/>
    <d v="2025-03-31T00:00:00"/>
    <d v="2025-03-31T00:00:00"/>
    <n v="0.42"/>
    <n v="1.1299999999999999"/>
    <n v="-355"/>
    <n v="-210"/>
    <x v="20"/>
    <s v="Sell"/>
    <n v="-565"/>
    <x v="1"/>
    <x v="1"/>
    <n v="2025"/>
    <s v="Sell"/>
    <x v="0"/>
    <x v="400"/>
  </r>
  <r>
    <s v="Unallocated"/>
    <d v="2025-01-08T00:00:00"/>
    <s v="CFD"/>
    <s v="Hedge"/>
    <n v="300"/>
    <s v="Jan27-Jan31"/>
    <d v="2025-01-31T00:00:00"/>
    <n v="0.45"/>
    <n v="0.36199999999999999"/>
    <n v="-26.400000000000006"/>
    <n v="135"/>
    <x v="29"/>
    <s v="Buy"/>
    <n v="108.6"/>
    <x v="1"/>
    <x v="1"/>
    <n v="2025"/>
    <s v="Buy"/>
    <x v="0"/>
    <x v="401"/>
  </r>
  <r>
    <s v="Unallocated"/>
    <d v="2025-01-08T00:00:00"/>
    <s v="WTI Sprds"/>
    <s v="Hedge"/>
    <n v="2000"/>
    <d v="2025-02-28T00:00:00"/>
    <d v="2025-03-31T00:00:00"/>
    <n v="0.65"/>
    <n v="0.49"/>
    <n v="-320.00000000000006"/>
    <n v="1300"/>
    <x v="13"/>
    <s v="Buy"/>
    <n v="980"/>
    <x v="0"/>
    <x v="0"/>
    <n v="2025"/>
    <s v="Buy"/>
    <x v="0"/>
    <x v="402"/>
  </r>
  <r>
    <s v="Unallocated"/>
    <d v="2025-01-08T00:00:00"/>
    <s v="WTI-Brent"/>
    <s v="Hedge"/>
    <n v="2000"/>
    <d v="2025-03-31T00:00:00"/>
    <d v="2025-03-31T00:00:00"/>
    <n v="-3.49"/>
    <n v="-4.2300000000000004"/>
    <n v="-1480.0000000000005"/>
    <n v="-6980"/>
    <x v="20"/>
    <s v="Buy"/>
    <n v="-8460"/>
    <x v="1"/>
    <x v="3"/>
    <n v="2025"/>
    <s v="Buy"/>
    <x v="0"/>
    <x v="403"/>
  </r>
  <r>
    <s v="Unallocated"/>
    <d v="2025-01-08T00:00:00"/>
    <s v="Brent Sprds"/>
    <s v="Hedge"/>
    <n v="2000"/>
    <d v="2025-03-31T00:00:00"/>
    <d v="2025-04-30T00:00:00"/>
    <n v="0.57999999999999996"/>
    <n v="1.0900000000000001"/>
    <n v="1020.0000000000002"/>
    <n v="1160"/>
    <x v="14"/>
    <s v="Buy"/>
    <n v="2180"/>
    <x v="0"/>
    <x v="2"/>
    <n v="2025"/>
    <s v="Buy"/>
    <x v="0"/>
    <x v="404"/>
  </r>
  <r>
    <s v="Unallocated"/>
    <d v="2025-01-08T00:00:00"/>
    <s v="WTI-Brent"/>
    <s v="Hedge"/>
    <n v="300"/>
    <d v="2025-03-31T00:00:00"/>
    <d v="2025-03-31T00:00:00"/>
    <n v="-3.5"/>
    <n v="-4.2300000000000004"/>
    <n v="-219.00000000000011"/>
    <n v="-1050"/>
    <x v="20"/>
    <s v="Buy"/>
    <n v="-1269.0000000000002"/>
    <x v="1"/>
    <x v="3"/>
    <n v="2025"/>
    <s v="Buy"/>
    <x v="0"/>
    <x v="405"/>
  </r>
  <r>
    <s v="Unallocated"/>
    <d v="2025-01-08T00:00:00"/>
    <s v="Brent Sprds"/>
    <s v="Hedge"/>
    <n v="2000"/>
    <d v="2025-04-30T00:00:00"/>
    <d v="2025-05-31T00:00:00"/>
    <n v="0.47"/>
    <n v="0.37"/>
    <n v="-199.99999999999994"/>
    <n v="940"/>
    <x v="15"/>
    <s v="Buy"/>
    <n v="740"/>
    <x v="0"/>
    <x v="2"/>
    <n v="2025"/>
    <s v="Buy"/>
    <x v="0"/>
    <x v="406"/>
  </r>
  <r>
    <s v="HDO April 12-22 25"/>
    <d v="2025-01-09T00:00:00"/>
    <s v="Freight-TD22"/>
    <s v="Expo"/>
    <n v="-2000"/>
    <d v="2025-02-28T00:00:00"/>
    <d v="2025-02-28T00:00:00"/>
    <n v="6400"/>
    <n v="9300"/>
    <n v="-2900"/>
    <n v="-12800000"/>
    <x v="19"/>
    <s v="Sell"/>
    <n v="-18600000"/>
    <x v="3"/>
    <x v="5"/>
    <n v="2025"/>
    <s v="Sell"/>
    <x v="0"/>
    <x v="407"/>
  </r>
  <r>
    <s v="HDO April 12-22 25"/>
    <d v="2025-01-09T00:00:00"/>
    <s v="Freight-TD22"/>
    <s v="Hedge"/>
    <n v="2000"/>
    <d v="2025-02-28T00:00:00"/>
    <d v="2025-02-28T00:00:00"/>
    <n v="9300"/>
    <n v="9300"/>
    <n v="0"/>
    <n v="18600000"/>
    <x v="19"/>
    <s v="Buy"/>
    <n v="18600000"/>
    <x v="3"/>
    <x v="5"/>
    <n v="2025"/>
    <s v="Buy"/>
    <x v="0"/>
    <x v="408"/>
  </r>
  <r>
    <s v="HDO April 12-22 25"/>
    <d v="2025-01-09T00:00:00"/>
    <s v="Physical"/>
    <s v="Expo"/>
    <n v="2068"/>
    <d v="2025-02-28T00:00:00"/>
    <d v="2025-02-28T00:00:00"/>
    <n v="3.2747775628626692"/>
    <n v="3.95"/>
    <n v="1396.3600000000006"/>
    <n v="6772.24"/>
    <x v="19"/>
    <s v="Buy"/>
    <n v="8168.6"/>
    <x v="2"/>
    <x v="4"/>
    <n v="2025"/>
    <s v="Buy"/>
    <x v="1"/>
    <x v="409"/>
  </r>
  <r>
    <s v="HDO April 12-22 25"/>
    <d v="2025-01-09T00:00:00"/>
    <s v="WTI Sprds"/>
    <s v="Expo"/>
    <n v="-2068"/>
    <d v="2025-02-28T00:00:00"/>
    <d v="2025-03-31T00:00:00"/>
    <n v="0.68000000000000682"/>
    <n v="0.49"/>
    <n v="392.92000000001411"/>
    <n v="-1406.2400000000141"/>
    <x v="13"/>
    <s v="Sell"/>
    <n v="-1013.3199999999999"/>
    <x v="0"/>
    <x v="0"/>
    <n v="2025"/>
    <s v="Sell"/>
    <x v="0"/>
    <x v="410"/>
  </r>
  <r>
    <s v="HDO April 12-22 25"/>
    <d v="2025-01-09T00:00:00"/>
    <s v="WTI Sprds"/>
    <s v="Expo"/>
    <n v="-2068"/>
    <d v="2025-03-31T00:00:00"/>
    <d v="2025-04-30T00:00:00"/>
    <n v="0.53999999999999204"/>
    <n v="0.15"/>
    <n v="806.5199999999835"/>
    <n v="-1116.7199999999834"/>
    <x v="14"/>
    <s v="Sell"/>
    <n v="-310.2"/>
    <x v="0"/>
    <x v="0"/>
    <n v="2025"/>
    <s v="Sell"/>
    <x v="0"/>
    <x v="411"/>
  </r>
  <r>
    <s v="HDO April 12-22 25"/>
    <d v="2025-01-09T00:00:00"/>
    <s v="WTI-Brent"/>
    <s v="Expo"/>
    <n v="-2068"/>
    <d v="2025-04-30T00:00:00"/>
    <d v="2025-04-30T00:00:00"/>
    <n v="-3.5499999999999972"/>
    <n v="-3.42"/>
    <n v="-268.83999999999429"/>
    <n v="7341.3999999999942"/>
    <x v="21"/>
    <s v="Sell"/>
    <n v="7072.5599999999995"/>
    <x v="1"/>
    <x v="3"/>
    <n v="2025"/>
    <s v="Sell"/>
    <x v="0"/>
    <x v="412"/>
  </r>
  <r>
    <s v="HDO April 12-22 25"/>
    <d v="2025-01-09T00:00:00"/>
    <s v="Brent Sprds"/>
    <s v="Expo"/>
    <n v="-2068"/>
    <d v="2025-04-30T00:00:00"/>
    <d v="2025-05-31T00:00:00"/>
    <n v="0.54"/>
    <n v="0.37"/>
    <n v="351.56000000000006"/>
    <n v="-1116.72"/>
    <x v="15"/>
    <s v="Sell"/>
    <n v="-765.16"/>
    <x v="0"/>
    <x v="2"/>
    <n v="2025"/>
    <s v="Sell"/>
    <x v="0"/>
    <x v="413"/>
  </r>
  <r>
    <s v="HDO April 12-22 25"/>
    <d v="2025-01-09T00:00:00"/>
    <s v="WTI Sprds"/>
    <s v="Hedge"/>
    <n v="2000"/>
    <d v="2025-02-28T00:00:00"/>
    <d v="2025-03-31T00:00:00"/>
    <n v="0.68000000000000682"/>
    <n v="0.49"/>
    <n v="-380.00000000001364"/>
    <n v="1360.0000000000136"/>
    <x v="13"/>
    <s v="Buy"/>
    <n v="980"/>
    <x v="0"/>
    <x v="0"/>
    <n v="2025"/>
    <s v="Buy"/>
    <x v="0"/>
    <x v="414"/>
  </r>
  <r>
    <s v="HDO April 12-22 25"/>
    <d v="2025-01-09T00:00:00"/>
    <s v="WTI Sprds"/>
    <s v="Hedge"/>
    <n v="2000"/>
    <d v="2025-03-31T00:00:00"/>
    <d v="2025-04-30T00:00:00"/>
    <n v="0.53999999999999204"/>
    <n v="0.15"/>
    <n v="-779.99999999998408"/>
    <n v="1079.9999999999841"/>
    <x v="14"/>
    <s v="Buy"/>
    <n v="300"/>
    <x v="0"/>
    <x v="0"/>
    <n v="2025"/>
    <s v="Buy"/>
    <x v="0"/>
    <x v="415"/>
  </r>
  <r>
    <s v="HDO April 12-22 25"/>
    <d v="2025-01-09T00:00:00"/>
    <s v="WTI-Brent"/>
    <s v="Hedge"/>
    <n v="2000"/>
    <d v="2025-04-30T00:00:00"/>
    <d v="2025-04-30T00:00:00"/>
    <n v="-3.5499999999999972"/>
    <n v="-3.42"/>
    <n v="259.99999999999443"/>
    <n v="-7099.9999999999945"/>
    <x v="21"/>
    <s v="Buy"/>
    <n v="-6840"/>
    <x v="1"/>
    <x v="3"/>
    <n v="2025"/>
    <s v="Buy"/>
    <x v="0"/>
    <x v="416"/>
  </r>
  <r>
    <s v="HDO April 12-22 25"/>
    <d v="2025-01-09T00:00:00"/>
    <s v="Brent Sprds"/>
    <s v="Hedge"/>
    <n v="2000"/>
    <d v="2025-04-30T00:00:00"/>
    <d v="2025-05-31T00:00:00"/>
    <n v="0.54"/>
    <n v="0.37"/>
    <n v="-340.00000000000006"/>
    <n v="1080"/>
    <x v="15"/>
    <s v="Buy"/>
    <n v="740"/>
    <x v="0"/>
    <x v="2"/>
    <n v="2025"/>
    <s v="Buy"/>
    <x v="0"/>
    <x v="417"/>
  </r>
  <r>
    <s v="Unallocated"/>
    <d v="2025-01-24T00:00:00"/>
    <s v="DFL"/>
    <s v="Hedge"/>
    <n v="-1500"/>
    <d v="2025-02-28T00:00:00"/>
    <d v="2025-02-28T00:00:00"/>
    <n v="0.96631"/>
    <n v="0.22"/>
    <n v="1119.4650000000001"/>
    <n v="-1449.4649999999999"/>
    <x v="19"/>
    <s v="Sell"/>
    <n v="-330"/>
    <x v="1"/>
    <x v="1"/>
    <n v="2025"/>
    <s v="Sell"/>
    <x v="0"/>
    <x v="418"/>
  </r>
  <r>
    <s v="Unallocated"/>
    <d v="2025-01-22T00:00:00"/>
    <s v="DFL"/>
    <s v="Hedge"/>
    <n v="-300"/>
    <d v="2025-03-31T00:00:00"/>
    <d v="2025-03-31T00:00:00"/>
    <n v="0.80830999999999997"/>
    <n v="1.1299999999999999"/>
    <n v="-96.506999999999977"/>
    <n v="-242.49299999999999"/>
    <x v="20"/>
    <s v="Sell"/>
    <n v="-338.99999999999994"/>
    <x v="1"/>
    <x v="1"/>
    <n v="2025"/>
    <s v="Sell"/>
    <x v="0"/>
    <x v="419"/>
  </r>
  <r>
    <s v="Unallocated"/>
    <d v="2025-01-09T00:00:00"/>
    <s v="WTI-Brent"/>
    <s v="Hedge"/>
    <n v="300"/>
    <d v="2025-03-31T00:00:00"/>
    <d v="2025-03-31T00:00:00"/>
    <n v="-3.53"/>
    <n v="-4.2300000000000004"/>
    <n v="-210.0000000000002"/>
    <n v="-1059"/>
    <x v="20"/>
    <s v="Buy"/>
    <n v="-1269.0000000000002"/>
    <x v="1"/>
    <x v="3"/>
    <n v="2025"/>
    <s v="Buy"/>
    <x v="0"/>
    <x v="420"/>
  </r>
  <r>
    <s v="Unallocated"/>
    <d v="2025-01-09T00:00:00"/>
    <s v="WTI-Brent"/>
    <s v="Hedge"/>
    <n v="250"/>
    <d v="2025-03-31T00:00:00"/>
    <d v="2025-03-31T00:00:00"/>
    <n v="-3.56"/>
    <n v="-4.2300000000000004"/>
    <n v="-167.50000000000009"/>
    <n v="-890"/>
    <x v="20"/>
    <s v="Buy"/>
    <n v="-1057.5"/>
    <x v="1"/>
    <x v="3"/>
    <n v="2025"/>
    <s v="Buy"/>
    <x v="0"/>
    <x v="421"/>
  </r>
  <r>
    <s v="Unallocated"/>
    <d v="2025-01-09T00:00:00"/>
    <s v="WTI-Brent"/>
    <s v="Hedge"/>
    <n v="250"/>
    <d v="2025-03-31T00:00:00"/>
    <d v="2025-03-31T00:00:00"/>
    <n v="-3.59"/>
    <n v="-4.2300000000000004"/>
    <n v="-160.00000000000014"/>
    <n v="-897.5"/>
    <x v="20"/>
    <s v="Buy"/>
    <n v="-1057.5"/>
    <x v="1"/>
    <x v="3"/>
    <n v="2025"/>
    <s v="Buy"/>
    <x v="0"/>
    <x v="422"/>
  </r>
  <r>
    <s v="March EFP 1"/>
    <d v="2025-01-10T00:00:00"/>
    <s v="Physical"/>
    <s v="Hedge"/>
    <n v="700"/>
    <d v="2025-03-31T00:00:00"/>
    <d v="2025-03-31T00:00:00"/>
    <n v="0"/>
    <n v="0.42"/>
    <n v="294"/>
    <n v="0"/>
    <x v="20"/>
    <s v="Buy"/>
    <n v="294"/>
    <x v="2"/>
    <x v="4"/>
    <n v="2025"/>
    <s v="Buy"/>
    <x v="1"/>
    <x v="423"/>
  </r>
  <r>
    <s v="March EFP 2"/>
    <d v="2025-01-10T00:00:00"/>
    <s v="Physical"/>
    <s v="Hedge"/>
    <n v="700"/>
    <d v="2025-03-31T00:00:00"/>
    <d v="2025-03-31T00:00:00"/>
    <n v="0"/>
    <n v="0.42"/>
    <n v="294"/>
    <n v="0"/>
    <x v="20"/>
    <s v="Buy"/>
    <n v="294"/>
    <x v="2"/>
    <x v="4"/>
    <n v="2025"/>
    <s v="Buy"/>
    <x v="1"/>
    <x v="424"/>
  </r>
  <r>
    <s v="March EFP 1"/>
    <d v="2025-01-10T00:00:00"/>
    <s v="WTI-Brent"/>
    <s v="Hedge"/>
    <n v="700"/>
    <d v="2025-03-31T00:00:00"/>
    <d v="2025-03-31T00:00:00"/>
    <n v="-4.01"/>
    <n v="-4.2300000000000004"/>
    <n v="-154.00000000000045"/>
    <n v="-2807"/>
    <x v="20"/>
    <s v="Buy"/>
    <n v="-2961.0000000000005"/>
    <x v="1"/>
    <x v="3"/>
    <n v="2025"/>
    <s v="Buy"/>
    <x v="0"/>
    <x v="425"/>
  </r>
  <r>
    <s v="March EFP 2"/>
    <d v="2025-01-10T00:00:00"/>
    <s v="WTI-Brent"/>
    <s v="Hedge"/>
    <n v="700"/>
    <d v="2025-03-31T00:00:00"/>
    <d v="2025-03-31T00:00:00"/>
    <n v="-4.01"/>
    <n v="-4.2300000000000004"/>
    <n v="-154.00000000000045"/>
    <n v="-2807"/>
    <x v="20"/>
    <s v="Buy"/>
    <n v="-2961.0000000000005"/>
    <x v="1"/>
    <x v="3"/>
    <n v="2025"/>
    <s v="Buy"/>
    <x v="0"/>
    <x v="426"/>
  </r>
  <r>
    <s v="March EFP 1"/>
    <d v="2025-01-10T00:00:00"/>
    <s v="WTI-Brent"/>
    <s v="Expo"/>
    <n v="-700"/>
    <d v="2025-03-31T00:00:00"/>
    <d v="2025-03-31T00:00:00"/>
    <n v="-4.01"/>
    <n v="-4.2300000000000004"/>
    <n v="154.00000000000045"/>
    <n v="2807"/>
    <x v="20"/>
    <s v="Sell"/>
    <n v="2961.0000000000005"/>
    <x v="1"/>
    <x v="3"/>
    <n v="2025"/>
    <s v="Sell"/>
    <x v="0"/>
    <x v="427"/>
  </r>
  <r>
    <s v="March EFP 2"/>
    <d v="2025-01-10T00:00:00"/>
    <s v="WTI-Brent"/>
    <s v="Expo"/>
    <n v="-700"/>
    <d v="2025-03-31T00:00:00"/>
    <d v="2025-03-31T00:00:00"/>
    <n v="-4.01"/>
    <n v="-4.2300000000000004"/>
    <n v="154.00000000000045"/>
    <n v="2807"/>
    <x v="20"/>
    <s v="Sell"/>
    <n v="2961.0000000000005"/>
    <x v="1"/>
    <x v="3"/>
    <n v="2025"/>
    <s v="Sell"/>
    <x v="0"/>
    <x v="428"/>
  </r>
  <r>
    <s v="March EFP 1"/>
    <d v="2025-01-10T00:00:00"/>
    <s v="Freight-TD25"/>
    <s v="Expo"/>
    <n v="-700"/>
    <d v="2025-03-31T00:00:00"/>
    <d v="2025-03-31T00:00:00"/>
    <n v="138"/>
    <n v="150"/>
    <n v="-168"/>
    <n v="-96600"/>
    <x v="20"/>
    <s v="Sell"/>
    <n v="-105000"/>
    <x v="3"/>
    <x v="5"/>
    <n v="2025"/>
    <s v="Sell"/>
    <x v="0"/>
    <x v="429"/>
  </r>
  <r>
    <s v="March EFP 1"/>
    <d v="2025-02-19T00:00:00"/>
    <s v="Freight-TD25"/>
    <s v="Hedge"/>
    <n v="700"/>
    <d v="2025-03-31T00:00:00"/>
    <d v="2025-03-31T00:00:00"/>
    <n v="150"/>
    <n v="150"/>
    <n v="0"/>
    <n v="105000"/>
    <x v="20"/>
    <s v="Buy"/>
    <n v="105000"/>
    <x v="3"/>
    <x v="5"/>
    <n v="2025"/>
    <s v="Buy"/>
    <x v="0"/>
    <x v="430"/>
  </r>
  <r>
    <s v="March EFP 1"/>
    <d v="2025-01-10T00:00:00"/>
    <s v="Freight-TD7"/>
    <s v="Expo"/>
    <n v="700"/>
    <d v="2025-03-31T00:00:00"/>
    <d v="2025-03-31T00:00:00"/>
    <n v="114"/>
    <n v="111.45"/>
    <n v="-35.69999999999996"/>
    <n v="79800"/>
    <x v="20"/>
    <s v="Buy"/>
    <n v="78015"/>
    <x v="3"/>
    <x v="5"/>
    <n v="2025"/>
    <s v="Buy"/>
    <x v="0"/>
    <x v="431"/>
  </r>
  <r>
    <s v="March EFP 2"/>
    <d v="2025-01-10T00:00:00"/>
    <s v="Freight-TD25"/>
    <s v="Expo"/>
    <n v="0"/>
    <d v="2025-03-31T00:00:00"/>
    <d v="2025-03-31T00:00:00"/>
    <n v="138"/>
    <n v="150"/>
    <n v="-168"/>
    <n v="0"/>
    <x v="20"/>
    <s v="Buy"/>
    <n v="0"/>
    <x v="3"/>
    <x v="5"/>
    <n v="2025"/>
    <s v="Sell"/>
    <x v="0"/>
    <x v="432"/>
  </r>
  <r>
    <s v="March EFP 2"/>
    <d v="2025-01-10T00:00:00"/>
    <s v="Freight-TD7"/>
    <s v="Expo"/>
    <n v="700"/>
    <d v="2025-03-31T00:00:00"/>
    <d v="2025-03-31T00:00:00"/>
    <n v="114"/>
    <n v="111.45"/>
    <n v="-35.69999999999996"/>
    <n v="79800"/>
    <x v="20"/>
    <s v="Buy"/>
    <n v="78015"/>
    <x v="3"/>
    <x v="5"/>
    <n v="2025"/>
    <s v="Buy"/>
    <x v="0"/>
    <x v="433"/>
  </r>
  <r>
    <s v="Unallocated"/>
    <d v="2025-01-26T00:00:00"/>
    <s v="DFL"/>
    <s v="Hedge"/>
    <n v="-300"/>
    <d v="2025-03-31T00:00:00"/>
    <d v="2025-03-31T00:00:00"/>
    <n v="0.69130999999999998"/>
    <n v="1.1299999999999999"/>
    <n v="-131.60699999999997"/>
    <n v="-207.393"/>
    <x v="20"/>
    <s v="Sell"/>
    <n v="-338.99999999999994"/>
    <x v="1"/>
    <x v="1"/>
    <n v="2025"/>
    <s v="Sell"/>
    <x v="0"/>
    <x v="434"/>
  </r>
  <r>
    <s v="Unallocated"/>
    <d v="2025-01-13T00:00:00"/>
    <s v="WTI Sprds-Fly"/>
    <s v="Hedge"/>
    <n v="-500"/>
    <d v="2025-03-31T00:00:00"/>
    <d v="2025-04-30T00:00:00"/>
    <n v="1.52"/>
    <n v="0.15"/>
    <n v="685"/>
    <n v="-760"/>
    <x v="14"/>
    <s v="Sell"/>
    <n v="-75"/>
    <x v="0"/>
    <x v="0"/>
    <n v="2025"/>
    <s v="Sell"/>
    <x v="0"/>
    <x v="435"/>
  </r>
  <r>
    <s v="Unallocated"/>
    <d v="2025-01-13T00:00:00"/>
    <s v="WTI Sprds-Fly"/>
    <s v="Hedge"/>
    <n v="500"/>
    <d v="2025-04-30T00:00:00"/>
    <d v="2025-05-31T00:00:00"/>
    <n v="1.26"/>
    <n v="0.25"/>
    <n v="-505"/>
    <n v="630"/>
    <x v="15"/>
    <s v="Buy"/>
    <n v="125"/>
    <x v="0"/>
    <x v="0"/>
    <n v="2025"/>
    <s v="Buy"/>
    <x v="0"/>
    <x v="436"/>
  </r>
  <r>
    <s v="Unallocated"/>
    <d v="2025-01-13T00:00:00"/>
    <s v="WTI Sprds-Fly"/>
    <s v="Hedge"/>
    <n v="-1000"/>
    <d v="2025-03-31T00:00:00"/>
    <d v="2025-04-30T00:00:00"/>
    <n v="1.52"/>
    <n v="0.15"/>
    <n v="1370"/>
    <n v="-1520"/>
    <x v="14"/>
    <s v="Sell"/>
    <n v="-150"/>
    <x v="0"/>
    <x v="0"/>
    <n v="2025"/>
    <s v="Sell"/>
    <x v="0"/>
    <x v="437"/>
  </r>
  <r>
    <s v="Unallocated"/>
    <d v="2025-01-13T00:00:00"/>
    <s v="WTI Sprds-Fly"/>
    <s v="Hedge"/>
    <n v="1000"/>
    <d v="2025-04-30T00:00:00"/>
    <d v="2025-05-31T00:00:00"/>
    <n v="1.24"/>
    <n v="0.25"/>
    <n v="-990"/>
    <n v="1240"/>
    <x v="15"/>
    <s v="Buy"/>
    <n v="250"/>
    <x v="0"/>
    <x v="0"/>
    <n v="2025"/>
    <s v="Buy"/>
    <x v="0"/>
    <x v="438"/>
  </r>
  <r>
    <s v="Unallocated"/>
    <d v="2025-01-13T00:00:00"/>
    <s v="WTI Sprds-Fly"/>
    <s v="Hedge"/>
    <n v="-1000"/>
    <d v="2025-03-31T00:00:00"/>
    <d v="2025-04-30T00:00:00"/>
    <n v="1.52"/>
    <n v="0.15"/>
    <n v="1370"/>
    <n v="-1520"/>
    <x v="14"/>
    <s v="Sell"/>
    <n v="-150"/>
    <x v="0"/>
    <x v="0"/>
    <n v="2025"/>
    <s v="Sell"/>
    <x v="0"/>
    <x v="439"/>
  </r>
  <r>
    <s v="Unallocated"/>
    <d v="2025-01-13T00:00:00"/>
    <s v="WTI Sprds-Fly"/>
    <s v="Hedge"/>
    <n v="1000"/>
    <d v="2025-04-30T00:00:00"/>
    <d v="2025-05-31T00:00:00"/>
    <n v="1.22"/>
    <n v="0.25"/>
    <n v="-970"/>
    <n v="1220"/>
    <x v="15"/>
    <s v="Buy"/>
    <n v="250"/>
    <x v="0"/>
    <x v="0"/>
    <n v="2025"/>
    <s v="Buy"/>
    <x v="0"/>
    <x v="440"/>
  </r>
  <r>
    <s v="Unallocated"/>
    <d v="2025-01-13T00:00:00"/>
    <s v="Physical"/>
    <s v="Expo"/>
    <n v="0"/>
    <d v="2025-02-28T00:00:00"/>
    <d v="2025-02-28T00:00:00"/>
    <n v="0"/>
    <n v="0"/>
    <n v="1699"/>
    <n v="0"/>
    <x v="19"/>
    <s v="Buy"/>
    <n v="0"/>
    <x v="2"/>
    <x v="4"/>
    <n v="2025"/>
    <s v="Sell"/>
    <x v="1"/>
    <x v="441"/>
  </r>
  <r>
    <s v="Unallocated"/>
    <d v="2025-01-15T00:00:00"/>
    <s v="WTI-Brent"/>
    <s v="Hedge"/>
    <n v="3000"/>
    <d v="2025-03-31T00:00:00"/>
    <d v="2025-03-31T00:00:00"/>
    <n v="-3.32"/>
    <n v="-4.2300000000000004"/>
    <n v="-2730.0000000000018"/>
    <n v="-9960"/>
    <x v="20"/>
    <s v="Buy"/>
    <n v="-12690.000000000002"/>
    <x v="1"/>
    <x v="3"/>
    <n v="2025"/>
    <s v="Buy"/>
    <x v="0"/>
    <x v="442"/>
  </r>
  <r>
    <s v="Unallocated"/>
    <d v="2025-01-15T00:00:00"/>
    <s v="WTI-Brent"/>
    <s v="Hedge"/>
    <n v="-1500"/>
    <d v="2025-05-31T00:00:00"/>
    <d v="2025-05-31T00:00:00"/>
    <n v="-3.46"/>
    <n v="-3.26"/>
    <n v="-300.00000000000028"/>
    <n v="5190"/>
    <x v="22"/>
    <s v="Sell"/>
    <n v="4890"/>
    <x v="1"/>
    <x v="3"/>
    <n v="2025"/>
    <s v="Sell"/>
    <x v="0"/>
    <x v="443"/>
  </r>
  <r>
    <s v="Unallocated"/>
    <d v="2025-01-15T00:00:00"/>
    <s v="WTI-Brent"/>
    <s v="Hedge"/>
    <n v="-1500"/>
    <d v="2025-06-30T00:00:00"/>
    <d v="2025-06-30T00:00:00"/>
    <n v="-3.48"/>
    <n v="-4.91"/>
    <n v="2145.0000000000005"/>
    <n v="5220"/>
    <x v="30"/>
    <s v="Sell"/>
    <n v="7365"/>
    <x v="1"/>
    <x v="3"/>
    <n v="2025"/>
    <s v="Sell"/>
    <x v="0"/>
    <x v="444"/>
  </r>
  <r>
    <s v="Unallocated"/>
    <d v="2025-01-17T00:00:00"/>
    <s v="WTI Sprds"/>
    <s v="Hedge"/>
    <n v="282"/>
    <d v="2025-02-28T00:00:00"/>
    <d v="2025-03-31T00:00:00"/>
    <n v="0.49"/>
    <n v="0.49"/>
    <n v="0"/>
    <n v="138.18"/>
    <x v="13"/>
    <s v="Buy"/>
    <n v="138.18"/>
    <x v="0"/>
    <x v="0"/>
    <n v="2025"/>
    <s v="Buy"/>
    <x v="0"/>
    <x v="445"/>
  </r>
  <r>
    <s v="CPC TAIWAN APR 23-27"/>
    <d v="2025-01-21T00:00:00"/>
    <s v="Freight-TD22"/>
    <s v="Expo"/>
    <n v="-2100"/>
    <d v="2025-02-28T00:00:00"/>
    <d v="2025-02-28T00:00:00"/>
    <n v="10400"/>
    <n v="10050"/>
    <n v="350"/>
    <n v="-21840000"/>
    <x v="19"/>
    <s v="Sell"/>
    <n v="-21105000"/>
    <x v="3"/>
    <x v="5"/>
    <n v="2025"/>
    <s v="Sell"/>
    <x v="0"/>
    <x v="446"/>
  </r>
  <r>
    <s v="CPC TAIWAN APR 23-27"/>
    <d v="2025-01-21T00:00:00"/>
    <s v="Freight-TD22"/>
    <s v="Expo"/>
    <n v="2100"/>
    <d v="2025-02-28T00:00:00"/>
    <d v="2025-02-28T00:00:00"/>
    <n v="10050"/>
    <n v="8200"/>
    <n v="1850"/>
    <n v="21105000"/>
    <x v="19"/>
    <s v="Buy"/>
    <n v="17220000"/>
    <x v="3"/>
    <x v="5"/>
    <n v="2025"/>
    <s v="Buy"/>
    <x v="0"/>
    <x v="447"/>
  </r>
  <r>
    <s v="CPC TAIWAN APR 23-27"/>
    <d v="2025-01-21T00:00:00"/>
    <s v="Physical"/>
    <s v="Expo"/>
    <n v="2100"/>
    <d v="2025-02-28T00:00:00"/>
    <d v="2025-02-28T00:00:00"/>
    <n v="4.050143884892087"/>
    <n v="5.0999999999999996"/>
    <n v="2204.6978417266164"/>
    <n v="8505.3021582733818"/>
    <x v="19"/>
    <s v="Buy"/>
    <n v="10710"/>
    <x v="2"/>
    <x v="4"/>
    <n v="2025"/>
    <s v="Buy"/>
    <x v="1"/>
    <x v="448"/>
  </r>
  <r>
    <s v="CPC TAIWAN APR 23-27"/>
    <d v="2025-01-21T00:00:00"/>
    <s v="WTI Sprds"/>
    <s v="Expo"/>
    <n v="-2100"/>
    <d v="2025-03-31T00:00:00"/>
    <d v="2025-04-30T00:00:00"/>
    <n v="0.82999999999999829"/>
    <n v="0.15"/>
    <n v="1427.9999999999964"/>
    <n v="-1742.9999999999964"/>
    <x v="14"/>
    <s v="Sell"/>
    <n v="-315"/>
    <x v="0"/>
    <x v="0"/>
    <n v="2025"/>
    <s v="Sell"/>
    <x v="0"/>
    <x v="449"/>
  </r>
  <r>
    <s v="CPC TAIWAN APR 23-27"/>
    <d v="2025-01-21T00:00:00"/>
    <s v="WTI-Brent"/>
    <s v="Expo"/>
    <n v="-2100"/>
    <d v="2025-04-30T00:00:00"/>
    <d v="2025-04-30T00:00:00"/>
    <n v="-3.4000000000000057"/>
    <n v="-3.42"/>
    <n v="41.999999999987914"/>
    <n v="7140.0000000000118"/>
    <x v="21"/>
    <s v="Sell"/>
    <n v="7182"/>
    <x v="1"/>
    <x v="3"/>
    <n v="2025"/>
    <s v="Sell"/>
    <x v="0"/>
    <x v="450"/>
  </r>
  <r>
    <s v="CPC TAIWAN APR 23-27"/>
    <d v="2025-01-21T00:00:00"/>
    <s v="Brent Sprds"/>
    <s v="Expo"/>
    <n v="-2100"/>
    <d v="2025-04-30T00:00:00"/>
    <d v="2025-05-31T00:00:00"/>
    <n v="0.82000000000000739"/>
    <n v="0.37"/>
    <n v="945.00000000001558"/>
    <n v="-1722.0000000000155"/>
    <x v="15"/>
    <s v="Sell"/>
    <n v="-777"/>
    <x v="0"/>
    <x v="2"/>
    <n v="2025"/>
    <s v="Sell"/>
    <x v="0"/>
    <x v="451"/>
  </r>
  <r>
    <s v="CPC TAIWAN APR 23-27"/>
    <d v="2025-01-21T00:00:00"/>
    <s v="DFL"/>
    <s v="Expo"/>
    <n v="2100"/>
    <d v="2025-03-31T00:00:00"/>
    <d v="2025-03-31T00:00:00"/>
    <n v="0.78"/>
    <n v="1.1299999999999999"/>
    <n v="734.99999999999977"/>
    <n v="1638"/>
    <x v="20"/>
    <s v="Buy"/>
    <n v="2373"/>
    <x v="1"/>
    <x v="1"/>
    <n v="2025"/>
    <s v="Buy"/>
    <x v="0"/>
    <x v="452"/>
  </r>
  <r>
    <s v="CPC TAIWAN APR 23-27"/>
    <d v="2025-01-27T00:00:00"/>
    <s v="DFL"/>
    <s v="Hedge"/>
    <n v="-500"/>
    <d v="2025-03-31T00:00:00"/>
    <d v="2025-03-31T00:00:00"/>
    <n v="0.78330999999999995"/>
    <n v="1.1299999999999999"/>
    <n v="-173.34499999999997"/>
    <n v="-391.65499999999997"/>
    <x v="20"/>
    <s v="Sell"/>
    <n v="-565"/>
    <x v="1"/>
    <x v="1"/>
    <n v="2025"/>
    <s v="Sell"/>
    <x v="0"/>
    <x v="453"/>
  </r>
  <r>
    <s v="Unallocated"/>
    <d v="2025-01-23T00:00:00"/>
    <s v="WTI-Brent"/>
    <s v="Hedge"/>
    <n v="1003"/>
    <d v="2025-03-31T00:00:00"/>
    <d v="2025-03-31T00:00:00"/>
    <n v="-3.64"/>
    <n v="-4.2300000000000004"/>
    <n v="-591.77000000000032"/>
    <n v="-3650.92"/>
    <x v="20"/>
    <s v="Buy"/>
    <n v="-4242.6900000000005"/>
    <x v="1"/>
    <x v="3"/>
    <n v="2025"/>
    <s v="Buy"/>
    <x v="0"/>
    <x v="454"/>
  </r>
  <r>
    <s v="Unallocated"/>
    <d v="2025-01-27T00:00:00"/>
    <s v="DFL"/>
    <s v="Hedge"/>
    <n v="-300"/>
    <d v="2025-02-28T00:00:00"/>
    <d v="2025-02-28T00:00:00"/>
    <n v="1.05131"/>
    <n v="0.22"/>
    <n v="249.393"/>
    <n v="-315.39299999999997"/>
    <x v="19"/>
    <s v="Sell"/>
    <n v="-66"/>
    <x v="1"/>
    <x v="1"/>
    <n v="2025"/>
    <s v="Sell"/>
    <x v="0"/>
    <x v="455"/>
  </r>
  <r>
    <s v="Unallocated"/>
    <d v="2025-01-29T00:00:00"/>
    <s v="DFL"/>
    <s v="Hedge"/>
    <n v="-700"/>
    <d v="2025-02-28T00:00:00"/>
    <d v="2025-02-28T00:00:00"/>
    <n v="1.04131"/>
    <n v="0.22"/>
    <n v="574.91700000000003"/>
    <n v="-728.91699999999992"/>
    <x v="19"/>
    <s v="Sell"/>
    <n v="-154"/>
    <x v="1"/>
    <x v="1"/>
    <n v="2025"/>
    <s v="Sell"/>
    <x v="0"/>
    <x v="456"/>
  </r>
  <r>
    <s v="CPC TAIWAN APR 23-27"/>
    <d v="2025-01-24T00:00:00"/>
    <s v="WTI-Brent"/>
    <s v="Hedge"/>
    <n v="2100"/>
    <d v="2025-04-30T00:00:00"/>
    <d v="2025-04-30T00:00:00"/>
    <n v="-3.59"/>
    <n v="-3.42"/>
    <n v="356.99999999999983"/>
    <n v="-7539"/>
    <x v="21"/>
    <s v="Buy"/>
    <n v="-7182"/>
    <x v="1"/>
    <x v="3"/>
    <n v="2025"/>
    <s v="Buy"/>
    <x v="0"/>
    <x v="457"/>
  </r>
  <r>
    <s v="Unallocated"/>
    <d v="2025-01-24T00:00:00"/>
    <s v="WTI-Brent"/>
    <s v="Hedge"/>
    <n v="1900"/>
    <d v="2025-04-30T00:00:00"/>
    <d v="2025-04-30T00:00:00"/>
    <n v="-3.59"/>
    <n v="-3.42"/>
    <n v="322.99999999999989"/>
    <n v="-6821"/>
    <x v="21"/>
    <s v="Buy"/>
    <n v="-6498"/>
    <x v="1"/>
    <x v="3"/>
    <n v="2025"/>
    <s v="Buy"/>
    <x v="0"/>
    <x v="458"/>
  </r>
  <r>
    <s v="CPC TAIWAN APR 23-27"/>
    <d v="2025-01-28T00:00:00"/>
    <s v="DFL"/>
    <s v="Hedge"/>
    <n v="-200"/>
    <d v="2025-03-31T00:00:00"/>
    <d v="2025-03-31T00:00:00"/>
    <n v="0.81130999999999998"/>
    <n v="1.1299999999999999"/>
    <n v="-63.737999999999985"/>
    <n v="-162.262"/>
    <x v="20"/>
    <s v="Sell"/>
    <n v="-225.99999999999997"/>
    <x v="1"/>
    <x v="1"/>
    <n v="2025"/>
    <s v="Sell"/>
    <x v="0"/>
    <x v="459"/>
  </r>
  <r>
    <s v="Unallocated"/>
    <d v="2025-01-02T00:00:00"/>
    <s v="DFL"/>
    <s v="Hedge"/>
    <n v="-6193"/>
    <d v="2025-01-31T00:00:00"/>
    <d v="2025-01-31T00:00:00"/>
    <n v="0.93"/>
    <n v="0.93"/>
    <n v="0"/>
    <n v="-5759.4900000000007"/>
    <x v="18"/>
    <s v="Sell"/>
    <n v="-5759.4900000000007"/>
    <x v="1"/>
    <x v="1"/>
    <n v="2025"/>
    <s v="Sell"/>
    <x v="0"/>
    <x v="460"/>
  </r>
  <r>
    <s v="Unallocated"/>
    <d v="2025-01-27T00:00:00"/>
    <s v="CFD"/>
    <s v="Hedge"/>
    <n v="-200"/>
    <s v="Jan27-Jan31"/>
    <d v="2025-01-31T00:00:00"/>
    <n v="0.56999999999999995"/>
    <n v="0.36199999999999999"/>
    <n v="41.599999999999994"/>
    <n v="-113.99999999999999"/>
    <x v="29"/>
    <s v="Sell"/>
    <n v="-72.399999999999991"/>
    <x v="1"/>
    <x v="1"/>
    <n v="2025"/>
    <s v="Sell"/>
    <x v="0"/>
    <x v="461"/>
  </r>
  <r>
    <s v="Unallocated"/>
    <d v="2025-01-28T00:00:00"/>
    <s v="CFD"/>
    <s v="Hedge"/>
    <n v="-200"/>
    <s v="Jan27-Jan31"/>
    <d v="2025-01-31T00:00:00"/>
    <n v="0.54500000000000004"/>
    <n v="0.36199999999999999"/>
    <n v="36.600000000000009"/>
    <n v="-109.00000000000001"/>
    <x v="29"/>
    <s v="Sell"/>
    <n v="-72.399999999999991"/>
    <x v="1"/>
    <x v="1"/>
    <n v="2025"/>
    <s v="Sell"/>
    <x v="0"/>
    <x v="462"/>
  </r>
  <r>
    <s v="Unallocated"/>
    <d v="2025-01-29T00:00:00"/>
    <s v="CFD"/>
    <s v="Hedge"/>
    <n v="-200"/>
    <s v="Jan27-Jan31"/>
    <d v="2025-01-31T00:00:00"/>
    <n v="0.41499999999999998"/>
    <n v="0.36199999999999999"/>
    <n v="10.599999999999998"/>
    <n v="-83"/>
    <x v="29"/>
    <s v="Sell"/>
    <n v="-72.399999999999991"/>
    <x v="1"/>
    <x v="1"/>
    <n v="2025"/>
    <s v="Sell"/>
    <x v="0"/>
    <x v="463"/>
  </r>
  <r>
    <s v="Unallocated"/>
    <d v="2025-01-30T00:00:00"/>
    <s v="CFD"/>
    <s v="Hedge"/>
    <n v="-200"/>
    <s v="Jan27-Jan31"/>
    <d v="2025-01-31T00:00:00"/>
    <n v="0.115"/>
    <n v="0.36199999999999999"/>
    <n v="-49.4"/>
    <n v="-23"/>
    <x v="29"/>
    <s v="Sell"/>
    <n v="-72.399999999999991"/>
    <x v="1"/>
    <x v="1"/>
    <n v="2025"/>
    <s v="Sell"/>
    <x v="0"/>
    <x v="464"/>
  </r>
  <r>
    <s v="Unallocated"/>
    <d v="2025-01-31T00:00:00"/>
    <s v="CFD"/>
    <s v="Hedge"/>
    <n v="-200"/>
    <s v="Jan27-Jan31"/>
    <d v="2025-01-31T00:00:00"/>
    <n v="0.16500000000000001"/>
    <n v="0.36199999999999999"/>
    <n v="-39.4"/>
    <n v="-33"/>
    <x v="29"/>
    <s v="Sell"/>
    <n v="-72.399999999999991"/>
    <x v="1"/>
    <x v="1"/>
    <n v="2025"/>
    <s v="Sell"/>
    <x v="0"/>
    <x v="465"/>
  </r>
  <r>
    <s v="Unallocated"/>
    <d v="2025-01-31T00:00:00"/>
    <s v="DFL"/>
    <s v="Hedge"/>
    <n v="-1450"/>
    <d v="2025-02-28T00:00:00"/>
    <d v="2025-02-28T00:00:00"/>
    <n v="0.88631000000000004"/>
    <n v="0.22"/>
    <n v="966.1495000000001"/>
    <n v="-1285.1495"/>
    <x v="19"/>
    <s v="Sell"/>
    <n v="-319"/>
    <x v="1"/>
    <x v="1"/>
    <n v="2025"/>
    <s v="Sell"/>
    <x v="0"/>
    <x v="466"/>
  </r>
  <r>
    <s v="Unallocated"/>
    <d v="2025-01-26T00:00:00"/>
    <s v="DFL"/>
    <s v="Hedge"/>
    <n v="100"/>
    <d v="2025-03-31T00:00:00"/>
    <d v="2025-03-31T00:00:00"/>
    <n v="0.6"/>
    <n v="1.1299999999999999"/>
    <n v="52.999999999999993"/>
    <n v="60"/>
    <x v="20"/>
    <s v="Buy"/>
    <n v="112.99999999999999"/>
    <x v="1"/>
    <x v="1"/>
    <n v="2025"/>
    <s v="Buy"/>
    <x v="0"/>
    <x v="467"/>
  </r>
  <r>
    <s v="Unallocated"/>
    <d v="2025-01-28T00:00:00"/>
    <s v="WTI Sprds"/>
    <s v="Hedge"/>
    <n v="-500"/>
    <d v="2025-03-31T00:00:00"/>
    <d v="2025-04-30T00:00:00"/>
    <n v="0.82"/>
    <n v="0.15"/>
    <n v="334.99999999999994"/>
    <n v="-410"/>
    <x v="14"/>
    <s v="Sell"/>
    <n v="-75"/>
    <x v="0"/>
    <x v="0"/>
    <n v="2025"/>
    <s v="Sell"/>
    <x v="0"/>
    <x v="468"/>
  </r>
  <r>
    <s v="Unallocated"/>
    <d v="2025-01-28T00:00:00"/>
    <s v="WTI Sprds"/>
    <s v="Hedge"/>
    <n v="-500"/>
    <d v="2025-04-30T00:00:00"/>
    <d v="2025-05-31T00:00:00"/>
    <n v="0.79"/>
    <n v="0.25"/>
    <n v="270"/>
    <n v="-395"/>
    <x v="15"/>
    <s v="Sell"/>
    <n v="-125"/>
    <x v="0"/>
    <x v="0"/>
    <n v="2025"/>
    <s v="Sell"/>
    <x v="0"/>
    <x v="469"/>
  </r>
  <r>
    <s v="Unallocated"/>
    <d v="2025-01-28T00:00:00"/>
    <s v="WTI-Brent"/>
    <s v="Hedge"/>
    <n v="-500"/>
    <d v="2025-05-31T00:00:00"/>
    <d v="2025-05-31T00:00:00"/>
    <n v="-3.46"/>
    <n v="-3.26"/>
    <n v="-100.00000000000009"/>
    <n v="1730"/>
    <x v="22"/>
    <s v="Sell"/>
    <n v="1630"/>
    <x v="1"/>
    <x v="3"/>
    <n v="2025"/>
    <s v="Sell"/>
    <x v="0"/>
    <x v="470"/>
  </r>
  <r>
    <s v="Unallocated"/>
    <d v="2025-01-06T00:00:00"/>
    <s v="DFL"/>
    <s v="Hedge"/>
    <n v="200"/>
    <d v="2025-02-28T00:00:00"/>
    <d v="2025-02-28T00:00:00"/>
    <n v="1.06"/>
    <n v="0.22"/>
    <n v="-168.00000000000003"/>
    <n v="212"/>
    <x v="19"/>
    <s v="Buy"/>
    <n v="44"/>
    <x v="1"/>
    <x v="1"/>
    <n v="2025"/>
    <s v="Buy"/>
    <x v="0"/>
    <x v="471"/>
  </r>
  <r>
    <s v="Unallocated"/>
    <d v="2025-01-24T00:00:00"/>
    <s v="DFL"/>
    <s v="Hedge"/>
    <n v="-600"/>
    <d v="2025-02-28T00:00:00"/>
    <d v="2025-02-28T00:00:00"/>
    <n v="0.99"/>
    <n v="0.22"/>
    <n v="462"/>
    <n v="-594"/>
    <x v="19"/>
    <s v="Sell"/>
    <n v="-132"/>
    <x v="1"/>
    <x v="1"/>
    <n v="2025"/>
    <s v="Sell"/>
    <x v="0"/>
    <x v="472"/>
  </r>
  <r>
    <s v="Unallocated"/>
    <d v="2025-01-29T00:00:00"/>
    <s v="WTI Sprds"/>
    <s v="Hedge"/>
    <n v="250"/>
    <d v="2025-03-31T00:00:00"/>
    <d v="2025-04-30T00:00:00"/>
    <n v="0.6750000000000006"/>
    <n v="0.15"/>
    <n v="-131.25000000000014"/>
    <n v="168.75000000000014"/>
    <x v="14"/>
    <s v="Buy"/>
    <n v="37.5"/>
    <x v="0"/>
    <x v="0"/>
    <n v="2025"/>
    <s v="Buy"/>
    <x v="0"/>
    <x v="473"/>
  </r>
  <r>
    <s v="Unallocated"/>
    <d v="2025-01-29T00:00:00"/>
    <s v="WTI Sprds"/>
    <s v="Hedge"/>
    <n v="250"/>
    <d v="2025-04-30T00:00:00"/>
    <d v="2025-05-31T00:00:00"/>
    <n v="0.69500000000001083"/>
    <n v="0.25"/>
    <n v="-111.25000000000271"/>
    <n v="173.7500000000027"/>
    <x v="15"/>
    <s v="Buy"/>
    <n v="62.5"/>
    <x v="0"/>
    <x v="0"/>
    <n v="2025"/>
    <s v="Buy"/>
    <x v="0"/>
    <x v="474"/>
  </r>
  <r>
    <s v="Unallocated"/>
    <d v="2025-01-29T00:00:00"/>
    <s v="WTI-Brent"/>
    <s v="Hedge"/>
    <n v="250"/>
    <d v="2025-05-31T00:00:00"/>
    <d v="2025-05-31T00:00:00"/>
    <n v="-3.4450000000000038"/>
    <n v="-3.26"/>
    <n v="46.250000000001009"/>
    <n v="-861.25000000000091"/>
    <x v="22"/>
    <s v="Buy"/>
    <n v="-815"/>
    <x v="1"/>
    <x v="3"/>
    <n v="2025"/>
    <s v="Buy"/>
    <x v="0"/>
    <x v="475"/>
  </r>
  <r>
    <s v="Unallocated"/>
    <d v="2025-01-29T00:00:00"/>
    <s v="WTI Sprds"/>
    <s v="Hedge"/>
    <n v="350"/>
    <d v="2025-03-31T00:00:00"/>
    <d v="2025-04-30T00:00:00"/>
    <n v="0.66"/>
    <n v="0.15"/>
    <n v="-178.5"/>
    <n v="231"/>
    <x v="14"/>
    <s v="Buy"/>
    <n v="52.5"/>
    <x v="0"/>
    <x v="0"/>
    <n v="2025"/>
    <s v="Buy"/>
    <x v="0"/>
    <x v="476"/>
  </r>
  <r>
    <s v="Unallocated"/>
    <d v="2025-01-29T00:00:00"/>
    <s v="WTI Sprds"/>
    <s v="Hedge"/>
    <n v="350"/>
    <d v="2025-03-31T00:00:00"/>
    <d v="2025-04-30T00:00:00"/>
    <n v="0.64"/>
    <n v="0.15"/>
    <n v="-171.5"/>
    <n v="224"/>
    <x v="14"/>
    <s v="Buy"/>
    <n v="52.5"/>
    <x v="0"/>
    <x v="0"/>
    <n v="2025"/>
    <s v="Buy"/>
    <x v="0"/>
    <x v="477"/>
  </r>
  <r>
    <s v="Unallocated"/>
    <d v="2025-01-29T00:00:00"/>
    <s v="WTI-Brent"/>
    <s v="Hedge"/>
    <n v="100"/>
    <d v="2025-03-31T00:00:00"/>
    <d v="2025-03-31T00:00:00"/>
    <n v="-3.96"/>
    <n v="-4.2300000000000004"/>
    <n v="-27.000000000000046"/>
    <n v="-396"/>
    <x v="20"/>
    <s v="Buy"/>
    <n v="-423.00000000000006"/>
    <x v="1"/>
    <x v="3"/>
    <n v="2025"/>
    <s v="Buy"/>
    <x v="0"/>
    <x v="478"/>
  </r>
  <r>
    <s v="Unallocated"/>
    <d v="2025-01-29T00:00:00"/>
    <s v="WTI-Brent"/>
    <s v="Hedge"/>
    <n v="100"/>
    <d v="2025-03-31T00:00:00"/>
    <d v="2025-03-31T00:00:00"/>
    <n v="-3.96"/>
    <n v="-4.2300000000000004"/>
    <n v="-27.000000000000046"/>
    <n v="-396"/>
    <x v="20"/>
    <s v="Buy"/>
    <n v="-423.00000000000006"/>
    <x v="1"/>
    <x v="3"/>
    <n v="2025"/>
    <s v="Buy"/>
    <x v="0"/>
    <x v="479"/>
  </r>
  <r>
    <s v="Unallocated"/>
    <d v="2025-01-29T00:00:00"/>
    <s v="WTI-Brent"/>
    <s v="Hedge"/>
    <n v="200"/>
    <d v="2025-03-31T00:00:00"/>
    <d v="2025-03-31T00:00:00"/>
    <n v="-3.98"/>
    <n v="-4.2300000000000004"/>
    <n v="-50.000000000000085"/>
    <n v="-796"/>
    <x v="20"/>
    <s v="Buy"/>
    <n v="-846.00000000000011"/>
    <x v="1"/>
    <x v="3"/>
    <n v="2025"/>
    <s v="Buy"/>
    <x v="0"/>
    <x v="480"/>
  </r>
  <r>
    <s v="Unallocated"/>
    <d v="2025-01-29T00:00:00"/>
    <s v="DFL"/>
    <s v="Hedge"/>
    <n v="-500"/>
    <d v="2025-02-28T00:00:00"/>
    <d v="2025-02-28T00:00:00"/>
    <n v="1.06"/>
    <n v="0.22"/>
    <n v="420.00000000000006"/>
    <n v="-530"/>
    <x v="19"/>
    <s v="Sell"/>
    <n v="-110"/>
    <x v="1"/>
    <x v="1"/>
    <n v="2025"/>
    <s v="Sell"/>
    <x v="0"/>
    <x v="481"/>
  </r>
  <r>
    <s v="Unallocated"/>
    <d v="2025-01-31T00:00:00"/>
    <s v="WTI Sprds"/>
    <s v="Hedge"/>
    <n v="350"/>
    <d v="2025-03-31T00:00:00"/>
    <d v="2025-04-30T00:00:00"/>
    <n v="0.62"/>
    <n v="0.15"/>
    <n v="-164.5"/>
    <n v="217"/>
    <x v="14"/>
    <s v="Buy"/>
    <n v="52.5"/>
    <x v="0"/>
    <x v="0"/>
    <n v="2025"/>
    <s v="Buy"/>
    <x v="0"/>
    <x v="482"/>
  </r>
  <r>
    <s v="CPC TAIWAN APR 23-27"/>
    <d v="2025-01-31T00:00:00"/>
    <s v="Brent Sprds"/>
    <s v="Expo"/>
    <n v="26"/>
    <d v="2025-03-31T00:00:00"/>
    <d v="2025-04-30T00:00:00"/>
    <n v="0.98"/>
    <n v="1.0900000000000001"/>
    <n v="2.8600000000000025"/>
    <n v="25.48"/>
    <x v="14"/>
    <s v="Buy"/>
    <n v="28.340000000000003"/>
    <x v="0"/>
    <x v="2"/>
    <n v="2025"/>
    <s v="Buy"/>
    <x v="0"/>
    <x v="483"/>
  </r>
  <r>
    <s v="Unallocated"/>
    <d v="2025-01-29T00:00:00"/>
    <s v="WTI-Brent"/>
    <s v="Hedge"/>
    <n v="111"/>
    <d v="2025-03-31T00:00:00"/>
    <d v="2025-03-31T00:00:00"/>
    <n v="-4.04"/>
    <n v="-4.2300000000000004"/>
    <n v="-21.090000000000042"/>
    <n v="-448.44"/>
    <x v="20"/>
    <s v="Buy"/>
    <n v="-469.53000000000003"/>
    <x v="1"/>
    <x v="3"/>
    <n v="2025"/>
    <s v="Buy"/>
    <x v="0"/>
    <x v="484"/>
  </r>
  <r>
    <s v="Unallocated"/>
    <d v="2025-02-03T00:00:00"/>
    <s v="WTI Sprds"/>
    <s v="Hedge"/>
    <n v="300"/>
    <d v="2025-03-31T00:00:00"/>
    <d v="2025-04-30T00:00:00"/>
    <n v="0.55000000000000004"/>
    <n v="0.15"/>
    <n v="-120"/>
    <n v="165"/>
    <x v="14"/>
    <s v="Buy"/>
    <n v="45"/>
    <x v="0"/>
    <x v="0"/>
    <n v="2025"/>
    <s v="Buy"/>
    <x v="0"/>
    <x v="485"/>
  </r>
  <r>
    <s v="Unallocated"/>
    <d v="2025-02-03T00:00:00"/>
    <s v="WTI Sprds"/>
    <s v="Hedge"/>
    <n v="300"/>
    <d v="2025-03-31T00:00:00"/>
    <d v="2025-04-30T00:00:00"/>
    <n v="0.54"/>
    <n v="0.15"/>
    <n v="-117"/>
    <n v="162"/>
    <x v="14"/>
    <s v="Buy"/>
    <n v="45"/>
    <x v="0"/>
    <x v="0"/>
    <n v="2025"/>
    <s v="Buy"/>
    <x v="0"/>
    <x v="486"/>
  </r>
  <r>
    <s v="Unallocated"/>
    <d v="2025-02-03T00:00:00"/>
    <s v="WTI Sprds"/>
    <s v="Hedge"/>
    <n v="184"/>
    <d v="2025-03-31T00:00:00"/>
    <d v="2025-04-30T00:00:00"/>
    <n v="0.53"/>
    <n v="0.15"/>
    <n v="-69.92"/>
    <n v="97.52000000000001"/>
    <x v="14"/>
    <s v="Buy"/>
    <n v="27.599999999999998"/>
    <x v="0"/>
    <x v="0"/>
    <n v="2025"/>
    <s v="Buy"/>
    <x v="0"/>
    <x v="487"/>
  </r>
  <r>
    <s v="Unallocated"/>
    <d v="2025-02-04T00:00:00"/>
    <s v="WTI Sprds"/>
    <s v="Hedge"/>
    <n v="116"/>
    <d v="2025-03-31T00:00:00"/>
    <d v="2025-04-30T00:00:00"/>
    <n v="0.53"/>
    <n v="0.15"/>
    <n v="-44.08"/>
    <n v="61.480000000000004"/>
    <x v="14"/>
    <s v="Buy"/>
    <n v="17.399999999999999"/>
    <x v="0"/>
    <x v="0"/>
    <n v="2025"/>
    <s v="Buy"/>
    <x v="0"/>
    <x v="488"/>
  </r>
  <r>
    <s v="Unallocated"/>
    <d v="2025-02-04T00:00:00"/>
    <s v="WTI Sprds"/>
    <s v="Hedge"/>
    <n v="300"/>
    <d v="2025-03-31T00:00:00"/>
    <d v="2025-04-30T00:00:00"/>
    <n v="0.52"/>
    <n v="0.15"/>
    <n v="-111"/>
    <n v="156"/>
    <x v="14"/>
    <s v="Buy"/>
    <n v="45"/>
    <x v="0"/>
    <x v="0"/>
    <n v="2025"/>
    <s v="Buy"/>
    <x v="0"/>
    <x v="489"/>
  </r>
  <r>
    <s v="Unallocated"/>
    <d v="2025-02-04T00:00:00"/>
    <s v="WTI Sprds"/>
    <s v="Hedge"/>
    <n v="300"/>
    <d v="2025-03-31T00:00:00"/>
    <d v="2025-04-30T00:00:00"/>
    <n v="0.5"/>
    <n v="0.15"/>
    <n v="-105"/>
    <n v="150"/>
    <x v="14"/>
    <s v="Buy"/>
    <n v="45"/>
    <x v="0"/>
    <x v="0"/>
    <n v="2025"/>
    <s v="Buy"/>
    <x v="0"/>
    <x v="490"/>
  </r>
  <r>
    <s v="Unallocated"/>
    <d v="2025-02-04T00:00:00"/>
    <s v="WTI Sprds-Fly"/>
    <s v="Hedge"/>
    <n v="500"/>
    <d v="2025-03-31T00:00:00"/>
    <d v="2025-04-30T00:00:00"/>
    <n v="0.4"/>
    <n v="0.15"/>
    <n v="-125"/>
    <n v="200"/>
    <x v="14"/>
    <s v="Buy"/>
    <n v="75"/>
    <x v="0"/>
    <x v="0"/>
    <n v="2025"/>
    <s v="Buy"/>
    <x v="0"/>
    <x v="491"/>
  </r>
  <r>
    <s v="Unallocated"/>
    <d v="2025-02-04T00:00:00"/>
    <s v="WTI Sprds-Fly"/>
    <s v="Hedge"/>
    <n v="-500"/>
    <d v="2025-04-30T00:00:00"/>
    <d v="2025-05-31T00:00:00"/>
    <n v="0.51"/>
    <n v="0.25"/>
    <n v="130"/>
    <n v="-255"/>
    <x v="15"/>
    <s v="Sell"/>
    <n v="-125"/>
    <x v="0"/>
    <x v="0"/>
    <n v="2025"/>
    <s v="Sell"/>
    <x v="0"/>
    <x v="492"/>
  </r>
  <r>
    <s v="Unallocated"/>
    <d v="2025-02-04T00:00:00"/>
    <s v="WTI-Brent"/>
    <s v="Hedge"/>
    <n v="500"/>
    <d v="2025-05-31T00:00:00"/>
    <d v="2025-05-31T00:00:00"/>
    <n v="-3.7"/>
    <n v="-3.26"/>
    <n v="220.0000000000002"/>
    <n v="-1850"/>
    <x v="22"/>
    <s v="Buy"/>
    <n v="-1630"/>
    <x v="1"/>
    <x v="3"/>
    <n v="2025"/>
    <s v="Buy"/>
    <x v="0"/>
    <x v="493"/>
  </r>
  <r>
    <s v="Unallocated"/>
    <d v="2025-02-04T00:00:00"/>
    <s v="WTI Sprds"/>
    <s v="Hedge"/>
    <n v="2000"/>
    <d v="2025-03-31T00:00:00"/>
    <d v="2025-04-30T00:00:00"/>
    <n v="0.39"/>
    <n v="0.15"/>
    <n v="-480.00000000000006"/>
    <n v="780"/>
    <x v="14"/>
    <s v="Buy"/>
    <n v="300"/>
    <x v="0"/>
    <x v="0"/>
    <n v="2025"/>
    <s v="Buy"/>
    <x v="0"/>
    <x v="494"/>
  </r>
  <r>
    <s v="Unallocated"/>
    <d v="2025-02-05T00:00:00"/>
    <s v="WTI-Brent"/>
    <s v="Hedge"/>
    <n v="250"/>
    <d v="2025-05-31T00:00:00"/>
    <d v="2025-05-31T00:00:00"/>
    <n v="-3.7"/>
    <n v="-3.26"/>
    <n v="110.0000000000001"/>
    <n v="-925"/>
    <x v="22"/>
    <s v="Buy"/>
    <n v="-815"/>
    <x v="1"/>
    <x v="3"/>
    <n v="2025"/>
    <s v="Buy"/>
    <x v="0"/>
    <x v="495"/>
  </r>
  <r>
    <s v="CPC TAIWAN APR 23-27"/>
    <d v="2025-02-05T00:00:00"/>
    <s v="Brent Sprds"/>
    <s v="Hedge"/>
    <n v="500"/>
    <d v="2025-04-30T00:00:00"/>
    <d v="2025-05-31T00:00:00"/>
    <n v="0.52"/>
    <n v="0.37"/>
    <n v="-75.000000000000014"/>
    <n v="260"/>
    <x v="15"/>
    <s v="Buy"/>
    <n v="185"/>
    <x v="0"/>
    <x v="2"/>
    <n v="2025"/>
    <s v="Buy"/>
    <x v="0"/>
    <x v="496"/>
  </r>
  <r>
    <s v="Unallocated"/>
    <d v="2025-02-05T00:00:00"/>
    <s v="WTI-Brent"/>
    <s v="Hedge"/>
    <n v="250"/>
    <d v="2025-05-31T00:00:00"/>
    <d v="2025-05-31T00:00:00"/>
    <n v="-3.75"/>
    <n v="-3.26"/>
    <n v="122.50000000000006"/>
    <n v="-937.5"/>
    <x v="22"/>
    <s v="Buy"/>
    <n v="-815"/>
    <x v="1"/>
    <x v="3"/>
    <n v="2025"/>
    <s v="Buy"/>
    <x v="0"/>
    <x v="497"/>
  </r>
  <r>
    <s v="Gunvor FOB Feb 23-24"/>
    <d v="2025-02-06T00:00:00"/>
    <s v="Physical"/>
    <s v="Expo"/>
    <n v="700"/>
    <d v="2025-02-28T00:00:00"/>
    <d v="2025-02-28T00:00:00"/>
    <n v="0"/>
    <n v="0.64"/>
    <n v="448"/>
    <n v="0"/>
    <x v="19"/>
    <s v="Buy"/>
    <n v="448"/>
    <x v="2"/>
    <x v="4"/>
    <n v="2025"/>
    <s v="Buy"/>
    <x v="1"/>
    <x v="498"/>
  </r>
  <r>
    <s v="Gunvor FOB Feb 23-24"/>
    <d v="2025-02-06T00:00:00"/>
    <s v="WTI Sprds"/>
    <s v="Expo"/>
    <n v="-700"/>
    <d v="2025-03-31T00:00:00"/>
    <d v="2025-04-30T00:00:00"/>
    <n v="0.23999999999999488"/>
    <n v="0.15"/>
    <n v="62.999999999996426"/>
    <n v="-167.99999999999642"/>
    <x v="14"/>
    <s v="Sell"/>
    <n v="-105"/>
    <x v="0"/>
    <x v="0"/>
    <n v="2025"/>
    <s v="Sell"/>
    <x v="0"/>
    <x v="499"/>
  </r>
  <r>
    <s v="Gunvor FOB Feb 23-24"/>
    <d v="2025-02-06T00:00:00"/>
    <s v="WTI Sprds"/>
    <s v="Expo"/>
    <n v="-700"/>
    <d v="2025-04-30T00:00:00"/>
    <d v="2025-05-31T00:00:00"/>
    <n v="0.30000000000001137"/>
    <n v="0.25"/>
    <n v="35.000000000007958"/>
    <n v="-210.00000000000796"/>
    <x v="15"/>
    <s v="Sell"/>
    <n v="-175"/>
    <x v="0"/>
    <x v="0"/>
    <n v="2025"/>
    <s v="Sell"/>
    <x v="0"/>
    <x v="500"/>
  </r>
  <r>
    <s v="Gunvor FOB Feb 23-24"/>
    <d v="2025-02-06T00:00:00"/>
    <s v="WTI-Brent"/>
    <s v="Hedge"/>
    <n v="-700"/>
    <d v="2025-05-31T00:00:00"/>
    <d v="2025-05-31T00:00:00"/>
    <n v="-3.7700000000000102"/>
    <n v="-3.26"/>
    <n v="-357.00000000000733"/>
    <n v="2639.0000000000073"/>
    <x v="22"/>
    <s v="Sell"/>
    <n v="2282"/>
    <x v="1"/>
    <x v="3"/>
    <n v="2025"/>
    <s v="Sell"/>
    <x v="0"/>
    <x v="501"/>
  </r>
  <r>
    <s v="Gunvor FOB Feb 23-24"/>
    <d v="2025-02-06T00:00:00"/>
    <s v="WTI-Brent"/>
    <s v="Hedge"/>
    <n v="500"/>
    <d v="2025-05-31T00:00:00"/>
    <d v="2025-05-31T00:00:00"/>
    <n v="-3.75"/>
    <n v="-3.26"/>
    <n v="245.00000000000011"/>
    <n v="-1875"/>
    <x v="22"/>
    <s v="Buy"/>
    <n v="-1630"/>
    <x v="1"/>
    <x v="3"/>
    <n v="2025"/>
    <s v="Buy"/>
    <x v="0"/>
    <x v="502"/>
  </r>
  <r>
    <s v="Gunvor FOB Feb 23-24"/>
    <d v="2025-02-06T00:00:00"/>
    <s v="WTI-Brent"/>
    <s v="Hedge"/>
    <n v="200"/>
    <d v="2025-05-31T00:00:00"/>
    <d v="2025-05-31T00:00:00"/>
    <n v="-3.77"/>
    <n v="-3.26"/>
    <n v="102.00000000000004"/>
    <n v="-754"/>
    <x v="22"/>
    <s v="Buy"/>
    <n v="-652"/>
    <x v="1"/>
    <x v="3"/>
    <n v="2025"/>
    <s v="Buy"/>
    <x v="0"/>
    <x v="503"/>
  </r>
  <r>
    <s v="Unallocated"/>
    <d v="2025-02-06T00:00:00"/>
    <s v="WTI Sprds"/>
    <s v="Hedge"/>
    <n v="-932"/>
    <d v="2025-03-31T00:00:00"/>
    <d v="2025-04-30T00:00:00"/>
    <n v="0.23999999999999488"/>
    <n v="0.15"/>
    <n v="83.879999999995235"/>
    <n v="-223.67999999999523"/>
    <x v="14"/>
    <s v="Sell"/>
    <n v="-139.79999999999998"/>
    <x v="0"/>
    <x v="0"/>
    <n v="2025"/>
    <s v="Sell"/>
    <x v="0"/>
    <x v="504"/>
  </r>
  <r>
    <s v="Unallocated"/>
    <d v="2025-02-06T00:00:00"/>
    <s v="WTI Sprds-Fly"/>
    <s v="Hedge"/>
    <n v="932"/>
    <d v="2025-03-31T00:00:00"/>
    <d v="2025-04-30T00:00:00"/>
    <n v="0.23999999999999488"/>
    <n v="0.15"/>
    <n v="-83.879999999995235"/>
    <n v="223.67999999999523"/>
    <x v="14"/>
    <s v="Buy"/>
    <n v="139.79999999999998"/>
    <x v="0"/>
    <x v="0"/>
    <n v="2025"/>
    <s v="Buy"/>
    <x v="0"/>
    <x v="505"/>
  </r>
  <r>
    <s v="Unallocated"/>
    <d v="2025-02-06T00:00:00"/>
    <s v="WTI Sprds"/>
    <s v="Hedge"/>
    <n v="932"/>
    <d v="2025-04-30T00:00:00"/>
    <d v="2025-05-31T00:00:00"/>
    <n v="0.30000000000001137"/>
    <n v="0.25"/>
    <n v="-46.600000000010596"/>
    <n v="279.6000000000106"/>
    <x v="15"/>
    <s v="Buy"/>
    <n v="233"/>
    <x v="0"/>
    <x v="0"/>
    <n v="2025"/>
    <s v="Buy"/>
    <x v="0"/>
    <x v="506"/>
  </r>
  <r>
    <s v="Unallocated"/>
    <d v="2025-02-06T00:00:00"/>
    <s v="WTI Sprds-Fly"/>
    <s v="Hedge"/>
    <n v="-932"/>
    <d v="2025-04-30T00:00:00"/>
    <d v="2025-05-31T00:00:00"/>
    <n v="0.30000000000001137"/>
    <n v="0.25"/>
    <n v="46.600000000010596"/>
    <n v="-279.6000000000106"/>
    <x v="15"/>
    <s v="Sell"/>
    <n v="-233"/>
    <x v="0"/>
    <x v="0"/>
    <n v="2025"/>
    <s v="Sell"/>
    <x v="0"/>
    <x v="507"/>
  </r>
  <r>
    <s v="HDO May 10-20 WTI+WTL"/>
    <d v="2025-02-07T00:00:00"/>
    <s v="Freight-TD22"/>
    <s v="Expo"/>
    <n v="-2000"/>
    <d v="2025-03-31T00:00:00"/>
    <d v="2025-03-31T00:00:00"/>
    <n v="9250"/>
    <n v="9250"/>
    <n v="0"/>
    <n v="-18500000"/>
    <x v="20"/>
    <s v="Sell"/>
    <n v="-18500000"/>
    <x v="3"/>
    <x v="5"/>
    <n v="2025"/>
    <s v="Sell"/>
    <x v="0"/>
    <x v="508"/>
  </r>
  <r>
    <s v="HDO May 10-20 WTI+WTL"/>
    <d v="2025-02-07T00:00:00"/>
    <s v="Freight-TD22"/>
    <s v="Expo"/>
    <n v="2000"/>
    <d v="2025-03-31T00:00:00"/>
    <d v="2025-03-31T00:00:00"/>
    <n v="8300"/>
    <n v="9250"/>
    <n v="950"/>
    <n v="16600000"/>
    <x v="20"/>
    <s v="Buy"/>
    <n v="18500000"/>
    <x v="3"/>
    <x v="5"/>
    <n v="2025"/>
    <s v="Buy"/>
    <x v="0"/>
    <x v="509"/>
  </r>
  <r>
    <s v="HDO May 10-20 WTI+WTL"/>
    <d v="2025-02-07T00:00:00"/>
    <s v="Physical"/>
    <s v="Expo"/>
    <n v="1400"/>
    <d v="2025-03-31T00:00:00"/>
    <d v="2025-03-31T00:00:00"/>
    <n v="4.1647619047619049"/>
    <n v="4.91"/>
    <n v="1043.3333333333333"/>
    <n v="5197.3333333333339"/>
    <x v="20"/>
    <s v="Buy"/>
    <n v="6874"/>
    <x v="2"/>
    <x v="4"/>
    <n v="2025"/>
    <s v="Buy"/>
    <x v="1"/>
    <x v="510"/>
  </r>
  <r>
    <s v="HDO May 10-20 WTI+WTL"/>
    <d v="2025-02-07T00:00:00"/>
    <s v="Physical"/>
    <s v="Expo"/>
    <n v="700"/>
    <d v="2025-03-31T00:00:00"/>
    <d v="2025-03-31T00:00:00"/>
    <n v="3.7147619047619052"/>
    <n v="4.6100000000000003"/>
    <n v="626.66666666666663"/>
    <n v="2283.666666666667"/>
    <x v="20"/>
    <s v="Buy"/>
    <n v="3227"/>
    <x v="2"/>
    <x v="4"/>
    <n v="2025"/>
    <s v="Buy"/>
    <x v="1"/>
    <x v="511"/>
  </r>
  <r>
    <s v="HDO May 10-20 WTI+WTL"/>
    <d v="2025-02-07T00:00:00"/>
    <s v="WTI Sprds"/>
    <s v="Expo"/>
    <n v="-2100"/>
    <d v="2025-03-31T00:00:00"/>
    <d v="2025-04-30T00:00:00"/>
    <n v="0.25"/>
    <n v="0.15"/>
    <n v="210"/>
    <n v="-525"/>
    <x v="14"/>
    <s v="Sell"/>
    <n v="-315"/>
    <x v="0"/>
    <x v="0"/>
    <n v="2025"/>
    <s v="Sell"/>
    <x v="0"/>
    <x v="512"/>
  </r>
  <r>
    <s v="HDO May 10-20 WTI+WTL"/>
    <d v="2025-02-07T00:00:00"/>
    <s v="WTI Sprds"/>
    <s v="Expo"/>
    <n v="-2100"/>
    <d v="2025-04-30T00:00:00"/>
    <d v="2025-05-31T00:00:00"/>
    <n v="0.28999999999999998"/>
    <n v="0.25"/>
    <n v="83.999999999999957"/>
    <n v="-609"/>
    <x v="15"/>
    <s v="Sell"/>
    <n v="-525"/>
    <x v="0"/>
    <x v="0"/>
    <n v="2025"/>
    <s v="Sell"/>
    <x v="0"/>
    <x v="513"/>
  </r>
  <r>
    <s v="HDO May 10-20 WTI+WTL"/>
    <d v="2025-02-07T00:00:00"/>
    <s v="WTI-Brent"/>
    <s v="Expo"/>
    <n v="-2100"/>
    <d v="2025-05-31T00:00:00"/>
    <d v="2025-05-31T00:00:00"/>
    <n v="-3.78"/>
    <n v="-3.26"/>
    <n v="-1092"/>
    <n v="7938"/>
    <x v="22"/>
    <s v="Sell"/>
    <n v="6846"/>
    <x v="1"/>
    <x v="3"/>
    <n v="2025"/>
    <s v="Sell"/>
    <x v="0"/>
    <x v="514"/>
  </r>
  <r>
    <s v="HDO May 10-20 WTI+WTL"/>
    <d v="2025-02-07T00:00:00"/>
    <s v="Brent Sprds"/>
    <s v="Expo"/>
    <n v="-1999"/>
    <d v="2025-05-31T00:00:00"/>
    <d v="2025-06-30T00:00:00"/>
    <n v="0.48"/>
    <n v="-0.03"/>
    <n v="1019.49"/>
    <n v="-959.52"/>
    <x v="16"/>
    <s v="Sell"/>
    <n v="59.97"/>
    <x v="0"/>
    <x v="2"/>
    <n v="2025"/>
    <s v="Sell"/>
    <x v="0"/>
    <x v="515"/>
  </r>
  <r>
    <s v="HDO May 10-20 WTI+WTL"/>
    <d v="2025-02-07T00:00:00"/>
    <s v="Brent Sprds"/>
    <s v="Expo"/>
    <n v="100"/>
    <d v="2025-06-30T00:00:00"/>
    <d v="2025-07-31T00:00:00"/>
    <n v="0.48"/>
    <n v="2.06"/>
    <n v="158"/>
    <n v="48"/>
    <x v="31"/>
    <s v="Buy"/>
    <n v="206"/>
    <x v="0"/>
    <x v="2"/>
    <n v="2025"/>
    <s v="Buy"/>
    <x v="0"/>
    <x v="516"/>
  </r>
  <r>
    <s v="HDO May 10-20 WTI+WTL"/>
    <d v="2025-02-07T00:00:00"/>
    <s v="WTI Sprds"/>
    <s v="Hedge"/>
    <n v="2100"/>
    <d v="2025-03-31T00:00:00"/>
    <d v="2025-04-30T00:00:00"/>
    <n v="0.26000000000000512"/>
    <n v="0.15"/>
    <n v="-231.00000000001074"/>
    <n v="546.00000000001069"/>
    <x v="14"/>
    <s v="Buy"/>
    <n v="315"/>
    <x v="0"/>
    <x v="0"/>
    <n v="2025"/>
    <s v="Buy"/>
    <x v="0"/>
    <x v="517"/>
  </r>
  <r>
    <s v="HDO May 10-20 WTI+WTL"/>
    <d v="2025-02-07T00:00:00"/>
    <s v="WTI Sprds"/>
    <s v="Hedge"/>
    <n v="2100"/>
    <d v="2025-04-30T00:00:00"/>
    <d v="2025-05-31T00:00:00"/>
    <n v="0.31999999999999318"/>
    <n v="0.25"/>
    <n v="-146.99999999998568"/>
    <n v="671.99999999998568"/>
    <x v="15"/>
    <s v="Buy"/>
    <n v="525"/>
    <x v="0"/>
    <x v="0"/>
    <n v="2025"/>
    <s v="Buy"/>
    <x v="0"/>
    <x v="518"/>
  </r>
  <r>
    <s v="HDO May 10-20 WTI+WTL"/>
    <d v="2025-02-07T00:00:00"/>
    <s v="WTI-Brent"/>
    <s v="Hedge"/>
    <n v="2100"/>
    <d v="2025-05-31T00:00:00"/>
    <d v="2025-05-31T00:00:00"/>
    <n v="-3.8400000000000034"/>
    <n v="-3.26"/>
    <n v="1218.0000000000075"/>
    <n v="-8064.0000000000073"/>
    <x v="22"/>
    <s v="Buy"/>
    <n v="-6846"/>
    <x v="1"/>
    <x v="3"/>
    <n v="2025"/>
    <s v="Buy"/>
    <x v="0"/>
    <x v="519"/>
  </r>
  <r>
    <s v="HDO May 10-20 WTI+WTL"/>
    <d v="2025-02-07T00:00:00"/>
    <s v="Brent Sprds"/>
    <s v="Hedge"/>
    <n v="2100"/>
    <d v="2025-05-31T00:00:00"/>
    <d v="2025-06-30T00:00:00"/>
    <n v="0.43000000000000682"/>
    <n v="-0.03"/>
    <n v="-966.00000000001432"/>
    <n v="903.00000000001432"/>
    <x v="16"/>
    <s v="Buy"/>
    <n v="-63"/>
    <x v="0"/>
    <x v="2"/>
    <n v="2025"/>
    <s v="Buy"/>
    <x v="0"/>
    <x v="520"/>
  </r>
  <r>
    <s v="HDO May 10-20 WTI+WTL"/>
    <d v="2025-02-07T00:00:00"/>
    <s v="MEH"/>
    <s v="Expo"/>
    <n v="-700"/>
    <d v="2025-03-31T00:00:00"/>
    <d v="2025-03-31T00:00:00"/>
    <n v="1.55"/>
    <n v="1.488909090909091"/>
    <n v="42.763636363636358"/>
    <n v="-1085"/>
    <x v="20"/>
    <s v="Sell"/>
    <n v="-1042.2363636363636"/>
    <x v="1"/>
    <x v="7"/>
    <n v="2025"/>
    <s v="Sell"/>
    <x v="0"/>
    <x v="521"/>
  </r>
  <r>
    <s v="Unallocated"/>
    <d v="2025-02-11T00:00:00"/>
    <s v="WTI Sprds-Fly"/>
    <s v="Hedge"/>
    <n v="300"/>
    <d v="2025-03-31T00:00:00"/>
    <d v="2025-04-30T00:00:00"/>
    <n v="0.24"/>
    <n v="0.15"/>
    <n v="-27"/>
    <n v="72"/>
    <x v="14"/>
    <s v="Buy"/>
    <n v="45"/>
    <x v="0"/>
    <x v="0"/>
    <n v="2025"/>
    <s v="Buy"/>
    <x v="0"/>
    <x v="522"/>
  </r>
  <r>
    <s v="Unallocated"/>
    <d v="2025-02-11T00:00:00"/>
    <s v="WTI Sprds-Fly"/>
    <s v="Hedge"/>
    <n v="-300"/>
    <d v="2025-04-30T00:00:00"/>
    <d v="2025-05-31T00:00:00"/>
    <n v="0.32"/>
    <n v="0.25"/>
    <n v="21.000000000000004"/>
    <n v="-96"/>
    <x v="15"/>
    <s v="Sell"/>
    <n v="-75"/>
    <x v="0"/>
    <x v="0"/>
    <n v="2025"/>
    <s v="Sell"/>
    <x v="0"/>
    <x v="523"/>
  </r>
  <r>
    <s v="Unallocated"/>
    <d v="2025-02-11T00:00:00"/>
    <s v="WTI-Brent"/>
    <s v="Hedge"/>
    <n v="71"/>
    <d v="2025-05-31T00:00:00"/>
    <d v="2025-05-31T00:00:00"/>
    <n v="-3.85"/>
    <n v="-3.26"/>
    <n v="41.890000000000022"/>
    <n v="-273.35000000000002"/>
    <x v="22"/>
    <s v="Buy"/>
    <n v="-231.45999999999998"/>
    <x v="1"/>
    <x v="3"/>
    <n v="2025"/>
    <s v="Buy"/>
    <x v="0"/>
    <x v="524"/>
  </r>
  <r>
    <s v="Unallocated"/>
    <d v="2025-02-12T00:00:00"/>
    <s v="WTI-Brent"/>
    <s v="Hedge"/>
    <n v="179"/>
    <d v="2025-05-31T00:00:00"/>
    <d v="2025-05-31T00:00:00"/>
    <n v="-3.85"/>
    <n v="-3.26"/>
    <n v="105.61000000000006"/>
    <n v="-689.15"/>
    <x v="22"/>
    <s v="Buy"/>
    <n v="-583.54"/>
    <x v="1"/>
    <x v="3"/>
    <n v="2025"/>
    <s v="Buy"/>
    <x v="0"/>
    <x v="525"/>
  </r>
  <r>
    <s v="Unallocated"/>
    <d v="2025-02-12T00:00:00"/>
    <s v="WTI-Brent"/>
    <s v="Hedge"/>
    <n v="50"/>
    <d v="2025-04-30T00:00:00"/>
    <d v="2025-04-30T00:00:00"/>
    <n v="-3.95"/>
    <n v="-3.42"/>
    <n v="26.500000000000014"/>
    <n v="-197.5"/>
    <x v="21"/>
    <s v="Buy"/>
    <n v="-171"/>
    <x v="1"/>
    <x v="3"/>
    <n v="2025"/>
    <s v="Buy"/>
    <x v="0"/>
    <x v="526"/>
  </r>
  <r>
    <s v="Unallocated"/>
    <d v="2025-02-13T00:00:00"/>
    <s v="WTI Sprds-Fly"/>
    <s v="Hedge"/>
    <n v="268"/>
    <d v="2025-03-31T00:00:00"/>
    <d v="2025-04-30T00:00:00"/>
    <n v="0.13"/>
    <n v="0.15"/>
    <n v="5.3599999999999977"/>
    <n v="34.840000000000003"/>
    <x v="14"/>
    <s v="Buy"/>
    <n v="40.199999999999996"/>
    <x v="0"/>
    <x v="0"/>
    <n v="2025"/>
    <s v="Buy"/>
    <x v="0"/>
    <x v="527"/>
  </r>
  <r>
    <s v="Unallocated"/>
    <d v="2025-02-13T00:00:00"/>
    <s v="WTI Sprds-Fly"/>
    <s v="Hedge"/>
    <n v="-268"/>
    <d v="2025-04-30T00:00:00"/>
    <d v="2025-05-31T00:00:00"/>
    <n v="0.23"/>
    <n v="0.25"/>
    <n v="-5.3599999999999977"/>
    <n v="-61.64"/>
    <x v="15"/>
    <s v="Sell"/>
    <n v="-67"/>
    <x v="0"/>
    <x v="0"/>
    <n v="2025"/>
    <s v="Sell"/>
    <x v="0"/>
    <x v="528"/>
  </r>
  <r>
    <s v="Unallocated"/>
    <d v="2025-02-13T00:00:00"/>
    <s v="WTI Sprds"/>
    <s v="Hedge"/>
    <n v="-500"/>
    <d v="2025-04-30T00:00:00"/>
    <d v="2025-05-31T00:00:00"/>
    <n v="0.28000000000000003"/>
    <n v="0.25"/>
    <n v="15.000000000000014"/>
    <n v="-140"/>
    <x v="15"/>
    <s v="Sell"/>
    <n v="-125"/>
    <x v="0"/>
    <x v="0"/>
    <n v="2025"/>
    <s v="Sell"/>
    <x v="0"/>
    <x v="529"/>
  </r>
  <r>
    <s v="Unallocated"/>
    <d v="2025-02-13T00:00:00"/>
    <s v="WTI Sprds"/>
    <s v="Hedge"/>
    <n v="-500"/>
    <d v="2025-05-31T00:00:00"/>
    <d v="2025-06-30T00:00:00"/>
    <n v="0.32"/>
    <n v="0.67"/>
    <n v="-175.00000000000003"/>
    <n v="-160"/>
    <x v="16"/>
    <s v="Sell"/>
    <n v="-335"/>
    <x v="0"/>
    <x v="0"/>
    <n v="2025"/>
    <s v="Sell"/>
    <x v="0"/>
    <x v="530"/>
  </r>
  <r>
    <s v="Unallocated"/>
    <d v="2025-02-14T00:00:00"/>
    <s v="WTI Sprds-Fly"/>
    <s v="Hedge"/>
    <n v="250"/>
    <d v="2025-03-31T00:00:00"/>
    <d v="2025-04-30T00:00:00"/>
    <n v="0.03"/>
    <n v="0.15"/>
    <n v="30"/>
    <n v="7.5"/>
    <x v="14"/>
    <s v="Buy"/>
    <n v="37.5"/>
    <x v="0"/>
    <x v="0"/>
    <n v="2025"/>
    <s v="Buy"/>
    <x v="0"/>
    <x v="531"/>
  </r>
  <r>
    <s v="Unallocated"/>
    <d v="2025-02-14T00:00:00"/>
    <s v="WTI Sprds-Fly"/>
    <s v="Hedge"/>
    <n v="-250"/>
    <d v="2025-04-30T00:00:00"/>
    <d v="2025-05-31T00:00:00"/>
    <n v="0.15"/>
    <n v="0.25"/>
    <n v="-25"/>
    <n v="-37.5"/>
    <x v="15"/>
    <s v="Sell"/>
    <n v="-62.5"/>
    <x v="0"/>
    <x v="0"/>
    <n v="2025"/>
    <s v="Sell"/>
    <x v="0"/>
    <x v="532"/>
  </r>
  <r>
    <s v="Unallocated"/>
    <d v="2025-02-14T00:00:00"/>
    <s v="WTI Sprds-Fly"/>
    <s v="Hedge"/>
    <n v="250"/>
    <d v="2025-03-31T00:00:00"/>
    <d v="2025-04-30T00:00:00"/>
    <n v="0.03"/>
    <n v="0.15"/>
    <n v="30"/>
    <n v="7.5"/>
    <x v="14"/>
    <s v="Buy"/>
    <n v="37.5"/>
    <x v="0"/>
    <x v="0"/>
    <n v="2025"/>
    <s v="Buy"/>
    <x v="0"/>
    <x v="533"/>
  </r>
  <r>
    <s v="Unallocated"/>
    <d v="2025-02-14T00:00:00"/>
    <s v="WTI Sprds-Fly"/>
    <s v="Hedge"/>
    <n v="-250"/>
    <d v="2025-04-30T00:00:00"/>
    <d v="2025-05-31T00:00:00"/>
    <n v="0.16"/>
    <n v="0.25"/>
    <n v="-22.5"/>
    <n v="-40"/>
    <x v="15"/>
    <s v="Sell"/>
    <n v="-62.5"/>
    <x v="0"/>
    <x v="0"/>
    <n v="2025"/>
    <s v="Sell"/>
    <x v="0"/>
    <x v="534"/>
  </r>
  <r>
    <s v="Unallocated"/>
    <d v="2025-02-14T00:00:00"/>
    <s v="WTI-Brent"/>
    <s v="Hedge"/>
    <n v="50"/>
    <d v="2025-04-30T00:00:00"/>
    <d v="2025-04-30T00:00:00"/>
    <n v="-3.97"/>
    <n v="-3.42"/>
    <n v="27.500000000000014"/>
    <n v="-198.5"/>
    <x v="21"/>
    <s v="Buy"/>
    <n v="-171"/>
    <x v="1"/>
    <x v="3"/>
    <n v="2025"/>
    <s v="Buy"/>
    <x v="0"/>
    <x v="535"/>
  </r>
  <r>
    <s v="Unallocated"/>
    <d v="2025-02-14T00:00:00"/>
    <s v="WTI-Brent"/>
    <s v="Hedge"/>
    <n v="50"/>
    <d v="2025-04-30T00:00:00"/>
    <d v="2025-04-30T00:00:00"/>
    <n v="-4.0199999999999996"/>
    <n v="-3.42"/>
    <n v="29.999999999999982"/>
    <n v="-200.99999999999997"/>
    <x v="21"/>
    <s v="Buy"/>
    <n v="-171"/>
    <x v="1"/>
    <x v="3"/>
    <n v="2025"/>
    <s v="Buy"/>
    <x v="0"/>
    <x v="536"/>
  </r>
  <r>
    <s v="Unallocated"/>
    <d v="2025-02-17T00:00:00"/>
    <s v="WTI-Brent"/>
    <s v="Hedge"/>
    <n v="50"/>
    <d v="2025-04-30T00:00:00"/>
    <d v="2025-04-30T00:00:00"/>
    <n v="-4.07"/>
    <n v="-3.42"/>
    <n v="32.500000000000014"/>
    <n v="-203.5"/>
    <x v="21"/>
    <s v="Buy"/>
    <n v="-171"/>
    <x v="1"/>
    <x v="3"/>
    <n v="2025"/>
    <s v="Buy"/>
    <x v="0"/>
    <x v="537"/>
  </r>
  <r>
    <s v="Unallocated"/>
    <d v="2025-02-17T00:00:00"/>
    <s v="WTI-Brent"/>
    <s v="Hedge"/>
    <n v="250"/>
    <d v="2025-05-31T00:00:00"/>
    <d v="2025-05-31T00:00:00"/>
    <n v="-3.9"/>
    <n v="-3.26"/>
    <n v="160.00000000000003"/>
    <n v="-975"/>
    <x v="22"/>
    <s v="Buy"/>
    <n v="-815"/>
    <x v="1"/>
    <x v="3"/>
    <n v="2025"/>
    <s v="Buy"/>
    <x v="0"/>
    <x v="538"/>
  </r>
  <r>
    <s v="Vitol FOB March Bookout"/>
    <d v="2025-02-18T00:00:00"/>
    <s v="Physical"/>
    <s v="Expo"/>
    <n v="700"/>
    <d v="2025-02-28T00:00:00"/>
    <d v="2025-02-28T00:00:00"/>
    <n v="-1.99"/>
    <n v="-1.9"/>
    <n v="63.000000000000057"/>
    <n v="-1393"/>
    <x v="19"/>
    <s v="Buy"/>
    <n v="-1330"/>
    <x v="2"/>
    <x v="4"/>
    <n v="2025"/>
    <s v="Buy"/>
    <x v="1"/>
    <x v="539"/>
  </r>
  <r>
    <s v="Vitol FOB March Bookout"/>
    <d v="2025-02-18T00:00:00"/>
    <s v="WTI Sprds"/>
    <s v="Expo"/>
    <n v="-700"/>
    <d v="2025-03-31T00:00:00"/>
    <d v="2025-04-30T00:00:00"/>
    <n v="0.01"/>
    <n v="0.15"/>
    <n v="-97.999999999999986"/>
    <n v="-7"/>
    <x v="14"/>
    <s v="Sell"/>
    <n v="-105"/>
    <x v="0"/>
    <x v="0"/>
    <n v="2025"/>
    <s v="Sell"/>
    <x v="0"/>
    <x v="540"/>
  </r>
  <r>
    <s v="Vitol FOB March Bookout"/>
    <d v="2025-02-18T00:00:00"/>
    <s v="WTI Sprds"/>
    <s v="Expo"/>
    <n v="-700"/>
    <d v="2025-04-30T00:00:00"/>
    <d v="2025-05-31T00:00:00"/>
    <n v="0.23"/>
    <n v="0.25"/>
    <n v="-13.999999999999993"/>
    <n v="-161"/>
    <x v="15"/>
    <s v="Sell"/>
    <n v="-175"/>
    <x v="0"/>
    <x v="0"/>
    <n v="2025"/>
    <s v="Sell"/>
    <x v="0"/>
    <x v="541"/>
  </r>
  <r>
    <s v="Vitol FOB March Bookout"/>
    <d v="2025-02-18T00:00:00"/>
    <s v="WTI-Brent"/>
    <s v="Expo"/>
    <n v="-700"/>
    <d v="2025-05-31T00:00:00"/>
    <d v="2025-05-31T00:00:00"/>
    <n v="-3.83"/>
    <n v="-3.26"/>
    <n v="-399.00000000000023"/>
    <n v="2681"/>
    <x v="22"/>
    <s v="Sell"/>
    <n v="2282"/>
    <x v="1"/>
    <x v="3"/>
    <n v="2025"/>
    <s v="Sell"/>
    <x v="0"/>
    <x v="542"/>
  </r>
  <r>
    <s v="Unallocated"/>
    <d v="2025-02-18T00:00:00"/>
    <s v="WTI Sprds"/>
    <s v="Hedge"/>
    <n v="650"/>
    <d v="2025-03-31T00:00:00"/>
    <d v="2025-04-30T00:00:00"/>
    <n v="0.03"/>
    <n v="0.15"/>
    <n v="78"/>
    <n v="19.5"/>
    <x v="14"/>
    <s v="Buy"/>
    <n v="97.5"/>
    <x v="0"/>
    <x v="0"/>
    <n v="2025"/>
    <s v="Buy"/>
    <x v="0"/>
    <x v="543"/>
  </r>
  <r>
    <s v="Unallocated"/>
    <d v="2025-02-18T00:00:00"/>
    <s v="Legacy 2024"/>
    <s v="Hedge"/>
    <n v="0"/>
    <d v="2024-12-31T00:00:00"/>
    <d v="2024-12-31T00:00:00"/>
    <m/>
    <m/>
    <n v="650"/>
    <n v="0"/>
    <x v="17"/>
    <s v="Buy"/>
    <n v="0"/>
    <x v="4"/>
    <x v="6"/>
    <n v="2024"/>
    <s v="Sell"/>
    <x v="0"/>
    <x v="544"/>
  </r>
  <r>
    <s v="Unallocated"/>
    <d v="2025-02-18T00:00:00"/>
    <s v="WTI Sprds"/>
    <s v="Hedge"/>
    <n v="50"/>
    <d v="2025-03-31T00:00:00"/>
    <d v="2025-04-30T00:00:00"/>
    <n v="0"/>
    <n v="0.15"/>
    <n v="7.5"/>
    <n v="0"/>
    <x v="14"/>
    <s v="Buy"/>
    <n v="7.5"/>
    <x v="0"/>
    <x v="0"/>
    <n v="2025"/>
    <s v="Buy"/>
    <x v="0"/>
    <x v="545"/>
  </r>
  <r>
    <s v="Unallocated"/>
    <d v="2025-02-19T00:00:00"/>
    <s v="WTI Sprds"/>
    <s v="Hedge"/>
    <n v="-500"/>
    <d v="2025-04-30T00:00:00"/>
    <d v="2025-05-31T00:00:00"/>
    <n v="0.25"/>
    <n v="0.25"/>
    <n v="0"/>
    <n v="-125"/>
    <x v="15"/>
    <s v="Sell"/>
    <n v="-125"/>
    <x v="0"/>
    <x v="0"/>
    <n v="2025"/>
    <s v="Sell"/>
    <x v="0"/>
    <x v="546"/>
  </r>
  <r>
    <s v="Unallocated"/>
    <d v="2025-02-25T00:00:00"/>
    <s v="Brent Sprds"/>
    <s v="Hedge"/>
    <n v="2000"/>
    <d v="2025-04-30T00:00:00"/>
    <d v="2025-05-31T00:00:00"/>
    <n v="0.48"/>
    <n v="0.37"/>
    <n v="-219.99999999999997"/>
    <n v="960"/>
    <x v="15"/>
    <s v="Buy"/>
    <n v="740"/>
    <x v="0"/>
    <x v="2"/>
    <n v="2025"/>
    <s v="Buy"/>
    <x v="0"/>
    <x v="547"/>
  </r>
  <r>
    <s v="Unallocated"/>
    <d v="2025-02-28T00:00:00"/>
    <s v="Brent Sprds"/>
    <s v="Expo"/>
    <n v="-253"/>
    <d v="2025-04-30T00:00:00"/>
    <d v="2025-05-31T00:00:00"/>
    <n v="0.48"/>
    <n v="0.37"/>
    <n v="27.83"/>
    <n v="-121.44"/>
    <x v="15"/>
    <s v="Sell"/>
    <n v="-93.61"/>
    <x v="0"/>
    <x v="2"/>
    <n v="2025"/>
    <s v="Sell"/>
    <x v="0"/>
    <x v="548"/>
  </r>
  <r>
    <s v="Unallocated"/>
    <d v="2025-03-03T00:00:00"/>
    <s v="CFD"/>
    <s v="Hedge"/>
    <n v="200"/>
    <s v="Mar03-Mar07"/>
    <d v="2025-01-31T00:00:00"/>
    <n v="1.1499999999999999"/>
    <n v="1.32"/>
    <n v="34.000000000000028"/>
    <n v="229.99999999999997"/>
    <x v="6"/>
    <s v="Buy"/>
    <n v="264"/>
    <x v="1"/>
    <x v="1"/>
    <n v="2025"/>
    <s v="Buy"/>
    <x v="0"/>
    <x v="549"/>
  </r>
  <r>
    <s v="Unallocated"/>
    <d v="2025-03-03T00:00:00"/>
    <s v="CFD"/>
    <s v="Hedge"/>
    <n v="-200"/>
    <s v="Mar17-Mar21"/>
    <d v="2025-01-31T00:00:00"/>
    <n v="0.7"/>
    <n v="0.54"/>
    <n v="31.999999999999986"/>
    <n v="-140"/>
    <x v="7"/>
    <s v="Sell"/>
    <n v="-108"/>
    <x v="1"/>
    <x v="1"/>
    <n v="2025"/>
    <s v="Sell"/>
    <x v="0"/>
    <x v="550"/>
  </r>
  <r>
    <s v="Unallocated"/>
    <d v="2025-03-03T00:00:00"/>
    <s v="WTI-Brent"/>
    <s v="Hedge"/>
    <n v="18"/>
    <d v="2025-04-30T00:00:00"/>
    <d v="2025-04-30T00:00:00"/>
    <n v="-3.42"/>
    <n v="-3.42"/>
    <n v="0"/>
    <n v="-61.56"/>
    <x v="21"/>
    <s v="Buy"/>
    <n v="-61.56"/>
    <x v="1"/>
    <x v="3"/>
    <n v="2025"/>
    <s v="Buy"/>
    <x v="0"/>
    <x v="551"/>
  </r>
  <r>
    <s v="Unallocated"/>
    <d v="2025-02-28T00:00:00"/>
    <s v="DFL"/>
    <s v="Hedge"/>
    <n v="-222"/>
    <d v="2025-02-28T00:00:00"/>
    <d v="2025-02-28T00:00:00"/>
    <n v="0.22"/>
    <n v="0.22"/>
    <n v="0"/>
    <n v="-48.84"/>
    <x v="19"/>
    <s v="Sell"/>
    <n v="-48.84"/>
    <x v="1"/>
    <x v="1"/>
    <n v="2025"/>
    <s v="Sell"/>
    <x v="0"/>
    <x v="552"/>
  </r>
  <r>
    <s v="Mitsui CIF Rotts Apr 16-30"/>
    <d v="2025-02-18T00:00:00"/>
    <s v="Physical"/>
    <s v="Expo"/>
    <n v="700"/>
    <d v="2025-02-28T00:00:00"/>
    <d v="2025-02-28T00:00:00"/>
    <n v="1.45"/>
    <n v="1.45"/>
    <n v="0"/>
    <n v="1015"/>
    <x v="19"/>
    <s v="Buy"/>
    <n v="1015"/>
    <x v="2"/>
    <x v="4"/>
    <n v="2025"/>
    <s v="Buy"/>
    <x v="1"/>
    <x v="553"/>
  </r>
  <r>
    <s v="Mitsui CIF Rotts Apr 16-30"/>
    <d v="2025-02-18T00:00:00"/>
    <s v="WTI Sprds"/>
    <s v="Expo"/>
    <n v="-700"/>
    <d v="2025-03-31T00:00:00"/>
    <d v="2025-04-30T00:00:00"/>
    <n v="0.01"/>
    <n v="0.15"/>
    <n v="-97.999999999999986"/>
    <n v="-7"/>
    <x v="14"/>
    <s v="Sell"/>
    <n v="-105"/>
    <x v="0"/>
    <x v="0"/>
    <n v="2025"/>
    <s v="Sell"/>
    <x v="0"/>
    <x v="554"/>
  </r>
  <r>
    <s v="Mitsui CIF Rotts Apr 16-30"/>
    <d v="2025-02-18T00:00:00"/>
    <s v="WTI Sprds"/>
    <s v="Hedge"/>
    <n v="350"/>
    <d v="2025-03-31T00:00:00"/>
    <d v="2025-04-30T00:00:00"/>
    <n v="0.03"/>
    <n v="0.15"/>
    <n v="42"/>
    <n v="10.5"/>
    <x v="14"/>
    <s v="Buy"/>
    <n v="52.5"/>
    <x v="0"/>
    <x v="0"/>
    <n v="2025"/>
    <s v="Buy"/>
    <x v="0"/>
    <x v="555"/>
  </r>
  <r>
    <s v="Mitsui CIF Rotts Apr 16-30"/>
    <d v="2025-02-18T00:00:00"/>
    <s v="WTI Sprds"/>
    <s v="Hedge"/>
    <n v="350"/>
    <d v="2025-03-31T00:00:00"/>
    <d v="2025-04-30T00:00:00"/>
    <n v="0.01"/>
    <n v="0.15"/>
    <n v="48.999999999999993"/>
    <n v="3.5"/>
    <x v="14"/>
    <s v="Buy"/>
    <n v="52.5"/>
    <x v="0"/>
    <x v="0"/>
    <n v="2025"/>
    <s v="Buy"/>
    <x v="0"/>
    <x v="556"/>
  </r>
  <r>
    <s v="Mitsui CIF Rotts Apr 16-30"/>
    <d v="2025-03-03T00:00:00"/>
    <s v="WTI Sprds"/>
    <s v="Expo"/>
    <n v="-700"/>
    <d v="2025-04-30T00:00:00"/>
    <d v="2025-05-31T00:00:00"/>
    <n v="0.32"/>
    <n v="0.25"/>
    <n v="49.000000000000007"/>
    <n v="-224"/>
    <x v="15"/>
    <s v="Sell"/>
    <n v="-175"/>
    <x v="0"/>
    <x v="0"/>
    <n v="2025"/>
    <s v="Sell"/>
    <x v="0"/>
    <x v="557"/>
  </r>
  <r>
    <s v="Mitsui CIF Rotts Apr 16-30"/>
    <d v="2025-03-03T00:00:00"/>
    <s v="WTI-Brent"/>
    <s v="Expo"/>
    <n v="-700"/>
    <d v="2025-05-31T00:00:00"/>
    <d v="2025-05-31T00:00:00"/>
    <n v="-3.55"/>
    <n v="-3.26"/>
    <n v="-203.00000000000003"/>
    <n v="2485"/>
    <x v="22"/>
    <s v="Sell"/>
    <n v="2282"/>
    <x v="1"/>
    <x v="3"/>
    <n v="2025"/>
    <s v="Sell"/>
    <x v="0"/>
    <x v="558"/>
  </r>
  <r>
    <s v="Mitsui CIF Rotts Apr 16-30"/>
    <d v="2025-03-03T00:00:00"/>
    <s v="Brent Sprds"/>
    <s v="Expo"/>
    <n v="-700"/>
    <d v="2025-05-31T00:00:00"/>
    <d v="2025-06-30T00:00:00"/>
    <n v="0.46"/>
    <n v="-0.03"/>
    <n v="343"/>
    <n v="-322"/>
    <x v="16"/>
    <s v="Sell"/>
    <n v="21"/>
    <x v="0"/>
    <x v="2"/>
    <n v="2025"/>
    <s v="Sell"/>
    <x v="0"/>
    <x v="559"/>
  </r>
  <r>
    <s v="Mitsui CIF Rotts Apr 16-30"/>
    <d v="2025-03-03T00:00:00"/>
    <s v="DFL"/>
    <s v="Expo"/>
    <n v="700"/>
    <d v="2025-04-30T00:00:00"/>
    <d v="2025-04-30T00:00:00"/>
    <n v="0.47"/>
    <n v="1.42"/>
    <n v="665"/>
    <n v="329"/>
    <x v="21"/>
    <s v="Buy"/>
    <n v="994"/>
    <x v="1"/>
    <x v="1"/>
    <n v="2025"/>
    <s v="Buy"/>
    <x v="0"/>
    <x v="560"/>
  </r>
  <r>
    <s v="Mitsui CIF Rotts Apr 16-30"/>
    <d v="2025-03-03T00:00:00"/>
    <s v="Freight-TD25"/>
    <s v="Expo"/>
    <n v="-700"/>
    <d v="2025-04-30T00:00:00"/>
    <d v="2025-04-30T00:00:00"/>
    <n v="138"/>
    <n v="138"/>
    <n v="0"/>
    <n v="-96600"/>
    <x v="21"/>
    <s v="Sell"/>
    <n v="-96600"/>
    <x v="3"/>
    <x v="5"/>
    <n v="2025"/>
    <s v="Sell"/>
    <x v="0"/>
    <x v="561"/>
  </r>
  <r>
    <s v="Mitsui CIF Rotts Apr 16-30"/>
    <d v="2025-03-03T00:00:00"/>
    <s v="Freight-TD25"/>
    <s v="Hedge"/>
    <n v="700"/>
    <d v="2025-04-30T00:00:00"/>
    <d v="2025-04-30T00:00:00"/>
    <n v="137.5"/>
    <n v="138"/>
    <n v="7"/>
    <n v="96250"/>
    <x v="21"/>
    <s v="Buy"/>
    <n v="96600"/>
    <x v="3"/>
    <x v="5"/>
    <n v="2025"/>
    <s v="Buy"/>
    <x v="0"/>
    <x v="562"/>
  </r>
  <r>
    <s v="Unallocated"/>
    <d v="2025-02-28T00:00:00"/>
    <s v="Freight-TD7"/>
    <s v="Hedge"/>
    <n v="-2800"/>
    <d v="2025-02-28T00:00:00"/>
    <d v="2025-02-28T00:00:00"/>
    <n v="109.1"/>
    <n v="109"/>
    <n v="-1.3999999999999204"/>
    <n v="-305480"/>
    <x v="19"/>
    <s v="Sell"/>
    <n v="-305200"/>
    <x v="3"/>
    <x v="5"/>
    <n v="2025"/>
    <s v="Sell"/>
    <x v="0"/>
    <x v="563"/>
  </r>
  <r>
    <s v="HDO May 10-20 WTI+WTL"/>
    <d v="2025-02-07T00:00:00"/>
    <s v="MEH"/>
    <s v="Expo"/>
    <n v="700"/>
    <d v="2025-03-31T00:00:00"/>
    <d v="2025-03-31T00:00:00"/>
    <n v="1.51"/>
    <n v="1.488909090909091"/>
    <n v="-14.763636363636333"/>
    <n v="1057"/>
    <x v="20"/>
    <s v="Buy"/>
    <n v="1042.2363636363636"/>
    <x v="1"/>
    <x v="7"/>
    <n v="2025"/>
    <s v="Buy"/>
    <x v="0"/>
    <x v="564"/>
  </r>
  <r>
    <s v="FOB BP March 15-16 Epic"/>
    <d v="2025-02-18T00:00:00"/>
    <s v="Physical"/>
    <s v="Expo"/>
    <n v="685"/>
    <d v="2025-02-28T00:00:00"/>
    <d v="2025-02-28T00:00:00"/>
    <n v="-0.91999999999999993"/>
    <n v="-0.55000000000000004"/>
    <n v="253.44999999999993"/>
    <n v="-630.19999999999993"/>
    <x v="19"/>
    <s v="Buy"/>
    <n v="-376.75000000000006"/>
    <x v="2"/>
    <x v="4"/>
    <n v="2025"/>
    <s v="Buy"/>
    <x v="1"/>
    <x v="565"/>
  </r>
  <r>
    <s v="FOB BP March 15-16 Epic"/>
    <d v="2025-02-18T00:00:00"/>
    <s v="WTI Sprds"/>
    <s v="Expo"/>
    <n v="700"/>
    <d v="2025-03-31T00:00:00"/>
    <d v="2025-04-30T00:00:00"/>
    <n v="0.01"/>
    <n v="0.15"/>
    <n v="97.999999999999986"/>
    <n v="7"/>
    <x v="14"/>
    <s v="Buy"/>
    <n v="105"/>
    <x v="0"/>
    <x v="0"/>
    <n v="2025"/>
    <s v="Buy"/>
    <x v="0"/>
    <x v="566"/>
  </r>
  <r>
    <s v="FOB BP March 15-16 Epic"/>
    <d v="2025-02-18T00:00:00"/>
    <s v="WTI Sprds"/>
    <s v="Hedge"/>
    <n v="-700"/>
    <d v="2025-03-31T00:00:00"/>
    <d v="2025-04-30T00:00:00"/>
    <n v="0.01"/>
    <n v="0.15"/>
    <n v="-97.999999999999986"/>
    <n v="-7"/>
    <x v="14"/>
    <s v="Sell"/>
    <n v="-105"/>
    <x v="0"/>
    <x v="0"/>
    <n v="2025"/>
    <s v="Sell"/>
    <x v="0"/>
    <x v="567"/>
  </r>
  <r>
    <s v="FOB BP March 15-16 Epic"/>
    <d v="2025-03-04T00:00:00"/>
    <s v="WTI Sprds"/>
    <s v="Expo"/>
    <n v="-685"/>
    <d v="2025-04-30T00:00:00"/>
    <d v="2025-05-31T00:00:00"/>
    <n v="0.47"/>
    <n v="0.25"/>
    <n v="150.69999999999999"/>
    <n v="-321.95"/>
    <x v="15"/>
    <s v="Sell"/>
    <n v="-171.25"/>
    <x v="0"/>
    <x v="0"/>
    <n v="2025"/>
    <s v="Sell"/>
    <x v="0"/>
    <x v="568"/>
  </r>
  <r>
    <s v="FOB BP March 15-16 Epic"/>
    <d v="2025-03-04T00:00:00"/>
    <s v="WTI Sprds"/>
    <s v="Expo"/>
    <n v="-685"/>
    <d v="2025-05-31T00:00:00"/>
    <d v="2025-06-30T00:00:00"/>
    <n v="0.44"/>
    <n v="0.67"/>
    <n v="-157.55000000000004"/>
    <n v="-301.39999999999998"/>
    <x v="16"/>
    <s v="Sell"/>
    <n v="-458.95000000000005"/>
    <x v="0"/>
    <x v="0"/>
    <n v="2025"/>
    <s v="Sell"/>
    <x v="0"/>
    <x v="569"/>
  </r>
  <r>
    <s v="FOB BP March 15-16 Epic"/>
    <d v="2025-03-04T00:00:00"/>
    <s v="WTI-Brent"/>
    <s v="Expo"/>
    <n v="-685"/>
    <d v="2025-06-30T00:00:00"/>
    <d v="2025-06-30T00:00:00"/>
    <n v="-3.4"/>
    <n v="-4.91"/>
    <n v="1034.3500000000001"/>
    <n v="2329"/>
    <x v="30"/>
    <s v="Sell"/>
    <n v="3363.35"/>
    <x v="1"/>
    <x v="3"/>
    <n v="2025"/>
    <s v="Sell"/>
    <x v="0"/>
    <x v="570"/>
  </r>
  <r>
    <s v="Mitsui CIF Rotts Apr 16-30"/>
    <d v="2025-03-03T00:00:00"/>
    <s v="DFL"/>
    <s v="Hedge"/>
    <n v="-700"/>
    <d v="2025-04-30T00:00:00"/>
    <d v="2025-04-30T00:00:00"/>
    <n v="0.37"/>
    <n v="1.42"/>
    <n v="-734.99999999999989"/>
    <n v="-259"/>
    <x v="21"/>
    <s v="Sell"/>
    <n v="-994"/>
    <x v="1"/>
    <x v="1"/>
    <n v="2025"/>
    <s v="Sell"/>
    <x v="0"/>
    <x v="571"/>
  </r>
  <r>
    <s v="EXTAP CIF Rotts Apr 20-24"/>
    <d v="2025-02-18T00:00:00"/>
    <s v="Physical"/>
    <s v="Expo"/>
    <n v="2100"/>
    <d v="2025-02-28T00:00:00"/>
    <d v="2025-02-28T00:00:00"/>
    <n v="0.44095238095238093"/>
    <n v="0.45"/>
    <n v="19.000000000000071"/>
    <n v="926"/>
    <x v="19"/>
    <s v="Buy"/>
    <n v="945"/>
    <x v="2"/>
    <x v="4"/>
    <n v="2025"/>
    <s v="Buy"/>
    <x v="1"/>
    <x v="572"/>
  </r>
  <r>
    <s v="EXTAP CIF Rotts Apr 20-24"/>
    <d v="2025-02-18T00:00:00"/>
    <s v="WTI Sprds"/>
    <s v="Expo"/>
    <n v="-2100"/>
    <d v="2025-03-31T00:00:00"/>
    <d v="2025-04-30T00:00:00"/>
    <n v="0.01"/>
    <n v="0.15"/>
    <n v="-293.99999999999994"/>
    <n v="-21"/>
    <x v="14"/>
    <s v="Sell"/>
    <n v="-315"/>
    <x v="0"/>
    <x v="0"/>
    <n v="2025"/>
    <s v="Sell"/>
    <x v="0"/>
    <x v="573"/>
  </r>
  <r>
    <s v="EXTAP CIF Rotts Apr 20-24"/>
    <d v="2025-02-18T00:00:00"/>
    <s v="WTI Sprds"/>
    <s v="Hedge"/>
    <n v="372"/>
    <d v="2025-03-31T00:00:00"/>
    <d v="2025-04-30T00:00:00"/>
    <n v="0.15"/>
    <n v="0.15"/>
    <n v="0"/>
    <n v="55.8"/>
    <x v="14"/>
    <s v="Buy"/>
    <n v="55.8"/>
    <x v="0"/>
    <x v="0"/>
    <n v="2025"/>
    <s v="Buy"/>
    <x v="0"/>
    <x v="574"/>
  </r>
  <r>
    <s v="EXTAP CIF Rotts Apr 20-24"/>
    <d v="2025-02-18T00:00:00"/>
    <s v="WTI Sprds"/>
    <s v="Hedge"/>
    <n v="1728"/>
    <d v="2025-03-31T00:00:00"/>
    <d v="2025-04-30T00:00:00"/>
    <n v="0.15"/>
    <n v="0.15"/>
    <n v="0"/>
    <n v="259.2"/>
    <x v="14"/>
    <s v="Buy"/>
    <n v="259.2"/>
    <x v="0"/>
    <x v="0"/>
    <n v="2025"/>
    <s v="Buy"/>
    <x v="0"/>
    <x v="575"/>
  </r>
  <r>
    <s v="EXTAP CIF Rotts Apr 20-24"/>
    <d v="2025-03-05T00:00:00"/>
    <s v="WTI Sprds"/>
    <s v="Expo"/>
    <n v="-2100"/>
    <d v="2025-04-30T00:00:00"/>
    <d v="2025-05-31T00:00:00"/>
    <n v="0.39"/>
    <n v="0.25"/>
    <n v="294"/>
    <n v="-819"/>
    <x v="15"/>
    <s v="Sell"/>
    <n v="-525"/>
    <x v="0"/>
    <x v="0"/>
    <n v="2025"/>
    <s v="Sell"/>
    <x v="0"/>
    <x v="576"/>
  </r>
  <r>
    <s v="EXTAP CIF Rotts Apr 20-24"/>
    <d v="2025-03-05T00:00:00"/>
    <s v="WTI Sprds"/>
    <s v="Expo"/>
    <n v="-2100"/>
    <d v="2025-05-31T00:00:00"/>
    <d v="2025-06-30T00:00:00"/>
    <n v="0.39"/>
    <n v="0.67"/>
    <n v="-588"/>
    <n v="-819"/>
    <x v="16"/>
    <s v="Sell"/>
    <n v="-1407"/>
    <x v="0"/>
    <x v="0"/>
    <n v="2025"/>
    <s v="Sell"/>
    <x v="0"/>
    <x v="577"/>
  </r>
  <r>
    <s v="EXTAP CIF Rotts Apr 20-24"/>
    <d v="2025-03-05T00:00:00"/>
    <s v="WTI-Brent"/>
    <s v="Expo"/>
    <n v="-2100"/>
    <d v="2025-06-30T00:00:00"/>
    <d v="2025-06-30T00:00:00"/>
    <n v="-3.42"/>
    <n v="-4.91"/>
    <n v="3129.0000000000005"/>
    <n v="7182"/>
    <x v="30"/>
    <s v="Sell"/>
    <n v="10311"/>
    <x v="1"/>
    <x v="3"/>
    <n v="2025"/>
    <s v="Sell"/>
    <x v="0"/>
    <x v="578"/>
  </r>
  <r>
    <s v="EXTAP CIF Rotts Apr 20-24"/>
    <d v="2025-03-05T00:00:00"/>
    <s v="DFL"/>
    <s v="Expo"/>
    <n v="2100"/>
    <d v="2025-04-30T00:00:00"/>
    <d v="2025-04-30T00:00:00"/>
    <n v="0.45"/>
    <n v="1.42"/>
    <n v="2037"/>
    <n v="945"/>
    <x v="21"/>
    <s v="Buy"/>
    <n v="2982"/>
    <x v="1"/>
    <x v="1"/>
    <n v="2025"/>
    <s v="Buy"/>
    <x v="0"/>
    <x v="579"/>
  </r>
  <r>
    <s v="EXTAP CIF Rotts Apr 20-24"/>
    <d v="2025-03-05T00:00:00"/>
    <s v="DFL"/>
    <s v="Hedge"/>
    <n v="-1700"/>
    <d v="2025-04-30T00:00:00"/>
    <d v="2025-04-30T00:00:00"/>
    <n v="0.45130999999999999"/>
    <n v="1.42"/>
    <n v="-1646.7729999999999"/>
    <n v="-767.22699999999998"/>
    <x v="21"/>
    <s v="Sell"/>
    <n v="-2414"/>
    <x v="1"/>
    <x v="1"/>
    <n v="2025"/>
    <s v="Sell"/>
    <x v="0"/>
    <x v="580"/>
  </r>
  <r>
    <s v="EXTAP CIF Rotts Apr 20-24"/>
    <d v="2025-03-05T00:00:00"/>
    <s v="WTI Sprds"/>
    <s v="Hedge"/>
    <n v="600"/>
    <d v="2025-04-30T00:00:00"/>
    <d v="2025-05-31T00:00:00"/>
    <n v="0.37"/>
    <n v="0.25"/>
    <n v="-72"/>
    <n v="222"/>
    <x v="15"/>
    <s v="Buy"/>
    <n v="150"/>
    <x v="0"/>
    <x v="0"/>
    <n v="2025"/>
    <s v="Buy"/>
    <x v="0"/>
    <x v="581"/>
  </r>
  <r>
    <s v="EXTAP CIF Rotts Apr 20-24"/>
    <d v="2025-03-05T00:00:00"/>
    <s v="WTI Sprds"/>
    <s v="Hedge"/>
    <n v="600"/>
    <d v="2025-05-31T00:00:00"/>
    <d v="2025-06-30T00:00:00"/>
    <n v="0.38"/>
    <n v="0.67"/>
    <n v="174.00000000000003"/>
    <n v="228"/>
    <x v="16"/>
    <s v="Buy"/>
    <n v="402"/>
    <x v="0"/>
    <x v="0"/>
    <n v="2025"/>
    <s v="Buy"/>
    <x v="0"/>
    <x v="582"/>
  </r>
  <r>
    <s v="EXTAP CIF Rotts Apr 20-24"/>
    <d v="2025-03-05T00:00:00"/>
    <s v="WTI Sprds"/>
    <s v="Hedge"/>
    <n v="600"/>
    <d v="2025-04-30T00:00:00"/>
    <d v="2025-05-31T00:00:00"/>
    <n v="0.36"/>
    <n v="0.25"/>
    <n v="-65.999999999999986"/>
    <n v="216"/>
    <x v="15"/>
    <s v="Buy"/>
    <n v="150"/>
    <x v="0"/>
    <x v="0"/>
    <n v="2025"/>
    <s v="Buy"/>
    <x v="0"/>
    <x v="583"/>
  </r>
  <r>
    <s v="EXTAP CIF Rotts Apr 20-24"/>
    <d v="2025-03-05T00:00:00"/>
    <s v="WTI Sprds"/>
    <s v="Hedge"/>
    <n v="600"/>
    <d v="2025-05-31T00:00:00"/>
    <d v="2025-06-30T00:00:00"/>
    <n v="0.37"/>
    <n v="0.67"/>
    <n v="180.00000000000003"/>
    <n v="222"/>
    <x v="16"/>
    <s v="Buy"/>
    <n v="402"/>
    <x v="0"/>
    <x v="0"/>
    <n v="2025"/>
    <s v="Buy"/>
    <x v="0"/>
    <x v="584"/>
  </r>
  <r>
    <s v="EXTAP CIF Rotts Apr 20-24"/>
    <d v="2025-03-05T00:00:00"/>
    <s v="WTI-Brent"/>
    <s v="Hedge"/>
    <n v="500"/>
    <d v="2025-07-31T00:00:00"/>
    <d v="2025-07-31T00:00:00"/>
    <n v="-3.46"/>
    <n v="-3.11"/>
    <n v="175.00000000000006"/>
    <n v="-1730"/>
    <x v="32"/>
    <s v="Buy"/>
    <n v="-1555"/>
    <x v="1"/>
    <x v="3"/>
    <n v="2025"/>
    <s v="Buy"/>
    <x v="0"/>
    <x v="585"/>
  </r>
  <r>
    <s v="EXTAP CIF Rotts Apr 20-24"/>
    <d v="2025-03-05T00:00:00"/>
    <s v="WTI Sprds"/>
    <s v="Hedge"/>
    <n v="1600"/>
    <d v="2025-04-30T00:00:00"/>
    <d v="2025-05-31T00:00:00"/>
    <n v="0.40000000000000568"/>
    <n v="0.25"/>
    <n v="-240.00000000000909"/>
    <n v="640.00000000000909"/>
    <x v="15"/>
    <s v="Buy"/>
    <n v="400"/>
    <x v="0"/>
    <x v="0"/>
    <n v="2025"/>
    <s v="Buy"/>
    <x v="0"/>
    <x v="586"/>
  </r>
  <r>
    <s v="EXTAP CIF Rotts Apr 20-24"/>
    <d v="2025-03-05T00:00:00"/>
    <s v="WTI Sprds"/>
    <s v="Hedge"/>
    <n v="1600"/>
    <d v="2025-05-31T00:00:00"/>
    <d v="2025-06-30T00:00:00"/>
    <n v="0.39000000000000057"/>
    <n v="0.67"/>
    <n v="447.99999999999915"/>
    <n v="624.00000000000091"/>
    <x v="16"/>
    <s v="Buy"/>
    <n v="1072"/>
    <x v="0"/>
    <x v="0"/>
    <n v="2025"/>
    <s v="Buy"/>
    <x v="0"/>
    <x v="587"/>
  </r>
  <r>
    <s v="EXTAP CIF Rotts Apr 20-24"/>
    <d v="2025-03-05T00:00:00"/>
    <s v="WTI-Brent"/>
    <s v="Hedge"/>
    <n v="1600"/>
    <d v="2025-06-30T00:00:00"/>
    <d v="2025-06-30T00:00:00"/>
    <n v="-3.3800000000000097"/>
    <n v="-4.91"/>
    <n v="-2447.9999999999845"/>
    <n v="-5408.0000000000155"/>
    <x v="30"/>
    <s v="Buy"/>
    <n v="-7856"/>
    <x v="1"/>
    <x v="3"/>
    <n v="2025"/>
    <s v="Buy"/>
    <x v="0"/>
    <x v="588"/>
  </r>
  <r>
    <s v="EXTAP CIF Rotts Apr 20-24"/>
    <d v="2025-03-06T00:00:00"/>
    <s v="WTI Sprds"/>
    <s v="Hedge"/>
    <n v="500"/>
    <d v="2025-04-30T00:00:00"/>
    <d v="2025-05-31T00:00:00"/>
    <n v="0.34"/>
    <n v="0.25"/>
    <n v="-45.000000000000014"/>
    <n v="170"/>
    <x v="15"/>
    <s v="Buy"/>
    <n v="125"/>
    <x v="0"/>
    <x v="0"/>
    <n v="2025"/>
    <s v="Buy"/>
    <x v="0"/>
    <x v="589"/>
  </r>
  <r>
    <s v="EXTAP CIF Rotts Apr 20-24"/>
    <d v="2025-03-06T00:00:00"/>
    <s v="WTI Sprds"/>
    <s v="Hedge"/>
    <n v="500"/>
    <d v="2025-05-31T00:00:00"/>
    <d v="2025-06-30T00:00:00"/>
    <n v="0.39"/>
    <n v="0.67"/>
    <n v="140"/>
    <n v="195"/>
    <x v="16"/>
    <s v="Buy"/>
    <n v="335"/>
    <x v="0"/>
    <x v="0"/>
    <n v="2025"/>
    <s v="Buy"/>
    <x v="0"/>
    <x v="590"/>
  </r>
  <r>
    <s v="EXTAP CIF Rotts Apr 20-24"/>
    <d v="2025-03-06T00:00:00"/>
    <s v="DFL"/>
    <s v="Hedge"/>
    <n v="-500"/>
    <d v="2025-04-30T00:00:00"/>
    <d v="2025-04-30T00:00:00"/>
    <n v="0.48499999999999999"/>
    <n v="1.42"/>
    <n v="-467.49999999999994"/>
    <n v="-242.5"/>
    <x v="21"/>
    <s v="Sell"/>
    <n v="-710"/>
    <x v="1"/>
    <x v="1"/>
    <n v="2025"/>
    <s v="Sell"/>
    <x v="0"/>
    <x v="591"/>
  </r>
  <r>
    <s v="EXTAP CIF Rotts Apr 20-24"/>
    <d v="2025-03-06T00:00:00"/>
    <s v="WTI Sprds"/>
    <s v="Hedge"/>
    <n v="500"/>
    <d v="2025-04-30T00:00:00"/>
    <d v="2025-05-31T00:00:00"/>
    <n v="0.34"/>
    <n v="0.25"/>
    <n v="-45.000000000000014"/>
    <n v="170"/>
    <x v="15"/>
    <s v="Buy"/>
    <n v="125"/>
    <x v="0"/>
    <x v="0"/>
    <n v="2025"/>
    <s v="Buy"/>
    <x v="0"/>
    <x v="592"/>
  </r>
  <r>
    <s v="EXTAP CIF Rotts Apr 20-24"/>
    <d v="2025-03-06T00:00:00"/>
    <s v="WTI Sprds"/>
    <s v="Hedge"/>
    <n v="500"/>
    <d v="2025-05-31T00:00:00"/>
    <d v="2025-06-30T00:00:00"/>
    <n v="0.39"/>
    <n v="0.67"/>
    <n v="140"/>
    <n v="195"/>
    <x v="16"/>
    <s v="Buy"/>
    <n v="335"/>
    <x v="0"/>
    <x v="0"/>
    <n v="2025"/>
    <s v="Buy"/>
    <x v="0"/>
    <x v="593"/>
  </r>
  <r>
    <s v="Unallocated"/>
    <d v="2025-03-07T00:00:00"/>
    <s v="WTI-Brent"/>
    <s v="Hedge"/>
    <n v="250"/>
    <d v="2025-05-31T00:00:00"/>
    <d v="2025-05-31T00:00:00"/>
    <n v="-3.5"/>
    <n v="-3.26"/>
    <n v="60.000000000000057"/>
    <n v="-875"/>
    <x v="22"/>
    <s v="Buy"/>
    <n v="-815"/>
    <x v="1"/>
    <x v="3"/>
    <n v="2025"/>
    <s v="Buy"/>
    <x v="0"/>
    <x v="594"/>
  </r>
  <r>
    <s v="Unallocated"/>
    <d v="2025-03-07T00:00:00"/>
    <s v="WTI-Brent"/>
    <s v="Hedge"/>
    <n v="250"/>
    <d v="2025-05-31T00:00:00"/>
    <d v="2025-05-31T00:00:00"/>
    <n v="-3.51"/>
    <n v="-3.26"/>
    <n v="62.5"/>
    <n v="-877.5"/>
    <x v="22"/>
    <s v="Buy"/>
    <n v="-815"/>
    <x v="1"/>
    <x v="3"/>
    <n v="2025"/>
    <s v="Buy"/>
    <x v="0"/>
    <x v="595"/>
  </r>
  <r>
    <s v="Unallocated"/>
    <d v="2025-03-07T00:00:00"/>
    <s v="WTI-Brent"/>
    <s v="Hedge"/>
    <n v="250"/>
    <d v="2025-05-31T00:00:00"/>
    <d v="2025-05-31T00:00:00"/>
    <n v="-3.52"/>
    <n v="-3.26"/>
    <n v="65.000000000000057"/>
    <n v="-880"/>
    <x v="22"/>
    <s v="Buy"/>
    <n v="-815"/>
    <x v="1"/>
    <x v="3"/>
    <n v="2025"/>
    <s v="Buy"/>
    <x v="0"/>
    <x v="596"/>
  </r>
  <r>
    <s v="Unallocated"/>
    <d v="2025-03-07T00:00:00"/>
    <s v="WTI-Brent"/>
    <s v="Hedge"/>
    <n v="250"/>
    <d v="2025-05-31T00:00:00"/>
    <d v="2025-05-31T00:00:00"/>
    <n v="-3.53"/>
    <n v="-3.26"/>
    <n v="67.5"/>
    <n v="-882.5"/>
    <x v="22"/>
    <s v="Buy"/>
    <n v="-815"/>
    <x v="1"/>
    <x v="3"/>
    <n v="2025"/>
    <s v="Buy"/>
    <x v="0"/>
    <x v="597"/>
  </r>
  <r>
    <s v="Unallocated"/>
    <d v="2025-03-07T00:00:00"/>
    <s v="WTI-Brent"/>
    <s v="Hedge"/>
    <n v="250"/>
    <d v="2025-05-31T00:00:00"/>
    <d v="2025-05-31T00:00:00"/>
    <n v="-3.55"/>
    <n v="-3.26"/>
    <n v="72.500000000000014"/>
    <n v="-887.5"/>
    <x v="22"/>
    <s v="Buy"/>
    <n v="-815"/>
    <x v="1"/>
    <x v="3"/>
    <n v="2025"/>
    <s v="Buy"/>
    <x v="0"/>
    <x v="598"/>
  </r>
  <r>
    <s v="HDO June DAP 5-15 WTI+WTL"/>
    <d v="2025-03-07T00:00:00"/>
    <s v="Freight-TD22"/>
    <s v="Expo"/>
    <n v="-2000"/>
    <d v="2025-04-30T00:00:00"/>
    <d v="2025-04-30T00:00:00"/>
    <n v="7300"/>
    <n v="7300"/>
    <n v="0"/>
    <n v="-14600000"/>
    <x v="21"/>
    <s v="Sell"/>
    <n v="-14600000"/>
    <x v="3"/>
    <x v="5"/>
    <n v="2025"/>
    <s v="Sell"/>
    <x v="0"/>
    <x v="599"/>
  </r>
  <r>
    <s v="HDO June DAP 5-15 WTI+WTL"/>
    <d v="2025-03-07T00:00:00"/>
    <s v="Freight-TD22"/>
    <s v="Expo"/>
    <n v="2000"/>
    <d v="2025-04-30T00:00:00"/>
    <d v="2025-04-30T00:00:00"/>
    <n v="7300"/>
    <n v="7300"/>
    <n v="0"/>
    <n v="14600000"/>
    <x v="21"/>
    <s v="Buy"/>
    <n v="14600000"/>
    <x v="3"/>
    <x v="5"/>
    <n v="2025"/>
    <s v="Buy"/>
    <x v="0"/>
    <x v="600"/>
  </r>
  <r>
    <s v="HDO June DAP 5-15 WTI+WTL"/>
    <d v="2025-03-07T00:00:00"/>
    <s v="Physical"/>
    <s v="Expo"/>
    <n v="1400"/>
    <d v="2025-03-31T00:00:00"/>
    <d v="2025-03-31T00:00:00"/>
    <n v="3.6555301211162043"/>
    <n v="3.98"/>
    <n v="454.2578304373136"/>
    <n v="125.07997716895008"/>
    <x v="20"/>
    <s v="Buy"/>
    <n v="579.33780760626371"/>
    <x v="2"/>
    <x v="4"/>
    <n v="2025"/>
    <s v="Buy"/>
    <x v="1"/>
    <x v="601"/>
  </r>
  <r>
    <s v="HDO June DAP 5-15 WTI+WTL"/>
    <d v="2025-03-07T00:00:00"/>
    <s v="Physical"/>
    <s v="Expo"/>
    <n v="700"/>
    <d v="2025-03-31T00:00:00"/>
    <d v="2025-03-31T00:00:00"/>
    <n v="3.2355301211162044"/>
    <n v="3.68"/>
    <n v="311.12891521865686"/>
    <n v="-231.46001141552489"/>
    <x v="20"/>
    <s v="Buy"/>
    <n v="79.668903803131968"/>
    <x v="2"/>
    <x v="4"/>
    <n v="2025"/>
    <s v="Buy"/>
    <x v="1"/>
    <x v="602"/>
  </r>
  <r>
    <s v="HDO June DAP 5-15 WTI+WTL"/>
    <d v="2025-03-07T00:00:00"/>
    <s v="WTI Sprds"/>
    <s v="Expo"/>
    <n v="-1400"/>
    <d v="2025-04-30T00:00:00"/>
    <d v="2025-05-31T00:00:00"/>
    <n v="0.37"/>
    <n v="0.25"/>
    <n v="168"/>
    <n v="-518"/>
    <x v="15"/>
    <s v="Sell"/>
    <n v="-350"/>
    <x v="0"/>
    <x v="0"/>
    <n v="2025"/>
    <s v="Sell"/>
    <x v="0"/>
    <x v="603"/>
  </r>
  <r>
    <s v="HDO June DAP 5-15 WTI+WTL"/>
    <d v="2025-03-07T00:00:00"/>
    <s v="WTI Sprds"/>
    <s v="Expo"/>
    <n v="-1400"/>
    <d v="2025-05-31T00:00:00"/>
    <d v="2025-06-30T00:00:00"/>
    <n v="0.43"/>
    <n v="0.67"/>
    <n v="-336.00000000000006"/>
    <n v="-602"/>
    <x v="16"/>
    <s v="Sell"/>
    <n v="-938"/>
    <x v="0"/>
    <x v="0"/>
    <n v="2025"/>
    <s v="Sell"/>
    <x v="0"/>
    <x v="604"/>
  </r>
  <r>
    <s v="HDO June DAP 5-15 WTI+WTL"/>
    <d v="2025-03-07T00:00:00"/>
    <s v="WTI-Brent"/>
    <s v="Expo"/>
    <n v="-1400"/>
    <d v="2025-06-30T00:00:00"/>
    <d v="2025-06-30T00:00:00"/>
    <n v="-3.48"/>
    <n v="-4.91"/>
    <n v="2002.0000000000002"/>
    <n v="4872"/>
    <x v="30"/>
    <s v="Sell"/>
    <n v="6874"/>
    <x v="1"/>
    <x v="3"/>
    <n v="2025"/>
    <s v="Sell"/>
    <x v="0"/>
    <x v="605"/>
  </r>
  <r>
    <s v="HDO June DAP 5-15 WTI+WTL"/>
    <d v="2025-03-07T00:00:00"/>
    <s v="Brent Sprds"/>
    <s v="Expo"/>
    <n v="-2100"/>
    <d v="2025-06-30T00:00:00"/>
    <d v="2025-07-31T00:00:00"/>
    <n v="0.46"/>
    <n v="2.06"/>
    <n v="-3360"/>
    <n v="-966"/>
    <x v="31"/>
    <s v="Sell"/>
    <n v="-4326"/>
    <x v="0"/>
    <x v="2"/>
    <n v="2025"/>
    <s v="Sell"/>
    <x v="0"/>
    <x v="606"/>
  </r>
  <r>
    <s v="HDO June DAP 5-15 WTI+WTL"/>
    <d v="2025-03-07T00:00:00"/>
    <s v="WTI-Brent"/>
    <s v="Hedge"/>
    <n v="500"/>
    <d v="2025-06-30T00:00:00"/>
    <d v="2025-06-30T00:00:00"/>
    <n v="-3.48"/>
    <n v="-4.91"/>
    <n v="-715.00000000000011"/>
    <n v="-1740"/>
    <x v="30"/>
    <s v="Buy"/>
    <n v="-2455"/>
    <x v="1"/>
    <x v="3"/>
    <n v="2025"/>
    <s v="Buy"/>
    <x v="0"/>
    <x v="607"/>
  </r>
  <r>
    <s v="HDO June DAP 5-15 WTI+WTL"/>
    <d v="2025-03-07T00:00:00"/>
    <s v="WTI-Brent"/>
    <s v="Hedge"/>
    <n v="500"/>
    <d v="2025-07-31T00:00:00"/>
    <d v="2025-07-31T00:00:00"/>
    <n v="-3.48"/>
    <n v="-3.11"/>
    <n v="185.00000000000006"/>
    <n v="-1740"/>
    <x v="32"/>
    <s v="Buy"/>
    <n v="-1555"/>
    <x v="1"/>
    <x v="3"/>
    <n v="2025"/>
    <s v="Buy"/>
    <x v="0"/>
    <x v="608"/>
  </r>
  <r>
    <s v="EXTAP CIF Rotts Apr 20-24"/>
    <d v="2025-03-06T00:00:00"/>
    <s v="DFL"/>
    <s v="Hedge"/>
    <n v="-100"/>
    <d v="2025-04-30T00:00:00"/>
    <d v="2025-04-30T00:00:00"/>
    <n v="0.61"/>
    <n v="1.42"/>
    <n v="-81"/>
    <n v="-61"/>
    <x v="21"/>
    <s v="Sell"/>
    <n v="-142"/>
    <x v="1"/>
    <x v="1"/>
    <n v="2025"/>
    <s v="Sell"/>
    <x v="0"/>
    <x v="609"/>
  </r>
  <r>
    <s v="HDO June DAP 5-15 WTI+WTL"/>
    <d v="2025-03-11T00:00:00"/>
    <s v="WTI-Brent"/>
    <s v="Hedge"/>
    <n v="250"/>
    <d v="2025-06-30T00:00:00"/>
    <d v="2025-06-30T00:00:00"/>
    <n v="-3.55"/>
    <n v="-4.91"/>
    <n v="-340.00000000000006"/>
    <n v="-887.5"/>
    <x v="30"/>
    <s v="Buy"/>
    <n v="-1227.5"/>
    <x v="1"/>
    <x v="3"/>
    <n v="2025"/>
    <s v="Buy"/>
    <x v="0"/>
    <x v="610"/>
  </r>
  <r>
    <s v="HDO June DAP 5-15 WTI+WTL"/>
    <d v="2025-03-11T00:00:00"/>
    <s v="WTI-Brent"/>
    <s v="Hedge"/>
    <n v="217"/>
    <d v="2025-06-30T00:00:00"/>
    <d v="2025-06-30T00:00:00"/>
    <n v="-3.56"/>
    <n v="-4.91"/>
    <n v="-292.95000000000005"/>
    <n v="-772.52"/>
    <x v="30"/>
    <s v="Buy"/>
    <n v="-1065.47"/>
    <x v="1"/>
    <x v="3"/>
    <n v="2025"/>
    <s v="Buy"/>
    <x v="0"/>
    <x v="611"/>
  </r>
  <r>
    <s v="HDO June DAP 5-15 WTI+WTL"/>
    <d v="2025-03-10T00:00:00"/>
    <s v="WTI-Brent"/>
    <s v="Hedge"/>
    <n v="500"/>
    <d v="2025-06-30T00:00:00"/>
    <d v="2025-06-30T00:00:00"/>
    <n v="-3.52"/>
    <n v="-4.91"/>
    <n v="-695.00000000000011"/>
    <n v="-1760"/>
    <x v="30"/>
    <s v="Buy"/>
    <n v="-2455"/>
    <x v="1"/>
    <x v="3"/>
    <n v="2025"/>
    <s v="Buy"/>
    <x v="0"/>
    <x v="612"/>
  </r>
  <r>
    <s v="Unallocated"/>
    <d v="2025-03-11T00:00:00"/>
    <s v="Brent Sprds"/>
    <s v="Hedge"/>
    <n v="0.01"/>
    <d v="2025-06-30T00:00:00"/>
    <d v="2025-07-31T00:00:00"/>
    <n v="0.46"/>
    <n v="2.06"/>
    <n v="113.60000000000001"/>
    <n v="4.5999999999999999E-3"/>
    <x v="31"/>
    <s v="Buy"/>
    <n v="2.06E-2"/>
    <x v="0"/>
    <x v="2"/>
    <n v="2025"/>
    <s v="Buy"/>
    <x v="0"/>
    <x v="613"/>
  </r>
  <r>
    <s v="Unallocated"/>
    <d v="2025-03-11T00:00:00"/>
    <s v="WTI-Brent"/>
    <s v="Hedge"/>
    <n v="200"/>
    <d v="2025-05-31T00:00:00"/>
    <d v="2025-05-31T00:00:00"/>
    <n v="-3.65"/>
    <n v="-3.26"/>
    <n v="78.000000000000028"/>
    <n v="-730"/>
    <x v="22"/>
    <s v="Buy"/>
    <n v="-652"/>
    <x v="1"/>
    <x v="3"/>
    <n v="2025"/>
    <s v="Buy"/>
    <x v="0"/>
    <x v="614"/>
  </r>
  <r>
    <s v="Unallocated"/>
    <d v="2025-03-13T00:00:00"/>
    <s v="WTI Sprds"/>
    <s v="Hedge"/>
    <n v="250"/>
    <d v="2025-04-30T00:00:00"/>
    <d v="2025-05-31T00:00:00"/>
    <n v="0.3"/>
    <n v="0.25"/>
    <n v="-12.499999999999996"/>
    <n v="75"/>
    <x v="15"/>
    <s v="Buy"/>
    <n v="62.5"/>
    <x v="0"/>
    <x v="0"/>
    <n v="2025"/>
    <s v="Buy"/>
    <x v="0"/>
    <x v="615"/>
  </r>
  <r>
    <s v="Unallocated"/>
    <d v="2025-03-13T00:00:00"/>
    <s v="WTI Sprds"/>
    <s v="Hedge"/>
    <n v="250"/>
    <d v="2025-04-30T00:00:00"/>
    <d v="2025-05-31T00:00:00"/>
    <n v="0.28999999999999998"/>
    <n v="0.25"/>
    <n v="-9.9999999999999947"/>
    <n v="72.5"/>
    <x v="15"/>
    <s v="Buy"/>
    <n v="62.5"/>
    <x v="0"/>
    <x v="0"/>
    <n v="2025"/>
    <s v="Buy"/>
    <x v="0"/>
    <x v="616"/>
  </r>
  <r>
    <s v="Unallocated"/>
    <d v="2025-03-13T00:00:00"/>
    <s v="WTI Sprds"/>
    <s v="Hedge"/>
    <n v="250"/>
    <d v="2025-04-30T00:00:00"/>
    <d v="2025-05-31T00:00:00"/>
    <n v="0.28000000000000003"/>
    <n v="0.25"/>
    <n v="-7.5000000000000071"/>
    <n v="70"/>
    <x v="15"/>
    <s v="Buy"/>
    <n v="62.5"/>
    <x v="0"/>
    <x v="0"/>
    <n v="2025"/>
    <s v="Buy"/>
    <x v="0"/>
    <x v="617"/>
  </r>
  <r>
    <s v="Unallocated"/>
    <d v="2025-03-13T00:00:00"/>
    <s v="WTI Sprds"/>
    <s v="Hedge"/>
    <n v="250"/>
    <d v="2025-04-30T00:00:00"/>
    <d v="2025-05-31T00:00:00"/>
    <n v="0.27"/>
    <n v="0.25"/>
    <n v="-5.0000000000000044"/>
    <n v="67.5"/>
    <x v="15"/>
    <s v="Buy"/>
    <n v="62.5"/>
    <x v="0"/>
    <x v="0"/>
    <n v="2025"/>
    <s v="Buy"/>
    <x v="0"/>
    <x v="618"/>
  </r>
  <r>
    <s v="Unallocated"/>
    <d v="2025-03-13T00:00:00"/>
    <s v="WTI Sprds"/>
    <s v="Hedge"/>
    <n v="250"/>
    <d v="2025-04-30T00:00:00"/>
    <d v="2025-05-31T00:00:00"/>
    <n v="0.26"/>
    <n v="0.25"/>
    <n v="-2.5000000000000022"/>
    <n v="65"/>
    <x v="15"/>
    <s v="Buy"/>
    <n v="62.5"/>
    <x v="0"/>
    <x v="0"/>
    <n v="2025"/>
    <s v="Buy"/>
    <x v="0"/>
    <x v="619"/>
  </r>
  <r>
    <s v="Unallocated"/>
    <d v="2025-03-17T00:00:00"/>
    <s v="WTI Sprds"/>
    <s v="Hedge"/>
    <n v="250"/>
    <d v="2025-04-30T00:00:00"/>
    <d v="2025-05-31T00:00:00"/>
    <n v="0.25"/>
    <n v="0.25"/>
    <n v="0"/>
    <n v="62.5"/>
    <x v="15"/>
    <s v="Buy"/>
    <n v="62.5"/>
    <x v="0"/>
    <x v="0"/>
    <n v="2025"/>
    <s v="Buy"/>
    <x v="0"/>
    <x v="620"/>
  </r>
  <r>
    <s v="Unallocated"/>
    <d v="2025-03-13T00:00:00"/>
    <s v="WTI-Brent"/>
    <s v="Hedge"/>
    <n v="250"/>
    <d v="2025-06-30T00:00:00"/>
    <d v="2025-06-30T00:00:00"/>
    <n v="-3.52"/>
    <n v="-4.91"/>
    <n v="-347.50000000000006"/>
    <n v="-880"/>
    <x v="30"/>
    <s v="Buy"/>
    <n v="-1227.5"/>
    <x v="1"/>
    <x v="3"/>
    <n v="2025"/>
    <s v="Buy"/>
    <x v="0"/>
    <x v="621"/>
  </r>
  <r>
    <s v="Unallocated"/>
    <d v="2025-03-13T00:00:00"/>
    <s v="WTI-Brent"/>
    <s v="Hedge"/>
    <n v="250"/>
    <d v="2025-06-30T00:00:00"/>
    <d v="2025-06-30T00:00:00"/>
    <n v="-3.53"/>
    <n v="-4.91"/>
    <n v="-345.00000000000006"/>
    <n v="-882.5"/>
    <x v="30"/>
    <s v="Buy"/>
    <n v="-1227.5"/>
    <x v="1"/>
    <x v="3"/>
    <n v="2025"/>
    <s v="Buy"/>
    <x v="0"/>
    <x v="622"/>
  </r>
  <r>
    <s v="Unallocated"/>
    <d v="2025-03-13T00:00:00"/>
    <s v="WTI-Brent"/>
    <s v="Hedge"/>
    <n v="250"/>
    <d v="2025-06-30T00:00:00"/>
    <d v="2025-06-30T00:00:00"/>
    <n v="-3.54"/>
    <n v="-4.91"/>
    <n v="-342.5"/>
    <n v="-885"/>
    <x v="30"/>
    <s v="Buy"/>
    <n v="-1227.5"/>
    <x v="1"/>
    <x v="3"/>
    <n v="2025"/>
    <s v="Buy"/>
    <x v="0"/>
    <x v="623"/>
  </r>
  <r>
    <s v="Unallocated"/>
    <d v="2025-03-13T00:00:00"/>
    <s v="WTI-Brent"/>
    <s v="Hedge"/>
    <n v="250"/>
    <d v="2025-06-30T00:00:00"/>
    <d v="2025-06-30T00:00:00"/>
    <n v="-3.55"/>
    <n v="-4.91"/>
    <n v="-340.00000000000006"/>
    <n v="-887.5"/>
    <x v="30"/>
    <s v="Buy"/>
    <n v="-1227.5"/>
    <x v="1"/>
    <x v="3"/>
    <n v="2025"/>
    <s v="Buy"/>
    <x v="0"/>
    <x v="624"/>
  </r>
  <r>
    <s v="Unallocated"/>
    <d v="2025-03-18T00:00:00"/>
    <s v="WTI Sprds"/>
    <s v="Hedge"/>
    <n v="500"/>
    <d v="2025-04-30T00:00:00"/>
    <d v="2025-05-31T00:00:00"/>
    <n v="0.15"/>
    <n v="0.25"/>
    <n v="50"/>
    <n v="75"/>
    <x v="15"/>
    <s v="Buy"/>
    <n v="125"/>
    <x v="0"/>
    <x v="0"/>
    <n v="2025"/>
    <s v="Buy"/>
    <x v="0"/>
    <x v="625"/>
  </r>
  <r>
    <s v="Unallocated"/>
    <d v="2025-03-18T00:00:00"/>
    <s v="WTI Sprds"/>
    <s v="Hedge"/>
    <n v="400"/>
    <d v="2025-04-30T00:00:00"/>
    <d v="2025-05-31T00:00:00"/>
    <n v="0.12"/>
    <n v="0.25"/>
    <n v="52"/>
    <n v="48"/>
    <x v="15"/>
    <s v="Buy"/>
    <n v="100"/>
    <x v="0"/>
    <x v="0"/>
    <n v="2025"/>
    <s v="Buy"/>
    <x v="0"/>
    <x v="626"/>
  </r>
  <r>
    <s v="Unallocated"/>
    <d v="2025-03-18T00:00:00"/>
    <s v="WTI Sprds"/>
    <s v="Hedge"/>
    <n v="250"/>
    <d v="2025-04-30T00:00:00"/>
    <d v="2025-05-31T00:00:00"/>
    <n v="0.11"/>
    <n v="0.25"/>
    <n v="35"/>
    <n v="27.5"/>
    <x v="15"/>
    <s v="Buy"/>
    <n v="62.5"/>
    <x v="0"/>
    <x v="0"/>
    <n v="2025"/>
    <s v="Buy"/>
    <x v="0"/>
    <x v="627"/>
  </r>
  <r>
    <s v="Unallocated"/>
    <d v="2025-03-18T00:00:00"/>
    <s v="WTI Sprds"/>
    <s v="Hedge"/>
    <n v="153"/>
    <d v="2025-04-30T00:00:00"/>
    <d v="2025-05-31T00:00:00"/>
    <n v="0.11"/>
    <n v="0.25"/>
    <n v="21.42"/>
    <n v="16.830000000000002"/>
    <x v="15"/>
    <s v="Buy"/>
    <n v="38.25"/>
    <x v="0"/>
    <x v="0"/>
    <n v="2025"/>
    <s v="Buy"/>
    <x v="0"/>
    <x v="628"/>
  </r>
  <r>
    <s v="Unallocated"/>
    <d v="2025-03-18T00:00:00"/>
    <s v="WTI Sprds"/>
    <s v="Hedge"/>
    <n v="-1323"/>
    <d v="2025-05-31T00:00:00"/>
    <d v="2025-06-30T00:00:00"/>
    <n v="0.37"/>
    <n v="0.67"/>
    <n v="-396.90000000000003"/>
    <n v="-489.51"/>
    <x v="16"/>
    <s v="Sell"/>
    <n v="-886.41000000000008"/>
    <x v="0"/>
    <x v="0"/>
    <n v="2025"/>
    <s v="Sell"/>
    <x v="0"/>
    <x v="629"/>
  </r>
  <r>
    <s v="Unallocated"/>
    <d v="2025-03-18T00:00:00"/>
    <s v="WTI Sprds"/>
    <s v="Hedge"/>
    <n v="-2302"/>
    <d v="2025-05-31T00:00:00"/>
    <d v="2025-06-30T00:00:00"/>
    <n v="0.37"/>
    <n v="0.67"/>
    <n v="-690.60000000000014"/>
    <n v="-851.74"/>
    <x v="16"/>
    <s v="Sell"/>
    <n v="-1542.3400000000001"/>
    <x v="0"/>
    <x v="0"/>
    <n v="2025"/>
    <s v="Sell"/>
    <x v="0"/>
    <x v="630"/>
  </r>
  <r>
    <s v="Glencore CIF Rdam Apr 22-26"/>
    <d v="2025-02-18T00:00:00"/>
    <s v="Physical"/>
    <s v="Expo"/>
    <n v="735"/>
    <d v="2025-04-30T00:00:00"/>
    <d v="2025-04-30T00:00:00"/>
    <n v="1.27"/>
    <n v="1.75"/>
    <n v="352.8"/>
    <n v="933.45"/>
    <x v="21"/>
    <s v="Buy"/>
    <n v="1286.25"/>
    <x v="2"/>
    <x v="4"/>
    <n v="2025"/>
    <s v="Buy"/>
    <x v="1"/>
    <x v="631"/>
  </r>
  <r>
    <s v="Glencore CIF Rdam Apr 22-26"/>
    <d v="2025-02-18T00:00:00"/>
    <s v="WTI Sprds"/>
    <s v="Expo"/>
    <n v="-735"/>
    <d v="2025-05-31T00:00:00"/>
    <d v="2025-06-30T00:00:00"/>
    <n v="0.42"/>
    <n v="0.67"/>
    <n v="-183.75000000000003"/>
    <n v="-308.7"/>
    <x v="16"/>
    <s v="Sell"/>
    <n v="-492.45000000000005"/>
    <x v="0"/>
    <x v="0"/>
    <n v="2025"/>
    <s v="Sell"/>
    <x v="0"/>
    <x v="632"/>
  </r>
  <r>
    <s v="Glencore CIF Rdam Apr 22-26"/>
    <d v="2025-03-03T00:00:00"/>
    <s v="WTI-Brent"/>
    <s v="Expo"/>
    <n v="-735"/>
    <d v="2025-06-30T00:00:00"/>
    <d v="2025-06-30T00:00:00"/>
    <n v="-3.76"/>
    <n v="-4.91"/>
    <n v="845.25000000000023"/>
    <n v="2763.6"/>
    <x v="30"/>
    <s v="Sell"/>
    <n v="3608.85"/>
    <x v="1"/>
    <x v="3"/>
    <n v="2025"/>
    <s v="Sell"/>
    <x v="0"/>
    <x v="633"/>
  </r>
  <r>
    <s v="Glencore CIF Rdam Apr 22-26"/>
    <d v="2025-03-03T00:00:00"/>
    <s v="DFL"/>
    <s v="Expo"/>
    <n v="735"/>
    <d v="2025-04-30T00:00:00"/>
    <d v="2025-04-30T00:00:00"/>
    <n v="0.75"/>
    <n v="1.42"/>
    <n v="492.44999999999993"/>
    <n v="551.25"/>
    <x v="21"/>
    <s v="Buy"/>
    <n v="1043.7"/>
    <x v="1"/>
    <x v="1"/>
    <n v="2025"/>
    <s v="Buy"/>
    <x v="0"/>
    <x v="634"/>
  </r>
  <r>
    <s v="Glencore CIF Rdam Apr 22-26"/>
    <d v="2025-03-03T00:00:00"/>
    <s v="DFL"/>
    <s v="Hedge"/>
    <n v="-700"/>
    <d v="2025-04-30T00:00:00"/>
    <d v="2025-04-30T00:00:00"/>
    <n v="0.72"/>
    <n v="1.42"/>
    <n v="-489.99999999999994"/>
    <n v="-504"/>
    <x v="21"/>
    <s v="Sell"/>
    <n v="-994"/>
    <x v="1"/>
    <x v="1"/>
    <n v="2025"/>
    <s v="Sell"/>
    <x v="0"/>
    <x v="635"/>
  </r>
  <r>
    <s v="Trafi FOB Apr 23-24"/>
    <d v="2025-02-18T00:00:00"/>
    <s v="Physical"/>
    <s v="Expo"/>
    <n v="700"/>
    <d v="2025-04-30T00:00:00"/>
    <d v="2025-04-30T00:00:00"/>
    <n v="-1.5899999999999999"/>
    <n v="-1.5"/>
    <n v="27.999999999999869"/>
    <n v="-1077.9999999999998"/>
    <x v="21"/>
    <s v="Buy"/>
    <n v="-1050"/>
    <x v="2"/>
    <x v="4"/>
    <n v="2025"/>
    <s v="Buy"/>
    <x v="1"/>
    <x v="636"/>
  </r>
  <r>
    <s v="Trafi FOB Apr 23-24"/>
    <d v="2025-02-18T00:00:00"/>
    <s v="WTI Sprds"/>
    <s v="Expo"/>
    <n v="-700"/>
    <d v="2025-05-31T00:00:00"/>
    <d v="2025-06-30T00:00:00"/>
    <n v="0.42"/>
    <n v="0.67"/>
    <n v="-175.00000000000003"/>
    <n v="-294"/>
    <x v="16"/>
    <s v="Sell"/>
    <n v="-469"/>
    <x v="0"/>
    <x v="0"/>
    <n v="2025"/>
    <s v="Sell"/>
    <x v="0"/>
    <x v="637"/>
  </r>
  <r>
    <s v="Trafi FOB Apr 23-24"/>
    <d v="2025-03-03T00:00:00"/>
    <s v="WTI-Brent"/>
    <s v="Expo"/>
    <n v="-700"/>
    <d v="2025-06-30T00:00:00"/>
    <d v="2025-06-30T00:00:00"/>
    <n v="-3.76"/>
    <n v="-4.91"/>
    <n v="805.00000000000023"/>
    <n v="2632"/>
    <x v="30"/>
    <s v="Sell"/>
    <n v="3437"/>
    <x v="1"/>
    <x v="3"/>
    <n v="2025"/>
    <s v="Sell"/>
    <x v="0"/>
    <x v="638"/>
  </r>
  <r>
    <s v="Unallocated"/>
    <d v="2025-03-26T00:00:00"/>
    <s v="DFL"/>
    <s v="Hedge"/>
    <n v="500"/>
    <d v="2025-04-30T00:00:00"/>
    <d v="2025-04-30T00:00:00"/>
    <n v="0.92"/>
    <n v="1.42"/>
    <n v="249.99999999999994"/>
    <n v="460"/>
    <x v="21"/>
    <s v="Buy"/>
    <n v="710"/>
    <x v="1"/>
    <x v="1"/>
    <n v="2025"/>
    <s v="Buy"/>
    <x v="0"/>
    <x v="639"/>
  </r>
  <r>
    <s v="Unallocated"/>
    <d v="2025-03-26T00:00:00"/>
    <s v="DFL"/>
    <s v="Hedge"/>
    <n v="-500"/>
    <d v="2025-05-31T00:00:00"/>
    <d v="2025-05-31T00:00:00"/>
    <n v="0.82"/>
    <n v="0.14121300000000001"/>
    <n v="339.39349999999996"/>
    <n v="-410"/>
    <x v="22"/>
    <s v="Sell"/>
    <n v="-70.606499999999997"/>
    <x v="1"/>
    <x v="1"/>
    <n v="2025"/>
    <s v="Sell"/>
    <x v="0"/>
    <x v="640"/>
  </r>
  <r>
    <s v="Unallocated"/>
    <d v="2025-03-28T00:00:00"/>
    <s v="Brent Sprds"/>
    <s v="Expo"/>
    <n v="729"/>
    <d v="2025-05-31T00:00:00"/>
    <d v="2025-06-30T00:00:00"/>
    <n v="0.86"/>
    <n v="-0.03"/>
    <n v="-648.81000000000006"/>
    <n v="626.93999999999994"/>
    <x v="16"/>
    <s v="Buy"/>
    <n v="-21.869999999999997"/>
    <x v="0"/>
    <x v="2"/>
    <n v="2025"/>
    <s v="Buy"/>
    <x v="0"/>
    <x v="641"/>
  </r>
  <r>
    <s v="Unallocated"/>
    <d v="2025-03-28T00:00:00"/>
    <s v="WTI-Brent"/>
    <s v="Expo"/>
    <n v="900"/>
    <d v="2025-05-31T00:00:00"/>
    <d v="2025-05-31T00:00:00"/>
    <n v="-4.25"/>
    <n v="-3.26"/>
    <n v="891.00000000000023"/>
    <n v="-3825"/>
    <x v="22"/>
    <s v="Buy"/>
    <n v="-2934"/>
    <x v="1"/>
    <x v="3"/>
    <n v="2025"/>
    <s v="Buy"/>
    <x v="0"/>
    <x v="642"/>
  </r>
  <r>
    <s v="Unallocated"/>
    <d v="2025-03-28T00:00:00"/>
    <s v="DFL"/>
    <s v="Hedge"/>
    <n v="-1000"/>
    <d v="2025-05-31T00:00:00"/>
    <d v="2025-05-31T00:00:00"/>
    <n v="1"/>
    <n v="0.14121300000000001"/>
    <n v="858.78699999999992"/>
    <n v="-1000"/>
    <x v="22"/>
    <s v="Sell"/>
    <n v="-141.21299999999999"/>
    <x v="1"/>
    <x v="1"/>
    <n v="2025"/>
    <s v="Sell"/>
    <x v="0"/>
    <x v="643"/>
  </r>
  <r>
    <s v="HDO May 10-20 WTI+WTL"/>
    <d v="2025-02-07T00:00:00"/>
    <s v="Brent Sprds"/>
    <s v="Expo"/>
    <n v="370"/>
    <d v="2025-05-31T00:00:00"/>
    <d v="2025-06-30T00:00:00"/>
    <n v="0.48"/>
    <n v="-0.03"/>
    <n v="-188.70000000000002"/>
    <n v="177.6"/>
    <x v="16"/>
    <s v="Buy"/>
    <n v="-11.1"/>
    <x v="0"/>
    <x v="2"/>
    <n v="2025"/>
    <s v="Buy"/>
    <x v="0"/>
    <x v="644"/>
  </r>
  <r>
    <s v="Exxon CIF Rdam May 1-5"/>
    <d v="2025-03-31T00:00:00"/>
    <s v="Physical"/>
    <s v="Expo"/>
    <n v="692"/>
    <d v="2025-04-30T00:00:00"/>
    <d v="2025-04-30T00:00:00"/>
    <n v="2.34"/>
    <n v="2.4"/>
    <n v="41.520000000000039"/>
    <n v="1619.28"/>
    <x v="21"/>
    <s v="Buy"/>
    <n v="1660.8"/>
    <x v="2"/>
    <x v="4"/>
    <n v="2025"/>
    <s v="Buy"/>
    <x v="1"/>
    <x v="645"/>
  </r>
  <r>
    <s v="Exxon CIF Rdam May 1-5"/>
    <d v="2025-03-31T00:00:00"/>
    <s v="WTI Sprds"/>
    <s v="Expo"/>
    <n v="-692"/>
    <d v="2025-05-31T00:00:00"/>
    <d v="2025-06-30T00:00:00"/>
    <n v="0.52"/>
    <n v="0.67"/>
    <n v="-103.80000000000001"/>
    <n v="-359.84000000000003"/>
    <x v="16"/>
    <s v="Sell"/>
    <n v="-463.64000000000004"/>
    <x v="0"/>
    <x v="0"/>
    <n v="2025"/>
    <s v="Sell"/>
    <x v="0"/>
    <x v="646"/>
  </r>
  <r>
    <s v="Exxon CIF Rdam May 1-5"/>
    <d v="2025-03-31T00:00:00"/>
    <s v="WTI-Brent"/>
    <s v="Expo"/>
    <n v="-692"/>
    <d v="2025-06-30T00:00:00"/>
    <d v="2025-06-30T00:00:00"/>
    <n v="-3.78"/>
    <n v="-4.91"/>
    <n v="781.96000000000026"/>
    <n v="2615.7599999999998"/>
    <x v="30"/>
    <s v="Sell"/>
    <n v="3397.7200000000003"/>
    <x v="1"/>
    <x v="3"/>
    <n v="2025"/>
    <s v="Sell"/>
    <x v="0"/>
    <x v="647"/>
  </r>
  <r>
    <s v="Exxon CIF Rdam May 1-5"/>
    <d v="2025-03-31T00:00:00"/>
    <s v="DFL"/>
    <s v="Expo"/>
    <n v="692"/>
    <d v="2025-05-31T00:00:00"/>
    <d v="2025-05-31T00:00:00"/>
    <n v="1.05"/>
    <n v="0.14121300000000001"/>
    <n v="-628.88060400000006"/>
    <n v="726.6"/>
    <x v="22"/>
    <s v="Buy"/>
    <n v="97.719396000000003"/>
    <x v="1"/>
    <x v="1"/>
    <n v="2025"/>
    <s v="Buy"/>
    <x v="0"/>
    <x v="648"/>
  </r>
  <r>
    <s v="Exxon CIF Rdam May 1-5"/>
    <d v="2025-03-31T00:00:00"/>
    <s v="Freight-TD25"/>
    <s v="Expo"/>
    <n v="-700"/>
    <d v="2025-04-30T00:00:00"/>
    <d v="2025-04-30T00:00:00"/>
    <n v="185"/>
    <n v="167.5"/>
    <n v="245.00000000000003"/>
    <n v="-129500"/>
    <x v="21"/>
    <s v="Sell"/>
    <n v="-117250"/>
    <x v="3"/>
    <x v="5"/>
    <n v="2025"/>
    <s v="Sell"/>
    <x v="0"/>
    <x v="649"/>
  </r>
  <r>
    <s v="Exxon CIF Rdam May 1-5"/>
    <d v="2025-03-31T00:00:00"/>
    <s v="Freight-TD25"/>
    <s v="Expo"/>
    <n v="700"/>
    <d v="2025-04-30T00:00:00"/>
    <d v="2025-04-30T00:00:00"/>
    <n v="167.5"/>
    <n v="167.5"/>
    <n v="0"/>
    <n v="117250"/>
    <x v="21"/>
    <s v="Buy"/>
    <n v="117250"/>
    <x v="3"/>
    <x v="5"/>
    <n v="2025"/>
    <s v="Buy"/>
    <x v="0"/>
    <x v="650"/>
  </r>
  <r>
    <s v="Exxon CIF Rdam May 1-5"/>
    <d v="2025-03-31T00:00:00"/>
    <s v="Brent Sprds"/>
    <s v="Expo"/>
    <n v="-692"/>
    <d v="2025-06-30T00:00:00"/>
    <d v="2025-07-31T00:00:00"/>
    <n v="0.72"/>
    <n v="2.06"/>
    <n v="-927.28000000000009"/>
    <n v="-498.24"/>
    <x v="31"/>
    <s v="Sell"/>
    <n v="-1425.52"/>
    <x v="0"/>
    <x v="2"/>
    <n v="2025"/>
    <s v="Sell"/>
    <x v="0"/>
    <x v="651"/>
  </r>
  <r>
    <s v="Unallocated"/>
    <d v="2025-03-31T00:00:00"/>
    <s v="Freight-TD7"/>
    <s v="Hedge"/>
    <n v="-1400"/>
    <d v="2025-03-31T00:00:00"/>
    <d v="2025-03-31T00:00:00"/>
    <n v="111.45"/>
    <n v="111.45"/>
    <n v="0"/>
    <n v="-156030"/>
    <x v="20"/>
    <s v="Sell"/>
    <n v="-156030"/>
    <x v="3"/>
    <x v="5"/>
    <n v="2025"/>
    <s v="Sell"/>
    <x v="0"/>
    <x v="652"/>
  </r>
  <r>
    <s v="Unallocated"/>
    <d v="2025-03-31T00:00:00"/>
    <s v="CFD"/>
    <s v="Hedge"/>
    <n v="500"/>
    <s v="Apr07-Apr11"/>
    <d v="1931-04-01T00:00:00"/>
    <n v="2.12"/>
    <n v="2.2599999999999998"/>
    <n v="69.999999999999844"/>
    <n v="1060"/>
    <x v="2"/>
    <s v="Buy"/>
    <n v="1130"/>
    <x v="1"/>
    <x v="1"/>
    <n v="2025"/>
    <s v="Buy"/>
    <x v="0"/>
    <x v="653"/>
  </r>
  <r>
    <s v="Unallocated"/>
    <d v="2025-03-31T00:00:00"/>
    <s v="CFD"/>
    <s v="Hedge"/>
    <n v="-500"/>
    <s v="Apr14-Apr18"/>
    <d v="1931-04-01T00:00:00"/>
    <n v="1.82"/>
    <n v="1.86"/>
    <n v="-20.000000000000018"/>
    <n v="-910"/>
    <x v="3"/>
    <s v="Sell"/>
    <n v="-930"/>
    <x v="1"/>
    <x v="1"/>
    <n v="2025"/>
    <s v="Sell"/>
    <x v="0"/>
    <x v="654"/>
  </r>
  <r>
    <m/>
    <d v="2025-04-01T00:00:00"/>
    <s v="Physical"/>
    <s v="Expo"/>
    <m/>
    <d v="2025-04-30T00:00:00"/>
    <d v="2025-04-30T00:00:00"/>
    <n v="2.5400000000000005"/>
    <n v="2.5499999999999998"/>
    <n v="0"/>
    <n v="0"/>
    <x v="21"/>
    <s v="Buy"/>
    <n v="0"/>
    <x v="2"/>
    <x v="4"/>
    <n v="2025"/>
    <s v="Sell"/>
    <x v="1"/>
    <x v="655"/>
  </r>
  <r>
    <m/>
    <d v="2025-04-01T00:00:00"/>
    <s v="WTI Sprds"/>
    <s v="Expo"/>
    <m/>
    <d v="2025-05-31T00:00:00"/>
    <d v="2025-06-30T00:00:00"/>
    <n v="0.5"/>
    <n v="0.67"/>
    <n v="0"/>
    <n v="0"/>
    <x v="16"/>
    <s v="Buy"/>
    <n v="0"/>
    <x v="0"/>
    <x v="0"/>
    <n v="2025"/>
    <s v="Sell"/>
    <x v="0"/>
    <x v="656"/>
  </r>
  <r>
    <m/>
    <d v="2025-04-01T00:00:00"/>
    <s v="WTI Sprds"/>
    <s v="Expo"/>
    <m/>
    <d v="2025-06-30T00:00:00"/>
    <d v="2025-07-31T00:00:00"/>
    <n v="0.6"/>
    <n v="0.55000000000000004"/>
    <n v="0"/>
    <n v="0"/>
    <x v="31"/>
    <s v="Buy"/>
    <n v="0"/>
    <x v="0"/>
    <x v="0"/>
    <n v="2025"/>
    <s v="Sell"/>
    <x v="0"/>
    <x v="657"/>
  </r>
  <r>
    <m/>
    <d v="2025-04-01T00:00:00"/>
    <s v="WTI-Brent"/>
    <s v="Expo"/>
    <m/>
    <d v="2025-07-31T00:00:00"/>
    <d v="2025-07-31T00:00:00"/>
    <n v="-3.6"/>
    <n v="-3.11"/>
    <n v="0"/>
    <n v="0"/>
    <x v="32"/>
    <s v="Buy"/>
    <n v="0"/>
    <x v="1"/>
    <x v="3"/>
    <n v="2025"/>
    <s v="Sell"/>
    <x v="0"/>
    <x v="658"/>
  </r>
  <r>
    <m/>
    <d v="2025-04-01T00:00:00"/>
    <s v="DFL"/>
    <s v="Expo"/>
    <m/>
    <d v="2025-05-31T00:00:00"/>
    <d v="2025-05-31T00:00:00"/>
    <n v="0.9"/>
    <n v="0.14121300000000001"/>
    <n v="0"/>
    <n v="0"/>
    <x v="22"/>
    <s v="Buy"/>
    <n v="0"/>
    <x v="1"/>
    <x v="1"/>
    <n v="2025"/>
    <s v="Sell"/>
    <x v="0"/>
    <x v="659"/>
  </r>
  <r>
    <m/>
    <d v="2025-04-01T00:00:00"/>
    <s v="Freight-TD25"/>
    <s v="Expo"/>
    <m/>
    <d v="2025-04-30T00:00:00"/>
    <d v="2025-04-30T00:00:00"/>
    <n v="185"/>
    <n v="185"/>
    <n v="0"/>
    <n v="0"/>
    <x v="21"/>
    <s v="Buy"/>
    <n v="0"/>
    <x v="3"/>
    <x v="5"/>
    <n v="2025"/>
    <s v="Sell"/>
    <x v="0"/>
    <x v="660"/>
  </r>
  <r>
    <s v="Unallocated"/>
    <d v="2025-03-31T00:00:00"/>
    <s v="DFL"/>
    <s v="Hedge"/>
    <n v="-279"/>
    <d v="2025-03-31T00:00:00"/>
    <d v="2025-03-31T00:00:00"/>
    <n v="1.1299999999999999"/>
    <n v="1.1299999999999999"/>
    <n v="0"/>
    <n v="-315.27"/>
    <x v="20"/>
    <s v="Sell"/>
    <n v="-315.27"/>
    <x v="1"/>
    <x v="1"/>
    <n v="2025"/>
    <s v="Sell"/>
    <x v="0"/>
    <x v="661"/>
  </r>
  <r>
    <s v="Unallocated"/>
    <d v="2025-04-02T00:00:00"/>
    <s v="WTI Sprds-Fly"/>
    <s v="Hedge"/>
    <n v="1000"/>
    <d v="2025-05-31T00:00:00"/>
    <d v="2025-06-30T00:00:00"/>
    <n v="0.5"/>
    <n v="0.67"/>
    <n v="170.00000000000003"/>
    <n v="500"/>
    <x v="16"/>
    <s v="Buy"/>
    <n v="670"/>
    <x v="0"/>
    <x v="0"/>
    <n v="2025"/>
    <s v="Buy"/>
    <x v="0"/>
    <x v="662"/>
  </r>
  <r>
    <s v="Unallocated"/>
    <d v="2025-04-02T00:00:00"/>
    <s v="WTI Sprds-Fly"/>
    <s v="Hedge"/>
    <n v="-1000"/>
    <d v="2025-06-30T00:00:00"/>
    <d v="2025-07-31T00:00:00"/>
    <n v="0.63"/>
    <n v="0.55000000000000004"/>
    <n v="79.999999999999957"/>
    <n v="-630"/>
    <x v="31"/>
    <s v="Sell"/>
    <n v="-550"/>
    <x v="0"/>
    <x v="0"/>
    <n v="2025"/>
    <s v="Sell"/>
    <x v="0"/>
    <x v="663"/>
  </r>
  <r>
    <s v="Unallocated"/>
    <d v="2025-04-03T00:00:00"/>
    <s v="Brent Sprds"/>
    <s v="Hedge"/>
    <n v="500"/>
    <d v="2025-06-30T00:00:00"/>
    <d v="2025-07-31T00:00:00"/>
    <n v="0.75"/>
    <n v="2.06"/>
    <n v="655"/>
    <n v="375"/>
    <x v="31"/>
    <s v="Buy"/>
    <n v="1030"/>
    <x v="0"/>
    <x v="2"/>
    <n v="2025"/>
    <s v="Buy"/>
    <x v="0"/>
    <x v="664"/>
  </r>
  <r>
    <s v="Unallocated"/>
    <d v="2025-04-03T00:00:00"/>
    <s v="Brent Sprds"/>
    <s v="Hedge"/>
    <n v="500"/>
    <d v="2025-06-30T00:00:00"/>
    <d v="2025-07-31T00:00:00"/>
    <n v="0.74"/>
    <n v="2.06"/>
    <n v="660"/>
    <n v="370"/>
    <x v="31"/>
    <s v="Buy"/>
    <n v="1030"/>
    <x v="0"/>
    <x v="2"/>
    <n v="2025"/>
    <s v="Buy"/>
    <x v="0"/>
    <x v="665"/>
  </r>
  <r>
    <s v="Unallocated"/>
    <d v="2025-04-03T00:00:00"/>
    <s v="Brent Sprds"/>
    <s v="Hedge"/>
    <n v="500"/>
    <d v="2025-06-30T00:00:00"/>
    <d v="2025-07-31T00:00:00"/>
    <n v="0.73"/>
    <n v="2.06"/>
    <n v="665"/>
    <n v="365"/>
    <x v="31"/>
    <s v="Buy"/>
    <n v="1030"/>
    <x v="0"/>
    <x v="2"/>
    <n v="2025"/>
    <s v="Buy"/>
    <x v="0"/>
    <x v="666"/>
  </r>
  <r>
    <s v="Unallocated"/>
    <d v="2025-04-03T00:00:00"/>
    <s v="Brent Sprds"/>
    <s v="Hedge"/>
    <n v="500"/>
    <d v="2025-06-30T00:00:00"/>
    <d v="2025-07-31T00:00:00"/>
    <n v="0.72"/>
    <n v="2.06"/>
    <n v="670"/>
    <n v="360"/>
    <x v="31"/>
    <s v="Buy"/>
    <n v="1030"/>
    <x v="0"/>
    <x v="2"/>
    <n v="2025"/>
    <s v="Buy"/>
    <x v="0"/>
    <x v="667"/>
  </r>
  <r>
    <s v="Unallocated"/>
    <d v="2025-04-03T00:00:00"/>
    <s v="Brent Sprds"/>
    <s v="Hedge"/>
    <n v="500"/>
    <d v="2025-06-30T00:00:00"/>
    <d v="2025-07-31T00:00:00"/>
    <n v="0.71"/>
    <n v="2.06"/>
    <n v="675"/>
    <n v="355"/>
    <x v="31"/>
    <s v="Buy"/>
    <n v="1030"/>
    <x v="0"/>
    <x v="2"/>
    <n v="2025"/>
    <s v="Buy"/>
    <x v="0"/>
    <x v="668"/>
  </r>
  <r>
    <s v="Unallocated"/>
    <d v="2025-04-03T00:00:00"/>
    <s v="Brent Sprds"/>
    <s v="Hedge"/>
    <n v="500"/>
    <d v="2025-06-30T00:00:00"/>
    <d v="2025-07-31T00:00:00"/>
    <n v="0.7"/>
    <n v="2.06"/>
    <n v="680"/>
    <n v="350"/>
    <x v="31"/>
    <s v="Buy"/>
    <n v="1030"/>
    <x v="0"/>
    <x v="2"/>
    <n v="2025"/>
    <s v="Buy"/>
    <x v="0"/>
    <x v="669"/>
  </r>
  <r>
    <s v="IOC DAP Paradip June 9-18"/>
    <d v="2025-04-03T00:00:00"/>
    <s v="DFL"/>
    <s v="Hedge"/>
    <n v="-100"/>
    <d v="2025-05-31T00:00:00"/>
    <d v="2025-05-31T00:00:00"/>
    <n v="1"/>
    <n v="0.14121300000000001"/>
    <n v="85.878699999999995"/>
    <n v="-100"/>
    <x v="22"/>
    <s v="Sell"/>
    <n v="-14.1213"/>
    <x v="1"/>
    <x v="1"/>
    <n v="2025"/>
    <s v="Sell"/>
    <x v="0"/>
    <x v="670"/>
  </r>
  <r>
    <s v="IOC DAP Paradip June 9-18"/>
    <d v="2025-04-04T00:00:00"/>
    <s v="Physical"/>
    <s v="Expo"/>
    <n v="2054"/>
    <d v="2025-04-30T00:00:00"/>
    <d v="2025-04-30T00:00:00"/>
    <n v="2.8180579322033896"/>
    <n v="2.54"/>
    <n v="-571.13099274576223"/>
    <n v="5833.36"/>
    <x v="21"/>
    <s v="Buy"/>
    <n v="5217.16"/>
    <x v="2"/>
    <x v="4"/>
    <n v="2025"/>
    <s v="Buy"/>
    <x v="1"/>
    <x v="671"/>
  </r>
  <r>
    <s v="IOC DAP Paradip June 9-18"/>
    <d v="2025-04-04T00:00:00"/>
    <s v="WTI Sprds"/>
    <s v="Expo"/>
    <n v="-2065"/>
    <d v="2025-05-31T00:00:00"/>
    <d v="2025-06-30T00:00:00"/>
    <n v="0.48"/>
    <n v="0.67"/>
    <n v="-392.35000000000014"/>
    <n v="-991.19999999999993"/>
    <x v="16"/>
    <s v="Sell"/>
    <n v="-1383.5500000000002"/>
    <x v="0"/>
    <x v="0"/>
    <n v="2025"/>
    <s v="Sell"/>
    <x v="0"/>
    <x v="672"/>
  </r>
  <r>
    <s v="IOC DAP Paradip June 9-18"/>
    <d v="2025-04-04T00:00:00"/>
    <s v="WTI Sprds"/>
    <s v="Expo"/>
    <n v="-2054"/>
    <d v="2025-06-30T00:00:00"/>
    <d v="2025-07-31T00:00:00"/>
    <n v="0.55000000000000004"/>
    <n v="0.55000000000000004"/>
    <n v="0"/>
    <n v="-1129.7"/>
    <x v="31"/>
    <s v="Sell"/>
    <n v="-1129.7"/>
    <x v="0"/>
    <x v="0"/>
    <n v="2025"/>
    <s v="Sell"/>
    <x v="0"/>
    <x v="673"/>
  </r>
  <r>
    <s v="IOC DAP Paradip June 9-18"/>
    <d v="2025-04-04T00:00:00"/>
    <s v="WTI-Brent"/>
    <s v="Expo"/>
    <n v="-2054"/>
    <d v="2025-07-31T00:00:00"/>
    <d v="2025-07-31T00:00:00"/>
    <n v="-3.5"/>
    <n v="-3.11"/>
    <n v="-801.06000000000029"/>
    <n v="7189"/>
    <x v="32"/>
    <s v="Sell"/>
    <n v="6387.94"/>
    <x v="1"/>
    <x v="3"/>
    <n v="2025"/>
    <s v="Sell"/>
    <x v="0"/>
    <x v="674"/>
  </r>
  <r>
    <s v="IOC DAP Paradip June 9-18"/>
    <d v="2025-04-04T00:00:00"/>
    <s v="DFL"/>
    <s v="Expo"/>
    <n v="2054"/>
    <d v="2025-05-31T00:00:00"/>
    <d v="2025-05-31T00:00:00"/>
    <n v="1.04"/>
    <n v="0.14121300000000001"/>
    <n v="-1846.1084980000001"/>
    <n v="2136.16"/>
    <x v="22"/>
    <s v="Buy"/>
    <n v="290.05150200000003"/>
    <x v="1"/>
    <x v="1"/>
    <n v="2025"/>
    <s v="Buy"/>
    <x v="0"/>
    <x v="675"/>
  </r>
  <r>
    <s v="IOC DAP Paradip June 9-18"/>
    <d v="2025-04-04T00:00:00"/>
    <s v="WTI Sprds"/>
    <s v="Hedge"/>
    <n v="500"/>
    <d v="2025-05-31T00:00:00"/>
    <d v="2025-06-30T00:00:00"/>
    <n v="0.34"/>
    <n v="0.67"/>
    <n v="165"/>
    <n v="170"/>
    <x v="16"/>
    <s v="Buy"/>
    <n v="335"/>
    <x v="0"/>
    <x v="0"/>
    <n v="2025"/>
    <s v="Buy"/>
    <x v="0"/>
    <x v="676"/>
  </r>
  <r>
    <s v="IOC DAP Paradip June 9-18"/>
    <d v="2025-04-04T00:00:00"/>
    <s v="WTI Sprds"/>
    <s v="Hedge"/>
    <n v="500"/>
    <d v="2025-05-31T00:00:00"/>
    <d v="2025-06-30T00:00:00"/>
    <n v="0.33"/>
    <n v="0.67"/>
    <n v="170"/>
    <n v="165"/>
    <x v="16"/>
    <s v="Buy"/>
    <n v="335"/>
    <x v="0"/>
    <x v="0"/>
    <n v="2025"/>
    <s v="Buy"/>
    <x v="0"/>
    <x v="677"/>
  </r>
  <r>
    <s v="IOC DAP Paradip June 9-18"/>
    <d v="2025-04-04T00:00:00"/>
    <s v="WTI Sprds"/>
    <s v="Hedge"/>
    <n v="1302"/>
    <d v="2025-05-31T00:00:00"/>
    <d v="2025-06-30T00:00:00"/>
    <n v="0.32"/>
    <n v="0.67"/>
    <n v="455.70000000000005"/>
    <n v="416.64"/>
    <x v="16"/>
    <s v="Buy"/>
    <n v="872.34"/>
    <x v="0"/>
    <x v="0"/>
    <n v="2025"/>
    <s v="Buy"/>
    <x v="0"/>
    <x v="678"/>
  </r>
  <r>
    <s v="IOC DAP Paradip June 9-18"/>
    <d v="2025-04-04T00:00:00"/>
    <s v="WTI Sprds"/>
    <s v="Hedge"/>
    <n v="450"/>
    <d v="2025-05-31T00:00:00"/>
    <d v="2025-06-30T00:00:00"/>
    <n v="0.32"/>
    <n v="0.67"/>
    <n v="157.50000000000003"/>
    <n v="144"/>
    <x v="16"/>
    <s v="Buy"/>
    <n v="301.5"/>
    <x v="0"/>
    <x v="0"/>
    <n v="2025"/>
    <s v="Buy"/>
    <x v="0"/>
    <x v="679"/>
  </r>
  <r>
    <s v="IOC DAP Paradip June 9-18"/>
    <d v="2025-04-04T00:00:00"/>
    <s v="DFL"/>
    <s v="Hedge"/>
    <n v="-2000"/>
    <d v="2025-05-31T00:00:00"/>
    <d v="2025-05-31T00:00:00"/>
    <n v="0.83"/>
    <n v="0.14121300000000001"/>
    <n v="1377.5739999999998"/>
    <n v="-1660"/>
    <x v="22"/>
    <s v="Sell"/>
    <n v="-282.42599999999999"/>
    <x v="1"/>
    <x v="1"/>
    <n v="2025"/>
    <s v="Sell"/>
    <x v="0"/>
    <x v="680"/>
  </r>
  <r>
    <s v="Unallocated"/>
    <d v="2025-04-07T00:00:00"/>
    <s v="WTI Sprds"/>
    <s v="Hedge"/>
    <n v="1191"/>
    <d v="2025-05-31T00:00:00"/>
    <d v="2025-06-30T00:00:00"/>
    <n v="0.32"/>
    <n v="0.67"/>
    <n v="416.85"/>
    <n v="381.12"/>
    <x v="16"/>
    <s v="Buy"/>
    <n v="797.97"/>
    <x v="0"/>
    <x v="0"/>
    <n v="2025"/>
    <s v="Buy"/>
    <x v="0"/>
    <x v="681"/>
  </r>
  <r>
    <s v="Unallocated"/>
    <d v="2025-04-08T00:00:00"/>
    <s v="WTI Sprds"/>
    <s v="Hedge"/>
    <n v="1000"/>
    <d v="2025-06-30T00:00:00"/>
    <d v="2025-07-31T00:00:00"/>
    <n v="0.32"/>
    <n v="0.55000000000000004"/>
    <n v="230.00000000000003"/>
    <n v="320"/>
    <x v="31"/>
    <s v="Buy"/>
    <n v="550"/>
    <x v="0"/>
    <x v="0"/>
    <n v="2025"/>
    <s v="Buy"/>
    <x v="0"/>
    <x v="682"/>
  </r>
  <r>
    <s v="Unallocated"/>
    <d v="2025-04-08T00:00:00"/>
    <s v="WTI Sprds"/>
    <s v="Hedge"/>
    <n v="1000"/>
    <d v="2025-07-31T00:00:00"/>
    <d v="2025-08-31T00:00:00"/>
    <n v="0.32"/>
    <n v="1.64"/>
    <n v="1319.9999999999998"/>
    <n v="320"/>
    <x v="33"/>
    <s v="Buy"/>
    <n v="1640"/>
    <x v="0"/>
    <x v="0"/>
    <n v="2025"/>
    <s v="Buy"/>
    <x v="0"/>
    <x v="683"/>
  </r>
  <r>
    <s v="Unallocated"/>
    <d v="2025-04-08T00:00:00"/>
    <s v="WTI Sprds"/>
    <s v="Hedge"/>
    <n v="1000"/>
    <d v="2025-08-31T00:00:00"/>
    <d v="2025-09-30T00:00:00"/>
    <n v="0.32"/>
    <n v="1.25"/>
    <n v="929.99999999999989"/>
    <n v="320"/>
    <x v="34"/>
    <s v="Buy"/>
    <n v="1250"/>
    <x v="0"/>
    <x v="0"/>
    <n v="2025"/>
    <s v="Buy"/>
    <x v="0"/>
    <x v="684"/>
  </r>
  <r>
    <s v="Unallocated"/>
    <d v="2025-04-08T00:00:00"/>
    <s v="WTI Sprds"/>
    <s v="Hedge"/>
    <n v="1000"/>
    <d v="2025-09-30T00:00:00"/>
    <d v="2025-10-31T00:00:00"/>
    <n v="0.32"/>
    <n v="0.57999999999999996"/>
    <n v="259.99999999999994"/>
    <n v="320"/>
    <x v="35"/>
    <s v="Buy"/>
    <n v="580"/>
    <x v="0"/>
    <x v="0"/>
    <n v="2025"/>
    <s v="Buy"/>
    <x v="0"/>
    <x v="685"/>
  </r>
  <r>
    <s v="Unallocated"/>
    <d v="2025-04-08T00:00:00"/>
    <s v="WTI Sprds"/>
    <s v="Hedge"/>
    <n v="1000"/>
    <d v="2025-10-31T00:00:00"/>
    <d v="2025-11-30T00:00:00"/>
    <n v="0.32"/>
    <n v="0.28000000000000003"/>
    <n v="-39.999999999999979"/>
    <n v="320"/>
    <x v="36"/>
    <s v="Buy"/>
    <n v="280"/>
    <x v="0"/>
    <x v="0"/>
    <n v="2025"/>
    <s v="Buy"/>
    <x v="0"/>
    <x v="686"/>
  </r>
  <r>
    <s v="Unallocated"/>
    <d v="2025-04-08T00:00:00"/>
    <s v="WTI Sprds"/>
    <s v="Hedge"/>
    <n v="1000"/>
    <d v="2025-11-30T00:00:00"/>
    <d v="2025-12-31T00:00:00"/>
    <n v="0.32"/>
    <n v="0.5"/>
    <n v="180"/>
    <n v="320"/>
    <x v="0"/>
    <s v="Buy"/>
    <n v="500"/>
    <x v="0"/>
    <x v="0"/>
    <n v="2025"/>
    <s v="Buy"/>
    <x v="0"/>
    <x v="687"/>
  </r>
  <r>
    <s v="Unallocated"/>
    <d v="2025-04-08T00:00:00"/>
    <s v="WTI Sprds"/>
    <s v="Hedge"/>
    <n v="-1000"/>
    <d v="2025-09-30T00:00:00"/>
    <d v="2025-10-31T00:00:00"/>
    <n v="0.13999999999999999"/>
    <n v="0.57999999999999996"/>
    <n v="-439.99999999999994"/>
    <n v="-139.99999999999997"/>
    <x v="35"/>
    <s v="Sell"/>
    <n v="-580"/>
    <x v="0"/>
    <x v="0"/>
    <n v="2025"/>
    <s v="Sell"/>
    <x v="0"/>
    <x v="688"/>
  </r>
  <r>
    <s v="Unallocated"/>
    <d v="2025-04-08T00:00:00"/>
    <s v="WTI Sprds"/>
    <s v="Hedge"/>
    <n v="-1000"/>
    <d v="2025-10-31T00:00:00"/>
    <d v="2025-11-30T00:00:00"/>
    <n v="0.13999999999999999"/>
    <n v="0.28000000000000003"/>
    <n v="-140.00000000000003"/>
    <n v="-139.99999999999997"/>
    <x v="36"/>
    <s v="Sell"/>
    <n v="-280"/>
    <x v="0"/>
    <x v="0"/>
    <n v="2025"/>
    <s v="Sell"/>
    <x v="0"/>
    <x v="689"/>
  </r>
  <r>
    <s v="Unallocated"/>
    <d v="2025-04-08T00:00:00"/>
    <s v="WTI Sprds"/>
    <s v="Hedge"/>
    <n v="-1000"/>
    <d v="2025-11-30T00:00:00"/>
    <d v="2025-12-31T00:00:00"/>
    <n v="0.13999999999999999"/>
    <n v="0.5"/>
    <n v="-360"/>
    <n v="-139.99999999999997"/>
    <x v="0"/>
    <s v="Sell"/>
    <n v="-500"/>
    <x v="0"/>
    <x v="0"/>
    <n v="2025"/>
    <s v="Sell"/>
    <x v="0"/>
    <x v="690"/>
  </r>
  <r>
    <s v="Unallocated"/>
    <d v="2025-04-09T00:00:00"/>
    <s v="Brent Sprds"/>
    <s v="Hedge"/>
    <n v="-250"/>
    <d v="2025-06-30T00:00:00"/>
    <d v="2025-07-31T00:00:00"/>
    <n v="0.4"/>
    <n v="2.06"/>
    <n v="-415.00000000000006"/>
    <n v="-100"/>
    <x v="31"/>
    <s v="Sell"/>
    <n v="-515"/>
    <x v="0"/>
    <x v="2"/>
    <n v="2025"/>
    <s v="Sell"/>
    <x v="0"/>
    <x v="691"/>
  </r>
  <r>
    <s v="Unallocated"/>
    <d v="2025-04-09T00:00:00"/>
    <s v="Brent Sprds"/>
    <s v="Hedge"/>
    <n v="-250"/>
    <d v="2025-06-30T00:00:00"/>
    <d v="2025-07-31T00:00:00"/>
    <n v="0.41"/>
    <n v="2.06"/>
    <n v="-412.50000000000006"/>
    <n v="-102.5"/>
    <x v="31"/>
    <s v="Sell"/>
    <n v="-515"/>
    <x v="0"/>
    <x v="2"/>
    <n v="2025"/>
    <s v="Sell"/>
    <x v="0"/>
    <x v="692"/>
  </r>
  <r>
    <s v="Unallocated"/>
    <d v="2025-04-09T00:00:00"/>
    <s v="Brent Sprds"/>
    <s v="Hedge"/>
    <n v="-200"/>
    <d v="2025-06-30T00:00:00"/>
    <d v="2025-07-31T00:00:00"/>
    <n v="0.42"/>
    <n v="2.06"/>
    <n v="-328"/>
    <n v="-84"/>
    <x v="31"/>
    <s v="Sell"/>
    <n v="-412"/>
    <x v="0"/>
    <x v="2"/>
    <n v="2025"/>
    <s v="Sell"/>
    <x v="0"/>
    <x v="693"/>
  </r>
  <r>
    <s v="Unallocated"/>
    <d v="2025-04-09T00:00:00"/>
    <s v="Brent Sprds"/>
    <s v="Hedge"/>
    <n v="-150"/>
    <d v="2025-06-30T00:00:00"/>
    <d v="2025-07-31T00:00:00"/>
    <n v="0.43"/>
    <n v="2.06"/>
    <n v="-244.50000000000003"/>
    <n v="-64.5"/>
    <x v="31"/>
    <s v="Sell"/>
    <n v="-309"/>
    <x v="0"/>
    <x v="2"/>
    <n v="2025"/>
    <s v="Sell"/>
    <x v="0"/>
    <x v="694"/>
  </r>
  <r>
    <s v="Unallocated"/>
    <d v="2025-04-09T00:00:00"/>
    <s v="Brent Sprds"/>
    <s v="Hedge"/>
    <n v="-150"/>
    <d v="2025-06-30T00:00:00"/>
    <d v="2025-07-31T00:00:00"/>
    <n v="0.44"/>
    <n v="2.06"/>
    <n v="-243.00000000000003"/>
    <n v="-66"/>
    <x v="31"/>
    <s v="Sell"/>
    <n v="-309"/>
    <x v="0"/>
    <x v="2"/>
    <n v="2025"/>
    <s v="Sell"/>
    <x v="0"/>
    <x v="695"/>
  </r>
  <r>
    <s v="Unallocated"/>
    <d v="2025-04-09T00:00:00"/>
    <s v="WTI Sprds"/>
    <s v="Hedge"/>
    <n v="-1000"/>
    <d v="2025-06-30T00:00:00"/>
    <d v="2025-07-31T00:00:00"/>
    <n v="0.22666666666666668"/>
    <n v="0.55000000000000004"/>
    <n v="-323.33333333333337"/>
    <n v="-226.66666666666669"/>
    <x v="31"/>
    <s v="Sell"/>
    <n v="-550"/>
    <x v="0"/>
    <x v="0"/>
    <n v="2025"/>
    <s v="Sell"/>
    <x v="0"/>
    <x v="696"/>
  </r>
  <r>
    <s v="Unallocated"/>
    <d v="2025-04-09T00:00:00"/>
    <s v="WTI Sprds"/>
    <s v="Hedge"/>
    <n v="-1000"/>
    <d v="2025-07-31T00:00:00"/>
    <d v="2025-08-31T00:00:00"/>
    <n v="0.22666666666666668"/>
    <n v="1.64"/>
    <n v="-1413.333333333333"/>
    <n v="-226.66666666666669"/>
    <x v="33"/>
    <s v="Sell"/>
    <n v="-1640"/>
    <x v="0"/>
    <x v="0"/>
    <n v="2025"/>
    <s v="Sell"/>
    <x v="0"/>
    <x v="697"/>
  </r>
  <r>
    <s v="Unallocated"/>
    <d v="2025-04-09T00:00:00"/>
    <s v="WTI Sprds"/>
    <s v="Hedge"/>
    <n v="-1000"/>
    <d v="2025-08-31T00:00:00"/>
    <d v="2025-09-30T00:00:00"/>
    <n v="0.22666666666666668"/>
    <n v="1.25"/>
    <n v="-1023.3333333333335"/>
    <n v="-226.66666666666669"/>
    <x v="34"/>
    <s v="Sell"/>
    <n v="-1250"/>
    <x v="0"/>
    <x v="0"/>
    <n v="2025"/>
    <s v="Sell"/>
    <x v="0"/>
    <x v="698"/>
  </r>
  <r>
    <s v="Unallocated"/>
    <d v="2025-04-09T00:00:00"/>
    <s v="WTI Sprds"/>
    <s v="Hedge"/>
    <n v="2000"/>
    <d v="2025-05-31T00:00:00"/>
    <d v="2025-06-30T00:00:00"/>
    <n v="0.46"/>
    <n v="0.67"/>
    <n v="420.00000000000006"/>
    <n v="920"/>
    <x v="16"/>
    <s v="Buy"/>
    <n v="1340"/>
    <x v="0"/>
    <x v="0"/>
    <n v="2025"/>
    <s v="Buy"/>
    <x v="0"/>
    <x v="699"/>
  </r>
  <r>
    <s v="Unallocated"/>
    <d v="2025-04-09T00:00:00"/>
    <s v="WTI Sprds"/>
    <s v="Hedge"/>
    <n v="-2000"/>
    <d v="2025-06-30T00:00:00"/>
    <d v="2025-07-31T00:00:00"/>
    <n v="0.42"/>
    <n v="0.55000000000000004"/>
    <n v="-260.00000000000011"/>
    <n v="-840"/>
    <x v="31"/>
    <s v="Sell"/>
    <n v="-1100"/>
    <x v="0"/>
    <x v="0"/>
    <n v="2025"/>
    <s v="Sell"/>
    <x v="0"/>
    <x v="700"/>
  </r>
  <r>
    <s v="Unallocated"/>
    <d v="2025-04-09T00:00:00"/>
    <s v="WTI Sprds"/>
    <s v="Hedge"/>
    <n v="2000"/>
    <d v="2025-05-31T00:00:00"/>
    <d v="2025-06-30T00:00:00"/>
    <n v="0.46"/>
    <n v="0.67"/>
    <n v="420.00000000000006"/>
    <n v="920"/>
    <x v="16"/>
    <s v="Buy"/>
    <n v="1340"/>
    <x v="0"/>
    <x v="0"/>
    <n v="2025"/>
    <s v="Buy"/>
    <x v="0"/>
    <x v="701"/>
  </r>
  <r>
    <s v="Unallocated"/>
    <d v="2025-04-09T00:00:00"/>
    <s v="WTI Sprds"/>
    <s v="Hedge"/>
    <n v="-2000"/>
    <d v="2025-06-30T00:00:00"/>
    <d v="2025-07-31T00:00:00"/>
    <n v="0.42"/>
    <n v="0.55000000000000004"/>
    <n v="-260.00000000000011"/>
    <n v="-840"/>
    <x v="31"/>
    <s v="Sell"/>
    <n v="-1100"/>
    <x v="0"/>
    <x v="0"/>
    <n v="2025"/>
    <s v="Sell"/>
    <x v="0"/>
    <x v="702"/>
  </r>
  <r>
    <s v="Unallocated"/>
    <d v="2025-04-09T00:00:00"/>
    <s v="WTI Sprds"/>
    <s v="Hedge"/>
    <n v="1000"/>
    <d v="2025-05-31T00:00:00"/>
    <d v="2025-06-30T00:00:00"/>
    <n v="0.49"/>
    <n v="0.67"/>
    <n v="180.00000000000006"/>
    <n v="490"/>
    <x v="16"/>
    <s v="Buy"/>
    <n v="670"/>
    <x v="0"/>
    <x v="0"/>
    <n v="2025"/>
    <s v="Buy"/>
    <x v="0"/>
    <x v="703"/>
  </r>
  <r>
    <s v="Unallocated"/>
    <d v="2025-04-09T00:00:00"/>
    <s v="WTI Sprds"/>
    <s v="Hedge"/>
    <n v="1000"/>
    <d v="2025-06-30T00:00:00"/>
    <d v="2025-07-31T00:00:00"/>
    <n v="0.49"/>
    <n v="0.55000000000000004"/>
    <n v="60.000000000000057"/>
    <n v="490"/>
    <x v="31"/>
    <s v="Buy"/>
    <n v="550"/>
    <x v="0"/>
    <x v="0"/>
    <n v="2025"/>
    <s v="Buy"/>
    <x v="0"/>
    <x v="704"/>
  </r>
  <r>
    <s v="Unallocated"/>
    <d v="2025-04-09T00:00:00"/>
    <s v="Freight-TD25"/>
    <s v="Hedge"/>
    <m/>
    <d v="2025-04-30T00:00:00"/>
    <d v="2025-04-30T00:00:00"/>
    <n v="185"/>
    <n v="185"/>
    <n v="-600"/>
    <n v="0"/>
    <x v="21"/>
    <s v="Buy"/>
    <n v="0"/>
    <x v="3"/>
    <x v="5"/>
    <n v="2025"/>
    <s v="Sell"/>
    <x v="0"/>
    <x v="705"/>
  </r>
  <r>
    <s v="Unallocated"/>
    <d v="2025-04-09T00:00:00"/>
    <s v="WTI Sprds"/>
    <s v="Hedge"/>
    <m/>
    <d v="2025-05-31T00:00:00"/>
    <d v="2025-06-30T00:00:00"/>
    <n v="0.46"/>
    <n v="0.67"/>
    <n v="600"/>
    <n v="0"/>
    <x v="16"/>
    <s v="Buy"/>
    <n v="0"/>
    <x v="0"/>
    <x v="0"/>
    <n v="2025"/>
    <s v="Sell"/>
    <x v="0"/>
    <x v="706"/>
  </r>
  <r>
    <s v="Unallocated"/>
    <d v="2025-04-10T00:00:00"/>
    <s v="WTI-Brent"/>
    <s v="Hedge"/>
    <n v="500"/>
    <d v="2025-06-30T00:00:00"/>
    <d v="2025-06-30T00:00:00"/>
    <n v="-3.75"/>
    <n v="-4.91"/>
    <n v="-580.00000000000011"/>
    <n v="-1875"/>
    <x v="30"/>
    <s v="Buy"/>
    <n v="-2455"/>
    <x v="1"/>
    <x v="3"/>
    <n v="2025"/>
    <s v="Buy"/>
    <x v="0"/>
    <x v="707"/>
  </r>
  <r>
    <s v="Unallocated"/>
    <d v="2025-04-10T00:00:00"/>
    <s v="WTI-Brent"/>
    <s v="Hedge"/>
    <n v="250"/>
    <d v="2025-06-30T00:00:00"/>
    <d v="2025-06-30T00:00:00"/>
    <n v="-3.78"/>
    <n v="-4.91"/>
    <n v="-282.50000000000006"/>
    <n v="-945"/>
    <x v="30"/>
    <s v="Buy"/>
    <n v="-1227.5"/>
    <x v="1"/>
    <x v="3"/>
    <n v="2025"/>
    <s v="Buy"/>
    <x v="0"/>
    <x v="708"/>
  </r>
  <r>
    <s v="Unallocated"/>
    <d v="2025-04-10T00:00:00"/>
    <s v="WTI Sprds"/>
    <s v="Hedge"/>
    <n v="500"/>
    <d v="2025-06-30T00:00:00"/>
    <d v="2025-07-31T00:00:00"/>
    <n v="0.43"/>
    <n v="0.55000000000000004"/>
    <n v="60.000000000000028"/>
    <n v="215"/>
    <x v="31"/>
    <s v="Buy"/>
    <n v="275"/>
    <x v="0"/>
    <x v="0"/>
    <n v="2025"/>
    <s v="Buy"/>
    <x v="0"/>
    <x v="709"/>
  </r>
  <r>
    <s v="Unallocated"/>
    <d v="2025-04-10T00:00:00"/>
    <s v="WTI Sprds"/>
    <s v="Hedge"/>
    <m/>
    <d v="2025-06-30T00:00:00"/>
    <d v="2025-07-31T00:00:00"/>
    <n v="0.42"/>
    <n v="0.55000000000000004"/>
    <n v="0"/>
    <n v="0"/>
    <x v="31"/>
    <s v="Buy"/>
    <n v="0"/>
    <x v="0"/>
    <x v="0"/>
    <n v="2025"/>
    <s v="Sell"/>
    <x v="0"/>
    <x v="710"/>
  </r>
  <r>
    <s v="Unallocated"/>
    <d v="2025-04-10T00:00:00"/>
    <s v="DFL"/>
    <s v="Hedge"/>
    <n v="-800"/>
    <d v="2025-05-31T00:00:00"/>
    <d v="2025-05-31T00:00:00"/>
    <n v="0.85"/>
    <n v="0.14121300000000001"/>
    <n v="567.02959999999996"/>
    <n v="-680"/>
    <x v="22"/>
    <s v="Sell"/>
    <n v="-112.9704"/>
    <x v="1"/>
    <x v="1"/>
    <n v="2025"/>
    <s v="Sell"/>
    <x v="0"/>
    <x v="711"/>
  </r>
  <r>
    <s v="Unallocated"/>
    <d v="2025-04-02T00:00:00"/>
    <s v="WTI Sprds-Fly"/>
    <s v="Hedge"/>
    <n v="-1000"/>
    <d v="2025-05-31T00:00:00"/>
    <d v="2025-06-30T00:00:00"/>
    <n v="0.44"/>
    <n v="0.67"/>
    <n v="-230.00000000000003"/>
    <n v="-440"/>
    <x v="16"/>
    <s v="Sell"/>
    <n v="-670"/>
    <x v="0"/>
    <x v="0"/>
    <n v="2025"/>
    <s v="Sell"/>
    <x v="0"/>
    <x v="712"/>
  </r>
  <r>
    <s v="Unallocated"/>
    <d v="2025-04-02T00:00:00"/>
    <s v="WTI Sprds-Fly"/>
    <s v="Hedge"/>
    <n v="1000"/>
    <d v="2025-06-30T00:00:00"/>
    <d v="2025-07-31T00:00:00"/>
    <n v="0.45"/>
    <n v="0.55000000000000004"/>
    <n v="100.00000000000003"/>
    <n v="450"/>
    <x v="31"/>
    <s v="Buy"/>
    <n v="550"/>
    <x v="0"/>
    <x v="0"/>
    <n v="2025"/>
    <s v="Buy"/>
    <x v="0"/>
    <x v="713"/>
  </r>
  <r>
    <s v="Unallocated"/>
    <d v="2025-04-02T00:00:00"/>
    <s v="WTI Sprds"/>
    <s v="Hedge"/>
    <n v="1000"/>
    <d v="2025-05-31T00:00:00"/>
    <d v="2025-06-30T00:00:00"/>
    <n v="0.44"/>
    <n v="0.67"/>
    <n v="230.00000000000003"/>
    <n v="440"/>
    <x v="16"/>
    <s v="Buy"/>
    <n v="670"/>
    <x v="0"/>
    <x v="0"/>
    <n v="2025"/>
    <s v="Buy"/>
    <x v="0"/>
    <x v="714"/>
  </r>
  <r>
    <s v="Unallocated"/>
    <d v="2025-04-02T00:00:00"/>
    <s v="WTI Sprds"/>
    <s v="Hedge"/>
    <n v="-1000"/>
    <d v="2025-06-30T00:00:00"/>
    <d v="2025-07-31T00:00:00"/>
    <n v="0.45"/>
    <n v="0.55000000000000004"/>
    <n v="-100.00000000000003"/>
    <n v="-450"/>
    <x v="31"/>
    <s v="Sell"/>
    <n v="-550"/>
    <x v="0"/>
    <x v="0"/>
    <n v="2025"/>
    <s v="Sell"/>
    <x v="0"/>
    <x v="715"/>
  </r>
  <r>
    <s v="Unallocated"/>
    <d v="2025-04-11T00:00:00"/>
    <s v="WTI Sprds"/>
    <s v="Hedge"/>
    <n v="2000"/>
    <d v="2025-06-30T00:00:00"/>
    <d v="2025-07-31T00:00:00"/>
    <n v="0.56000000000000005"/>
    <n v="0.55000000000000004"/>
    <n v="-20.000000000000018"/>
    <n v="1120"/>
    <x v="31"/>
    <s v="Buy"/>
    <n v="1100"/>
    <x v="0"/>
    <x v="0"/>
    <n v="2025"/>
    <s v="Buy"/>
    <x v="0"/>
    <x v="716"/>
  </r>
  <r>
    <s v="Unallocated"/>
    <d v="2025-04-11T00:00:00"/>
    <s v="Brent Sprds"/>
    <s v="Hedge"/>
    <n v="2000"/>
    <d v="2025-07-31T00:00:00"/>
    <d v="2025-08-31T00:00:00"/>
    <n v="0.59"/>
    <n v="1.1200000000000001"/>
    <n v="1060.0000000000002"/>
    <n v="1180"/>
    <x v="33"/>
    <s v="Buy"/>
    <n v="2240"/>
    <x v="0"/>
    <x v="2"/>
    <n v="2025"/>
    <s v="Buy"/>
    <x v="0"/>
    <x v="717"/>
  </r>
  <r>
    <s v="Unallocated"/>
    <d v="2025-04-14T00:00:00"/>
    <s v="WTI Sprds"/>
    <s v="Hedge"/>
    <n v="-1500"/>
    <d v="2025-05-31T00:00:00"/>
    <d v="2025-06-30T00:00:00"/>
    <n v="0.48"/>
    <n v="0.67"/>
    <n v="-285.00000000000011"/>
    <n v="-720"/>
    <x v="16"/>
    <s v="Sell"/>
    <n v="-1005.0000000000001"/>
    <x v="0"/>
    <x v="0"/>
    <n v="2025"/>
    <s v="Sell"/>
    <x v="0"/>
    <x v="718"/>
  </r>
  <r>
    <s v="Unallocated"/>
    <d v="2025-04-14T00:00:00"/>
    <s v="WTI Sprds"/>
    <s v="Hedge"/>
    <n v="1500"/>
    <d v="2025-06-30T00:00:00"/>
    <d v="2025-07-31T00:00:00"/>
    <n v="0.45"/>
    <n v="0.55000000000000004"/>
    <n v="150.00000000000006"/>
    <n v="675"/>
    <x v="31"/>
    <s v="Buy"/>
    <n v="825.00000000000011"/>
    <x v="0"/>
    <x v="0"/>
    <n v="2025"/>
    <s v="Buy"/>
    <x v="0"/>
    <x v="719"/>
  </r>
  <r>
    <s v="Unallocated"/>
    <d v="2025-04-16T00:00:00"/>
    <s v="WTI Sprds"/>
    <s v="Hedge"/>
    <n v="500"/>
    <d v="2025-05-31T00:00:00"/>
    <d v="2025-06-30T00:00:00"/>
    <n v="0.56999999999999995"/>
    <n v="0.67"/>
    <n v="50.000000000000043"/>
    <n v="285"/>
    <x v="16"/>
    <s v="Buy"/>
    <n v="335"/>
    <x v="0"/>
    <x v="0"/>
    <n v="2025"/>
    <s v="Buy"/>
    <x v="0"/>
    <x v="720"/>
  </r>
  <r>
    <s v="Unallocated"/>
    <d v="2025-04-16T00:00:00"/>
    <s v="WTI Sprds"/>
    <s v="Hedge"/>
    <n v="500"/>
    <d v="2025-06-30T00:00:00"/>
    <d v="2025-07-31T00:00:00"/>
    <n v="0.52"/>
    <n v="0.55000000000000004"/>
    <n v="15.000000000000014"/>
    <n v="260"/>
    <x v="31"/>
    <s v="Buy"/>
    <n v="275"/>
    <x v="0"/>
    <x v="0"/>
    <n v="2025"/>
    <s v="Buy"/>
    <x v="0"/>
    <x v="721"/>
  </r>
  <r>
    <s v="Unallocated"/>
    <d v="2025-04-16T00:00:00"/>
    <s v="Brent Sprds"/>
    <s v="Hedge"/>
    <n v="500"/>
    <d v="2025-06-30T00:00:00"/>
    <d v="2025-07-31T00:00:00"/>
    <n v="0.88"/>
    <n v="2.06"/>
    <n v="590.00000000000011"/>
    <n v="440"/>
    <x v="31"/>
    <s v="Buy"/>
    <n v="1030"/>
    <x v="0"/>
    <x v="2"/>
    <n v="2025"/>
    <s v="Buy"/>
    <x v="0"/>
    <x v="722"/>
  </r>
  <r>
    <s v="Taiyo CFR Malaysia Jul 14-23"/>
    <d v="2025-04-17T00:00:00"/>
    <s v="Physical"/>
    <s v="Expo"/>
    <n v="1198"/>
    <d v="2025-05-31T00:00:00"/>
    <d v="2025-05-31T00:00:00"/>
    <n v="4.4113465826466314"/>
    <n v="4.3600000000000003"/>
    <n v="-61.513206010664007"/>
    <n v="5344.4562772661166"/>
    <x v="22"/>
    <s v="Buy"/>
    <n v="5223.2800000000007"/>
    <x v="2"/>
    <x v="4"/>
    <n v="2025"/>
    <s v="Buy"/>
    <x v="1"/>
    <x v="723"/>
  </r>
  <r>
    <s v="Taiyo CFR Malaysia Jul 14-23"/>
    <d v="2025-04-17T00:00:00"/>
    <s v="Physical"/>
    <s v="Expo"/>
    <n v="550"/>
    <d v="2025-05-31T00:00:00"/>
    <d v="2025-05-31T00:00:00"/>
    <n v="4.511346582646631"/>
    <n v="4.3600000000000003"/>
    <n v="-83.240620455646891"/>
    <n v="2508.631846825012"/>
    <x v="22"/>
    <s v="Buy"/>
    <n v="2398"/>
    <x v="2"/>
    <x v="4"/>
    <n v="2025"/>
    <s v="Buy"/>
    <x v="1"/>
    <x v="724"/>
  </r>
  <r>
    <s v="Taiyo CFR Malaysia Jul 14-23"/>
    <d v="2025-04-17T00:00:00"/>
    <s v="Physical"/>
    <s v="Expo"/>
    <n v="315"/>
    <d v="2025-05-31T00:00:00"/>
    <d v="2025-05-31T00:00:00"/>
    <n v="4.3113465826466308"/>
    <n v="4.16"/>
    <n v="-47.674173533688673"/>
    <n v="1373.7618759088705"/>
    <x v="22"/>
    <s v="Buy"/>
    <n v="1310.4000000000001"/>
    <x v="2"/>
    <x v="4"/>
    <n v="2025"/>
    <s v="Buy"/>
    <x v="1"/>
    <x v="725"/>
  </r>
  <r>
    <s v="Taiyo CFR Malaysia Jul 14-23"/>
    <d v="2025-04-17T00:00:00"/>
    <s v="WTI Sprds"/>
    <s v="Expo"/>
    <n v="-2100"/>
    <d v="2025-05-31T00:00:00"/>
    <d v="2025-06-30T00:00:00"/>
    <n v="0.65"/>
    <n v="0.67"/>
    <n v="-42.000000000000036"/>
    <n v="-1365"/>
    <x v="16"/>
    <s v="Sell"/>
    <n v="-1407"/>
    <x v="0"/>
    <x v="0"/>
    <n v="2025"/>
    <s v="Sell"/>
    <x v="0"/>
    <x v="726"/>
  </r>
  <r>
    <s v="Taiyo CFR Malaysia Jul 14-23"/>
    <d v="2025-04-17T00:00:00"/>
    <s v="WTI Sprds"/>
    <s v="Expo"/>
    <n v="-2100"/>
    <d v="2025-06-30T00:00:00"/>
    <d v="2025-07-31T00:00:00"/>
    <n v="0.63"/>
    <n v="0.55000000000000004"/>
    <n v="167.99999999999991"/>
    <n v="-1323"/>
    <x v="31"/>
    <s v="Sell"/>
    <n v="-1155"/>
    <x v="0"/>
    <x v="0"/>
    <n v="2025"/>
    <s v="Sell"/>
    <x v="0"/>
    <x v="727"/>
  </r>
  <r>
    <s v="Taiyo CFR Malaysia Jul 14-23"/>
    <d v="2025-04-17T00:00:00"/>
    <s v="WTI-Brent"/>
    <s v="Expo"/>
    <n v="-2063"/>
    <d v="2025-07-31T00:00:00"/>
    <d v="2025-07-31T00:00:00"/>
    <n v="-3.69"/>
    <n v="-3.11"/>
    <n v="-1196.5400000000002"/>
    <n v="7612.47"/>
    <x v="32"/>
    <s v="Sell"/>
    <n v="6415.9299999999994"/>
    <x v="1"/>
    <x v="3"/>
    <n v="2025"/>
    <s v="Sell"/>
    <x v="0"/>
    <x v="728"/>
  </r>
  <r>
    <s v="Taiyo CFR Malaysia Jul 14-23"/>
    <d v="2025-04-17T00:00:00"/>
    <s v="Brent Sprds"/>
    <s v="Expo"/>
    <n v="-2063"/>
    <d v="2025-07-31T00:00:00"/>
    <d v="2025-08-31T00:00:00"/>
    <n v="0.64"/>
    <n v="1.1200000000000001"/>
    <n v="-990.24000000000024"/>
    <n v="-1320.32"/>
    <x v="33"/>
    <s v="Sell"/>
    <n v="-2310.5600000000004"/>
    <x v="0"/>
    <x v="2"/>
    <n v="2025"/>
    <s v="Sell"/>
    <x v="0"/>
    <x v="729"/>
  </r>
  <r>
    <s v="Taiyo CFR Malaysia Jul 14-23"/>
    <d v="2025-04-17T00:00:00"/>
    <s v="Brent Sprds"/>
    <s v="Expo"/>
    <n v="-2063"/>
    <d v="2025-08-31T00:00:00"/>
    <d v="2025-09-30T00:00:00"/>
    <n v="0.46"/>
    <n v="0.87"/>
    <n v="-845.82999999999993"/>
    <n v="-948.98"/>
    <x v="34"/>
    <s v="Sell"/>
    <n v="-1794.81"/>
    <x v="0"/>
    <x v="2"/>
    <n v="2025"/>
    <s v="Sell"/>
    <x v="0"/>
    <x v="730"/>
  </r>
  <r>
    <s v="Exxon CIF Rotts May 15-19"/>
    <d v="2025-04-17T00:00:00"/>
    <s v="Physical"/>
    <s v="Expo"/>
    <n v="700"/>
    <d v="2025-05-31T00:00:00"/>
    <d v="2025-05-31T00:00:00"/>
    <n v="2.33"/>
    <n v="2"/>
    <n v="-231.00000000000006"/>
    <n v="1631"/>
    <x v="22"/>
    <s v="Buy"/>
    <n v="1400"/>
    <x v="2"/>
    <x v="4"/>
    <n v="2025"/>
    <s v="Buy"/>
    <x v="1"/>
    <x v="731"/>
  </r>
  <r>
    <s v="Exxon CIF Rotts May 15-19"/>
    <d v="2025-04-17T00:00:00"/>
    <s v="WTI Sprds"/>
    <s v="Expo"/>
    <n v="-700"/>
    <d v="2025-05-31T00:00:00"/>
    <d v="2025-06-30T00:00:00"/>
    <n v="0.64"/>
    <n v="0.67"/>
    <n v="-21.000000000000018"/>
    <n v="-448"/>
    <x v="16"/>
    <s v="Sell"/>
    <n v="-469"/>
    <x v="0"/>
    <x v="0"/>
    <n v="2025"/>
    <s v="Sell"/>
    <x v="0"/>
    <x v="732"/>
  </r>
  <r>
    <s v="Exxon CIF Rotts May 15-19"/>
    <d v="2025-04-17T00:00:00"/>
    <s v="WTI-Brent"/>
    <s v="Expo"/>
    <n v="-700"/>
    <d v="2025-06-30T00:00:00"/>
    <d v="2025-06-30T00:00:00"/>
    <n v="-3.96"/>
    <n v="-4.91"/>
    <n v="665.00000000000011"/>
    <n v="2772"/>
    <x v="30"/>
    <s v="Sell"/>
    <n v="3437"/>
    <x v="1"/>
    <x v="3"/>
    <n v="2025"/>
    <s v="Sell"/>
    <x v="0"/>
    <x v="733"/>
  </r>
  <r>
    <s v="Exxon CIF Rotts May 15-19"/>
    <d v="2025-04-17T00:00:00"/>
    <s v="Brent Sprds"/>
    <s v="Expo"/>
    <n v="-700"/>
    <d v="2025-06-30T00:00:00"/>
    <d v="2025-07-31T00:00:00"/>
    <n v="0.88"/>
    <n v="2.06"/>
    <n v="-826.00000000000011"/>
    <n v="-616"/>
    <x v="31"/>
    <s v="Sell"/>
    <n v="-1442"/>
    <x v="0"/>
    <x v="2"/>
    <n v="2025"/>
    <s v="Sell"/>
    <x v="0"/>
    <x v="734"/>
  </r>
  <r>
    <s v="Exxon CIF Rotts May 15-19"/>
    <d v="2025-04-17T00:00:00"/>
    <s v="DFL"/>
    <s v="Expo"/>
    <n v="700"/>
    <d v="2025-05-31T00:00:00"/>
    <d v="2025-05-31T00:00:00"/>
    <n v="1.26"/>
    <n v="0.14121300000000001"/>
    <n v="-783.15089999999998"/>
    <n v="882"/>
    <x v="22"/>
    <s v="Buy"/>
    <n v="98.849100000000007"/>
    <x v="1"/>
    <x v="1"/>
    <n v="2025"/>
    <s v="Buy"/>
    <x v="0"/>
    <x v="735"/>
  </r>
  <r>
    <s v="Exxon CIF Rotts May 16-20"/>
    <d v="2025-04-17T00:00:00"/>
    <s v="Physical"/>
    <s v="Expo"/>
    <n v="700"/>
    <d v="2025-05-31T00:00:00"/>
    <d v="2025-05-31T00:00:00"/>
    <n v="2.33"/>
    <n v="2"/>
    <n v="-231.00000000000006"/>
    <n v="1631"/>
    <x v="22"/>
    <s v="Buy"/>
    <n v="1400"/>
    <x v="2"/>
    <x v="4"/>
    <n v="2025"/>
    <s v="Buy"/>
    <x v="1"/>
    <x v="736"/>
  </r>
  <r>
    <s v="Exxon CIF Rotts May 16-20"/>
    <d v="2025-04-17T00:00:00"/>
    <s v="WTI Sprds"/>
    <s v="Expo"/>
    <n v="-700"/>
    <d v="2025-05-31T00:00:00"/>
    <d v="2025-06-30T00:00:00"/>
    <n v="0.64"/>
    <n v="0.67"/>
    <n v="-21.000000000000018"/>
    <n v="-448"/>
    <x v="16"/>
    <s v="Sell"/>
    <n v="-469"/>
    <x v="0"/>
    <x v="0"/>
    <n v="2025"/>
    <s v="Sell"/>
    <x v="0"/>
    <x v="737"/>
  </r>
  <r>
    <s v="Exxon CIF Rotts May 16-20"/>
    <d v="2025-04-17T00:00:00"/>
    <s v="WTI-Brent"/>
    <s v="Expo"/>
    <n v="-700"/>
    <d v="2025-06-30T00:00:00"/>
    <d v="2025-06-30T00:00:00"/>
    <n v="-3.96"/>
    <n v="-4.91"/>
    <n v="665.00000000000011"/>
    <n v="2772"/>
    <x v="30"/>
    <s v="Sell"/>
    <n v="3437"/>
    <x v="1"/>
    <x v="3"/>
    <n v="2025"/>
    <s v="Sell"/>
    <x v="0"/>
    <x v="738"/>
  </r>
  <r>
    <s v="Exxon CIF Rotts May 16-20"/>
    <d v="2025-04-17T00:00:00"/>
    <s v="Brent Sprds"/>
    <s v="Expo"/>
    <n v="-700"/>
    <d v="2025-06-30T00:00:00"/>
    <d v="2025-07-31T00:00:00"/>
    <n v="0.88"/>
    <n v="2.06"/>
    <n v="-826.00000000000011"/>
    <n v="-616"/>
    <x v="31"/>
    <s v="Sell"/>
    <n v="-1442"/>
    <x v="0"/>
    <x v="2"/>
    <n v="2025"/>
    <s v="Sell"/>
    <x v="0"/>
    <x v="739"/>
  </r>
  <r>
    <s v="Exxon CIF Rotts May 16-20"/>
    <d v="2025-04-17T00:00:00"/>
    <s v="DFL"/>
    <s v="Expo"/>
    <n v="700"/>
    <d v="2025-05-31T00:00:00"/>
    <d v="2025-05-31T00:00:00"/>
    <n v="1.26"/>
    <n v="0.14121300000000001"/>
    <n v="-783.15089999999998"/>
    <n v="882"/>
    <x v="22"/>
    <s v="Buy"/>
    <n v="98.849100000000007"/>
    <x v="1"/>
    <x v="1"/>
    <n v="2025"/>
    <s v="Buy"/>
    <x v="0"/>
    <x v="740"/>
  </r>
  <r>
    <s v="Unallocated"/>
    <d v="2025-04-16T00:00:00"/>
    <s v="WTI Sprds"/>
    <s v="Hedge"/>
    <n v="2000"/>
    <d v="2025-05-31T00:00:00"/>
    <d v="2025-06-30T00:00:00"/>
    <n v="0.67"/>
    <n v="0.67"/>
    <n v="0"/>
    <n v="1340"/>
    <x v="16"/>
    <s v="Buy"/>
    <n v="1340"/>
    <x v="0"/>
    <x v="0"/>
    <n v="2025"/>
    <s v="Buy"/>
    <x v="0"/>
    <x v="741"/>
  </r>
  <r>
    <s v="Unallocated"/>
    <d v="2025-04-17T00:00:00"/>
    <s v="MEH"/>
    <s v="Expo"/>
    <n v="-865"/>
    <d v="2025-05-31T00:00:00"/>
    <d v="2025-05-31T00:00:00"/>
    <n v="1.3"/>
    <n v="1.0900000000000001"/>
    <n v="181.64999999999998"/>
    <n v="-1124.5"/>
    <x v="22"/>
    <s v="Sell"/>
    <n v="-942.85"/>
    <x v="1"/>
    <x v="7"/>
    <n v="2025"/>
    <s v="Sell"/>
    <x v="0"/>
    <x v="742"/>
  </r>
  <r>
    <s v="Unallocated"/>
    <d v="2025-04-25T00:00:00"/>
    <s v="MEH"/>
    <s v="Hedge"/>
    <n v="865"/>
    <d v="2025-05-31T00:00:00"/>
    <d v="2025-05-31T00:00:00"/>
    <n v="1.0900000000000001"/>
    <n v="1.0900000000000001"/>
    <n v="0"/>
    <n v="942.85"/>
    <x v="22"/>
    <s v="Buy"/>
    <n v="942.85"/>
    <x v="1"/>
    <x v="7"/>
    <n v="2025"/>
    <s v="Buy"/>
    <x v="0"/>
    <x v="743"/>
  </r>
  <r>
    <s v="Unallocated"/>
    <d v="2025-04-17T00:00:00"/>
    <s v="WTI Sprds"/>
    <s v="Hedge"/>
    <n v="2000"/>
    <d v="2025-05-31T00:00:00"/>
    <d v="2025-06-30T00:00:00"/>
    <n v="0.67"/>
    <n v="0.67"/>
    <n v="0"/>
    <n v="1340"/>
    <x v="16"/>
    <s v="Buy"/>
    <n v="1340"/>
    <x v="0"/>
    <x v="0"/>
    <n v="2025"/>
    <s v="Buy"/>
    <x v="0"/>
    <x v="744"/>
  </r>
  <r>
    <s v="Unallocated"/>
    <d v="2025-04-17T00:00:00"/>
    <s v="WTI Sprds"/>
    <s v="Hedge"/>
    <n v="2000"/>
    <d v="2025-06-30T00:00:00"/>
    <d v="2025-07-31T00:00:00"/>
    <n v="0.67"/>
    <n v="0.55000000000000004"/>
    <n v="-240"/>
    <n v="1340"/>
    <x v="31"/>
    <s v="Buy"/>
    <n v="1100"/>
    <x v="0"/>
    <x v="0"/>
    <n v="2025"/>
    <s v="Buy"/>
    <x v="0"/>
    <x v="745"/>
  </r>
  <r>
    <s v="Unallocated"/>
    <d v="2025-04-17T00:00:00"/>
    <s v="WTI Sprds"/>
    <s v="Hedge"/>
    <n v="986"/>
    <d v="2025-05-31T00:00:00"/>
    <d v="2025-06-30T00:00:00"/>
    <n v="0.67"/>
    <n v="0.67"/>
    <n v="0"/>
    <n v="660.62"/>
    <x v="16"/>
    <s v="Buy"/>
    <n v="660.62"/>
    <x v="0"/>
    <x v="0"/>
    <n v="2025"/>
    <s v="Buy"/>
    <x v="0"/>
    <x v="746"/>
  </r>
  <r>
    <s v="Unallocated"/>
    <d v="2025-04-17T00:00:00"/>
    <s v="WTI Sprds"/>
    <s v="Hedge"/>
    <n v="986"/>
    <d v="2025-06-30T00:00:00"/>
    <d v="2025-07-31T00:00:00"/>
    <n v="0.67"/>
    <n v="0.55000000000000004"/>
    <n v="-118.32"/>
    <n v="660.62"/>
    <x v="31"/>
    <s v="Buy"/>
    <n v="542.30000000000007"/>
    <x v="0"/>
    <x v="0"/>
    <n v="2025"/>
    <s v="Buy"/>
    <x v="0"/>
    <x v="747"/>
  </r>
  <r>
    <s v="Unallocated"/>
    <d v="2025-04-17T00:00:00"/>
    <s v="WTI Sprds"/>
    <s v="Hedge"/>
    <n v="-1727"/>
    <d v="2025-05-31T00:00:00"/>
    <d v="2025-06-30T00:00:00"/>
    <n v="0.67"/>
    <n v="0.67"/>
    <n v="0"/>
    <n v="-1157.0900000000001"/>
    <x v="16"/>
    <s v="Sell"/>
    <n v="-1157.0900000000001"/>
    <x v="0"/>
    <x v="0"/>
    <n v="2025"/>
    <s v="Sell"/>
    <x v="0"/>
    <x v="748"/>
  </r>
  <r>
    <s v="Unallocated"/>
    <d v="2025-04-17T00:00:00"/>
    <s v="WTI Sprds"/>
    <s v="Hedge"/>
    <n v="-930"/>
    <d v="2025-06-30T00:00:00"/>
    <d v="2025-07-31T00:00:00"/>
    <n v="0.73"/>
    <n v="0.55000000000000004"/>
    <n v="167.39999999999995"/>
    <n v="-678.9"/>
    <x v="31"/>
    <s v="Sell"/>
    <n v="-511.50000000000006"/>
    <x v="0"/>
    <x v="0"/>
    <n v="2025"/>
    <s v="Sell"/>
    <x v="0"/>
    <x v="749"/>
  </r>
  <r>
    <s v="Exxon CIF Rotts May 16-20"/>
    <d v="2025-04-22T00:00:00"/>
    <s v="WTI-Brent"/>
    <s v="Hedge"/>
    <n v="269"/>
    <d v="2025-06-30T00:00:00"/>
    <d v="2025-06-30T00:00:00"/>
    <n v="-3.85"/>
    <n v="-4.91"/>
    <n v="-285.14"/>
    <n v="-1035.6500000000001"/>
    <x v="30"/>
    <s v="Buy"/>
    <n v="-1320.79"/>
    <x v="1"/>
    <x v="3"/>
    <n v="2025"/>
    <s v="Buy"/>
    <x v="0"/>
    <x v="750"/>
  </r>
  <r>
    <s v="Exxon CIF Rotts May 16-20"/>
    <d v="2025-04-22T00:00:00"/>
    <s v="Brent Sprds"/>
    <s v="Hedge"/>
    <n v="-500"/>
    <d v="2025-06-30T00:00:00"/>
    <d v="2025-07-31T00:00:00"/>
    <n v="0.9"/>
    <n v="2.06"/>
    <n v="-580.00000000000011"/>
    <n v="-450"/>
    <x v="31"/>
    <s v="Sell"/>
    <n v="-1030"/>
    <x v="0"/>
    <x v="2"/>
    <n v="2025"/>
    <s v="Sell"/>
    <x v="0"/>
    <x v="751"/>
  </r>
  <r>
    <s v="Exxon CIF Rotts May 16-20"/>
    <d v="2025-04-17T00:00:00"/>
    <s v="DFL"/>
    <s v="Hedge"/>
    <n v="-500"/>
    <d v="2025-06-30T00:00:00"/>
    <d v="2025-06-30T00:00:00"/>
    <n v="1.01"/>
    <n v="1.72"/>
    <n v="-355"/>
    <n v="-505"/>
    <x v="30"/>
    <s v="Sell"/>
    <n v="-860"/>
    <x v="1"/>
    <x v="1"/>
    <n v="2025"/>
    <s v="Sell"/>
    <x v="0"/>
    <x v="752"/>
  </r>
  <r>
    <s v="CPC CFR Taiwan July 22-26"/>
    <d v="2025-04-22T00:00:00"/>
    <s v="WTI Sprds"/>
    <s v="Hedge"/>
    <n v="1000"/>
    <d v="2025-06-30T00:00:00"/>
    <d v="2025-07-31T00:00:00"/>
    <n v="0.73"/>
    <n v="0.55000000000000004"/>
    <n v="-179.99999999999994"/>
    <n v="730"/>
    <x v="31"/>
    <s v="Buy"/>
    <n v="550"/>
    <x v="0"/>
    <x v="0"/>
    <n v="2025"/>
    <s v="Buy"/>
    <x v="0"/>
    <x v="753"/>
  </r>
  <r>
    <s v="CPC CFR Taiwan July 22-26"/>
    <d v="2025-04-22T00:00:00"/>
    <s v="Physical"/>
    <s v="Expo"/>
    <n v="2100"/>
    <d v="2025-05-31T00:00:00"/>
    <d v="2025-05-31T00:00:00"/>
    <n v="3.2150207761904763"/>
    <n v="3.46"/>
    <n v="609.00000000000011"/>
    <n v="6657"/>
    <x v="22"/>
    <s v="Buy"/>
    <n v="7266"/>
    <x v="2"/>
    <x v="4"/>
    <n v="2025"/>
    <s v="Buy"/>
    <x v="1"/>
    <x v="754"/>
  </r>
  <r>
    <s v="CPC CFR Taiwan July 22-26"/>
    <d v="2025-04-22T00:00:00"/>
    <s v="WTI Sprds"/>
    <s v="Expo"/>
    <n v="-2075"/>
    <d v="2025-06-30T00:00:00"/>
    <d v="2025-07-31T00:00:00"/>
    <n v="0.73"/>
    <n v="0.55000000000000004"/>
    <n v="373.49999999999989"/>
    <n v="-1514.75"/>
    <x v="31"/>
    <s v="Sell"/>
    <n v="-1141.25"/>
    <x v="0"/>
    <x v="0"/>
    <n v="2025"/>
    <s v="Sell"/>
    <x v="0"/>
    <x v="755"/>
  </r>
  <r>
    <s v="CPC CFR Taiwan July 22-26"/>
    <d v="2025-04-22T00:00:00"/>
    <s v="WTI-Brent"/>
    <s v="Expo"/>
    <n v="-2100"/>
    <d v="2025-07-31T00:00:00"/>
    <d v="2025-07-31T00:00:00"/>
    <n v="-3.54"/>
    <n v="-3.11"/>
    <n v="-903.00000000000034"/>
    <n v="7434"/>
    <x v="32"/>
    <s v="Sell"/>
    <n v="6531"/>
    <x v="1"/>
    <x v="3"/>
    <n v="2025"/>
    <s v="Sell"/>
    <x v="0"/>
    <x v="756"/>
  </r>
  <r>
    <s v="CPC CFR Taiwan July 22-26"/>
    <d v="2025-04-22T00:00:00"/>
    <s v="Brent Sprds"/>
    <s v="Expo"/>
    <n v="-2100"/>
    <d v="2025-07-31T00:00:00"/>
    <d v="2025-08-31T00:00:00"/>
    <n v="0.69"/>
    <n v="1.1200000000000001"/>
    <n v="-903.00000000000034"/>
    <n v="-1449"/>
    <x v="33"/>
    <s v="Sell"/>
    <n v="-2352"/>
    <x v="0"/>
    <x v="2"/>
    <n v="2025"/>
    <s v="Sell"/>
    <x v="0"/>
    <x v="757"/>
  </r>
  <r>
    <s v="CPC CFR Taiwan July 22-26"/>
    <d v="2025-04-22T00:00:00"/>
    <s v="DFL"/>
    <s v="Expo"/>
    <n v="2100"/>
    <d v="2025-06-30T00:00:00"/>
    <d v="2025-06-30T00:00:00"/>
    <n v="1.01"/>
    <n v="1.72"/>
    <n v="1491"/>
    <n v="2121"/>
    <x v="30"/>
    <s v="Buy"/>
    <n v="3612"/>
    <x v="1"/>
    <x v="1"/>
    <n v="2025"/>
    <s v="Buy"/>
    <x v="0"/>
    <x v="758"/>
  </r>
  <r>
    <s v="CPC CFR Taiwan July 22-26"/>
    <d v="2025-04-22T00:00:00"/>
    <s v="WTI-Brent"/>
    <s v="Hedge"/>
    <n v="700"/>
    <d v="2025-06-30T00:00:00"/>
    <d v="2025-06-30T00:00:00"/>
    <n v="-3.81"/>
    <n v="-4.91"/>
    <n v="-770.00000000000011"/>
    <n v="-2667"/>
    <x v="30"/>
    <s v="Buy"/>
    <n v="-3437"/>
    <x v="1"/>
    <x v="3"/>
    <n v="2025"/>
    <s v="Buy"/>
    <x v="0"/>
    <x v="759"/>
  </r>
  <r>
    <s v="CPC CFR Taiwan July 22-26"/>
    <d v="2025-04-22T00:00:00"/>
    <s v="WTI-Brent"/>
    <s v="Hedge"/>
    <n v="700"/>
    <d v="2025-06-30T00:00:00"/>
    <d v="2025-06-30T00:00:00"/>
    <n v="-3.85"/>
    <n v="-4.91"/>
    <n v="-742"/>
    <n v="-2695"/>
    <x v="30"/>
    <s v="Buy"/>
    <n v="-3437"/>
    <x v="1"/>
    <x v="3"/>
    <n v="2025"/>
    <s v="Buy"/>
    <x v="0"/>
    <x v="760"/>
  </r>
  <r>
    <s v="CPC CFR Taiwan July 22-26"/>
    <d v="2025-04-22T00:00:00"/>
    <s v="WTI Sprds"/>
    <s v="Hedge"/>
    <n v="1000"/>
    <d v="2025-06-30T00:00:00"/>
    <d v="2025-07-31T00:00:00"/>
    <n v="0.69"/>
    <n v="0.55000000000000004"/>
    <n v="-139.99999999999991"/>
    <n v="690"/>
    <x v="31"/>
    <s v="Buy"/>
    <n v="550"/>
    <x v="0"/>
    <x v="0"/>
    <n v="2025"/>
    <s v="Buy"/>
    <x v="0"/>
    <x v="761"/>
  </r>
  <r>
    <s v="Taiyo CFR Malaysia Jul 14-23"/>
    <d v="2025-04-23T00:00:00"/>
    <s v="Freight-TD22"/>
    <s v="Expo"/>
    <n v="-2000"/>
    <d v="2025-05-31T00:00:00"/>
    <d v="2025-05-31T00:00:00"/>
    <n v="8300"/>
    <n v="8300"/>
    <n v="0"/>
    <n v="-16600000"/>
    <x v="22"/>
    <s v="Sell"/>
    <n v="-16600000"/>
    <x v="3"/>
    <x v="5"/>
    <n v="2025"/>
    <s v="Sell"/>
    <x v="0"/>
    <x v="762"/>
  </r>
  <r>
    <s v="CPC CFR Taiwan July 22-26"/>
    <d v="2025-04-23T00:00:00"/>
    <s v="Freight-TD22"/>
    <s v="Expo"/>
    <n v="-2000"/>
    <d v="2025-05-31T00:00:00"/>
    <d v="2025-05-31T00:00:00"/>
    <n v="8300"/>
    <n v="8300"/>
    <n v="0"/>
    <n v="-16600000"/>
    <x v="22"/>
    <s v="Sell"/>
    <n v="-16600000"/>
    <x v="3"/>
    <x v="5"/>
    <n v="2025"/>
    <s v="Sell"/>
    <x v="0"/>
    <x v="763"/>
  </r>
  <r>
    <s v="CPC CFR Taiwan July 22-26"/>
    <d v="2025-04-22T00:00:00"/>
    <s v="DFL"/>
    <s v="Hedge"/>
    <n v="-500"/>
    <d v="2025-05-31T00:00:00"/>
    <d v="2025-05-31T00:00:00"/>
    <n v="1.07"/>
    <n v="0.14121300000000001"/>
    <n v="464.39350000000002"/>
    <n v="-535"/>
    <x v="22"/>
    <s v="Sell"/>
    <n v="-70.606499999999997"/>
    <x v="1"/>
    <x v="1"/>
    <n v="2025"/>
    <s v="Sell"/>
    <x v="0"/>
    <x v="764"/>
  </r>
  <r>
    <s v="CPC CFR Taiwan July 22-26"/>
    <d v="2025-04-22T00:00:00"/>
    <s v="DFL"/>
    <s v="Hedge"/>
    <n v="-200"/>
    <d v="2025-05-31T00:00:00"/>
    <d v="2025-05-31T00:00:00"/>
    <n v="1.1000000000000001"/>
    <n v="0.14121300000000001"/>
    <n v="191.75740000000002"/>
    <n v="-220.00000000000003"/>
    <x v="22"/>
    <s v="Sell"/>
    <n v="-28.242599999999999"/>
    <x v="1"/>
    <x v="1"/>
    <n v="2025"/>
    <s v="Sell"/>
    <x v="0"/>
    <x v="765"/>
  </r>
  <r>
    <s v="CPC CFR Taiwan July 22-26"/>
    <d v="2025-04-22T00:00:00"/>
    <s v="WTI-Brent"/>
    <s v="Hedge"/>
    <n v="114"/>
    <d v="2025-07-31T00:00:00"/>
    <d v="2025-07-31T00:00:00"/>
    <n v="-3.6"/>
    <n v="-3.11"/>
    <n v="55.860000000000028"/>
    <n v="-410.40000000000003"/>
    <x v="32"/>
    <s v="Buy"/>
    <n v="-354.53999999999996"/>
    <x v="1"/>
    <x v="3"/>
    <n v="2025"/>
    <s v="Buy"/>
    <x v="0"/>
    <x v="766"/>
  </r>
  <r>
    <s v="CPC CFR Taiwan July 22-26"/>
    <d v="2025-04-25T00:00:00"/>
    <s v="DFL"/>
    <s v="Hedge"/>
    <n v="-700"/>
    <d v="2025-05-31T00:00:00"/>
    <d v="2025-05-31T00:00:00"/>
    <n v="0.91"/>
    <n v="0.14121300000000001"/>
    <n v="538.15089999999998"/>
    <n v="-637"/>
    <x v="22"/>
    <s v="Sell"/>
    <n v="-98.849100000000007"/>
    <x v="1"/>
    <x v="1"/>
    <n v="2025"/>
    <s v="Sell"/>
    <x v="0"/>
    <x v="767"/>
  </r>
  <r>
    <s v="CPC CFR Taiwan July 22-26"/>
    <d v="2025-04-28T00:00:00"/>
    <s v="DFL"/>
    <s v="Hedge"/>
    <n v="-100"/>
    <d v="2025-05-31T00:00:00"/>
    <d v="2025-05-31T00:00:00"/>
    <n v="0.95"/>
    <n v="0.14121300000000001"/>
    <n v="80.878699999999995"/>
    <n v="-95"/>
    <x v="22"/>
    <s v="Sell"/>
    <n v="-14.1213"/>
    <x v="1"/>
    <x v="1"/>
    <n v="2025"/>
    <s v="Sell"/>
    <x v="0"/>
    <x v="768"/>
  </r>
  <r>
    <s v="CPC CFR Taiwan July 22-26"/>
    <d v="2025-04-28T00:00:00"/>
    <s v="DFL"/>
    <s v="Hedge"/>
    <n v="-1400"/>
    <d v="2025-05-31T00:00:00"/>
    <d v="2025-05-31T00:00:00"/>
    <n v="0.97"/>
    <n v="0.14121300000000001"/>
    <n v="1160.3018"/>
    <n v="-1358"/>
    <x v="22"/>
    <s v="Sell"/>
    <n v="-197.69820000000001"/>
    <x v="1"/>
    <x v="1"/>
    <n v="2025"/>
    <s v="Sell"/>
    <x v="0"/>
    <x v="769"/>
  </r>
  <r>
    <s v="Unallocated"/>
    <d v="2025-04-28T00:00:00"/>
    <s v="WTI-Brent"/>
    <s v="Hedge"/>
    <n v="248"/>
    <d v="2025-06-30T00:00:00"/>
    <d v="2025-06-30T00:00:00"/>
    <n v="-3.81"/>
    <n v="-4.91"/>
    <n v="-272.8"/>
    <n v="-944.88"/>
    <x v="30"/>
    <s v="Buy"/>
    <n v="-1217.68"/>
    <x v="1"/>
    <x v="3"/>
    <n v="2025"/>
    <s v="Buy"/>
    <x v="0"/>
    <x v="770"/>
  </r>
  <r>
    <s v="Unallocated"/>
    <d v="2025-04-28T00:00:00"/>
    <s v="CFD"/>
    <s v="Hedge"/>
    <n v="-500"/>
    <s v="May05-May09"/>
    <d v="2025-05-31T00:00:00"/>
    <n v="1"/>
    <n v="-0.18124999999999999"/>
    <n v="590.625"/>
    <n v="-500"/>
    <x v="37"/>
    <s v="Sell"/>
    <n v="90.625"/>
    <x v="1"/>
    <x v="1"/>
    <n v="2025"/>
    <s v="Sell"/>
    <x v="0"/>
    <x v="771"/>
  </r>
  <r>
    <s v="Unallocated"/>
    <d v="2025-04-28T00:00:00"/>
    <s v="WTI-Brent"/>
    <s v="Hedge"/>
    <n v="2478"/>
    <d v="2025-06-30T00:00:00"/>
    <d v="2025-06-30T00:00:00"/>
    <n v="-3.81"/>
    <n v="-4.91"/>
    <n v="-2725.8"/>
    <n v="-9441.18"/>
    <x v="30"/>
    <s v="Buy"/>
    <n v="-12166.98"/>
    <x v="1"/>
    <x v="3"/>
    <n v="2025"/>
    <s v="Buy"/>
    <x v="0"/>
    <x v="772"/>
  </r>
  <r>
    <s v="Unallocated"/>
    <d v="2025-04-28T00:00:00"/>
    <s v="Brent Sprds"/>
    <s v="Hedge"/>
    <n v="2092"/>
    <d v="2025-06-30T00:00:00"/>
    <d v="2025-07-31T00:00:00"/>
    <n v="1.07"/>
    <n v="2.06"/>
    <n v="2071.08"/>
    <n v="2238.44"/>
    <x v="31"/>
    <s v="Buy"/>
    <n v="4309.5200000000004"/>
    <x v="0"/>
    <x v="2"/>
    <n v="2025"/>
    <s v="Buy"/>
    <x v="0"/>
    <x v="773"/>
  </r>
  <r>
    <s v="Unallocated"/>
    <d v="2025-04-29T00:00:00"/>
    <s v="WTI-Brent"/>
    <s v="Hedge"/>
    <n v="-500"/>
    <d v="2025-07-31T00:00:00"/>
    <d v="2025-07-31T00:00:00"/>
    <n v="-3.4099999999999997"/>
    <n v="-3.11"/>
    <n v="-149.99999999999991"/>
    <n v="1704.9999999999998"/>
    <x v="32"/>
    <s v="Sell"/>
    <n v="1555"/>
    <x v="1"/>
    <x v="3"/>
    <n v="2025"/>
    <s v="Sell"/>
    <x v="0"/>
    <x v="774"/>
  </r>
  <r>
    <s v="Unallocated"/>
    <d v="2025-04-29T00:00:00"/>
    <s v="WTI-Brent"/>
    <s v="Hedge"/>
    <n v="500"/>
    <d v="2025-08-31T00:00:00"/>
    <d v="2025-08-31T00:00:00"/>
    <n v="-3.51"/>
    <n v="-2.5"/>
    <n v="504.99999999999989"/>
    <n v="-1755"/>
    <x v="38"/>
    <s v="Buy"/>
    <n v="-1250"/>
    <x v="1"/>
    <x v="3"/>
    <n v="2025"/>
    <s v="Buy"/>
    <x v="0"/>
    <x v="775"/>
  </r>
  <r>
    <s v="CPC CFR Taiwan July 22-26"/>
    <d v="2025-04-28T00:00:00"/>
    <s v="DFL"/>
    <s v="Hedge"/>
    <n v="-1000"/>
    <d v="2025-05-31T00:00:00"/>
    <d v="2025-05-31T00:00:00"/>
    <n v="0.64"/>
    <n v="0.14121300000000001"/>
    <n v="498.78699999999998"/>
    <n v="-640"/>
    <x v="22"/>
    <s v="Sell"/>
    <n v="-141.21299999999999"/>
    <x v="1"/>
    <x v="1"/>
    <n v="2025"/>
    <s v="Sell"/>
    <x v="0"/>
    <x v="776"/>
  </r>
  <r>
    <s v="Taiyo CFR Malaysia Jul 14-23"/>
    <d v="2025-04-23T00:00:00"/>
    <s v="Freight-TD22"/>
    <s v="Expo"/>
    <n v="2000"/>
    <d v="2025-05-31T00:00:00"/>
    <d v="2025-05-31T00:00:00"/>
    <n v="8300"/>
    <n v="8400"/>
    <n v="-100"/>
    <n v="16600000"/>
    <x v="22"/>
    <s v="Buy"/>
    <n v="16800000"/>
    <x v="3"/>
    <x v="5"/>
    <n v="2025"/>
    <s v="Buy"/>
    <x v="0"/>
    <x v="777"/>
  </r>
  <r>
    <s v="CPC CFR Taiwan July 22-26"/>
    <d v="2025-04-23T00:00:00"/>
    <s v="Freight-TD22"/>
    <s v="Expo"/>
    <n v="2000"/>
    <d v="2025-05-31T00:00:00"/>
    <d v="2025-05-31T00:00:00"/>
    <n v="7950"/>
    <n v="8400"/>
    <n v="-450"/>
    <n v="15900000"/>
    <x v="22"/>
    <s v="Buy"/>
    <n v="16800000"/>
    <x v="3"/>
    <x v="5"/>
    <n v="2025"/>
    <s v="Buy"/>
    <x v="0"/>
    <x v="778"/>
  </r>
  <r>
    <s v="Unallocated"/>
    <d v="2025-04-30T00:00:00"/>
    <s v="WTI-Brent"/>
    <s v="Hedge"/>
    <n v="500"/>
    <d v="2025-08-31T00:00:00"/>
    <d v="2025-08-31T00:00:00"/>
    <n v="-3.43"/>
    <n v="-2.5"/>
    <n v="465.00000000000006"/>
    <n v="-1715"/>
    <x v="38"/>
    <s v="Buy"/>
    <n v="-1250"/>
    <x v="1"/>
    <x v="3"/>
    <n v="2025"/>
    <s v="Buy"/>
    <x v="0"/>
    <x v="779"/>
  </r>
  <r>
    <s v="Unallocated"/>
    <d v="2025-04-30T00:00:00"/>
    <s v="WTI-Brent"/>
    <s v="Hedge"/>
    <n v="500"/>
    <d v="2025-08-31T00:00:00"/>
    <d v="2025-08-31T00:00:00"/>
    <n v="-3.44"/>
    <n v="-2.5"/>
    <n v="470"/>
    <n v="-1720"/>
    <x v="38"/>
    <s v="Buy"/>
    <n v="-1250"/>
    <x v="1"/>
    <x v="3"/>
    <n v="2025"/>
    <s v="Buy"/>
    <x v="0"/>
    <x v="780"/>
  </r>
  <r>
    <s v="Unallocated"/>
    <d v="2025-04-30T00:00:00"/>
    <s v="WTI-Brent"/>
    <s v="Hedge"/>
    <n v="500"/>
    <d v="2025-08-31T00:00:00"/>
    <d v="2025-08-31T00:00:00"/>
    <n v="-3.45"/>
    <n v="-2.5"/>
    <n v="475.00000000000011"/>
    <n v="-1725"/>
    <x v="38"/>
    <s v="Buy"/>
    <n v="-1250"/>
    <x v="1"/>
    <x v="3"/>
    <n v="2025"/>
    <s v="Buy"/>
    <x v="0"/>
    <x v="781"/>
  </r>
  <r>
    <s v="Unallocated"/>
    <d v="2025-04-30T00:00:00"/>
    <s v="CFD"/>
    <s v="Hedge"/>
    <n v="-500"/>
    <s v="May12-May16"/>
    <d v="2025-05-31T00:00:00"/>
    <n v="0.35"/>
    <n v="-9.7000000000000003E-2"/>
    <n v="223.49999999999997"/>
    <n v="-175"/>
    <x v="39"/>
    <s v="Sell"/>
    <n v="48.5"/>
    <x v="1"/>
    <x v="1"/>
    <n v="2025"/>
    <s v="Sell"/>
    <x v="0"/>
    <x v="782"/>
  </r>
  <r>
    <s v="Unallocated"/>
    <d v="2025-04-30T00:00:00"/>
    <s v="CFD"/>
    <s v="Hedge"/>
    <n v="-500"/>
    <s v="May19-May23"/>
    <d v="2025-05-31T00:00:00"/>
    <n v="0.35"/>
    <n v="0.47200000000000009"/>
    <n v="-61.000000000000057"/>
    <n v="-175"/>
    <x v="9"/>
    <s v="Sell"/>
    <n v="-236.00000000000006"/>
    <x v="1"/>
    <x v="1"/>
    <n v="2025"/>
    <s v="Sell"/>
    <x v="0"/>
    <x v="783"/>
  </r>
  <r>
    <s v="Unallocated"/>
    <d v="2025-04-30T00:00:00"/>
    <s v="CFD"/>
    <s v="Hedge"/>
    <n v="-300"/>
    <s v="May12-May16"/>
    <d v="2025-05-31T00:00:00"/>
    <n v="0.2"/>
    <n v="-9.7000000000000003E-2"/>
    <n v="89.100000000000009"/>
    <n v="-60"/>
    <x v="39"/>
    <s v="Sell"/>
    <n v="29.1"/>
    <x v="1"/>
    <x v="1"/>
    <n v="2025"/>
    <s v="Sell"/>
    <x v="0"/>
    <x v="784"/>
  </r>
  <r>
    <s v="Gunvor June EFP"/>
    <d v="2025-05-01T00:00:00"/>
    <s v="Physical"/>
    <s v="Expo"/>
    <n v="700"/>
    <d v="2025-05-31T00:00:00"/>
    <d v="2025-05-31T00:00:00"/>
    <n v="1.44"/>
    <n v="0.45"/>
    <n v="-693"/>
    <n v="0"/>
    <x v="22"/>
    <s v="Buy"/>
    <n v="294"/>
    <x v="2"/>
    <x v="4"/>
    <n v="2025"/>
    <s v="Buy"/>
    <x v="1"/>
    <x v="785"/>
  </r>
  <r>
    <s v="Gunvor June EFP"/>
    <d v="2025-05-01T00:00:00"/>
    <s v="WTI-Brent"/>
    <s v="Expo"/>
    <n v="-700"/>
    <d v="2025-07-31T00:00:00"/>
    <d v="2025-07-31T00:00:00"/>
    <n v="-3.38"/>
    <n v="-3.11"/>
    <n v="-189"/>
    <n v="-2807"/>
    <x v="32"/>
    <s v="Buy"/>
    <n v="-2933.0000000000082"/>
    <x v="1"/>
    <x v="3"/>
    <n v="2025"/>
    <s v="Sell"/>
    <x v="0"/>
    <x v="786"/>
  </r>
  <r>
    <s v="Gunvor June EFP"/>
    <d v="2025-05-01T00:00:00"/>
    <s v="WTI Sprds"/>
    <s v="Expo"/>
    <n v="-700"/>
    <d v="2025-06-30T00:00:00"/>
    <d v="2025-07-31T00:00:00"/>
    <n v="0.55000000000000004"/>
    <n v="0.55000000000000004"/>
    <n v="0"/>
    <n v="-385.00000000000006"/>
    <x v="31"/>
    <s v="Sell"/>
    <n v="-385.00000000000006"/>
    <x v="0"/>
    <x v="0"/>
    <n v="2025"/>
    <s v="Sell"/>
    <x v="0"/>
    <x v="787"/>
  </r>
  <r>
    <s v="Gunvor June EFP"/>
    <d v="2025-05-01T00:00:00"/>
    <s v="Freight-TD25"/>
    <s v="Expo"/>
    <n v="-700"/>
    <d v="2025-05-31T00:00:00"/>
    <d v="2025-05-31T00:00:00"/>
    <n v="157"/>
    <n v="125"/>
    <n v="448"/>
    <n v="0"/>
    <x v="22"/>
    <s v="Sell"/>
    <n v="-87500"/>
    <x v="3"/>
    <x v="5"/>
    <n v="2025"/>
    <s v="Sell"/>
    <x v="0"/>
    <x v="788"/>
  </r>
  <r>
    <s v="Trafi CIF Rdam June 13-17"/>
    <d v="2025-05-14T00:00:00"/>
    <s v="Freight-TD25"/>
    <s v="Expo"/>
    <n v="700"/>
    <d v="2025-06-30T00:00:00"/>
    <d v="2025-06-30T00:00:00"/>
    <n v="125"/>
    <n v="125"/>
    <n v="0"/>
    <n v="87500"/>
    <x v="30"/>
    <s v="Buy"/>
    <n v="87500"/>
    <x v="3"/>
    <x v="5"/>
    <n v="2025"/>
    <s v="Buy"/>
    <x v="0"/>
    <x v="789"/>
  </r>
  <r>
    <s v="Gunvor June EFP"/>
    <d v="2025-05-01T00:00:00"/>
    <s v="Freight-TD7"/>
    <s v="Expo"/>
    <n v="700"/>
    <d v="2025-06-30T00:00:00"/>
    <d v="2025-06-30T00:00:00"/>
    <n v="120"/>
    <n v="122"/>
    <n v="28"/>
    <n v="79800"/>
    <x v="30"/>
    <s v="Buy"/>
    <n v="85400"/>
    <x v="3"/>
    <x v="5"/>
    <n v="2025"/>
    <s v="Buy"/>
    <x v="0"/>
    <x v="790"/>
  </r>
  <r>
    <s v="Unallocated"/>
    <d v="2025-05-02T00:00:00"/>
    <s v="DFL"/>
    <s v="Hedge"/>
    <n v="-335"/>
    <d v="2025-04-30T00:00:00"/>
    <d v="2025-04-30T00:00:00"/>
    <n v="1.42"/>
    <n v="1.42"/>
    <n v="0"/>
    <n v="-475.7"/>
    <x v="21"/>
    <s v="Sell"/>
    <n v="-475.7"/>
    <x v="1"/>
    <x v="1"/>
    <n v="2025"/>
    <s v="Sell"/>
    <x v="0"/>
    <x v="791"/>
  </r>
  <r>
    <s v="Unallocated"/>
    <d v="2025-05-02T00:00:00"/>
    <s v="DFL"/>
    <s v="Hedge"/>
    <n v="-500"/>
    <d v="2025-05-31T00:00:00"/>
    <d v="2025-05-31T00:00:00"/>
    <n v="0.47"/>
    <n v="0.14121300000000001"/>
    <n v="164.39349999999996"/>
    <n v="-235"/>
    <x v="22"/>
    <s v="Sell"/>
    <n v="-70.606499999999997"/>
    <x v="1"/>
    <x v="1"/>
    <n v="2025"/>
    <s v="Sell"/>
    <x v="0"/>
    <x v="792"/>
  </r>
  <r>
    <s v="Gunvor June EFP"/>
    <d v="2025-05-05T00:00:00"/>
    <s v="WTI Sprds"/>
    <s v="Hedge"/>
    <n v="500"/>
    <d v="2025-06-30T00:00:00"/>
    <d v="2025-07-31T00:00:00"/>
    <n v="0.39"/>
    <n v="0.55000000000000004"/>
    <n v="80.000000000000014"/>
    <n v="195"/>
    <x v="31"/>
    <s v="Buy"/>
    <n v="275"/>
    <x v="0"/>
    <x v="0"/>
    <n v="2025"/>
    <s v="Buy"/>
    <x v="0"/>
    <x v="793"/>
  </r>
  <r>
    <s v="Unallocated"/>
    <d v="2025-05-05T00:00:00"/>
    <s v="WTI-Brent"/>
    <s v="Hedge"/>
    <n v="2000"/>
    <d v="2025-07-31T00:00:00"/>
    <d v="2025-07-31T00:00:00"/>
    <n v="-3.48"/>
    <n v="-3.11"/>
    <n v="740.00000000000023"/>
    <n v="-6960"/>
    <x v="32"/>
    <s v="Buy"/>
    <n v="-6220"/>
    <x v="1"/>
    <x v="3"/>
    <n v="2025"/>
    <s v="Buy"/>
    <x v="0"/>
    <x v="794"/>
  </r>
  <r>
    <s v="Unallocated"/>
    <d v="2025-05-06T00:00:00"/>
    <s v="WTI Sprds"/>
    <s v="Hedge"/>
    <n v="-500"/>
    <d v="2025-06-30T00:00:00"/>
    <d v="2025-07-31T00:00:00"/>
    <n v="0.51"/>
    <n v="0.55000000000000004"/>
    <n v="-20.000000000000018"/>
    <n v="-255"/>
    <x v="31"/>
    <s v="Sell"/>
    <n v="-275"/>
    <x v="0"/>
    <x v="0"/>
    <n v="2025"/>
    <s v="Sell"/>
    <x v="0"/>
    <x v="795"/>
  </r>
  <r>
    <s v="July25 EFP 1"/>
    <d v="2025-05-06T00:00:00"/>
    <s v="Physical"/>
    <s v="Expo"/>
    <n v="700"/>
    <d v="2025-06-30T00:00:00"/>
    <d v="2025-06-30T00:00:00"/>
    <n v="-0.45000000000000018"/>
    <n v="0.01"/>
    <n v="322.00000000000011"/>
    <n v="-315.00000000000011"/>
    <x v="30"/>
    <s v="Buy"/>
    <n v="7"/>
    <x v="2"/>
    <x v="4"/>
    <n v="2025"/>
    <s v="Buy"/>
    <x v="1"/>
    <x v="796"/>
  </r>
  <r>
    <s v="July25 EFP 1"/>
    <d v="2025-05-06T00:00:00"/>
    <s v="WTI-Brent"/>
    <s v="Expo"/>
    <n v="-700"/>
    <d v="2025-07-31T00:00:00"/>
    <d v="2025-07-31T00:00:00"/>
    <n v="-3.34"/>
    <n v="-3.11"/>
    <n v="-161"/>
    <n v="2338"/>
    <x v="32"/>
    <s v="Sell"/>
    <n v="2177"/>
    <x v="1"/>
    <x v="3"/>
    <n v="2025"/>
    <s v="Sell"/>
    <x v="0"/>
    <x v="797"/>
  </r>
  <r>
    <s v="July25 EFP 1"/>
    <d v="2025-05-06T00:00:00"/>
    <s v="WTI Sprds"/>
    <s v="Expo"/>
    <n v="0"/>
    <d v="2025-06-30T00:00:00"/>
    <d v="2025-07-31T00:00:00"/>
    <n v="0.52"/>
    <n v="0.55000000000000004"/>
    <n v="0"/>
    <n v="0"/>
    <x v="31"/>
    <s v="Buy"/>
    <n v="0"/>
    <x v="0"/>
    <x v="0"/>
    <n v="2025"/>
    <s v="Sell"/>
    <x v="0"/>
    <x v="798"/>
  </r>
  <r>
    <s v="July25 EFP 1"/>
    <d v="2025-05-06T00:00:00"/>
    <s v="Freight-TD25"/>
    <s v="Expo"/>
    <n v="-700"/>
    <d v="2025-06-30T00:00:00"/>
    <d v="2025-06-30T00:00:00"/>
    <n v="135"/>
    <n v="150.77101718532276"/>
    <n v="-220.7942405945187"/>
    <n v="-94500"/>
    <x v="30"/>
    <s v="Sell"/>
    <n v="-105539.71202972594"/>
    <x v="3"/>
    <x v="5"/>
    <n v="2025"/>
    <s v="Sell"/>
    <x v="0"/>
    <x v="799"/>
  </r>
  <r>
    <s v="July25 EFP 1"/>
    <d v="2025-05-06T00:00:00"/>
    <s v="Freight-TD25"/>
    <s v="Expo"/>
    <n v="700"/>
    <d v="2025-06-30T00:00:00"/>
    <d v="2025-06-30T00:00:00"/>
    <n v="142.5"/>
    <n v="150.77101718532276"/>
    <n v="115.79424059451868"/>
    <n v="99750"/>
    <x v="30"/>
    <s v="Buy"/>
    <n v="105539.71202972594"/>
    <x v="3"/>
    <x v="5"/>
    <n v="2025"/>
    <s v="Buy"/>
    <x v="0"/>
    <x v="800"/>
  </r>
  <r>
    <s v="Gunvor June EFP"/>
    <d v="2025-05-01T00:00:00"/>
    <s v="Freight-TD7"/>
    <s v="Expo"/>
    <n v="-700"/>
    <d v="2025-06-30T00:00:00"/>
    <d v="2025-06-30T00:00:00"/>
    <n v="122"/>
    <n v="122"/>
    <n v="0"/>
    <n v="79800"/>
    <x v="30"/>
    <s v="Sell"/>
    <n v="-85400"/>
    <x v="3"/>
    <x v="5"/>
    <n v="2025"/>
    <s v="Sell"/>
    <x v="0"/>
    <x v="801"/>
  </r>
  <r>
    <s v="July25 EFP 1"/>
    <d v="2025-05-06T00:00:00"/>
    <s v="Freight-TD7"/>
    <s v="Expo"/>
    <n v="700"/>
    <d v="2025-07-31T00:00:00"/>
    <d v="2025-07-31T00:00:00"/>
    <n v="110"/>
    <n v="117"/>
    <n v="98.000000000000014"/>
    <n v="77000"/>
    <x v="32"/>
    <s v="Buy"/>
    <n v="81900"/>
    <x v="3"/>
    <x v="5"/>
    <n v="2025"/>
    <s v="Buy"/>
    <x v="0"/>
    <x v="802"/>
  </r>
  <r>
    <s v="July25 EFP 2"/>
    <d v="2025-05-06T00:00:00"/>
    <s v="Physical"/>
    <s v="Expo"/>
    <n v="0"/>
    <d v="2025-06-30T00:00:00"/>
    <d v="2025-06-30T00:00:00"/>
    <n v="0.17999999999999972"/>
    <n v="0.01"/>
    <n v="0"/>
    <n v="0"/>
    <x v="30"/>
    <s v="Buy"/>
    <n v="0"/>
    <x v="2"/>
    <x v="4"/>
    <n v="2025"/>
    <s v="Sell"/>
    <x v="1"/>
    <x v="803"/>
  </r>
  <r>
    <s v="July25 EFP 2"/>
    <d v="2025-05-06T00:00:00"/>
    <s v="WTI-Brent"/>
    <s v="Expo"/>
    <m/>
    <d v="2025-07-31T00:00:00"/>
    <d v="2025-07-31T00:00:00"/>
    <n v="-3.49"/>
    <n v="-3.11"/>
    <n v="0"/>
    <n v="0"/>
    <x v="32"/>
    <s v="Buy"/>
    <n v="0"/>
    <x v="1"/>
    <x v="3"/>
    <n v="2025"/>
    <s v="Sell"/>
    <x v="0"/>
    <x v="804"/>
  </r>
  <r>
    <s v="July25 EFP 2"/>
    <d v="2025-05-06T00:00:00"/>
    <s v="WTI Sprds"/>
    <s v="Expo"/>
    <m/>
    <d v="2025-06-30T00:00:00"/>
    <d v="2025-07-31T00:00:00"/>
    <n v="0.52"/>
    <n v="0.55000000000000004"/>
    <n v="0"/>
    <n v="0"/>
    <x v="31"/>
    <s v="Buy"/>
    <n v="0"/>
    <x v="0"/>
    <x v="0"/>
    <n v="2025"/>
    <s v="Sell"/>
    <x v="0"/>
    <x v="805"/>
  </r>
  <r>
    <s v="July25 EFP 2"/>
    <d v="2025-05-06T00:00:00"/>
    <s v="Freight-TD25"/>
    <s v="Expo"/>
    <m/>
    <d v="2025-06-30T00:00:00"/>
    <d v="2025-06-30T00:00:00"/>
    <n v="141"/>
    <n v="0"/>
    <n v="0"/>
    <n v="0"/>
    <x v="30"/>
    <s v="Buy"/>
    <n v="0"/>
    <x v="3"/>
    <x v="5"/>
    <n v="2025"/>
    <s v="Sell"/>
    <x v="0"/>
    <x v="806"/>
  </r>
  <r>
    <s v="July25 EFP 2"/>
    <d v="2025-05-06T00:00:00"/>
    <s v="Freight-TD7"/>
    <s v="Expo"/>
    <m/>
    <d v="2025-07-31T00:00:00"/>
    <d v="2025-07-31T00:00:00"/>
    <n v="120"/>
    <n v="0"/>
    <n v="0"/>
    <n v="0"/>
    <x v="32"/>
    <s v="Buy"/>
    <n v="0"/>
    <x v="3"/>
    <x v="5"/>
    <n v="2025"/>
    <s v="Sell"/>
    <x v="0"/>
    <x v="807"/>
  </r>
  <r>
    <s v="July25 EFP 3"/>
    <d v="2025-05-06T00:00:00"/>
    <s v="Physical"/>
    <s v="Expo"/>
    <m/>
    <d v="2025-06-30T00:00:00"/>
    <d v="2025-06-30T00:00:00"/>
    <n v="-0.17"/>
    <n v="0.01"/>
    <n v="0"/>
    <n v="0"/>
    <x v="30"/>
    <s v="Buy"/>
    <n v="0"/>
    <x v="2"/>
    <x v="4"/>
    <n v="2025"/>
    <s v="Sell"/>
    <x v="1"/>
    <x v="808"/>
  </r>
  <r>
    <s v="July25 EFP 3"/>
    <d v="2025-05-06T00:00:00"/>
    <s v="WTI-Brent"/>
    <s v="Expo"/>
    <m/>
    <d v="2025-07-31T00:00:00"/>
    <d v="2025-07-31T00:00:00"/>
    <n v="-3.49"/>
    <n v="-3.11"/>
    <n v="0"/>
    <n v="0"/>
    <x v="32"/>
    <s v="Buy"/>
    <n v="0"/>
    <x v="1"/>
    <x v="3"/>
    <n v="2025"/>
    <s v="Sell"/>
    <x v="0"/>
    <x v="809"/>
  </r>
  <r>
    <s v="July25 EFP 3"/>
    <d v="2025-05-06T00:00:00"/>
    <s v="WTI Sprds"/>
    <s v="Expo"/>
    <m/>
    <d v="2025-06-30T00:00:00"/>
    <d v="2025-07-31T00:00:00"/>
    <n v="0.52"/>
    <n v="0.55000000000000004"/>
    <n v="0"/>
    <n v="0"/>
    <x v="31"/>
    <s v="Buy"/>
    <n v="0"/>
    <x v="0"/>
    <x v="0"/>
    <n v="2025"/>
    <s v="Sell"/>
    <x v="0"/>
    <x v="810"/>
  </r>
  <r>
    <s v="July25 EFP 3"/>
    <d v="2025-05-06T00:00:00"/>
    <s v="Freight-TD25"/>
    <s v="Expo"/>
    <m/>
    <d v="2025-06-30T00:00:00"/>
    <d v="2025-06-30T00:00:00"/>
    <n v="141"/>
    <n v="0"/>
    <n v="0"/>
    <n v="0"/>
    <x v="30"/>
    <s v="Buy"/>
    <n v="0"/>
    <x v="3"/>
    <x v="5"/>
    <n v="2025"/>
    <s v="Sell"/>
    <x v="0"/>
    <x v="811"/>
  </r>
  <r>
    <s v="July25 EFP 3"/>
    <d v="2025-05-06T00:00:00"/>
    <s v="Freight-TD7"/>
    <s v="Expo"/>
    <m/>
    <d v="2025-07-31T00:00:00"/>
    <d v="2025-07-31T00:00:00"/>
    <n v="120"/>
    <n v="0"/>
    <n v="0"/>
    <n v="0"/>
    <x v="32"/>
    <s v="Buy"/>
    <n v="0"/>
    <x v="3"/>
    <x v="5"/>
    <n v="2025"/>
    <s v="Sell"/>
    <x v="0"/>
    <x v="812"/>
  </r>
  <r>
    <s v="Unallocated"/>
    <d v="2025-05-06T00:00:00"/>
    <s v="CFD"/>
    <s v="Hedge"/>
    <n v="-200"/>
    <s v="May12-May16"/>
    <d v="2025-05-31T00:00:00"/>
    <n v="0.3"/>
    <n v="-9.7000000000000003E-2"/>
    <n v="79.400000000000006"/>
    <n v="-60"/>
    <x v="39"/>
    <s v="Sell"/>
    <n v="19.400000000000002"/>
    <x v="1"/>
    <x v="1"/>
    <n v="2025"/>
    <s v="Sell"/>
    <x v="0"/>
    <x v="813"/>
  </r>
  <r>
    <s v="Unallocated"/>
    <d v="2025-05-08T00:00:00"/>
    <s v="DFL"/>
    <s v="Hedge"/>
    <n v="-500"/>
    <d v="2025-05-31T00:00:00"/>
    <d v="2025-05-31T00:00:00"/>
    <n v="0.09"/>
    <n v="0.14121300000000001"/>
    <n v="-25.606500000000004"/>
    <n v="-45"/>
    <x v="22"/>
    <s v="Sell"/>
    <n v="-70.606499999999997"/>
    <x v="1"/>
    <x v="1"/>
    <n v="2025"/>
    <s v="Sell"/>
    <x v="0"/>
    <x v="814"/>
  </r>
  <r>
    <s v="July25 EFP 3"/>
    <d v="2025-05-06T00:00:00"/>
    <s v="WTI Sprds"/>
    <s v="Hedge"/>
    <n v="700"/>
    <d v="2025-06-30T00:00:00"/>
    <d v="2025-07-31T00:00:00"/>
    <n v="0.37"/>
    <n v="0.55000000000000004"/>
    <n v="126.00000000000003"/>
    <n v="259"/>
    <x v="31"/>
    <s v="Buy"/>
    <n v="385.00000000000006"/>
    <x v="0"/>
    <x v="0"/>
    <n v="2025"/>
    <s v="Buy"/>
    <x v="0"/>
    <x v="815"/>
  </r>
  <r>
    <s v="July25 EFP 2"/>
    <d v="2025-05-06T00:00:00"/>
    <s v="WTI Sprds"/>
    <s v="Hedge"/>
    <n v="300"/>
    <d v="2025-06-30T00:00:00"/>
    <d v="2025-07-31T00:00:00"/>
    <n v="0.37"/>
    <n v="0.55000000000000004"/>
    <n v="54.000000000000014"/>
    <n v="111"/>
    <x v="31"/>
    <s v="Buy"/>
    <n v="165"/>
    <x v="0"/>
    <x v="0"/>
    <n v="2025"/>
    <s v="Buy"/>
    <x v="0"/>
    <x v="816"/>
  </r>
  <r>
    <s v="July25 EFP 2"/>
    <d v="2025-05-06T00:00:00"/>
    <s v="WTI Sprds"/>
    <s v="Hedge"/>
    <n v="600"/>
    <d v="2025-06-30T00:00:00"/>
    <d v="2025-07-31T00:00:00"/>
    <n v="0.35"/>
    <n v="0.55000000000000004"/>
    <n v="120.00000000000004"/>
    <n v="210"/>
    <x v="31"/>
    <s v="Buy"/>
    <n v="330"/>
    <x v="0"/>
    <x v="0"/>
    <n v="2025"/>
    <s v="Buy"/>
    <x v="0"/>
    <x v="817"/>
  </r>
  <r>
    <s v="Unallocated"/>
    <d v="2025-05-09T00:00:00"/>
    <s v="CFD"/>
    <s v="Hedge"/>
    <n v="500"/>
    <s v="May12-May16"/>
    <d v="2025-05-31T00:00:00"/>
    <n v="0.04"/>
    <n v="-9.7000000000000003E-2"/>
    <n v="-68.5"/>
    <n v="20"/>
    <x v="39"/>
    <s v="Buy"/>
    <n v="-48.5"/>
    <x v="1"/>
    <x v="1"/>
    <n v="2025"/>
    <s v="Buy"/>
    <x v="0"/>
    <x v="818"/>
  </r>
  <r>
    <s v="Unallocated"/>
    <d v="2025-05-09T00:00:00"/>
    <s v="Brent Sprds"/>
    <s v="Hedge"/>
    <n v="621"/>
    <d v="2025-07-31T00:00:00"/>
    <d v="2025-08-31T00:00:00"/>
    <n v="0.38"/>
    <n v="1.1200000000000001"/>
    <n v="459.54000000000008"/>
    <n v="235.98"/>
    <x v="33"/>
    <s v="Buy"/>
    <n v="695.5200000000001"/>
    <x v="0"/>
    <x v="2"/>
    <n v="2025"/>
    <s v="Buy"/>
    <x v="0"/>
    <x v="819"/>
  </r>
  <r>
    <s v="Unallocated"/>
    <d v="2025-05-09T00:00:00"/>
    <s v="Brent Sprds"/>
    <s v="Hedge"/>
    <n v="621"/>
    <d v="2025-08-31T00:00:00"/>
    <d v="2025-09-30T00:00:00"/>
    <n v="0.38"/>
    <n v="0.87"/>
    <n v="304.29000000000002"/>
    <n v="235.98"/>
    <x v="34"/>
    <s v="Buy"/>
    <n v="540.27"/>
    <x v="0"/>
    <x v="2"/>
    <n v="2025"/>
    <s v="Buy"/>
    <x v="0"/>
    <x v="820"/>
  </r>
  <r>
    <s v="Unallocated"/>
    <d v="2025-05-09T00:00:00"/>
    <s v="Brent Sprds"/>
    <s v="Hedge"/>
    <n v="3000"/>
    <d v="2025-07-31T00:00:00"/>
    <d v="2025-08-31T00:00:00"/>
    <n v="0.38"/>
    <n v="1.1200000000000001"/>
    <n v="2220.0000000000005"/>
    <n v="1140"/>
    <x v="33"/>
    <s v="Buy"/>
    <n v="3360.0000000000005"/>
    <x v="0"/>
    <x v="2"/>
    <n v="2025"/>
    <s v="Buy"/>
    <x v="0"/>
    <x v="821"/>
  </r>
  <r>
    <s v="Unallocated"/>
    <d v="2025-05-09T00:00:00"/>
    <s v="Brent Sprds"/>
    <s v="Hedge"/>
    <n v="3000"/>
    <d v="2025-08-31T00:00:00"/>
    <d v="2025-09-30T00:00:00"/>
    <n v="0.38"/>
    <n v="0.87"/>
    <n v="1470"/>
    <n v="1140"/>
    <x v="34"/>
    <s v="Buy"/>
    <n v="2610"/>
    <x v="0"/>
    <x v="2"/>
    <n v="2025"/>
    <s v="Buy"/>
    <x v="0"/>
    <x v="822"/>
  </r>
  <r>
    <s v="Unallocated"/>
    <d v="2025-05-14T00:00:00"/>
    <s v="CFD"/>
    <s v="Hedge"/>
    <n v="-200"/>
    <s v="May19-May23"/>
    <d v="2025-05-31T00:00:00"/>
    <n v="0.1"/>
    <n v="0.47200000000000009"/>
    <n v="-74.40000000000002"/>
    <n v="-20"/>
    <x v="9"/>
    <s v="Sell"/>
    <n v="-94.40000000000002"/>
    <x v="1"/>
    <x v="1"/>
    <n v="2025"/>
    <s v="Sell"/>
    <x v="0"/>
    <x v="823"/>
  </r>
  <r>
    <s v="Unallocated"/>
    <d v="2025-05-09T00:00:00"/>
    <s v="CFD"/>
    <s v="Hedge"/>
    <n v="500"/>
    <s v="May05-May09"/>
    <d v="2025-05-31T00:00:00"/>
    <n v="-0.18124999999999999"/>
    <n v="-0.18124999999999999"/>
    <n v="0"/>
    <n v="-90.625"/>
    <x v="37"/>
    <s v="Buy"/>
    <n v="-90.625"/>
    <x v="1"/>
    <x v="1"/>
    <n v="2025"/>
    <s v="Buy"/>
    <x v="0"/>
    <x v="824"/>
  </r>
  <r>
    <s v="Trafi CIF Rdam May30-Jun03"/>
    <d v="2025-05-14T00:00:00"/>
    <s v="Physical"/>
    <s v="Expo"/>
    <n v="700"/>
    <d v="2025-05-31T00:00:00"/>
    <d v="2025-05-31T00:00:00"/>
    <n v="2.3239999999999998"/>
    <n v="0.6"/>
    <n v="-1115.8"/>
    <n v="1535.8"/>
    <x v="22"/>
    <s v="Buy"/>
    <n v="420"/>
    <x v="2"/>
    <x v="4"/>
    <n v="2025"/>
    <s v="Buy"/>
    <x v="1"/>
    <x v="825"/>
  </r>
  <r>
    <s v="Trafi CIF Rdam May30-Jun03"/>
    <d v="2025-05-14T00:00:00"/>
    <s v="WTI Sprds"/>
    <s v="Expo"/>
    <n v="-700"/>
    <d v="2025-06-30T00:00:00"/>
    <d v="2025-07-31T00:00:00"/>
    <n v="0.47"/>
    <n v="0.55000000000000004"/>
    <n v="-56.00000000000005"/>
    <n v="-329"/>
    <x v="31"/>
    <s v="Sell"/>
    <n v="-385.00000000000006"/>
    <x v="0"/>
    <x v="0"/>
    <n v="2025"/>
    <s v="Sell"/>
    <x v="0"/>
    <x v="826"/>
  </r>
  <r>
    <s v="Trafi CIF Rdam May30-Jun03"/>
    <d v="2025-05-14T00:00:00"/>
    <s v="WTI-Brent"/>
    <s v="Expo"/>
    <n v="-420"/>
    <d v="2025-07-31T00:00:00"/>
    <d v="2025-07-31T00:00:00"/>
    <n v="-3.41"/>
    <n v="-3.11"/>
    <n v="-126.00000000000011"/>
    <n v="1432.2"/>
    <x v="32"/>
    <s v="Sell"/>
    <n v="1306.2"/>
    <x v="1"/>
    <x v="3"/>
    <n v="2025"/>
    <s v="Sell"/>
    <x v="0"/>
    <x v="827"/>
  </r>
  <r>
    <s v="Trafi CIF Rdam May30-Jun03"/>
    <d v="2025-05-14T00:00:00"/>
    <s v="Brent Sprds"/>
    <s v="Expo"/>
    <n v="-76"/>
    <d v="2025-07-31T00:00:00"/>
    <d v="2025-08-31T00:00:00"/>
    <n v="0.51"/>
    <n v="1.1200000000000001"/>
    <n v="-46.360000000000007"/>
    <n v="-38.76"/>
    <x v="33"/>
    <s v="Sell"/>
    <n v="-85.12"/>
    <x v="0"/>
    <x v="2"/>
    <n v="2025"/>
    <s v="Sell"/>
    <x v="0"/>
    <x v="828"/>
  </r>
  <r>
    <s v="Trafi CIF Rdam May30-Jun03"/>
    <d v="2025-05-13T00:00:00"/>
    <s v="CFD"/>
    <s v="Expo"/>
    <n v="420"/>
    <s v="May26-May30"/>
    <d v="2025-05-31T00:00:00"/>
    <n v="0.28000000000000003"/>
    <n v="0.48875000000000002"/>
    <n v="87.674999999999997"/>
    <n v="117.60000000000001"/>
    <x v="40"/>
    <s v="Buy"/>
    <n v="205.27500000000001"/>
    <x v="1"/>
    <x v="1"/>
    <n v="2025"/>
    <s v="Buy"/>
    <x v="0"/>
    <x v="829"/>
  </r>
  <r>
    <s v="Trafi CIF Rdam May30-Jun03"/>
    <d v="2025-05-14T00:00:00"/>
    <s v="CFD"/>
    <s v="Expo"/>
    <n v="280"/>
    <s v="Jun02-Jun06"/>
    <d v="2025-06-30T00:00:00"/>
    <n v="0.57999999999999996"/>
    <n v="1.81"/>
    <n v="344.4"/>
    <n v="162.39999999999998"/>
    <x v="41"/>
    <s v="Buy"/>
    <n v="506.8"/>
    <x v="1"/>
    <x v="1"/>
    <n v="2025"/>
    <s v="Buy"/>
    <x v="0"/>
    <x v="830"/>
  </r>
  <r>
    <s v="Unallocated"/>
    <d v="2025-05-15T00:00:00"/>
    <s v="CFD"/>
    <s v="Hedge"/>
    <n v="-400"/>
    <s v="May19-May23"/>
    <d v="2025-05-31T00:00:00"/>
    <n v="0"/>
    <n v="0.47200000000000009"/>
    <n v="-188.80000000000004"/>
    <n v="0"/>
    <x v="9"/>
    <s v="Sell"/>
    <n v="-188.80000000000004"/>
    <x v="1"/>
    <x v="1"/>
    <n v="2025"/>
    <s v="Sell"/>
    <x v="0"/>
    <x v="831"/>
  </r>
  <r>
    <s v="Unallocated"/>
    <d v="2025-05-15T00:00:00"/>
    <s v="DFL"/>
    <s v="Hedge"/>
    <n v="-500"/>
    <d v="2025-05-31T00:00:00"/>
    <d v="2025-05-31T00:00:00"/>
    <n v="0.12"/>
    <n v="0.14121300000000001"/>
    <n v="-10.606500000000004"/>
    <n v="-60"/>
    <x v="22"/>
    <s v="Sell"/>
    <n v="-70.606499999999997"/>
    <x v="1"/>
    <x v="1"/>
    <n v="2025"/>
    <s v="Sell"/>
    <x v="0"/>
    <x v="832"/>
  </r>
  <r>
    <s v="Unallocated"/>
    <d v="2025-05-15T00:00:00"/>
    <s v="Brent Sprds"/>
    <s v="Hedge"/>
    <n v="-1500"/>
    <d v="2025-07-31T00:00:00"/>
    <d v="2025-08-31T00:00:00"/>
    <n v="0.46"/>
    <n v="1.1200000000000001"/>
    <n v="-990.00000000000023"/>
    <n v="-690"/>
    <x v="33"/>
    <s v="Sell"/>
    <n v="-1680.0000000000002"/>
    <x v="0"/>
    <x v="2"/>
    <n v="2025"/>
    <s v="Sell"/>
    <x v="0"/>
    <x v="833"/>
  </r>
  <r>
    <s v="Unallocated"/>
    <d v="2025-05-15T00:00:00"/>
    <s v="WTI Sprds"/>
    <s v="Hedge"/>
    <n v="3000"/>
    <d v="2025-06-30T00:00:00"/>
    <d v="2025-07-31T00:00:00"/>
    <n v="0.47"/>
    <n v="0.55000000000000004"/>
    <n v="240.00000000000023"/>
    <n v="1410"/>
    <x v="31"/>
    <s v="Buy"/>
    <n v="1650.0000000000002"/>
    <x v="0"/>
    <x v="0"/>
    <n v="2025"/>
    <s v="Buy"/>
    <x v="0"/>
    <x v="834"/>
  </r>
  <r>
    <s v="Exxon CIF Rdam June 22-26"/>
    <d v="2025-05-14T00:00:00"/>
    <s v="Physical"/>
    <s v="Expo"/>
    <n v="700"/>
    <d v="2025-05-31T00:00:00"/>
    <d v="2025-05-31T00:00:00"/>
    <n v="1.69"/>
    <n v="1.65"/>
    <n v="-28.000000000000025"/>
    <n v="1183"/>
    <x v="22"/>
    <s v="Buy"/>
    <n v="1155"/>
    <x v="2"/>
    <x v="4"/>
    <n v="2025"/>
    <s v="Buy"/>
    <x v="1"/>
    <x v="835"/>
  </r>
  <r>
    <s v="Exxon CIF Rdam June 22-26"/>
    <d v="2025-05-14T00:00:00"/>
    <s v="WTI Sprds"/>
    <s v="Expo"/>
    <n v="-700"/>
    <d v="2025-06-30T00:00:00"/>
    <d v="2025-07-31T00:00:00"/>
    <n v="0.47"/>
    <n v="0.55000000000000004"/>
    <n v="-56.00000000000005"/>
    <n v="-329"/>
    <x v="31"/>
    <s v="Sell"/>
    <n v="-385.00000000000006"/>
    <x v="0"/>
    <x v="0"/>
    <n v="2025"/>
    <s v="Sell"/>
    <x v="0"/>
    <x v="836"/>
  </r>
  <r>
    <s v="Exxon CIF Rdam June 22-26"/>
    <d v="2025-05-14T00:00:00"/>
    <s v="WTI-Brent"/>
    <s v="Expo"/>
    <n v="-700"/>
    <d v="2025-07-31T00:00:00"/>
    <d v="2025-07-31T00:00:00"/>
    <n v="-3.35"/>
    <n v="-3.11"/>
    <n v="-168.00000000000014"/>
    <n v="2345"/>
    <x v="32"/>
    <s v="Sell"/>
    <n v="2177"/>
    <x v="1"/>
    <x v="3"/>
    <n v="2025"/>
    <s v="Sell"/>
    <x v="0"/>
    <x v="837"/>
  </r>
  <r>
    <s v="Exxon CIF Rdam June 22-26"/>
    <d v="2025-05-14T00:00:00"/>
    <s v="Brent Sprds"/>
    <s v="Expo"/>
    <n v="-700"/>
    <d v="2025-07-31T00:00:00"/>
    <d v="2025-08-31T00:00:00"/>
    <n v="0.45"/>
    <n v="1.1200000000000001"/>
    <n v="-469.00000000000011"/>
    <n v="-315"/>
    <x v="33"/>
    <s v="Sell"/>
    <n v="-784.00000000000011"/>
    <x v="0"/>
    <x v="2"/>
    <n v="2025"/>
    <s v="Sell"/>
    <x v="0"/>
    <x v="838"/>
  </r>
  <r>
    <s v="Exxon CIF Rdam June 22-26"/>
    <d v="2025-05-14T00:00:00"/>
    <s v="Freight-TD25"/>
    <s v="Expo"/>
    <n v="-700"/>
    <d v="2025-06-30T00:00:00"/>
    <d v="2025-06-30T00:00:00"/>
    <n v="145"/>
    <n v="115"/>
    <n v="420"/>
    <n v="-101500"/>
    <x v="30"/>
    <s v="Sell"/>
    <n v="-80500"/>
    <x v="3"/>
    <x v="5"/>
    <n v="2025"/>
    <s v="Sell"/>
    <x v="0"/>
    <x v="839"/>
  </r>
  <r>
    <s v="Exxon CIF Rdam June 22-26"/>
    <d v="2025-05-14T00:00:00"/>
    <s v="Freight-TD25"/>
    <s v="Hedge"/>
    <n v="700"/>
    <d v="2025-06-30T00:00:00"/>
    <d v="2025-06-30T00:00:00"/>
    <n v="115"/>
    <n v="115"/>
    <n v="0"/>
    <n v="80500"/>
    <x v="30"/>
    <s v="Buy"/>
    <n v="80500"/>
    <x v="3"/>
    <x v="5"/>
    <n v="2025"/>
    <s v="Buy"/>
    <x v="0"/>
    <x v="840"/>
  </r>
  <r>
    <s v="Unallocated"/>
    <d v="2025-05-16T00:00:00"/>
    <s v="CFD"/>
    <s v="Hedge"/>
    <n v="-200"/>
    <s v="May19-May23"/>
    <d v="2025-05-31T00:00:00"/>
    <n v="0.2"/>
    <n v="0.47200000000000009"/>
    <n v="-54.400000000000013"/>
    <n v="-40"/>
    <x v="9"/>
    <s v="Sell"/>
    <n v="-94.40000000000002"/>
    <x v="1"/>
    <x v="1"/>
    <n v="2025"/>
    <s v="Sell"/>
    <x v="0"/>
    <x v="841"/>
  </r>
  <r>
    <s v="Unallocated"/>
    <d v="2025-05-16T00:00:00"/>
    <s v="CFD"/>
    <s v="Hedge"/>
    <n v="200"/>
    <s v="Jun09-Jun13"/>
    <d v="2025-06-30T00:00:00"/>
    <n v="0.86"/>
    <n v="1.526"/>
    <n v="133.20000000000002"/>
    <n v="172"/>
    <x v="42"/>
    <s v="Buy"/>
    <n v="305.2"/>
    <x v="1"/>
    <x v="1"/>
    <n v="2025"/>
    <s v="Buy"/>
    <x v="0"/>
    <x v="842"/>
  </r>
  <r>
    <s v="Unallocated"/>
    <d v="2025-05-15T00:00:00"/>
    <s v="DFL"/>
    <s v="Hedge"/>
    <n v="250"/>
    <d v="2025-05-31T00:00:00"/>
    <d v="2025-05-31T00:00:00"/>
    <n v="0.4"/>
    <n v="0.44562600000000002"/>
    <n v="11.406499999999999"/>
    <n v="100"/>
    <x v="22"/>
    <s v="Buy"/>
    <n v="111.40650000000001"/>
    <x v="1"/>
    <x v="1"/>
    <n v="2025"/>
    <s v="Buy"/>
    <x v="0"/>
    <x v="843"/>
  </r>
  <r>
    <s v="Unallocated"/>
    <d v="2025-05-16T00:00:00"/>
    <s v="CFD"/>
    <s v="Hedge"/>
    <n v="-200"/>
    <s v="May19-May23"/>
    <d v="2025-05-31T00:00:00"/>
    <n v="0.2"/>
    <n v="0.47200000000000009"/>
    <n v="-54.400000000000013"/>
    <n v="-40"/>
    <x v="9"/>
    <s v="Sell"/>
    <n v="-94.40000000000002"/>
    <x v="1"/>
    <x v="1"/>
    <n v="2025"/>
    <s v="Sell"/>
    <x v="0"/>
    <x v="844"/>
  </r>
  <r>
    <s v="Unallocated"/>
    <d v="2025-05-16T00:00:00"/>
    <s v="CFD"/>
    <s v="Hedge"/>
    <n v="500"/>
    <s v="May12-May16"/>
    <d v="2025-05-31T00:00:00"/>
    <n v="-9.7000000000000003E-2"/>
    <n v="-9.7000000000000003E-2"/>
    <n v="0"/>
    <n v="-48.5"/>
    <x v="39"/>
    <s v="Buy"/>
    <n v="-48.5"/>
    <x v="1"/>
    <x v="1"/>
    <n v="2025"/>
    <s v="Buy"/>
    <x v="0"/>
    <x v="845"/>
  </r>
  <r>
    <s v="Exxon CIF Rdam June 22-26"/>
    <d v="2025-05-16T00:00:00"/>
    <s v="Brent Sprds"/>
    <s v="Hedge"/>
    <n v="958"/>
    <d v="2025-07-31T00:00:00"/>
    <d v="2025-08-31T00:00:00"/>
    <n v="0.63"/>
    <n v="1.1200000000000001"/>
    <n v="469.42000000000007"/>
    <n v="603.54"/>
    <x v="33"/>
    <s v="Buy"/>
    <n v="1072.96"/>
    <x v="0"/>
    <x v="2"/>
    <n v="2025"/>
    <s v="Buy"/>
    <x v="0"/>
    <x v="846"/>
  </r>
  <r>
    <s v="Exxon CIF Rdam June 22-26"/>
    <d v="2025-05-16T00:00:00"/>
    <s v="Brent Sprds"/>
    <s v="Hedge"/>
    <n v="-958"/>
    <d v="2025-08-31T00:00:00"/>
    <d v="2025-09-30T00:00:00"/>
    <n v="0.49"/>
    <n v="0.87"/>
    <n v="-364.04"/>
    <n v="-469.42"/>
    <x v="34"/>
    <s v="Sell"/>
    <n v="-833.46"/>
    <x v="0"/>
    <x v="2"/>
    <n v="2025"/>
    <s v="Sell"/>
    <x v="0"/>
    <x v="847"/>
  </r>
  <r>
    <s v="PTIN CIF Rdam June 9-13"/>
    <d v="2025-05-19T00:00:00"/>
    <s v="Physical"/>
    <s v="Expo"/>
    <n v="700"/>
    <d v="2025-05-31T00:00:00"/>
    <d v="2025-05-31T00:00:00"/>
    <n v="2.202"/>
    <n v="1.3"/>
    <n v="-631.4"/>
    <n v="1541.3999999999999"/>
    <x v="22"/>
    <s v="Buy"/>
    <n v="910"/>
    <x v="2"/>
    <x v="4"/>
    <n v="2025"/>
    <s v="Buy"/>
    <x v="1"/>
    <x v="848"/>
  </r>
  <r>
    <s v="PTIN CIF Rdam June 9-13"/>
    <d v="2025-05-19T00:00:00"/>
    <s v="WTI Sprds"/>
    <s v="Expo"/>
    <n v="-700"/>
    <d v="2025-06-30T00:00:00"/>
    <d v="2025-07-31T00:00:00"/>
    <n v="0.69"/>
    <n v="0.55000000000000004"/>
    <n v="97.999999999999929"/>
    <n v="-482.99999999999994"/>
    <x v="31"/>
    <s v="Sell"/>
    <n v="-385.00000000000006"/>
    <x v="0"/>
    <x v="0"/>
    <n v="2025"/>
    <s v="Sell"/>
    <x v="0"/>
    <x v="849"/>
  </r>
  <r>
    <s v="PTIN CIF Rdam June 9-13"/>
    <d v="2025-05-19T00:00:00"/>
    <s v="WTI-Brent"/>
    <s v="Expo"/>
    <n v="-700"/>
    <d v="2025-07-31T00:00:00"/>
    <d v="2025-07-31T00:00:00"/>
    <n v="-3.32"/>
    <n v="-3.11"/>
    <n v="-146.99999999999997"/>
    <n v="2324"/>
    <x v="32"/>
    <s v="Sell"/>
    <n v="2177"/>
    <x v="1"/>
    <x v="3"/>
    <n v="2025"/>
    <s v="Sell"/>
    <x v="0"/>
    <x v="850"/>
  </r>
  <r>
    <s v="PTIN CIF Rdam June 9-13"/>
    <d v="2025-05-19T00:00:00"/>
    <s v="Brent Sprds"/>
    <s v="Expo"/>
    <n v="-140"/>
    <d v="2025-07-31T00:00:00"/>
    <d v="2025-08-31T00:00:00"/>
    <n v="0.73"/>
    <n v="1.1200000000000001"/>
    <n v="-54.600000000000016"/>
    <n v="-102.2"/>
    <x v="33"/>
    <s v="Sell"/>
    <n v="-156.80000000000001"/>
    <x v="0"/>
    <x v="2"/>
    <n v="2025"/>
    <s v="Sell"/>
    <x v="0"/>
    <x v="851"/>
  </r>
  <r>
    <s v="PTIN CIF Rdam June 9-13"/>
    <d v="2025-05-14T00:00:00"/>
    <s v="Freight-TD25"/>
    <s v="Expo"/>
    <n v="-700"/>
    <d v="2025-06-30T00:00:00"/>
    <d v="2025-06-30T00:00:00"/>
    <n v="140"/>
    <n v="137.5"/>
    <n v="35"/>
    <n v="-98000"/>
    <x v="30"/>
    <s v="Sell"/>
    <n v="-96250"/>
    <x v="3"/>
    <x v="5"/>
    <n v="2025"/>
    <s v="Sell"/>
    <x v="0"/>
    <x v="852"/>
  </r>
  <r>
    <s v="PTIN CIF Rdam June 9-13"/>
    <d v="2025-05-01T00:00:00"/>
    <s v="Freight-TD25"/>
    <s v="Hedge"/>
    <n v="700"/>
    <d v="2025-05-31T00:00:00"/>
    <d v="2025-05-31T00:00:00"/>
    <n v="137.5"/>
    <n v="137.5"/>
    <n v="0"/>
    <n v="0"/>
    <x v="22"/>
    <s v="Buy"/>
    <n v="96250"/>
    <x v="3"/>
    <x v="5"/>
    <n v="2025"/>
    <s v="Buy"/>
    <x v="0"/>
    <x v="853"/>
  </r>
  <r>
    <s v="Trafi CIF Rdam June 13-17"/>
    <d v="2025-05-19T00:00:00"/>
    <s v="Physical"/>
    <s v="Expo"/>
    <n v="700"/>
    <d v="2025-05-31T00:00:00"/>
    <d v="2025-05-31T00:00:00"/>
    <n v="2.3780000000000001"/>
    <n v="1.45"/>
    <n v="-649.60000000000014"/>
    <n v="1664.6000000000001"/>
    <x v="22"/>
    <s v="Buy"/>
    <n v="1015"/>
    <x v="2"/>
    <x v="4"/>
    <n v="2025"/>
    <s v="Buy"/>
    <x v="1"/>
    <x v="854"/>
  </r>
  <r>
    <s v="Trafi CIF Rdam June 13-17"/>
    <d v="2025-05-19T00:00:00"/>
    <s v="WTI Sprds"/>
    <s v="Expo"/>
    <n v="-700"/>
    <d v="2025-06-30T00:00:00"/>
    <d v="2025-07-31T00:00:00"/>
    <n v="0.69"/>
    <n v="0.55000000000000004"/>
    <n v="97.999999999999929"/>
    <n v="-482.99999999999994"/>
    <x v="31"/>
    <s v="Sell"/>
    <n v="-385.00000000000006"/>
    <x v="0"/>
    <x v="0"/>
    <n v="2025"/>
    <s v="Sell"/>
    <x v="0"/>
    <x v="855"/>
  </r>
  <r>
    <s v="Trafi CIF Rdam June 13-17"/>
    <d v="2025-05-19T00:00:00"/>
    <s v="WTI-Brent"/>
    <s v="Expo"/>
    <n v="-700"/>
    <d v="2025-07-31T00:00:00"/>
    <d v="2025-07-31T00:00:00"/>
    <n v="-3.32"/>
    <n v="-3.11"/>
    <n v="-146.99999999999997"/>
    <n v="2324"/>
    <x v="32"/>
    <s v="Sell"/>
    <n v="2177"/>
    <x v="1"/>
    <x v="3"/>
    <n v="2025"/>
    <s v="Sell"/>
    <x v="0"/>
    <x v="856"/>
  </r>
  <r>
    <s v="Trafi CIF Rdam June 13-17"/>
    <d v="2025-05-19T00:00:00"/>
    <s v="Brent Sprds"/>
    <s v="Expo"/>
    <n v="-700"/>
    <d v="2025-07-31T00:00:00"/>
    <d v="2025-08-31T00:00:00"/>
    <n v="0.73"/>
    <n v="1.1200000000000001"/>
    <n v="-273.00000000000011"/>
    <n v="-511"/>
    <x v="33"/>
    <s v="Sell"/>
    <n v="-784.00000000000011"/>
    <x v="0"/>
    <x v="2"/>
    <n v="2025"/>
    <s v="Sell"/>
    <x v="0"/>
    <x v="857"/>
  </r>
  <r>
    <s v="Trafi CIF Rdam June 13-17"/>
    <d v="2025-05-14T00:00:00"/>
    <s v="Freight-TD25"/>
    <s v="Expo"/>
    <n v="-700"/>
    <d v="2025-06-30T00:00:00"/>
    <d v="2025-06-30T00:00:00"/>
    <n v="140"/>
    <n v="125"/>
    <n v="210"/>
    <n v="-98000"/>
    <x v="30"/>
    <s v="Sell"/>
    <n v="-87500"/>
    <x v="3"/>
    <x v="5"/>
    <n v="2025"/>
    <s v="Sell"/>
    <x v="0"/>
    <x v="858"/>
  </r>
  <r>
    <s v="Trafi CIF Rdam June 13-17"/>
    <d v="2025-05-14T00:00:00"/>
    <s v="Freight-TD25"/>
    <s v="Hedge"/>
    <n v="700"/>
    <d v="2025-06-30T00:00:00"/>
    <d v="2025-06-30T00:00:00"/>
    <n v="125"/>
    <n v="125"/>
    <n v="0"/>
    <n v="87500"/>
    <x v="30"/>
    <s v="Buy"/>
    <n v="87500"/>
    <x v="3"/>
    <x v="5"/>
    <n v="2025"/>
    <s v="Buy"/>
    <x v="0"/>
    <x v="859"/>
  </r>
  <r>
    <s v="BP CIF Rdam June 17-21"/>
    <d v="2025-05-19T00:00:00"/>
    <s v="Physical"/>
    <s v="Expo"/>
    <n v="700"/>
    <d v="2025-05-31T00:00:00"/>
    <d v="2025-05-31T00:00:00"/>
    <n v="2.5100000000000002"/>
    <n v="1.55"/>
    <n v="-672.00000000000011"/>
    <n v="1757.0000000000002"/>
    <x v="22"/>
    <s v="Buy"/>
    <n v="1085"/>
    <x v="2"/>
    <x v="4"/>
    <n v="2025"/>
    <s v="Buy"/>
    <x v="1"/>
    <x v="860"/>
  </r>
  <r>
    <s v="BP CIF Rdam June 17-21"/>
    <d v="2025-05-19T00:00:00"/>
    <s v="WTI Sprds"/>
    <s v="Expo"/>
    <n v="-700"/>
    <d v="2025-06-30T00:00:00"/>
    <d v="2025-07-31T00:00:00"/>
    <n v="0.69"/>
    <n v="0.55000000000000004"/>
    <n v="97.999999999999929"/>
    <n v="-482.99999999999994"/>
    <x v="31"/>
    <s v="Sell"/>
    <n v="-385.00000000000006"/>
    <x v="0"/>
    <x v="0"/>
    <n v="2025"/>
    <s v="Sell"/>
    <x v="0"/>
    <x v="861"/>
  </r>
  <r>
    <s v="BP CIF Rdam June 17-21"/>
    <d v="2025-05-19T00:00:00"/>
    <s v="WTI-Brent"/>
    <s v="Expo"/>
    <n v="-700"/>
    <d v="2025-07-31T00:00:00"/>
    <d v="2025-07-31T00:00:00"/>
    <n v="-3.32"/>
    <n v="-3.11"/>
    <n v="-146.99999999999997"/>
    <n v="2324"/>
    <x v="32"/>
    <s v="Sell"/>
    <n v="2177"/>
    <x v="1"/>
    <x v="3"/>
    <n v="2025"/>
    <s v="Sell"/>
    <x v="0"/>
    <x v="862"/>
  </r>
  <r>
    <s v="BP CIF Rdam June 17-21"/>
    <d v="2025-05-19T00:00:00"/>
    <s v="Brent Sprds"/>
    <s v="Expo"/>
    <n v="-700"/>
    <d v="2025-07-31T00:00:00"/>
    <d v="2025-08-31T00:00:00"/>
    <n v="0.73"/>
    <n v="1.1200000000000001"/>
    <n v="-273.00000000000011"/>
    <n v="-511"/>
    <x v="33"/>
    <s v="Sell"/>
    <n v="-784.00000000000011"/>
    <x v="0"/>
    <x v="2"/>
    <n v="2025"/>
    <s v="Sell"/>
    <x v="0"/>
    <x v="863"/>
  </r>
  <r>
    <s v="BP CIF Rdam June 17-21"/>
    <d v="2025-05-14T00:00:00"/>
    <s v="Freight-TD25"/>
    <s v="Expo"/>
    <n v="-700"/>
    <d v="2025-06-30T00:00:00"/>
    <d v="2025-06-30T00:00:00"/>
    <n v="140"/>
    <n v="120"/>
    <n v="280"/>
    <n v="-98000"/>
    <x v="30"/>
    <s v="Sell"/>
    <n v="-84000"/>
    <x v="3"/>
    <x v="5"/>
    <n v="2025"/>
    <s v="Sell"/>
    <x v="0"/>
    <x v="864"/>
  </r>
  <r>
    <s v="BP CIF Rdam June 17-21"/>
    <d v="2025-05-14T00:00:00"/>
    <s v="Freight-TD25"/>
    <s v="Hedge"/>
    <n v="700"/>
    <d v="2025-06-30T00:00:00"/>
    <d v="2025-06-30T00:00:00"/>
    <n v="120"/>
    <n v="120"/>
    <n v="0"/>
    <n v="84000"/>
    <x v="30"/>
    <s v="Buy"/>
    <n v="84000"/>
    <x v="3"/>
    <x v="5"/>
    <n v="2025"/>
    <s v="Buy"/>
    <x v="0"/>
    <x v="865"/>
  </r>
  <r>
    <s v="BP CIF Rdam June 17-21"/>
    <d v="2025-05-19T00:00:00"/>
    <s v="WTI Sprds"/>
    <s v="Hedge"/>
    <n v="3373"/>
    <d v="2025-06-30T00:00:00"/>
    <d v="2025-07-31T00:00:00"/>
    <n v="0.55000000000000004"/>
    <n v="0.55000000000000004"/>
    <n v="0"/>
    <n v="1855.15"/>
    <x v="31"/>
    <s v="Buy"/>
    <n v="1855.15"/>
    <x v="0"/>
    <x v="0"/>
    <n v="2025"/>
    <s v="Buy"/>
    <x v="0"/>
    <x v="866"/>
  </r>
  <r>
    <s v="BP CIF Rdam June 17-21"/>
    <d v="2025-05-20T00:00:00"/>
    <s v="WTI Sprds"/>
    <s v="Hedge"/>
    <n v="-2100"/>
    <d v="2025-06-30T00:00:00"/>
    <d v="2025-07-31T00:00:00"/>
    <n v="0.55000000000000004"/>
    <n v="0.55000000000000004"/>
    <n v="0"/>
    <n v="-1155"/>
    <x v="31"/>
    <s v="Sell"/>
    <n v="-1155"/>
    <x v="0"/>
    <x v="0"/>
    <n v="2025"/>
    <s v="Sell"/>
    <x v="0"/>
    <x v="867"/>
  </r>
  <r>
    <s v="BP CIF Rdam June 17-21"/>
    <d v="2025-05-20T00:00:00"/>
    <s v="Brent Sprds"/>
    <s v="Hedge"/>
    <n v="1400"/>
    <d v="2025-07-31T00:00:00"/>
    <d v="2025-08-31T00:00:00"/>
    <n v="0.62"/>
    <n v="1.1200000000000001"/>
    <n v="700.00000000000011"/>
    <n v="868"/>
    <x v="33"/>
    <s v="Buy"/>
    <n v="1568.0000000000002"/>
    <x v="0"/>
    <x v="2"/>
    <n v="2025"/>
    <s v="Buy"/>
    <x v="0"/>
    <x v="868"/>
  </r>
  <r>
    <s v="CPC Taiwain Aug 15-22"/>
    <d v="2025-05-21T00:00:00"/>
    <s v="Physical"/>
    <s v="Expo"/>
    <n v="2098"/>
    <d v="2025-06-30T00:00:00"/>
    <d v="2025-06-30T00:00:00"/>
    <n v="2.5599999999999996"/>
    <n v="2.9899999999999998"/>
    <n v="902.14000000000033"/>
    <n v="5475.7799999999988"/>
    <x v="30"/>
    <s v="Buy"/>
    <n v="6273.0199999999995"/>
    <x v="2"/>
    <x v="4"/>
    <n v="2025"/>
    <s v="Buy"/>
    <x v="1"/>
    <x v="869"/>
  </r>
  <r>
    <s v="CPC Taiwain Aug 15-22"/>
    <d v="2025-05-21T00:00:00"/>
    <s v="WTI Sprds"/>
    <s v="Expo"/>
    <n v="-2075"/>
    <d v="2025-07-31T00:00:00"/>
    <d v="2025-08-31T00:00:00"/>
    <n v="0.59"/>
    <n v="1.64"/>
    <n v="-2178.7499999999995"/>
    <n v="-1224.25"/>
    <x v="33"/>
    <s v="Sell"/>
    <n v="-3403"/>
    <x v="0"/>
    <x v="0"/>
    <n v="2025"/>
    <s v="Sell"/>
    <x v="0"/>
    <x v="870"/>
  </r>
  <r>
    <s v="CPC Taiwain Aug 15-22"/>
    <d v="2025-05-21T00:00:00"/>
    <s v="WTI Sprds"/>
    <s v="Expo"/>
    <n v="-2075"/>
    <d v="2025-08-31T00:00:00"/>
    <d v="2025-09-30T00:00:00"/>
    <n v="0.55000000000000004"/>
    <n v="1.25"/>
    <n v="-1452.5"/>
    <n v="-1141.25"/>
    <x v="34"/>
    <s v="Sell"/>
    <n v="-2593.75"/>
    <x v="0"/>
    <x v="0"/>
    <n v="2025"/>
    <s v="Sell"/>
    <x v="0"/>
    <x v="871"/>
  </r>
  <r>
    <s v="CPC Taiwain Aug 15-22"/>
    <d v="2025-05-21T00:00:00"/>
    <s v="WTI-Brent"/>
    <s v="Expo"/>
    <n v="-2098"/>
    <d v="2025-09-30T00:00:00"/>
    <d v="2025-09-30T00:00:00"/>
    <n v="-3.37"/>
    <n v="-3.27"/>
    <n v="-209.80000000000018"/>
    <n v="7070.26"/>
    <x v="43"/>
    <s v="Sell"/>
    <n v="6860.46"/>
    <x v="1"/>
    <x v="3"/>
    <n v="2025"/>
    <s v="Sell"/>
    <x v="0"/>
    <x v="872"/>
  </r>
  <r>
    <s v="CPC Taiwain Aug 15-22"/>
    <d v="2025-05-21T00:00:00"/>
    <s v="DFL"/>
    <s v="Expo"/>
    <n v="2098"/>
    <d v="2025-07-31T00:00:00"/>
    <d v="2025-07-31T00:00:00"/>
    <n v="0.65"/>
    <n v="1.47"/>
    <n v="1720.36"/>
    <n v="1363.7"/>
    <x v="32"/>
    <s v="Buy"/>
    <n v="3084.06"/>
    <x v="1"/>
    <x v="1"/>
    <n v="2025"/>
    <s v="Buy"/>
    <x v="0"/>
    <x v="873"/>
  </r>
  <r>
    <s v="CPC Taiwain Aug 15-22"/>
    <d v="2025-05-21T00:00:00"/>
    <s v="Freight-TD22"/>
    <s v="Expo"/>
    <n v="-2000"/>
    <d v="2025-06-30T00:00:00"/>
    <d v="2025-06-30T00:00:00"/>
    <n v="8100"/>
    <n v="8100"/>
    <n v="0"/>
    <n v="-16200000"/>
    <x v="30"/>
    <s v="Sell"/>
    <n v="-16200000"/>
    <x v="3"/>
    <x v="5"/>
    <n v="2025"/>
    <s v="Sell"/>
    <x v="0"/>
    <x v="874"/>
  </r>
  <r>
    <s v="CPC Taiwain Aug 15-22"/>
    <d v="2025-05-22T00:00:00"/>
    <s v="Freight-TD22"/>
    <s v="Hedge"/>
    <n v="2000"/>
    <d v="2025-06-30T00:00:00"/>
    <d v="2025-06-30T00:00:00"/>
    <n v="7600"/>
    <n v="8100"/>
    <n v="500"/>
    <n v="15200000"/>
    <x v="30"/>
    <s v="Buy"/>
    <n v="16200000"/>
    <x v="3"/>
    <x v="5"/>
    <n v="2025"/>
    <s v="Buy"/>
    <x v="0"/>
    <x v="875"/>
  </r>
  <r>
    <s v="Unallocated"/>
    <d v="2025-05-21T00:00:00"/>
    <s v="WTI Sprds-Fly"/>
    <s v="Hedge"/>
    <n v="-500"/>
    <d v="2025-07-31T00:00:00"/>
    <d v="2025-08-31T00:00:00"/>
    <n v="0.59"/>
    <n v="1.64"/>
    <n v="-524.99999999999989"/>
    <n v="-295"/>
    <x v="33"/>
    <s v="Sell"/>
    <n v="-820"/>
    <x v="0"/>
    <x v="0"/>
    <n v="2025"/>
    <s v="Sell"/>
    <x v="0"/>
    <x v="876"/>
  </r>
  <r>
    <s v="Unallocated"/>
    <d v="2025-05-21T00:00:00"/>
    <s v="WTI Sprds-Fly"/>
    <s v="Hedge"/>
    <n v="500"/>
    <d v="2025-08-31T00:00:00"/>
    <d v="2025-09-30T00:00:00"/>
    <n v="0.53"/>
    <n v="1.25"/>
    <n v="360"/>
    <n v="265"/>
    <x v="34"/>
    <s v="Buy"/>
    <n v="625"/>
    <x v="0"/>
    <x v="0"/>
    <n v="2025"/>
    <s v="Buy"/>
    <x v="0"/>
    <x v="877"/>
  </r>
  <r>
    <s v="Unallocated"/>
    <d v="2025-05-21T00:00:00"/>
    <s v="WTI-Brent"/>
    <s v="Hedge"/>
    <n v="2000"/>
    <d v="2025-07-31T00:00:00"/>
    <d v="2025-07-31T00:00:00"/>
    <n v="-3.31"/>
    <n v="-3.11"/>
    <n v="400.00000000000034"/>
    <n v="-6620"/>
    <x v="32"/>
    <s v="Buy"/>
    <n v="-6220"/>
    <x v="1"/>
    <x v="3"/>
    <n v="2025"/>
    <s v="Buy"/>
    <x v="0"/>
    <x v="878"/>
  </r>
  <r>
    <s v="Unallocated"/>
    <d v="2025-05-21T00:00:00"/>
    <s v="WTI-Brent"/>
    <s v="Hedge"/>
    <n v="-2000"/>
    <d v="2025-08-31T00:00:00"/>
    <d v="2025-08-31T00:00:00"/>
    <n v="-3.35"/>
    <n v="-2.5"/>
    <n v="-1700.0000000000002"/>
    <n v="6700"/>
    <x v="38"/>
    <s v="Sell"/>
    <n v="5000"/>
    <x v="1"/>
    <x v="3"/>
    <n v="2025"/>
    <s v="Sell"/>
    <x v="0"/>
    <x v="879"/>
  </r>
  <r>
    <s v="PTIN CIF Rdam June 9-13"/>
    <d v="2025-05-19T00:00:00"/>
    <s v="CFD"/>
    <s v="Hedge"/>
    <n v="-200"/>
    <s v="Jun02-Jun06"/>
    <d v="2025-06-30T00:00:00"/>
    <n v="0.9"/>
    <n v="1.81"/>
    <n v="-182"/>
    <n v="-180"/>
    <x v="41"/>
    <s v="Buy"/>
    <n v="252"/>
    <x v="1"/>
    <x v="1"/>
    <n v="2025"/>
    <s v="Sell"/>
    <x v="0"/>
    <x v="880"/>
  </r>
  <r>
    <s v="PTIN CIF Rdam June 9-13"/>
    <d v="2025-05-22T00:00:00"/>
    <s v="CFD"/>
    <s v="Hedge"/>
    <n v="-200"/>
    <s v="Jun09-Jun13"/>
    <d v="2025-06-30T00:00:00"/>
    <n v="0.8"/>
    <n v="1.526"/>
    <n v="-145.19999999999999"/>
    <n v="-160"/>
    <x v="42"/>
    <s v="Buy"/>
    <n v="331.8"/>
    <x v="1"/>
    <x v="1"/>
    <n v="2025"/>
    <s v="Sell"/>
    <x v="0"/>
    <x v="881"/>
  </r>
  <r>
    <s v="Trafi CIF Rdam June 13-17"/>
    <d v="2025-05-19T00:00:00"/>
    <s v="CFD"/>
    <s v="Hedge"/>
    <n v="-200"/>
    <s v="Jun16-Jun20"/>
    <d v="2025-06-30T00:00:00"/>
    <n v="0.57999999999999996"/>
    <n v="1.8180000000000001"/>
    <n v="-247.6"/>
    <n v="-115.99999999999999"/>
    <x v="44"/>
    <s v="Buy"/>
    <n v="78.400000000000006"/>
    <x v="1"/>
    <x v="1"/>
    <n v="2025"/>
    <s v="Sell"/>
    <x v="0"/>
    <x v="882"/>
  </r>
  <r>
    <s v="PTIN CIF Rdam June 9-13"/>
    <d v="2025-05-21T00:00:00"/>
    <s v="CFD"/>
    <s v="Hedge"/>
    <n v="-100"/>
    <s v="Jun09-Jun13"/>
    <d v="2025-06-30T00:00:00"/>
    <n v="0.8"/>
    <n v="1.526"/>
    <n v="-72.599999999999994"/>
    <n v="-80"/>
    <x v="42"/>
    <s v="Buy"/>
    <n v="331.8"/>
    <x v="1"/>
    <x v="1"/>
    <n v="2025"/>
    <s v="Sell"/>
    <x v="0"/>
    <x v="883"/>
  </r>
  <r>
    <s v="CPC Taiwain Aug 15-22"/>
    <d v="2025-05-22T00:00:00"/>
    <s v="DFL"/>
    <s v="Hedge"/>
    <n v="-700"/>
    <d v="2025-06-30T00:00:00"/>
    <d v="2025-06-30T00:00:00"/>
    <n v="0.7"/>
    <n v="1.72"/>
    <n v="-714"/>
    <n v="-489.99999999999994"/>
    <x v="30"/>
    <s v="Sell"/>
    <n v="-1204"/>
    <x v="1"/>
    <x v="1"/>
    <n v="2025"/>
    <s v="Sell"/>
    <x v="0"/>
    <x v="884"/>
  </r>
  <r>
    <s v="CPC Taiwain Aug 15-22"/>
    <d v="2025-05-22T00:00:00"/>
    <s v="DFL"/>
    <s v="Hedge"/>
    <n v="-500"/>
    <d v="2025-07-31T00:00:00"/>
    <d v="2025-07-31T00:00:00"/>
    <n v="0.56000000000000005"/>
    <n v="1.47"/>
    <n v="-454.99999999999994"/>
    <n v="-280"/>
    <x v="32"/>
    <s v="Sell"/>
    <n v="-735"/>
    <x v="1"/>
    <x v="1"/>
    <n v="2025"/>
    <s v="Sell"/>
    <x v="0"/>
    <x v="885"/>
  </r>
  <r>
    <s v="PTIN CIF Rdam June 9-13"/>
    <d v="2025-05-19T00:00:00"/>
    <s v="CFD"/>
    <s v="Expo"/>
    <n v="140"/>
    <s v="Jun02-Jun06"/>
    <d v="2025-06-30T00:00:00"/>
    <n v="1.32"/>
    <n v="1.81"/>
    <n v="68.599999999999994"/>
    <n v="184.8"/>
    <x v="41"/>
    <s v="Buy"/>
    <n v="305.20000000000005"/>
    <x v="1"/>
    <x v="1"/>
    <n v="2025"/>
    <s v="Buy"/>
    <x v="0"/>
    <x v="886"/>
  </r>
  <r>
    <s v="BP CIF Rdam June 17-21"/>
    <d v="2025-05-19T00:00:00"/>
    <s v="CFD"/>
    <s v="Expo"/>
    <n v="1121"/>
    <s v="Jun09-Jun13"/>
    <d v="2025-06-30T00:00:00"/>
    <n v="1.08"/>
    <n v="1.526"/>
    <n v="499.96599999999995"/>
    <n v="1210.68"/>
    <x v="42"/>
    <s v="Buy"/>
    <n v="1184.3999999999999"/>
    <x v="1"/>
    <x v="1"/>
    <n v="2025"/>
    <s v="Buy"/>
    <x v="0"/>
    <x v="887"/>
  </r>
  <r>
    <s v="Trafi CIF Rdam June 13-17"/>
    <d v="2025-05-19T00:00:00"/>
    <s v="CFD"/>
    <s v="Expo"/>
    <n v="846"/>
    <s v="Jun16-Jun20"/>
    <d v="2025-06-30T00:00:00"/>
    <n v="0.76"/>
    <n v="1.8180000000000001"/>
    <n v="895.0680000000001"/>
    <n v="642.96"/>
    <x v="44"/>
    <s v="Buy"/>
    <n v="397.59999999999997"/>
    <x v="1"/>
    <x v="1"/>
    <n v="2025"/>
    <s v="Buy"/>
    <x v="0"/>
    <x v="888"/>
  </r>
  <r>
    <s v="PTIN CIF Rdam June 9-13"/>
    <d v="2025-05-23T00:00:00"/>
    <s v="CFD"/>
    <s v="Hedge"/>
    <n v="-300"/>
    <s v="Jun02-Jun06"/>
    <d v="2025-06-30T00:00:00"/>
    <n v="1.08"/>
    <n v="1.81"/>
    <n v="-219"/>
    <n v="-324"/>
    <x v="41"/>
    <s v="Sell"/>
    <n v="-543"/>
    <x v="1"/>
    <x v="1"/>
    <n v="2025"/>
    <s v="Sell"/>
    <x v="0"/>
    <x v="889"/>
  </r>
  <r>
    <s v="BP CIF Rdam June 17-21"/>
    <d v="2025-05-23T00:00:00"/>
    <s v="CFD"/>
    <s v="Hedge"/>
    <n v="-300"/>
    <s v="Jun09-Jun13"/>
    <d v="2025-06-30T00:00:00"/>
    <n v="0.95"/>
    <n v="1.526"/>
    <n v="-172.8"/>
    <n v="-285"/>
    <x v="42"/>
    <s v="Sell"/>
    <n v="-457.8"/>
    <x v="1"/>
    <x v="1"/>
    <n v="2025"/>
    <s v="Sell"/>
    <x v="0"/>
    <x v="890"/>
  </r>
  <r>
    <s v="CPC Taiwain Aug 15-22"/>
    <d v="2025-05-23T00:00:00"/>
    <s v="DFL"/>
    <s v="Hedge"/>
    <n v="-300"/>
    <d v="2025-06-30T00:00:00"/>
    <d v="2025-06-30T00:00:00"/>
    <n v="0.84"/>
    <n v="1.72"/>
    <n v="-264"/>
    <n v="-252"/>
    <x v="30"/>
    <s v="Sell"/>
    <n v="-516"/>
    <x v="1"/>
    <x v="1"/>
    <n v="2025"/>
    <s v="Sell"/>
    <x v="0"/>
    <x v="891"/>
  </r>
  <r>
    <s v="CPC Taiwain Aug 15-22"/>
    <d v="2025-05-23T00:00:00"/>
    <s v="WTI Sprds"/>
    <s v="Hedge"/>
    <n v="-500"/>
    <d v="2025-07-31T00:00:00"/>
    <d v="2025-08-31T00:00:00"/>
    <n v="0.59"/>
    <n v="1.64"/>
    <n v="-524.99999999999989"/>
    <n v="-295"/>
    <x v="33"/>
    <s v="Sell"/>
    <n v="-820"/>
    <x v="0"/>
    <x v="0"/>
    <n v="2025"/>
    <s v="Sell"/>
    <x v="0"/>
    <x v="892"/>
  </r>
  <r>
    <s v="CPC Taiwain Aug 15-22"/>
    <d v="2025-05-23T00:00:00"/>
    <s v="WTI Sprds"/>
    <s v="Hedge"/>
    <n v="-500"/>
    <d v="2025-08-31T00:00:00"/>
    <d v="2025-09-30T00:00:00"/>
    <n v="0.59"/>
    <n v="1.25"/>
    <n v="-330"/>
    <n v="-295"/>
    <x v="34"/>
    <s v="Sell"/>
    <n v="-625"/>
    <x v="0"/>
    <x v="0"/>
    <n v="2025"/>
    <s v="Sell"/>
    <x v="0"/>
    <x v="893"/>
  </r>
  <r>
    <s v="Unallocated"/>
    <d v="2025-05-23T00:00:00"/>
    <s v="WTI-Brent"/>
    <s v="Hedge"/>
    <n v="2500"/>
    <d v="2025-07-31T00:00:00"/>
    <d v="2025-07-31T00:00:00"/>
    <n v="-3.25"/>
    <n v="-3.11"/>
    <n v="350.00000000000028"/>
    <n v="-8125"/>
    <x v="32"/>
    <s v="Buy"/>
    <n v="-7775"/>
    <x v="1"/>
    <x v="3"/>
    <n v="2025"/>
    <s v="Buy"/>
    <x v="0"/>
    <x v="894"/>
  </r>
  <r>
    <s v="CPC Taiwain Aug 15-22"/>
    <d v="2025-05-27T00:00:00"/>
    <s v="DFL"/>
    <s v="Hedge"/>
    <n v="-500"/>
    <d v="2025-06-30T00:00:00"/>
    <d v="2025-06-30T00:00:00"/>
    <n v="0.95"/>
    <n v="1.72"/>
    <n v="-385"/>
    <n v="-475"/>
    <x v="30"/>
    <s v="Sell"/>
    <n v="-860"/>
    <x v="1"/>
    <x v="1"/>
    <n v="2025"/>
    <s v="Sell"/>
    <x v="0"/>
    <x v="895"/>
  </r>
  <r>
    <s v="CPC Taiwain Aug 15-22"/>
    <d v="2025-05-27T00:00:00"/>
    <s v="DFL"/>
    <s v="Hedge"/>
    <n v="-750"/>
    <d v="2025-07-31T00:00:00"/>
    <d v="2025-07-31T00:00:00"/>
    <n v="0.67500000000000004"/>
    <n v="1.47"/>
    <n v="-596.25"/>
    <n v="-506.25000000000006"/>
    <x v="32"/>
    <s v="Sell"/>
    <n v="-1102.5"/>
    <x v="1"/>
    <x v="1"/>
    <n v="2025"/>
    <s v="Sell"/>
    <x v="0"/>
    <x v="896"/>
  </r>
  <r>
    <s v="BP CIF Rdam June 17-21"/>
    <d v="2025-05-27T00:00:00"/>
    <s v="CFD"/>
    <s v="Hedge"/>
    <n v="-200"/>
    <s v="Jun09-Jun13"/>
    <d v="2025-06-30T00:00:00"/>
    <n v="0.93"/>
    <n v="1.526"/>
    <n v="-119.19999999999999"/>
    <n v="-186"/>
    <x v="42"/>
    <s v="Sell"/>
    <n v="-305.2"/>
    <x v="1"/>
    <x v="1"/>
    <n v="2025"/>
    <s v="Sell"/>
    <x v="0"/>
    <x v="897"/>
  </r>
  <r>
    <s v="Trafi CIF Rdam June 13-17"/>
    <d v="2025-05-27T00:00:00"/>
    <s v="CFD"/>
    <s v="Hedge"/>
    <n v="-100"/>
    <s v="Jun16-Jun20"/>
    <d v="2025-06-30T00:00:00"/>
    <n v="0.71"/>
    <n v="1.8180000000000001"/>
    <n v="-110.80000000000001"/>
    <n v="-71"/>
    <x v="44"/>
    <s v="Sell"/>
    <n v="-181.8"/>
    <x v="1"/>
    <x v="1"/>
    <n v="2025"/>
    <s v="Sell"/>
    <x v="0"/>
    <x v="898"/>
  </r>
  <r>
    <s v="Unallocated"/>
    <d v="2025-05-27T00:00:00"/>
    <s v="WTI-Brent"/>
    <s v="Hedge"/>
    <n v="1853"/>
    <d v="2025-07-31T00:00:00"/>
    <d v="2025-07-31T00:00:00"/>
    <n v="-3.2"/>
    <n v="-3.11"/>
    <n v="166.77000000000055"/>
    <n v="-5929.6"/>
    <x v="32"/>
    <s v="Buy"/>
    <n v="-5762.83"/>
    <x v="1"/>
    <x v="3"/>
    <n v="2025"/>
    <s v="Buy"/>
    <x v="0"/>
    <x v="899"/>
  </r>
  <r>
    <s v="Unallocated"/>
    <d v="2025-05-27T00:00:00"/>
    <s v="Brent Sprds"/>
    <s v="Hedge"/>
    <m/>
    <d v="2025-08-31T00:00:00"/>
    <d v="2025-09-30T00:00:00"/>
    <n v="0.54"/>
    <n v="0.87"/>
    <n v="0"/>
    <n v="0"/>
    <x v="34"/>
    <s v="Buy"/>
    <n v="0"/>
    <x v="0"/>
    <x v="2"/>
    <n v="2025"/>
    <s v="Sell"/>
    <x v="0"/>
    <x v="900"/>
  </r>
  <r>
    <s v="Trafi CIF Rdam June 13-17"/>
    <d v="2025-05-27T00:00:00"/>
    <s v="CFD"/>
    <s v="Hedge"/>
    <n v="1500"/>
    <s v="May19-May23"/>
    <d v="2025-06-30T00:00:00"/>
    <n v="0.47199999999999998"/>
    <n v="0.47200000000000009"/>
    <n v="1.6653345369377348E-13"/>
    <n v="708"/>
    <x v="8"/>
    <s v="Buy"/>
    <n v="708.00000000000011"/>
    <x v="1"/>
    <x v="1"/>
    <n v="2025"/>
    <s v="Buy"/>
    <x v="0"/>
    <x v="901"/>
  </r>
  <r>
    <s v="BP FOB June 9-10 EHSC"/>
    <d v="2025-05-28T00:00:00"/>
    <s v="Physical"/>
    <s v="Expo"/>
    <n v="700"/>
    <d v="2025-06-30T00:00:00"/>
    <d v="2025-06-30T00:00:00"/>
    <n v="-1.1700000000000002"/>
    <n v="-1.2"/>
    <n v="-20.999999999999865"/>
    <n v="-819.00000000000011"/>
    <x v="30"/>
    <s v="Buy"/>
    <n v="-840"/>
    <x v="2"/>
    <x v="4"/>
    <n v="2025"/>
    <s v="Buy"/>
    <x v="1"/>
    <x v="902"/>
  </r>
  <r>
    <s v="BP FOB June 9-10 EHSC"/>
    <d v="2025-05-28T00:00:00"/>
    <s v="WTI Sprds"/>
    <s v="Expo"/>
    <n v="-700"/>
    <d v="2025-07-31T00:00:00"/>
    <d v="2025-08-31T00:00:00"/>
    <n v="0.64"/>
    <n v="1.64"/>
    <n v="-699.99999999999989"/>
    <n v="-448"/>
    <x v="33"/>
    <s v="Sell"/>
    <n v="-1148"/>
    <x v="0"/>
    <x v="0"/>
    <n v="2025"/>
    <s v="Sell"/>
    <x v="0"/>
    <x v="903"/>
  </r>
  <r>
    <s v="BP FOB June 9-10 EHSC"/>
    <d v="2025-05-28T00:00:00"/>
    <s v="WTI-Brent"/>
    <s v="Expo"/>
    <n v="-700"/>
    <d v="2025-08-31T00:00:00"/>
    <d v="2025-08-31T00:00:00"/>
    <n v="-3.12"/>
    <n v="-2.5"/>
    <n v="-434.00000000000006"/>
    <n v="2184"/>
    <x v="38"/>
    <s v="Sell"/>
    <n v="1750"/>
    <x v="1"/>
    <x v="3"/>
    <n v="2025"/>
    <s v="Sell"/>
    <x v="0"/>
    <x v="904"/>
  </r>
  <r>
    <s v="Unallocated"/>
    <d v="2025-05-28T00:00:00"/>
    <s v="WTI Sprds"/>
    <s v="Hedge"/>
    <n v="-1000"/>
    <d v="2025-07-31T00:00:00"/>
    <d v="2025-08-31T00:00:00"/>
    <n v="0.59"/>
    <n v="1.64"/>
    <n v="-1049.9999999999998"/>
    <n v="-590"/>
    <x v="33"/>
    <s v="Sell"/>
    <n v="-1640"/>
    <x v="0"/>
    <x v="0"/>
    <n v="2025"/>
    <s v="Sell"/>
    <x v="0"/>
    <x v="905"/>
  </r>
  <r>
    <s v="Unallocated"/>
    <d v="2025-05-28T00:00:00"/>
    <s v="WTI Sprds"/>
    <s v="Hedge"/>
    <n v="-1000"/>
    <d v="2025-08-31T00:00:00"/>
    <d v="2025-09-30T00:00:00"/>
    <n v="0.59"/>
    <n v="1.25"/>
    <n v="-660"/>
    <n v="-590"/>
    <x v="34"/>
    <s v="Sell"/>
    <n v="-1250"/>
    <x v="0"/>
    <x v="0"/>
    <n v="2025"/>
    <s v="Sell"/>
    <x v="0"/>
    <x v="906"/>
  </r>
  <r>
    <s v="Unallocated"/>
    <d v="2025-05-28T00:00:00"/>
    <s v="DFL"/>
    <s v="Hedge"/>
    <n v="-625"/>
    <d v="2025-07-31T00:00:00"/>
    <d v="2025-07-31T00:00:00"/>
    <n v="0.68"/>
    <n v="1.47"/>
    <n v="-493.74999999999994"/>
    <n v="-425.00000000000006"/>
    <x v="32"/>
    <s v="Sell"/>
    <n v="-918.75"/>
    <x v="1"/>
    <x v="1"/>
    <n v="2025"/>
    <s v="Sell"/>
    <x v="0"/>
    <x v="907"/>
  </r>
  <r>
    <s v="Unallocated"/>
    <d v="2025-05-28T00:00:00"/>
    <s v="CFD"/>
    <s v="Hedge"/>
    <n v="-200"/>
    <s v="Jun09-Jun13"/>
    <d v="2025-06-30T00:00:00"/>
    <n v="1"/>
    <n v="1.526"/>
    <n v="-105.2"/>
    <n v="-200"/>
    <x v="42"/>
    <s v="Sell"/>
    <n v="-305.2"/>
    <x v="1"/>
    <x v="1"/>
    <n v="2025"/>
    <s v="Sell"/>
    <x v="0"/>
    <x v="908"/>
  </r>
  <r>
    <s v="Unallocated"/>
    <d v="2025-05-28T00:00:00"/>
    <s v="CFD"/>
    <s v="Hedge"/>
    <n v="-100"/>
    <s v="Jun09-Jun13"/>
    <d v="2025-06-30T00:00:00"/>
    <n v="0.98"/>
    <n v="1.526"/>
    <n v="-54.6"/>
    <n v="-98"/>
    <x v="42"/>
    <s v="Sell"/>
    <n v="-152.6"/>
    <x v="1"/>
    <x v="1"/>
    <n v="2025"/>
    <s v="Sell"/>
    <x v="0"/>
    <x v="909"/>
  </r>
  <r>
    <s v="Unallocated"/>
    <d v="2025-05-28T00:00:00"/>
    <s v="CFD"/>
    <s v="Hedge"/>
    <n v="-100"/>
    <s v="Jun16-Jun20"/>
    <d v="2025-06-30T00:00:00"/>
    <n v="0.7"/>
    <n v="1.8180000000000001"/>
    <n v="-111.80000000000001"/>
    <n v="-70"/>
    <x v="44"/>
    <s v="Sell"/>
    <n v="-181.8"/>
    <x v="1"/>
    <x v="1"/>
    <n v="2025"/>
    <s v="Sell"/>
    <x v="0"/>
    <x v="910"/>
  </r>
  <r>
    <s v="Unallocated"/>
    <d v="2025-05-28T00:00:00"/>
    <s v="WTI Sprds"/>
    <s v="Hedge"/>
    <n v="-1000"/>
    <d v="2025-07-31T00:00:00"/>
    <d v="2025-08-31T00:00:00"/>
    <n v="0.63500000000000001"/>
    <n v="1.64"/>
    <n v="-1004.9999999999999"/>
    <n v="-635"/>
    <x v="33"/>
    <s v="Sell"/>
    <n v="-1640"/>
    <x v="0"/>
    <x v="0"/>
    <n v="2025"/>
    <s v="Sell"/>
    <x v="0"/>
    <x v="911"/>
  </r>
  <r>
    <s v="Unallocated"/>
    <d v="2025-05-28T00:00:00"/>
    <s v="WTI Sprds"/>
    <s v="Hedge"/>
    <n v="-1000"/>
    <d v="2025-08-31T00:00:00"/>
    <d v="2025-09-30T00:00:00"/>
    <n v="0.63500000000000001"/>
    <n v="1.25"/>
    <n v="-615"/>
    <n v="-635"/>
    <x v="34"/>
    <s v="Sell"/>
    <n v="-1250"/>
    <x v="0"/>
    <x v="0"/>
    <n v="2025"/>
    <s v="Sell"/>
    <x v="0"/>
    <x v="912"/>
  </r>
  <r>
    <s v="Unallocated"/>
    <d v="2025-05-28T00:00:00"/>
    <s v="Brent Sprds"/>
    <s v="Hedge"/>
    <n v="0"/>
    <d v="2025-08-31T00:00:00"/>
    <d v="2025-09-30T00:00:00"/>
    <n v="0"/>
    <n v="0.87"/>
    <n v="624"/>
    <n v="0"/>
    <x v="34"/>
    <s v="Buy"/>
    <n v="0"/>
    <x v="0"/>
    <x v="2"/>
    <n v="2025"/>
    <s v="Sell"/>
    <x v="0"/>
    <x v="913"/>
  </r>
  <r>
    <s v="Unallocated"/>
    <d v="2025-05-30T00:00:00"/>
    <s v="WTI-Brent"/>
    <s v="Hedge"/>
    <n v="1870"/>
    <d v="2025-07-31T00:00:00"/>
    <d v="2025-07-31T00:00:00"/>
    <n v="-3.36"/>
    <n v="-3.11"/>
    <n v="467.5"/>
    <n v="-6283.2"/>
    <x v="32"/>
    <s v="Buy"/>
    <n v="-5815.7"/>
    <x v="1"/>
    <x v="3"/>
    <n v="2025"/>
    <s v="Buy"/>
    <x v="0"/>
    <x v="914"/>
  </r>
  <r>
    <s v="Unallocated"/>
    <d v="2025-05-30T00:00:00"/>
    <s v="WTI-Brent"/>
    <s v="Hedge"/>
    <n v="-1853"/>
    <d v="2025-08-31T00:00:00"/>
    <d v="2025-08-31T00:00:00"/>
    <n v="-2.99"/>
    <n v="-2.5"/>
    <n v="-907.97000000000037"/>
    <n v="5540.47"/>
    <x v="38"/>
    <s v="Sell"/>
    <n v="4632.5"/>
    <x v="1"/>
    <x v="3"/>
    <n v="2025"/>
    <s v="Sell"/>
    <x v="0"/>
    <x v="915"/>
  </r>
  <r>
    <s v="Unallocated"/>
    <d v="2025-05-30T00:00:00"/>
    <s v="WTI Sprds"/>
    <s v="Hedge"/>
    <m/>
    <d v="2025-08-31T00:00:00"/>
    <d v="2025-09-30T00:00:00"/>
    <n v="0.79"/>
    <n v="1.25"/>
    <n v="0"/>
    <n v="0"/>
    <x v="34"/>
    <s v="Buy"/>
    <n v="0"/>
    <x v="0"/>
    <x v="0"/>
    <n v="2025"/>
    <s v="Sell"/>
    <x v="0"/>
    <x v="916"/>
  </r>
  <r>
    <s v="Unallocated"/>
    <d v="2025-05-30T00:00:00"/>
    <s v="Brent Sprds"/>
    <s v="Hedge"/>
    <n v="338"/>
    <d v="2025-08-31T00:00:00"/>
    <d v="2025-09-30T00:00:00"/>
    <n v="0.73"/>
    <n v="0.87"/>
    <n v="47.320000000000007"/>
    <n v="246.73999999999998"/>
    <x v="34"/>
    <s v="Buy"/>
    <n v="294.06"/>
    <x v="0"/>
    <x v="2"/>
    <n v="2025"/>
    <s v="Buy"/>
    <x v="0"/>
    <x v="917"/>
  </r>
  <r>
    <s v="Unallocated"/>
    <d v="2025-05-30T00:00:00"/>
    <s v="WTI-Brent"/>
    <s v="Hedge"/>
    <n v="500"/>
    <d v="2025-09-30T00:00:00"/>
    <d v="2025-09-30T00:00:00"/>
    <n v="-3.1"/>
    <n v="-3.27"/>
    <n v="-84.999999999999972"/>
    <n v="-1550"/>
    <x v="43"/>
    <s v="Buy"/>
    <n v="-1635"/>
    <x v="1"/>
    <x v="3"/>
    <n v="2025"/>
    <s v="Buy"/>
    <x v="0"/>
    <x v="918"/>
  </r>
  <r>
    <s v="Unallocated"/>
    <d v="2025-06-02T00:00:00"/>
    <s v="WTI Sprds"/>
    <s v="Hedge"/>
    <n v="500"/>
    <d v="2025-07-31T00:00:00"/>
    <d v="2025-08-31T00:00:00"/>
    <n v="1.0249999999999999"/>
    <n v="1.64"/>
    <n v="307.5"/>
    <n v="512.5"/>
    <x v="33"/>
    <s v="Buy"/>
    <n v="820"/>
    <x v="0"/>
    <x v="0"/>
    <n v="2025"/>
    <s v="Buy"/>
    <x v="0"/>
    <x v="919"/>
  </r>
  <r>
    <s v="Unallocated"/>
    <d v="2025-06-02T00:00:00"/>
    <s v="WTI Sprds"/>
    <s v="Hedge"/>
    <n v="500"/>
    <d v="2025-08-31T00:00:00"/>
    <d v="2025-09-30T00:00:00"/>
    <n v="1.03"/>
    <n v="1.25"/>
    <n v="109.99999999999999"/>
    <n v="515"/>
    <x v="34"/>
    <s v="Buy"/>
    <n v="625"/>
    <x v="0"/>
    <x v="0"/>
    <n v="2025"/>
    <s v="Buy"/>
    <x v="0"/>
    <x v="920"/>
  </r>
  <r>
    <s v="Unallocated"/>
    <d v="2025-06-02T00:00:00"/>
    <s v="WTI Sprds"/>
    <s v="Hedge"/>
    <n v="400"/>
    <d v="2025-07-31T00:00:00"/>
    <d v="2025-08-31T00:00:00"/>
    <n v="0.95"/>
    <n v="1.64"/>
    <n v="276"/>
    <n v="380"/>
    <x v="33"/>
    <s v="Buy"/>
    <n v="656"/>
    <x v="0"/>
    <x v="0"/>
    <n v="2025"/>
    <s v="Buy"/>
    <x v="0"/>
    <x v="921"/>
  </r>
  <r>
    <s v="Unallocated"/>
    <d v="2025-06-02T00:00:00"/>
    <s v="WTI Sprds"/>
    <s v="Hedge"/>
    <n v="400"/>
    <d v="2025-08-31T00:00:00"/>
    <d v="2025-09-30T00:00:00"/>
    <n v="0.95"/>
    <n v="1.25"/>
    <n v="120.00000000000001"/>
    <n v="380"/>
    <x v="34"/>
    <s v="Buy"/>
    <n v="500"/>
    <x v="0"/>
    <x v="0"/>
    <n v="2025"/>
    <s v="Buy"/>
    <x v="0"/>
    <x v="922"/>
  </r>
  <r>
    <s v="Unallocated"/>
    <d v="2025-06-02T00:00:00"/>
    <s v="WTI Sprds"/>
    <s v="Hedge"/>
    <n v="400"/>
    <d v="2025-07-31T00:00:00"/>
    <d v="2025-08-31T00:00:00"/>
    <n v="0.93"/>
    <n v="1.64"/>
    <n v="283.99999999999994"/>
    <n v="372"/>
    <x v="33"/>
    <s v="Buy"/>
    <n v="656"/>
    <x v="0"/>
    <x v="0"/>
    <n v="2025"/>
    <s v="Buy"/>
    <x v="0"/>
    <x v="923"/>
  </r>
  <r>
    <s v="Unallocated"/>
    <d v="2025-06-02T00:00:00"/>
    <s v="WTI Sprds"/>
    <s v="Hedge"/>
    <n v="400"/>
    <d v="2025-08-31T00:00:00"/>
    <d v="2025-09-30T00:00:00"/>
    <n v="0.93"/>
    <n v="1.25"/>
    <n v="127.99999999999999"/>
    <n v="372"/>
    <x v="34"/>
    <s v="Buy"/>
    <n v="500"/>
    <x v="0"/>
    <x v="0"/>
    <n v="2025"/>
    <s v="Buy"/>
    <x v="0"/>
    <x v="924"/>
  </r>
  <r>
    <s v="Unallocated"/>
    <d v="2025-06-02T00:00:00"/>
    <s v="WTI Sprds"/>
    <s v="Hedge"/>
    <n v="400"/>
    <d v="2025-07-31T00:00:00"/>
    <d v="2025-08-31T00:00:00"/>
    <n v="0.91"/>
    <n v="1.64"/>
    <n v="291.99999999999994"/>
    <n v="364"/>
    <x v="33"/>
    <s v="Buy"/>
    <n v="656"/>
    <x v="0"/>
    <x v="0"/>
    <n v="2025"/>
    <s v="Buy"/>
    <x v="0"/>
    <x v="925"/>
  </r>
  <r>
    <s v="Unallocated"/>
    <d v="2025-06-02T00:00:00"/>
    <s v="WTI Sprds"/>
    <s v="Hedge"/>
    <n v="400"/>
    <d v="2025-08-31T00:00:00"/>
    <d v="2025-09-30T00:00:00"/>
    <n v="0.91"/>
    <n v="1.25"/>
    <n v="136"/>
    <n v="364"/>
    <x v="34"/>
    <s v="Buy"/>
    <n v="500"/>
    <x v="0"/>
    <x v="0"/>
    <n v="2025"/>
    <s v="Buy"/>
    <x v="0"/>
    <x v="926"/>
  </r>
  <r>
    <s v="Unallocated"/>
    <d v="2025-05-27T00:00:00"/>
    <s v="DFL"/>
    <s v="Hedge"/>
    <n v="5404"/>
    <d v="2025-05-31T00:00:00"/>
    <d v="2025-05-31T00:00:00"/>
    <n v="0.14121300000000001"/>
    <n v="0.14121300000000001"/>
    <n v="0"/>
    <n v="763.11505199999999"/>
    <x v="22"/>
    <s v="Buy"/>
    <n v="763.11505199999999"/>
    <x v="1"/>
    <x v="1"/>
    <n v="2025"/>
    <s v="Buy"/>
    <x v="0"/>
    <x v="927"/>
  </r>
  <r>
    <s v="Trafi CIF Rdam May30-Jun03"/>
    <d v="2025-06-02T00:00:00"/>
    <s v="CFD"/>
    <s v="Hedge"/>
    <n v="-420"/>
    <s v="May26-May30"/>
    <d v="2025-05-31T00:00:00"/>
    <n v="0.48875000000000002"/>
    <n v="0.48875000000000002"/>
    <n v="0"/>
    <n v="-205.27500000000001"/>
    <x v="40"/>
    <s v="Sell"/>
    <n v="-205.27500000000001"/>
    <x v="1"/>
    <x v="1"/>
    <n v="2025"/>
    <s v="Sell"/>
    <x v="0"/>
    <x v="928"/>
  </r>
  <r>
    <s v="Unallocated"/>
    <d v="2025-06-03T00:00:00"/>
    <s v="WTI Sprds"/>
    <s v="Hedge"/>
    <n v="350"/>
    <d v="2025-07-31T00:00:00"/>
    <d v="2025-08-31T00:00:00"/>
    <n v="0.9"/>
    <n v="1.64"/>
    <n v="258.99999999999994"/>
    <n v="315"/>
    <x v="33"/>
    <s v="Buy"/>
    <n v="574"/>
    <x v="0"/>
    <x v="0"/>
    <n v="2025"/>
    <s v="Buy"/>
    <x v="0"/>
    <x v="929"/>
  </r>
  <r>
    <s v="Unallocated"/>
    <d v="2025-06-03T00:00:00"/>
    <s v="WTI Sprds"/>
    <s v="Hedge"/>
    <n v="350"/>
    <d v="2025-08-31T00:00:00"/>
    <d v="2025-09-30T00:00:00"/>
    <n v="0.9"/>
    <n v="1.25"/>
    <n v="122.49999999999999"/>
    <n v="315"/>
    <x v="34"/>
    <s v="Buy"/>
    <n v="437.5"/>
    <x v="0"/>
    <x v="0"/>
    <n v="2025"/>
    <s v="Buy"/>
    <x v="0"/>
    <x v="930"/>
  </r>
  <r>
    <s v="Unallocated"/>
    <d v="2025-06-03T00:00:00"/>
    <s v="WTI Sprds"/>
    <s v="Hedge"/>
    <n v="350"/>
    <d v="2025-07-31T00:00:00"/>
    <d v="2025-08-31T00:00:00"/>
    <n v="0.89"/>
    <n v="1.64"/>
    <n v="262.49999999999994"/>
    <n v="311.5"/>
    <x v="33"/>
    <s v="Buy"/>
    <n v="574"/>
    <x v="0"/>
    <x v="0"/>
    <n v="2025"/>
    <s v="Buy"/>
    <x v="0"/>
    <x v="931"/>
  </r>
  <r>
    <s v="Unallocated"/>
    <d v="2025-06-03T00:00:00"/>
    <s v="WTI Sprds"/>
    <s v="Hedge"/>
    <n v="350"/>
    <d v="2025-08-31T00:00:00"/>
    <d v="2025-09-30T00:00:00"/>
    <n v="0.89"/>
    <n v="1.25"/>
    <n v="126"/>
    <n v="311.5"/>
    <x v="34"/>
    <s v="Buy"/>
    <n v="437.5"/>
    <x v="0"/>
    <x v="0"/>
    <n v="2025"/>
    <s v="Buy"/>
    <x v="0"/>
    <x v="932"/>
  </r>
  <r>
    <s v="Unallocated"/>
    <d v="2025-06-03T00:00:00"/>
    <s v="WTI Sprds"/>
    <s v="Hedge"/>
    <n v="350"/>
    <d v="2025-07-31T00:00:00"/>
    <d v="2025-08-31T00:00:00"/>
    <n v="0.88"/>
    <n v="1.64"/>
    <n v="265.99999999999994"/>
    <n v="308"/>
    <x v="33"/>
    <s v="Buy"/>
    <n v="574"/>
    <x v="0"/>
    <x v="0"/>
    <n v="2025"/>
    <s v="Buy"/>
    <x v="0"/>
    <x v="933"/>
  </r>
  <r>
    <s v="Unallocated"/>
    <d v="2025-06-03T00:00:00"/>
    <s v="WTI Sprds"/>
    <s v="Hedge"/>
    <n v="350"/>
    <d v="2025-08-31T00:00:00"/>
    <d v="2025-09-30T00:00:00"/>
    <n v="0.88"/>
    <n v="1.25"/>
    <n v="129.5"/>
    <n v="308"/>
    <x v="34"/>
    <s v="Buy"/>
    <n v="437.5"/>
    <x v="0"/>
    <x v="0"/>
    <n v="2025"/>
    <s v="Buy"/>
    <x v="0"/>
    <x v="934"/>
  </r>
  <r>
    <s v="Unallocated"/>
    <d v="2025-06-03T00:00:00"/>
    <s v="WTI Sprds"/>
    <s v="Hedge"/>
    <n v="350"/>
    <d v="2025-07-31T00:00:00"/>
    <d v="2025-08-31T00:00:00"/>
    <n v="0.87"/>
    <n v="1.64"/>
    <n v="269.49999999999994"/>
    <n v="304.5"/>
    <x v="33"/>
    <s v="Buy"/>
    <n v="574"/>
    <x v="0"/>
    <x v="0"/>
    <n v="2025"/>
    <s v="Buy"/>
    <x v="0"/>
    <x v="935"/>
  </r>
  <r>
    <s v="Unallocated"/>
    <d v="2025-06-03T00:00:00"/>
    <s v="WTI Sprds"/>
    <s v="Hedge"/>
    <n v="350"/>
    <d v="2025-08-31T00:00:00"/>
    <d v="2025-09-30T00:00:00"/>
    <n v="0.87"/>
    <n v="1.25"/>
    <n v="133"/>
    <n v="304.5"/>
    <x v="34"/>
    <s v="Buy"/>
    <n v="437.5"/>
    <x v="0"/>
    <x v="0"/>
    <n v="2025"/>
    <s v="Buy"/>
    <x v="0"/>
    <x v="936"/>
  </r>
  <r>
    <s v="Unallocated"/>
    <d v="2025-06-03T00:00:00"/>
    <s v="WTI Sprds"/>
    <s v="Hedge"/>
    <n v="350"/>
    <d v="2025-07-31T00:00:00"/>
    <d v="2025-08-31T00:00:00"/>
    <n v="0.86"/>
    <n v="1.64"/>
    <n v="272.99999999999994"/>
    <n v="301"/>
    <x v="33"/>
    <s v="Buy"/>
    <n v="574"/>
    <x v="0"/>
    <x v="0"/>
    <n v="2025"/>
    <s v="Buy"/>
    <x v="0"/>
    <x v="937"/>
  </r>
  <r>
    <s v="Unallocated"/>
    <d v="2025-06-03T00:00:00"/>
    <s v="WTI Sprds"/>
    <s v="Hedge"/>
    <n v="350"/>
    <d v="2025-08-31T00:00:00"/>
    <d v="2025-09-30T00:00:00"/>
    <n v="0.86"/>
    <n v="1.25"/>
    <n v="136.5"/>
    <n v="301"/>
    <x v="34"/>
    <s v="Buy"/>
    <n v="437.5"/>
    <x v="0"/>
    <x v="0"/>
    <n v="2025"/>
    <s v="Buy"/>
    <x v="0"/>
    <x v="938"/>
  </r>
  <r>
    <s v="Unallocated"/>
    <d v="2025-06-03T00:00:00"/>
    <s v="WTI Sprds"/>
    <s v="Hedge"/>
    <n v="350"/>
    <d v="2025-07-31T00:00:00"/>
    <d v="2025-08-31T00:00:00"/>
    <n v="0.85"/>
    <n v="1.64"/>
    <n v="276.5"/>
    <n v="297.5"/>
    <x v="33"/>
    <s v="Buy"/>
    <n v="574"/>
    <x v="0"/>
    <x v="0"/>
    <n v="2025"/>
    <s v="Buy"/>
    <x v="0"/>
    <x v="939"/>
  </r>
  <r>
    <s v="Unallocated"/>
    <d v="2025-06-03T00:00:00"/>
    <s v="WTI Sprds"/>
    <s v="Hedge"/>
    <n v="350"/>
    <d v="2025-08-31T00:00:00"/>
    <d v="2025-09-30T00:00:00"/>
    <n v="0.85"/>
    <n v="1.25"/>
    <n v="140"/>
    <n v="297.5"/>
    <x v="34"/>
    <s v="Buy"/>
    <n v="437.5"/>
    <x v="0"/>
    <x v="0"/>
    <n v="2025"/>
    <s v="Buy"/>
    <x v="0"/>
    <x v="940"/>
  </r>
  <r>
    <s v="Unallocated"/>
    <d v="2025-06-03T00:00:00"/>
    <s v="WTI Sprds"/>
    <s v="Hedge"/>
    <n v="350"/>
    <d v="2025-07-31T00:00:00"/>
    <d v="2025-08-31T00:00:00"/>
    <n v="0.84"/>
    <n v="1.64"/>
    <n v="280"/>
    <n v="294"/>
    <x v="33"/>
    <s v="Buy"/>
    <n v="574"/>
    <x v="0"/>
    <x v="0"/>
    <n v="2025"/>
    <s v="Buy"/>
    <x v="0"/>
    <x v="941"/>
  </r>
  <r>
    <s v="Unallocated"/>
    <d v="2025-06-03T00:00:00"/>
    <s v="WTI Sprds"/>
    <s v="Hedge"/>
    <n v="350"/>
    <d v="2025-08-31T00:00:00"/>
    <d v="2025-09-30T00:00:00"/>
    <n v="0.84"/>
    <n v="1.25"/>
    <n v="143.5"/>
    <n v="294"/>
    <x v="34"/>
    <s v="Buy"/>
    <n v="437.5"/>
    <x v="0"/>
    <x v="0"/>
    <n v="2025"/>
    <s v="Buy"/>
    <x v="0"/>
    <x v="942"/>
  </r>
  <r>
    <s v="Unallocated"/>
    <d v="2025-06-03T00:00:00"/>
    <s v="WTI Sprds"/>
    <s v="Hedge"/>
    <n v="250"/>
    <d v="2025-07-31T00:00:00"/>
    <d v="2025-08-31T00:00:00"/>
    <n v="0.94"/>
    <n v="1.64"/>
    <n v="175"/>
    <n v="235"/>
    <x v="33"/>
    <s v="Buy"/>
    <n v="410"/>
    <x v="0"/>
    <x v="0"/>
    <n v="2025"/>
    <s v="Buy"/>
    <x v="0"/>
    <x v="943"/>
  </r>
  <r>
    <s v="Vitol FOB June Bookout"/>
    <d v="2025-06-03T00:00:00"/>
    <s v="Physical"/>
    <s v="Expo"/>
    <n v="700"/>
    <d v="2025-06-30T00:00:00"/>
    <d v="2025-06-30T00:00:00"/>
    <n v="1.4"/>
    <n v="1.1499999999999999"/>
    <n v="-175"/>
    <n v="979.99999999999989"/>
    <x v="30"/>
    <s v="Buy"/>
    <n v="804.99999999999989"/>
    <x v="2"/>
    <x v="4"/>
    <n v="2025"/>
    <s v="Buy"/>
    <x v="1"/>
    <x v="944"/>
  </r>
  <r>
    <s v="Unallocated"/>
    <d v="2025-06-03T00:00:00"/>
    <s v="WTI Sprds"/>
    <s v="Hedge"/>
    <n v="500"/>
    <d v="2025-07-31T00:00:00"/>
    <d v="2025-08-31T00:00:00"/>
    <n v="0.93"/>
    <n v="1.64"/>
    <n v="354.99999999999994"/>
    <n v="465"/>
    <x v="33"/>
    <s v="Buy"/>
    <n v="820"/>
    <x v="0"/>
    <x v="0"/>
    <n v="2025"/>
    <s v="Buy"/>
    <x v="0"/>
    <x v="945"/>
  </r>
  <r>
    <s v="Unallocated"/>
    <d v="2025-05-30T00:00:00"/>
    <s v="WTI-Brent"/>
    <s v="Hedge"/>
    <n v="500"/>
    <d v="2025-08-31T00:00:00"/>
    <d v="2025-08-31T00:00:00"/>
    <n v="-3.14"/>
    <n v="-2.5"/>
    <n v="320.00000000000006"/>
    <n v="-1570"/>
    <x v="38"/>
    <s v="Buy"/>
    <n v="-1250"/>
    <x v="1"/>
    <x v="3"/>
    <n v="2025"/>
    <s v="Buy"/>
    <x v="0"/>
    <x v="946"/>
  </r>
  <r>
    <s v="Unallocated"/>
    <d v="2025-06-04T00:00:00"/>
    <s v="WTI Sprds"/>
    <s v="Hedge"/>
    <n v="300"/>
    <d v="2025-07-31T00:00:00"/>
    <d v="2025-08-31T00:00:00"/>
    <n v="0.9"/>
    <n v="1.64"/>
    <n v="221.99999999999997"/>
    <n v="270"/>
    <x v="33"/>
    <s v="Buy"/>
    <n v="491.99999999999994"/>
    <x v="0"/>
    <x v="0"/>
    <n v="2025"/>
    <s v="Buy"/>
    <x v="0"/>
    <x v="947"/>
  </r>
  <r>
    <s v="Unallocated"/>
    <d v="2025-06-04T00:00:00"/>
    <s v="WTI Sprds"/>
    <s v="Hedge"/>
    <n v="200"/>
    <d v="2025-07-31T00:00:00"/>
    <d v="2025-08-31T00:00:00"/>
    <n v="0.9"/>
    <n v="1.64"/>
    <n v="147.99999999999997"/>
    <n v="180"/>
    <x v="33"/>
    <s v="Buy"/>
    <n v="328"/>
    <x v="0"/>
    <x v="0"/>
    <n v="2025"/>
    <s v="Buy"/>
    <x v="0"/>
    <x v="948"/>
  </r>
  <r>
    <s v="Unallocated"/>
    <d v="2025-06-05T00:00:00"/>
    <s v="WTI Sprds"/>
    <s v="Hedge"/>
    <n v="300"/>
    <d v="2025-07-31T00:00:00"/>
    <d v="2025-08-31T00:00:00"/>
    <n v="0.9"/>
    <n v="1.64"/>
    <n v="221.99999999999997"/>
    <n v="270"/>
    <x v="33"/>
    <s v="Buy"/>
    <n v="491.99999999999994"/>
    <x v="0"/>
    <x v="0"/>
    <n v="2025"/>
    <s v="Buy"/>
    <x v="0"/>
    <x v="949"/>
  </r>
  <r>
    <s v="Unallocated"/>
    <d v="2025-06-05T00:00:00"/>
    <s v="WTI Sprds"/>
    <s v="Hedge"/>
    <n v="300"/>
    <d v="2025-07-31T00:00:00"/>
    <d v="2025-08-31T00:00:00"/>
    <n v="0.87"/>
    <n v="1.64"/>
    <n v="230.99999999999997"/>
    <n v="261"/>
    <x v="33"/>
    <s v="Buy"/>
    <n v="491.99999999999994"/>
    <x v="0"/>
    <x v="0"/>
    <n v="2025"/>
    <s v="Buy"/>
    <x v="0"/>
    <x v="950"/>
  </r>
  <r>
    <s v="HDO CFR Korea Sep 12-22"/>
    <d v="2025-06-10T00:00:00"/>
    <s v="Physical"/>
    <s v="Expo"/>
    <n v="2065"/>
    <d v="2025-06-30T00:00:00"/>
    <d v="2025-06-30T00:00:00"/>
    <n v="4.1786421646489096"/>
    <n v="4.76"/>
    <n v="1200.5039300000012"/>
    <n v="8920.8000000000011"/>
    <x v="30"/>
    <s v="Buy"/>
    <n v="9829.4"/>
    <x v="2"/>
    <x v="4"/>
    <n v="2025"/>
    <s v="Buy"/>
    <x v="1"/>
    <x v="951"/>
  </r>
  <r>
    <s v="HDO CFR Korea Sep 12-22"/>
    <d v="2025-06-10T00:00:00"/>
    <s v="WTI Sprds"/>
    <s v="Expo"/>
    <n v="-2075"/>
    <d v="2025-07-31T00:00:00"/>
    <d v="2025-08-31T00:00:00"/>
    <n v="1.1499999999999999"/>
    <n v="1.64"/>
    <n v="-1016.75"/>
    <n v="-2386.25"/>
    <x v="33"/>
    <s v="Sell"/>
    <n v="-3403"/>
    <x v="0"/>
    <x v="0"/>
    <n v="2025"/>
    <s v="Sell"/>
    <x v="0"/>
    <x v="952"/>
  </r>
  <r>
    <s v="HDO CFR Korea Sep 12-22"/>
    <d v="2025-06-10T00:00:00"/>
    <s v="WTI Sprds"/>
    <s v="Expo"/>
    <n v="-2065"/>
    <d v="2025-08-31T00:00:00"/>
    <d v="2025-09-30T00:00:00"/>
    <n v="1.05"/>
    <n v="1.25"/>
    <n v="-412.99999999999989"/>
    <n v="-2168.25"/>
    <x v="34"/>
    <s v="Sell"/>
    <n v="-2581.25"/>
    <x v="0"/>
    <x v="0"/>
    <n v="2025"/>
    <s v="Sell"/>
    <x v="0"/>
    <x v="953"/>
  </r>
  <r>
    <s v="HDO CFR Korea Sep 12-22"/>
    <d v="2025-06-10T00:00:00"/>
    <s v="WTI-Brent"/>
    <s v="Expo"/>
    <n v="-2065"/>
    <d v="2025-09-30T00:00:00"/>
    <d v="2025-09-30T00:00:00"/>
    <n v="-3.1"/>
    <n v="-3.27"/>
    <n v="351.04999999999984"/>
    <n v="6401.5"/>
    <x v="43"/>
    <s v="Sell"/>
    <n v="6752.55"/>
    <x v="1"/>
    <x v="3"/>
    <n v="2025"/>
    <s v="Sell"/>
    <x v="0"/>
    <x v="954"/>
  </r>
  <r>
    <s v="HDO CFR Korea Sep 12-22"/>
    <d v="2025-06-10T00:00:00"/>
    <s v="Brent Sprds"/>
    <s v="Expo"/>
    <n v="-2065"/>
    <d v="2025-09-30T00:00:00"/>
    <d v="2025-10-31T00:00:00"/>
    <n v="0.7"/>
    <n v="0.83"/>
    <n v="-268.45"/>
    <n v="-1445.5"/>
    <x v="35"/>
    <s v="Sell"/>
    <n v="-1713.9499999999998"/>
    <x v="0"/>
    <x v="2"/>
    <n v="2025"/>
    <s v="Sell"/>
    <x v="0"/>
    <x v="955"/>
  </r>
  <r>
    <s v="HDO CFR Korea Sep 12-22"/>
    <d v="2025-06-10T00:00:00"/>
    <s v="Freight-TD22"/>
    <s v="Expo"/>
    <n v="-2000"/>
    <d v="2025-06-30T00:00:00"/>
    <d v="2025-06-30T00:00:00"/>
    <n v="6000"/>
    <n v="6000"/>
    <n v="0"/>
    <n v="-12000000"/>
    <x v="30"/>
    <s v="Sell"/>
    <n v="-12000000"/>
    <x v="3"/>
    <x v="5"/>
    <n v="2025"/>
    <s v="Sell"/>
    <x v="0"/>
    <x v="956"/>
  </r>
  <r>
    <s v="HDO CFR Korea Sep 12-22"/>
    <d v="2025-06-10T00:00:00"/>
    <s v="Freight-TD22"/>
    <s v="Hedge"/>
    <n v="2000"/>
    <d v="2025-06-30T00:00:00"/>
    <d v="2025-06-30T00:00:00"/>
    <n v="7000"/>
    <n v="6000"/>
    <n v="-1000"/>
    <n v="14000000"/>
    <x v="30"/>
    <s v="Buy"/>
    <n v="12000000"/>
    <x v="3"/>
    <x v="5"/>
    <n v="2025"/>
    <s v="Buy"/>
    <x v="0"/>
    <x v="957"/>
  </r>
  <r>
    <s v="HDO CFR Korea Sep 12-22"/>
    <d v="2025-06-10T00:00:00"/>
    <s v="WTI Sprds"/>
    <s v="Hedge"/>
    <n v="2100"/>
    <d v="2025-07-31T00:00:00"/>
    <d v="2025-08-31T00:00:00"/>
    <n v="1.0700000000000074"/>
    <n v="1.64"/>
    <n v="1196.9999999999843"/>
    <n v="2247.0000000000155"/>
    <x v="33"/>
    <s v="Buy"/>
    <n v="3444"/>
    <x v="0"/>
    <x v="0"/>
    <n v="2025"/>
    <s v="Buy"/>
    <x v="0"/>
    <x v="958"/>
  </r>
  <r>
    <s v="HDO CFR Korea Sep 12-22"/>
    <d v="2025-06-10T00:00:00"/>
    <s v="WTI Sprds"/>
    <s v="Hedge"/>
    <n v="2100"/>
    <d v="2025-08-31T00:00:00"/>
    <d v="2025-09-30T00:00:00"/>
    <n v="0.96999999999999886"/>
    <n v="1.25"/>
    <n v="588.00000000000239"/>
    <n v="2036.9999999999977"/>
    <x v="34"/>
    <s v="Buy"/>
    <n v="2625"/>
    <x v="0"/>
    <x v="0"/>
    <n v="2025"/>
    <s v="Buy"/>
    <x v="0"/>
    <x v="959"/>
  </r>
  <r>
    <s v="HDO CFR Korea Sep 12-22"/>
    <d v="2025-06-10T00:00:00"/>
    <s v="WTI-Brent"/>
    <s v="Hedge"/>
    <n v="2100"/>
    <d v="2025-09-30T00:00:00"/>
    <d v="2025-09-30T00:00:00"/>
    <n v="-3.1899999999999977"/>
    <n v="-3.27"/>
    <n v="-168.0000000000048"/>
    <n v="-6698.9999999999955"/>
    <x v="43"/>
    <s v="Buy"/>
    <n v="-6867"/>
    <x v="1"/>
    <x v="3"/>
    <n v="2025"/>
    <s v="Buy"/>
    <x v="0"/>
    <x v="960"/>
  </r>
  <r>
    <s v="Equinor FOB Bookout June/July"/>
    <d v="2025-06-10T00:00:00"/>
    <s v="Physical"/>
    <s v="Expo"/>
    <n v="700"/>
    <d v="2025-06-30T00:00:00"/>
    <d v="2025-06-30T00:00:00"/>
    <n v="0.49999999999999956"/>
    <n v="0.25"/>
    <n v="-174.99999999999969"/>
    <n v="349.99999999999972"/>
    <x v="30"/>
    <s v="Buy"/>
    <n v="175"/>
    <x v="2"/>
    <x v="4"/>
    <n v="2025"/>
    <s v="Buy"/>
    <x v="1"/>
    <x v="961"/>
  </r>
  <r>
    <s v="Equinor FOB Bookout June/July"/>
    <d v="2025-06-10T00:00:00"/>
    <s v="WTI Sprds"/>
    <s v="Expo"/>
    <n v="-700"/>
    <d v="2025-07-31T00:00:00"/>
    <d v="2025-08-31T00:00:00"/>
    <n v="1.1499999999999999"/>
    <n v="1.64"/>
    <n v="-343"/>
    <n v="-804.99999999999989"/>
    <x v="33"/>
    <s v="Sell"/>
    <n v="-1148"/>
    <x v="0"/>
    <x v="0"/>
    <n v="2025"/>
    <s v="Sell"/>
    <x v="0"/>
    <x v="962"/>
  </r>
  <r>
    <s v="Equinor FOB Bookout June/July"/>
    <d v="2025-06-10T00:00:00"/>
    <s v="WTI Sprds"/>
    <s v="Expo"/>
    <n v="-700"/>
    <d v="2025-08-31T00:00:00"/>
    <d v="2025-09-30T00:00:00"/>
    <n v="1.05"/>
    <n v="1.25"/>
    <n v="-139.99999999999997"/>
    <n v="-735"/>
    <x v="34"/>
    <s v="Sell"/>
    <n v="-875"/>
    <x v="0"/>
    <x v="0"/>
    <n v="2025"/>
    <s v="Sell"/>
    <x v="0"/>
    <x v="963"/>
  </r>
  <r>
    <s v="Equinor FOB Bookout June/July"/>
    <d v="2025-06-10T00:00:00"/>
    <s v="WTI-Brent"/>
    <s v="Expo"/>
    <n v="-700"/>
    <d v="2025-09-30T00:00:00"/>
    <d v="2025-09-30T00:00:00"/>
    <n v="-3.1"/>
    <n v="-3.27"/>
    <n v="118.99999999999994"/>
    <n v="2170"/>
    <x v="43"/>
    <s v="Sell"/>
    <n v="2289"/>
    <x v="1"/>
    <x v="3"/>
    <n v="2025"/>
    <s v="Sell"/>
    <x v="0"/>
    <x v="964"/>
  </r>
  <r>
    <s v="Equinor FOB Bookout June/July"/>
    <d v="2025-06-10T00:00:00"/>
    <s v="WTI Sprds"/>
    <s v="Hedge"/>
    <n v="900"/>
    <d v="2025-07-31T00:00:00"/>
    <d v="2025-08-31T00:00:00"/>
    <n v="1.0700000000000074"/>
    <n v="1.64"/>
    <n v="512.99999999999329"/>
    <n v="963.00000000000659"/>
    <x v="33"/>
    <s v="Buy"/>
    <n v="1476"/>
    <x v="0"/>
    <x v="0"/>
    <n v="2025"/>
    <s v="Buy"/>
    <x v="0"/>
    <x v="965"/>
  </r>
  <r>
    <s v="Equinor FOB Bookout June/July"/>
    <d v="2025-06-10T00:00:00"/>
    <s v="WTI Sprds"/>
    <s v="Hedge"/>
    <n v="900"/>
    <d v="2025-08-31T00:00:00"/>
    <d v="2025-09-30T00:00:00"/>
    <n v="0.96999999999999886"/>
    <n v="1.25"/>
    <n v="252.00000000000102"/>
    <n v="872.99999999999898"/>
    <x v="34"/>
    <s v="Buy"/>
    <n v="1125"/>
    <x v="0"/>
    <x v="0"/>
    <n v="2025"/>
    <s v="Buy"/>
    <x v="0"/>
    <x v="966"/>
  </r>
  <r>
    <s v="Equinor FOB Bookout June/July"/>
    <d v="2025-06-10T00:00:00"/>
    <s v="WTI-Brent"/>
    <s v="Hedge"/>
    <n v="900"/>
    <d v="2025-09-30T00:00:00"/>
    <d v="2025-09-30T00:00:00"/>
    <n v="-3.1899999999999977"/>
    <n v="-3.27"/>
    <n v="-72.000000000002061"/>
    <n v="-2870.9999999999982"/>
    <x v="43"/>
    <s v="Buy"/>
    <n v="-2943"/>
    <x v="1"/>
    <x v="3"/>
    <n v="2025"/>
    <s v="Buy"/>
    <x v="0"/>
    <x v="967"/>
  </r>
  <r>
    <s v="Unallocated"/>
    <d v="2025-06-11T00:00:00"/>
    <s v="DFL"/>
    <s v="Hedge"/>
    <n v="-200"/>
    <d v="2025-07-31T00:00:00"/>
    <d v="2025-07-31T00:00:00"/>
    <n v="1.1399999999999999"/>
    <n v="1.47"/>
    <n v="-66.000000000000014"/>
    <n v="-227.99999999999997"/>
    <x v="32"/>
    <s v="Sell"/>
    <n v="-294"/>
    <x v="1"/>
    <x v="1"/>
    <n v="2025"/>
    <s v="Sell"/>
    <x v="0"/>
    <x v="968"/>
  </r>
  <r>
    <s v="Unallocated"/>
    <d v="2025-06-11T00:00:00"/>
    <s v="DFL"/>
    <s v="Hedge"/>
    <n v="100"/>
    <d v="2025-07-31T00:00:00"/>
    <d v="2025-07-31T00:00:00"/>
    <n v="1.1100000000000001"/>
    <n v="1.47"/>
    <n v="35.999999999999986"/>
    <n v="111.00000000000001"/>
    <x v="32"/>
    <s v="Buy"/>
    <n v="147"/>
    <x v="1"/>
    <x v="1"/>
    <n v="2025"/>
    <s v="Buy"/>
    <x v="0"/>
    <x v="969"/>
  </r>
  <r>
    <s v="Unallocated"/>
    <d v="2025-06-11T00:00:00"/>
    <s v="CFD"/>
    <s v="Hedge"/>
    <n v="-200"/>
    <s v="Jun16-Jun20"/>
    <d v="2025-06-30T00:00:00"/>
    <n v="1.25"/>
    <n v="1.8180000000000001"/>
    <n v="-113.60000000000001"/>
    <n v="-250"/>
    <x v="44"/>
    <s v="Sell"/>
    <n v="-363.6"/>
    <x v="1"/>
    <x v="1"/>
    <n v="2025"/>
    <s v="Sell"/>
    <x v="0"/>
    <x v="970"/>
  </r>
  <r>
    <s v="Unallocated"/>
    <d v="2025-06-11T00:00:00"/>
    <s v="WTI Sprds"/>
    <s v="Hedge"/>
    <n v="-500"/>
    <d v="2025-07-31T00:00:00"/>
    <d v="2025-08-31T00:00:00"/>
    <n v="1.1000000000000001"/>
    <n v="1.64"/>
    <n v="-269.99999999999989"/>
    <n v="-550"/>
    <x v="33"/>
    <s v="Sell"/>
    <n v="-820"/>
    <x v="0"/>
    <x v="0"/>
    <n v="2025"/>
    <s v="Sell"/>
    <x v="0"/>
    <x v="971"/>
  </r>
  <r>
    <s v="Unallocated"/>
    <d v="2025-06-11T00:00:00"/>
    <s v="WTI Sprds"/>
    <s v="Hedge"/>
    <n v="-500"/>
    <d v="2025-08-31T00:00:00"/>
    <d v="2025-09-30T00:00:00"/>
    <n v="1.1000000000000001"/>
    <n v="1.25"/>
    <n v="-74.999999999999957"/>
    <n v="-550"/>
    <x v="34"/>
    <s v="Sell"/>
    <n v="-625"/>
    <x v="0"/>
    <x v="0"/>
    <n v="2025"/>
    <s v="Sell"/>
    <x v="0"/>
    <x v="972"/>
  </r>
  <r>
    <s v="Unallocated"/>
    <d v="2025-06-11T00:00:00"/>
    <s v="WTI Sprds"/>
    <s v="Hedge"/>
    <n v="-150"/>
    <d v="2025-07-31T00:00:00"/>
    <d v="2025-08-31T00:00:00"/>
    <n v="1.2450000000000001"/>
    <n v="1.64"/>
    <n v="-59.249999999999972"/>
    <n v="-186.75000000000003"/>
    <x v="33"/>
    <s v="Sell"/>
    <n v="-245.99999999999997"/>
    <x v="0"/>
    <x v="0"/>
    <n v="2025"/>
    <s v="Sell"/>
    <x v="0"/>
    <x v="973"/>
  </r>
  <r>
    <s v="Unallocated"/>
    <d v="2025-06-11T00:00:00"/>
    <s v="WTI Sprds"/>
    <s v="Hedge"/>
    <n v="-150"/>
    <d v="2025-08-31T00:00:00"/>
    <d v="2025-09-30T00:00:00"/>
    <n v="1.2450000000000001"/>
    <n v="1.25"/>
    <n v="-0.74999999999998401"/>
    <n v="-186.75000000000003"/>
    <x v="34"/>
    <s v="Sell"/>
    <n v="-187.5"/>
    <x v="0"/>
    <x v="0"/>
    <n v="2025"/>
    <s v="Sell"/>
    <x v="0"/>
    <x v="974"/>
  </r>
  <r>
    <s v="Unallocated"/>
    <d v="2025-06-11T00:00:00"/>
    <s v="WTI Sprds"/>
    <s v="Hedge"/>
    <n v="-1400"/>
    <d v="2025-07-31T00:00:00"/>
    <d v="2025-08-31T00:00:00"/>
    <n v="1.64"/>
    <n v="1.64"/>
    <n v="0"/>
    <n v="-2296"/>
    <x v="33"/>
    <s v="Sell"/>
    <n v="-2296"/>
    <x v="0"/>
    <x v="0"/>
    <n v="2025"/>
    <s v="Sell"/>
    <x v="0"/>
    <x v="975"/>
  </r>
  <r>
    <s v="Unallocated"/>
    <d v="2025-06-16T00:00:00"/>
    <s v="CFD"/>
    <s v="Hedge"/>
    <n v="-221"/>
    <s v="Jun09-Jun13"/>
    <d v="2025-06-30T00:00:00"/>
    <n v="1.526"/>
    <n v="1.526"/>
    <n v="0"/>
    <n v="-337.24599999999998"/>
    <x v="42"/>
    <s v="Buy"/>
    <n v="331.8"/>
    <x v="1"/>
    <x v="1"/>
    <n v="2025"/>
    <s v="Sell"/>
    <x v="0"/>
    <x v="976"/>
  </r>
  <r>
    <s v="Unallocated"/>
    <d v="2025-06-16T00:00:00"/>
    <s v="CFD"/>
    <s v="Hedge"/>
    <n v="80"/>
    <s v="Jun02-Jun06"/>
    <d v="2025-06-30T00:00:00"/>
    <n v="1.81"/>
    <n v="1.81"/>
    <n v="0"/>
    <n v="144.80000000000001"/>
    <x v="41"/>
    <s v="Buy"/>
    <n v="331.8"/>
    <x v="1"/>
    <x v="1"/>
    <n v="2025"/>
    <s v="Buy"/>
    <x v="0"/>
    <x v="977"/>
  </r>
  <r>
    <s v="Equinor FOB Bookout June/July"/>
    <d v="2025-06-10T00:00:00"/>
    <s v="WTI Sprds"/>
    <s v="Hedge"/>
    <n v="200"/>
    <d v="2025-07-31T00:00:00"/>
    <d v="2025-08-31T00:00:00"/>
    <n v="1.57"/>
    <n v="1.64"/>
    <n v="13.999999999999968"/>
    <n v="314"/>
    <x v="33"/>
    <s v="Buy"/>
    <n v="328"/>
    <x v="0"/>
    <x v="0"/>
    <n v="2025"/>
    <s v="Buy"/>
    <x v="0"/>
    <x v="978"/>
  </r>
  <r>
    <s v="Equinor FOB Bookout June/July"/>
    <d v="2025-06-10T00:00:00"/>
    <s v="WTI Sprds"/>
    <s v="Hedge"/>
    <n v="200"/>
    <d v="2025-08-31T00:00:00"/>
    <d v="2025-09-30T00:00:00"/>
    <n v="1.57"/>
    <n v="1.25"/>
    <n v="-64.000000000000014"/>
    <n v="314"/>
    <x v="34"/>
    <s v="Buy"/>
    <n v="250"/>
    <x v="0"/>
    <x v="0"/>
    <n v="2025"/>
    <s v="Buy"/>
    <x v="0"/>
    <x v="979"/>
  </r>
  <r>
    <s v="Equinor FOB Bookout June/July"/>
    <d v="2025-06-10T00:00:00"/>
    <s v="WTI Sprds"/>
    <s v="Hedge"/>
    <n v="200"/>
    <d v="2025-07-31T00:00:00"/>
    <d v="2025-08-31T00:00:00"/>
    <n v="1.68"/>
    <n v="1.64"/>
    <n v="-8.0000000000000071"/>
    <n v="336"/>
    <x v="33"/>
    <s v="Buy"/>
    <n v="328"/>
    <x v="0"/>
    <x v="0"/>
    <n v="2025"/>
    <s v="Buy"/>
    <x v="0"/>
    <x v="980"/>
  </r>
  <r>
    <s v="Equinor FOB Bookout June/July"/>
    <d v="2025-06-10T00:00:00"/>
    <s v="WTI Sprds"/>
    <s v="Hedge"/>
    <n v="200"/>
    <d v="2025-07-31T00:00:00"/>
    <d v="2025-08-31T00:00:00"/>
    <n v="1.61"/>
    <n v="1.64"/>
    <n v="5.9999999999999609"/>
    <n v="322"/>
    <x v="33"/>
    <s v="Buy"/>
    <n v="328"/>
    <x v="0"/>
    <x v="0"/>
    <n v="2025"/>
    <s v="Buy"/>
    <x v="0"/>
    <x v="981"/>
  </r>
  <r>
    <s v="Equinor FOB Bookout June/July"/>
    <d v="2025-06-10T00:00:00"/>
    <s v="WTI Sprds"/>
    <s v="Hedge"/>
    <n v="742"/>
    <d v="2025-07-31T00:00:00"/>
    <d v="2025-08-31T00:00:00"/>
    <n v="1.52"/>
    <n v="1.64"/>
    <n v="89.039999999999921"/>
    <n v="1127.8399999999999"/>
    <x v="33"/>
    <s v="Buy"/>
    <n v="1216.8799999999999"/>
    <x v="0"/>
    <x v="0"/>
    <n v="2025"/>
    <s v="Buy"/>
    <x v="0"/>
    <x v="982"/>
  </r>
  <r>
    <m/>
    <d v="2025-06-10T00:00:00"/>
    <s v="Brent Sprds"/>
    <s v="Hedge"/>
    <n v="500"/>
    <d v="2025-09-30T00:00:00"/>
    <d v="2025-10-31T00:00:00"/>
    <n v="0.89"/>
    <n v="0.83"/>
    <n v="-30.000000000000028"/>
    <n v="445"/>
    <x v="35"/>
    <s v="Buy"/>
    <n v="415"/>
    <x v="0"/>
    <x v="2"/>
    <n v="2025"/>
    <s v="Buy"/>
    <x v="0"/>
    <x v="983"/>
  </r>
  <r>
    <m/>
    <d v="2025-06-17T00:00:00"/>
    <s v="WTI-Brent"/>
    <s v="Hedge"/>
    <n v="500"/>
    <d v="2025-09-30T00:00:00"/>
    <d v="2025-09-30T00:00:00"/>
    <n v="-3.3"/>
    <n v="-3.27"/>
    <n v="14.999999999999902"/>
    <n v="-1650"/>
    <x v="43"/>
    <s v="Buy"/>
    <n v="-1635"/>
    <x v="1"/>
    <x v="3"/>
    <n v="2025"/>
    <s v="Buy"/>
    <x v="0"/>
    <x v="984"/>
  </r>
  <r>
    <m/>
    <d v="2025-06-17T00:00:00"/>
    <s v="WTI-Brent"/>
    <s v="Hedge"/>
    <n v="200"/>
    <d v="2025-08-31T00:00:00"/>
    <d v="2025-08-31T00:00:00"/>
    <n v="-3.1"/>
    <n v="-2.5"/>
    <n v="120.00000000000001"/>
    <n v="-620"/>
    <x v="38"/>
    <s v="Buy"/>
    <n v="-500"/>
    <x v="1"/>
    <x v="3"/>
    <n v="2025"/>
    <s v="Buy"/>
    <x v="0"/>
    <x v="985"/>
  </r>
  <r>
    <s v="ENI FOB July 7-10 TBN2"/>
    <d v="2025-06-17T00:00:00"/>
    <s v="Physical"/>
    <s v="Expo"/>
    <n v="700"/>
    <d v="2025-06-30T00:00:00"/>
    <d v="2025-06-30T00:00:00"/>
    <n v="1.0799999999999998"/>
    <n v="0.45"/>
    <n v="-440.99999999999994"/>
    <n v="755.99999999999989"/>
    <x v="30"/>
    <s v="Buy"/>
    <n v="315"/>
    <x v="2"/>
    <x v="4"/>
    <n v="2025"/>
    <s v="Buy"/>
    <x v="1"/>
    <x v="986"/>
  </r>
  <r>
    <s v="ENI FOB July 7-10 TBN2"/>
    <d v="2025-06-17T00:00:00"/>
    <s v="WTI Sprds"/>
    <s v="Expo"/>
    <n v="-700"/>
    <d v="2025-07-31T00:00:00"/>
    <d v="2025-08-31T00:00:00"/>
    <n v="1.44"/>
    <n v="1.64"/>
    <n v="-139.99999999999997"/>
    <n v="-1008"/>
    <x v="33"/>
    <s v="Sell"/>
    <n v="-1148"/>
    <x v="0"/>
    <x v="0"/>
    <n v="2025"/>
    <s v="Sell"/>
    <x v="0"/>
    <x v="987"/>
  </r>
  <r>
    <s v="ENI FOB July 7-10 TBN2"/>
    <d v="2025-06-17T00:00:00"/>
    <s v="WTI Sprds"/>
    <s v="Expo"/>
    <n v="-700"/>
    <d v="2025-08-31T00:00:00"/>
    <d v="2025-09-30T00:00:00"/>
    <n v="1.63"/>
    <n v="1.25"/>
    <n v="265.99999999999994"/>
    <n v="-1141"/>
    <x v="34"/>
    <s v="Sell"/>
    <n v="-875"/>
    <x v="0"/>
    <x v="0"/>
    <n v="2025"/>
    <s v="Sell"/>
    <x v="0"/>
    <x v="988"/>
  </r>
  <r>
    <s v="ENI FOB July 7-10 TBN2"/>
    <d v="2025-06-17T00:00:00"/>
    <s v="WTI-Brent"/>
    <s v="Expo"/>
    <n v="-700"/>
    <d v="2025-09-30T00:00:00"/>
    <d v="2025-09-30T00:00:00"/>
    <n v="-3.3"/>
    <n v="-3.27"/>
    <n v="-20.999999999999865"/>
    <n v="2310"/>
    <x v="43"/>
    <s v="Sell"/>
    <n v="2289"/>
    <x v="1"/>
    <x v="3"/>
    <n v="2025"/>
    <s v="Sell"/>
    <x v="0"/>
    <x v="989"/>
  </r>
  <r>
    <s v="Unallocated"/>
    <d v="2025-06-17T00:00:00"/>
    <s v="WTI Sprds"/>
    <s v="Hedge"/>
    <n v="1900"/>
    <d v="2025-07-31T00:00:00"/>
    <d v="2025-08-31T00:00:00"/>
    <n v="1.5700000000000074"/>
    <n v="1.64"/>
    <n v="132.99999999998576"/>
    <n v="2983.0000000000141"/>
    <x v="33"/>
    <s v="Buy"/>
    <n v="3116"/>
    <x v="0"/>
    <x v="0"/>
    <n v="2025"/>
    <s v="Buy"/>
    <x v="0"/>
    <x v="990"/>
  </r>
  <r>
    <s v="Unallocated"/>
    <d v="2025-06-17T00:00:00"/>
    <s v="WTI Sprds"/>
    <s v="Hedge"/>
    <n v="1900"/>
    <d v="2025-08-31T00:00:00"/>
    <d v="2025-09-30T00:00:00"/>
    <n v="1.7000000000000028"/>
    <n v="1.25"/>
    <n v="-855.00000000000546"/>
    <n v="3230.0000000000055"/>
    <x v="34"/>
    <s v="Buy"/>
    <n v="2375"/>
    <x v="0"/>
    <x v="0"/>
    <n v="2025"/>
    <s v="Buy"/>
    <x v="0"/>
    <x v="991"/>
  </r>
  <r>
    <s v="Unallocated"/>
    <d v="2025-06-17T00:00:00"/>
    <s v="WTI-Brent"/>
    <s v="Hedge"/>
    <n v="1900"/>
    <d v="2025-09-30T00:00:00"/>
    <d v="2025-09-30T00:00:00"/>
    <n v="-3.3300000000000125"/>
    <n v="-3.27"/>
    <n v="114.00000000002373"/>
    <n v="-6327.0000000000236"/>
    <x v="43"/>
    <s v="Buy"/>
    <n v="-6213"/>
    <x v="1"/>
    <x v="3"/>
    <n v="2025"/>
    <s v="Buy"/>
    <x v="0"/>
    <x v="992"/>
  </r>
  <r>
    <s v="Unallocated"/>
    <d v="2025-06-18T00:00:00"/>
    <s v="Brent Sprds"/>
    <s v="Hedge"/>
    <n v="500"/>
    <d v="2025-08-31T00:00:00"/>
    <d v="2025-09-30T00:00:00"/>
    <n v="1.43"/>
    <n v="0.87"/>
    <n v="-279.99999999999994"/>
    <n v="715"/>
    <x v="34"/>
    <s v="Buy"/>
    <n v="435"/>
    <x v="0"/>
    <x v="2"/>
    <n v="2025"/>
    <s v="Buy"/>
    <x v="0"/>
    <x v="993"/>
  </r>
  <r>
    <s v="Unallocated"/>
    <d v="2025-06-18T00:00:00"/>
    <s v="Brent Sprds"/>
    <s v="Hedge"/>
    <n v="500"/>
    <d v="2025-08-31T00:00:00"/>
    <d v="2025-09-30T00:00:00"/>
    <n v="1.42"/>
    <n v="0.87"/>
    <n v="-274.99999999999994"/>
    <n v="710"/>
    <x v="34"/>
    <s v="Buy"/>
    <n v="435"/>
    <x v="0"/>
    <x v="2"/>
    <n v="2025"/>
    <s v="Buy"/>
    <x v="0"/>
    <x v="994"/>
  </r>
  <r>
    <s v="Unallocated"/>
    <d v="2025-06-18T00:00:00"/>
    <s v="Brent Sprds"/>
    <s v="Hedge"/>
    <n v="500"/>
    <d v="2025-09-30T00:00:00"/>
    <d v="2025-10-31T00:00:00"/>
    <n v="1.1499999999999999"/>
    <n v="0.83"/>
    <n v="-159.99999999999997"/>
    <n v="575"/>
    <x v="35"/>
    <s v="Buy"/>
    <n v="415"/>
    <x v="0"/>
    <x v="2"/>
    <n v="2025"/>
    <s v="Buy"/>
    <x v="0"/>
    <x v="995"/>
  </r>
  <r>
    <s v="Unallocated"/>
    <d v="2025-06-17T00:00:00"/>
    <s v="WTI-Brent"/>
    <s v="Hedge"/>
    <n v="1000"/>
    <d v="2025-08-31T00:00:00"/>
    <d v="2025-08-31T00:00:00"/>
    <n v="-3.15"/>
    <n v="-2.5"/>
    <n v="649.99999999999989"/>
    <n v="-3150"/>
    <x v="38"/>
    <s v="Buy"/>
    <n v="-2500"/>
    <x v="1"/>
    <x v="3"/>
    <n v="2025"/>
    <s v="Buy"/>
    <x v="0"/>
    <x v="996"/>
  </r>
  <r>
    <s v="Unallocated"/>
    <d v="2025-06-17T00:00:00"/>
    <s v="WTI Sprds"/>
    <s v="Hedge"/>
    <n v="-942"/>
    <d v="2025-07-31T00:00:00"/>
    <d v="2025-08-31T00:00:00"/>
    <n v="1.64"/>
    <n v="1.64"/>
    <n v="0"/>
    <n v="-1544.8799999999999"/>
    <x v="33"/>
    <s v="Sell"/>
    <n v="-1544.8799999999999"/>
    <x v="0"/>
    <x v="0"/>
    <n v="2025"/>
    <s v="Sell"/>
    <x v="0"/>
    <x v="997"/>
  </r>
  <r>
    <s v="Unallocated"/>
    <d v="2025-06-17T00:00:00"/>
    <s v="WTI Sprds"/>
    <s v="Hedge"/>
    <n v="-500"/>
    <d v="2025-07-31T00:00:00"/>
    <d v="2025-08-31T00:00:00"/>
    <n v="1.0900000000000034"/>
    <n v="1.64"/>
    <n v="-274.99999999999824"/>
    <n v="-545.00000000000171"/>
    <x v="33"/>
    <s v="Sell"/>
    <n v="-820"/>
    <x v="0"/>
    <x v="0"/>
    <n v="2025"/>
    <s v="Sell"/>
    <x v="0"/>
    <x v="998"/>
  </r>
  <r>
    <s v="Unallocated"/>
    <d v="2025-06-17T00:00:00"/>
    <s v="WTI Sprds"/>
    <s v="Hedge"/>
    <n v="500"/>
    <d v="2025-08-31T00:00:00"/>
    <d v="2025-09-30T00:00:00"/>
    <n v="1.8299999999999983"/>
    <n v="1.25"/>
    <n v="-289.99999999999915"/>
    <n v="914.99999999999909"/>
    <x v="34"/>
    <s v="Buy"/>
    <n v="625"/>
    <x v="0"/>
    <x v="0"/>
    <n v="2025"/>
    <s v="Buy"/>
    <x v="0"/>
    <x v="999"/>
  </r>
  <r>
    <s v="Unallocated"/>
    <d v="2025-06-17T00:00:00"/>
    <s v="WTI Sprds-Fly"/>
    <s v="Hedge"/>
    <n v="500"/>
    <d v="2025-07-31T00:00:00"/>
    <d v="2025-08-31T00:00:00"/>
    <n v="1.0900000000000034"/>
    <n v="1.64"/>
    <n v="274.99999999999824"/>
    <n v="545.00000000000171"/>
    <x v="33"/>
    <s v="Buy"/>
    <n v="820"/>
    <x v="0"/>
    <x v="0"/>
    <n v="2025"/>
    <s v="Buy"/>
    <x v="0"/>
    <x v="1000"/>
  </r>
  <r>
    <s v="Unallocated"/>
    <d v="2025-06-17T00:00:00"/>
    <s v="WTI Sprds-Fly"/>
    <s v="Hedge"/>
    <n v="-500"/>
    <d v="2025-08-31T00:00:00"/>
    <d v="2025-09-30T00:00:00"/>
    <n v="1.8299999999999983"/>
    <n v="1.25"/>
    <n v="289.99999999999915"/>
    <n v="-914.99999999999909"/>
    <x v="34"/>
    <s v="Sell"/>
    <n v="-625"/>
    <x v="0"/>
    <x v="0"/>
    <n v="2025"/>
    <s v="Sell"/>
    <x v="0"/>
    <x v="1001"/>
  </r>
  <r>
    <s v="Unallocated"/>
    <d v="2025-06-17T00:00:00"/>
    <s v="WTI-Brent"/>
    <s v="Hedge"/>
    <n v="709"/>
    <d v="2025-08-31T00:00:00"/>
    <d v="2025-08-31T00:00:00"/>
    <n v="-3.2"/>
    <n v="-2.5"/>
    <n v="496.30000000000013"/>
    <n v="-2268.8000000000002"/>
    <x v="38"/>
    <s v="Buy"/>
    <n v="-1772.5"/>
    <x v="1"/>
    <x v="3"/>
    <n v="2025"/>
    <s v="Buy"/>
    <x v="0"/>
    <x v="1002"/>
  </r>
  <r>
    <s v="Unallocated"/>
    <d v="2025-06-17T00:00:00"/>
    <s v="WTI Sprds"/>
    <s v="Hedge"/>
    <n v="500"/>
    <d v="2025-08-31T00:00:00"/>
    <d v="2025-09-30T00:00:00"/>
    <n v="1.6"/>
    <n v="1.25"/>
    <n v="-175.00000000000006"/>
    <n v="800"/>
    <x v="34"/>
    <s v="Buy"/>
    <n v="625"/>
    <x v="0"/>
    <x v="0"/>
    <n v="2025"/>
    <s v="Buy"/>
    <x v="0"/>
    <x v="1003"/>
  </r>
  <r>
    <s v="Aug EFP 1"/>
    <d v="2025-06-23T00:00:00"/>
    <s v="Physical"/>
    <s v="Expo"/>
    <m/>
    <d v="2025-08-31T00:00:00"/>
    <d v="2025-08-31T00:00:00"/>
    <n v="-0.10999999999999988"/>
    <n v="0.04"/>
    <n v="0"/>
    <n v="0"/>
    <x v="38"/>
    <s v="Buy"/>
    <n v="0"/>
    <x v="2"/>
    <x v="4"/>
    <n v="2025"/>
    <s v="Sell"/>
    <x v="1"/>
    <x v="1004"/>
  </r>
  <r>
    <s v="Aug EFP 1"/>
    <d v="2025-06-23T00:00:00"/>
    <s v="WTI-Brent"/>
    <s v="Expo"/>
    <n v="0"/>
    <d v="2025-08-31T00:00:00"/>
    <d v="2025-08-31T00:00:00"/>
    <n v="-2.97"/>
    <n v="-2.5"/>
    <n v="0"/>
    <n v="0"/>
    <x v="38"/>
    <s v="Buy"/>
    <n v="0"/>
    <x v="1"/>
    <x v="3"/>
    <n v="2025"/>
    <s v="Sell"/>
    <x v="0"/>
    <x v="1005"/>
  </r>
  <r>
    <s v="Aug EFP 1"/>
    <d v="2025-06-23T00:00:00"/>
    <s v="Freight-TD25"/>
    <s v="Expo"/>
    <n v="0"/>
    <m/>
    <m/>
    <m/>
    <m/>
    <m/>
    <n v="0"/>
    <x v="45"/>
    <s v="Buy"/>
    <n v="0"/>
    <x v="3"/>
    <x v="5"/>
    <n v="1900"/>
    <s v="Sell"/>
    <x v="0"/>
    <x v="1006"/>
  </r>
  <r>
    <s v="Aug EFP 1"/>
    <d v="2025-06-23T00:00:00"/>
    <s v="Freight-TD7"/>
    <s v="Expo"/>
    <n v="0"/>
    <m/>
    <m/>
    <m/>
    <m/>
    <m/>
    <n v="0"/>
    <x v="45"/>
    <s v="Buy"/>
    <n v="0"/>
    <x v="3"/>
    <x v="5"/>
    <n v="1900"/>
    <s v="Sell"/>
    <x v="0"/>
    <x v="1007"/>
  </r>
  <r>
    <s v="Aug EFP 2"/>
    <d v="2025-06-23T00:00:00"/>
    <s v="Physical"/>
    <s v="Expo"/>
    <m/>
    <d v="2025-08-31T00:00:00"/>
    <d v="2025-08-31T00:00:00"/>
    <n v="0"/>
    <n v="0.04"/>
    <n v="0"/>
    <n v="0"/>
    <x v="38"/>
    <s v="Buy"/>
    <n v="0"/>
    <x v="2"/>
    <x v="4"/>
    <n v="2025"/>
    <s v="Sell"/>
    <x v="1"/>
    <x v="1008"/>
  </r>
  <r>
    <s v="Aug EFP 2"/>
    <d v="2025-06-23T00:00:00"/>
    <s v="WTI-Brent"/>
    <s v="Expo"/>
    <n v="0"/>
    <d v="2025-08-31T00:00:00"/>
    <d v="2025-08-31T00:00:00"/>
    <n v="-2.97"/>
    <n v="-2.5"/>
    <n v="0"/>
    <n v="0"/>
    <x v="38"/>
    <s v="Buy"/>
    <n v="0"/>
    <x v="1"/>
    <x v="3"/>
    <n v="2025"/>
    <s v="Sell"/>
    <x v="0"/>
    <x v="1009"/>
  </r>
  <r>
    <s v="Aug EFP 2"/>
    <d v="2025-06-23T00:00:00"/>
    <s v="Freight-TD25"/>
    <s v="Expo"/>
    <n v="0"/>
    <m/>
    <m/>
    <m/>
    <m/>
    <m/>
    <n v="0"/>
    <x v="45"/>
    <s v="Buy"/>
    <n v="0"/>
    <x v="3"/>
    <x v="5"/>
    <n v="1900"/>
    <s v="Sell"/>
    <x v="0"/>
    <x v="1010"/>
  </r>
  <r>
    <s v="Aug EFP 2"/>
    <d v="2025-06-23T00:00:00"/>
    <s v="Freight-TD7"/>
    <s v="Expo"/>
    <n v="0"/>
    <m/>
    <m/>
    <m/>
    <m/>
    <m/>
    <n v="0"/>
    <x v="45"/>
    <s v="Buy"/>
    <n v="0"/>
    <x v="3"/>
    <x v="5"/>
    <n v="1900"/>
    <s v="Sell"/>
    <x v="0"/>
    <x v="1011"/>
  </r>
  <r>
    <s v="Aug EFP 3"/>
    <d v="2025-06-23T00:00:00"/>
    <s v="Physical"/>
    <s v="Expo"/>
    <m/>
    <d v="2025-08-31T00:00:00"/>
    <d v="2025-08-31T00:00:00"/>
    <n v="700"/>
    <n v="0.04"/>
    <n v="0"/>
    <n v="0"/>
    <x v="38"/>
    <s v="Buy"/>
    <n v="0"/>
    <x v="2"/>
    <x v="4"/>
    <n v="2025"/>
    <s v="Sell"/>
    <x v="1"/>
    <x v="1012"/>
  </r>
  <r>
    <s v="Aug EFP 3"/>
    <d v="2025-06-23T00:00:00"/>
    <s v="WTI-Brent"/>
    <s v="Expo"/>
    <n v="0"/>
    <d v="2025-08-31T00:00:00"/>
    <d v="2025-08-31T00:00:00"/>
    <n v="-2.97"/>
    <n v="-2.5"/>
    <n v="0"/>
    <n v="0"/>
    <x v="38"/>
    <s v="Buy"/>
    <n v="0"/>
    <x v="1"/>
    <x v="3"/>
    <n v="2025"/>
    <s v="Sell"/>
    <x v="0"/>
    <x v="1013"/>
  </r>
  <r>
    <s v="Aug EFP 3"/>
    <d v="2025-06-23T00:00:00"/>
    <s v="Freight-TD25"/>
    <s v="Expo"/>
    <n v="0"/>
    <m/>
    <m/>
    <m/>
    <m/>
    <m/>
    <n v="0"/>
    <x v="45"/>
    <s v="Buy"/>
    <n v="0"/>
    <x v="3"/>
    <x v="5"/>
    <n v="1900"/>
    <s v="Sell"/>
    <x v="0"/>
    <x v="1014"/>
  </r>
  <r>
    <s v="Aug EFP 3"/>
    <d v="2025-06-23T00:00:00"/>
    <s v="Freight-TD7"/>
    <s v="Expo"/>
    <n v="0"/>
    <m/>
    <m/>
    <m/>
    <m/>
    <m/>
    <n v="0"/>
    <x v="45"/>
    <s v="Buy"/>
    <n v="0"/>
    <x v="3"/>
    <x v="5"/>
    <n v="1900"/>
    <s v="Sell"/>
    <x v="0"/>
    <x v="1015"/>
  </r>
  <r>
    <s v="Unallocated"/>
    <d v="2025-06-24T00:00:00"/>
    <s v="Brent Sprds"/>
    <s v="Hedge"/>
    <n v="-1000"/>
    <d v="2025-08-31T00:00:00"/>
    <d v="2025-09-30T00:00:00"/>
    <n v="0.95"/>
    <n v="0.87"/>
    <n v="79.999999999999957"/>
    <n v="-950"/>
    <x v="34"/>
    <s v="Sell"/>
    <n v="-870"/>
    <x v="0"/>
    <x v="2"/>
    <n v="2025"/>
    <s v="Sell"/>
    <x v="0"/>
    <x v="1016"/>
  </r>
  <r>
    <s v="Unallocated"/>
    <d v="2025-06-25T00:00:00"/>
    <s v="WTI Sprds"/>
    <s v="Hedge"/>
    <n v="-500"/>
    <d v="2025-08-31T00:00:00"/>
    <d v="2025-09-30T00:00:00"/>
    <n v="1.29"/>
    <n v="1.25"/>
    <n v="20.000000000000018"/>
    <n v="-645"/>
    <x v="34"/>
    <s v="Sell"/>
    <n v="-625"/>
    <x v="0"/>
    <x v="0"/>
    <n v="2025"/>
    <s v="Sell"/>
    <x v="0"/>
    <x v="1017"/>
  </r>
  <r>
    <s v="Unallocated"/>
    <d v="2025-06-25T00:00:00"/>
    <s v="WTI Sprds"/>
    <s v="Hedge"/>
    <n v="-500"/>
    <d v="2025-09-30T00:00:00"/>
    <d v="2025-10-31T00:00:00"/>
    <n v="1.03"/>
    <n v="0.57999999999999996"/>
    <n v="225.00000000000003"/>
    <n v="-515"/>
    <x v="35"/>
    <s v="Sell"/>
    <n v="-290"/>
    <x v="0"/>
    <x v="0"/>
    <n v="2025"/>
    <s v="Sell"/>
    <x v="0"/>
    <x v="1018"/>
  </r>
  <r>
    <s v="Trafi FOB July 19-20 Pin Oak"/>
    <d v="2025-06-25T00:00:00"/>
    <s v="Physical"/>
    <s v="Expo"/>
    <n v="700"/>
    <d v="2025-06-30T00:00:00"/>
    <d v="2025-06-30T00:00:00"/>
    <n v="1.3500000000000003"/>
    <n v="-0.55000000000000004"/>
    <n v="-1330.0000000000002"/>
    <n v="945.00000000000023"/>
    <x v="30"/>
    <s v="Buy"/>
    <n v="-385.00000000000006"/>
    <x v="2"/>
    <x v="4"/>
    <n v="2025"/>
    <s v="Buy"/>
    <x v="1"/>
    <x v="1019"/>
  </r>
  <r>
    <s v="Trafi FOB July 19-20 Pin Oak"/>
    <d v="2025-06-25T00:00:00"/>
    <s v="WTI Sprds"/>
    <s v="Expo"/>
    <n v="-700"/>
    <d v="2025-08-31T00:00:00"/>
    <d v="2025-09-30T00:00:00"/>
    <n v="1.45"/>
    <n v="1.25"/>
    <n v="139.99999999999997"/>
    <n v="-1015"/>
    <x v="34"/>
    <s v="Sell"/>
    <n v="-875"/>
    <x v="0"/>
    <x v="0"/>
    <n v="2025"/>
    <s v="Sell"/>
    <x v="0"/>
    <x v="1020"/>
  </r>
  <r>
    <s v="Trafi FOB July 19-20 Pin Oak"/>
    <d v="2025-06-25T00:00:00"/>
    <s v="WTI-Brent"/>
    <s v="Expo"/>
    <n v="-700"/>
    <d v="2025-09-30T00:00:00"/>
    <d v="2025-09-30T00:00:00"/>
    <n v="-2.96"/>
    <n v="-3.27"/>
    <n v="217.00000000000003"/>
    <n v="2072"/>
    <x v="43"/>
    <s v="Sell"/>
    <n v="2289"/>
    <x v="1"/>
    <x v="3"/>
    <n v="2025"/>
    <s v="Sell"/>
    <x v="0"/>
    <x v="1021"/>
  </r>
  <r>
    <s v="Unallocated"/>
    <d v="2025-06-25T00:00:00"/>
    <s v="WTI-Brent"/>
    <s v="Hedge"/>
    <n v="200"/>
    <d v="2025-08-31T00:00:00"/>
    <d v="2025-08-31T00:00:00"/>
    <n v="-2.8"/>
    <n v="-2.5"/>
    <n v="59.999999999999964"/>
    <n v="-560"/>
    <x v="38"/>
    <s v="Buy"/>
    <n v="-500"/>
    <x v="1"/>
    <x v="3"/>
    <n v="2025"/>
    <s v="Buy"/>
    <x v="0"/>
    <x v="1022"/>
  </r>
  <r>
    <s v="Unallocated"/>
    <d v="2025-06-25T00:00:00"/>
    <s v="WTI-Brent"/>
    <s v="Hedge"/>
    <n v="54"/>
    <d v="2025-08-31T00:00:00"/>
    <d v="2025-08-31T00:00:00"/>
    <n v="-2.81"/>
    <n v="-2.5"/>
    <n v="16.740000000000002"/>
    <n v="-151.74"/>
    <x v="38"/>
    <s v="Buy"/>
    <n v="-135"/>
    <x v="1"/>
    <x v="3"/>
    <n v="2025"/>
    <s v="Buy"/>
    <x v="0"/>
    <x v="1023"/>
  </r>
  <r>
    <s v="Vitol FOB July 14-15 Bookout"/>
    <d v="2025-06-26T00:00:00"/>
    <s v="Physical"/>
    <s v="Expo"/>
    <n v="700"/>
    <d v="2025-06-30T00:00:00"/>
    <d v="2025-06-30T00:00:00"/>
    <n v="0.61999999999999966"/>
    <n v="-0.5"/>
    <n v="-783.99999999999977"/>
    <n v="433.99999999999977"/>
    <x v="30"/>
    <s v="Buy"/>
    <n v="-350"/>
    <x v="2"/>
    <x v="4"/>
    <n v="2025"/>
    <s v="Buy"/>
    <x v="1"/>
    <x v="1024"/>
  </r>
  <r>
    <s v="Vitol FOB July 14-15 Bookout"/>
    <d v="2025-06-26T00:00:00"/>
    <s v="WTI Sprds"/>
    <s v="Expo"/>
    <n v="-700"/>
    <d v="2025-08-31T00:00:00"/>
    <d v="2025-09-30T00:00:00"/>
    <n v="1.42"/>
    <n v="1.25"/>
    <n v="118.99999999999994"/>
    <n v="-994"/>
    <x v="34"/>
    <s v="Sell"/>
    <n v="-875"/>
    <x v="0"/>
    <x v="0"/>
    <n v="2025"/>
    <s v="Sell"/>
    <x v="0"/>
    <x v="1025"/>
  </r>
  <r>
    <s v="Vitol FOB July 14-15 Bookout"/>
    <d v="2025-06-26T00:00:00"/>
    <s v="WTI-Brent"/>
    <s v="Expo"/>
    <n v="-700"/>
    <d v="2025-09-30T00:00:00"/>
    <d v="2025-09-30T00:00:00"/>
    <n v="-2.85"/>
    <n v="-3.27"/>
    <n v="293.99999999999994"/>
    <n v="1995"/>
    <x v="43"/>
    <s v="Sell"/>
    <n v="2289"/>
    <x v="1"/>
    <x v="3"/>
    <n v="2025"/>
    <s v="Sell"/>
    <x v="0"/>
    <x v="1026"/>
  </r>
  <r>
    <s v="Unallocated"/>
    <d v="2025-06-26T00:00:00"/>
    <s v="WTI-Brent"/>
    <s v="Hedge"/>
    <n v="2100"/>
    <d v="2025-08-31T00:00:00"/>
    <d v="2025-08-31T00:00:00"/>
    <n v="-2.4900000000000002"/>
    <n v="-2.5"/>
    <n v="-20.999999999999552"/>
    <n v="-5229"/>
    <x v="38"/>
    <s v="Buy"/>
    <n v="-5250"/>
    <x v="1"/>
    <x v="3"/>
    <n v="2025"/>
    <s v="Buy"/>
    <x v="0"/>
    <x v="1027"/>
  </r>
  <r>
    <s v="Unallocated"/>
    <d v="2025-06-26T00:00:00"/>
    <s v="WTI-Brent"/>
    <s v="Hedge"/>
    <n v="-2100"/>
    <d v="2025-10-31T00:00:00"/>
    <d v="2025-10-31T00:00:00"/>
    <n v="-3.09"/>
    <n v="-4.1100000000000003"/>
    <n v="2142.0000000000009"/>
    <n v="6489"/>
    <x v="46"/>
    <s v="Sell"/>
    <n v="8631"/>
    <x v="1"/>
    <x v="3"/>
    <n v="2025"/>
    <s v="Sell"/>
    <x v="0"/>
    <x v="1028"/>
  </r>
  <r>
    <s v="Unallocated"/>
    <d v="2025-06-27T00:00:00"/>
    <s v="WTI-Brent"/>
    <s v="Hedge"/>
    <n v="-1000"/>
    <d v="2025-08-31T00:00:00"/>
    <d v="2025-08-31T00:00:00"/>
    <n v="-2.33"/>
    <n v="-2.5"/>
    <n v="169.99999999999994"/>
    <n v="2330"/>
    <x v="38"/>
    <s v="Sell"/>
    <n v="2500"/>
    <x v="1"/>
    <x v="3"/>
    <n v="2025"/>
    <s v="Sell"/>
    <x v="0"/>
    <x v="1029"/>
  </r>
  <r>
    <s v="Unallocated"/>
    <d v="2025-06-27T00:00:00"/>
    <s v="WTI-Brent"/>
    <s v="Hedge"/>
    <n v="-300"/>
    <d v="2025-08-31T00:00:00"/>
    <d v="2025-08-31T00:00:00"/>
    <n v="-2.35"/>
    <n v="-2.5"/>
    <n v="44.999999999999972"/>
    <n v="705"/>
    <x v="38"/>
    <s v="Sell"/>
    <n v="750"/>
    <x v="1"/>
    <x v="3"/>
    <n v="2025"/>
    <s v="Sell"/>
    <x v="0"/>
    <x v="1030"/>
  </r>
  <r>
    <s v="Unallocated"/>
    <d v="2025-06-27T00:00:00"/>
    <s v="WTI-Brent"/>
    <s v="Hedge"/>
    <n v="-400"/>
    <d v="2025-08-31T00:00:00"/>
    <d v="2025-08-31T00:00:00"/>
    <n v="-2.34"/>
    <n v="-2.5"/>
    <n v="64.000000000000057"/>
    <n v="936"/>
    <x v="38"/>
    <s v="Sell"/>
    <n v="1000"/>
    <x v="1"/>
    <x v="3"/>
    <n v="2025"/>
    <s v="Sell"/>
    <x v="0"/>
    <x v="1031"/>
  </r>
  <r>
    <s v="Unallocated"/>
    <d v="2025-06-27T00:00:00"/>
    <s v="WTI-Brent"/>
    <s v="Hedge"/>
    <n v="-400"/>
    <d v="2025-08-31T00:00:00"/>
    <d v="2025-08-31T00:00:00"/>
    <n v="-2.25"/>
    <n v="-2.5"/>
    <n v="100"/>
    <n v="900"/>
    <x v="38"/>
    <s v="Sell"/>
    <n v="1000"/>
    <x v="1"/>
    <x v="3"/>
    <n v="2025"/>
    <s v="Sell"/>
    <x v="0"/>
    <x v="1032"/>
  </r>
  <r>
    <s v="Unallocated"/>
    <d v="2025-06-27T00:00:00"/>
    <s v="Brent Sprds"/>
    <s v="Hedge"/>
    <n v="-769"/>
    <d v="2025-08-31T00:00:00"/>
    <d v="2025-09-30T00:00:00"/>
    <n v="1.08"/>
    <n v="0.87"/>
    <n v="161.49000000000007"/>
    <n v="-830.5200000000001"/>
    <x v="34"/>
    <s v="Sell"/>
    <n v="-669.03"/>
    <x v="0"/>
    <x v="2"/>
    <n v="2025"/>
    <s v="Sell"/>
    <x v="0"/>
    <x v="1033"/>
  </r>
  <r>
    <s v="Unallocated"/>
    <d v="2025-06-27T00:00:00"/>
    <s v="Brent Sprds"/>
    <s v="Hedge"/>
    <n v="-131"/>
    <d v="2025-08-31T00:00:00"/>
    <d v="2025-09-30T00:00:00"/>
    <n v="1.0900000000000001"/>
    <n v="0.87"/>
    <n v="28.820000000000011"/>
    <n v="-142.79000000000002"/>
    <x v="34"/>
    <s v="Sell"/>
    <n v="-113.97"/>
    <x v="0"/>
    <x v="2"/>
    <n v="2025"/>
    <s v="Sell"/>
    <x v="0"/>
    <x v="1034"/>
  </r>
  <r>
    <s v="Trafi FOB July 19-20 Pin Oak"/>
    <d v="2025-06-27T00:00:00"/>
    <s v="WTI Sprds"/>
    <s v="Hedge"/>
    <n v="500"/>
    <d v="2025-08-31T00:00:00"/>
    <d v="2025-09-30T00:00:00"/>
    <n v="1.43"/>
    <n v="1.25"/>
    <n v="-89.999999999999972"/>
    <n v="715"/>
    <x v="34"/>
    <s v="Buy"/>
    <n v="625"/>
    <x v="0"/>
    <x v="0"/>
    <n v="2025"/>
    <s v="Buy"/>
    <x v="0"/>
    <x v="1035"/>
  </r>
  <r>
    <s v="Trafi FOB July 19-20 Pin Oak"/>
    <d v="2025-06-27T00:00:00"/>
    <s v="WTI Sprds"/>
    <s v="Hedge"/>
    <n v="500"/>
    <d v="2025-09-30T00:00:00"/>
    <d v="2025-10-31T00:00:00"/>
    <n v="1.1399999999999999"/>
    <n v="0.57999999999999996"/>
    <n v="-279.99999999999994"/>
    <n v="570"/>
    <x v="35"/>
    <s v="Buy"/>
    <n v="290"/>
    <x v="0"/>
    <x v="0"/>
    <n v="2025"/>
    <s v="Buy"/>
    <x v="0"/>
    <x v="1036"/>
  </r>
  <r>
    <s v="Unallocated"/>
    <d v="2025-06-30T00:00:00"/>
    <s v="CFD"/>
    <s v="Expo"/>
    <n v="-246"/>
    <s v="Jun16-Jun20"/>
    <d v="2025-06-30T00:00:00"/>
    <n v="1.8180000000000001"/>
    <n v="1.8180000000000001"/>
    <n v="0"/>
    <n v="-447.22800000000001"/>
    <x v="44"/>
    <s v="Buy"/>
    <n v="397.59999999999997"/>
    <x v="1"/>
    <x v="1"/>
    <n v="2025"/>
    <s v="Sell"/>
    <x v="0"/>
    <x v="1037"/>
  </r>
  <r>
    <s v="Trafi FOB July 19-20 Pin Oak"/>
    <d v="2025-06-27T00:00:00"/>
    <s v="WTI Sprds"/>
    <s v="Hedge"/>
    <n v="200"/>
    <d v="2025-08-31T00:00:00"/>
    <d v="2025-09-30T00:00:00"/>
    <n v="1.4"/>
    <n v="1.25"/>
    <n v="-29.999999999999982"/>
    <n v="280"/>
    <x v="34"/>
    <s v="Buy"/>
    <n v="250"/>
    <x v="0"/>
    <x v="0"/>
    <n v="2025"/>
    <s v="Buy"/>
    <x v="0"/>
    <x v="1038"/>
  </r>
  <r>
    <s v="Unallocated"/>
    <d v="2025-06-27T00:00:00"/>
    <s v="WTI-Brent"/>
    <s v="Hedge"/>
    <n v="-110"/>
    <d v="2025-08-31T00:00:00"/>
    <d v="2025-08-31T00:00:00"/>
    <n v="-2.25"/>
    <n v="-2.5"/>
    <n v="27.5"/>
    <n v="247.5"/>
    <x v="38"/>
    <s v="Sell"/>
    <n v="275"/>
    <x v="1"/>
    <x v="3"/>
    <n v="2025"/>
    <s v="Sell"/>
    <x v="0"/>
    <x v="1039"/>
  </r>
  <r>
    <s v="Unallocated"/>
    <d v="2025-06-27T00:00:00"/>
    <s v="Brent Sprds"/>
    <s v="Hedge"/>
    <n v="-38"/>
    <d v="2025-08-31T00:00:00"/>
    <d v="2025-09-30T00:00:00"/>
    <n v="1.45"/>
    <n v="0.87"/>
    <n v="22.04"/>
    <n v="-55.1"/>
    <x v="34"/>
    <s v="Sell"/>
    <n v="-33.06"/>
    <x v="0"/>
    <x v="2"/>
    <n v="2025"/>
    <s v="Sell"/>
    <x v="0"/>
    <x v="1040"/>
  </r>
  <r>
    <s v="Unallocated"/>
    <d v="2025-06-30T00:00:00"/>
    <s v="WTI-Brent"/>
    <s v="Hedge"/>
    <n v="500"/>
    <d v="2025-09-30T00:00:00"/>
    <d v="2025-09-30T00:00:00"/>
    <n v="-2.86"/>
    <n v="-3.27"/>
    <n v="-205.00000000000006"/>
    <n v="-1430"/>
    <x v="43"/>
    <s v="Buy"/>
    <n v="-1635"/>
    <x v="1"/>
    <x v="3"/>
    <n v="2025"/>
    <s v="Buy"/>
    <x v="0"/>
    <x v="1041"/>
  </r>
  <r>
    <s v="Trafi FOB July 19-20 Pin Oak"/>
    <d v="2025-06-30T00:00:00"/>
    <s v="WTI Sprds"/>
    <s v="Hedge"/>
    <n v="700"/>
    <d v="2025-08-31T00:00:00"/>
    <d v="2025-09-30T00:00:00"/>
    <n v="1.23"/>
    <n v="1.25"/>
    <n v="14.000000000000012"/>
    <n v="861"/>
    <x v="34"/>
    <s v="Buy"/>
    <n v="875"/>
    <x v="0"/>
    <x v="0"/>
    <n v="2025"/>
    <s v="Buy"/>
    <x v="0"/>
    <x v="1042"/>
  </r>
  <r>
    <s v="Unallocated"/>
    <d v="2025-06-30T00:00:00"/>
    <s v="WTI-Brent"/>
    <s v="Hedge"/>
    <n v="117"/>
    <d v="2025-10-31T00:00:00"/>
    <d v="2025-10-31T00:00:00"/>
    <n v="-3.11"/>
    <n v="-4.1100000000000003"/>
    <n v="-117.00000000000006"/>
    <n v="-363.87"/>
    <x v="46"/>
    <s v="Buy"/>
    <n v="-480.87000000000006"/>
    <x v="1"/>
    <x v="3"/>
    <n v="2025"/>
    <s v="Buy"/>
    <x v="0"/>
    <x v="1043"/>
  </r>
  <r>
    <s v="Unallocated"/>
    <d v="2025-07-01T00:00:00"/>
    <s v="WTI-Brent"/>
    <s v="Hedge"/>
    <n v="500"/>
    <d v="2025-09-30T00:00:00"/>
    <d v="2025-09-30T00:00:00"/>
    <n v="-2.9"/>
    <n v="-3.27"/>
    <n v="-185.00000000000006"/>
    <n v="-1450"/>
    <x v="43"/>
    <s v="Buy"/>
    <n v="-1635"/>
    <x v="1"/>
    <x v="3"/>
    <n v="2025"/>
    <s v="Buy"/>
    <x v="0"/>
    <x v="1044"/>
  </r>
  <r>
    <s v="Unallocated"/>
    <d v="2025-07-01T00:00:00"/>
    <s v="WTI-Brent"/>
    <s v="Hedge"/>
    <n v="500"/>
    <d v="2025-10-31T00:00:00"/>
    <d v="2025-10-31T00:00:00"/>
    <n v="-3.11"/>
    <n v="-4.1100000000000003"/>
    <n v="-500.00000000000023"/>
    <n v="-1555"/>
    <x v="46"/>
    <s v="Buy"/>
    <n v="-2055"/>
    <x v="1"/>
    <x v="3"/>
    <n v="2025"/>
    <s v="Buy"/>
    <x v="0"/>
    <x v="1045"/>
  </r>
  <r>
    <s v="CPC Taiwain Aug 15-22"/>
    <d v="2025-05-22T00:00:00"/>
    <s v="DFL"/>
    <s v="Hedge"/>
    <n v="-100"/>
    <d v="2025-06-30T00:00:00"/>
    <d v="2025-06-30T00:00:00"/>
    <n v="1.72"/>
    <n v="1.72"/>
    <n v="0"/>
    <n v="-172"/>
    <x v="30"/>
    <s v="Sell"/>
    <n v="-172"/>
    <x v="1"/>
    <x v="1"/>
    <n v="2025"/>
    <s v="Sell"/>
    <x v="0"/>
    <x v="1046"/>
  </r>
  <r>
    <s v="GS Caltex DAP Oct 10-16"/>
    <d v="2025-07-03T00:00:00"/>
    <s v="Physical"/>
    <s v="Expo"/>
    <n v="1334"/>
    <d v="2025-08-31T00:00:00"/>
    <d v="2025-08-31T00:00:00"/>
    <n v="5.38"/>
    <n v="5.36"/>
    <n v="-26.679999999999431"/>
    <n v="7176.92"/>
    <x v="38"/>
    <s v="Buy"/>
    <n v="7150.2400000000007"/>
    <x v="2"/>
    <x v="4"/>
    <n v="2025"/>
    <s v="Buy"/>
    <x v="1"/>
    <x v="1047"/>
  </r>
  <r>
    <s v="GS Caltex DAP Oct 10-16"/>
    <d v="2025-07-03T00:00:00"/>
    <s v="Physical"/>
    <s v="Expo"/>
    <n v="700"/>
    <d v="2025-08-31T00:00:00"/>
    <d v="2025-08-31T00:00:00"/>
    <n v="5.05"/>
    <n v="4.96"/>
    <n v="-62.999999999999901"/>
    <n v="3535"/>
    <x v="38"/>
    <s v="Buy"/>
    <n v="3472"/>
    <x v="2"/>
    <x v="4"/>
    <n v="2025"/>
    <s v="Buy"/>
    <x v="1"/>
    <x v="1048"/>
  </r>
  <r>
    <s v="GS Caltex DAP Oct 10-16"/>
    <d v="2025-07-03T00:00:00"/>
    <s v="WTI Sprds"/>
    <s v="Expo"/>
    <n v="-1400"/>
    <d v="2025-08-31T00:00:00"/>
    <d v="2025-09-30T00:00:00"/>
    <n v="1.4"/>
    <n v="1.25"/>
    <n v="209.99999999999989"/>
    <n v="-1959.9999999999998"/>
    <x v="34"/>
    <s v="Sell"/>
    <n v="-1750"/>
    <x v="0"/>
    <x v="0"/>
    <n v="2025"/>
    <s v="Sell"/>
    <x v="0"/>
    <x v="1049"/>
  </r>
  <r>
    <s v="GS Caltex DAP Oct 10-16"/>
    <d v="2025-07-03T00:00:00"/>
    <s v="WTI Sprds"/>
    <s v="Expo"/>
    <n v="-1334"/>
    <d v="2025-09-30T00:00:00"/>
    <d v="2025-10-31T00:00:00"/>
    <n v="1.25"/>
    <n v="0.57999999999999996"/>
    <n v="893.78000000000009"/>
    <n v="-1667.5"/>
    <x v="35"/>
    <s v="Sell"/>
    <n v="-773.71999999999991"/>
    <x v="0"/>
    <x v="0"/>
    <n v="2025"/>
    <s v="Sell"/>
    <x v="0"/>
    <x v="1050"/>
  </r>
  <r>
    <s v="GS Caltex DAP Oct 10-16"/>
    <d v="2025-07-03T00:00:00"/>
    <s v="WTI-Brent"/>
    <s v="Expo"/>
    <n v="-1334"/>
    <d v="2025-10-31T00:00:00"/>
    <d v="2025-10-31T00:00:00"/>
    <n v="-3.25"/>
    <n v="-4.1100000000000003"/>
    <n v="1147.2400000000005"/>
    <n v="4335.5"/>
    <x v="46"/>
    <s v="Sell"/>
    <n v="5482.7400000000007"/>
    <x v="1"/>
    <x v="3"/>
    <n v="2025"/>
    <s v="Sell"/>
    <x v="0"/>
    <x v="1051"/>
  </r>
  <r>
    <s v="GS Caltex DAP Oct 10-16"/>
    <d v="2025-07-03T00:00:00"/>
    <s v="Brent Sprds"/>
    <s v="Expo"/>
    <n v="-2034"/>
    <d v="2025-10-31T00:00:00"/>
    <d v="2025-11-30T00:00:00"/>
    <n v="0.86"/>
    <n v="0.64"/>
    <n v="447.47999999999996"/>
    <n v="-1749.24"/>
    <x v="36"/>
    <s v="Sell"/>
    <n v="-1301.76"/>
    <x v="0"/>
    <x v="2"/>
    <n v="2025"/>
    <s v="Sell"/>
    <x v="0"/>
    <x v="1052"/>
  </r>
  <r>
    <s v="GS Caltex DAP Oct 10-16"/>
    <d v="2025-07-03T00:00:00"/>
    <s v="Freight-TD22"/>
    <s v="Expo"/>
    <n v="-2000"/>
    <d v="2025-08-31T00:00:00"/>
    <d v="2025-08-31T00:00:00"/>
    <n v="6700"/>
    <n v="7100"/>
    <n v="-400"/>
    <n v="-13400000"/>
    <x v="38"/>
    <s v="Sell"/>
    <n v="-14200000"/>
    <x v="3"/>
    <x v="5"/>
    <n v="2025"/>
    <s v="Sell"/>
    <x v="0"/>
    <x v="1053"/>
  </r>
  <r>
    <s v="GS Caltex DAP Oct 10-16"/>
    <d v="2025-07-03T00:00:00"/>
    <s v="Freight-TD22"/>
    <s v="Hedge"/>
    <n v="2000"/>
    <d v="2025-08-31T00:00:00"/>
    <d v="2025-08-31T00:00:00"/>
    <n v="7100"/>
    <n v="7100"/>
    <n v="0"/>
    <n v="14200000"/>
    <x v="38"/>
    <s v="Buy"/>
    <n v="14200000"/>
    <x v="3"/>
    <x v="5"/>
    <n v="2025"/>
    <s v="Buy"/>
    <x v="0"/>
    <x v="1054"/>
  </r>
  <r>
    <s v="GS Caltex DAP Oct 10-16"/>
    <d v="2025-07-03T00:00:00"/>
    <s v="Brent Sprds"/>
    <s v="Hedge"/>
    <n v="1000"/>
    <d v="2025-10-31T00:00:00"/>
    <d v="2025-11-30T00:00:00"/>
    <n v="0.81"/>
    <n v="0.64"/>
    <n v="-170.00000000000003"/>
    <n v="810"/>
    <x v="36"/>
    <s v="Buy"/>
    <n v="640"/>
    <x v="0"/>
    <x v="2"/>
    <n v="2025"/>
    <s v="Buy"/>
    <x v="0"/>
    <x v="1055"/>
  </r>
  <r>
    <s v="GS Caltex DAP Oct 10-16"/>
    <d v="2025-07-03T00:00:00"/>
    <s v="WTI-Brent"/>
    <s v="Hedge"/>
    <n v="1000"/>
    <d v="2025-10-31T00:00:00"/>
    <d v="2025-10-31T00:00:00"/>
    <n v="-3.25"/>
    <n v="-4.1100000000000003"/>
    <n v="-860.00000000000034"/>
    <n v="-3250"/>
    <x v="46"/>
    <s v="Buy"/>
    <n v="-4110"/>
    <x v="1"/>
    <x v="3"/>
    <n v="2025"/>
    <s v="Buy"/>
    <x v="0"/>
    <x v="1056"/>
  </r>
  <r>
    <s v="GS Caltex DAP Oct 10-16"/>
    <d v="2025-07-03T00:00:00"/>
    <s v="Brent Sprds"/>
    <s v="Hedge"/>
    <n v="1000"/>
    <d v="2025-09-30T00:00:00"/>
    <d v="2025-10-31T00:00:00"/>
    <n v="0.96499999999999997"/>
    <n v="0.83"/>
    <n v="-135"/>
    <n v="965"/>
    <x v="35"/>
    <s v="Buy"/>
    <n v="830"/>
    <x v="0"/>
    <x v="2"/>
    <n v="2025"/>
    <s v="Buy"/>
    <x v="0"/>
    <x v="1057"/>
  </r>
  <r>
    <s v="GS Caltex DAP Oct 10-16"/>
    <d v="2025-07-03T00:00:00"/>
    <s v="Brent Sprds"/>
    <s v="Hedge"/>
    <n v="1000"/>
    <d v="2025-10-31T00:00:00"/>
    <d v="2025-11-30T00:00:00"/>
    <n v="0.96499999999999997"/>
    <n v="0.64"/>
    <n v="-324.99999999999994"/>
    <n v="965"/>
    <x v="36"/>
    <s v="Buy"/>
    <n v="640"/>
    <x v="0"/>
    <x v="2"/>
    <n v="2025"/>
    <s v="Buy"/>
    <x v="0"/>
    <x v="1058"/>
  </r>
  <r>
    <s v="GS Caltex DAP Oct 10-16"/>
    <d v="2025-07-03T00:00:00"/>
    <s v="WTI Sprds"/>
    <s v="Hedge"/>
    <n v="200"/>
    <d v="2025-08-31T00:00:00"/>
    <d v="2025-09-30T00:00:00"/>
    <n v="1.41"/>
    <n v="1.25"/>
    <n v="-31.999999999999986"/>
    <n v="282"/>
    <x v="34"/>
    <s v="Buy"/>
    <n v="250"/>
    <x v="0"/>
    <x v="0"/>
    <n v="2025"/>
    <s v="Buy"/>
    <x v="0"/>
    <x v="1059"/>
  </r>
  <r>
    <s v="GS Caltex DAP Oct 10-16"/>
    <d v="2025-07-04T00:00:00"/>
    <s v="WTI-Brent"/>
    <s v="Hedge"/>
    <n v="195"/>
    <d v="2025-10-31T00:00:00"/>
    <d v="2025-10-31T00:00:00"/>
    <n v="-3.26"/>
    <n v="-4.1100000000000003"/>
    <n v="-165.75000000000011"/>
    <n v="-635.69999999999993"/>
    <x v="46"/>
    <s v="Buy"/>
    <n v="-801.45"/>
    <x v="1"/>
    <x v="3"/>
    <n v="2025"/>
    <s v="Buy"/>
    <x v="0"/>
    <x v="1060"/>
  </r>
  <r>
    <s v="Unallocated"/>
    <d v="2025-07-07T00:00:00"/>
    <s v="WTI Sprds"/>
    <s v="Hedge"/>
    <n v="-210"/>
    <d v="2025-08-31T00:00:00"/>
    <d v="2025-09-30T00:00:00"/>
    <n v="1.4"/>
    <n v="1.25"/>
    <n v="31.499999999999982"/>
    <n v="-294"/>
    <x v="34"/>
    <s v="Sell"/>
    <n v="-262.5"/>
    <x v="0"/>
    <x v="0"/>
    <n v="2025"/>
    <s v="Sell"/>
    <x v="0"/>
    <x v="1061"/>
  </r>
  <r>
    <s v="Unallocated"/>
    <d v="2025-07-07T00:00:00"/>
    <s v="WTI Sprds"/>
    <s v="Hedge"/>
    <n v="-70"/>
    <d v="2025-09-30T00:00:00"/>
    <d v="2025-10-31T00:00:00"/>
    <n v="1.3"/>
    <n v="0.57999999999999996"/>
    <n v="50.400000000000006"/>
    <n v="-91"/>
    <x v="35"/>
    <s v="Sell"/>
    <n v="-40.599999999999994"/>
    <x v="0"/>
    <x v="0"/>
    <n v="2025"/>
    <s v="Sell"/>
    <x v="0"/>
    <x v="1062"/>
  </r>
  <r>
    <s v="Unallocated"/>
    <d v="2025-07-08T00:00:00"/>
    <s v="WTI-Brent"/>
    <s v="Hedge"/>
    <n v="300"/>
    <d v="2025-10-31T00:00:00"/>
    <d v="2025-10-31T00:00:00"/>
    <n v="-3.27"/>
    <n v="-4.1100000000000003"/>
    <n v="-252.00000000000009"/>
    <n v="-981"/>
    <x v="46"/>
    <s v="Buy"/>
    <n v="-1233"/>
    <x v="1"/>
    <x v="3"/>
    <n v="2025"/>
    <s v="Buy"/>
    <x v="0"/>
    <x v="1063"/>
  </r>
  <r>
    <s v="Unallocated"/>
    <d v="2025-07-09T00:00:00"/>
    <s v="WTI Sprds-Fly"/>
    <s v="Hedge"/>
    <n v="-1000"/>
    <d v="2025-09-30T00:00:00"/>
    <d v="2025-10-31T00:00:00"/>
    <n v="1.36"/>
    <n v="0.57999999999999996"/>
    <n v="780.00000000000011"/>
    <n v="-1360"/>
    <x v="35"/>
    <s v="Sell"/>
    <n v="-580"/>
    <x v="0"/>
    <x v="0"/>
    <n v="2025"/>
    <s v="Sell"/>
    <x v="0"/>
    <x v="1064"/>
  </r>
  <r>
    <s v="Unallocated"/>
    <d v="2025-07-09T00:00:00"/>
    <s v="WTI Sprds-Fly"/>
    <s v="Hedge"/>
    <n v="1000"/>
    <d v="2025-10-31T00:00:00"/>
    <d v="2025-11-30T00:00:00"/>
    <n v="1"/>
    <n v="0.28000000000000003"/>
    <n v="-720"/>
    <n v="1000"/>
    <x v="36"/>
    <s v="Buy"/>
    <n v="280"/>
    <x v="0"/>
    <x v="0"/>
    <n v="2025"/>
    <s v="Buy"/>
    <x v="0"/>
    <x v="1065"/>
  </r>
  <r>
    <s v="Unallocated"/>
    <d v="2025-07-09T00:00:00"/>
    <s v="WTI Sprds-Fly"/>
    <s v="Hedge"/>
    <n v="-1000"/>
    <d v="2025-09-30T00:00:00"/>
    <d v="2025-10-31T00:00:00"/>
    <n v="1.36"/>
    <n v="0.57999999999999996"/>
    <n v="780.00000000000011"/>
    <n v="-1360"/>
    <x v="35"/>
    <s v="Sell"/>
    <n v="-580"/>
    <x v="0"/>
    <x v="0"/>
    <n v="2025"/>
    <s v="Sell"/>
    <x v="0"/>
    <x v="1066"/>
  </r>
  <r>
    <s v="Unallocated"/>
    <d v="2025-07-09T00:00:00"/>
    <s v="WTI Sprds-Fly"/>
    <s v="Hedge"/>
    <n v="1000"/>
    <d v="2025-10-31T00:00:00"/>
    <d v="2025-11-30T00:00:00"/>
    <n v="0.9900000000000001"/>
    <n v="0.28000000000000003"/>
    <n v="-710.00000000000011"/>
    <n v="990.00000000000011"/>
    <x v="36"/>
    <s v="Buy"/>
    <n v="280"/>
    <x v="0"/>
    <x v="0"/>
    <n v="2025"/>
    <s v="Buy"/>
    <x v="0"/>
    <x v="1067"/>
  </r>
  <r>
    <s v="GS Caltex DAP Oct 10-16"/>
    <d v="2025-07-10T00:00:00"/>
    <s v="WTI-Brent"/>
    <s v="Hedge"/>
    <n v="500"/>
    <d v="2025-10-31T00:00:00"/>
    <d v="2025-10-31T00:00:00"/>
    <n v="-3.3"/>
    <n v="-4.1100000000000003"/>
    <n v="-405.00000000000023"/>
    <n v="-1650"/>
    <x v="46"/>
    <s v="Buy"/>
    <n v="-2055"/>
    <x v="1"/>
    <x v="3"/>
    <n v="2025"/>
    <s v="Buy"/>
    <x v="0"/>
    <x v="1068"/>
  </r>
  <r>
    <s v="GS Caltex DAP Oct 10-16"/>
    <d v="2025-07-10T00:00:00"/>
    <s v="WTI-Brent"/>
    <s v="Hedge"/>
    <n v="500"/>
    <d v="2025-10-31T00:00:00"/>
    <d v="2025-10-31T00:00:00"/>
    <n v="-3.31"/>
    <n v="-4.1100000000000003"/>
    <n v="-400.00000000000011"/>
    <n v="-1655"/>
    <x v="46"/>
    <s v="Buy"/>
    <n v="-2055"/>
    <x v="1"/>
    <x v="3"/>
    <n v="2025"/>
    <s v="Buy"/>
    <x v="0"/>
    <x v="1069"/>
  </r>
  <r>
    <s v="GS Caltex DAP Oct 10-16"/>
    <d v="2025-07-10T00:00:00"/>
    <s v="WTI-Brent"/>
    <s v="Hedge"/>
    <n v="500"/>
    <d v="2025-10-31T00:00:00"/>
    <d v="2025-10-31T00:00:00"/>
    <n v="-3.32"/>
    <n v="-4.1100000000000003"/>
    <n v="-395.00000000000023"/>
    <n v="-1660"/>
    <x v="46"/>
    <s v="Buy"/>
    <n v="-2055"/>
    <x v="1"/>
    <x v="3"/>
    <n v="2025"/>
    <s v="Buy"/>
    <x v="0"/>
    <x v="1070"/>
  </r>
  <r>
    <s v="GS Caltex DAP Oct 10-16"/>
    <d v="2025-07-10T00:00:00"/>
    <s v="WTI-Brent"/>
    <s v="Hedge"/>
    <n v="500"/>
    <d v="2025-10-31T00:00:00"/>
    <d v="2025-10-31T00:00:00"/>
    <n v="-3.33"/>
    <n v="-4.1100000000000003"/>
    <n v="-390.00000000000011"/>
    <n v="-1665"/>
    <x v="46"/>
    <s v="Buy"/>
    <n v="-2055"/>
    <x v="1"/>
    <x v="3"/>
    <n v="2025"/>
    <s v="Buy"/>
    <x v="0"/>
    <x v="1071"/>
  </r>
  <r>
    <s v="GS Caltex DAP Oct 10-16"/>
    <d v="2025-07-10T00:00:00"/>
    <s v="WTI-Brent"/>
    <s v="Hedge"/>
    <n v="500"/>
    <d v="2025-10-31T00:00:00"/>
    <d v="2025-10-31T00:00:00"/>
    <n v="-3.34"/>
    <n v="-4.1100000000000003"/>
    <n v="-385.00000000000023"/>
    <n v="-1670"/>
    <x v="46"/>
    <s v="Buy"/>
    <n v="-2055"/>
    <x v="1"/>
    <x v="3"/>
    <n v="2025"/>
    <s v="Buy"/>
    <x v="0"/>
    <x v="1072"/>
  </r>
  <r>
    <s v="GS Caltex DAP Oct 10-16"/>
    <d v="2025-07-10T00:00:00"/>
    <s v="WTI-Brent"/>
    <s v="Hedge"/>
    <n v="500"/>
    <d v="2025-10-31T00:00:00"/>
    <d v="2025-10-31T00:00:00"/>
    <n v="-3.35"/>
    <n v="-4.1100000000000003"/>
    <n v="-380.00000000000011"/>
    <n v="-1675"/>
    <x v="46"/>
    <s v="Buy"/>
    <n v="-2055"/>
    <x v="1"/>
    <x v="3"/>
    <n v="2025"/>
    <s v="Buy"/>
    <x v="0"/>
    <x v="1073"/>
  </r>
  <r>
    <s v="Unallocated"/>
    <d v="2025-07-11T00:00:00"/>
    <s v="WTI Sprds-Fly"/>
    <s v="Hedge"/>
    <n v="-1000"/>
    <d v="2025-09-30T00:00:00"/>
    <d v="2025-10-31T00:00:00"/>
    <n v="1.27"/>
    <n v="0.57999999999999996"/>
    <n v="690.00000000000011"/>
    <n v="-1270"/>
    <x v="35"/>
    <s v="Sell"/>
    <n v="-580"/>
    <x v="0"/>
    <x v="0"/>
    <n v="2025"/>
    <s v="Sell"/>
    <x v="0"/>
    <x v="1074"/>
  </r>
  <r>
    <s v="Unallocated"/>
    <d v="2025-07-11T00:00:00"/>
    <s v="WTI Sprds-Fly"/>
    <s v="Hedge"/>
    <n v="1000"/>
    <d v="2025-10-31T00:00:00"/>
    <d v="2025-11-30T00:00:00"/>
    <n v="0.87"/>
    <n v="0.28000000000000003"/>
    <n v="-590"/>
    <n v="870"/>
    <x v="36"/>
    <s v="Buy"/>
    <n v="280"/>
    <x v="0"/>
    <x v="0"/>
    <n v="2025"/>
    <s v="Buy"/>
    <x v="0"/>
    <x v="1075"/>
  </r>
  <r>
    <s v="Unallocated"/>
    <d v="2025-07-11T00:00:00"/>
    <s v="WTI-Brent"/>
    <s v="Hedge"/>
    <n v="500"/>
    <d v="2025-09-30T00:00:00"/>
    <d v="2025-09-30T00:00:00"/>
    <n v="-3.31"/>
    <n v="-3.27"/>
    <n v="20.000000000000018"/>
    <n v="-1655"/>
    <x v="43"/>
    <s v="Buy"/>
    <n v="-1635"/>
    <x v="1"/>
    <x v="3"/>
    <n v="2025"/>
    <s v="Buy"/>
    <x v="0"/>
    <x v="1076"/>
  </r>
  <r>
    <s v="BP FOB Aug 7-9 EHSC"/>
    <d v="2025-07-16T00:00:00"/>
    <s v="Physical"/>
    <s v="Expo"/>
    <n v="700"/>
    <d v="2025-08-31T00:00:00"/>
    <d v="2025-08-31T00:00:00"/>
    <n v="-6.0000000000000678E-2"/>
    <n v="-0.22"/>
    <n v="-111.99999999999952"/>
    <n v="-42.000000000000476"/>
    <x v="38"/>
    <s v="Buy"/>
    <n v="-154"/>
    <x v="2"/>
    <x v="4"/>
    <n v="2025"/>
    <s v="Buy"/>
    <x v="1"/>
    <x v="1077"/>
  </r>
  <r>
    <s v="BP FOB Aug 7-9 EHSC"/>
    <d v="2025-07-16T00:00:00"/>
    <s v="WTI Sprds"/>
    <s v="Expo"/>
    <n v="-700"/>
    <d v="2025-08-31T00:00:00"/>
    <d v="2025-09-30T00:00:00"/>
    <n v="1.1399999999999999"/>
    <n v="1.25"/>
    <n v="-77.000000000000071"/>
    <n v="-797.99999999999989"/>
    <x v="34"/>
    <s v="Sell"/>
    <n v="-875"/>
    <x v="0"/>
    <x v="0"/>
    <n v="2025"/>
    <s v="Sell"/>
    <x v="0"/>
    <x v="1078"/>
  </r>
  <r>
    <s v="BP FOB Aug 7-9 EHSC"/>
    <d v="2025-07-16T00:00:00"/>
    <s v="WTI Sprds"/>
    <s v="Expo"/>
    <n v="-700"/>
    <d v="2025-09-30T00:00:00"/>
    <d v="2025-10-31T00:00:00"/>
    <n v="0.97"/>
    <n v="0.57999999999999996"/>
    <n v="273"/>
    <n v="-679"/>
    <x v="35"/>
    <s v="Sell"/>
    <n v="-406"/>
    <x v="0"/>
    <x v="0"/>
    <n v="2025"/>
    <s v="Sell"/>
    <x v="0"/>
    <x v="1079"/>
  </r>
  <r>
    <s v="GS Caltex DAP Oct 10-16"/>
    <d v="2025-07-16T00:00:00"/>
    <s v="WTI-Brent"/>
    <s v="Expo"/>
    <n v="-700"/>
    <d v="2025-10-31T00:00:00"/>
    <d v="2025-10-31T00:00:00"/>
    <n v="-3.37"/>
    <n v="-4.1100000000000003"/>
    <n v="518.00000000000011"/>
    <n v="2359"/>
    <x v="46"/>
    <s v="Sell"/>
    <n v="2877"/>
    <x v="1"/>
    <x v="3"/>
    <n v="2025"/>
    <s v="Sell"/>
    <x v="0"/>
    <x v="1080"/>
  </r>
  <r>
    <s v="BP FOB Aug 7-9 EHSC"/>
    <d v="2025-07-17T00:00:00"/>
    <s v="WTI Sprds"/>
    <s v="Hedge"/>
    <n v="150"/>
    <d v="2025-08-31T00:00:00"/>
    <d v="2025-09-30T00:00:00"/>
    <n v="1.25"/>
    <n v="1.25"/>
    <n v="0"/>
    <n v="187.5"/>
    <x v="34"/>
    <s v="Buy"/>
    <n v="187.5"/>
    <x v="0"/>
    <x v="0"/>
    <n v="2025"/>
    <s v="Buy"/>
    <x v="0"/>
    <x v="1081"/>
  </r>
  <r>
    <s v="BP FOB Aug 7-9 EHSC"/>
    <d v="2025-07-17T00:00:00"/>
    <s v="WTI Sprds"/>
    <s v="Hedge"/>
    <n v="-192"/>
    <d v="2025-09-30T00:00:00"/>
    <d v="2025-10-31T00:00:00"/>
    <n v="0.93"/>
    <n v="0.57999999999999996"/>
    <n v="67.200000000000017"/>
    <n v="-178.56"/>
    <x v="35"/>
    <s v="Sell"/>
    <n v="-111.35999999999999"/>
    <x v="0"/>
    <x v="0"/>
    <n v="2025"/>
    <s v="Sell"/>
    <x v="0"/>
    <x v="1082"/>
  </r>
  <r>
    <s v="BP FOB Aug 7-9 EHSC"/>
    <d v="2025-07-17T00:00:00"/>
    <s v="WTI Sprds"/>
    <s v="Hedge"/>
    <n v="-192"/>
    <d v="2025-10-31T00:00:00"/>
    <d v="2025-11-30T00:00:00"/>
    <n v="0.93"/>
    <n v="0.28000000000000003"/>
    <n v="124.80000000000001"/>
    <n v="-178.56"/>
    <x v="36"/>
    <s v="Sell"/>
    <n v="-53.760000000000005"/>
    <x v="0"/>
    <x v="0"/>
    <n v="2025"/>
    <s v="Sell"/>
    <x v="0"/>
    <x v="1083"/>
  </r>
  <r>
    <s v="Unallocated"/>
    <d v="2025-07-17T00:00:00"/>
    <s v="WTI Sprds"/>
    <s v="Hedge"/>
    <n v="638"/>
    <d v="2025-08-31T00:00:00"/>
    <d v="2025-09-30T00:00:00"/>
    <n v="1.28"/>
    <n v="1.25"/>
    <n v="-19.140000000000018"/>
    <n v="816.64"/>
    <x v="34"/>
    <s v="Buy"/>
    <n v="797.5"/>
    <x v="0"/>
    <x v="0"/>
    <n v="2025"/>
    <s v="Buy"/>
    <x v="0"/>
    <x v="1084"/>
  </r>
  <r>
    <s v="Unallocated"/>
    <d v="2025-07-17T00:00:00"/>
    <s v="WTI Sprds"/>
    <s v="Hedge"/>
    <n v="1000"/>
    <d v="2025-08-31T00:00:00"/>
    <d v="2025-09-30T00:00:00"/>
    <n v="1.28"/>
    <n v="1.25"/>
    <n v="-30.000000000000028"/>
    <n v="1280"/>
    <x v="34"/>
    <s v="Buy"/>
    <n v="1250"/>
    <x v="0"/>
    <x v="0"/>
    <n v="2025"/>
    <s v="Buy"/>
    <x v="0"/>
    <x v="1085"/>
  </r>
  <r>
    <s v="Unallocated"/>
    <d v="2025-07-21T00:00:00"/>
    <s v="WTI Sprds"/>
    <s v="Expo"/>
    <n v="-738"/>
    <d v="2025-08-31T00:00:00"/>
    <d v="2025-09-30T00:00:00"/>
    <n v="1.25"/>
    <n v="1.25"/>
    <n v="0"/>
    <n v="-922.5"/>
    <x v="34"/>
    <s v="Sell"/>
    <n v="-922.5"/>
    <x v="0"/>
    <x v="0"/>
    <n v="2025"/>
    <s v="Sell"/>
    <x v="0"/>
    <x v="1086"/>
  </r>
  <r>
    <s v="Unallocated"/>
    <d v="2025-07-23T00:00:00"/>
    <s v="WTI Sprds-Fly"/>
    <s v="Hedge"/>
    <n v="-1000"/>
    <d v="2025-11-30T00:00:00"/>
    <d v="2025-12-31T00:00:00"/>
    <n v="0.37"/>
    <n v="0.5"/>
    <n v="-130"/>
    <n v="-370"/>
    <x v="0"/>
    <s v="Sell"/>
    <n v="-500"/>
    <x v="0"/>
    <x v="0"/>
    <n v="2025"/>
    <s v="Sell"/>
    <x v="0"/>
    <x v="1087"/>
  </r>
  <r>
    <s v="Unallocated"/>
    <d v="2025-07-23T00:00:00"/>
    <s v="WTI Sprds-Fly"/>
    <s v="Hedge"/>
    <n v="1000"/>
    <d v="2025-12-31T00:00:00"/>
    <d v="2026-01-31T00:00:00"/>
    <n v="0.22"/>
    <n v="0.19"/>
    <n v="-30"/>
    <n v="220"/>
    <x v="1"/>
    <s v="Buy"/>
    <n v="190"/>
    <x v="0"/>
    <x v="0"/>
    <n v="2025"/>
    <s v="Buy"/>
    <x v="0"/>
    <x v="1088"/>
  </r>
  <r>
    <s v="CPC Taiwan Oct 19-23"/>
    <d v="2025-07-23T00:00:00"/>
    <s v="Physical"/>
    <s v="Expo"/>
    <n v="2040"/>
    <d v="2025-08-31T00:00:00"/>
    <d v="2025-08-31T00:00:00"/>
    <n v="2.8953921568627448"/>
    <n v="2.8"/>
    <n v="-194.59999999999968"/>
    <n v="6180.4518337408308"/>
    <x v="38"/>
    <s v="Buy"/>
    <n v="5712"/>
    <x v="2"/>
    <x v="4"/>
    <n v="2025"/>
    <s v="Buy"/>
    <x v="1"/>
    <x v="1089"/>
  </r>
  <r>
    <s v="CPC Taiwan Oct 19-23"/>
    <d v="2025-07-23T00:00:00"/>
    <s v="WTI Sprds"/>
    <s v="Expo"/>
    <n v="-2040"/>
    <d v="2025-09-30T00:00:00"/>
    <d v="2025-10-31T00:00:00"/>
    <n v="0.88"/>
    <n v="0.57999999999999996"/>
    <n v="612.00000000000011"/>
    <n v="-1795.2"/>
    <x v="35"/>
    <s v="Sell"/>
    <n v="-1183.1999999999998"/>
    <x v="0"/>
    <x v="0"/>
    <n v="2025"/>
    <s v="Sell"/>
    <x v="0"/>
    <x v="1090"/>
  </r>
  <r>
    <s v="CPC Taiwan Oct 19-23"/>
    <d v="2025-07-23T00:00:00"/>
    <s v="WTI-Brent"/>
    <s v="Expo"/>
    <n v="-2040"/>
    <d v="2025-10-31T00:00:00"/>
    <d v="2025-10-31T00:00:00"/>
    <n v="-3.31"/>
    <n v="-4.1100000000000003"/>
    <n v="1632.0000000000005"/>
    <n v="6752.4000000000005"/>
    <x v="46"/>
    <s v="Sell"/>
    <n v="8384.4000000000015"/>
    <x v="1"/>
    <x v="3"/>
    <n v="2025"/>
    <s v="Sell"/>
    <x v="0"/>
    <x v="1091"/>
  </r>
  <r>
    <s v="CPC Taiwan Oct 19-23"/>
    <d v="2025-07-23T00:00:00"/>
    <s v="Brent Sprds"/>
    <s v="Expo"/>
    <n v="-2040"/>
    <d v="2025-10-31T00:00:00"/>
    <d v="2025-11-30T00:00:00"/>
    <n v="0.52"/>
    <n v="0.64"/>
    <n v="-244.79999999999998"/>
    <n v="-1060.8"/>
    <x v="36"/>
    <s v="Sell"/>
    <n v="-1305.6000000000001"/>
    <x v="0"/>
    <x v="2"/>
    <n v="2025"/>
    <s v="Sell"/>
    <x v="0"/>
    <x v="1092"/>
  </r>
  <r>
    <s v="CPC Taiwan Oct 19-23"/>
    <d v="2025-07-23T00:00:00"/>
    <s v="DFL"/>
    <s v="Expo"/>
    <n v="2040"/>
    <d v="2025-09-30T00:00:00"/>
    <d v="2025-09-30T00:00:00"/>
    <n v="0.75"/>
    <n v="0.49"/>
    <n v="-530.4"/>
    <n v="1530"/>
    <x v="43"/>
    <s v="Buy"/>
    <n v="999.6"/>
    <x v="1"/>
    <x v="1"/>
    <n v="2025"/>
    <s v="Buy"/>
    <x v="0"/>
    <x v="1093"/>
  </r>
  <r>
    <s v="CPC Taiwan Oct 19-23"/>
    <d v="2025-07-23T00:00:00"/>
    <s v="Freight-TD22"/>
    <s v="Expo"/>
    <n v="-2000"/>
    <d v="2025-08-31T00:00:00"/>
    <d v="2025-08-31T00:00:00"/>
    <n v="6400"/>
    <n v="7200"/>
    <n v="800"/>
    <n v="-12800000"/>
    <x v="38"/>
    <s v="Sell"/>
    <n v="-14400000"/>
    <x v="3"/>
    <x v="5"/>
    <n v="2025"/>
    <s v="Sell"/>
    <x v="0"/>
    <x v="1094"/>
  </r>
  <r>
    <s v="CPC Taiwan Oct 19-23"/>
    <d v="2025-07-23T00:00:00"/>
    <s v="Freight-TD22"/>
    <s v="Hedge"/>
    <n v="2000"/>
    <d v="2025-08-31T00:00:00"/>
    <d v="2025-08-31T00:00:00"/>
    <n v="6400"/>
    <n v="6400"/>
    <n v="0"/>
    <n v="12800000"/>
    <x v="38"/>
    <s v="Buy"/>
    <n v="12800000"/>
    <x v="3"/>
    <x v="5"/>
    <n v="2025"/>
    <s v="Buy"/>
    <x v="0"/>
    <x v="1095"/>
  </r>
  <r>
    <s v="Unallocated"/>
    <d v="2025-07-24T00:00:00"/>
    <s v="WTI Sprds-Fly"/>
    <s v="Hedge"/>
    <n v="-122"/>
    <d v="2025-11-30T00:00:00"/>
    <d v="2025-12-31T00:00:00"/>
    <n v="0.45"/>
    <n v="0.5"/>
    <n v="-6.0999999999999988"/>
    <n v="-54.9"/>
    <x v="0"/>
    <s v="Sell"/>
    <n v="-61"/>
    <x v="0"/>
    <x v="0"/>
    <n v="2025"/>
    <s v="Sell"/>
    <x v="0"/>
    <x v="1096"/>
  </r>
  <r>
    <s v="Unallocated"/>
    <d v="2025-07-24T00:00:00"/>
    <s v="WTI Sprds-Fly"/>
    <s v="Hedge"/>
    <n v="122"/>
    <d v="2025-12-31T00:00:00"/>
    <d v="2026-01-31T00:00:00"/>
    <n v="0.27"/>
    <n v="0.19"/>
    <n v="-9.7600000000000016"/>
    <n v="32.940000000000005"/>
    <x v="1"/>
    <s v="Buy"/>
    <n v="23.18"/>
    <x v="0"/>
    <x v="0"/>
    <n v="2025"/>
    <s v="Buy"/>
    <x v="0"/>
    <x v="1097"/>
  </r>
  <r>
    <s v="Cargo Name"/>
    <d v="2025-07-30T00:00:00"/>
    <s v="Brent Sprds"/>
    <s v="Hedge"/>
    <n v="65"/>
    <d v="2025-09-30T00:00:00"/>
    <d v="2025-10-31T00:00:00"/>
    <n v="0.77"/>
    <n v="0.83"/>
    <n v="3.8999999999999964"/>
    <n v="50.050000000000004"/>
    <x v="35"/>
    <s v="Buy"/>
    <n v="53.949999999999996"/>
    <x v="0"/>
    <x v="2"/>
    <n v="2025"/>
    <s v="Buy"/>
    <x v="0"/>
    <x v="1098"/>
  </r>
  <r>
    <s v="Unallocated"/>
    <d v="2025-07-30T00:00:00"/>
    <s v="WTI-Brent"/>
    <s v="Hedge"/>
    <n v="-437"/>
    <d v="2025-09-30T00:00:00"/>
    <d v="2025-09-30T00:00:00"/>
    <n v="-3.2399999999999949"/>
    <n v="-3.27"/>
    <n v="13.110000000002243"/>
    <n v="1415.8799999999978"/>
    <x v="43"/>
    <s v="Sell"/>
    <n v="1428.99"/>
    <x v="1"/>
    <x v="3"/>
    <n v="2025"/>
    <s v="Sell"/>
    <x v="0"/>
    <x v="1099"/>
  </r>
  <r>
    <s v="Unallocated"/>
    <d v="2025-07-30T00:00:00"/>
    <s v="WTI-Brent"/>
    <s v="Hedge"/>
    <n v="437"/>
    <d v="2025-10-31T00:00:00"/>
    <d v="2025-10-31T00:00:00"/>
    <n v="-3.539999999999992"/>
    <n v="-4.1100000000000003"/>
    <n v="-249.09000000000361"/>
    <n v="-1546.9799999999966"/>
    <x v="46"/>
    <s v="Buy"/>
    <n v="-1796.0700000000002"/>
    <x v="1"/>
    <x v="3"/>
    <n v="2025"/>
    <s v="Buy"/>
    <x v="0"/>
    <x v="1100"/>
  </r>
  <r>
    <s v="CPC Taiwan Oct 19-23"/>
    <d v="2025-08-04T00:00:00"/>
    <s v="DFL"/>
    <s v="Hedge"/>
    <n v="-123"/>
    <d v="2025-07-31T00:00:00"/>
    <d v="2025-07-31T00:00:00"/>
    <n v="1.45"/>
    <n v="1.47"/>
    <n v="-2.4600000000000022"/>
    <n v="-178.35"/>
    <x v="32"/>
    <s v="Sell"/>
    <n v="-180.81"/>
    <x v="1"/>
    <x v="1"/>
    <n v="2025"/>
    <s v="Sell"/>
    <x v="0"/>
    <x v="1101"/>
  </r>
  <r>
    <s v="July25 EFP 1"/>
    <d v="2025-08-04T00:00:00"/>
    <s v="Freight-TD7"/>
    <s v="Expo"/>
    <n v="-700"/>
    <d v="2025-07-31T00:00:00"/>
    <d v="2025-07-31T00:00:00"/>
    <n v="117"/>
    <n v="117"/>
    <n v="0"/>
    <n v="-81900"/>
    <x v="32"/>
    <s v="Sell"/>
    <n v="-81900"/>
    <x v="3"/>
    <x v="5"/>
    <n v="2025"/>
    <s v="Sell"/>
    <x v="0"/>
    <x v="1102"/>
  </r>
  <r>
    <s v="CPC Taiwan Oct 19-23"/>
    <d v="2025-08-04T00:00:00"/>
    <s v="WTI Sprds"/>
    <s v="Hedge"/>
    <n v="300"/>
    <d v="2025-09-30T00:00:00"/>
    <d v="2025-10-31T00:00:00"/>
    <n v="0.99"/>
    <n v="0.57999999999999996"/>
    <n v="-123.00000000000001"/>
    <n v="297"/>
    <x v="35"/>
    <s v="Buy"/>
    <n v="174"/>
    <x v="0"/>
    <x v="0"/>
    <n v="2025"/>
    <s v="Buy"/>
    <x v="0"/>
    <x v="1103"/>
  </r>
  <r>
    <s v="CPC Taiwan Oct 19-23"/>
    <d v="2025-08-04T00:00:00"/>
    <s v="WTI Sprds"/>
    <s v="Hedge"/>
    <n v="300"/>
    <d v="2025-09-30T00:00:00"/>
    <d v="2025-10-31T00:00:00"/>
    <n v="0.98"/>
    <n v="0.57999999999999996"/>
    <n v="-120"/>
    <n v="294"/>
    <x v="35"/>
    <s v="Buy"/>
    <n v="174"/>
    <x v="0"/>
    <x v="0"/>
    <n v="2025"/>
    <s v="Buy"/>
    <x v="0"/>
    <x v="1104"/>
  </r>
  <r>
    <s v="CPC Taiwan Oct 19-23"/>
    <d v="2025-08-05T00:00:00"/>
    <s v="WTI Sprds"/>
    <s v="Hedge"/>
    <n v="300"/>
    <d v="2025-09-30T00:00:00"/>
    <d v="2025-10-31T00:00:00"/>
    <n v="0.97"/>
    <n v="0.57999999999999996"/>
    <n v="-117"/>
    <n v="291"/>
    <x v="35"/>
    <s v="Buy"/>
    <n v="174"/>
    <x v="0"/>
    <x v="0"/>
    <n v="2025"/>
    <s v="Buy"/>
    <x v="0"/>
    <x v="1105"/>
  </r>
  <r>
    <s v="CPC Taiwan Oct 19-23"/>
    <d v="2025-08-05T00:00:00"/>
    <s v="WTI Sprds"/>
    <s v="Hedge"/>
    <n v="300"/>
    <d v="2025-09-30T00:00:00"/>
    <d v="2025-10-31T00:00:00"/>
    <n v="0.96"/>
    <n v="0.57999999999999996"/>
    <n v="-114"/>
    <n v="288"/>
    <x v="35"/>
    <s v="Buy"/>
    <n v="174"/>
    <x v="0"/>
    <x v="0"/>
    <n v="2025"/>
    <s v="Buy"/>
    <x v="0"/>
    <x v="1106"/>
  </r>
  <r>
    <s v="CPC Taiwan Oct 19-23"/>
    <d v="2025-08-05T00:00:00"/>
    <s v="WTI Sprds"/>
    <s v="Hedge"/>
    <n v="300"/>
    <d v="2025-09-30T00:00:00"/>
    <d v="2025-10-31T00:00:00"/>
    <n v="0.95"/>
    <n v="0.57999999999999996"/>
    <n v="-111"/>
    <n v="285"/>
    <x v="35"/>
    <s v="Buy"/>
    <n v="174"/>
    <x v="0"/>
    <x v="0"/>
    <n v="2025"/>
    <s v="Buy"/>
    <x v="0"/>
    <x v="1107"/>
  </r>
  <r>
    <s v="CPC Taiwan Oct 19-23"/>
    <d v="2025-08-05T00:00:00"/>
    <s v="DFL"/>
    <s v="Hedge"/>
    <n v="-350"/>
    <d v="2025-09-30T00:00:00"/>
    <d v="2025-09-30T00:00:00"/>
    <n v="0.91"/>
    <n v="0.49"/>
    <n v="147"/>
    <n v="-318.5"/>
    <x v="43"/>
    <s v="Sell"/>
    <n v="-171.5"/>
    <x v="1"/>
    <x v="1"/>
    <n v="2025"/>
    <s v="Sell"/>
    <x v="0"/>
    <x v="1108"/>
  </r>
  <r>
    <s v="CPC Taiwan Oct 19-23"/>
    <d v="2025-08-06T00:00:00"/>
    <s v="DFL"/>
    <s v="Hedge"/>
    <n v="-300"/>
    <d v="2025-09-30T00:00:00"/>
    <d v="2025-09-30T00:00:00"/>
    <n v="1.02"/>
    <n v="0.49"/>
    <n v="159"/>
    <n v="-306"/>
    <x v="43"/>
    <s v="Sell"/>
    <n v="-147"/>
    <x v="1"/>
    <x v="1"/>
    <n v="2025"/>
    <s v="Sell"/>
    <x v="0"/>
    <x v="1109"/>
  </r>
  <r>
    <s v="HDO DAP Korea Nov 8-18"/>
    <d v="2025-08-07T00:00:00"/>
    <s v="Physical"/>
    <s v="Expo"/>
    <n v="1429"/>
    <d v="2025-08-31T00:00:00"/>
    <d v="2025-08-31T00:00:00"/>
    <n v="3.918556652562295"/>
    <n v="4.0999999999999996"/>
    <n v="259.28254348847992"/>
    <n v="5599.6174565115198"/>
    <x v="38"/>
    <s v="Buy"/>
    <n v="5858.9"/>
    <x v="2"/>
    <x v="4"/>
    <n v="2025"/>
    <s v="Buy"/>
    <x v="1"/>
    <x v="1110"/>
  </r>
  <r>
    <s v="HDO DAP Korea Nov 8-18"/>
    <d v="2025-08-07T00:00:00"/>
    <s v="Physical"/>
    <s v="Expo"/>
    <n v="698"/>
    <d v="2025-08-31T00:00:00"/>
    <d v="2025-08-31T00:00:00"/>
    <n v="3.5685566525622949"/>
    <n v="3.8"/>
    <n v="161.54745651151802"/>
    <n v="2490.8525434884818"/>
    <x v="38"/>
    <s v="Buy"/>
    <n v="2652.4"/>
    <x v="2"/>
    <x v="4"/>
    <n v="2025"/>
    <s v="Buy"/>
    <x v="1"/>
    <x v="1111"/>
  </r>
  <r>
    <s v="HDO DAP Korea Nov 8-18"/>
    <d v="2025-08-07T00:00:00"/>
    <s v="WTI Sprds"/>
    <s v="Expo"/>
    <n v="-2127"/>
    <d v="2025-09-30T00:00:00"/>
    <d v="2025-10-31T00:00:00"/>
    <n v="0.94"/>
    <n v="0.57999999999999996"/>
    <n v="765.72"/>
    <n v="-1999.3799999999999"/>
    <x v="35"/>
    <s v="Sell"/>
    <n v="-1233.6599999999999"/>
    <x v="0"/>
    <x v="0"/>
    <n v="2025"/>
    <s v="Sell"/>
    <x v="0"/>
    <x v="1112"/>
  </r>
  <r>
    <s v="HDO DAP Korea Nov 8-18"/>
    <d v="2025-08-07T00:00:00"/>
    <s v="WTI Sprds"/>
    <s v="Expo"/>
    <n v="-2127"/>
    <d v="2025-10-31T00:00:00"/>
    <d v="2025-11-30T00:00:00"/>
    <n v="0.62"/>
    <n v="0.28000000000000003"/>
    <n v="723.18"/>
    <n v="-1318.74"/>
    <x v="36"/>
    <s v="Sell"/>
    <n v="-595.56000000000006"/>
    <x v="0"/>
    <x v="0"/>
    <n v="2025"/>
    <s v="Sell"/>
    <x v="0"/>
    <x v="1113"/>
  </r>
  <r>
    <s v="HDO DAP Korea Nov 8-18"/>
    <d v="2025-08-07T00:00:00"/>
    <s v="WTI-Brent"/>
    <s v="Expo"/>
    <n v="-2127"/>
    <d v="2025-11-30T00:00:00"/>
    <d v="2025-11-30T00:00:00"/>
    <n v="-3.48"/>
    <n v="-4.6500000000000004"/>
    <n v="2488.5900000000006"/>
    <n v="7401.96"/>
    <x v="47"/>
    <s v="Sell"/>
    <n v="9890.5500000000011"/>
    <x v="1"/>
    <x v="3"/>
    <n v="2025"/>
    <s v="Sell"/>
    <x v="0"/>
    <x v="1114"/>
  </r>
  <r>
    <s v="HDO DAP Korea Nov 8-18"/>
    <d v="2025-08-07T00:00:00"/>
    <s v="Brent Sprds"/>
    <s v="Expo"/>
    <n v="-2127"/>
    <d v="2025-11-30T00:00:00"/>
    <d v="2025-12-31T00:00:00"/>
    <n v="0.53"/>
    <n v="0.99"/>
    <n v="-978.42"/>
    <n v="-1127.31"/>
    <x v="0"/>
    <s v="Sell"/>
    <n v="-2105.73"/>
    <x v="0"/>
    <x v="2"/>
    <n v="2025"/>
    <s v="Sell"/>
    <x v="0"/>
    <x v="1115"/>
  </r>
  <r>
    <s v="HDO DAP Korea Nov 8-18"/>
    <d v="2025-08-07T00:00:00"/>
    <s v="Freight-TD22"/>
    <s v="Expo"/>
    <n v="-2000"/>
    <d v="2025-09-30T00:00:00"/>
    <d v="2025-09-30T00:00:00"/>
    <n v="7250"/>
    <n v="7200"/>
    <n v="50"/>
    <n v="-14500000"/>
    <x v="43"/>
    <s v="Sell"/>
    <n v="-14400000"/>
    <x v="3"/>
    <x v="5"/>
    <n v="2025"/>
    <s v="Sell"/>
    <x v="0"/>
    <x v="1116"/>
  </r>
  <r>
    <s v="HDO DAP Korea Nov 8-18"/>
    <d v="2025-08-07T00:00:00"/>
    <s v="Freight-TD22"/>
    <s v="Hedge"/>
    <n v="2000"/>
    <d v="2025-09-30T00:00:00"/>
    <d v="2025-09-30T00:00:00"/>
    <n v="7200"/>
    <n v="7200"/>
    <n v="0"/>
    <n v="14400000"/>
    <x v="43"/>
    <s v="Buy"/>
    <n v="14400000"/>
    <x v="3"/>
    <x v="5"/>
    <n v="2025"/>
    <s v="Buy"/>
    <x v="0"/>
    <x v="1117"/>
  </r>
  <r>
    <s v="HDO DAP Korea Nov 8-18"/>
    <d v="2025-08-07T00:00:00"/>
    <s v="WTI Sprds"/>
    <s v="Hedge"/>
    <n v="2000"/>
    <d v="2025-09-30T00:00:00"/>
    <d v="2025-10-31T00:00:00"/>
    <n v="0.84000000000000341"/>
    <n v="0.57999999999999996"/>
    <n v="-520.00000000000693"/>
    <n v="1680.0000000000068"/>
    <x v="35"/>
    <s v="Buy"/>
    <n v="1160"/>
    <x v="0"/>
    <x v="0"/>
    <n v="2025"/>
    <s v="Buy"/>
    <x v="0"/>
    <x v="1118"/>
  </r>
  <r>
    <s v="HDO DAP Korea Nov 8-18"/>
    <d v="2025-08-07T00:00:00"/>
    <s v="WTI Sprds"/>
    <s v="Hedge"/>
    <n v="2000"/>
    <d v="2025-10-31T00:00:00"/>
    <d v="2025-11-30T00:00:00"/>
    <n v="0.53999999999999915"/>
    <n v="0.28000000000000003"/>
    <n v="-519.99999999999829"/>
    <n v="1079.9999999999982"/>
    <x v="36"/>
    <s v="Buy"/>
    <n v="560"/>
    <x v="0"/>
    <x v="0"/>
    <n v="2025"/>
    <s v="Buy"/>
    <x v="0"/>
    <x v="1119"/>
  </r>
  <r>
    <s v="HDO DAP Korea Nov 8-18"/>
    <d v="2025-08-07T00:00:00"/>
    <s v="WTI-Brent"/>
    <s v="Hedge"/>
    <n v="2000"/>
    <d v="2025-11-30T00:00:00"/>
    <d v="2025-11-30T00:00:00"/>
    <n v="-3.4000000000000057"/>
    <n v="-4.6500000000000004"/>
    <n v="-2499.9999999999895"/>
    <n v="-6800.0000000000109"/>
    <x v="47"/>
    <s v="Buy"/>
    <n v="-9300"/>
    <x v="1"/>
    <x v="3"/>
    <n v="2025"/>
    <s v="Buy"/>
    <x v="0"/>
    <x v="1120"/>
  </r>
  <r>
    <s v="HDO DAP Korea Nov 8-18"/>
    <d v="2025-08-07T00:00:00"/>
    <s v="WTI-Brent"/>
    <s v="Hedge"/>
    <n v="630"/>
    <d v="2025-10-31T00:00:00"/>
    <d v="2025-10-31T00:00:00"/>
    <n v="-3.3900000000000077"/>
    <n v="-4.1100000000000003"/>
    <n v="-453.59999999999536"/>
    <n v="-2135.7000000000048"/>
    <x v="46"/>
    <s v="Buy"/>
    <n v="-2589.3000000000002"/>
    <x v="1"/>
    <x v="3"/>
    <n v="2025"/>
    <s v="Buy"/>
    <x v="0"/>
    <x v="1121"/>
  </r>
  <r>
    <s v="Ampol FOB Sep 15-20"/>
    <d v="2025-08-07T00:00:00"/>
    <s v="Physical"/>
    <s v="Expo"/>
    <n v="740"/>
    <d v="2025-08-31T00:00:00"/>
    <d v="2025-08-31T00:00:00"/>
    <n v="-1.0700000000000003"/>
    <n v="-1"/>
    <n v="51.80000000000021"/>
    <n v="-791.80000000000018"/>
    <x v="38"/>
    <s v="Buy"/>
    <n v="-740"/>
    <x v="2"/>
    <x v="4"/>
    <n v="2025"/>
    <s v="Buy"/>
    <x v="1"/>
    <x v="1122"/>
  </r>
  <r>
    <s v="Ampol FOB Sep 15-20"/>
    <d v="2025-08-07T00:00:00"/>
    <s v="WTI Sprds"/>
    <s v="Expo"/>
    <n v="-740"/>
    <d v="2025-09-30T00:00:00"/>
    <d v="2025-10-31T00:00:00"/>
    <n v="0.84000000000000341"/>
    <n v="0.57999999999999996"/>
    <n v="192.40000000000256"/>
    <n v="-621.60000000000252"/>
    <x v="35"/>
    <s v="Sell"/>
    <n v="-429.2"/>
    <x v="0"/>
    <x v="0"/>
    <n v="2025"/>
    <s v="Sell"/>
    <x v="0"/>
    <x v="1123"/>
  </r>
  <r>
    <s v="Ampol FOB Sep 15-20"/>
    <d v="2025-08-07T00:00:00"/>
    <s v="WTI Sprds"/>
    <s v="Expo"/>
    <n v="-740"/>
    <d v="2025-10-31T00:00:00"/>
    <d v="2025-11-30T00:00:00"/>
    <n v="0.53999999999999915"/>
    <n v="0.28000000000000003"/>
    <n v="192.39999999999935"/>
    <n v="-399.59999999999934"/>
    <x v="36"/>
    <s v="Sell"/>
    <n v="-207.20000000000002"/>
    <x v="0"/>
    <x v="0"/>
    <n v="2025"/>
    <s v="Sell"/>
    <x v="0"/>
    <x v="1124"/>
  </r>
  <r>
    <s v="Ampol FOB Sep 15-20"/>
    <d v="2025-08-07T00:00:00"/>
    <s v="WTI-Brent"/>
    <s v="Expo"/>
    <n v="-740"/>
    <d v="2025-11-30T00:00:00"/>
    <d v="2025-11-30T00:00:00"/>
    <n v="-3.39"/>
    <n v="-4.6500000000000004"/>
    <n v="932.4000000000002"/>
    <n v="2508.6"/>
    <x v="47"/>
    <s v="Sell"/>
    <n v="3441.0000000000005"/>
    <x v="1"/>
    <x v="3"/>
    <n v="2025"/>
    <s v="Sell"/>
    <x v="0"/>
    <x v="1125"/>
  </r>
  <r>
    <s v="CPC Taiwan Oct 19-23"/>
    <d v="2025-08-06T00:00:00"/>
    <s v="DFL"/>
    <s v="Hedge"/>
    <n v="-200"/>
    <d v="2025-09-30T00:00:00"/>
    <d v="2025-09-30T00:00:00"/>
    <n v="0.93"/>
    <n v="0.49"/>
    <n v="88.000000000000014"/>
    <n v="-186"/>
    <x v="43"/>
    <s v="Sell"/>
    <n v="-98"/>
    <x v="1"/>
    <x v="1"/>
    <n v="2025"/>
    <s v="Sell"/>
    <x v="0"/>
    <x v="1126"/>
  </r>
  <r>
    <s v="BP FOB Sep 5-10"/>
    <d v="2025-08-12T00:00:00"/>
    <s v="Physical"/>
    <s v="Expo"/>
    <n v="700"/>
    <d v="2025-08-31T00:00:00"/>
    <d v="2025-08-31T00:00:00"/>
    <n v="-1.0799999999999998"/>
    <n v="-0.95"/>
    <n v="90.999999999999929"/>
    <n v="-755.99999999999989"/>
    <x v="38"/>
    <s v="Buy"/>
    <n v="-665"/>
    <x v="2"/>
    <x v="4"/>
    <n v="2025"/>
    <s v="Buy"/>
    <x v="1"/>
    <x v="1127"/>
  </r>
  <r>
    <s v="BP FOB Sep 5-10"/>
    <d v="2025-08-12T00:00:00"/>
    <s v="WTI Sprds"/>
    <s v="Expo"/>
    <n v="-700"/>
    <d v="2025-09-30T00:00:00"/>
    <d v="2025-10-31T00:00:00"/>
    <n v="0.76"/>
    <n v="0.57999999999999996"/>
    <n v="126.00000000000003"/>
    <n v="-532"/>
    <x v="35"/>
    <s v="Sell"/>
    <n v="-406"/>
    <x v="0"/>
    <x v="0"/>
    <n v="2025"/>
    <s v="Sell"/>
    <x v="0"/>
    <x v="1128"/>
  </r>
  <r>
    <s v="BP FOB Sep 5-10"/>
    <d v="2025-08-12T00:00:00"/>
    <s v="WTI Sprds"/>
    <s v="Expo"/>
    <n v="-700"/>
    <d v="2025-10-31T00:00:00"/>
    <d v="2025-11-30T00:00:00"/>
    <n v="0.51"/>
    <n v="0.28000000000000003"/>
    <n v="161"/>
    <n v="-357"/>
    <x v="36"/>
    <s v="Sell"/>
    <n v="-196.00000000000003"/>
    <x v="0"/>
    <x v="0"/>
    <n v="2025"/>
    <s v="Sell"/>
    <x v="0"/>
    <x v="1129"/>
  </r>
  <r>
    <s v="BP FOB Sep 5-10"/>
    <d v="2025-08-12T00:00:00"/>
    <s v="WTI-Brent"/>
    <s v="Expo"/>
    <n v="-700"/>
    <d v="2025-11-30T00:00:00"/>
    <d v="2025-11-30T00:00:00"/>
    <n v="-3.56"/>
    <n v="-4.6500000000000004"/>
    <n v="763.00000000000023"/>
    <n v="2492"/>
    <x v="47"/>
    <s v="Sell"/>
    <n v="3255.0000000000005"/>
    <x v="1"/>
    <x v="3"/>
    <n v="2025"/>
    <s v="Sell"/>
    <x v="0"/>
    <x v="1130"/>
  </r>
  <r>
    <s v="Ampol FOB Sep 15-20"/>
    <d v="2025-08-12T00:00:00"/>
    <s v="WTI Sprds"/>
    <s v="Hedge"/>
    <n v="250"/>
    <d v="2025-09-30T00:00:00"/>
    <d v="2025-10-31T00:00:00"/>
    <n v="0.76"/>
    <n v="0.57999999999999996"/>
    <n v="-45.000000000000014"/>
    <n v="190"/>
    <x v="35"/>
    <s v="Buy"/>
    <n v="145"/>
    <x v="0"/>
    <x v="0"/>
    <n v="2025"/>
    <s v="Buy"/>
    <x v="0"/>
    <x v="1131"/>
  </r>
  <r>
    <s v="Ampol FOB Sep 15-20"/>
    <d v="2025-08-12T00:00:00"/>
    <s v="WTI Sprds"/>
    <s v="Hedge"/>
    <n v="250"/>
    <d v="2025-09-30T00:00:00"/>
    <d v="2025-10-31T00:00:00"/>
    <n v="0.75"/>
    <n v="0.57999999999999996"/>
    <n v="-42.500000000000007"/>
    <n v="187.5"/>
    <x v="35"/>
    <s v="Buy"/>
    <n v="145"/>
    <x v="0"/>
    <x v="0"/>
    <n v="2025"/>
    <s v="Buy"/>
    <x v="0"/>
    <x v="1132"/>
  </r>
  <r>
    <s v="Ampol FOB Sep 15-20"/>
    <d v="2025-08-12T00:00:00"/>
    <s v="WTI Sprds"/>
    <s v="Hedge"/>
    <n v="250"/>
    <d v="2025-09-30T00:00:00"/>
    <d v="2025-10-31T00:00:00"/>
    <n v="0.74"/>
    <n v="0.57999999999999996"/>
    <n v="-40.000000000000007"/>
    <n v="185"/>
    <x v="35"/>
    <s v="Buy"/>
    <n v="145"/>
    <x v="0"/>
    <x v="0"/>
    <n v="2025"/>
    <s v="Buy"/>
    <x v="0"/>
    <x v="1133"/>
  </r>
  <r>
    <s v="Ampol FOB Sep 15-20"/>
    <d v="2025-08-12T00:00:00"/>
    <s v="WTI Sprds"/>
    <s v="Hedge"/>
    <n v="250"/>
    <d v="2025-09-30T00:00:00"/>
    <d v="2025-10-31T00:00:00"/>
    <n v="0.73"/>
    <n v="0.57999999999999996"/>
    <n v="-37.500000000000007"/>
    <n v="182.5"/>
    <x v="35"/>
    <s v="Buy"/>
    <n v="145"/>
    <x v="0"/>
    <x v="0"/>
    <n v="2025"/>
    <s v="Buy"/>
    <x v="0"/>
    <x v="1134"/>
  </r>
  <r>
    <s v="Ampol FOB Sep 15-20"/>
    <d v="2025-08-12T00:00:00"/>
    <s v="WTI Sprds"/>
    <s v="Hedge"/>
    <n v="250"/>
    <d v="2025-09-30T00:00:00"/>
    <d v="2025-10-31T00:00:00"/>
    <n v="0.72"/>
    <n v="0.57999999999999996"/>
    <n v="-35"/>
    <n v="180"/>
    <x v="35"/>
    <s v="Buy"/>
    <n v="145"/>
    <x v="0"/>
    <x v="0"/>
    <n v="2025"/>
    <s v="Buy"/>
    <x v="0"/>
    <x v="1135"/>
  </r>
  <r>
    <s v="HDO DAP Korea Nov 8-18"/>
    <d v="2025-08-12T00:00:00"/>
    <s v="Brent Sprds"/>
    <s v="Hedge"/>
    <n v="500"/>
    <d v="2025-10-31T00:00:00"/>
    <d v="2025-11-30T00:00:00"/>
    <n v="0.51"/>
    <n v="0.64"/>
    <n v="65"/>
    <n v="255"/>
    <x v="36"/>
    <s v="Buy"/>
    <n v="320"/>
    <x v="0"/>
    <x v="2"/>
    <n v="2025"/>
    <s v="Buy"/>
    <x v="0"/>
    <x v="1136"/>
  </r>
  <r>
    <s v="HDO DAP Korea Nov 8-18"/>
    <d v="2025-08-12T00:00:00"/>
    <s v="Brent Sprds"/>
    <s v="Hedge"/>
    <n v="500"/>
    <d v="2025-11-30T00:00:00"/>
    <d v="2025-12-31T00:00:00"/>
    <n v="0.34"/>
    <n v="0.99"/>
    <n v="324.99999999999994"/>
    <n v="170"/>
    <x v="0"/>
    <s v="Buy"/>
    <n v="495"/>
    <x v="0"/>
    <x v="2"/>
    <n v="2025"/>
    <s v="Buy"/>
    <x v="0"/>
    <x v="1137"/>
  </r>
  <r>
    <s v="HDO DAP Korea Nov 8-18"/>
    <d v="2025-08-12T00:00:00"/>
    <s v="WTI Sprds"/>
    <s v="Hedge"/>
    <n v="1000"/>
    <d v="2025-09-30T00:00:00"/>
    <d v="2025-10-31T00:00:00"/>
    <n v="0.69"/>
    <n v="0.57999999999999996"/>
    <n v="-109.99999999999999"/>
    <n v="690"/>
    <x v="35"/>
    <s v="Buy"/>
    <n v="580"/>
    <x v="0"/>
    <x v="0"/>
    <n v="2025"/>
    <s v="Buy"/>
    <x v="0"/>
    <x v="1138"/>
  </r>
  <r>
    <s v="Ampol FOB Sep 15-20"/>
    <d v="2025-08-12T00:00:00"/>
    <s v="WTI Sprds"/>
    <s v="Hedge"/>
    <n v="250"/>
    <d v="2025-09-30T00:00:00"/>
    <d v="2025-10-31T00:00:00"/>
    <n v="0.68"/>
    <n v="0.57999999999999996"/>
    <n v="-25.000000000000021"/>
    <n v="170"/>
    <x v="35"/>
    <s v="Buy"/>
    <n v="145"/>
    <x v="0"/>
    <x v="0"/>
    <n v="2025"/>
    <s v="Buy"/>
    <x v="0"/>
    <x v="1139"/>
  </r>
  <r>
    <s v="Unallocated"/>
    <d v="2025-08-15T00:00:00"/>
    <s v="WTI Sprds-Fly"/>
    <s v="Hedge"/>
    <n v="3000"/>
    <d v="2025-09-30T00:00:00"/>
    <d v="2025-10-31T00:00:00"/>
    <n v="0.82"/>
    <n v="0.57999999999999996"/>
    <n v="-720"/>
    <n v="2460"/>
    <x v="35"/>
    <s v="Buy"/>
    <n v="1739.9999999999998"/>
    <x v="0"/>
    <x v="0"/>
    <n v="2025"/>
    <s v="Buy"/>
    <x v="0"/>
    <x v="1140"/>
  </r>
  <r>
    <s v="Unallocated"/>
    <d v="2025-08-15T00:00:00"/>
    <s v="WTI Sprds-Fly"/>
    <s v="Hedge"/>
    <n v="-3000"/>
    <d v="2025-10-31T00:00:00"/>
    <d v="2025-11-30T00:00:00"/>
    <n v="0.51"/>
    <n v="0.28000000000000003"/>
    <n v="690"/>
    <n v="-1530"/>
    <x v="36"/>
    <s v="Sell"/>
    <n v="-840.00000000000011"/>
    <x v="0"/>
    <x v="0"/>
    <n v="2025"/>
    <s v="Sell"/>
    <x v="0"/>
    <x v="1141"/>
  </r>
  <r>
    <s v="Ampol FOB Sep 15-20"/>
    <d v="2025-08-18T00:00:00"/>
    <s v="WTI-Brent"/>
    <s v="Hedge"/>
    <n v="500"/>
    <d v="2025-11-30T00:00:00"/>
    <d v="2025-11-30T00:00:00"/>
    <n v="-3.8"/>
    <n v="-4.6500000000000004"/>
    <n v="-425.00000000000028"/>
    <n v="-1900"/>
    <x v="47"/>
    <s v="Buy"/>
    <n v="-2325"/>
    <x v="1"/>
    <x v="3"/>
    <n v="2025"/>
    <s v="Buy"/>
    <x v="0"/>
    <x v="1142"/>
  </r>
  <r>
    <s v="HDO DAP Korea Nov 8-18"/>
    <d v="2025-08-18T00:00:00"/>
    <s v="Brent Sprds"/>
    <s v="Hedge"/>
    <n v="-200"/>
    <d v="2025-10-31T00:00:00"/>
    <d v="2025-11-30T00:00:00"/>
    <n v="0.51500000000000001"/>
    <n v="0.64"/>
    <n v="-25"/>
    <n v="-103"/>
    <x v="36"/>
    <s v="Sell"/>
    <n v="-128"/>
    <x v="0"/>
    <x v="2"/>
    <n v="2025"/>
    <s v="Sell"/>
    <x v="0"/>
    <x v="1143"/>
  </r>
  <r>
    <s v="HDO DAP Korea Nov 8-18"/>
    <d v="2025-08-18T00:00:00"/>
    <s v="Brent Sprds"/>
    <s v="Hedge"/>
    <n v="-200"/>
    <d v="2025-11-30T00:00:00"/>
    <d v="2025-12-31T00:00:00"/>
    <n v="0.51500000000000001"/>
    <n v="0.99"/>
    <n v="-95"/>
    <n v="-103"/>
    <x v="0"/>
    <s v="Sell"/>
    <n v="-198"/>
    <x v="0"/>
    <x v="2"/>
    <n v="2025"/>
    <s v="Sell"/>
    <x v="0"/>
    <x v="1144"/>
  </r>
  <r>
    <s v="HDO DAP Korea Nov 8-18"/>
    <d v="2025-08-19T00:00:00"/>
    <s v="WTI Sprds"/>
    <s v="Hedge"/>
    <n v="1000"/>
    <d v="2025-09-30T00:00:00"/>
    <d v="2025-10-31T00:00:00"/>
    <n v="0.59"/>
    <n v="0.57999999999999996"/>
    <n v="-10.000000000000009"/>
    <n v="590"/>
    <x v="35"/>
    <s v="Buy"/>
    <n v="580"/>
    <x v="0"/>
    <x v="0"/>
    <n v="2025"/>
    <s v="Buy"/>
    <x v="0"/>
    <x v="1145"/>
  </r>
  <r>
    <s v="HDO DAP Korea Nov 8-18"/>
    <d v="2025-08-19T00:00:00"/>
    <s v="WTI Sprds"/>
    <s v="Hedge"/>
    <n v="641"/>
    <d v="2025-09-30T00:00:00"/>
    <d v="2025-10-31T00:00:00"/>
    <n v="0.59"/>
    <n v="0.57999999999999996"/>
    <n v="-6.4100000000000055"/>
    <n v="378.19"/>
    <x v="35"/>
    <s v="Buy"/>
    <n v="371.78"/>
    <x v="0"/>
    <x v="0"/>
    <n v="2025"/>
    <s v="Buy"/>
    <x v="0"/>
    <x v="1146"/>
  </r>
  <r>
    <s v="HDO DAP Korea Nov 8-18"/>
    <d v="2025-08-20T00:00:00"/>
    <s v="WTI Sprds"/>
    <s v="Hedge"/>
    <n v="262"/>
    <d v="2025-09-30T00:00:00"/>
    <d v="2025-10-31T00:00:00"/>
    <n v="0.56000000000000005"/>
    <n v="0.57999999999999996"/>
    <n v="5.2399999999999753"/>
    <n v="146.72000000000003"/>
    <x v="35"/>
    <s v="Buy"/>
    <n v="151.95999999999998"/>
    <x v="0"/>
    <x v="0"/>
    <n v="2025"/>
    <s v="Buy"/>
    <x v="0"/>
    <x v="1147"/>
  </r>
  <r>
    <s v="Unallocated"/>
    <d v="2025-08-20T00:00:00"/>
    <s v="Brent Sprds"/>
    <s v="Hedge"/>
    <n v="-1000"/>
    <d v="2025-10-31T00:00:00"/>
    <d v="2025-11-30T00:00:00"/>
    <n v="0.47499999999999998"/>
    <n v="0.64"/>
    <n v="-165.00000000000003"/>
    <n v="-475"/>
    <x v="36"/>
    <s v="Sell"/>
    <n v="-640"/>
    <x v="0"/>
    <x v="2"/>
    <n v="2025"/>
    <s v="Sell"/>
    <x v="0"/>
    <x v="1148"/>
  </r>
  <r>
    <s v="Unallocated"/>
    <d v="2025-08-20T00:00:00"/>
    <s v="Brent Sprds"/>
    <s v="Hedge"/>
    <n v="-1000"/>
    <d v="2025-11-30T00:00:00"/>
    <d v="2025-12-31T00:00:00"/>
    <n v="0.47499999999999998"/>
    <n v="0.99"/>
    <n v="-515"/>
    <n v="-475"/>
    <x v="0"/>
    <s v="Sell"/>
    <n v="-990"/>
    <x v="0"/>
    <x v="2"/>
    <n v="2025"/>
    <s v="Sell"/>
    <x v="0"/>
    <x v="1149"/>
  </r>
  <r>
    <s v="Unallocated"/>
    <d v="2025-08-21T00:00:00"/>
    <s v="Brent Sprds"/>
    <s v="Hedge"/>
    <n v="1000"/>
    <d v="2025-10-31T00:00:00"/>
    <d v="2025-11-30T00:00:00"/>
    <n v="0.47499999999999998"/>
    <n v="0.64"/>
    <n v="165.00000000000003"/>
    <n v="475"/>
    <x v="36"/>
    <s v="Buy"/>
    <n v="640"/>
    <x v="0"/>
    <x v="2"/>
    <n v="2025"/>
    <s v="Buy"/>
    <x v="0"/>
    <x v="1150"/>
  </r>
  <r>
    <s v="Unallocated"/>
    <d v="2025-08-21T00:00:00"/>
    <s v="Brent Sprds"/>
    <s v="Hedge"/>
    <n v="1000"/>
    <d v="2025-11-30T00:00:00"/>
    <d v="2025-12-31T00:00:00"/>
    <n v="0.47499999999999998"/>
    <n v="0.99"/>
    <n v="515"/>
    <n v="475"/>
    <x v="0"/>
    <s v="Buy"/>
    <n v="990"/>
    <x v="0"/>
    <x v="2"/>
    <n v="2025"/>
    <s v="Buy"/>
    <x v="0"/>
    <x v="1151"/>
  </r>
  <r>
    <s v="Unallocated"/>
    <d v="2025-08-21T00:00:00"/>
    <s v="WTI Sprds"/>
    <s v="Hedge"/>
    <n v="1500"/>
    <d v="2025-10-31T00:00:00"/>
    <d v="2025-11-30T00:00:00"/>
    <n v="0.35"/>
    <n v="0.28000000000000003"/>
    <n v="-104.99999999999993"/>
    <n v="525"/>
    <x v="36"/>
    <s v="Buy"/>
    <n v="420.00000000000006"/>
    <x v="0"/>
    <x v="0"/>
    <n v="2025"/>
    <s v="Buy"/>
    <x v="0"/>
    <x v="1152"/>
  </r>
  <r>
    <s v="Unallocated"/>
    <d v="2025-08-21T00:00:00"/>
    <s v="WTI Sprds"/>
    <s v="Hedge"/>
    <n v="1500"/>
    <d v="2025-11-30T00:00:00"/>
    <d v="2025-12-31T00:00:00"/>
    <n v="0.35"/>
    <n v="0.5"/>
    <n v="225.00000000000003"/>
    <n v="525"/>
    <x v="0"/>
    <s v="Buy"/>
    <n v="750"/>
    <x v="0"/>
    <x v="0"/>
    <n v="2025"/>
    <s v="Buy"/>
    <x v="0"/>
    <x v="1153"/>
  </r>
  <r>
    <s v="Unallocated"/>
    <d v="2025-08-21T00:00:00"/>
    <s v="DFL"/>
    <s v="Hedge"/>
    <n v="1700"/>
    <d v="2025-09-30T00:00:00"/>
    <d v="2025-09-30T00:00:00"/>
    <n v="0.70940000000000003"/>
    <n v="0.49"/>
    <n v="-372.98000000000008"/>
    <n v="1205.98"/>
    <x v="43"/>
    <s v="Buy"/>
    <n v="833"/>
    <x v="1"/>
    <x v="1"/>
    <n v="2025"/>
    <s v="Buy"/>
    <x v="0"/>
    <x v="1154"/>
  </r>
  <r>
    <s v="Unallocated"/>
    <d v="2025-08-21T00:00:00"/>
    <s v="Freight-TD25"/>
    <s v="Hedge"/>
    <n v="499.99999999999977"/>
    <d v="2025-09-30T00:00:00"/>
    <d v="2025-09-30T00:00:00"/>
    <n v="166"/>
    <n v="162"/>
    <n v="-39.999999999999986"/>
    <n v="82999.999999999956"/>
    <x v="43"/>
    <s v="Buy"/>
    <n v="80999.999999999956"/>
    <x v="3"/>
    <x v="5"/>
    <n v="2025"/>
    <s v="Buy"/>
    <x v="0"/>
    <x v="1155"/>
  </r>
  <r>
    <s v="Unallocated"/>
    <d v="2025-08-22T00:00:00"/>
    <s v="Brent Sprds"/>
    <s v="Hedge"/>
    <n v="887"/>
    <d v="2025-10-31T00:00:00"/>
    <d v="2025-11-30T00:00:00"/>
    <n v="0.4965"/>
    <n v="0.64"/>
    <n v="127.28450000000001"/>
    <n v="440.39549999999997"/>
    <x v="36"/>
    <s v="Buy"/>
    <n v="567.68000000000006"/>
    <x v="0"/>
    <x v="2"/>
    <n v="2025"/>
    <s v="Buy"/>
    <x v="0"/>
    <x v="1156"/>
  </r>
  <r>
    <s v="Unallocated"/>
    <d v="2025-08-22T00:00:00"/>
    <s v="Brent Sprds"/>
    <s v="Hedge"/>
    <n v="887"/>
    <d v="2025-11-30T00:00:00"/>
    <d v="2025-12-31T00:00:00"/>
    <n v="0.4965"/>
    <n v="0.99"/>
    <n v="437.73449999999997"/>
    <n v="440.39549999999997"/>
    <x v="0"/>
    <s v="Buy"/>
    <n v="878.13"/>
    <x v="0"/>
    <x v="2"/>
    <n v="2025"/>
    <s v="Buy"/>
    <x v="0"/>
    <x v="1157"/>
  </r>
  <r>
    <s v="Unallocated"/>
    <d v="2025-08-26T00:00:00"/>
    <s v="CFD"/>
    <s v="Hedge"/>
    <n v="-200"/>
    <s v="Sep01-Sep05"/>
    <d v="2025-09-30T00:00:00"/>
    <n v="0.4"/>
    <n v="0.41200000000000003"/>
    <n v="-2.4000000000000021"/>
    <n v="-80"/>
    <x v="48"/>
    <s v="Buy"/>
    <n v="397.59999999999997"/>
    <x v="1"/>
    <x v="1"/>
    <n v="2025"/>
    <s v="Sell"/>
    <x v="0"/>
    <x v="1158"/>
  </r>
  <r>
    <s v="Unallocated"/>
    <d v="2025-08-26T00:00:00"/>
    <s v="CFD"/>
    <s v="Hedge"/>
    <n v="-200"/>
    <s v="Sep08-Sep12"/>
    <d v="2025-09-30T00:00:00"/>
    <n v="0.4"/>
    <n v="-3.4999999999999996E-2"/>
    <n v="87"/>
    <n v="-80"/>
    <x v="49"/>
    <s v="Buy"/>
    <n v="397.59999999999997"/>
    <x v="1"/>
    <x v="1"/>
    <n v="2025"/>
    <s v="Sell"/>
    <x v="0"/>
    <x v="1159"/>
  </r>
  <r>
    <s v="Unallocated"/>
    <d v="2025-08-26T00:00:00"/>
    <s v="CFD"/>
    <s v="Hedge"/>
    <n v="-200"/>
    <s v="Sep15-Sep19"/>
    <d v="2025-09-30T00:00:00"/>
    <n v="0.4"/>
    <n v="0.221"/>
    <n v="35.800000000000004"/>
    <n v="-80"/>
    <x v="50"/>
    <s v="Buy"/>
    <n v="397.59999999999997"/>
    <x v="1"/>
    <x v="1"/>
    <n v="2025"/>
    <s v="Sell"/>
    <x v="0"/>
    <x v="1160"/>
  </r>
  <r>
    <s v="Unallocated"/>
    <d v="2025-08-26T00:00:00"/>
    <s v="DFL"/>
    <s v="Hedge"/>
    <n v="-500"/>
    <d v="2025-09-30T00:00:00"/>
    <d v="2025-09-30T00:00:00"/>
    <n v="0.56999999999999995"/>
    <n v="0.49"/>
    <n v="39.999999999999979"/>
    <n v="-285"/>
    <x v="43"/>
    <s v="Sell"/>
    <n v="-245"/>
    <x v="1"/>
    <x v="1"/>
    <n v="2025"/>
    <s v="Sell"/>
    <x v="0"/>
    <x v="1161"/>
  </r>
  <r>
    <s v="Oct EFP 1"/>
    <d v="2025-08-26T00:00:00"/>
    <s v="Physical"/>
    <s v="Expo"/>
    <n v="700"/>
    <d v="2025-09-30T00:00:00"/>
    <d v="2025-09-30T00:00:00"/>
    <n v="0.47999999999999954"/>
    <n v="-0.01"/>
    <n v="-342.99999999999966"/>
    <n v="335.99999999999966"/>
    <x v="43"/>
    <s v="Buy"/>
    <n v="-7"/>
    <x v="2"/>
    <x v="4"/>
    <n v="2025"/>
    <s v="Buy"/>
    <x v="1"/>
    <x v="1162"/>
  </r>
  <r>
    <s v="Oct EFP 1"/>
    <d v="2025-08-26T00:00:00"/>
    <s v="WTI-Brent"/>
    <s v="Expo"/>
    <n v="-700"/>
    <d v="2025-10-31T00:00:00"/>
    <d v="2025-10-31T00:00:00"/>
    <n v="-3.95"/>
    <n v="-4.1100000000000003"/>
    <n v="112.0000000000001"/>
    <n v="2765"/>
    <x v="46"/>
    <s v="Sell"/>
    <n v="2877"/>
    <x v="1"/>
    <x v="3"/>
    <n v="2025"/>
    <s v="Sell"/>
    <x v="0"/>
    <x v="1163"/>
  </r>
  <r>
    <s v="Oct EFP 1"/>
    <d v="2025-08-26T00:00:00"/>
    <s v="Freight-TD25"/>
    <s v="Expo"/>
    <n v="-700"/>
    <d v="2025-09-30T00:00:00"/>
    <d v="2025-09-30T00:00:00"/>
    <n v="166"/>
    <n v="162"/>
    <n v="56"/>
    <n v="-116200"/>
    <x v="43"/>
    <s v="Sell"/>
    <n v="-113400"/>
    <x v="3"/>
    <x v="5"/>
    <n v="2025"/>
    <s v="Sell"/>
    <x v="0"/>
    <x v="1164"/>
  </r>
  <r>
    <s v="Oct EFP 1"/>
    <d v="2025-08-26T00:00:00"/>
    <s v="Freight-TD25"/>
    <s v="Hedge"/>
    <n v="700"/>
    <d v="2025-09-30T00:00:00"/>
    <d v="2025-09-30T00:00:00"/>
    <n v="175"/>
    <n v="162"/>
    <n v="-182"/>
    <n v="122500"/>
    <x v="43"/>
    <s v="Buy"/>
    <n v="113400"/>
    <x v="3"/>
    <x v="5"/>
    <n v="2025"/>
    <s v="Buy"/>
    <x v="0"/>
    <x v="1165"/>
  </r>
  <r>
    <s v="Oct EFP 1"/>
    <d v="2025-08-26T00:00:00"/>
    <s v="Freight-TD7"/>
    <s v="Expo"/>
    <n v="700"/>
    <d v="2025-10-31T00:00:00"/>
    <d v="2025-10-31T00:00:00"/>
    <n v="120"/>
    <n v="145.05000000000001"/>
    <n v="87.67500000000004"/>
    <n v="84000"/>
    <x v="46"/>
    <s v="Buy"/>
    <n v="101535.00000000001"/>
    <x v="3"/>
    <x v="5"/>
    <n v="2025"/>
    <s v="Buy"/>
    <x v="0"/>
    <x v="1166"/>
  </r>
  <r>
    <s v="Oct EFP 1"/>
    <d v="2025-08-26T00:00:00"/>
    <s v="Freight-TD7"/>
    <s v="Hedge"/>
    <n v="-700"/>
    <d v="2025-10-31T00:00:00"/>
    <d v="2025-10-31T00:00:00"/>
    <n v="145.05000000000001"/>
    <n v="145.05000000000001"/>
    <n v="0"/>
    <n v="-101535.00000000001"/>
    <x v="46"/>
    <s v="Sell"/>
    <n v="-101535.00000000001"/>
    <x v="3"/>
    <x v="5"/>
    <n v="2025"/>
    <s v="Sell"/>
    <x v="0"/>
    <x v="1167"/>
  </r>
  <r>
    <s v="Oct EFP 1"/>
    <d v="2025-08-26T00:00:00"/>
    <s v="WTI-Brent"/>
    <s v="Hedge"/>
    <n v="105"/>
    <d v="2025-10-31T00:00:00"/>
    <d v="2025-10-31T00:00:00"/>
    <n v="-4.05"/>
    <n v="-4.1100000000000003"/>
    <n v="-6.3000000000000522"/>
    <n v="-425.25"/>
    <x v="46"/>
    <s v="Buy"/>
    <n v="-431.55"/>
    <x v="1"/>
    <x v="3"/>
    <n v="2025"/>
    <s v="Buy"/>
    <x v="0"/>
    <x v="1168"/>
  </r>
  <r>
    <s v="Unallocated"/>
    <d v="2025-08-27T00:00:00"/>
    <s v="CFD"/>
    <s v="Hedge"/>
    <n v="-100"/>
    <s v="Sep01-Sep05"/>
    <d v="2025-09-30T00:00:00"/>
    <n v="0.23"/>
    <n v="0.41200000000000003"/>
    <n v="4.0000000000000036"/>
    <n v="-80"/>
    <x v="48"/>
    <s v="Buy"/>
    <n v="397.59999999999997"/>
    <x v="1"/>
    <x v="1"/>
    <n v="2025"/>
    <s v="Sell"/>
    <x v="0"/>
    <x v="1169"/>
  </r>
  <r>
    <s v="Unallocated"/>
    <d v="2025-08-27T00:00:00"/>
    <s v="DFL"/>
    <s v="Hedge"/>
    <n v="-600"/>
    <d v="2025-09-30T00:00:00"/>
    <d v="2025-09-30T00:00:00"/>
    <n v="0.4"/>
    <n v="0.49"/>
    <n v="54.999999999999964"/>
    <n v="-285"/>
    <x v="43"/>
    <s v="Sell"/>
    <n v="-230"/>
    <x v="1"/>
    <x v="1"/>
    <n v="2025"/>
    <s v="Sell"/>
    <x v="0"/>
    <x v="1170"/>
  </r>
  <r>
    <s v="Unallocated"/>
    <d v="2025-08-27T00:00:00"/>
    <s v="DFL"/>
    <s v="Hedge"/>
    <n v="-500"/>
    <d v="2025-09-30T00:00:00"/>
    <d v="2025-09-30T00:00:00"/>
    <n v="0.46"/>
    <n v="0.49"/>
    <n v="54.999999999999964"/>
    <n v="-285"/>
    <x v="43"/>
    <s v="Sell"/>
    <n v="-230"/>
    <x v="1"/>
    <x v="1"/>
    <n v="2025"/>
    <s v="Sell"/>
    <x v="0"/>
    <x v="1171"/>
  </r>
  <r>
    <s v="Unallocated"/>
    <d v="2025-08-27T00:00:00"/>
    <s v="Brent Sprds"/>
    <s v="Hedge"/>
    <n v="-500"/>
    <d v="2025-11-30T00:00:00"/>
    <d v="2025-12-31T00:00:00"/>
    <n v="0.42499999999999999"/>
    <n v="0.99"/>
    <n v="-282.5"/>
    <n v="-212.5"/>
    <x v="0"/>
    <s v="Sell"/>
    <n v="-495"/>
    <x v="0"/>
    <x v="2"/>
    <n v="2025"/>
    <s v="Sell"/>
    <x v="0"/>
    <x v="1172"/>
  </r>
  <r>
    <s v="Unallocated"/>
    <d v="2025-08-27T00:00:00"/>
    <s v="Brent Sprds"/>
    <s v="Hedge"/>
    <n v="-500"/>
    <d v="2025-12-31T00:00:00"/>
    <d v="2026-01-31T00:00:00"/>
    <n v="0.42499999999999999"/>
    <n v="0.3"/>
    <n v="62.5"/>
    <n v="-212.5"/>
    <x v="1"/>
    <s v="Sell"/>
    <n v="-150"/>
    <x v="0"/>
    <x v="2"/>
    <n v="2025"/>
    <s v="Sell"/>
    <x v="0"/>
    <x v="1173"/>
  </r>
  <r>
    <s v="Unallocated"/>
    <d v="2025-08-21T00:00:00"/>
    <s v="Brent Sprds"/>
    <s v="Hedge"/>
    <n v="997"/>
    <d v="2025-10-31T00:00:00"/>
    <d v="2025-11-30T00:00:00"/>
    <n v="0.64"/>
    <n v="0.64"/>
    <n v="0"/>
    <n v="638.08000000000004"/>
    <x v="36"/>
    <s v="Buy"/>
    <n v="638.08000000000004"/>
    <x v="0"/>
    <x v="2"/>
    <n v="2025"/>
    <s v="Buy"/>
    <x v="0"/>
    <x v="1174"/>
  </r>
  <r>
    <s v="Oct EFP 1"/>
    <d v="2025-08-28T00:00:00"/>
    <s v="WTI-Brent"/>
    <s v="Hedge"/>
    <n v="590"/>
    <d v="2025-10-31T00:00:00"/>
    <d v="2025-10-31T00:00:00"/>
    <n v="-4.0199999999999996"/>
    <n v="-4.1100000000000003"/>
    <n v="-53.100000000000442"/>
    <n v="-2371.7999999999997"/>
    <x v="46"/>
    <s v="Buy"/>
    <n v="-2424.9"/>
    <x v="1"/>
    <x v="3"/>
    <n v="2025"/>
    <s v="Buy"/>
    <x v="0"/>
    <x v="1175"/>
  </r>
  <r>
    <s v="Unallocated"/>
    <d v="2025-09-11T00:00:00"/>
    <s v="WTI Sprds"/>
    <s v="Hedge"/>
    <n v="110"/>
    <d v="2025-10-31T00:00:00"/>
    <d v="2025-11-30T00:00:00"/>
    <n v="0.53"/>
    <n v="0.28000000000000003"/>
    <n v="-27.5"/>
    <n v="58.300000000000004"/>
    <x v="36"/>
    <s v="Buy"/>
    <n v="30.800000000000004"/>
    <x v="0"/>
    <x v="0"/>
    <n v="2025"/>
    <s v="Buy"/>
    <x v="0"/>
    <x v="1176"/>
  </r>
  <r>
    <s v="Unallocated"/>
    <d v="2025-09-11T00:00:00"/>
    <s v="Brent Sprds"/>
    <s v="Hedge"/>
    <n v="-110"/>
    <d v="2025-10-31T00:00:00"/>
    <d v="2025-11-30T00:00:00"/>
    <n v="0.56000000000000005"/>
    <n v="0.64"/>
    <n v="-8.7999999999999954"/>
    <n v="-61.600000000000009"/>
    <x v="36"/>
    <s v="Sell"/>
    <n v="-70.400000000000006"/>
    <x v="0"/>
    <x v="2"/>
    <n v="2025"/>
    <s v="Sell"/>
    <x v="0"/>
    <x v="1177"/>
  </r>
  <r>
    <s v="Unallocated"/>
    <d v="2025-08-29T00:00:00"/>
    <s v="CFD"/>
    <s v="Hedge"/>
    <n v="-400"/>
    <s v="Sep01-Sep05"/>
    <d v="2025-09-30T00:00:00"/>
    <n v="0.51"/>
    <n v="0.41200000000000003"/>
    <n v="39.199999999999989"/>
    <n v="-204"/>
    <x v="48"/>
    <s v="Buy"/>
    <n v="397.59999999999997"/>
    <x v="1"/>
    <x v="1"/>
    <n v="2025"/>
    <s v="Sell"/>
    <x v="0"/>
    <x v="1178"/>
  </r>
  <r>
    <s v="Unallocated"/>
    <d v="2025-08-29T00:00:00"/>
    <s v="CFD"/>
    <s v="Hedge"/>
    <n v="200"/>
    <s v="Sep08-Sep12"/>
    <d v="2025-09-30T00:00:00"/>
    <n v="0.64"/>
    <n v="-3.4999999999999996E-2"/>
    <n v="-135"/>
    <n v="128"/>
    <x v="49"/>
    <s v="Buy"/>
    <n v="397.59999999999997"/>
    <x v="1"/>
    <x v="1"/>
    <n v="2025"/>
    <s v="Buy"/>
    <x v="0"/>
    <x v="1179"/>
  </r>
  <r>
    <s v="Unallocated"/>
    <d v="2025-08-29T00:00:00"/>
    <s v="CFD"/>
    <s v="Hedge"/>
    <n v="200"/>
    <s v="Sep15-Sep19"/>
    <d v="2025-09-30T00:00:00"/>
    <n v="0.72"/>
    <n v="0.221"/>
    <n v="-99.8"/>
    <n v="144"/>
    <x v="50"/>
    <s v="Buy"/>
    <n v="397.59999999999997"/>
    <x v="1"/>
    <x v="1"/>
    <n v="2025"/>
    <s v="Buy"/>
    <x v="0"/>
    <x v="1180"/>
  </r>
  <r>
    <s v="Oct EFP 1"/>
    <d v="2025-09-02T00:00:00"/>
    <s v="WTI-Brent"/>
    <s v="Hedge"/>
    <n v="250"/>
    <d v="2025-11-30T00:00:00"/>
    <d v="2025-11-30T00:00:00"/>
    <n v="-4.0599999999999996"/>
    <n v="-4.6500000000000004"/>
    <n v="-147.5000000000002"/>
    <n v="-1014.9999999999999"/>
    <x v="47"/>
    <s v="Buy"/>
    <n v="-1162.5"/>
    <x v="1"/>
    <x v="3"/>
    <n v="2025"/>
    <s v="Buy"/>
    <x v="0"/>
    <x v="1181"/>
  </r>
  <r>
    <s v="Oct EFP 1"/>
    <d v="2025-09-05T00:00:00"/>
    <s v="WTI-Brent"/>
    <s v="Hedge"/>
    <n v="250"/>
    <d v="2025-11-30T00:00:00"/>
    <d v="2025-11-30T00:00:00"/>
    <n v="-4.05"/>
    <n v="-4.6500000000000004"/>
    <n v="-150.00000000000014"/>
    <n v="-1012.5"/>
    <x v="47"/>
    <s v="Buy"/>
    <n v="-1162.5"/>
    <x v="1"/>
    <x v="3"/>
    <n v="2025"/>
    <s v="Buy"/>
    <x v="0"/>
    <x v="1182"/>
  </r>
  <r>
    <s v="Oct EFP 1"/>
    <d v="2025-09-05T00:00:00"/>
    <s v="WTI-Brent"/>
    <s v="Hedge"/>
    <n v="250"/>
    <d v="2025-11-30T00:00:00"/>
    <d v="2025-11-30T00:00:00"/>
    <n v="-4.07"/>
    <n v="-4.6500000000000004"/>
    <n v="-145.00000000000003"/>
    <n v="-1017.5000000000001"/>
    <x v="47"/>
    <s v="Buy"/>
    <n v="-1162.5"/>
    <x v="1"/>
    <x v="3"/>
    <n v="2025"/>
    <s v="Buy"/>
    <x v="0"/>
    <x v="1183"/>
  </r>
  <r>
    <s v="Oct EFP 1"/>
    <d v="2025-09-05T00:00:00"/>
    <s v="WTI-Brent"/>
    <s v="Hedge"/>
    <n v="500"/>
    <d v="2025-11-30T00:00:00"/>
    <d v="2025-11-30T00:00:00"/>
    <n v="-4.0999999999999996"/>
    <n v="-4.6500000000000004"/>
    <n v="-275.00000000000034"/>
    <n v="-2050"/>
    <x v="47"/>
    <s v="Buy"/>
    <n v="-2325"/>
    <x v="1"/>
    <x v="3"/>
    <n v="2025"/>
    <s v="Buy"/>
    <x v="0"/>
    <x v="1184"/>
  </r>
  <r>
    <s v="Oct EFP 1"/>
    <d v="2025-09-05T00:00:00"/>
    <s v="WTI-Brent"/>
    <s v="Hedge"/>
    <n v="500"/>
    <d v="2025-11-30T00:00:00"/>
    <d v="2025-11-30T00:00:00"/>
    <n v="-4.1500000000000004"/>
    <n v="-4.6500000000000004"/>
    <n v="-250"/>
    <n v="-2075"/>
    <x v="47"/>
    <s v="Buy"/>
    <n v="-2325"/>
    <x v="1"/>
    <x v="3"/>
    <n v="2025"/>
    <s v="Buy"/>
    <x v="0"/>
    <x v="1185"/>
  </r>
  <r>
    <s v="Unallocated"/>
    <d v="2025-09-11T00:00:00"/>
    <s v="Brent Sprds"/>
    <s v="Hedge"/>
    <n v="2000"/>
    <d v="2025-11-30T00:00:00"/>
    <d v="2025-12-31T00:00:00"/>
    <n v="0.41499999999999998"/>
    <n v="0.99"/>
    <n v="1150"/>
    <n v="830"/>
    <x v="0"/>
    <s v="Buy"/>
    <n v="1980"/>
    <x v="0"/>
    <x v="2"/>
    <n v="2025"/>
    <s v="Buy"/>
    <x v="0"/>
    <x v="1186"/>
  </r>
  <r>
    <s v="Unallocated"/>
    <d v="2025-09-11T00:00:00"/>
    <s v="Brent Sprds"/>
    <s v="Hedge"/>
    <n v="2000"/>
    <d v="2025-12-31T00:00:00"/>
    <d v="2026-01-31T00:00:00"/>
    <n v="0.41499999999999998"/>
    <n v="0.3"/>
    <n v="-229.99999999999997"/>
    <n v="830"/>
    <x v="1"/>
    <s v="Buy"/>
    <n v="600"/>
    <x v="0"/>
    <x v="2"/>
    <n v="2025"/>
    <s v="Buy"/>
    <x v="0"/>
    <x v="1187"/>
  </r>
  <r>
    <s v="Unallocated"/>
    <d v="2025-09-11T00:00:00"/>
    <s v="WTI Sprds"/>
    <s v="Hedge"/>
    <n v="1000"/>
    <d v="2025-10-31T00:00:00"/>
    <d v="2025-11-30T00:00:00"/>
    <n v="0.31"/>
    <n v="0.28000000000000003"/>
    <n v="-29.999999999999972"/>
    <n v="310"/>
    <x v="36"/>
    <s v="Buy"/>
    <n v="280"/>
    <x v="0"/>
    <x v="0"/>
    <n v="2025"/>
    <s v="Buy"/>
    <x v="0"/>
    <x v="1188"/>
  </r>
  <r>
    <s v="Nov25 EFP 1"/>
    <d v="2025-09-12T00:00:00"/>
    <s v="Physical"/>
    <s v="Expo"/>
    <n v="700"/>
    <d v="2025-09-30T00:00:00"/>
    <d v="2025-09-30T00:00:00"/>
    <n v="-1.0000000000000675E-2"/>
    <n v="-0.01"/>
    <n v="4.7236520250848457E-13"/>
    <n v="-7.0000000000004725"/>
    <x v="43"/>
    <s v="Buy"/>
    <n v="-7"/>
    <x v="2"/>
    <x v="4"/>
    <n v="2025"/>
    <s v="Buy"/>
    <x v="1"/>
    <x v="1189"/>
  </r>
  <r>
    <s v="Nov25 EFP 1"/>
    <d v="2025-09-12T00:00:00"/>
    <s v="WTI Sprds"/>
    <s v="Expo"/>
    <n v="-700"/>
    <d v="2025-10-31T00:00:00"/>
    <d v="2025-11-30T00:00:00"/>
    <n v="0.27"/>
    <n v="0.28000000000000003"/>
    <n v="-7.0000000000000062"/>
    <n v="-189"/>
    <x v="36"/>
    <s v="Sell"/>
    <n v="-196.00000000000003"/>
    <x v="0"/>
    <x v="0"/>
    <n v="2025"/>
    <s v="Sell"/>
    <x v="0"/>
    <x v="1190"/>
  </r>
  <r>
    <s v="Nov25 EFP 1"/>
    <d v="2025-09-12T00:00:00"/>
    <s v="WTI-Brent"/>
    <s v="Expo"/>
    <n v="-700"/>
    <d v="2025-11-30T00:00:00"/>
    <d v="2025-11-30T00:00:00"/>
    <n v="-4.57"/>
    <n v="-4.6500000000000004"/>
    <n v="56.00000000000005"/>
    <n v="3199"/>
    <x v="47"/>
    <s v="Sell"/>
    <n v="3255.0000000000005"/>
    <x v="1"/>
    <x v="3"/>
    <n v="2025"/>
    <s v="Sell"/>
    <x v="0"/>
    <x v="1191"/>
  </r>
  <r>
    <s v="Nov25 EFP 1"/>
    <d v="2025-09-12T00:00:00"/>
    <s v="Freight-TD25"/>
    <s v="Expo"/>
    <n v="-700"/>
    <d v="2025-10-31T00:00:00"/>
    <d v="2025-10-31T00:00:00"/>
    <n v="190"/>
    <n v="175.15"/>
    <n v="207.89999999999992"/>
    <n v="-133000"/>
    <x v="46"/>
    <s v="Sell"/>
    <n v="-122605"/>
    <x v="3"/>
    <x v="5"/>
    <n v="2025"/>
    <s v="Sell"/>
    <x v="0"/>
    <x v="1192"/>
  </r>
  <r>
    <s v="Nov25 EFP 1"/>
    <d v="2025-09-12T00:00:00"/>
    <s v="Freight-TD25"/>
    <s v="Hedge"/>
    <n v="700"/>
    <d v="2025-10-31T00:00:00"/>
    <d v="2025-10-31T00:00:00"/>
    <n v="180"/>
    <n v="175.15"/>
    <n v="-101.84999999999988"/>
    <n v="126000"/>
    <x v="46"/>
    <s v="Buy"/>
    <n v="122605"/>
    <x v="3"/>
    <x v="5"/>
    <n v="2025"/>
    <s v="Buy"/>
    <x v="0"/>
    <x v="1193"/>
  </r>
  <r>
    <s v="Nov25 EFP 1"/>
    <d v="2025-09-12T00:00:00"/>
    <s v="Freight-TD7"/>
    <s v="Expo"/>
    <n v="700"/>
    <d v="2025-11-30T00:00:00"/>
    <d v="2025-11-30T00:00:00"/>
    <n v="125"/>
    <n v="158"/>
    <n v="115.5"/>
    <n v="87500"/>
    <x v="47"/>
    <s v="Buy"/>
    <n v="110600"/>
    <x v="3"/>
    <x v="5"/>
    <n v="2025"/>
    <s v="Buy"/>
    <x v="0"/>
    <x v="1194"/>
  </r>
  <r>
    <s v="Nov25 EFP 1"/>
    <d v="2025-09-12T00:00:00"/>
    <s v="Freight-TD7"/>
    <s v="Hedge"/>
    <n v="-700"/>
    <d v="2025-11-30T00:00:00"/>
    <d v="2025-11-30T00:00:00"/>
    <n v="158"/>
    <n v="158"/>
    <n v="0"/>
    <n v="-110600"/>
    <x v="47"/>
    <s v="Sell"/>
    <n v="-110600"/>
    <x v="3"/>
    <x v="5"/>
    <n v="2025"/>
    <s v="Sell"/>
    <x v="0"/>
    <x v="1195"/>
  </r>
  <r>
    <s v="Unallocated"/>
    <d v="2025-09-06T00:00:00"/>
    <s v="CFD"/>
    <s v="Hedge"/>
    <n v="700"/>
    <s v="Sep01-Sep05"/>
    <d v="2025-09-30T00:00:00"/>
    <n v="0.41"/>
    <n v="0.41200000000000003"/>
    <n v="1.4000000000000401"/>
    <n v="287"/>
    <x v="48"/>
    <s v="Buy"/>
    <n v="397.59999999999997"/>
    <x v="1"/>
    <x v="1"/>
    <n v="2025"/>
    <s v="Buy"/>
    <x v="0"/>
    <x v="1196"/>
  </r>
  <r>
    <s v="Trafi FOB Oct 5-10"/>
    <d v="2025-09-15T00:00:00"/>
    <s v="Physical"/>
    <s v="Expo"/>
    <n v="700"/>
    <d v="2025-09-30T00:00:00"/>
    <d v="2025-09-30T00:00:00"/>
    <n v="0"/>
    <n v="0"/>
    <n v="0"/>
    <n v="0"/>
    <x v="43"/>
    <s v="Buy"/>
    <n v="0"/>
    <x v="2"/>
    <x v="4"/>
    <n v="2025"/>
    <s v="Buy"/>
    <x v="1"/>
    <x v="1197"/>
  </r>
  <r>
    <s v="Trafi FOB Oct 5-10"/>
    <d v="2025-09-15T00:00:00"/>
    <s v="WTI Sprds"/>
    <s v="Expo"/>
    <n v="-700"/>
    <d v="2025-10-31T00:00:00"/>
    <d v="2025-11-30T00:00:00"/>
    <n v="0.27"/>
    <n v="0.28000000000000003"/>
    <n v="-7.0000000000000062"/>
    <n v="-189"/>
    <x v="36"/>
    <s v="Sell"/>
    <n v="-196.00000000000003"/>
    <x v="0"/>
    <x v="0"/>
    <n v="2025"/>
    <s v="Sell"/>
    <x v="0"/>
    <x v="1198"/>
  </r>
  <r>
    <s v="Trafi FOB Oct 5-10"/>
    <d v="2025-09-15T00:00:00"/>
    <s v="WTI-Brent"/>
    <s v="Expo"/>
    <n v="-700"/>
    <d v="2025-12-31T00:00:00"/>
    <d v="2025-12-31T00:00:00"/>
    <n v="-4.28"/>
    <n v="-4.09"/>
    <n v="-133.00000000000028"/>
    <n v="2996"/>
    <x v="51"/>
    <s v="Sell"/>
    <n v="2863"/>
    <x v="1"/>
    <x v="3"/>
    <n v="2025"/>
    <s v="Sell"/>
    <x v="0"/>
    <x v="1199"/>
  </r>
  <r>
    <s v="Trafi FOB Oct 5-10"/>
    <d v="2025-09-15T00:00:00"/>
    <s v="WTI Sprds"/>
    <s v="Expo"/>
    <n v="-700"/>
    <d v="2025-11-30T00:00:00"/>
    <d v="2025-12-31T00:00:00"/>
    <n v="0.27"/>
    <n v="0.5"/>
    <n v="-161"/>
    <n v="-189"/>
    <x v="0"/>
    <s v="Sell"/>
    <n v="-350"/>
    <x v="0"/>
    <x v="0"/>
    <n v="2025"/>
    <s v="Sell"/>
    <x v="0"/>
    <x v="1200"/>
  </r>
  <r>
    <s v="Unallocated"/>
    <d v="2025-09-16T00:00:00"/>
    <s v="WTI Sprds"/>
    <s v="Hedge"/>
    <n v="-772"/>
    <d v="2025-12-31T00:00:00"/>
    <d v="2026-01-31T00:00:00"/>
    <n v="0.18"/>
    <n v="0.19"/>
    <n v="-7.7200000000000069"/>
    <n v="-138.96"/>
    <x v="1"/>
    <s v="Sell"/>
    <n v="-146.68"/>
    <x v="0"/>
    <x v="0"/>
    <n v="2025"/>
    <s v="Sell"/>
    <x v="0"/>
    <x v="1201"/>
  </r>
  <r>
    <s v="Unallocated"/>
    <d v="2025-09-16T00:00:00"/>
    <s v="WTI Sprds"/>
    <s v="Hedge"/>
    <n v="-378"/>
    <d v="2025-11-30T00:00:00"/>
    <d v="2025-12-31T00:00:00"/>
    <n v="0.31"/>
    <n v="0.5"/>
    <n v="-71.820000000000007"/>
    <n v="-117.17999999999999"/>
    <x v="0"/>
    <s v="Sell"/>
    <n v="-189"/>
    <x v="0"/>
    <x v="0"/>
    <n v="2025"/>
    <s v="Sell"/>
    <x v="0"/>
    <x v="1202"/>
  </r>
  <r>
    <s v="Unallocated"/>
    <d v="2025-09-15T00:00:00"/>
    <s v="Brent Sprds"/>
    <s v="Hedge"/>
    <n v="-1500"/>
    <d v="2025-12-31T00:00:00"/>
    <d v="2026-01-31T00:00:00"/>
    <n v="0.35"/>
    <n v="0.3"/>
    <n v="74.999999999999986"/>
    <n v="-525"/>
    <x v="1"/>
    <s v="Sell"/>
    <n v="-450"/>
    <x v="0"/>
    <x v="2"/>
    <n v="2025"/>
    <s v="Sell"/>
    <x v="0"/>
    <x v="1203"/>
  </r>
  <r>
    <s v="Unallocated"/>
    <d v="2025-09-15T00:00:00"/>
    <s v="Brent Sprds"/>
    <s v="Hedge"/>
    <n v="-800"/>
    <d v="2025-11-30T00:00:00"/>
    <d v="2025-12-31T00:00:00"/>
    <n v="0.4"/>
    <n v="0.99"/>
    <n v="-472"/>
    <n v="-320"/>
    <x v="0"/>
    <s v="Sell"/>
    <n v="-792"/>
    <x v="0"/>
    <x v="2"/>
    <n v="2025"/>
    <s v="Sell"/>
    <x v="0"/>
    <x v="1204"/>
  </r>
  <r>
    <s v="Unallocated"/>
    <d v="2025-09-16T00:00:00"/>
    <s v="WTI Sprds"/>
    <s v="Hedge"/>
    <n v="549"/>
    <d v="2025-10-31T00:00:00"/>
    <d v="2025-11-30T00:00:00"/>
    <n v="0.28000000000000003"/>
    <n v="0.28000000000000003"/>
    <n v="0"/>
    <n v="153.72000000000003"/>
    <x v="36"/>
    <s v="Buy"/>
    <n v="153.72000000000003"/>
    <x v="0"/>
    <x v="0"/>
    <n v="2025"/>
    <s v="Buy"/>
    <x v="0"/>
    <x v="1205"/>
  </r>
  <r>
    <s v="Unallocated"/>
    <d v="2025-09-15T00:00:00"/>
    <s v="Brent Sprds"/>
    <s v="Hedge"/>
    <n v="240"/>
    <d v="2025-11-30T00:00:00"/>
    <d v="2025-12-31T00:00:00"/>
    <n v="0.85"/>
    <n v="0.99"/>
    <n v="33.6"/>
    <n v="204"/>
    <x v="0"/>
    <s v="Buy"/>
    <n v="237.6"/>
    <x v="0"/>
    <x v="2"/>
    <n v="2025"/>
    <s v="Buy"/>
    <x v="0"/>
    <x v="1206"/>
  </r>
  <r>
    <s v="Unallocated"/>
    <d v="2025-09-15T00:00:00"/>
    <s v="WTI-Brent"/>
    <s v="Hedge"/>
    <n v="17"/>
    <d v="2025-11-30T00:00:00"/>
    <d v="2025-11-30T00:00:00"/>
    <n v="-4.5199999999999996"/>
    <n v="-4.6500000000000004"/>
    <n v="-2.2100000000000133"/>
    <n v="-76.839999999999989"/>
    <x v="47"/>
    <s v="Buy"/>
    <n v="-79.050000000000011"/>
    <x v="1"/>
    <x v="3"/>
    <n v="2025"/>
    <s v="Buy"/>
    <x v="0"/>
    <x v="1207"/>
  </r>
  <r>
    <s v="Unallocated"/>
    <d v="2025-09-30T00:00:00"/>
    <s v="WTI Sprds"/>
    <s v="Hedge"/>
    <n v="250"/>
    <d v="2025-11-30T00:00:00"/>
    <d v="2025-12-31T00:00:00"/>
    <n v="0.4"/>
    <n v="0.5"/>
    <n v="24.999999999999993"/>
    <n v="100"/>
    <x v="0"/>
    <s v="Buy"/>
    <n v="125"/>
    <x v="0"/>
    <x v="0"/>
    <n v="2025"/>
    <s v="Buy"/>
    <x v="0"/>
    <x v="1208"/>
  </r>
  <r>
    <s v="Unallocated"/>
    <d v="2025-09-30T00:00:00"/>
    <s v="DFL"/>
    <s v="Hedge"/>
    <n v="-1290"/>
    <d v="2025-09-30T00:00:00"/>
    <d v="2025-09-30T00:00:00"/>
    <n v="0.49"/>
    <n v="0.49"/>
    <n v="0"/>
    <n v="-632.1"/>
    <x v="43"/>
    <s v="Sell"/>
    <n v="-632.1"/>
    <x v="1"/>
    <x v="1"/>
    <n v="2025"/>
    <s v="Sell"/>
    <x v="0"/>
    <x v="1209"/>
  </r>
  <r>
    <s v="Unallocated"/>
    <d v="2025-09-30T00:00:00"/>
    <s v="Freight-TD25"/>
    <s v="Hedge"/>
    <n v="-500"/>
    <d v="2025-09-30T00:00:00"/>
    <d v="2025-09-30T00:00:00"/>
    <n v="162"/>
    <n v="162"/>
    <n v="0"/>
    <n v="-81000"/>
    <x v="43"/>
    <s v="Sell"/>
    <n v="-81000"/>
    <x v="3"/>
    <x v="5"/>
    <n v="2025"/>
    <s v="Sell"/>
    <x v="0"/>
    <x v="1210"/>
  </r>
  <r>
    <s v="Unallocated"/>
    <d v="2025-10-01T00:00:00"/>
    <s v="DFL"/>
    <s v="Hedge"/>
    <n v="210"/>
    <d v="2025-11-30T00:00:00"/>
    <d v="2025-11-30T00:00:00"/>
    <n v="0.499"/>
    <n v="7.0000000000000007E-2"/>
    <n v="-90.09"/>
    <n v="104.79"/>
    <x v="47"/>
    <s v="Buy"/>
    <n v="14.700000000000001"/>
    <x v="1"/>
    <x v="1"/>
    <n v="2025"/>
    <s v="Buy"/>
    <x v="0"/>
    <x v="1211"/>
  </r>
  <r>
    <s v="Unallocated"/>
    <d v="2025-10-02T00:00:00"/>
    <s v="WTI-Brent"/>
    <s v="Hedge"/>
    <n v="272"/>
    <d v="2025-12-31T00:00:00"/>
    <d v="2025-12-31T00:00:00"/>
    <n v="-3.9500000000000028"/>
    <n v="-4.09"/>
    <n v="-38.079999999999188"/>
    <n v="-1074.4000000000008"/>
    <x v="51"/>
    <s v="Buy"/>
    <n v="-1112.48"/>
    <x v="1"/>
    <x v="3"/>
    <n v="2025"/>
    <s v="Buy"/>
    <x v="0"/>
    <x v="1212"/>
  </r>
  <r>
    <s v="Unallocated"/>
    <d v="2025-10-02T00:00:00"/>
    <s v="WTI Sprds"/>
    <s v="Hedge"/>
    <n v="272"/>
    <d v="2025-11-30T00:00:00"/>
    <d v="2025-12-31T00:00:00"/>
    <n v="0.32000000000000028"/>
    <n v="0.5"/>
    <n v="48.959999999999923"/>
    <n v="87.040000000000077"/>
    <x v="0"/>
    <s v="Buy"/>
    <n v="136"/>
    <x v="0"/>
    <x v="0"/>
    <n v="2025"/>
    <s v="Buy"/>
    <x v="0"/>
    <x v="1213"/>
  </r>
  <r>
    <s v="BP FOB VLCC Nov 15-20"/>
    <d v="2025-10-14T00:00:00"/>
    <s v="Physical"/>
    <s v="Expo"/>
    <n v="2100"/>
    <d v="2025-11-30T00:00:00"/>
    <d v="2025-11-30T00:00:00"/>
    <n v="-2.0699999999999998"/>
    <n v="-2.0499999999999998"/>
    <n v="42.000000000000036"/>
    <n v="-4347"/>
    <x v="47"/>
    <s v="Buy"/>
    <n v="-4305"/>
    <x v="2"/>
    <x v="4"/>
    <n v="2025"/>
    <s v="Buy"/>
    <x v="1"/>
    <x v="1214"/>
  </r>
  <r>
    <s v="BP FOB VLCC Nov 15-20"/>
    <d v="2025-10-14T00:00:00"/>
    <s v="WTI Sprds"/>
    <s v="Expo"/>
    <n v="-2100"/>
    <d v="2025-11-30T00:00:00"/>
    <d v="2025-12-31T00:00:00"/>
    <n v="0.43"/>
    <n v="0.5"/>
    <n v="-147"/>
    <n v="-903"/>
    <x v="0"/>
    <s v="Sell"/>
    <n v="-1050"/>
    <x v="0"/>
    <x v="0"/>
    <n v="2025"/>
    <s v="Sell"/>
    <x v="0"/>
    <x v="1215"/>
  </r>
  <r>
    <s v="BP FOB VLCC Nov 15-20"/>
    <d v="2025-10-14T00:00:00"/>
    <s v="WTI Sprds"/>
    <s v="Expo"/>
    <n v="-2100"/>
    <d v="2025-12-31T00:00:00"/>
    <d v="2026-01-31T00:00:00"/>
    <n v="0.17"/>
    <n v="0.19"/>
    <n v="-41.999999999999979"/>
    <n v="-357"/>
    <x v="1"/>
    <s v="Sell"/>
    <n v="-399"/>
    <x v="0"/>
    <x v="0"/>
    <n v="2025"/>
    <s v="Sell"/>
    <x v="0"/>
    <x v="1216"/>
  </r>
  <r>
    <s v="BP FOB VLCC Nov 15-20"/>
    <d v="2025-10-14T00:00:00"/>
    <s v="WTI-Brent"/>
    <s v="Expo"/>
    <n v="-2100"/>
    <d v="2026-01-31T00:00:00"/>
    <d v="2026-01-31T00:00:00"/>
    <n v="-3.96"/>
    <n v="-4.6500000000000004"/>
    <n v="1449.0000000000009"/>
    <n v="8316"/>
    <x v="52"/>
    <s v="Sell"/>
    <n v="9765"/>
    <x v="1"/>
    <x v="3"/>
    <n v="2026"/>
    <s v="Sell"/>
    <x v="0"/>
    <x v="1217"/>
  </r>
  <r>
    <s v="Unallocated"/>
    <d v="2025-10-14T00:00:00"/>
    <s v="DFL"/>
    <s v="Hedge"/>
    <n v="-500"/>
    <d v="2025-11-30T00:00:00"/>
    <d v="2025-11-30T00:00:00"/>
    <n v="0.42"/>
    <n v="7.0000000000000007E-2"/>
    <n v="175"/>
    <n v="-210"/>
    <x v="47"/>
    <s v="Sell"/>
    <n v="-35"/>
    <x v="1"/>
    <x v="1"/>
    <n v="2025"/>
    <s v="Sell"/>
    <x v="0"/>
    <x v="1218"/>
  </r>
  <r>
    <s v="Unallocated"/>
    <d v="2025-10-16T00:00:00"/>
    <s v="WTI Sprds"/>
    <s v="Hedge"/>
    <n v="400"/>
    <d v="2025-11-30T00:00:00"/>
    <d v="2025-12-31T00:00:00"/>
    <n v="0.45"/>
    <n v="0.5"/>
    <n v="19.999999999999996"/>
    <n v="180"/>
    <x v="0"/>
    <s v="Buy"/>
    <n v="200"/>
    <x v="0"/>
    <x v="0"/>
    <n v="2025"/>
    <s v="Buy"/>
    <x v="0"/>
    <x v="1219"/>
  </r>
  <r>
    <s v="Unallocated"/>
    <d v="2025-10-16T00:00:00"/>
    <s v="WTI Sprds"/>
    <s v="Hedge"/>
    <n v="400"/>
    <d v="2025-11-30T00:00:00"/>
    <d v="2025-12-31T00:00:00"/>
    <n v="0.44"/>
    <n v="0.5"/>
    <n v="24"/>
    <n v="176"/>
    <x v="0"/>
    <s v="Buy"/>
    <n v="200"/>
    <x v="0"/>
    <x v="0"/>
    <n v="2025"/>
    <s v="Buy"/>
    <x v="0"/>
    <x v="1220"/>
  </r>
  <r>
    <s v="Unallocated"/>
    <d v="2025-10-16T00:00:00"/>
    <s v="WTI Sprds"/>
    <s v="Hedge"/>
    <n v="139"/>
    <d v="2025-11-30T00:00:00"/>
    <d v="2025-12-31T00:00:00"/>
    <n v="0.43"/>
    <n v="0.5"/>
    <n v="9.73"/>
    <n v="59.769999999999996"/>
    <x v="0"/>
    <s v="Buy"/>
    <n v="69.5"/>
    <x v="0"/>
    <x v="0"/>
    <n v="2025"/>
    <s v="Buy"/>
    <x v="0"/>
    <x v="1221"/>
  </r>
  <r>
    <s v="BP FOB VLCC Nov 15-20"/>
    <d v="2025-10-16T00:00:00"/>
    <s v="WTI-Brent"/>
    <s v="Hedge"/>
    <n v="82"/>
    <d v="2025-12-31T00:00:00"/>
    <d v="2025-12-31T00:00:00"/>
    <n v="-4.1500000000000004"/>
    <n v="-4.09"/>
    <n v="4.9200000000000408"/>
    <n v="-340.3"/>
    <x v="51"/>
    <s v="Buy"/>
    <n v="-335.38"/>
    <x v="1"/>
    <x v="3"/>
    <n v="2025"/>
    <s v="Buy"/>
    <x v="0"/>
    <x v="1222"/>
  </r>
  <r>
    <s v="CPC Taiwan Jan 17-21"/>
    <d v="2025-10-17T00:00:00"/>
    <s v="Physical"/>
    <s v="Expo"/>
    <n v="2100"/>
    <d v="2025-11-30T00:00:00"/>
    <d v="2025-11-30T00:00:00"/>
    <n v="3.8866666666666667"/>
    <n v="3.98"/>
    <n v="195.99999999999986"/>
    <n v="8162"/>
    <x v="47"/>
    <s v="Buy"/>
    <n v="8358"/>
    <x v="2"/>
    <x v="4"/>
    <n v="2025"/>
    <s v="Buy"/>
    <x v="1"/>
    <x v="1223"/>
  </r>
  <r>
    <s v="CPC Taiwan Jan 17-21"/>
    <d v="2025-10-17T00:00:00"/>
    <s v="WTI Sprds"/>
    <s v="Expo"/>
    <n v="-2075"/>
    <d v="2025-11-30T00:00:00"/>
    <d v="2025-12-31T00:00:00"/>
    <n v="0.43"/>
    <n v="0.5"/>
    <n v="-145.25"/>
    <n v="-892.25"/>
    <x v="0"/>
    <s v="Sell"/>
    <n v="-1037.5"/>
    <x v="0"/>
    <x v="0"/>
    <n v="2025"/>
    <s v="Sell"/>
    <x v="0"/>
    <x v="1224"/>
  </r>
  <r>
    <s v="CPC Taiwan Jan 17-21"/>
    <d v="2025-10-17T00:00:00"/>
    <s v="WTI Sprds"/>
    <s v="Expo"/>
    <n v="-2100"/>
    <d v="2025-12-31T00:00:00"/>
    <d v="2026-01-31T00:00:00"/>
    <n v="0.04"/>
    <n v="0.19"/>
    <n v="-315"/>
    <n v="-84"/>
    <x v="1"/>
    <s v="Sell"/>
    <n v="-399"/>
    <x v="0"/>
    <x v="0"/>
    <n v="2025"/>
    <s v="Sell"/>
    <x v="0"/>
    <x v="1225"/>
  </r>
  <r>
    <s v="CPC Taiwan Jan 17-21"/>
    <d v="2025-10-17T00:00:00"/>
    <s v="WTI-Brent"/>
    <s v="Expo"/>
    <n v="-2100"/>
    <d v="2026-01-31T00:00:00"/>
    <d v="2026-01-31T00:00:00"/>
    <n v="-3.95"/>
    <n v="-4.6500000000000004"/>
    <n v="1470.0000000000005"/>
    <n v="8295"/>
    <x v="52"/>
    <s v="Sell"/>
    <n v="9765"/>
    <x v="1"/>
    <x v="3"/>
    <n v="2026"/>
    <s v="Sell"/>
    <x v="0"/>
    <x v="1226"/>
  </r>
  <r>
    <s v="CPC Taiwan Jan 17-21"/>
    <d v="2025-10-17T00:00:00"/>
    <s v="DFL"/>
    <s v="Expo"/>
    <n v="2100"/>
    <d v="2025-12-31T00:00:00"/>
    <d v="2025-12-31T00:00:00"/>
    <n v="0.08"/>
    <n v="0.99"/>
    <n v="1911"/>
    <n v="168"/>
    <x v="51"/>
    <s v="Buy"/>
    <n v="2079"/>
    <x v="1"/>
    <x v="1"/>
    <n v="2025"/>
    <s v="Buy"/>
    <x v="0"/>
    <x v="1227"/>
  </r>
  <r>
    <s v="CPC Taiwan Jan 17-21"/>
    <d v="2025-10-17T00:00:00"/>
    <s v="Brent Sprds"/>
    <s v="Expo"/>
    <n v="-2100"/>
    <d v="2026-01-31T00:00:00"/>
    <d v="2026-02-28T00:00:00"/>
    <n v="0.11"/>
    <n v="0.82"/>
    <n v="-1491"/>
    <n v="-231"/>
    <x v="53"/>
    <s v="Sell"/>
    <n v="-1722"/>
    <x v="0"/>
    <x v="2"/>
    <n v="2026"/>
    <s v="Sell"/>
    <x v="0"/>
    <x v="1228"/>
  </r>
  <r>
    <s v="CPC Taiwan Jan 17-21"/>
    <d v="2025-10-17T00:00:00"/>
    <s v="Freight-TD22"/>
    <s v="Expo"/>
    <n v="-2000"/>
    <d v="2025-11-30T00:00:00"/>
    <d v="2025-11-30T00:00:00"/>
    <n v="12250"/>
    <n v="12250"/>
    <n v="0"/>
    <n v="0"/>
    <x v="47"/>
    <s v="Sell"/>
    <n v="-24500000"/>
    <x v="3"/>
    <x v="5"/>
    <n v="2025"/>
    <s v="Sell"/>
    <x v="0"/>
    <x v="1229"/>
  </r>
  <r>
    <s v="CPC Taiwan Jan 17-21"/>
    <d v="2025-10-17T00:00:00"/>
    <s v="Freight-TD22"/>
    <s v="Expo"/>
    <n v="2000"/>
    <d v="2025-11-30T00:00:00"/>
    <d v="2025-11-30T00:00:00"/>
    <n v="11700"/>
    <n v="12250"/>
    <n v="550"/>
    <n v="550"/>
    <x v="47"/>
    <s v="Buy"/>
    <n v="24500000"/>
    <x v="3"/>
    <x v="5"/>
    <n v="2025"/>
    <s v="Buy"/>
    <x v="0"/>
    <x v="1230"/>
  </r>
  <r>
    <s v="Unallocated"/>
    <d v="2025-10-20T00:00:00"/>
    <s v="WTI Sprds"/>
    <s v="Hedge"/>
    <n v="3414"/>
    <d v="2025-11-30T00:00:00"/>
    <d v="2025-12-31T00:00:00"/>
    <n v="0.5"/>
    <n v="0.5"/>
    <n v="0"/>
    <n v="1707"/>
    <x v="0"/>
    <s v="Buy"/>
    <n v="1707"/>
    <x v="0"/>
    <x v="0"/>
    <n v="2025"/>
    <s v="Buy"/>
    <x v="0"/>
    <x v="1231"/>
  </r>
  <r>
    <s v="CPC Taiwan Jan 17-21"/>
    <d v="2025-10-21T00:00:00"/>
    <s v="WTI Sprds"/>
    <s v="Hedge"/>
    <n v="300"/>
    <d v="2025-12-31T00:00:00"/>
    <d v="2026-01-31T00:00:00"/>
    <n v="0.04"/>
    <n v="0.19"/>
    <n v="45"/>
    <n v="12"/>
    <x v="1"/>
    <s v="Buy"/>
    <n v="57"/>
    <x v="0"/>
    <x v="0"/>
    <n v="2025"/>
    <s v="Buy"/>
    <x v="0"/>
    <x v="1232"/>
  </r>
  <r>
    <s v="Unallocated"/>
    <d v="2025-10-21T00:00:00"/>
    <s v="Brent Sprds"/>
    <s v="Hedge"/>
    <n v="1000"/>
    <d v="2026-01-31T00:00:00"/>
    <d v="2026-02-28T00:00:00"/>
    <n v="0.08"/>
    <n v="0.82"/>
    <n v="740"/>
    <n v="80"/>
    <x v="53"/>
    <s v="Buy"/>
    <n v="820"/>
    <x v="0"/>
    <x v="2"/>
    <n v="2026"/>
    <s v="Buy"/>
    <x v="0"/>
    <x v="1233"/>
  </r>
  <r>
    <s v="Unallocated"/>
    <d v="2025-10-21T00:00:00"/>
    <s v="WTI Sprds"/>
    <s v="Hedge"/>
    <n v="893"/>
    <d v="2025-12-31T00:00:00"/>
    <d v="2026-01-31T00:00:00"/>
    <n v="4.0000000000000008E-2"/>
    <n v="0.19"/>
    <n v="133.94999999999999"/>
    <n v="35.720000000000006"/>
    <x v="1"/>
    <s v="Buy"/>
    <n v="169.67000000000002"/>
    <x v="0"/>
    <x v="0"/>
    <n v="2025"/>
    <s v="Buy"/>
    <x v="0"/>
    <x v="1234"/>
  </r>
  <r>
    <s v="Unallocated"/>
    <d v="2025-10-21T00:00:00"/>
    <s v="WTI Sprds"/>
    <s v="Hedge"/>
    <n v="-893"/>
    <d v="2026-01-31T00:00:00"/>
    <d v="2026-02-28T00:00:00"/>
    <n v="-0.06"/>
    <n v="0.15"/>
    <n v="-187.53"/>
    <n v="53.58"/>
    <x v="53"/>
    <s v="Sell"/>
    <n v="-133.94999999999999"/>
    <x v="0"/>
    <x v="0"/>
    <n v="2026"/>
    <s v="Sell"/>
    <x v="0"/>
    <x v="1235"/>
  </r>
  <r>
    <s v="Unallocated"/>
    <d v="2025-10-17T00:00:00"/>
    <s v="DFL"/>
    <s v="Hedge"/>
    <n v="500"/>
    <d v="2025-11-30T00:00:00"/>
    <d v="2025-11-30T00:00:00"/>
    <n v="0.4"/>
    <n v="0.03"/>
    <n v="-185"/>
    <n v="200"/>
    <x v="47"/>
    <s v="Buy"/>
    <n v="15"/>
    <x v="1"/>
    <x v="1"/>
    <n v="2025"/>
    <s v="Buy"/>
    <x v="0"/>
    <x v="1236"/>
  </r>
  <r>
    <s v="Unallocated"/>
    <d v="2025-10-17T00:00:00"/>
    <s v="DFL"/>
    <s v="Hedge"/>
    <n v="500"/>
    <d v="2025-11-30T00:00:00"/>
    <d v="2025-11-30T00:00:00"/>
    <n v="0.4"/>
    <n v="0.03"/>
    <n v="-185"/>
    <n v="200"/>
    <x v="47"/>
    <s v="Buy"/>
    <n v="15"/>
    <x v="1"/>
    <x v="1"/>
    <n v="2025"/>
    <s v="Buy"/>
    <x v="0"/>
    <x v="1237"/>
  </r>
  <r>
    <s v="Unallocated"/>
    <d v="2025-10-22T00:00:00"/>
    <s v="WTI Sprds"/>
    <s v="Hedge"/>
    <n v="1000"/>
    <d v="2025-12-31T00:00:00"/>
    <d v="2026-01-31T00:00:00"/>
    <n v="0.16999999999999998"/>
    <n v="0.19"/>
    <n v="20.000000000000018"/>
    <n v="169.99999999999997"/>
    <x v="1"/>
    <s v="Buy"/>
    <n v="190"/>
    <x v="0"/>
    <x v="0"/>
    <n v="2025"/>
    <s v="Buy"/>
    <x v="0"/>
    <x v="1238"/>
  </r>
  <r>
    <s v="Unallocated"/>
    <d v="2025-10-22T00:00:00"/>
    <s v="WTI Sprds"/>
    <s v="Hedge"/>
    <n v="-1000"/>
    <d v="2026-01-31T00:00:00"/>
    <d v="2026-02-28T00:00:00"/>
    <n v="0.06"/>
    <n v="0.15"/>
    <n v="-90"/>
    <n v="-60"/>
    <x v="53"/>
    <s v="Sell"/>
    <n v="-150"/>
    <x v="0"/>
    <x v="0"/>
    <n v="2026"/>
    <s v="Sell"/>
    <x v="0"/>
    <x v="1239"/>
  </r>
  <r>
    <s v="Unallocated"/>
    <d v="2025-10-23T00:00:00"/>
    <s v="Brent Sprds"/>
    <s v="Hedge"/>
    <n v="1000"/>
    <d v="2025-12-31T00:00:00"/>
    <d v="2026-01-31T00:00:00"/>
    <n v="0.69"/>
    <n v="0.3"/>
    <n v="-389.99999999999994"/>
    <n v="690"/>
    <x v="1"/>
    <s v="Buy"/>
    <n v="300"/>
    <x v="0"/>
    <x v="2"/>
    <n v="2025"/>
    <s v="Buy"/>
    <x v="0"/>
    <x v="1240"/>
  </r>
  <r>
    <s v="Unallocated"/>
    <d v="2025-10-23T00:00:00"/>
    <s v="Brent Sprds"/>
    <s v="Hedge"/>
    <n v="1000"/>
    <d v="2025-12-31T00:00:00"/>
    <d v="2026-01-31T00:00:00"/>
    <n v="0.68"/>
    <n v="0.3"/>
    <n v="-380.00000000000006"/>
    <n v="680"/>
    <x v="1"/>
    <s v="Buy"/>
    <n v="300"/>
    <x v="0"/>
    <x v="2"/>
    <n v="2025"/>
    <s v="Buy"/>
    <x v="0"/>
    <x v="1241"/>
  </r>
  <r>
    <s v="Unallocated"/>
    <d v="2025-10-27T00:00:00"/>
    <s v="DFL"/>
    <s v="Hedge"/>
    <n v="-301"/>
    <d v="2025-11-30T00:00:00"/>
    <d v="2025-11-30T00:00:00"/>
    <n v="0.88"/>
    <n v="0.03"/>
    <n v="255.85"/>
    <n v="-264.88"/>
    <x v="47"/>
    <s v="Sell"/>
    <n v="-9.0299999999999994"/>
    <x v="1"/>
    <x v="1"/>
    <n v="2025"/>
    <s v="Sell"/>
    <x v="0"/>
    <x v="1242"/>
  </r>
  <r>
    <s v="Unallocated"/>
    <d v="2025-10-27T00:00:00"/>
    <s v="DFL"/>
    <s v="Hedge"/>
    <n v="301"/>
    <d v="2025-12-31T00:00:00"/>
    <d v="2025-12-31T00:00:00"/>
    <n v="0.77"/>
    <n v="0.99"/>
    <n v="66.22"/>
    <n v="231.77"/>
    <x v="51"/>
    <s v="Buy"/>
    <n v="297.99"/>
    <x v="1"/>
    <x v="1"/>
    <n v="2025"/>
    <s v="Buy"/>
    <x v="0"/>
    <x v="1243"/>
  </r>
  <r>
    <s v="Unallocated"/>
    <d v="2025-10-27T00:00:00"/>
    <s v="WTI Sprds"/>
    <s v="Hedge"/>
    <n v="500"/>
    <d v="2025-12-31T00:00:00"/>
    <d v="2026-01-31T00:00:00"/>
    <n v="0.55000000000000004"/>
    <n v="0.19"/>
    <n v="-180.00000000000003"/>
    <n v="275"/>
    <x v="1"/>
    <s v="Buy"/>
    <n v="95"/>
    <x v="0"/>
    <x v="0"/>
    <n v="2025"/>
    <s v="Buy"/>
    <x v="0"/>
    <x v="1244"/>
  </r>
  <r>
    <s v="Unallocated"/>
    <d v="2025-10-27T00:00:00"/>
    <s v="WTI Sprds"/>
    <s v="Hedge"/>
    <n v="200"/>
    <d v="2025-12-31T00:00:00"/>
    <d v="2026-01-31T00:00:00"/>
    <n v="0.52"/>
    <n v="0.19"/>
    <n v="-66"/>
    <n v="104"/>
    <x v="1"/>
    <s v="Buy"/>
    <n v="38"/>
    <x v="0"/>
    <x v="0"/>
    <n v="2025"/>
    <s v="Buy"/>
    <x v="0"/>
    <x v="1245"/>
  </r>
  <r>
    <s v="Unallocated"/>
    <d v="2025-10-28T00:00:00"/>
    <s v="WTI Sprds"/>
    <s v="Hedge"/>
    <n v="1000"/>
    <d v="2025-12-31T00:00:00"/>
    <d v="2026-01-31T00:00:00"/>
    <n v="0.46"/>
    <n v="0.19"/>
    <n v="-270"/>
    <n v="460"/>
    <x v="1"/>
    <s v="Buy"/>
    <n v="190"/>
    <x v="0"/>
    <x v="0"/>
    <n v="2025"/>
    <s v="Buy"/>
    <x v="0"/>
    <x v="1246"/>
  </r>
  <r>
    <s v="Dec25 EFP 1"/>
    <d v="2025-10-28T00:00:00"/>
    <s v="Physical"/>
    <s v="Expo"/>
    <n v="700"/>
    <d v="2025-12-31T00:00:00"/>
    <d v="2025-12-31T00:00:00"/>
    <n v="6.999999999999984E-2"/>
    <n v="-0.02"/>
    <n v="-62.999999999999893"/>
    <n v="48.999999999999886"/>
    <x v="51"/>
    <s v="Buy"/>
    <n v="-14"/>
    <x v="2"/>
    <x v="4"/>
    <n v="2025"/>
    <s v="Buy"/>
    <x v="1"/>
    <x v="1247"/>
  </r>
  <r>
    <s v="Dec25 EFP 1"/>
    <d v="2025-10-28T00:00:00"/>
    <s v="WTI-Brent"/>
    <s v="Expo"/>
    <n v="-700"/>
    <d v="2025-12-31T00:00:00"/>
    <d v="2025-12-31T00:00:00"/>
    <n v="-4.25"/>
    <n v="-4.09"/>
    <n v="-112.0000000000001"/>
    <n v="2975"/>
    <x v="51"/>
    <s v="Sell"/>
    <n v="2863"/>
    <x v="1"/>
    <x v="3"/>
    <n v="2025"/>
    <s v="Sell"/>
    <x v="0"/>
    <x v="1248"/>
  </r>
  <r>
    <s v="Dec25 EFP 1"/>
    <d v="2025-10-28T00:00:00"/>
    <s v="Freight-TD25"/>
    <s v="Expo"/>
    <n v="-700"/>
    <d v="2025-12-31T00:00:00"/>
    <d v="2025-12-31T00:00:00"/>
    <n v="200"/>
    <n v="208.93"/>
    <n v="-125.02000000000011"/>
    <n v="-140000"/>
    <x v="51"/>
    <s v="Sell"/>
    <n v="-146251"/>
    <x v="3"/>
    <x v="5"/>
    <n v="2025"/>
    <s v="Sell"/>
    <x v="0"/>
    <x v="1249"/>
  </r>
  <r>
    <s v="Dec25 EFP 1"/>
    <d v="2025-11-18T00:00:00"/>
    <s v="Freight-TD25"/>
    <s v="Hedge"/>
    <n v="700"/>
    <d v="2025-12-31T00:00:00"/>
    <d v="2025-12-31T00:00:00"/>
    <n v="185"/>
    <n v="208.93"/>
    <n v="335.0200000000001"/>
    <n v="129500"/>
    <x v="51"/>
    <s v="Buy"/>
    <n v="146251"/>
    <x v="3"/>
    <x v="5"/>
    <n v="2025"/>
    <s v="Buy"/>
    <x v="0"/>
    <x v="1250"/>
  </r>
  <r>
    <s v="Dec25 EFP 1"/>
    <d v="2025-10-28T00:00:00"/>
    <s v="Freight-TD7"/>
    <s v="Expo"/>
    <n v="700"/>
    <d v="2025-12-31T00:00:00"/>
    <d v="2025-12-31T00:00:00"/>
    <n v="145"/>
    <n v="160"/>
    <n v="52.5"/>
    <n v="101500"/>
    <x v="51"/>
    <s v="Buy"/>
    <n v="112000"/>
    <x v="3"/>
    <x v="5"/>
    <n v="2025"/>
    <s v="Buy"/>
    <x v="0"/>
    <x v="1251"/>
  </r>
  <r>
    <s v="Dec25 EFP 1"/>
    <d v="2025-10-28T00:00:00"/>
    <s v="Freight-TD7"/>
    <s v="Expo"/>
    <n v="-700"/>
    <d v="2025-12-31T00:00:00"/>
    <d v="2025-12-31T00:00:00"/>
    <n v="150"/>
    <n v="160"/>
    <n v="-35"/>
    <n v="-105000"/>
    <x v="51"/>
    <s v="Sell"/>
    <n v="-112000"/>
    <x v="3"/>
    <x v="5"/>
    <n v="2025"/>
    <s v="Sell"/>
    <x v="0"/>
    <x v="1252"/>
  </r>
  <r>
    <s v="Dec25 EFP 1"/>
    <d v="2025-10-28T00:00:00"/>
    <s v="WTI-Brent"/>
    <s v="Hedge"/>
    <n v="700"/>
    <d v="2025-12-31T00:00:00"/>
    <d v="2025-12-31T00:00:00"/>
    <n v="-4.26"/>
    <n v="-4.09"/>
    <n v="118.99999999999994"/>
    <n v="-2982"/>
    <x v="51"/>
    <s v="Buy"/>
    <n v="-2863"/>
    <x v="1"/>
    <x v="3"/>
    <n v="2025"/>
    <s v="Buy"/>
    <x v="0"/>
    <x v="1253"/>
  </r>
  <r>
    <s v="CPC Taiwan Jan 17-21"/>
    <d v="2025-10-28T00:00:00"/>
    <s v="WTI-Brent"/>
    <s v="Hedge"/>
    <n v="1000"/>
    <d v="2026-01-31T00:00:00"/>
    <d v="2026-01-31T00:00:00"/>
    <n v="-4.05"/>
    <n v="-4.6500000000000004"/>
    <n v="-600.00000000000057"/>
    <n v="-4050"/>
    <x v="52"/>
    <s v="Buy"/>
    <n v="-4650"/>
    <x v="1"/>
    <x v="3"/>
    <n v="2026"/>
    <s v="Buy"/>
    <x v="0"/>
    <x v="1254"/>
  </r>
  <r>
    <s v="Unallocated"/>
    <d v="2025-10-29T00:00:00"/>
    <s v="DFL"/>
    <s v="Hedge"/>
    <n v="-400"/>
    <d v="2025-11-30T00:00:00"/>
    <d v="2025-11-30T00:00:00"/>
    <n v="0.79499999999999993"/>
    <n v="0.03"/>
    <n v="305.99999999999994"/>
    <n v="-318"/>
    <x v="47"/>
    <s v="Sell"/>
    <n v="-12"/>
    <x v="1"/>
    <x v="1"/>
    <n v="2025"/>
    <s v="Sell"/>
    <x v="0"/>
    <x v="1255"/>
  </r>
  <r>
    <s v="Unallocated"/>
    <d v="2025-10-29T00:00:00"/>
    <s v="DFL"/>
    <s v="Hedge"/>
    <n v="400"/>
    <d v="2025-12-31T00:00:00"/>
    <d v="2025-12-31T00:00:00"/>
    <n v="0.61"/>
    <n v="0.99"/>
    <n v="152"/>
    <n v="244"/>
    <x v="51"/>
    <s v="Buy"/>
    <n v="396"/>
    <x v="1"/>
    <x v="1"/>
    <n v="2025"/>
    <s v="Buy"/>
    <x v="0"/>
    <x v="1256"/>
  </r>
  <r>
    <s v="Unallocated"/>
    <d v="2025-10-29T00:00:00"/>
    <s v="WTI-Brent"/>
    <s v="Hedge"/>
    <n v="346"/>
    <d v="2025-12-31T00:00:00"/>
    <d v="2025-12-31T00:00:00"/>
    <n v="-4.3499999999999996"/>
    <n v="-4.09"/>
    <n v="89.959999999999923"/>
    <n v="-1505.1"/>
    <x v="51"/>
    <s v="Buy"/>
    <n v="-1415.1399999999999"/>
    <x v="1"/>
    <x v="3"/>
    <n v="2025"/>
    <s v="Buy"/>
    <x v="0"/>
    <x v="1257"/>
  </r>
  <r>
    <s v="Unallocated"/>
    <d v="2025-10-29T00:00:00"/>
    <s v="WTI-Brent"/>
    <s v="Hedge"/>
    <n v="1000"/>
    <d v="2026-01-31T00:00:00"/>
    <d v="2026-01-31T00:00:00"/>
    <n v="-4.2"/>
    <n v="-4.6500000000000004"/>
    <n v="-450.00000000000017"/>
    <n v="-4200"/>
    <x v="52"/>
    <s v="Buy"/>
    <n v="-4650"/>
    <x v="1"/>
    <x v="3"/>
    <n v="2026"/>
    <s v="Buy"/>
    <x v="0"/>
    <x v="1258"/>
  </r>
  <r>
    <s v="Unallocated"/>
    <d v="2025-10-29T00:00:00"/>
    <s v="WTI Sprds"/>
    <s v="Hedge"/>
    <n v="500"/>
    <d v="2025-12-31T00:00:00"/>
    <d v="2026-01-31T00:00:00"/>
    <n v="0.36"/>
    <n v="0.19"/>
    <n v="-84.999999999999986"/>
    <n v="180"/>
    <x v="1"/>
    <s v="Buy"/>
    <n v="95"/>
    <x v="0"/>
    <x v="0"/>
    <n v="2025"/>
    <s v="Buy"/>
    <x v="0"/>
    <x v="1259"/>
  </r>
  <r>
    <s v="Unallocated"/>
    <d v="2025-10-29T00:00:00"/>
    <s v="Brent Sprds"/>
    <s v="Hedge"/>
    <n v="-1000"/>
    <d v="2025-12-31T00:00:00"/>
    <d v="2026-01-31T00:00:00"/>
    <n v="0.61"/>
    <n v="0.3"/>
    <n v="310"/>
    <n v="-610"/>
    <x v="1"/>
    <s v="Sell"/>
    <n v="-300"/>
    <x v="0"/>
    <x v="2"/>
    <n v="2025"/>
    <s v="Sell"/>
    <x v="0"/>
    <x v="1260"/>
  </r>
  <r>
    <s v="Unallocated"/>
    <d v="2025-10-29T00:00:00"/>
    <s v="Brent Sprds"/>
    <s v="Hedge"/>
    <n v="1000"/>
    <d v="2026-01-31T00:00:00"/>
    <d v="2026-02-28T00:00:00"/>
    <n v="0.46"/>
    <n v="0.82"/>
    <n v="359.99999999999994"/>
    <n v="460"/>
    <x v="53"/>
    <s v="Buy"/>
    <n v="820"/>
    <x v="0"/>
    <x v="2"/>
    <n v="2026"/>
    <s v="Buy"/>
    <x v="0"/>
    <x v="1261"/>
  </r>
  <r>
    <s v="Dec25 EFP 2"/>
    <d v="2025-10-30T00:00:00"/>
    <s v="Physical"/>
    <s v="Expo"/>
    <m/>
    <d v="2025-12-31T00:00:00"/>
    <d v="2025-12-31T00:00:00"/>
    <n v="6.999999999999984E-2"/>
    <n v="0.01"/>
    <n v="0"/>
    <n v="0"/>
    <x v="51"/>
    <s v="Buy"/>
    <n v="0"/>
    <x v="2"/>
    <x v="4"/>
    <n v="2025"/>
    <s v="Sell"/>
    <x v="1"/>
    <x v="1262"/>
  </r>
  <r>
    <s v="Dec25 EFP 2"/>
    <d v="2025-10-30T00:00:00"/>
    <s v="WTI-Brent"/>
    <s v="Expo"/>
    <n v="0"/>
    <d v="2025-12-31T00:00:00"/>
    <d v="2025-12-31T00:00:00"/>
    <n v="-4.3899999999999997"/>
    <n v="-4.09"/>
    <n v="0"/>
    <n v="0"/>
    <x v="51"/>
    <s v="Buy"/>
    <n v="0"/>
    <x v="1"/>
    <x v="3"/>
    <n v="2025"/>
    <s v="Sell"/>
    <x v="0"/>
    <x v="1263"/>
  </r>
  <r>
    <s v="Dec25 EFP 2"/>
    <d v="2025-10-30T00:00:00"/>
    <s v="WTI-Brent"/>
    <s v="Expo"/>
    <n v="0"/>
    <d v="2025-12-31T00:00:00"/>
    <d v="2025-12-31T00:00:00"/>
    <n v="-4.3899999999999997"/>
    <n v="-4.09"/>
    <n v="0"/>
    <n v="0"/>
    <x v="51"/>
    <s v="Buy"/>
    <n v="0"/>
    <x v="1"/>
    <x v="3"/>
    <n v="2025"/>
    <s v="Sell"/>
    <x v="0"/>
    <x v="1264"/>
  </r>
  <r>
    <s v="Dec25 EFP 2"/>
    <d v="2025-10-30T00:00:00"/>
    <s v="WTI-Brent"/>
    <s v="Expo"/>
    <n v="0"/>
    <d v="2026-01-31T00:00:00"/>
    <d v="2026-01-31T00:00:00"/>
    <n v="-4.0999999999999996"/>
    <n v="-4.6500000000000004"/>
    <n v="0"/>
    <n v="0"/>
    <x v="52"/>
    <s v="Buy"/>
    <n v="0"/>
    <x v="1"/>
    <x v="3"/>
    <n v="2026"/>
    <s v="Sell"/>
    <x v="0"/>
    <x v="1265"/>
  </r>
  <r>
    <s v="Dec25 EFP 2"/>
    <d v="2025-10-29T00:00:00"/>
    <s v="WTI Sprds"/>
    <s v="Expo"/>
    <n v="0"/>
    <d v="2025-12-31T00:00:00"/>
    <d v="2026-01-31T00:00:00"/>
    <n v="0.37"/>
    <n v="0.19"/>
    <n v="0"/>
    <n v="0"/>
    <x v="1"/>
    <s v="Buy"/>
    <n v="0"/>
    <x v="0"/>
    <x v="0"/>
    <n v="2025"/>
    <s v="Sell"/>
    <x v="0"/>
    <x v="1266"/>
  </r>
  <r>
    <s v="Dec25 EFP 2"/>
    <d v="2025-10-29T00:00:00"/>
    <s v="Brent Sprds"/>
    <s v="Expo"/>
    <n v="0"/>
    <d v="2025-12-31T00:00:00"/>
    <d v="2026-01-31T00:00:00"/>
    <n v="0.66"/>
    <n v="0.3"/>
    <n v="0"/>
    <n v="0"/>
    <x v="1"/>
    <s v="Buy"/>
    <n v="0"/>
    <x v="0"/>
    <x v="2"/>
    <n v="2025"/>
    <s v="Sell"/>
    <x v="0"/>
    <x v="1267"/>
  </r>
  <r>
    <s v="Dec25 EFP 2"/>
    <d v="2025-10-29T00:00:00"/>
    <s v="Brent Sprds"/>
    <s v="Hedge"/>
    <n v="-700"/>
    <d v="2025-12-31T00:00:00"/>
    <d v="2026-01-31T00:00:00"/>
    <n v="0.66"/>
    <n v="0.3"/>
    <n v="252.00000000000003"/>
    <n v="-462"/>
    <x v="1"/>
    <s v="Sell"/>
    <n v="-210"/>
    <x v="0"/>
    <x v="2"/>
    <n v="2025"/>
    <s v="Sell"/>
    <x v="0"/>
    <x v="1268"/>
  </r>
  <r>
    <s v="Dec25 EFP 2"/>
    <d v="2025-10-30T00:00:00"/>
    <s v="Freight-TD25"/>
    <s v="Expo"/>
    <m/>
    <d v="2025-12-31T00:00:00"/>
    <d v="2025-12-31T00:00:00"/>
    <n v="200"/>
    <n v="208.93"/>
    <n v="0"/>
    <n v="0"/>
    <x v="51"/>
    <s v="Buy"/>
    <n v="0"/>
    <x v="3"/>
    <x v="5"/>
    <n v="2025"/>
    <s v="Sell"/>
    <x v="0"/>
    <x v="1269"/>
  </r>
  <r>
    <s v="Dec25 EFP 2"/>
    <d v="2025-10-30T00:00:00"/>
    <s v="Freight-TD7"/>
    <s v="Expo"/>
    <m/>
    <d v="2025-12-31T00:00:00"/>
    <d v="2025-12-31T00:00:00"/>
    <n v="145"/>
    <n v="160"/>
    <n v="0"/>
    <n v="0"/>
    <x v="51"/>
    <s v="Buy"/>
    <n v="0"/>
    <x v="3"/>
    <x v="5"/>
    <n v="2025"/>
    <s v="Sell"/>
    <x v="0"/>
    <x v="1270"/>
  </r>
  <r>
    <s v="Unallocated"/>
    <d v="2025-10-30T00:00:00"/>
    <s v="Brent Sprds"/>
    <s v="Hedge"/>
    <n v="-1000"/>
    <d v="2025-12-31T00:00:00"/>
    <d v="2026-01-31T00:00:00"/>
    <n v="0.63"/>
    <n v="0.3"/>
    <n v="330"/>
    <n v="-630"/>
    <x v="1"/>
    <s v="Sell"/>
    <n v="-300"/>
    <x v="0"/>
    <x v="2"/>
    <n v="2025"/>
    <s v="Sell"/>
    <x v="0"/>
    <x v="1271"/>
  </r>
  <r>
    <s v="Unallocated"/>
    <d v="2025-10-30T00:00:00"/>
    <s v="Brent Sprds"/>
    <s v="Hedge"/>
    <n v="1000"/>
    <d v="2026-01-31T00:00:00"/>
    <d v="2026-02-28T00:00:00"/>
    <n v="0.48"/>
    <n v="0.82"/>
    <n v="339.99999999999994"/>
    <n v="480"/>
    <x v="53"/>
    <s v="Buy"/>
    <n v="820"/>
    <x v="0"/>
    <x v="2"/>
    <n v="2026"/>
    <s v="Buy"/>
    <x v="0"/>
    <x v="1272"/>
  </r>
  <r>
    <s v="Unallocated"/>
    <d v="2025-10-30T00:00:00"/>
    <s v="Physical"/>
    <s v="Hedge"/>
    <n v="-208"/>
    <d v="2026-01-31T00:00:00"/>
    <d v="2026-01-31T00:00:00"/>
    <n v="67.02"/>
    <n v="65"/>
    <n v="420.15999999999917"/>
    <n v="-13940.16"/>
    <x v="52"/>
    <s v="Sell"/>
    <n v="-13520"/>
    <x v="2"/>
    <x v="4"/>
    <n v="2026"/>
    <s v="Sell"/>
    <x v="1"/>
    <x v="1273"/>
  </r>
  <r>
    <s v="Dec25 EFP 1"/>
    <d v="2025-10-31T00:00:00"/>
    <s v="Brent Sprds"/>
    <s v="Hedge"/>
    <n v="700"/>
    <d v="2025-12-31T00:00:00"/>
    <d v="2026-01-31T00:00:00"/>
    <n v="0.65"/>
    <n v="0.3"/>
    <n v="-245.00000000000003"/>
    <n v="455"/>
    <x v="1"/>
    <s v="Buy"/>
    <n v="210"/>
    <x v="0"/>
    <x v="2"/>
    <n v="2025"/>
    <s v="Buy"/>
    <x v="0"/>
    <x v="1274"/>
  </r>
  <r>
    <s v="Unallocated"/>
    <d v="2025-10-31T00:00:00"/>
    <s v="DFL"/>
    <s v="Hedge"/>
    <n v="-9"/>
    <d v="2025-11-30T00:00:00"/>
    <d v="2025-11-30T00:00:00"/>
    <n v="0.8"/>
    <n v="0.03"/>
    <n v="6.93"/>
    <n v="-7.2"/>
    <x v="47"/>
    <s v="Sell"/>
    <n v="-0.27"/>
    <x v="1"/>
    <x v="1"/>
    <n v="2025"/>
    <s v="Sell"/>
    <x v="0"/>
    <x v="1275"/>
  </r>
  <r>
    <s v="Unallocated"/>
    <d v="2025-10-31T00:00:00"/>
    <s v="DFL"/>
    <s v="Hedge"/>
    <n v="-1000"/>
    <d v="2025-12-31T00:00:00"/>
    <d v="2025-12-31T00:00:00"/>
    <n v="0.73"/>
    <n v="0.99"/>
    <n v="-260"/>
    <n v="-730"/>
    <x v="51"/>
    <s v="Sell"/>
    <n v="-990"/>
    <x v="1"/>
    <x v="1"/>
    <n v="2025"/>
    <s v="Sell"/>
    <x v="0"/>
    <x v="1276"/>
  </r>
  <r>
    <s v="Unallocated"/>
    <d v="2025-10-31T00:00:00"/>
    <s v="DFL"/>
    <s v="Hedge"/>
    <n v="-1000"/>
    <d v="2025-12-31T00:00:00"/>
    <d v="2025-12-31T00:00:00"/>
    <n v="0.74"/>
    <n v="0.99"/>
    <n v="-250"/>
    <n v="-740"/>
    <x v="51"/>
    <s v="Sell"/>
    <n v="-990"/>
    <x v="1"/>
    <x v="1"/>
    <n v="2025"/>
    <s v="Sell"/>
    <x v="0"/>
    <x v="1277"/>
  </r>
  <r>
    <s v="Unallocated"/>
    <d v="2025-10-29T00:00:00"/>
    <s v="WTI Sprds"/>
    <s v="Hedge"/>
    <n v="500"/>
    <d v="2026-01-31T00:00:00"/>
    <d v="2026-02-28T00:00:00"/>
    <n v="0.32"/>
    <n v="0.15"/>
    <n v="-85"/>
    <n v="160"/>
    <x v="53"/>
    <s v="Buy"/>
    <n v="75"/>
    <x v="0"/>
    <x v="0"/>
    <n v="2026"/>
    <s v="Buy"/>
    <x v="0"/>
    <x v="1278"/>
  </r>
  <r>
    <s v="Unallocated"/>
    <d v="2025-10-29T00:00:00"/>
    <s v="WTI Sprds"/>
    <s v="Hedge"/>
    <n v="300"/>
    <d v="2025-12-31T00:00:00"/>
    <d v="2026-01-31T00:00:00"/>
    <n v="0.29499999999999998"/>
    <n v="0.19"/>
    <n v="-31.499999999999993"/>
    <n v="88.5"/>
    <x v="1"/>
    <s v="Buy"/>
    <n v="57"/>
    <x v="0"/>
    <x v="0"/>
    <n v="2025"/>
    <s v="Buy"/>
    <x v="0"/>
    <x v="1279"/>
  </r>
  <r>
    <s v="Unallocated"/>
    <d v="2025-10-29T00:00:00"/>
    <s v="WTI Sprds"/>
    <s v="Hedge"/>
    <n v="300"/>
    <d v="2026-01-31T00:00:00"/>
    <d v="2026-02-28T00:00:00"/>
    <n v="0.29499999999999998"/>
    <n v="0.15"/>
    <n v="-43.5"/>
    <n v="88.5"/>
    <x v="53"/>
    <s v="Buy"/>
    <n v="45"/>
    <x v="0"/>
    <x v="0"/>
    <n v="2026"/>
    <s v="Buy"/>
    <x v="0"/>
    <x v="1280"/>
  </r>
  <r>
    <s v="Unallocated"/>
    <d v="2025-10-31T00:00:00"/>
    <s v="DFL"/>
    <s v="Hedge"/>
    <n v="-400"/>
    <d v="2025-12-31T00:00:00"/>
    <d v="2025-12-31T00:00:00"/>
    <n v="0.625"/>
    <n v="0.99"/>
    <n v="-146"/>
    <n v="-250"/>
    <x v="51"/>
    <s v="Sell"/>
    <n v="-396"/>
    <x v="1"/>
    <x v="1"/>
    <n v="2025"/>
    <s v="Sell"/>
    <x v="0"/>
    <x v="1281"/>
  </r>
  <r>
    <s v="Unallocated"/>
    <d v="2025-11-05T00:00:00"/>
    <s v="DFL"/>
    <s v="Hedge"/>
    <n v="-401"/>
    <d v="2025-12-31T00:00:00"/>
    <d v="2025-12-31T00:00:00"/>
    <n v="0.46"/>
    <n v="0.99"/>
    <n v="-212.53"/>
    <n v="-184.46"/>
    <x v="51"/>
    <s v="Sell"/>
    <n v="-396.99"/>
    <x v="1"/>
    <x v="1"/>
    <n v="2025"/>
    <s v="Sell"/>
    <x v="0"/>
    <x v="1282"/>
  </r>
  <r>
    <s v="Unallocated"/>
    <d v="2025-11-05T00:00:00"/>
    <s v="WTI Sprds"/>
    <s v="Hedge"/>
    <n v="-843"/>
    <d v="2025-12-31T00:00:00"/>
    <d v="2026-01-31T00:00:00"/>
    <n v="0.17999999999999972"/>
    <n v="0.19"/>
    <n v="-8.4300000000002413"/>
    <n v="-151.73999999999975"/>
    <x v="1"/>
    <s v="Sell"/>
    <n v="-160.17000000000002"/>
    <x v="0"/>
    <x v="0"/>
    <n v="2025"/>
    <s v="Sell"/>
    <x v="0"/>
    <x v="1283"/>
  </r>
  <r>
    <s v="Unallocated"/>
    <d v="2025-11-05T00:00:00"/>
    <s v="WTI Sprds"/>
    <s v="Hedge"/>
    <n v="1093"/>
    <d v="2026-01-31T00:00:00"/>
    <d v="2026-02-28T00:00:00"/>
    <n v="0.14999999999999858"/>
    <n v="0.15"/>
    <n v="1.5471790515420025E-12"/>
    <n v="163.94999999999845"/>
    <x v="53"/>
    <s v="Buy"/>
    <n v="163.95"/>
    <x v="0"/>
    <x v="0"/>
    <n v="2026"/>
    <s v="Buy"/>
    <x v="0"/>
    <x v="1284"/>
  </r>
  <r>
    <s v="Dec25 EFP 2"/>
    <d v="2025-11-05T00:00:00"/>
    <s v="WTI-Brent"/>
    <s v="Hedge"/>
    <n v="1200"/>
    <d v="2026-01-31T00:00:00"/>
    <d v="2026-01-31T00:00:00"/>
    <n v="-4.1000000000000014"/>
    <n v="-4.6500000000000004"/>
    <n v="-659.99999999999875"/>
    <n v="-4920.0000000000018"/>
    <x v="52"/>
    <s v="Buy"/>
    <n v="-5580"/>
    <x v="1"/>
    <x v="3"/>
    <n v="2026"/>
    <s v="Buy"/>
    <x v="0"/>
    <x v="1285"/>
  </r>
  <r>
    <s v="Dec25 EFP 2"/>
    <d v="2025-11-05T00:00:00"/>
    <s v="Brent Sprds"/>
    <s v="Hedge"/>
    <n v="-900"/>
    <d v="2026-01-31T00:00:00"/>
    <d v="2026-02-28T00:00:00"/>
    <n v="0.35"/>
    <n v="0.82"/>
    <n v="-423"/>
    <n v="-315"/>
    <x v="53"/>
    <s v="Sell"/>
    <n v="-738"/>
    <x v="0"/>
    <x v="2"/>
    <n v="2026"/>
    <s v="Sell"/>
    <x v="0"/>
    <x v="1286"/>
  </r>
  <r>
    <s v="Dec25 EFP 2"/>
    <d v="2025-11-05T00:00:00"/>
    <s v="WTI-Brent"/>
    <s v="Hedge"/>
    <n v="893"/>
    <d v="2026-01-31T00:00:00"/>
    <d v="2026-01-31T00:00:00"/>
    <n v="-4.1500000000000004"/>
    <n v="-4.6500000000000004"/>
    <n v="-446.5"/>
    <n v="-3705.9500000000003"/>
    <x v="52"/>
    <s v="Buy"/>
    <n v="-4152.4500000000007"/>
    <x v="1"/>
    <x v="3"/>
    <n v="2026"/>
    <s v="Buy"/>
    <x v="0"/>
    <x v="1287"/>
  </r>
  <r>
    <s v="HDO Feb26 5-15"/>
    <d v="2025-11-12T00:00:00"/>
    <s v="Physical"/>
    <s v="Expo"/>
    <n v="2100"/>
    <d v="2025-12-31T00:00:00"/>
    <d v="2025-12-31T00:00:00"/>
    <n v="4.540588235294118"/>
    <n v="4.8099999999999996"/>
    <n v="565.76470588235134"/>
    <n v="9535.2352941176487"/>
    <x v="51"/>
    <s v="Buy"/>
    <n v="10101"/>
    <x v="2"/>
    <x v="4"/>
    <n v="2025"/>
    <s v="Buy"/>
    <x v="1"/>
    <x v="1288"/>
  </r>
  <r>
    <s v="HDO Feb26 5-15"/>
    <d v="2025-11-12T00:00:00"/>
    <s v="WTI Sprds"/>
    <s v="Expo"/>
    <n v="-2100"/>
    <d v="2025-12-31T00:00:00"/>
    <d v="2026-01-31T00:00:00"/>
    <n v="0.02"/>
    <n v="0.19"/>
    <n v="-357"/>
    <n v="-42"/>
    <x v="1"/>
    <s v="Sell"/>
    <n v="-399"/>
    <x v="0"/>
    <x v="0"/>
    <n v="2025"/>
    <s v="Sell"/>
    <x v="0"/>
    <x v="1289"/>
  </r>
  <r>
    <s v="HDO Feb26 5-15"/>
    <d v="2025-11-12T00:00:00"/>
    <s v="WTI Sprds"/>
    <s v="Expo"/>
    <n v="-2100"/>
    <d v="2026-01-31T00:00:00"/>
    <d v="2026-02-28T00:00:00"/>
    <n v="0.08"/>
    <n v="0.15"/>
    <n v="-146.99999999999997"/>
    <n v="-168"/>
    <x v="53"/>
    <s v="Sell"/>
    <n v="-315"/>
    <x v="0"/>
    <x v="0"/>
    <n v="2026"/>
    <s v="Sell"/>
    <x v="0"/>
    <x v="1290"/>
  </r>
  <r>
    <s v="HDO Feb26 5-15"/>
    <d v="2025-11-12T00:00:00"/>
    <s v="WTI-Brent"/>
    <s v="Expo"/>
    <n v="-2100"/>
    <d v="2026-02-28T00:00:00"/>
    <d v="2026-02-28T00:00:00"/>
    <n v="-3.98"/>
    <n v="-3.97"/>
    <n v="-20.999999999999552"/>
    <n v="8358"/>
    <x v="54"/>
    <s v="Sell"/>
    <n v="8337"/>
    <x v="1"/>
    <x v="3"/>
    <n v="2026"/>
    <s v="Sell"/>
    <x v="1"/>
    <x v="1291"/>
  </r>
  <r>
    <s v="HDO Feb26 5-15"/>
    <d v="2025-11-12T00:00:00"/>
    <s v="Brent Sprds"/>
    <s v="Expo"/>
    <n v="-2005"/>
    <d v="2026-02-28T00:00:00"/>
    <d v="2026-03-31T00:00:00"/>
    <n v="0.15"/>
    <n v="0.59"/>
    <n v="-882.19999999999993"/>
    <n v="-300.75"/>
    <x v="55"/>
    <s v="Sell"/>
    <n v="-1182.95"/>
    <x v="0"/>
    <x v="2"/>
    <n v="2026"/>
    <s v="Sell"/>
    <x v="1"/>
    <x v="1292"/>
  </r>
  <r>
    <s v="HDO Feb26 5-15"/>
    <d v="2025-11-12T00:00:00"/>
    <s v="Brent Sprds"/>
    <s v="Expo"/>
    <n v="-95"/>
    <d v="2026-03-31T00:00:00"/>
    <d v="2026-04-30T00:00:00"/>
    <n v="0.05"/>
    <n v="0.63"/>
    <n v="-55.099999999999994"/>
    <n v="-4.75"/>
    <x v="56"/>
    <s v="Sell"/>
    <n v="-59.85"/>
    <x v="0"/>
    <x v="2"/>
    <n v="2026"/>
    <s v="Sell"/>
    <x v="1"/>
    <x v="1293"/>
  </r>
  <r>
    <s v="HDO Feb26 5-15"/>
    <d v="2025-11-12T00:00:00"/>
    <s v="Freight-TD22"/>
    <s v="Expo"/>
    <n v="-2000"/>
    <d v="2025-12-31T00:00:00"/>
    <d v="2025-12-31T00:00:00"/>
    <n v="13750"/>
    <n v="13750"/>
    <n v="0"/>
    <n v="0"/>
    <x v="51"/>
    <s v="Sell"/>
    <n v="-27500000"/>
    <x v="3"/>
    <x v="5"/>
    <n v="2025"/>
    <s v="Sell"/>
    <x v="0"/>
    <x v="1294"/>
  </r>
  <r>
    <s v="HDO Feb26 5-15"/>
    <d v="2025-11-12T00:00:00"/>
    <s v="Freight-TD22"/>
    <s v="Expo"/>
    <n v="2000"/>
    <d v="2025-12-31T00:00:00"/>
    <d v="2025-12-31T00:00:00"/>
    <n v="13250"/>
    <n v="13750"/>
    <n v="500"/>
    <n v="500"/>
    <x v="51"/>
    <s v="Buy"/>
    <n v="27500000"/>
    <x v="3"/>
    <x v="5"/>
    <n v="2025"/>
    <s v="Buy"/>
    <x v="0"/>
    <x v="1295"/>
  </r>
  <r>
    <s v="HDO Feb26 5-15"/>
    <d v="2025-11-11T00:00:00"/>
    <s v="WTI Sprds"/>
    <s v="Hedge"/>
    <n v="725"/>
    <d v="2025-12-31T00:00:00"/>
    <d v="2026-01-31T00:00:00"/>
    <n v="4.9999999999997158E-2"/>
    <n v="0.19"/>
    <n v="101.50000000000206"/>
    <n v="36.249999999997939"/>
    <x v="1"/>
    <s v="Buy"/>
    <n v="137.75"/>
    <x v="0"/>
    <x v="0"/>
    <n v="2025"/>
    <s v="Buy"/>
    <x v="0"/>
    <x v="1296"/>
  </r>
  <r>
    <s v="HDO Feb26 5-15"/>
    <d v="2025-11-11T00:00:00"/>
    <s v="WTI Sprds"/>
    <s v="Hedge"/>
    <n v="725"/>
    <d v="2026-01-31T00:00:00"/>
    <d v="2026-02-28T00:00:00"/>
    <n v="0.12000000000000455"/>
    <n v="0.15"/>
    <n v="21.7499999999967"/>
    <n v="87.000000000003297"/>
    <x v="53"/>
    <s v="Buy"/>
    <n v="108.75"/>
    <x v="0"/>
    <x v="0"/>
    <n v="2026"/>
    <s v="Buy"/>
    <x v="0"/>
    <x v="1297"/>
  </r>
  <r>
    <s v="HDO Feb26 5-15"/>
    <d v="2025-11-11T00:00:00"/>
    <s v="WTI-Brent"/>
    <s v="Hedge"/>
    <n v="725"/>
    <d v="2026-02-28T00:00:00"/>
    <d v="2026-02-28T00:00:00"/>
    <n v="-4.0000000000000071"/>
    <n v="-3.97"/>
    <n v="21.750000000005009"/>
    <n v="-2900.000000000005"/>
    <x v="54"/>
    <s v="Buy"/>
    <n v="-2878.25"/>
    <x v="1"/>
    <x v="3"/>
    <n v="2026"/>
    <s v="Buy"/>
    <x v="1"/>
    <x v="1298"/>
  </r>
  <r>
    <s v="HDO Feb26 5-15"/>
    <d v="2025-11-12T00:00:00"/>
    <s v="WTI Sprds"/>
    <s v="Hedge"/>
    <n v="1400"/>
    <d v="2025-12-31T00:00:00"/>
    <d v="2026-01-31T00:00:00"/>
    <n v="0"/>
    <n v="0.19"/>
    <n v="266"/>
    <n v="0"/>
    <x v="1"/>
    <s v="Buy"/>
    <n v="266"/>
    <x v="0"/>
    <x v="0"/>
    <n v="2025"/>
    <s v="Buy"/>
    <x v="0"/>
    <x v="1299"/>
  </r>
  <r>
    <s v="HDO Feb26 5-15"/>
    <d v="2025-11-12T00:00:00"/>
    <s v="WTI Sprds"/>
    <s v="Hedge"/>
    <n v="1400"/>
    <d v="2026-01-31T00:00:00"/>
    <d v="2026-02-28T00:00:00"/>
    <n v="7.0000000000000284E-2"/>
    <n v="0.15"/>
    <n v="111.99999999999959"/>
    <n v="98.000000000000398"/>
    <x v="53"/>
    <s v="Buy"/>
    <n v="210"/>
    <x v="0"/>
    <x v="0"/>
    <n v="2026"/>
    <s v="Buy"/>
    <x v="0"/>
    <x v="1300"/>
  </r>
  <r>
    <s v="HDO Feb26 5-15"/>
    <d v="2025-11-12T00:00:00"/>
    <s v="WTI-Brent"/>
    <s v="Hedge"/>
    <n v="1400"/>
    <d v="2026-02-28T00:00:00"/>
    <d v="2026-02-28T00:00:00"/>
    <n v="-4.0300000000000011"/>
    <n v="-3.97"/>
    <n v="84.000000000001322"/>
    <n v="-5642.0000000000018"/>
    <x v="54"/>
    <s v="Buy"/>
    <n v="-5558"/>
    <x v="1"/>
    <x v="3"/>
    <n v="2026"/>
    <s v="Buy"/>
    <x v="1"/>
    <x v="1301"/>
  </r>
  <r>
    <s v="Unallocated"/>
    <d v="2025-11-12T00:00:00"/>
    <s v="Physical"/>
    <s v="Expo"/>
    <n v="-700"/>
    <d v="2025-12-31T00:00:00"/>
    <d v="2025-12-31T00:00:00"/>
    <n v="-2.8"/>
    <n v="-3"/>
    <n v="140.00000000000011"/>
    <n v="1959.9999999999998"/>
    <x v="51"/>
    <s v="Sell"/>
    <n v="2100"/>
    <x v="2"/>
    <x v="4"/>
    <n v="2025"/>
    <s v="Sell"/>
    <x v="1"/>
    <x v="1302"/>
  </r>
  <r>
    <s v="HDO Feb26 5-15"/>
    <d v="2025-11-17T00:00:00"/>
    <s v="Brent Sprds"/>
    <s v="Hedge"/>
    <n v="200"/>
    <d v="2026-02-28T00:00:00"/>
    <d v="2026-03-31T00:00:00"/>
    <n v="0.25"/>
    <n v="0.59"/>
    <n v="68"/>
    <n v="50"/>
    <x v="55"/>
    <s v="Buy"/>
    <n v="118"/>
    <x v="0"/>
    <x v="2"/>
    <n v="2026"/>
    <s v="Buy"/>
    <x v="1"/>
    <x v="1303"/>
  </r>
  <r>
    <s v="HDO Feb26 5-15"/>
    <d v="2025-11-17T00:00:00"/>
    <s v="Brent Sprds"/>
    <s v="Hedge"/>
    <n v="200"/>
    <d v="2026-02-28T00:00:00"/>
    <d v="2026-03-31T00:00:00"/>
    <n v="0.24"/>
    <n v="0.59"/>
    <n v="70"/>
    <n v="48"/>
    <x v="55"/>
    <s v="Buy"/>
    <n v="118"/>
    <x v="0"/>
    <x v="2"/>
    <n v="2026"/>
    <s v="Buy"/>
    <x v="1"/>
    <x v="1304"/>
  </r>
  <r>
    <m/>
    <d v="2025-11-18T00:00:00"/>
    <s v="Physical"/>
    <s v="Expo"/>
    <n v="700"/>
    <d v="2025-12-31T00:00:00"/>
    <d v="2025-12-31T00:00:00"/>
    <n v="-2.5499999999999998"/>
    <n v="-2.5"/>
    <n v="34.999999999999872"/>
    <n v="-1784.9999999999998"/>
    <x v="51"/>
    <s v="Buy"/>
    <n v="-1750"/>
    <x v="2"/>
    <x v="4"/>
    <n v="2025"/>
    <s v="Buy"/>
    <x v="1"/>
    <x v="1305"/>
  </r>
  <r>
    <m/>
    <d v="2025-11-18T00:00:00"/>
    <s v="WTI Sprds"/>
    <s v="Expo"/>
    <n v="-700"/>
    <d v="2025-12-31T00:00:00"/>
    <d v="2026-01-31T00:00:00"/>
    <n v="0.08"/>
    <n v="0.19"/>
    <n v="-77"/>
    <n v="-56"/>
    <x v="1"/>
    <s v="Sell"/>
    <n v="-133"/>
    <x v="0"/>
    <x v="0"/>
    <n v="2025"/>
    <s v="Sell"/>
    <x v="0"/>
    <x v="1306"/>
  </r>
  <r>
    <m/>
    <d v="2025-11-18T00:00:00"/>
    <s v="WTI Sprds"/>
    <s v="Expo"/>
    <n v="-700"/>
    <d v="2026-01-31T00:00:00"/>
    <d v="2026-02-28T00:00:00"/>
    <n v="0.22"/>
    <n v="0.15"/>
    <n v="49.000000000000007"/>
    <n v="-154"/>
    <x v="53"/>
    <s v="Sell"/>
    <n v="-105"/>
    <x v="0"/>
    <x v="0"/>
    <n v="2026"/>
    <s v="Sell"/>
    <x v="0"/>
    <x v="1307"/>
  </r>
  <r>
    <m/>
    <d v="2025-11-18T00:00:00"/>
    <s v="WTI-Brent"/>
    <s v="Expo"/>
    <n v="-700"/>
    <d v="2026-02-28T00:00:00"/>
    <d v="2026-02-28T00:00:00"/>
    <n v="-4"/>
    <n v="-3.97"/>
    <n v="-20.999999999999865"/>
    <n v="2800"/>
    <x v="54"/>
    <s v="Sell"/>
    <n v="2779"/>
    <x v="1"/>
    <x v="3"/>
    <n v="2026"/>
    <s v="Sell"/>
    <x v="1"/>
    <x v="1308"/>
  </r>
  <r>
    <m/>
    <d v="2025-11-18T00:00:00"/>
    <s v="WTI Sprds"/>
    <s v="Hedge"/>
    <n v="1000"/>
    <d v="2025-12-31T00:00:00"/>
    <d v="2026-01-31T00:00:00"/>
    <n v="0.13"/>
    <n v="0.19"/>
    <n v="60"/>
    <n v="130"/>
    <x v="1"/>
    <s v="Buy"/>
    <n v="190"/>
    <x v="0"/>
    <x v="0"/>
    <n v="2025"/>
    <s v="Buy"/>
    <x v="0"/>
    <x v="1309"/>
  </r>
  <r>
    <m/>
    <d v="2025-11-18T00:00:00"/>
    <s v="WTI Sprds"/>
    <s v="Hedge"/>
    <n v="-1000"/>
    <d v="2026-01-31T00:00:00"/>
    <d v="2026-02-28T00:00:00"/>
    <n v="0.24"/>
    <n v="0.15"/>
    <n v="90"/>
    <n v="-240"/>
    <x v="53"/>
    <s v="Sell"/>
    <n v="-150"/>
    <x v="0"/>
    <x v="0"/>
    <n v="2026"/>
    <s v="Sell"/>
    <x v="0"/>
    <x v="1310"/>
  </r>
  <r>
    <s v="Unallocated"/>
    <d v="2025-11-18T00:00:00"/>
    <s v="DFL"/>
    <s v="Hedge"/>
    <n v="-400"/>
    <d v="2025-12-31T00:00:00"/>
    <d v="2025-12-31T00:00:00"/>
    <n v="0.6"/>
    <n v="0.99"/>
    <n v="-156"/>
    <n v="-240"/>
    <x v="51"/>
    <s v="Sell"/>
    <n v="-396"/>
    <x v="1"/>
    <x v="1"/>
    <n v="2025"/>
    <s v="Sell"/>
    <x v="0"/>
    <x v="1311"/>
  </r>
  <r>
    <s v="Unallocated"/>
    <d v="2025-11-18T00:00:00"/>
    <s v="DFL"/>
    <s v="Hedge"/>
    <n v="-350"/>
    <d v="2025-12-31T00:00:00"/>
    <d v="2025-12-31T00:00:00"/>
    <n v="0.59"/>
    <n v="0.99"/>
    <n v="-140"/>
    <n v="-206.5"/>
    <x v="51"/>
    <s v="Sell"/>
    <n v="-346.5"/>
    <x v="1"/>
    <x v="1"/>
    <n v="2025"/>
    <s v="Sell"/>
    <x v="0"/>
    <x v="1312"/>
  </r>
  <r>
    <m/>
    <d v="2025-11-18T00:00:00"/>
    <s v="WTI-Brent"/>
    <s v="Hedge"/>
    <n v="350"/>
    <d v="2026-02-28T00:00:00"/>
    <d v="2026-02-28T00:00:00"/>
    <n v="-4.0200000000000005"/>
    <n v="-3.97"/>
    <n v="17.500000000000092"/>
    <n v="-1407.0000000000002"/>
    <x v="54"/>
    <s v="Buy"/>
    <n v="-1389.5"/>
    <x v="1"/>
    <x v="3"/>
    <n v="2026"/>
    <s v="Buy"/>
    <x v="1"/>
    <x v="1313"/>
  </r>
  <r>
    <m/>
    <d v="2025-11-18T00:00:00"/>
    <s v="WTI-Brent"/>
    <s v="Hedge"/>
    <n v="-350"/>
    <d v="2026-06-30T00:00:00"/>
    <d v="2026-06-30T00:00:00"/>
    <n v="-3.68"/>
    <n v="-3.65"/>
    <n v="-10.500000000000087"/>
    <n v="1288"/>
    <x v="57"/>
    <s v="Sell"/>
    <n v="1277.5"/>
    <x v="1"/>
    <x v="3"/>
    <n v="2026"/>
    <s v="Sell"/>
    <x v="1"/>
    <x v="1314"/>
  </r>
  <r>
    <m/>
    <d v="2025-11-19T00:00:00"/>
    <s v="WTI-Brent"/>
    <s v="Hedge"/>
    <n v="500"/>
    <d v="2026-02-28T00:00:00"/>
    <d v="2026-02-28T00:00:00"/>
    <n v="-4"/>
    <n v="-3.97"/>
    <n v="14.999999999999902"/>
    <n v="-2000"/>
    <x v="54"/>
    <s v="Buy"/>
    <n v="-1985"/>
    <x v="1"/>
    <x v="3"/>
    <n v="2026"/>
    <s v="Buy"/>
    <x v="1"/>
    <x v="1315"/>
  </r>
  <r>
    <m/>
    <d v="2025-11-19T00:00:00"/>
    <s v="WTI-Brent"/>
    <s v="Hedge"/>
    <n v="-500"/>
    <d v="2026-06-30T00:00:00"/>
    <d v="2026-06-30T00:00:00"/>
    <n v="-3.6520000000000001"/>
    <n v="-3.65"/>
    <n v="-1.0000000000001119"/>
    <n v="1826"/>
    <x v="57"/>
    <s v="Sell"/>
    <n v="1825"/>
    <x v="1"/>
    <x v="3"/>
    <n v="2026"/>
    <s v="Sell"/>
    <x v="1"/>
    <x v="1316"/>
  </r>
  <r>
    <s v="Unallocated"/>
    <d v="2025-11-19T00:00:00"/>
    <s v="DFL"/>
    <s v="Hedge"/>
    <n v="-400"/>
    <d v="2025-12-31T00:00:00"/>
    <d v="2025-12-31T00:00:00"/>
    <n v="0.62"/>
    <n v="0.99"/>
    <n v="-148"/>
    <n v="-248"/>
    <x v="51"/>
    <s v="Sell"/>
    <n v="-396"/>
    <x v="1"/>
    <x v="1"/>
    <n v="2025"/>
    <s v="Sell"/>
    <x v="0"/>
    <x v="1317"/>
  </r>
  <r>
    <s v="Unallocated"/>
    <d v="2025-11-19T00:00:00"/>
    <s v="DFL"/>
    <s v="Hedge"/>
    <n v="-500"/>
    <d v="2025-12-31T00:00:00"/>
    <d v="2025-12-31T00:00:00"/>
    <n v="0.7"/>
    <n v="0.99"/>
    <n v="-145.00000000000003"/>
    <n v="-350"/>
    <x v="51"/>
    <s v="Sell"/>
    <n v="-495"/>
    <x v="1"/>
    <x v="1"/>
    <n v="2025"/>
    <s v="Sell"/>
    <x v="0"/>
    <x v="1318"/>
  </r>
  <r>
    <s v="Exxon CIF Rotts Jan 2-6"/>
    <d v="2025-11-19T00:00:00"/>
    <s v="Physical"/>
    <s v="Expo"/>
    <n v="700"/>
    <d v="2025-12-31T00:00:00"/>
    <d v="2025-12-31T00:00:00"/>
    <n v="1.7800000000000007"/>
    <n v="1.86"/>
    <n v="55.999999999999581"/>
    <n v="1246.0000000000005"/>
    <x v="51"/>
    <s v="Buy"/>
    <n v="1302"/>
    <x v="2"/>
    <x v="4"/>
    <n v="2025"/>
    <s v="Buy"/>
    <x v="1"/>
    <x v="1319"/>
  </r>
  <r>
    <s v="Exxon CIF Rotts Jan 2-6"/>
    <d v="2025-11-19T00:00:00"/>
    <s v="WTI Sprds"/>
    <s v="Expo"/>
    <n v="-700"/>
    <d v="2025-12-31T00:00:00"/>
    <d v="2026-01-31T00:00:00"/>
    <n v="0.18"/>
    <n v="0.19"/>
    <n v="-7.0000000000000062"/>
    <n v="-126"/>
    <x v="1"/>
    <s v="Sell"/>
    <n v="-133"/>
    <x v="0"/>
    <x v="0"/>
    <n v="2025"/>
    <s v="Sell"/>
    <x v="0"/>
    <x v="1320"/>
  </r>
  <r>
    <s v="Exxon CIF Rotts Jan 2-6"/>
    <d v="2025-11-19T00:00:00"/>
    <s v="WTI Sprds"/>
    <s v="Expo"/>
    <n v="-700"/>
    <d v="2026-01-31T00:00:00"/>
    <d v="2026-02-28T00:00:00"/>
    <n v="0.27"/>
    <n v="0.15"/>
    <n v="84.000000000000014"/>
    <n v="-189"/>
    <x v="53"/>
    <s v="Sell"/>
    <n v="-105"/>
    <x v="0"/>
    <x v="0"/>
    <n v="2026"/>
    <s v="Sell"/>
    <x v="0"/>
    <x v="1321"/>
  </r>
  <r>
    <s v="Exxon CIF Rotts Jan 2-6"/>
    <d v="2025-11-19T00:00:00"/>
    <s v="WTI-Brent"/>
    <s v="Expo"/>
    <n v="-700"/>
    <d v="2026-02-28T00:00:00"/>
    <d v="2026-02-28T00:00:00"/>
    <n v="-4.0199999999999996"/>
    <n v="-3.97"/>
    <n v="-34.999999999999567"/>
    <n v="2813.9999999999995"/>
    <x v="54"/>
    <s v="Sell"/>
    <n v="2779"/>
    <x v="1"/>
    <x v="3"/>
    <n v="2026"/>
    <s v="Sell"/>
    <x v="1"/>
    <x v="1322"/>
  </r>
  <r>
    <s v="Exxon CIF Rotts Jan 2-6"/>
    <d v="2025-11-19T00:00:00"/>
    <s v="Brent Sprds"/>
    <s v="Expo"/>
    <n v="-700"/>
    <d v="2026-02-28T00:00:00"/>
    <d v="2026-03-31T00:00:00"/>
    <n v="0.33"/>
    <n v="0.59"/>
    <n v="-181.99999999999997"/>
    <n v="-231"/>
    <x v="55"/>
    <s v="Sell"/>
    <n v="-413"/>
    <x v="0"/>
    <x v="2"/>
    <n v="2026"/>
    <s v="Sell"/>
    <x v="1"/>
    <x v="1323"/>
  </r>
  <r>
    <s v="Exxon CIF Rotts Jan 2-6"/>
    <d v="2025-11-19T00:00:00"/>
    <s v="DFL"/>
    <s v="Expo"/>
    <n v="700"/>
    <d v="2026-01-31T00:00:00"/>
    <d v="2026-01-31T00:00:00"/>
    <n v="0.4"/>
    <n v="1.83"/>
    <n v="1001.0000000000001"/>
    <n v="280"/>
    <x v="52"/>
    <s v="Buy"/>
    <n v="1281"/>
    <x v="1"/>
    <x v="1"/>
    <n v="2026"/>
    <s v="Buy"/>
    <x v="1"/>
    <x v="1324"/>
  </r>
  <r>
    <s v="Exxon CIF Rotts Jan 2-6"/>
    <d v="2025-11-19T00:00:00"/>
    <s v="WTI Sprds"/>
    <s v="Hedge"/>
    <n v="700"/>
    <d v="2025-12-31T00:00:00"/>
    <d v="2026-01-31T00:00:00"/>
    <n v="0.19"/>
    <n v="0.19"/>
    <n v="0"/>
    <n v="133"/>
    <x v="1"/>
    <s v="Buy"/>
    <n v="133"/>
    <x v="0"/>
    <x v="0"/>
    <n v="2025"/>
    <s v="Buy"/>
    <x v="0"/>
    <x v="1325"/>
  </r>
  <r>
    <s v="Unallocated"/>
    <d v="2025-11-19T00:00:00"/>
    <s v="WTI Sprds"/>
    <s v="Expo"/>
    <n v="-1400"/>
    <d v="2025-12-31T00:00:00"/>
    <d v="2026-01-31T00:00:00"/>
    <n v="0.19"/>
    <n v="0.19"/>
    <n v="0"/>
    <n v="-266"/>
    <x v="1"/>
    <s v="Sell"/>
    <n v="-266"/>
    <x v="0"/>
    <x v="0"/>
    <n v="2025"/>
    <s v="Sell"/>
    <x v="0"/>
    <x v="1326"/>
  </r>
  <r>
    <s v="Unallocated"/>
    <d v="2025-11-19T00:00:00"/>
    <s v="WTI Sprds"/>
    <s v="Hedge"/>
    <n v="1075"/>
    <d v="2025-12-31T00:00:00"/>
    <d v="2026-01-31T00:00:00"/>
    <n v="0.19"/>
    <n v="0.19"/>
    <n v="0"/>
    <n v="204.25"/>
    <x v="1"/>
    <s v="Buy"/>
    <n v="204.25"/>
    <x v="0"/>
    <x v="0"/>
    <n v="2025"/>
    <s v="Buy"/>
    <x v="0"/>
    <x v="1327"/>
  </r>
  <r>
    <s v="Unallocated"/>
    <d v="2025-11-19T00:00:00"/>
    <s v="WTI-Brent"/>
    <s v="Hedge"/>
    <n v="107"/>
    <d v="2026-01-31T00:00:00"/>
    <d v="2026-01-31T00:00:00"/>
    <n v="-4.25"/>
    <n v="-4.6500000000000004"/>
    <n v="-42.80000000000004"/>
    <n v="-454.75"/>
    <x v="52"/>
    <s v="Buy"/>
    <n v="-497.55"/>
    <x v="1"/>
    <x v="3"/>
    <n v="2026"/>
    <s v="Buy"/>
    <x v="0"/>
    <x v="1328"/>
  </r>
  <r>
    <s v="Dec25 EFP 1"/>
    <d v="2025-11-20T00:00:00"/>
    <s v="Freight-TD25"/>
    <s v="Expo"/>
    <n v="-700"/>
    <d v="2025-12-31T00:00:00"/>
    <d v="2025-12-31T00:00:00"/>
    <n v="208"/>
    <n v="208.93"/>
    <n v="-13.020000000000095"/>
    <n v="-145600"/>
    <x v="51"/>
    <s v="Sell"/>
    <n v="-146251"/>
    <x v="3"/>
    <x v="5"/>
    <n v="2025"/>
    <s v="Sell"/>
    <x v="0"/>
    <x v="1329"/>
  </r>
  <r>
    <s v="Dec25 EFP 1"/>
    <d v="2025-11-20T00:00:00"/>
    <s v="Freight-TD25"/>
    <s v="Hedge"/>
    <n v="700"/>
    <d v="2025-12-31T00:00:00"/>
    <d v="2025-12-31T00:00:00"/>
    <n v="205"/>
    <n v="208.93"/>
    <n v="55.020000000000103"/>
    <n v="143500"/>
    <x v="51"/>
    <s v="Buy"/>
    <n v="146251"/>
    <x v="3"/>
    <x v="5"/>
    <n v="2025"/>
    <s v="Buy"/>
    <x v="0"/>
    <x v="1330"/>
  </r>
  <r>
    <s v="Dec25 EFP 1"/>
    <d v="2025-11-20T00:00:00"/>
    <s v="Freight-TD25"/>
    <s v="Expo"/>
    <n v="-250"/>
    <d v="2025-12-31T00:00:00"/>
    <d v="2025-12-31T00:00:00"/>
    <n v="219"/>
    <n v="208.93"/>
    <n v="50.349999999999966"/>
    <n v="-54750"/>
    <x v="51"/>
    <s v="Sell"/>
    <n v="-52232.5"/>
    <x v="3"/>
    <x v="5"/>
    <n v="2025"/>
    <s v="Sell"/>
    <x v="0"/>
    <x v="1331"/>
  </r>
  <r>
    <s v="Unallocated"/>
    <d v="2025-11-21T00:00:00"/>
    <s v="Brent Sprds"/>
    <s v="Hedge"/>
    <n v="1000"/>
    <d v="2026-02-28T00:00:00"/>
    <d v="2026-03-31T00:00:00"/>
    <n v="0.34"/>
    <n v="0.59"/>
    <n v="249.99999999999994"/>
    <n v="340"/>
    <x v="55"/>
    <s v="Buy"/>
    <n v="590"/>
    <x v="0"/>
    <x v="2"/>
    <n v="2026"/>
    <s v="Buy"/>
    <x v="1"/>
    <x v="1332"/>
  </r>
  <r>
    <s v="Unallocated"/>
    <d v="2025-11-21T00:00:00"/>
    <s v="WTI Sprds"/>
    <s v="Hedge"/>
    <n v="1000"/>
    <d v="2026-01-31T00:00:00"/>
    <d v="2026-02-28T00:00:00"/>
    <n v="0.25"/>
    <n v="0.15"/>
    <n v="-100"/>
    <n v="250"/>
    <x v="53"/>
    <s v="Buy"/>
    <n v="150"/>
    <x v="0"/>
    <x v="0"/>
    <n v="2026"/>
    <s v="Buy"/>
    <x v="0"/>
    <x v="1333"/>
  </r>
  <r>
    <s v="Unallocated"/>
    <d v="2025-11-24T00:00:00"/>
    <s v="DFL"/>
    <s v="Hedge"/>
    <n v="1000"/>
    <d v="2025-12-31T00:00:00"/>
    <d v="2025-12-31T00:00:00"/>
    <n v="0.91"/>
    <n v="0.99"/>
    <n v="79.999999999999957"/>
    <n v="910"/>
    <x v="51"/>
    <s v="Buy"/>
    <n v="990"/>
    <x v="1"/>
    <x v="1"/>
    <n v="2025"/>
    <s v="Buy"/>
    <x v="0"/>
    <x v="1334"/>
  </r>
  <r>
    <s v="Unallocated"/>
    <d v="2025-11-24T00:00:00"/>
    <s v="DFL"/>
    <s v="Hedge"/>
    <n v="-1000"/>
    <d v="2026-01-31T00:00:00"/>
    <d v="2026-01-31T00:00:00"/>
    <n v="0.48"/>
    <n v="1.83"/>
    <n v="-1350"/>
    <n v="-480"/>
    <x v="52"/>
    <s v="Sell"/>
    <n v="-1830"/>
    <x v="1"/>
    <x v="1"/>
    <n v="2026"/>
    <s v="Sell"/>
    <x v="1"/>
    <x v="1335"/>
  </r>
  <r>
    <s v="Unallocated"/>
    <d v="2025-11-24T00:00:00"/>
    <s v="CFD"/>
    <s v="Hedge"/>
    <n v="300"/>
    <s v="Dec22-Dec26"/>
    <d v="2025-12-31T00:00:00"/>
    <n v="0.56499999999999995"/>
    <n v="1.1100000000000001"/>
    <n v="163.50000000000006"/>
    <n v="169.49999999999997"/>
    <x v="51"/>
    <s v="Buy"/>
    <n v="333.00000000000006"/>
    <x v="1"/>
    <x v="1"/>
    <n v="2025"/>
    <s v="Buy"/>
    <x v="0"/>
    <x v="1336"/>
  </r>
  <r>
    <s v="Unallocated"/>
    <d v="2025-11-24T00:00:00"/>
    <s v="DFL"/>
    <s v="Hedge"/>
    <n v="72"/>
    <d v="2025-12-31T00:00:00"/>
    <d v="2025-12-31T00:00:00"/>
    <n v="0.9"/>
    <n v="0.99"/>
    <n v="6.4799999999999978"/>
    <n v="64.8"/>
    <x v="51"/>
    <s v="Buy"/>
    <n v="71.28"/>
    <x v="1"/>
    <x v="1"/>
    <n v="2025"/>
    <s v="Buy"/>
    <x v="0"/>
    <x v="1337"/>
  </r>
  <r>
    <s v="Exxon CIF Rotts VLCC Jan 19-23"/>
    <d v="2025-11-25T00:00:00"/>
    <s v="Physical"/>
    <s v="Expo"/>
    <n v="1349"/>
    <d v="2025-12-31T00:00:00"/>
    <d v="2025-12-31T00:00:00"/>
    <n v="0.75768667642752585"/>
    <n v="0.5"/>
    <n v="-347.61932650073237"/>
    <n v="1022.1193265007324"/>
    <x v="51"/>
    <s v="Buy"/>
    <n v="674.5"/>
    <x v="2"/>
    <x v="4"/>
    <n v="2025"/>
    <s v="Buy"/>
    <x v="1"/>
    <x v="1338"/>
  </r>
  <r>
    <s v="Exxon CIF Rotts VLCC Jan 19-23"/>
    <d v="2025-11-25T00:00:00"/>
    <s v="Physical"/>
    <s v="Expo"/>
    <n v="700"/>
    <d v="2025-12-31T00:00:00"/>
    <d v="2025-12-31T00:00:00"/>
    <n v="0.86768667642752573"/>
    <n v="0.5"/>
    <n v="-257.38067349926803"/>
    <n v="607.38067349926803"/>
    <x v="51"/>
    <s v="Buy"/>
    <n v="350"/>
    <x v="2"/>
    <x v="4"/>
    <n v="2025"/>
    <s v="Buy"/>
    <x v="1"/>
    <x v="1339"/>
  </r>
  <r>
    <s v="Exxon CIF Rotts VLCC Jan 19-23"/>
    <d v="2025-11-25T00:00:00"/>
    <s v="WTI Sprds"/>
    <s v="Expo"/>
    <n v="-1365"/>
    <d v="2026-01-31T00:00:00"/>
    <d v="2026-02-28T00:00:00"/>
    <n v="0.21"/>
    <n v="0.15"/>
    <n v="81.899999999999991"/>
    <n v="-286.64999999999998"/>
    <x v="53"/>
    <s v="Sell"/>
    <n v="-204.75"/>
    <x v="0"/>
    <x v="0"/>
    <n v="2026"/>
    <s v="Sell"/>
    <x v="0"/>
    <x v="1340"/>
  </r>
  <r>
    <s v="Exxon CIF Rotts VLCC Jan 19-23"/>
    <d v="2025-11-25T00:00:00"/>
    <s v="WTI-Brent"/>
    <s v="Expo"/>
    <n v="-1349"/>
    <d v="2026-02-28T00:00:00"/>
    <d v="2026-02-28T00:00:00"/>
    <n v="-4.05"/>
    <n v="-3.97"/>
    <n v="-107.91999999999949"/>
    <n v="5463.45"/>
    <x v="54"/>
    <s v="Sell"/>
    <n v="5355.5300000000007"/>
    <x v="1"/>
    <x v="3"/>
    <n v="2026"/>
    <s v="Sell"/>
    <x v="1"/>
    <x v="1341"/>
  </r>
  <r>
    <s v="Exxon CIF Rotts VLCC Jan 19-23"/>
    <d v="2025-11-25T00:00:00"/>
    <s v="Brent Sprds"/>
    <s v="Expo"/>
    <n v="-2049"/>
    <d v="2026-02-28T00:00:00"/>
    <d v="2026-03-31T00:00:00"/>
    <n v="0.3"/>
    <n v="0.59"/>
    <n v="-594.20999999999992"/>
    <n v="-614.69999999999993"/>
    <x v="55"/>
    <s v="Sell"/>
    <n v="-1208.9099999999999"/>
    <x v="0"/>
    <x v="2"/>
    <n v="2026"/>
    <s v="Sell"/>
    <x v="1"/>
    <x v="1342"/>
  </r>
  <r>
    <s v="Exxon CIF Rotts VLCC Jan 19-23"/>
    <d v="2025-11-25T00:00:00"/>
    <s v="DFL"/>
    <s v="Expo"/>
    <n v="2049"/>
    <d v="2026-01-31T00:00:00"/>
    <d v="2026-01-31T00:00:00"/>
    <n v="0.45"/>
    <n v="1.83"/>
    <n v="2827.6200000000003"/>
    <n v="922.05000000000007"/>
    <x v="52"/>
    <s v="Buy"/>
    <n v="3749.67"/>
    <x v="1"/>
    <x v="1"/>
    <n v="2026"/>
    <s v="Buy"/>
    <x v="1"/>
    <x v="1343"/>
  </r>
  <r>
    <s v="HDO Feb26 5-15"/>
    <d v="2025-11-25T00:00:00"/>
    <s v="WTI-Brent"/>
    <s v="Hedge"/>
    <n v="450"/>
    <d v="2026-02-28T00:00:00"/>
    <d v="2026-02-28T00:00:00"/>
    <n v="-4.1067"/>
    <n v="-3.97"/>
    <n v="61.514999999999922"/>
    <n v="-1848.0150000000001"/>
    <x v="54"/>
    <s v="Buy"/>
    <n v="-1786.5"/>
    <x v="1"/>
    <x v="3"/>
    <n v="2026"/>
    <s v="Buy"/>
    <x v="1"/>
    <x v="1344"/>
  </r>
  <r>
    <s v="HDO Feb26 5-15"/>
    <d v="2025-11-25T00:00:00"/>
    <s v="Brent Sprds"/>
    <s v="Hedge"/>
    <n v="1000"/>
    <d v="2026-02-28T00:00:00"/>
    <d v="2026-03-31T00:00:00"/>
    <n v="0.29799999999999999"/>
    <n v="0.59"/>
    <n v="292"/>
    <n v="298"/>
    <x v="55"/>
    <s v="Buy"/>
    <n v="590"/>
    <x v="0"/>
    <x v="2"/>
    <n v="2026"/>
    <s v="Buy"/>
    <x v="1"/>
    <x v="1345"/>
  </r>
  <r>
    <s v="HDO Feb26 5-15"/>
    <d v="2025-11-25T00:00:00"/>
    <s v="WTI Sprds"/>
    <s v="Hedge"/>
    <n v="1400"/>
    <d v="2026-01-31T00:00:00"/>
    <d v="2026-02-28T00:00:00"/>
    <n v="0.2"/>
    <n v="0.15"/>
    <n v="-70.000000000000028"/>
    <n v="280"/>
    <x v="53"/>
    <s v="Buy"/>
    <n v="210"/>
    <x v="0"/>
    <x v="0"/>
    <n v="2026"/>
    <s v="Buy"/>
    <x v="0"/>
    <x v="1346"/>
  </r>
  <r>
    <s v="HDO Feb26 5-15"/>
    <d v="2025-11-25T00:00:00"/>
    <s v="WTI-Brent"/>
    <s v="Hedge"/>
    <n v="1400"/>
    <d v="2026-02-28T00:00:00"/>
    <d v="2026-02-28T00:00:00"/>
    <n v="-4.05"/>
    <n v="-3.97"/>
    <n v="111.99999999999947"/>
    <n v="-5670"/>
    <x v="54"/>
    <s v="Buy"/>
    <n v="-5558"/>
    <x v="1"/>
    <x v="3"/>
    <n v="2026"/>
    <s v="Buy"/>
    <x v="1"/>
    <x v="1347"/>
  </r>
  <r>
    <s v="Unallocated"/>
    <d v="2025-11-25T00:00:00"/>
    <s v="DFL"/>
    <s v="Hedge"/>
    <n v="188"/>
    <d v="2026-04-30T00:00:00"/>
    <d v="2026-04-30T00:00:00"/>
    <n v="0.45"/>
    <n v="0.1"/>
    <n v="-65.8"/>
    <n v="84.600000000000009"/>
    <x v="58"/>
    <s v="Buy"/>
    <n v="18.8"/>
    <x v="1"/>
    <x v="1"/>
    <n v="2026"/>
    <s v="Buy"/>
    <x v="1"/>
    <x v="1348"/>
  </r>
  <r>
    <s v="Unallocated"/>
    <d v="2025-11-25T00:00:00"/>
    <s v="DFL"/>
    <s v="Hedge"/>
    <n v="188"/>
    <d v="2026-05-31T00:00:00"/>
    <d v="2026-05-31T00:00:00"/>
    <n v="0.45"/>
    <n v="0.1"/>
    <n v="-65.8"/>
    <n v="84.600000000000009"/>
    <x v="59"/>
    <s v="Buy"/>
    <n v="18.8"/>
    <x v="1"/>
    <x v="1"/>
    <n v="2026"/>
    <s v="Buy"/>
    <x v="1"/>
    <x v="1349"/>
  </r>
  <r>
    <s v="Unallocated"/>
    <d v="2025-11-25T00:00:00"/>
    <s v="DFL"/>
    <s v="Hedge"/>
    <n v="188"/>
    <d v="2026-06-30T00:00:00"/>
    <d v="2026-06-30T00:00:00"/>
    <n v="0.45"/>
    <n v="0.1"/>
    <n v="-65.8"/>
    <n v="84.600000000000009"/>
    <x v="57"/>
    <s v="Buy"/>
    <n v="18.8"/>
    <x v="1"/>
    <x v="1"/>
    <n v="2026"/>
    <s v="Buy"/>
    <x v="1"/>
    <x v="1350"/>
  </r>
  <r>
    <s v="Unallocated"/>
    <d v="2025-11-25T00:00:00"/>
    <s v="CFD"/>
    <s v="Hedge"/>
    <n v="300"/>
    <s v="Dec15-Dec19"/>
    <d v="2025-12-31T00:00:00"/>
    <n v="0.77"/>
    <n v="1.1000000000000001"/>
    <n v="99.000000000000028"/>
    <n v="231"/>
    <x v="51"/>
    <s v="Buy"/>
    <n v="330"/>
    <x v="1"/>
    <x v="1"/>
    <n v="2025"/>
    <s v="Buy"/>
    <x v="0"/>
    <x v="1351"/>
  </r>
  <r>
    <s v="Unallocated"/>
    <d v="2025-11-25T00:00:00"/>
    <s v="CFD"/>
    <s v="Hedge"/>
    <n v="-300"/>
    <s v="Dec22-Dec26"/>
    <d v="2025-12-31T00:00:00"/>
    <n v="0.53"/>
    <n v="1.1100000000000001"/>
    <n v="-174.00000000000003"/>
    <n v="-159"/>
    <x v="51"/>
    <s v="Sell"/>
    <n v="-333.00000000000006"/>
    <x v="1"/>
    <x v="1"/>
    <n v="2025"/>
    <s v="Sell"/>
    <x v="0"/>
    <x v="1352"/>
  </r>
  <r>
    <s v="HDO Feb26 5-15"/>
    <d v="2025-11-25T00:00:00"/>
    <s v="WTI Sprds"/>
    <s v="Hedge"/>
    <n v="1000"/>
    <d v="2026-01-31T00:00:00"/>
    <d v="2026-02-28T00:00:00"/>
    <n v="0.25"/>
    <n v="0.15"/>
    <n v="-100"/>
    <n v="250"/>
    <x v="53"/>
    <s v="Buy"/>
    <n v="150"/>
    <x v="0"/>
    <x v="0"/>
    <n v="2026"/>
    <s v="Buy"/>
    <x v="0"/>
    <x v="1353"/>
  </r>
  <r>
    <s v="Exxon CIF Rotts VLCC Jan 19-23"/>
    <d v="2025-11-25T00:00:00"/>
    <s v="Physical"/>
    <s v="Hedge"/>
    <n v="0"/>
    <d v="2025-12-31T00:00:00"/>
    <d v="2025-12-31T00:00:00"/>
    <n v="0.75768667642752585"/>
    <n v="0.5"/>
    <m/>
    <n v="0"/>
    <x v="51"/>
    <s v="Buy"/>
    <n v="0"/>
    <x v="2"/>
    <x v="4"/>
    <n v="2025"/>
    <s v="Sell"/>
    <x v="1"/>
    <x v="1354"/>
  </r>
  <r>
    <s v="Exxon CIF Rotts VLCC Jan 19-23"/>
    <d v="2025-11-25T00:00:00"/>
    <s v="MEH"/>
    <s v="Hedge"/>
    <n v="0"/>
    <d v="2025-12-31T00:00:00"/>
    <d v="2025-12-31T00:00:00"/>
    <n v="0.75768667642752585"/>
    <n v="0.5"/>
    <m/>
    <n v="0"/>
    <x v="51"/>
    <s v="Buy"/>
    <n v="0"/>
    <x v="1"/>
    <x v="7"/>
    <n v="2025"/>
    <s v="Sell"/>
    <x v="0"/>
    <x v="1355"/>
  </r>
  <r>
    <s v="January 26 2x EFP"/>
    <d v="2025-11-26T00:00:00"/>
    <s v="Physical"/>
    <s v="Expo"/>
    <n v="1400"/>
    <d v="2025-12-31T00:00:00"/>
    <d v="2025-12-31T00:00:00"/>
    <n v="-0.30000000000000004"/>
    <n v="-0.01"/>
    <n v="406.00000000000006"/>
    <n v="-420.00000000000006"/>
    <x v="51"/>
    <s v="Buy"/>
    <n v="-14"/>
    <x v="2"/>
    <x v="4"/>
    <n v="2025"/>
    <s v="Buy"/>
    <x v="1"/>
    <x v="1356"/>
  </r>
  <r>
    <s v="January 26 2x EFP"/>
    <d v="2025-11-26T00:00:00"/>
    <s v="WTI-Brent"/>
    <s v="Expo"/>
    <n v="-1400"/>
    <d v="2026-01-31T00:00:00"/>
    <d v="2026-01-31T00:00:00"/>
    <n v="-4.4400000000000004"/>
    <n v="-4.6500000000000004"/>
    <n v="293.99999999999994"/>
    <n v="6216.0000000000009"/>
    <x v="52"/>
    <s v="Sell"/>
    <n v="6510.0000000000009"/>
    <x v="1"/>
    <x v="3"/>
    <n v="2026"/>
    <s v="Sell"/>
    <x v="0"/>
    <x v="1357"/>
  </r>
  <r>
    <s v="January 26 2x EFP"/>
    <d v="2025-10-30T00:00:00"/>
    <s v="Freight-TD25"/>
    <s v="Expo"/>
    <n v="-1400"/>
    <d v="2026-01-31T00:00:00"/>
    <d v="2026-01-31T00:00:00"/>
    <n v="208"/>
    <n v="233.51"/>
    <n v="-714.27999999999986"/>
    <n v="-291200"/>
    <x v="52"/>
    <s v="Sell"/>
    <n v="-326914"/>
    <x v="3"/>
    <x v="5"/>
    <n v="2026"/>
    <s v="Sell"/>
    <x v="1"/>
    <x v="1358"/>
  </r>
  <r>
    <s v="January 26 2x EFP"/>
    <d v="2025-12-23T00:00:00"/>
    <s v="Freight-TD25"/>
    <s v="Hedge"/>
    <n v="700"/>
    <d v="2026-01-31T00:00:00"/>
    <d v="2026-01-31T00:00:00"/>
    <n v="215"/>
    <n v="233.51"/>
    <n v="259.13999999999987"/>
    <n v="150500"/>
    <x v="52"/>
    <s v="Buy"/>
    <n v="163457"/>
    <x v="3"/>
    <x v="5"/>
    <n v="2026"/>
    <s v="Buy"/>
    <x v="1"/>
    <x v="1359"/>
  </r>
  <r>
    <s v="January 26 2x EFP"/>
    <d v="2025-12-23T00:00:00"/>
    <s v="Freight-TD25"/>
    <s v="Hedge"/>
    <n v="700"/>
    <d v="2026-01-31T00:00:00"/>
    <d v="2026-01-31T00:00:00"/>
    <n v="215"/>
    <n v="233.51"/>
    <n v="259.13999999999987"/>
    <n v="150500"/>
    <x v="52"/>
    <s v="Buy"/>
    <n v="163457"/>
    <x v="3"/>
    <x v="5"/>
    <n v="2026"/>
    <s v="Buy"/>
    <x v="1"/>
    <x v="1360"/>
  </r>
  <r>
    <s v="January 26 2x EFP"/>
    <d v="2025-10-30T00:00:00"/>
    <s v="Freight-TD7"/>
    <s v="Expo"/>
    <n v="1400"/>
    <d v="2026-01-31T00:00:00"/>
    <d v="2026-01-31T00:00:00"/>
    <n v="140"/>
    <n v="148"/>
    <n v="56"/>
    <n v="196000"/>
    <x v="52"/>
    <s v="Buy"/>
    <n v="207200"/>
    <x v="3"/>
    <x v="5"/>
    <n v="2026"/>
    <s v="Buy"/>
    <x v="1"/>
    <x v="1361"/>
  </r>
  <r>
    <s v="January 26 2x EFP"/>
    <d v="2025-12-03T00:00:00"/>
    <s v="Freight-TD7"/>
    <s v="Hedge"/>
    <n v="-1400"/>
    <d v="2026-01-31T00:00:00"/>
    <d v="2026-01-31T00:00:00"/>
    <n v="14.23"/>
    <n v="15.451199999999998"/>
    <n v="-195.39199999999965"/>
    <n v="-19922"/>
    <x v="52"/>
    <s v="Sell"/>
    <n v="-21631.679999999997"/>
    <x v="3"/>
    <x v="5"/>
    <n v="2026"/>
    <s v="Sell"/>
    <x v="1"/>
    <x v="1362"/>
  </r>
  <r>
    <s v="Unallocated"/>
    <d v="2025-11-25T00:00:00"/>
    <s v="DFL"/>
    <s v="Hedge"/>
    <n v="1075"/>
    <d v="2025-12-31T00:00:00"/>
    <d v="2025-12-31T00:00:00"/>
    <n v="0.9"/>
    <n v="0.99"/>
    <n v="96.749999999999972"/>
    <n v="967.5"/>
    <x v="51"/>
    <s v="Buy"/>
    <n v="1064.25"/>
    <x v="1"/>
    <x v="1"/>
    <n v="2025"/>
    <s v="Buy"/>
    <x v="0"/>
    <x v="1363"/>
  </r>
  <r>
    <s v="Unallocated"/>
    <d v="2025-11-25T00:00:00"/>
    <s v="DFL"/>
    <s v="Hedge"/>
    <n v="-1075"/>
    <d v="2026-01-31T00:00:00"/>
    <d v="2026-01-31T00:00:00"/>
    <n v="0.44"/>
    <n v="1.83"/>
    <n v="-1494.2500000000002"/>
    <n v="-473"/>
    <x v="52"/>
    <s v="Sell"/>
    <n v="-1967.25"/>
    <x v="1"/>
    <x v="1"/>
    <n v="2026"/>
    <s v="Sell"/>
    <x v="1"/>
    <x v="1364"/>
  </r>
  <r>
    <s v="January 26 2x EFP"/>
    <d v="2025-11-26T00:00:00"/>
    <s v="WTI-Brent"/>
    <s v="Expo"/>
    <n v="1400"/>
    <d v="2026-01-31T00:00:00"/>
    <d v="2026-01-31T00:00:00"/>
    <n v="-4.4400000000000004"/>
    <n v="-4.6500000000000004"/>
    <n v="-293.99999999999994"/>
    <n v="-6216.0000000000009"/>
    <x v="52"/>
    <s v="Buy"/>
    <n v="-6510.0000000000009"/>
    <x v="1"/>
    <x v="3"/>
    <n v="2026"/>
    <s v="Buy"/>
    <x v="0"/>
    <x v="1365"/>
  </r>
  <r>
    <s v="Unallocated"/>
    <d v="2025-11-26T00:00:00"/>
    <s v="WTI Sprds"/>
    <s v="Hedge"/>
    <n v="335"/>
    <d v="2026-01-31T00:00:00"/>
    <d v="2026-02-28T00:00:00"/>
    <n v="0.23"/>
    <n v="0.15"/>
    <n v="-26.800000000000004"/>
    <n v="77.05"/>
    <x v="53"/>
    <s v="Buy"/>
    <n v="50.25"/>
    <x v="0"/>
    <x v="0"/>
    <n v="2026"/>
    <s v="Buy"/>
    <x v="0"/>
    <x v="1366"/>
  </r>
  <r>
    <s v="Unallocated"/>
    <d v="2025-11-26T00:00:00"/>
    <s v="WTI Sprds"/>
    <s v="Hedge"/>
    <n v="134"/>
    <d v="2026-02-28T00:00:00"/>
    <d v="2026-03-31T00:00:00"/>
    <n v="0.16"/>
    <n v="0.13"/>
    <n v="-4.0199999999999996"/>
    <n v="21.44"/>
    <x v="55"/>
    <s v="Buy"/>
    <n v="17.420000000000002"/>
    <x v="0"/>
    <x v="0"/>
    <n v="2026"/>
    <s v="Buy"/>
    <x v="1"/>
    <x v="1367"/>
  </r>
  <r>
    <s v="Unallocated"/>
    <d v="2025-11-28T00:00:00"/>
    <s v="WTI Sprds"/>
    <s v="Hedge"/>
    <n v="335"/>
    <d v="2026-01-31T00:00:00"/>
    <d v="2026-02-28T00:00:00"/>
    <n v="0.26"/>
    <n v="0.15"/>
    <n v="-36.85"/>
    <n v="87.100000000000009"/>
    <x v="53"/>
    <s v="Buy"/>
    <n v="50.25"/>
    <x v="0"/>
    <x v="0"/>
    <n v="2026"/>
    <s v="Buy"/>
    <x v="0"/>
    <x v="1368"/>
  </r>
  <r>
    <s v="Unallocated"/>
    <d v="2025-11-28T00:00:00"/>
    <s v="WTI Sprds"/>
    <s v="Hedge"/>
    <n v="134"/>
    <d v="2026-02-28T00:00:00"/>
    <d v="2026-03-31T00:00:00"/>
    <n v="0.2"/>
    <n v="0.13"/>
    <n v="-9.3800000000000008"/>
    <n v="26.8"/>
    <x v="55"/>
    <s v="Buy"/>
    <n v="17.420000000000002"/>
    <x v="0"/>
    <x v="0"/>
    <n v="2026"/>
    <s v="Buy"/>
    <x v="1"/>
    <x v="1369"/>
  </r>
  <r>
    <s v="Unallocated"/>
    <d v="2025-12-01T00:00:00"/>
    <s v="WTI Sprds"/>
    <s v="Hedge"/>
    <n v="335"/>
    <d v="2026-01-31T00:00:00"/>
    <d v="2026-02-28T00:00:00"/>
    <n v="0.25"/>
    <n v="0.15"/>
    <n v="-33.5"/>
    <n v="83.75"/>
    <x v="53"/>
    <s v="Buy"/>
    <n v="50.25"/>
    <x v="0"/>
    <x v="0"/>
    <n v="2026"/>
    <s v="Buy"/>
    <x v="0"/>
    <x v="1370"/>
  </r>
  <r>
    <s v="Unallocated"/>
    <d v="2025-12-01T00:00:00"/>
    <s v="WTI Sprds"/>
    <s v="Hedge"/>
    <n v="134"/>
    <d v="2026-02-28T00:00:00"/>
    <d v="2026-03-31T00:00:00"/>
    <n v="0.2"/>
    <n v="0.13"/>
    <n v="-9.3800000000000008"/>
    <n v="26.8"/>
    <x v="55"/>
    <s v="Buy"/>
    <n v="17.420000000000002"/>
    <x v="0"/>
    <x v="0"/>
    <n v="2026"/>
    <s v="Buy"/>
    <x v="1"/>
    <x v="1371"/>
  </r>
  <r>
    <s v="Unallocated"/>
    <d v="2025-12-01T00:00:00"/>
    <s v="Brent Sprds"/>
    <s v="Hedge"/>
    <n v="429"/>
    <d v="2026-02-28T00:00:00"/>
    <d v="2026-03-31T00:00:00"/>
    <n v="0.38"/>
    <n v="0.59"/>
    <n v="90.089999999999989"/>
    <n v="163.02000000000001"/>
    <x v="55"/>
    <s v="Buy"/>
    <n v="253.10999999999999"/>
    <x v="0"/>
    <x v="2"/>
    <n v="2026"/>
    <s v="Buy"/>
    <x v="1"/>
    <x v="1372"/>
  </r>
  <r>
    <s v="Unallocated"/>
    <d v="2025-12-02T00:00:00"/>
    <s v="CFD"/>
    <s v="Hedge"/>
    <n v="-200"/>
    <s v="Dec15-Dec19"/>
    <d v="2025-12-31T00:00:00"/>
    <n v="0.69499999999999995"/>
    <n v="1.1000000000000001"/>
    <n v="-81.000000000000028"/>
    <n v="-139"/>
    <x v="51"/>
    <s v="Sell"/>
    <n v="-220.00000000000003"/>
    <x v="1"/>
    <x v="1"/>
    <n v="2025"/>
    <s v="Sell"/>
    <x v="0"/>
    <x v="1373"/>
  </r>
  <r>
    <s v="Unallocated"/>
    <d v="2025-12-02T00:00:00"/>
    <s v="DFL"/>
    <s v="Hedge"/>
    <n v="-400"/>
    <d v="2026-01-31T00:00:00"/>
    <d v="2026-01-31T00:00:00"/>
    <n v="0.45"/>
    <n v="1.83"/>
    <n v="-552"/>
    <n v="-180"/>
    <x v="52"/>
    <s v="Sell"/>
    <n v="-732"/>
    <x v="1"/>
    <x v="1"/>
    <n v="2026"/>
    <s v="Sell"/>
    <x v="1"/>
    <x v="1374"/>
  </r>
  <r>
    <s v="Unallocated"/>
    <d v="2025-12-02T00:00:00"/>
    <s v="Brent Sprds"/>
    <s v="Hedge"/>
    <n v="200"/>
    <d v="2026-02-28T00:00:00"/>
    <d v="2026-03-31T00:00:00"/>
    <n v="0.39"/>
    <n v="0.59"/>
    <n v="39.999999999999993"/>
    <n v="78"/>
    <x v="55"/>
    <s v="Buy"/>
    <n v="118"/>
    <x v="0"/>
    <x v="2"/>
    <n v="2026"/>
    <s v="Buy"/>
    <x v="1"/>
    <x v="1375"/>
  </r>
  <r>
    <s v="Unallocated"/>
    <d v="2025-12-02T00:00:00"/>
    <s v="Brent Sprds"/>
    <s v="Hedge"/>
    <n v="200"/>
    <d v="2026-02-28T00:00:00"/>
    <d v="2026-03-31T00:00:00"/>
    <n v="0.38"/>
    <n v="0.59"/>
    <n v="41.999999999999993"/>
    <n v="76"/>
    <x v="55"/>
    <s v="Buy"/>
    <n v="118"/>
    <x v="0"/>
    <x v="2"/>
    <n v="2026"/>
    <s v="Buy"/>
    <x v="1"/>
    <x v="1376"/>
  </r>
  <r>
    <s v="Unallocated"/>
    <d v="2025-12-02T00:00:00"/>
    <s v="Brent Sprds"/>
    <s v="Hedge"/>
    <n v="200"/>
    <d v="2026-02-28T00:00:00"/>
    <d v="2026-03-31T00:00:00"/>
    <n v="0.37"/>
    <n v="0.59"/>
    <n v="43.999999999999993"/>
    <n v="74"/>
    <x v="55"/>
    <s v="Buy"/>
    <n v="118"/>
    <x v="0"/>
    <x v="2"/>
    <n v="2026"/>
    <s v="Buy"/>
    <x v="1"/>
    <x v="1377"/>
  </r>
  <r>
    <s v="Unallocated"/>
    <d v="2025-12-02T00:00:00"/>
    <s v="Brent Sprds"/>
    <s v="Hedge"/>
    <n v="200"/>
    <d v="2026-02-28T00:00:00"/>
    <d v="2026-03-31T00:00:00"/>
    <n v="0.36"/>
    <n v="0.59"/>
    <n v="46"/>
    <n v="72"/>
    <x v="55"/>
    <s v="Buy"/>
    <n v="118"/>
    <x v="0"/>
    <x v="2"/>
    <n v="2026"/>
    <s v="Buy"/>
    <x v="1"/>
    <x v="1378"/>
  </r>
  <r>
    <s v="Unallocated"/>
    <d v="2025-12-02T00:00:00"/>
    <s v="WTI Sprds"/>
    <s v="Hedge"/>
    <n v="335"/>
    <d v="2026-01-31T00:00:00"/>
    <d v="2026-02-28T00:00:00"/>
    <n v="0.26"/>
    <n v="0.15"/>
    <n v="-36.85"/>
    <n v="87.100000000000009"/>
    <x v="53"/>
    <s v="Buy"/>
    <n v="50.25"/>
    <x v="0"/>
    <x v="0"/>
    <n v="2026"/>
    <s v="Buy"/>
    <x v="0"/>
    <x v="1379"/>
  </r>
  <r>
    <s v="Unallocated"/>
    <d v="2025-12-02T00:00:00"/>
    <s v="WTI Sprds"/>
    <s v="Hedge"/>
    <n v="134"/>
    <d v="2026-02-28T00:00:00"/>
    <d v="2026-03-31T00:00:00"/>
    <n v="0.2"/>
    <n v="0.13"/>
    <n v="-9.3800000000000008"/>
    <n v="26.8"/>
    <x v="55"/>
    <s v="Buy"/>
    <n v="17.420000000000002"/>
    <x v="0"/>
    <x v="0"/>
    <n v="2026"/>
    <s v="Buy"/>
    <x v="1"/>
    <x v="1380"/>
  </r>
  <r>
    <s v="BP FOB Jan26 11-15"/>
    <d v="2025-12-09T00:00:00"/>
    <s v="Physical"/>
    <s v="Expo"/>
    <n v="700"/>
    <d v="2025-12-31T00:00:00"/>
    <d v="2025-12-31T00:00:00"/>
    <n v="1.06"/>
    <n v="1.1000000000000001"/>
    <n v="28.000000000000025"/>
    <n v="742"/>
    <x v="51"/>
    <s v="Buy"/>
    <n v="770.00000000000011"/>
    <x v="2"/>
    <x v="4"/>
    <n v="2025"/>
    <s v="Buy"/>
    <x v="1"/>
    <x v="1381"/>
  </r>
  <r>
    <s v="BP FOB Jan26 11-15"/>
    <d v="2025-12-09T00:00:00"/>
    <s v="WTI Sprds"/>
    <s v="Expo"/>
    <n v="-700"/>
    <d v="2026-01-31T00:00:00"/>
    <d v="2026-02-28T00:00:00"/>
    <n v="0.17"/>
    <n v="0.15"/>
    <n v="14.000000000000012"/>
    <n v="-119.00000000000001"/>
    <x v="53"/>
    <s v="Sell"/>
    <n v="-105"/>
    <x v="0"/>
    <x v="0"/>
    <n v="2026"/>
    <s v="Sell"/>
    <x v="0"/>
    <x v="1382"/>
  </r>
  <r>
    <s v="BP FOB Jan26 11-15"/>
    <d v="2025-12-09T00:00:00"/>
    <s v="WTI Sprds"/>
    <s v="Expo"/>
    <n v="-233"/>
    <d v="2026-02-28T00:00:00"/>
    <d v="2026-03-31T00:00:00"/>
    <n v="0.12"/>
    <n v="0.13"/>
    <n v="-2.3300000000000018"/>
    <n v="-27.959999999999997"/>
    <x v="55"/>
    <s v="Sell"/>
    <n v="-30.290000000000003"/>
    <x v="0"/>
    <x v="0"/>
    <n v="2026"/>
    <s v="Sell"/>
    <x v="1"/>
    <x v="1383"/>
  </r>
  <r>
    <s v="Unallocated"/>
    <d v="2025-12-09T00:00:00"/>
    <s v="CFD"/>
    <s v="Hedge"/>
    <n v="-200"/>
    <s v="Jan05-Jan09"/>
    <d v="2026-01-31T00:00:00"/>
    <n v="0.52"/>
    <n v="0.97"/>
    <n v="-89.999999999999986"/>
    <n v="-104"/>
    <x v="52"/>
    <s v="Sell"/>
    <n v="-194"/>
    <x v="1"/>
    <x v="1"/>
    <n v="2025"/>
    <s v="Sell"/>
    <x v="1"/>
    <x v="1384"/>
  </r>
  <r>
    <s v="Unallocated"/>
    <d v="2025-12-09T00:00:00"/>
    <s v="CFD"/>
    <s v="Hedge"/>
    <n v="200"/>
    <s v="Jan19-Jan23"/>
    <d v="2026-01-31T00:00:00"/>
    <n v="0.27"/>
    <n v="0.42"/>
    <n v="29.999999999999993"/>
    <n v="54"/>
    <x v="52"/>
    <s v="Buy"/>
    <n v="84"/>
    <x v="1"/>
    <x v="1"/>
    <n v="2025"/>
    <s v="Buy"/>
    <x v="1"/>
    <x v="1385"/>
  </r>
  <r>
    <s v="Unallocated"/>
    <d v="2025-12-09T00:00:00"/>
    <s v="DFL"/>
    <s v="Hedge"/>
    <n v="-500"/>
    <d v="2025-12-31T00:00:00"/>
    <d v="2025-12-31T00:00:00"/>
    <n v="0.62"/>
    <n v="0.96"/>
    <n v="-169.99999999999997"/>
    <n v="-310"/>
    <x v="51"/>
    <s v="Sell"/>
    <n v="-480"/>
    <x v="1"/>
    <x v="1"/>
    <n v="2025"/>
    <s v="Sell"/>
    <x v="0"/>
    <x v="1386"/>
  </r>
  <r>
    <s v="Unallocated"/>
    <d v="2025-12-10T00:00:00"/>
    <s v="CFD"/>
    <s v="Hedge"/>
    <n v="-100"/>
    <s v="Dec15-Dec19"/>
    <d v="2025-12-31T00:00:00"/>
    <n v="0.84"/>
    <n v="1.1000000000000001"/>
    <n v="-26.000000000000011"/>
    <n v="-84"/>
    <x v="51"/>
    <s v="Sell"/>
    <n v="-110.00000000000001"/>
    <x v="1"/>
    <x v="1"/>
    <n v="2025"/>
    <s v="Sell"/>
    <x v="0"/>
    <x v="1387"/>
  </r>
  <r>
    <s v="HDO March26 10-20"/>
    <d v="2025-12-11T00:00:00"/>
    <s v="Physical"/>
    <s v="Expo"/>
    <n v="2073"/>
    <d v="2026-01-31T00:00:00"/>
    <d v="2026-01-31T00:00:00"/>
    <n v="5.1426869271587066"/>
    <n v="5.25"/>
    <n v="222.46000000000129"/>
    <n v="10660.789999999999"/>
    <x v="52"/>
    <s v="Buy"/>
    <n v="10883.25"/>
    <x v="2"/>
    <x v="4"/>
    <n v="2026"/>
    <s v="Buy"/>
    <x v="1"/>
    <x v="1388"/>
  </r>
  <r>
    <s v="HDO March26 10-20"/>
    <d v="2025-12-11T00:00:00"/>
    <s v="WTI Sprds"/>
    <s v="Expo"/>
    <n v="-2073"/>
    <d v="2026-01-31T00:00:00"/>
    <d v="2026-02-28T00:00:00"/>
    <n v="0.16"/>
    <n v="0.15"/>
    <n v="20.730000000000018"/>
    <n v="-331.68"/>
    <x v="53"/>
    <s v="Sell"/>
    <n v="-310.95"/>
    <x v="0"/>
    <x v="0"/>
    <n v="2026"/>
    <s v="Sell"/>
    <x v="0"/>
    <x v="1389"/>
  </r>
  <r>
    <s v="HDO March26 10-20"/>
    <d v="2025-12-11T00:00:00"/>
    <s v="WTI Sprds"/>
    <s v="Expo"/>
    <n v="-2073"/>
    <d v="2026-02-28T00:00:00"/>
    <d v="2026-03-31T00:00:00"/>
    <n v="0.1"/>
    <n v="0.13"/>
    <n v="-62.19"/>
    <n v="-207.3"/>
    <x v="55"/>
    <s v="Sell"/>
    <n v="-269.49"/>
    <x v="0"/>
    <x v="0"/>
    <n v="2026"/>
    <s v="Sell"/>
    <x v="1"/>
    <x v="1390"/>
  </r>
  <r>
    <s v="HDO March26 10-20"/>
    <d v="2025-12-11T00:00:00"/>
    <s v="WTI-Brent"/>
    <s v="Expo"/>
    <n v="-2073"/>
    <d v="2026-03-31T00:00:00"/>
    <d v="2026-03-31T00:00:00"/>
    <n v="-3.75"/>
    <n v="-4.47"/>
    <n v="1492.5599999999995"/>
    <n v="7773.75"/>
    <x v="60"/>
    <s v="Sell"/>
    <n v="9266.31"/>
    <x v="1"/>
    <x v="3"/>
    <n v="2026"/>
    <s v="Sell"/>
    <x v="1"/>
    <x v="1391"/>
  </r>
  <r>
    <s v="HDO March26 10-20"/>
    <d v="2025-12-11T00:00:00"/>
    <s v="Brent Sprds"/>
    <s v="Expo"/>
    <n v="-1980"/>
    <d v="2026-03-31T00:00:00"/>
    <d v="2026-04-30T00:00:00"/>
    <n v="0.16"/>
    <n v="0.63"/>
    <n v="-930.59999999999991"/>
    <n v="-316.8"/>
    <x v="56"/>
    <s v="Sell"/>
    <n v="-1247.4000000000001"/>
    <x v="0"/>
    <x v="2"/>
    <n v="2026"/>
    <s v="Sell"/>
    <x v="1"/>
    <x v="1392"/>
  </r>
  <r>
    <s v="HDO March26 10-20"/>
    <d v="2025-12-11T00:00:00"/>
    <s v="Brent Sprds"/>
    <s v="Expo"/>
    <n v="-93"/>
    <d v="2026-04-30T00:00:00"/>
    <d v="2026-05-31T00:00:00"/>
    <n v="0.05"/>
    <n v="0.37"/>
    <n v="-29.76"/>
    <n v="-4.6500000000000004"/>
    <x v="61"/>
    <s v="Sell"/>
    <n v="-34.409999999999997"/>
    <x v="0"/>
    <x v="2"/>
    <n v="2026"/>
    <s v="Sell"/>
    <x v="1"/>
    <x v="1393"/>
  </r>
  <r>
    <s v="HDO March26 10-20"/>
    <d v="2025-12-11T00:00:00"/>
    <s v="Freight-TD22"/>
    <s v="Expo"/>
    <n v="-2000"/>
    <d v="2026-01-31T00:00:00"/>
    <d v="2026-01-31T00:00:00"/>
    <n v="13750"/>
    <n v="13750"/>
    <n v="0"/>
    <n v="0"/>
    <x v="52"/>
    <s v="Sell"/>
    <n v="-27500000"/>
    <x v="3"/>
    <x v="5"/>
    <n v="2026"/>
    <s v="Sell"/>
    <x v="1"/>
    <x v="1394"/>
  </r>
  <r>
    <s v="HDO March26 10-20"/>
    <d v="2025-12-11T00:00:00"/>
    <s v="Freight-TD22"/>
    <s v="Hedge"/>
    <n v="2000"/>
    <d v="2026-01-31T00:00:00"/>
    <d v="2026-01-31T00:00:00"/>
    <n v="13300"/>
    <n v="13750"/>
    <n v="450"/>
    <n v="450"/>
    <x v="52"/>
    <s v="Buy"/>
    <n v="27500000"/>
    <x v="3"/>
    <x v="5"/>
    <n v="2026"/>
    <s v="Buy"/>
    <x v="1"/>
    <x v="1395"/>
  </r>
  <r>
    <s v="HDO March26 10-20"/>
    <d v="2025-12-11T00:00:00"/>
    <s v="WTI Sprds"/>
    <s v="Hedge"/>
    <n v="1024"/>
    <d v="2026-01-31T00:00:00"/>
    <d v="2026-02-28T00:00:00"/>
    <n v="0.16"/>
    <n v="0.15"/>
    <n v="-10.240000000000009"/>
    <n v="163.84"/>
    <x v="53"/>
    <s v="Buy"/>
    <n v="153.6"/>
    <x v="0"/>
    <x v="0"/>
    <n v="2026"/>
    <s v="Buy"/>
    <x v="0"/>
    <x v="1396"/>
  </r>
  <r>
    <s v="HDO March26 10-20"/>
    <d v="2025-12-11T00:00:00"/>
    <s v="WTI Sprds"/>
    <s v="Hedge"/>
    <n v="1024"/>
    <d v="2026-02-28T00:00:00"/>
    <d v="2026-03-31T00:00:00"/>
    <n v="0.1"/>
    <n v="0.13"/>
    <n v="30.72"/>
    <n v="102.4"/>
    <x v="55"/>
    <s v="Buy"/>
    <n v="133.12"/>
    <x v="0"/>
    <x v="0"/>
    <n v="2026"/>
    <s v="Buy"/>
    <x v="1"/>
    <x v="1397"/>
  </r>
  <r>
    <s v="HDO March26 10-20"/>
    <d v="2025-12-11T00:00:00"/>
    <s v="WTI-Brent"/>
    <s v="Hedge"/>
    <n v="1024"/>
    <d v="2026-03-31T00:00:00"/>
    <d v="2026-03-31T00:00:00"/>
    <n v="-3.72"/>
    <n v="-4.47"/>
    <n v="-767.99999999999955"/>
    <n v="-3809.28"/>
    <x v="60"/>
    <s v="Buy"/>
    <n v="-4577.28"/>
    <x v="1"/>
    <x v="3"/>
    <n v="2026"/>
    <s v="Buy"/>
    <x v="1"/>
    <x v="1398"/>
  </r>
  <r>
    <s v="HDO March26 10-20"/>
    <d v="2025-12-11T00:00:00"/>
    <s v="WTI-Brent"/>
    <s v="Hedge"/>
    <n v="500"/>
    <d v="2026-03-31T00:00:00"/>
    <d v="2026-03-31T00:00:00"/>
    <n v="-3.71"/>
    <n v="-4.47"/>
    <n v="-379.99999999999989"/>
    <n v="-1855"/>
    <x v="60"/>
    <s v="Buy"/>
    <n v="-2235"/>
    <x v="1"/>
    <x v="3"/>
    <n v="2026"/>
    <s v="Buy"/>
    <x v="1"/>
    <x v="1399"/>
  </r>
  <r>
    <s v="HDO March26 10-20"/>
    <d v="2025-12-11T00:00:00"/>
    <s v="Brent Sprds"/>
    <s v="Hedge"/>
    <n v="2000"/>
    <d v="2026-03-31T00:00:00"/>
    <d v="2026-04-30T00:00:00"/>
    <n v="0.16"/>
    <n v="0.63"/>
    <n v="940"/>
    <n v="320"/>
    <x v="56"/>
    <s v="Buy"/>
    <n v="1260"/>
    <x v="0"/>
    <x v="2"/>
    <n v="2026"/>
    <s v="Buy"/>
    <x v="1"/>
    <x v="1400"/>
  </r>
  <r>
    <s v="HDO March26 10-20"/>
    <d v="2025-12-11T00:00:00"/>
    <s v="Brent Sprds"/>
    <s v="Hedge"/>
    <n v="1000"/>
    <d v="2026-02-28T00:00:00"/>
    <d v="2026-03-31T00:00:00"/>
    <n v="0.23"/>
    <n v="0.59"/>
    <n v="360"/>
    <n v="230"/>
    <x v="55"/>
    <s v="Buy"/>
    <n v="590"/>
    <x v="0"/>
    <x v="2"/>
    <n v="2026"/>
    <s v="Buy"/>
    <x v="1"/>
    <x v="1401"/>
  </r>
  <r>
    <s v="HDO March26 10-20"/>
    <d v="2025-12-12T00:00:00"/>
    <s v="WTI-Brent"/>
    <s v="Hedge"/>
    <n v="500"/>
    <d v="2026-03-31T00:00:00"/>
    <d v="2026-03-31T00:00:00"/>
    <n v="-3.73"/>
    <n v="-4.47"/>
    <n v="-369.99999999999989"/>
    <n v="-1865"/>
    <x v="60"/>
    <s v="Buy"/>
    <n v="-2235"/>
    <x v="1"/>
    <x v="3"/>
    <n v="2026"/>
    <s v="Buy"/>
    <x v="1"/>
    <x v="1402"/>
  </r>
  <r>
    <s v="Unallocated"/>
    <d v="2025-12-15T00:00:00"/>
    <s v="DFL"/>
    <s v="Hedge"/>
    <n v="-375"/>
    <d v="2026-01-31T00:00:00"/>
    <d v="2026-01-31T00:00:00"/>
    <n v="0.33"/>
    <n v="1.83"/>
    <n v="-562.5"/>
    <n v="-123.75"/>
    <x v="52"/>
    <s v="Sell"/>
    <n v="-686.25"/>
    <x v="1"/>
    <x v="1"/>
    <n v="2026"/>
    <s v="Sell"/>
    <x v="1"/>
    <x v="1403"/>
  </r>
  <r>
    <s v="HDO March26 10-20"/>
    <d v="2025-12-16T00:00:00"/>
    <s v="WTI Sprds"/>
    <s v="Hedge"/>
    <n v="230"/>
    <d v="2026-01-31T00:00:00"/>
    <d v="2026-02-28T00:00:00"/>
    <n v="0.14000000000000001"/>
    <n v="0.15"/>
    <n v="2.2999999999999958"/>
    <n v="32.200000000000003"/>
    <x v="53"/>
    <s v="Buy"/>
    <n v="34.5"/>
    <x v="0"/>
    <x v="0"/>
    <n v="2026"/>
    <s v="Buy"/>
    <x v="0"/>
    <x v="1404"/>
  </r>
  <r>
    <s v="HDO March26 10-20"/>
    <d v="2025-12-16T00:00:00"/>
    <s v="WTI Sprds"/>
    <s v="Hedge"/>
    <n v="92"/>
    <d v="2026-02-28T00:00:00"/>
    <d v="2026-03-31T00:00:00"/>
    <n v="0.08"/>
    <n v="0.13"/>
    <n v="4.6000000000000005"/>
    <n v="7.36"/>
    <x v="55"/>
    <s v="Buy"/>
    <n v="11.96"/>
    <x v="0"/>
    <x v="0"/>
    <n v="2026"/>
    <s v="Buy"/>
    <x v="1"/>
    <x v="1405"/>
  </r>
  <r>
    <s v="HDO March26 10-20"/>
    <d v="2025-12-17T00:00:00"/>
    <s v="WTI Sprds"/>
    <s v="Hedge"/>
    <n v="230"/>
    <d v="2026-01-31T00:00:00"/>
    <d v="2026-02-28T00:00:00"/>
    <n v="0.14000000000000001"/>
    <n v="0.15"/>
    <n v="2.2999999999999958"/>
    <n v="32.200000000000003"/>
    <x v="53"/>
    <s v="Buy"/>
    <n v="34.5"/>
    <x v="0"/>
    <x v="0"/>
    <n v="2026"/>
    <s v="Buy"/>
    <x v="0"/>
    <x v="1406"/>
  </r>
  <r>
    <s v="HDO March26 10-20"/>
    <d v="2025-12-17T00:00:00"/>
    <s v="WTI Sprds"/>
    <s v="Hedge"/>
    <n v="92"/>
    <d v="2026-02-28T00:00:00"/>
    <d v="2026-03-31T00:00:00"/>
    <n v="0.08"/>
    <n v="0.13"/>
    <n v="4.6000000000000005"/>
    <n v="7.36"/>
    <x v="55"/>
    <s v="Buy"/>
    <n v="11.96"/>
    <x v="0"/>
    <x v="0"/>
    <n v="2026"/>
    <s v="Buy"/>
    <x v="1"/>
    <x v="1407"/>
  </r>
  <r>
    <s v="HDO March26 10-20"/>
    <d v="2025-12-18T00:00:00"/>
    <s v="WTI Sprds"/>
    <s v="Hedge"/>
    <n v="289"/>
    <d v="2026-01-31T00:00:00"/>
    <d v="2026-02-28T00:00:00"/>
    <n v="0.14000000000000001"/>
    <n v="0.15"/>
    <n v="2.8899999999999944"/>
    <n v="40.46"/>
    <x v="53"/>
    <s v="Buy"/>
    <n v="43.35"/>
    <x v="0"/>
    <x v="0"/>
    <n v="2026"/>
    <s v="Buy"/>
    <x v="0"/>
    <x v="1408"/>
  </r>
  <r>
    <s v="HDO March26 10-20"/>
    <d v="2025-12-18T00:00:00"/>
    <s v="WTI Sprds"/>
    <s v="Hedge"/>
    <n v="92"/>
    <d v="2026-02-28T00:00:00"/>
    <d v="2026-03-31T00:00:00"/>
    <n v="0.08"/>
    <n v="0.13"/>
    <n v="4.6000000000000005"/>
    <n v="7.36"/>
    <x v="55"/>
    <s v="Buy"/>
    <n v="11.96"/>
    <x v="0"/>
    <x v="0"/>
    <n v="2026"/>
    <s v="Buy"/>
    <x v="1"/>
    <x v="1409"/>
  </r>
  <r>
    <s v="HDO March26 10-20"/>
    <d v="2025-12-17T00:00:00"/>
    <s v="WTI-Brent"/>
    <s v="Hedge"/>
    <n v="500"/>
    <d v="2026-06-30T00:00:00"/>
    <d v="2026-06-30T00:00:00"/>
    <n v="-3.45"/>
    <n v="-3.65"/>
    <n v="-99.999999999999872"/>
    <n v="-1725"/>
    <x v="57"/>
    <s v="Buy"/>
    <n v="-1825"/>
    <x v="1"/>
    <x v="3"/>
    <n v="2026"/>
    <s v="Buy"/>
    <x v="1"/>
    <x v="1410"/>
  </r>
  <r>
    <s v="Unallocated"/>
    <d v="2025-12-18T00:00:00"/>
    <s v="WTI-Brent"/>
    <s v="Hedge"/>
    <n v="409"/>
    <d v="2026-03-31T00:00:00"/>
    <d v="2026-03-31T00:00:00"/>
    <n v="-3.7"/>
    <n v="-4.47"/>
    <n v="-314.92999999999984"/>
    <n v="-1513.3000000000002"/>
    <x v="60"/>
    <s v="Buy"/>
    <n v="-1828.2299999999998"/>
    <x v="1"/>
    <x v="3"/>
    <n v="2026"/>
    <s v="Buy"/>
    <x v="1"/>
    <x v="1411"/>
  </r>
  <r>
    <s v="Unallocated"/>
    <d v="2025-12-18T00:00:00"/>
    <s v="WTI Sprds"/>
    <s v="Hedge"/>
    <n v="1000"/>
    <d v="2026-02-28T00:00:00"/>
    <d v="2026-03-31T00:00:00"/>
    <n v="0.14000000000000001"/>
    <n v="0.13"/>
    <n v="-10.000000000000009"/>
    <n v="140"/>
    <x v="55"/>
    <s v="Buy"/>
    <n v="130"/>
    <x v="0"/>
    <x v="0"/>
    <n v="2026"/>
    <s v="Buy"/>
    <x v="1"/>
    <x v="1412"/>
  </r>
  <r>
    <s v="Unallocated"/>
    <d v="2025-12-18T00:00:00"/>
    <s v="WTI Sprds"/>
    <s v="Hedge"/>
    <n v="1000"/>
    <d v="2026-03-31T00:00:00"/>
    <d v="2026-04-30T00:00:00"/>
    <n v="7.0000000000000007E-2"/>
    <n v="0.19"/>
    <n v="120"/>
    <n v="70"/>
    <x v="56"/>
    <s v="Buy"/>
    <n v="190"/>
    <x v="0"/>
    <x v="0"/>
    <n v="2026"/>
    <s v="Buy"/>
    <x v="1"/>
    <x v="1413"/>
  </r>
  <r>
    <s v="Unallocated"/>
    <d v="2025-12-18T00:00:00"/>
    <s v="WTI Sprds"/>
    <s v="Hedge"/>
    <n v="1000"/>
    <d v="2026-04-30T00:00:00"/>
    <d v="2026-05-31T00:00:00"/>
    <n v="0"/>
    <n v="0.14000000000000001"/>
    <n v="140"/>
    <n v="0"/>
    <x v="61"/>
    <s v="Buy"/>
    <n v="140"/>
    <x v="0"/>
    <x v="0"/>
    <n v="2026"/>
    <s v="Buy"/>
    <x v="1"/>
    <x v="1414"/>
  </r>
  <r>
    <s v="Unallocated"/>
    <d v="2025-12-21T00:00:00"/>
    <s v="Physical"/>
    <s v="Expo"/>
    <m/>
    <d v="2025-12-31T00:00:00"/>
    <d v="2025-12-31T00:00:00"/>
    <m/>
    <m/>
    <n v="-882"/>
    <n v="0"/>
    <x v="51"/>
    <s v="Buy"/>
    <n v="0"/>
    <x v="2"/>
    <x v="4"/>
    <n v="2025"/>
    <s v="Sell"/>
    <x v="1"/>
    <x v="1415"/>
  </r>
  <r>
    <s v="Glencore FOB VLCC Jan26-30"/>
    <d v="2025-12-23T00:00:00"/>
    <s v="Physical"/>
    <s v="Expo"/>
    <n v="1400"/>
    <d v="2026-01-31T00:00:00"/>
    <d v="2026-01-31T00:00:00"/>
    <n v="-2.4499999999999997"/>
    <n v="-2.02"/>
    <n v="601.99999999999955"/>
    <n v="-3429.9999999999995"/>
    <x v="52"/>
    <s v="Buy"/>
    <n v="-2828"/>
    <x v="2"/>
    <x v="4"/>
    <n v="2026"/>
    <s v="Buy"/>
    <x v="1"/>
    <x v="1416"/>
  </r>
  <r>
    <s v="Glencore FOB VLCC Jan26-30"/>
    <d v="2025-12-23T00:00:00"/>
    <s v="WTI Sprds"/>
    <s v="Expo"/>
    <n v="-1400"/>
    <d v="2026-02-28T00:00:00"/>
    <d v="2026-03-31T00:00:00"/>
    <n v="0.22"/>
    <n v="0.13"/>
    <n v="126"/>
    <n v="-308"/>
    <x v="55"/>
    <s v="Sell"/>
    <n v="-182"/>
    <x v="0"/>
    <x v="0"/>
    <n v="2026"/>
    <s v="Sell"/>
    <x v="1"/>
    <x v="1417"/>
  </r>
  <r>
    <s v="Glencore FOB VLCC Jan26-30"/>
    <d v="2025-12-23T00:00:00"/>
    <s v="WTI Sprds"/>
    <s v="Expo"/>
    <n v="-1400"/>
    <d v="2026-03-31T00:00:00"/>
    <d v="2026-04-30T00:00:00"/>
    <n v="0.14000000000000001"/>
    <n v="0.19"/>
    <n v="-69.999999999999986"/>
    <n v="-196.00000000000003"/>
    <x v="56"/>
    <s v="Sell"/>
    <n v="-266"/>
    <x v="0"/>
    <x v="0"/>
    <n v="2026"/>
    <s v="Sell"/>
    <x v="1"/>
    <x v="1418"/>
  </r>
  <r>
    <s v="Glencore FOB VLCC Jan26-30"/>
    <d v="2025-12-23T00:00:00"/>
    <s v="WTI-Brent"/>
    <s v="Expo"/>
    <n v="-1400"/>
    <d v="2026-04-30T00:00:00"/>
    <d v="2026-04-30T00:00:00"/>
    <n v="-3.55"/>
    <n v="-4.03"/>
    <n v="672.00000000000057"/>
    <n v="4970"/>
    <x v="58"/>
    <s v="Sell"/>
    <n v="5642"/>
    <x v="1"/>
    <x v="3"/>
    <n v="2026"/>
    <s v="Sell"/>
    <x v="1"/>
    <x v="1419"/>
  </r>
  <r>
    <s v="Glencore FOB VLCC Jan26-30"/>
    <d v="2025-12-23T00:00:00"/>
    <s v="WTI-Brent"/>
    <s v="Hedge"/>
    <n v="500"/>
    <d v="2026-03-31T00:00:00"/>
    <d v="2026-03-31T00:00:00"/>
    <n v="-3.73"/>
    <n v="-4.47"/>
    <n v="-369.99999999999989"/>
    <n v="-1865"/>
    <x v="60"/>
    <s v="Buy"/>
    <n v="-2235"/>
    <x v="1"/>
    <x v="3"/>
    <n v="2026"/>
    <s v="Buy"/>
    <x v="1"/>
    <x v="1420"/>
  </r>
  <r>
    <s v="Glencore FOB VLCC Jan26-30"/>
    <d v="2025-12-23T00:00:00"/>
    <s v="WTI Sprds"/>
    <s v="Hedge"/>
    <n v="87"/>
    <d v="2026-02-28T00:00:00"/>
    <d v="2026-03-31T00:00:00"/>
    <n v="0.25"/>
    <n v="0.13"/>
    <n v="-10.44"/>
    <n v="21.75"/>
    <x v="55"/>
    <s v="Buy"/>
    <n v="11.31"/>
    <x v="0"/>
    <x v="0"/>
    <n v="2026"/>
    <s v="Buy"/>
    <x v="1"/>
    <x v="1421"/>
  </r>
  <r>
    <s v="Glencore FOB VLCC Jan26-30"/>
    <d v="2025-12-24T00:00:00"/>
    <s v="WTI Sprds"/>
    <s v="Hedge"/>
    <n v="500"/>
    <d v="2026-02-28T00:00:00"/>
    <d v="2026-03-31T00:00:00"/>
    <n v="0.22"/>
    <n v="0.13"/>
    <n v="-45"/>
    <n v="110"/>
    <x v="55"/>
    <s v="Buy"/>
    <n v="65"/>
    <x v="0"/>
    <x v="0"/>
    <n v="2026"/>
    <s v="Buy"/>
    <x v="1"/>
    <x v="1422"/>
  </r>
  <r>
    <s v="Feb26 EFP 1"/>
    <d v="2025-12-29T00:00:00"/>
    <s v="Physical"/>
    <s v="Expo"/>
    <n v="700"/>
    <d v="2026-01-31T00:00:00"/>
    <d v="2026-01-31T00:00:00"/>
    <n v="0.17862179999999928"/>
    <n v="0.01"/>
    <n v="-118.03525999999948"/>
    <n v="125.0352599999995"/>
    <x v="52"/>
    <s v="Buy"/>
    <n v="7"/>
    <x v="2"/>
    <x v="4"/>
    <n v="2026"/>
    <s v="Buy"/>
    <x v="1"/>
    <x v="1423"/>
  </r>
  <r>
    <s v="Feb26 EFP 1"/>
    <d v="2025-12-29T00:00:00"/>
    <s v="WTI-Brent"/>
    <s v="Expo"/>
    <n v="-700"/>
    <d v="2026-02-28T00:00:00"/>
    <d v="2026-02-28T00:00:00"/>
    <n v="-3.83"/>
    <n v="-3.97"/>
    <n v="98.000000000000085"/>
    <n v="2681"/>
    <x v="54"/>
    <s v="Sell"/>
    <n v="2779"/>
    <x v="1"/>
    <x v="3"/>
    <n v="2026"/>
    <s v="Sell"/>
    <x v="1"/>
    <x v="1424"/>
  </r>
  <r>
    <s v="Feb26 EFP 1"/>
    <d v="2025-12-29T00:00:00"/>
    <s v="WTI-Brent"/>
    <s v="Hedge"/>
    <n v="700"/>
    <d v="2026-02-28T00:00:00"/>
    <d v="2026-02-28T00:00:00"/>
    <n v="-3.86"/>
    <n v="-3.97"/>
    <n v="-77.000000000000227"/>
    <n v="-2702"/>
    <x v="54"/>
    <s v="Buy"/>
    <n v="-2779"/>
    <x v="1"/>
    <x v="3"/>
    <n v="2026"/>
    <s v="Buy"/>
    <x v="1"/>
    <x v="1425"/>
  </r>
  <r>
    <s v="Feb26 EFP 1"/>
    <d v="2025-12-29T00:00:00"/>
    <s v="Freight-TD25"/>
    <s v="Expo"/>
    <n v="-700"/>
    <d v="2026-02-28T00:00:00"/>
    <d v="2026-02-28T00:00:00"/>
    <n v="188"/>
    <n v="229.755"/>
    <n v="-584.56999999999994"/>
    <n v="-131600"/>
    <x v="54"/>
    <s v="Sell"/>
    <n v="-160828.5"/>
    <x v="3"/>
    <x v="5"/>
    <n v="2026"/>
    <s v="Sell"/>
    <x v="1"/>
    <x v="1426"/>
  </r>
  <r>
    <s v="Feb26 EFP 1"/>
    <d v="2025-12-29T00:00:00"/>
    <s v="Freight-TD7"/>
    <s v="Expo"/>
    <n v="700"/>
    <d v="2026-02-28T00:00:00"/>
    <d v="2026-02-28T00:00:00"/>
    <n v="123"/>
    <n v="135"/>
    <n v="42"/>
    <n v="86100"/>
    <x v="54"/>
    <s v="Buy"/>
    <n v="94500"/>
    <x v="3"/>
    <x v="5"/>
    <n v="2026"/>
    <s v="Buy"/>
    <x v="1"/>
    <x v="1427"/>
  </r>
  <r>
    <s v="Vitol FOB Jan 28-29 EHSC"/>
    <d v="2025-12-29T00:00:00"/>
    <s v="Physical"/>
    <s v="Expo"/>
    <n v="700"/>
    <d v="2026-02-28T00:00:00"/>
    <d v="2026-02-28T00:00:00"/>
    <n v="-2.65"/>
    <n v="-2.3199999999999998"/>
    <n v="231.00000000000006"/>
    <n v="-1855"/>
    <x v="54"/>
    <s v="Buy"/>
    <n v="-1624"/>
    <x v="2"/>
    <x v="4"/>
    <n v="2026"/>
    <s v="Buy"/>
    <x v="1"/>
    <x v="1428"/>
  </r>
  <r>
    <s v="Vitol FOB Jan 28-29 EHSC"/>
    <d v="2025-12-29T00:00:00"/>
    <s v="MEH"/>
    <s v="Expo"/>
    <m/>
    <d v="2026-02-28T00:00:00"/>
    <d v="2026-02-28T00:00:00"/>
    <n v="0.73"/>
    <n v="1.1499999999999999"/>
    <n v="0"/>
    <n v="0"/>
    <x v="54"/>
    <s v="Buy"/>
    <n v="0"/>
    <x v="1"/>
    <x v="7"/>
    <n v="2026"/>
    <s v="Sell"/>
    <x v="1"/>
    <x v="1429"/>
  </r>
  <r>
    <s v="Vitol FOB Jan 28-29 EHSC"/>
    <d v="2025-12-29T00:00:00"/>
    <s v="WTI Sprds"/>
    <s v="Expo"/>
    <n v="-700"/>
    <d v="2026-02-28T00:00:00"/>
    <d v="2026-03-31T00:00:00"/>
    <n v="0.24"/>
    <n v="0.13"/>
    <n v="76.999999999999986"/>
    <n v="-168"/>
    <x v="55"/>
    <s v="Sell"/>
    <n v="-91"/>
    <x v="0"/>
    <x v="0"/>
    <n v="2026"/>
    <s v="Sell"/>
    <x v="1"/>
    <x v="1430"/>
  </r>
  <r>
    <s v="Vitol FOB Jan 28-29 EHSC"/>
    <d v="2025-12-29T00:00:00"/>
    <s v="WTI-Brent"/>
    <s v="Expo"/>
    <n v="-700"/>
    <d v="2026-03-31T00:00:00"/>
    <d v="2026-03-31T00:00:00"/>
    <n v="-3.63"/>
    <n v="-4.47"/>
    <n v="587.99999999999989"/>
    <n v="2541"/>
    <x v="60"/>
    <s v="Sell"/>
    <n v="3129"/>
    <x v="1"/>
    <x v="3"/>
    <n v="2026"/>
    <s v="Sell"/>
    <x v="1"/>
    <x v="1431"/>
  </r>
  <r>
    <s v="Unallocated"/>
    <d v="2025-12-29T00:00:00"/>
    <s v="CFD"/>
    <s v="Hedge"/>
    <n v="200"/>
    <s v="Jan05-Jan09"/>
    <d v="2026-01-31T00:00:00"/>
    <n v="0.97"/>
    <n v="0.97"/>
    <n v="0"/>
    <n v="194"/>
    <x v="52"/>
    <s v="Buy"/>
    <n v="194"/>
    <x v="1"/>
    <x v="1"/>
    <n v="2026"/>
    <s v="Buy"/>
    <x v="1"/>
    <x v="1432"/>
  </r>
  <r>
    <s v="Unallocated"/>
    <d v="2025-12-29T00:00:00"/>
    <s v="CFD"/>
    <s v="Hedge"/>
    <n v="-200"/>
    <s v="Jan19-Jan23"/>
    <d v="2026-01-31T00:00:00"/>
    <n v="0.42999999999999994"/>
    <n v="0.42"/>
    <n v="1.9999999999999907"/>
    <n v="-85.999999999999986"/>
    <x v="52"/>
    <s v="Sell"/>
    <n v="-84"/>
    <x v="1"/>
    <x v="1"/>
    <n v="2026"/>
    <s v="Sell"/>
    <x v="1"/>
    <x v="1433"/>
  </r>
  <r>
    <s v="Vitol FOB Jan 28-29 EHSC"/>
    <d v="2025-12-29T00:00:00"/>
    <s v="WTI Sprds"/>
    <s v="Hedge"/>
    <n v="354"/>
    <d v="2026-02-28T00:00:00"/>
    <d v="2026-03-31T00:00:00"/>
    <n v="0.23"/>
    <n v="0.13"/>
    <n v="-35.4"/>
    <n v="81.42"/>
    <x v="55"/>
    <s v="Buy"/>
    <n v="46.02"/>
    <x v="0"/>
    <x v="0"/>
    <n v="2026"/>
    <s v="Buy"/>
    <x v="1"/>
    <x v="1434"/>
  </r>
  <r>
    <s v="Vitol FOB Jan 28-29 EHSC"/>
    <d v="2025-12-29T00:00:00"/>
    <s v="WTI Sprds"/>
    <s v="Hedge"/>
    <n v="93"/>
    <d v="2026-03-31T00:00:00"/>
    <d v="2026-04-30T00:00:00"/>
    <n v="0.17"/>
    <n v="0.19"/>
    <n v="1.859999999999999"/>
    <n v="15.81"/>
    <x v="56"/>
    <s v="Buy"/>
    <n v="17.670000000000002"/>
    <x v="0"/>
    <x v="0"/>
    <n v="2026"/>
    <s v="Buy"/>
    <x v="1"/>
    <x v="1435"/>
  </r>
  <r>
    <s v="Vitol FOB Jan 28-29 EHSC"/>
    <d v="2025-12-30T00:00:00"/>
    <s v="Brent Sprds"/>
    <s v="Hedge"/>
    <n v="125"/>
    <d v="2026-02-28T00:00:00"/>
    <d v="2026-03-31T00:00:00"/>
    <n v="0.4"/>
    <n v="0.59"/>
    <n v="23.749999999999993"/>
    <n v="50"/>
    <x v="55"/>
    <s v="Buy"/>
    <n v="73.75"/>
    <x v="0"/>
    <x v="2"/>
    <n v="2026"/>
    <s v="Buy"/>
    <x v="1"/>
    <x v="1436"/>
  </r>
  <r>
    <s v="Vitol FOB Jan 28-29 EHSC"/>
    <d v="2025-12-30T00:00:00"/>
    <s v="WTI-Brent"/>
    <s v="Hedge"/>
    <n v="24"/>
    <d v="2026-02-28T00:00:00"/>
    <d v="2026-02-28T00:00:00"/>
    <n v="-3.97"/>
    <n v="-3.97"/>
    <n v="0"/>
    <n v="-95.28"/>
    <x v="54"/>
    <s v="Buy"/>
    <n v="-95.28"/>
    <x v="1"/>
    <x v="3"/>
    <n v="2026"/>
    <s v="Buy"/>
    <x v="1"/>
    <x v="1437"/>
  </r>
  <r>
    <s v="Vitol FOB Jan 28-29 EHSC"/>
    <d v="2025-12-30T00:00:00"/>
    <s v="WTI Sprds"/>
    <s v="Hedge"/>
    <n v="354"/>
    <d v="2026-02-28T00:00:00"/>
    <d v="2026-03-31T00:00:00"/>
    <n v="0.21"/>
    <n v="0.13"/>
    <n v="-28.319999999999997"/>
    <n v="74.34"/>
    <x v="55"/>
    <s v="Buy"/>
    <n v="46.02"/>
    <x v="0"/>
    <x v="0"/>
    <n v="2026"/>
    <s v="Buy"/>
    <x v="1"/>
    <x v="1438"/>
  </r>
  <r>
    <s v="Vitol FOB Jan 28-29 EHSC"/>
    <d v="2025-12-30T00:00:00"/>
    <s v="WTI Sprds"/>
    <s v="Hedge"/>
    <n v="93"/>
    <d v="2026-03-31T00:00:00"/>
    <d v="2026-04-30T00:00:00"/>
    <n v="0.16"/>
    <n v="0.19"/>
    <n v="2.79"/>
    <n v="14.88"/>
    <x v="56"/>
    <s v="Buy"/>
    <n v="17.670000000000002"/>
    <x v="0"/>
    <x v="0"/>
    <n v="2026"/>
    <s v="Buy"/>
    <x v="1"/>
    <x v="1439"/>
  </r>
  <r>
    <s v="Vitol FOB Jan 28-29 EHSC"/>
    <d v="2025-12-30T00:00:00"/>
    <s v="MEH"/>
    <s v="Hedge"/>
    <n v="375"/>
    <d v="2026-02-28T00:00:00"/>
    <d v="2026-02-28T00:00:00"/>
    <n v="0.67"/>
    <n v="1.1499999999999999"/>
    <n v="179.99999999999994"/>
    <n v="251.25000000000003"/>
    <x v="54"/>
    <s v="Buy"/>
    <n v="431.24999999999994"/>
    <x v="1"/>
    <x v="7"/>
    <n v="2026"/>
    <s v="Buy"/>
    <x v="1"/>
    <x v="1440"/>
  </r>
  <r>
    <s v="Vitol FOB Jan 28-29 EHSC"/>
    <d v="2025-12-30T00:00:00"/>
    <s v="MEH"/>
    <s v="Expo"/>
    <n v="12"/>
    <d v="2026-02-28T00:00:00"/>
    <d v="2026-02-28T00:00:00"/>
    <n v="0.69"/>
    <n v="1.1499999999999999"/>
    <n v="5.52"/>
    <n v="8.2799999999999994"/>
    <x v="54"/>
    <s v="Buy"/>
    <n v="13.799999999999999"/>
    <x v="1"/>
    <x v="7"/>
    <n v="2026"/>
    <s v="Buy"/>
    <x v="1"/>
    <x v="1441"/>
  </r>
  <r>
    <s v="Vitol FOB Jan 28-29 EHSC"/>
    <d v="2025-12-30T00:00:00"/>
    <s v="WTI-Brent"/>
    <s v="Hedge"/>
    <n v="400"/>
    <d v="2026-04-30T00:00:00"/>
    <d v="2026-04-30T00:00:00"/>
    <n v="-3.42"/>
    <n v="-4.03"/>
    <n v="-244.00000000000011"/>
    <n v="-1368"/>
    <x v="58"/>
    <s v="Buy"/>
    <n v="-1612"/>
    <x v="1"/>
    <x v="3"/>
    <n v="2026"/>
    <s v="Buy"/>
    <x v="1"/>
    <x v="1442"/>
  </r>
  <r>
    <s v="Vitol FOB Jan 28-29 EHSC"/>
    <d v="2025-12-31T00:00:00"/>
    <s v="WTI Sprds"/>
    <s v="Hedge"/>
    <n v="354"/>
    <d v="2026-02-28T00:00:00"/>
    <d v="2026-03-31T00:00:00"/>
    <n v="0.21"/>
    <n v="0.13"/>
    <n v="-28.319999999999997"/>
    <n v="74.34"/>
    <x v="55"/>
    <s v="Buy"/>
    <n v="46.02"/>
    <x v="0"/>
    <x v="0"/>
    <n v="2026"/>
    <s v="Buy"/>
    <x v="1"/>
    <x v="1443"/>
  </r>
  <r>
    <s v="Vitol FOB Jan 28-29 EHSC"/>
    <d v="2025-12-31T00:00:00"/>
    <s v="WTI Sprds"/>
    <s v="Hedge"/>
    <n v="93"/>
    <d v="2026-03-31T00:00:00"/>
    <d v="2026-04-30T00:00:00"/>
    <n v="0.16"/>
    <n v="0.19"/>
    <n v="2.79"/>
    <n v="14.88"/>
    <x v="56"/>
    <s v="Buy"/>
    <n v="17.670000000000002"/>
    <x v="0"/>
    <x v="0"/>
    <n v="2026"/>
    <s v="Buy"/>
    <x v="1"/>
    <x v="1444"/>
  </r>
  <r>
    <s v="Dec25 EFP 1"/>
    <d v="2025-12-31T00:00:00"/>
    <s v="Freight-TD25"/>
    <s v="Expo"/>
    <n v="250"/>
    <d v="2025-12-31T00:00:00"/>
    <d v="2025-12-31T00:00:00"/>
    <n v="208.93"/>
    <n v="208.93"/>
    <n v="0"/>
    <n v="52232.5"/>
    <x v="51"/>
    <s v="Buy"/>
    <n v="52232.5"/>
    <x v="3"/>
    <x v="5"/>
    <n v="2025"/>
    <s v="Buy"/>
    <x v="0"/>
    <x v="1445"/>
  </r>
  <r>
    <s v="Unallocated"/>
    <d v="2025-12-31T00:00:00"/>
    <s v="DFL"/>
    <s v="Hedge"/>
    <n v="3"/>
    <d v="2025-12-31T00:00:00"/>
    <d v="2025-12-31T00:00:00"/>
    <n v="0.99"/>
    <n v="0.99"/>
    <n v="0"/>
    <n v="2.9699999999999998"/>
    <x v="51"/>
    <s v="Buy"/>
    <n v="2.9699999999999998"/>
    <x v="1"/>
    <x v="1"/>
    <n v="2025"/>
    <s v="Buy"/>
    <x v="0"/>
    <x v="1446"/>
  </r>
  <r>
    <s v="Vitol FOB Jan 28-29 EHSC"/>
    <d v="2025-12-31T00:00:00"/>
    <s v="MEH"/>
    <s v="Hedge"/>
    <n v="200"/>
    <d v="2026-02-28T00:00:00"/>
    <d v="2026-02-28T00:00:00"/>
    <n v="0.71"/>
    <n v="1.1499999999999999"/>
    <n v="87.999999999999986"/>
    <n v="142"/>
    <x v="54"/>
    <s v="Buy"/>
    <n v="229.99999999999997"/>
    <x v="1"/>
    <x v="7"/>
    <n v="2026"/>
    <s v="Buy"/>
    <x v="1"/>
    <x v="1447"/>
  </r>
  <r>
    <s v="EOY Flattening Out"/>
    <d v="2026-01-02T00:00:00"/>
    <s v="Brent Sprds"/>
    <s v="Hedge"/>
    <m/>
    <d v="2025-12-31T00:00:00"/>
    <d v="2025-12-31T00:00:00"/>
    <m/>
    <m/>
    <n v="-311.44900000002588"/>
    <n v="0"/>
    <x v="51"/>
    <s v="Buy"/>
    <n v="0"/>
    <x v="0"/>
    <x v="2"/>
    <n v="2025"/>
    <s v="Sell"/>
    <x v="0"/>
    <x v="1448"/>
  </r>
  <r>
    <s v="EOY Flattening Out"/>
    <d v="2026-01-02T00:00:00"/>
    <s v="CFD"/>
    <s v="Hedge"/>
    <m/>
    <d v="2025-12-31T00:00:00"/>
    <d v="2025-12-31T00:00:00"/>
    <m/>
    <m/>
    <n v="-47.534000000000027"/>
    <n v="0"/>
    <x v="51"/>
    <s v="Buy"/>
    <n v="0"/>
    <x v="1"/>
    <x v="1"/>
    <n v="2025"/>
    <s v="Sell"/>
    <x v="0"/>
    <x v="1449"/>
  </r>
  <r>
    <s v="EOY Flattening Out"/>
    <d v="2026-01-02T00:00:00"/>
    <s v="DFL"/>
    <s v="Hedge"/>
    <m/>
    <d v="2025-12-31T00:00:00"/>
    <d v="2025-12-31T00:00:00"/>
    <m/>
    <m/>
    <n v="-8569.2546979999988"/>
    <n v="0"/>
    <x v="51"/>
    <s v="Buy"/>
    <n v="0"/>
    <x v="1"/>
    <x v="1"/>
    <n v="2025"/>
    <s v="Sell"/>
    <x v="0"/>
    <x v="1450"/>
  </r>
  <r>
    <s v="EOY Flattening Out"/>
    <d v="2026-01-02T00:00:00"/>
    <s v="Freight-TD22"/>
    <s v="Hedge"/>
    <m/>
    <d v="2025-12-31T00:00:00"/>
    <d v="2025-12-31T00:00:00"/>
    <m/>
    <m/>
    <n v="-2050"/>
    <n v="0"/>
    <x v="51"/>
    <s v="Buy"/>
    <n v="0"/>
    <x v="3"/>
    <x v="5"/>
    <n v="2025"/>
    <s v="Sell"/>
    <x v="0"/>
    <x v="1451"/>
  </r>
  <r>
    <s v="EOY Flattening Out"/>
    <d v="2026-01-02T00:00:00"/>
    <s v="Freight-TD25"/>
    <s v="Hedge"/>
    <m/>
    <d v="2025-12-31T00:00:00"/>
    <d v="2025-12-31T00:00:00"/>
    <m/>
    <m/>
    <n v="-1009.8591360891787"/>
    <n v="0"/>
    <x v="51"/>
    <s v="Buy"/>
    <n v="0"/>
    <x v="3"/>
    <x v="5"/>
    <n v="2025"/>
    <s v="Sell"/>
    <x v="0"/>
    <x v="1452"/>
  </r>
  <r>
    <s v="EOY Flattening Out"/>
    <d v="2026-01-02T00:00:00"/>
    <s v="Freight-TD7"/>
    <s v="Hedge"/>
    <m/>
    <d v="2025-12-31T00:00:00"/>
    <d v="2025-12-31T00:00:00"/>
    <m/>
    <m/>
    <n v="100.91439708939703"/>
    <n v="0"/>
    <x v="51"/>
    <s v="Buy"/>
    <n v="0"/>
    <x v="3"/>
    <x v="5"/>
    <n v="2025"/>
    <s v="Sell"/>
    <x v="0"/>
    <x v="1453"/>
  </r>
  <r>
    <s v="EOY Flattening Out"/>
    <d v="2026-01-02T00:00:00"/>
    <s v="Legacy 2024"/>
    <s v="Hedge"/>
    <m/>
    <d v="2025-12-31T00:00:00"/>
    <d v="2025-12-31T00:00:00"/>
    <m/>
    <m/>
    <n v="949"/>
    <n v="0"/>
    <x v="51"/>
    <s v="Buy"/>
    <n v="0"/>
    <x v="4"/>
    <x v="6"/>
    <n v="2025"/>
    <s v="Sell"/>
    <x v="0"/>
    <x v="1454"/>
  </r>
  <r>
    <s v="EOY Flattening Out"/>
    <d v="2026-01-02T00:00:00"/>
    <s v="MEH"/>
    <s v="Hedge"/>
    <m/>
    <d v="2025-12-31T00:00:00"/>
    <d v="2025-12-31T00:00:00"/>
    <m/>
    <m/>
    <n v="-234.36999999999998"/>
    <n v="0"/>
    <x v="51"/>
    <s v="Buy"/>
    <n v="0"/>
    <x v="1"/>
    <x v="7"/>
    <n v="2025"/>
    <s v="Sell"/>
    <x v="0"/>
    <x v="1455"/>
  </r>
  <r>
    <s v="EOY Flattening Out"/>
    <d v="2026-01-02T00:00:00"/>
    <s v="Physical"/>
    <s v="Hedge"/>
    <m/>
    <d v="2025-12-31T00:00:00"/>
    <d v="2025-12-31T00:00:00"/>
    <m/>
    <m/>
    <n v="-3312.3642646368235"/>
    <n v="0"/>
    <x v="51"/>
    <s v="Buy"/>
    <n v="0"/>
    <x v="2"/>
    <x v="4"/>
    <n v="2025"/>
    <s v="Sell"/>
    <x v="1"/>
    <x v="1456"/>
  </r>
  <r>
    <s v="EOY Flattening Out"/>
    <d v="2026-01-02T00:00:00"/>
    <s v="WTI Sprds"/>
    <s v="Hedge"/>
    <m/>
    <d v="2025-12-31T00:00:00"/>
    <d v="2025-12-31T00:00:00"/>
    <m/>
    <m/>
    <n v="-601.40999999993574"/>
    <n v="0"/>
    <x v="51"/>
    <s v="Buy"/>
    <n v="0"/>
    <x v="0"/>
    <x v="0"/>
    <n v="2025"/>
    <s v="Sell"/>
    <x v="0"/>
    <x v="1457"/>
  </r>
  <r>
    <s v="EOY Flattening Out"/>
    <d v="2026-01-02T00:00:00"/>
    <s v="WTI Sprds-Fly"/>
    <s v="Hedge"/>
    <m/>
    <d v="2025-12-31T00:00:00"/>
    <d v="2025-12-31T00:00:00"/>
    <m/>
    <m/>
    <n v="-1478.3600000000131"/>
    <n v="0"/>
    <x v="51"/>
    <s v="Buy"/>
    <n v="0"/>
    <x v="0"/>
    <x v="0"/>
    <n v="2025"/>
    <s v="Sell"/>
    <x v="0"/>
    <x v="1458"/>
  </r>
  <r>
    <s v="EOY Flattening Out"/>
    <d v="2026-01-02T00:00:00"/>
    <s v="WTI-Brent"/>
    <s v="Hedge"/>
    <m/>
    <d v="2025-12-31T00:00:00"/>
    <d v="2025-12-31T00:00:00"/>
    <m/>
    <m/>
    <n v="-4108.5550000000512"/>
    <n v="0"/>
    <x v="51"/>
    <s v="Buy"/>
    <n v="0"/>
    <x v="1"/>
    <x v="3"/>
    <n v="2025"/>
    <s v="Sell"/>
    <x v="0"/>
    <x v="14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0">
  <r>
    <x v="0"/>
    <d v="2025-11-19T00:00:00"/>
    <s v="WTI Sprds"/>
    <s v="Hedge"/>
    <n v="-1122"/>
    <d v="2025-11-30T00:00:00"/>
    <d v="2025-12-31T00:00:00"/>
    <n v="0.5"/>
    <n v="0.5"/>
    <n v="0"/>
    <n v="-561"/>
    <x v="0"/>
    <s v="Sell"/>
    <n v="-561"/>
    <x v="0"/>
    <x v="0"/>
    <n v="2025"/>
    <s v="Sell"/>
    <x v="0"/>
    <s v="UnallocatedWTI SprdsHedge-11220.52"/>
    <x v="0"/>
  </r>
  <r>
    <x v="0"/>
    <d v="2025-11-19T00:00:00"/>
    <s v="WTI Sprds-Fly"/>
    <s v="Hedge"/>
    <n v="1122"/>
    <d v="2025-11-30T00:00:00"/>
    <d v="2025-12-31T00:00:00"/>
    <n v="0.5"/>
    <n v="0.5"/>
    <m/>
    <n v="213.18"/>
    <x v="0"/>
    <s v="Buy"/>
    <n v="561"/>
    <x v="0"/>
    <x v="0"/>
    <n v="2025"/>
    <s v="Buy"/>
    <x v="0"/>
    <s v="UnallocatedWTI Sprds-FlyHedge11220.53"/>
    <x v="0"/>
  </r>
  <r>
    <x v="0"/>
    <d v="2025-11-19T00:00:00"/>
    <s v="WTI Sprds"/>
    <s v="Hedge"/>
    <n v="1122"/>
    <d v="2025-12-31T00:00:00"/>
    <d v="2026-01-31T00:00:00"/>
    <n v="0.19"/>
    <n v="0.19"/>
    <m/>
    <n v="561"/>
    <x v="1"/>
    <s v="Buy"/>
    <n v="213.18"/>
    <x v="0"/>
    <x v="0"/>
    <n v="2025"/>
    <s v="Buy"/>
    <x v="0"/>
    <s v="UnallocatedWTI SprdsHedge11220.194"/>
    <x v="0"/>
  </r>
  <r>
    <x v="0"/>
    <d v="2025-11-19T00:00:00"/>
    <s v="WTI Sprds-Fly"/>
    <s v="Hedge"/>
    <n v="-1122"/>
    <d v="2025-12-31T00:00:00"/>
    <d v="2026-01-31T00:00:00"/>
    <n v="0.19"/>
    <n v="0.19"/>
    <n v="0"/>
    <n v="-213.18"/>
    <x v="1"/>
    <s v="Sell"/>
    <n v="-213.18"/>
    <x v="0"/>
    <x v="0"/>
    <n v="2025"/>
    <s v="Sell"/>
    <x v="0"/>
    <s v="UnallocatedWTI Sprds-FlyHedge-11220.195"/>
    <x v="0"/>
  </r>
  <r>
    <x v="0"/>
    <d v="2025-09-06T00:00:00"/>
    <s v="CFD"/>
    <s v="Hedge"/>
    <n v="-500"/>
    <s v="Apr07-Apr11"/>
    <d v="2025-04-30T00:00:00"/>
    <n v="2.2599999999999998"/>
    <n v="2.2599999999999998"/>
    <n v="0"/>
    <n v="-1130"/>
    <x v="2"/>
    <s v="Buy"/>
    <n v="397.59999999999997"/>
    <x v="1"/>
    <x v="1"/>
    <n v="2025"/>
    <s v="Sell"/>
    <x v="0"/>
    <s v="UnallocatedCFDHedge-5002.266"/>
    <x v="0"/>
  </r>
  <r>
    <x v="0"/>
    <d v="2025-09-06T00:00:00"/>
    <s v="CFD"/>
    <s v="Hedge"/>
    <n v="500"/>
    <s v="Apr14-Apr18"/>
    <d v="2025-04-30T00:00:00"/>
    <n v="1.86"/>
    <n v="1.86"/>
    <n v="0"/>
    <n v="930"/>
    <x v="3"/>
    <s v="Buy"/>
    <n v="397.59999999999997"/>
    <x v="1"/>
    <x v="1"/>
    <n v="2025"/>
    <s v="Buy"/>
    <x v="0"/>
    <s v="UnallocatedCFDHedge5001.867"/>
    <x v="0"/>
  </r>
  <r>
    <x v="0"/>
    <d v="2025-09-06T00:00:00"/>
    <s v="CFD"/>
    <s v="Hedge"/>
    <n v="400"/>
    <s v="Dec 16-20"/>
    <d v="2024-12-31T00:00:00"/>
    <n v="0.84699999999999998"/>
    <n v="0.84699999999999998"/>
    <n v="0"/>
    <n v="338.8"/>
    <x v="4"/>
    <s v="Buy"/>
    <n v="397.59999999999997"/>
    <x v="1"/>
    <x v="1"/>
    <n v="2024"/>
    <s v="Buy"/>
    <x v="0"/>
    <s v="UnallocatedCFDHedge4000.8478"/>
    <x v="0"/>
  </r>
  <r>
    <x v="0"/>
    <d v="2025-09-06T00:00:00"/>
    <s v="CFD"/>
    <s v="Hedge"/>
    <n v="200"/>
    <s v="Dec 23-27"/>
    <d v="2024-12-31T00:00:00"/>
    <n v="-0.09"/>
    <n v="-0.09"/>
    <n v="0"/>
    <n v="-18"/>
    <x v="5"/>
    <s v="Buy"/>
    <n v="397.59999999999997"/>
    <x v="1"/>
    <x v="1"/>
    <n v="2024"/>
    <s v="Buy"/>
    <x v="0"/>
    <s v="UnallocatedCFDHedge200-0.099"/>
    <x v="0"/>
  </r>
  <r>
    <x v="0"/>
    <d v="2025-03-03T00:00:00"/>
    <s v="CFD"/>
    <s v="Hedge"/>
    <n v="-200"/>
    <s v="Mar03-Mar07"/>
    <d v="2025-01-31T00:00:00"/>
    <n v="1.32"/>
    <n v="1.32"/>
    <n v="0"/>
    <n v="-264"/>
    <x v="6"/>
    <s v="Sell"/>
    <n v="-264"/>
    <x v="1"/>
    <x v="1"/>
    <n v="2025"/>
    <s v="Sell"/>
    <x v="0"/>
    <s v="UnallocatedCFDHedge-2001.3210"/>
    <x v="0"/>
  </r>
  <r>
    <x v="0"/>
    <d v="2025-03-03T00:00:00"/>
    <s v="CFD"/>
    <s v="Hedge"/>
    <n v="200"/>
    <s v="Mar17-Mar21"/>
    <d v="2025-01-31T00:00:00"/>
    <n v="0.54"/>
    <n v="0.54"/>
    <n v="0"/>
    <n v="108"/>
    <x v="7"/>
    <s v="Buy"/>
    <n v="108"/>
    <x v="1"/>
    <x v="1"/>
    <n v="2025"/>
    <s v="Buy"/>
    <x v="0"/>
    <s v="UnallocatedCFDHedge2000.5411"/>
    <x v="0"/>
  </r>
  <r>
    <x v="1"/>
    <d v="2025-05-27T00:00:00"/>
    <s v="CFD"/>
    <s v="Hedge"/>
    <n v="-1500"/>
    <s v="May19-May23"/>
    <d v="2025-06-30T00:00:00"/>
    <n v="0.47199999999999998"/>
    <n v="0.47200000000000009"/>
    <n v="-1.6653345369377348E-13"/>
    <n v="-708"/>
    <x v="8"/>
    <s v="Sell"/>
    <n v="-708.00000000000011"/>
    <x v="1"/>
    <x v="1"/>
    <n v="2025"/>
    <s v="Sell"/>
    <x v="0"/>
    <s v="Trafi CIF Rdam June 13-17CFDHedge-15000.47212"/>
    <x v="0"/>
  </r>
  <r>
    <x v="0"/>
    <d v="2025-05-16T00:00:00"/>
    <s v="CFD"/>
    <s v="Hedge"/>
    <n v="1500"/>
    <s v="May19-May23"/>
    <d v="2025-05-31T00:00:00"/>
    <n v="0.47200000000000009"/>
    <n v="0.47200000000000009"/>
    <n v="0"/>
    <n v="708.00000000000011"/>
    <x v="9"/>
    <s v="Buy"/>
    <n v="708.00000000000011"/>
    <x v="1"/>
    <x v="1"/>
    <n v="2025"/>
    <s v="Buy"/>
    <x v="0"/>
    <s v="UnallocatedCFDHedge15000.47213"/>
    <x v="0"/>
  </r>
  <r>
    <x v="0"/>
    <n v="45727"/>
    <s v="WTI Sprds"/>
    <s v="Hedge"/>
    <n v="-4289"/>
    <d v="2024-11-30T00:00:00"/>
    <d v="2024-12-31T00:00:00"/>
    <n v="0.62"/>
    <n v="0.52"/>
    <n v="428.89999999999992"/>
    <n v="-2659.18"/>
    <x v="10"/>
    <s v="Sell"/>
    <n v="-2230.2800000000002"/>
    <x v="0"/>
    <x v="0"/>
    <n v="2024"/>
    <s v="Sell"/>
    <x v="0"/>
    <s v="UnallocatedWTI SprdsHedge-42890.5214"/>
    <x v="0"/>
  </r>
  <r>
    <x v="2"/>
    <n v="45727"/>
    <s v="WTI Sprds"/>
    <s v="Hedge"/>
    <n v="1050"/>
    <d v="2024-11-30T00:00:00"/>
    <d v="2024-12-31T00:00:00"/>
    <n v="0.62"/>
    <n v="0.52"/>
    <n v="-104.99999999999997"/>
    <n v="651"/>
    <x v="10"/>
    <s v="Buy"/>
    <n v="546"/>
    <x v="0"/>
    <x v="0"/>
    <n v="2024"/>
    <s v="Buy"/>
    <x v="0"/>
    <s v="Jan 1-10 EXTAP VLCCWTI SprdsHedge10500.5215"/>
    <x v="0"/>
  </r>
  <r>
    <x v="3"/>
    <n v="45727"/>
    <s v="WTI Sprds"/>
    <s v="Hedge"/>
    <n v="707"/>
    <d v="2024-11-30T00:00:00"/>
    <d v="2024-12-31T00:00:00"/>
    <n v="0.62"/>
    <n v="0.52"/>
    <n v="-70.699999999999989"/>
    <n v="438.34"/>
    <x v="10"/>
    <s v="Buy"/>
    <n v="367.64"/>
    <x v="0"/>
    <x v="0"/>
    <n v="2024"/>
    <s v="Buy"/>
    <x v="0"/>
    <s v="Jan 4-6 KAL AfraWTI SprdsHedge7070.5216"/>
    <x v="0"/>
  </r>
  <r>
    <x v="4"/>
    <n v="45727"/>
    <s v="WTI Sprds"/>
    <s v="Hedge"/>
    <n v="2100"/>
    <d v="2024-11-30T00:00:00"/>
    <d v="2024-12-31T00:00:00"/>
    <n v="0.62"/>
    <n v="0.52"/>
    <n v="-209.99999999999994"/>
    <n v="1302"/>
    <x v="10"/>
    <s v="Buy"/>
    <n v="1092"/>
    <x v="0"/>
    <x v="0"/>
    <n v="2024"/>
    <s v="Buy"/>
    <x v="0"/>
    <s v="Nov 19-21 Shell Rdam VLCCWTI SprdsHedge21000.5217"/>
    <x v="0"/>
  </r>
  <r>
    <x v="5"/>
    <n v="45727"/>
    <s v="WTI Sprds"/>
    <s v="Hedge"/>
    <n v="432"/>
    <d v="2024-11-30T00:00:00"/>
    <d v="2024-12-31T00:00:00"/>
    <n v="0.62"/>
    <n v="0.52"/>
    <n v="-43.199999999999989"/>
    <n v="267.83999999999997"/>
    <x v="10"/>
    <s v="Buy"/>
    <n v="224.64000000000001"/>
    <x v="0"/>
    <x v="0"/>
    <n v="2024"/>
    <s v="Buy"/>
    <x v="0"/>
    <s v="Nov 22-26 Tranmere AfraWTI SprdsHedge4320.5218"/>
    <x v="0"/>
  </r>
  <r>
    <x v="0"/>
    <n v="45727"/>
    <s v="WTI Sprds"/>
    <s v="Hedge"/>
    <n v="-1500"/>
    <d v="2024-12-31T00:00:00"/>
    <d v="2025-01-31T00:00:00"/>
    <n v="0.28000000000000003"/>
    <n v="0.15"/>
    <n v="195.00000000000006"/>
    <n v="-420.00000000000006"/>
    <x v="11"/>
    <s v="Sell"/>
    <n v="-225"/>
    <x v="0"/>
    <x v="0"/>
    <n v="2024"/>
    <s v="Sell"/>
    <x v="0"/>
    <s v="UnallocatedWTI SprdsHedge-15000.1519"/>
    <x v="0"/>
  </r>
  <r>
    <x v="6"/>
    <n v="45727"/>
    <s v="WTI Sprds"/>
    <s v="Hedge"/>
    <n v="-50"/>
    <d v="2024-12-31T00:00:00"/>
    <d v="2025-01-31T00:00:00"/>
    <n v="0.28000000000000003"/>
    <n v="0.15"/>
    <n v="6.5000000000000018"/>
    <n v="-14.000000000000002"/>
    <x v="11"/>
    <s v="Sell"/>
    <n v="-7.5"/>
    <x v="0"/>
    <x v="0"/>
    <n v="2024"/>
    <s v="Sell"/>
    <x v="0"/>
    <s v="CPC TAIWAN JAN 8-14WTI SprdsHedge-500.1520"/>
    <x v="0"/>
  </r>
  <r>
    <x v="7"/>
    <n v="45727"/>
    <s v="WTI Sprds"/>
    <s v="Hedge"/>
    <n v="-24"/>
    <d v="2024-12-31T00:00:00"/>
    <d v="2025-01-31T00:00:00"/>
    <n v="0.28000000000000003"/>
    <n v="0.15"/>
    <n v="3.120000000000001"/>
    <n v="-6.7200000000000006"/>
    <x v="11"/>
    <s v="Sell"/>
    <n v="-3.5999999999999996"/>
    <x v="0"/>
    <x v="0"/>
    <n v="2024"/>
    <s v="Sell"/>
    <x v="0"/>
    <s v="EXTAP Feb 15-25WTI SprdsHedge-240.1521"/>
    <x v="0"/>
  </r>
  <r>
    <x v="8"/>
    <n v="45727"/>
    <s v="WTI Sprds"/>
    <s v="Hedge"/>
    <n v="68"/>
    <d v="2024-12-31T00:00:00"/>
    <d v="2025-01-31T00:00:00"/>
    <n v="0.28000000000000003"/>
    <n v="0.15"/>
    <n v="-8.8400000000000016"/>
    <n v="19.040000000000003"/>
    <x v="11"/>
    <s v="Buy"/>
    <n v="10.199999999999999"/>
    <x v="0"/>
    <x v="0"/>
    <n v="2024"/>
    <s v="Buy"/>
    <x v="0"/>
    <s v="Gunvor FOB Dec 6-7WTI SprdsHedge680.1522"/>
    <x v="0"/>
  </r>
  <r>
    <x v="9"/>
    <n v="45727"/>
    <s v="WTI Sprds"/>
    <s v="Hedge"/>
    <n v="24"/>
    <d v="2024-12-31T00:00:00"/>
    <d v="2025-01-31T00:00:00"/>
    <n v="0.28000000000000003"/>
    <n v="0.15"/>
    <n v="-3.120000000000001"/>
    <n v="6.7200000000000006"/>
    <x v="11"/>
    <s v="Buy"/>
    <n v="3.5999999999999996"/>
    <x v="0"/>
    <x v="0"/>
    <n v="2024"/>
    <s v="Buy"/>
    <x v="0"/>
    <s v="HDO Feb 5-15WTI SprdsHedge240.1523"/>
    <x v="0"/>
  </r>
  <r>
    <x v="2"/>
    <n v="45727"/>
    <s v="WTI Sprds"/>
    <s v="Hedge"/>
    <n v="1050"/>
    <d v="2024-12-31T00:00:00"/>
    <d v="2025-01-31T00:00:00"/>
    <n v="0.28000000000000003"/>
    <n v="0.15"/>
    <n v="-136.50000000000003"/>
    <n v="294"/>
    <x v="11"/>
    <s v="Buy"/>
    <n v="157.5"/>
    <x v="0"/>
    <x v="0"/>
    <n v="2024"/>
    <s v="Buy"/>
    <x v="0"/>
    <s v="Jan 1-10 EXTAP VLCCWTI SprdsHedge10500.1524"/>
    <x v="0"/>
  </r>
  <r>
    <x v="5"/>
    <n v="45727"/>
    <s v="WTI Sprds"/>
    <s v="Hedge"/>
    <n v="432"/>
    <d v="2024-12-31T00:00:00"/>
    <d v="2025-01-31T00:00:00"/>
    <n v="0.28000000000000003"/>
    <n v="0.15"/>
    <n v="-56.160000000000011"/>
    <n v="120.96000000000001"/>
    <x v="11"/>
    <s v="Buy"/>
    <n v="64.8"/>
    <x v="0"/>
    <x v="0"/>
    <n v="2024"/>
    <s v="Buy"/>
    <x v="0"/>
    <s v="Nov 22-26 Tranmere AfraWTI SprdsHedge4320.1525"/>
    <x v="0"/>
  </r>
  <r>
    <x v="10"/>
    <n v="45727"/>
    <s v="WTI Sprds"/>
    <s v="Hedge"/>
    <n v="800"/>
    <d v="2025-01-31T00:00:00"/>
    <d v="2025-02-28T00:00:00"/>
    <n v="0.42"/>
    <n v="0.56000000000000005"/>
    <n v="112.00000000000006"/>
    <n v="336"/>
    <x v="12"/>
    <s v="Buy"/>
    <n v="448.00000000000006"/>
    <x v="0"/>
    <x v="0"/>
    <n v="2025"/>
    <s v="Buy"/>
    <x v="0"/>
    <s v="CPC TAIWAN FEB 20-24WTI SprdsHedge8000.5626"/>
    <x v="0"/>
  </r>
  <r>
    <x v="11"/>
    <n v="45727"/>
    <s v="WTI Sprds"/>
    <s v="Hedge"/>
    <n v="2096"/>
    <d v="2025-01-31T00:00:00"/>
    <d v="2025-02-28T00:00:00"/>
    <n v="0.42"/>
    <n v="0.56000000000000005"/>
    <n v="293.44000000000017"/>
    <n v="880.31999999999994"/>
    <x v="12"/>
    <s v="Buy"/>
    <n v="1173.7600000000002"/>
    <x v="0"/>
    <x v="0"/>
    <n v="2025"/>
    <s v="Buy"/>
    <x v="0"/>
    <s v="CPC TAIWAN MARCH 11-15WTI SprdsHedge20960.5627"/>
    <x v="0"/>
  </r>
  <r>
    <x v="7"/>
    <n v="45727"/>
    <s v="WTI Sprds"/>
    <s v="Hedge"/>
    <n v="-24"/>
    <d v="2025-01-31T00:00:00"/>
    <d v="2025-02-28T00:00:00"/>
    <n v="0.42"/>
    <n v="0.56000000000000005"/>
    <n v="-3.3600000000000017"/>
    <n v="-10.08"/>
    <x v="12"/>
    <s v="Sell"/>
    <n v="-13.440000000000001"/>
    <x v="0"/>
    <x v="0"/>
    <n v="2025"/>
    <s v="Sell"/>
    <x v="0"/>
    <s v="EXTAP Feb 15-25WTI SprdsHedge-240.5628"/>
    <x v="0"/>
  </r>
  <r>
    <x v="12"/>
    <n v="45727"/>
    <s v="WTI Sprds"/>
    <s v="Hedge"/>
    <n v="700"/>
    <d v="2025-01-31T00:00:00"/>
    <d v="2025-02-28T00:00:00"/>
    <n v="0.42"/>
    <n v="0.56000000000000005"/>
    <n v="98.000000000000043"/>
    <n v="294"/>
    <x v="12"/>
    <s v="Buy"/>
    <n v="392.00000000000006"/>
    <x v="0"/>
    <x v="0"/>
    <n v="2025"/>
    <s v="Buy"/>
    <x v="0"/>
    <s v="Feb EFP 2WTI SprdsHedge7000.5629"/>
    <x v="0"/>
  </r>
  <r>
    <x v="9"/>
    <n v="45727"/>
    <s v="WTI Sprds"/>
    <s v="Hedge"/>
    <n v="47"/>
    <d v="2025-01-31T00:00:00"/>
    <d v="2025-02-28T00:00:00"/>
    <n v="0.42"/>
    <n v="0.56000000000000005"/>
    <n v="6.5800000000000036"/>
    <n v="19.739999999999998"/>
    <x v="12"/>
    <s v="Buy"/>
    <n v="26.320000000000004"/>
    <x v="0"/>
    <x v="0"/>
    <n v="2025"/>
    <s v="Buy"/>
    <x v="0"/>
    <s v="HDO Feb 5-15WTI SprdsHedge470.5630"/>
    <x v="0"/>
  </r>
  <r>
    <x v="3"/>
    <n v="45727"/>
    <s v="WTI Sprds"/>
    <s v="Hedge"/>
    <n v="35"/>
    <d v="2025-01-31T00:00:00"/>
    <d v="2025-02-28T00:00:00"/>
    <n v="0.42"/>
    <n v="0.56000000000000005"/>
    <n v="4.9000000000000021"/>
    <n v="14.7"/>
    <x v="12"/>
    <s v="Buy"/>
    <n v="19.600000000000001"/>
    <x v="0"/>
    <x v="0"/>
    <n v="2025"/>
    <s v="Buy"/>
    <x v="0"/>
    <s v="Jan 4-6 KAL AfraWTI SprdsHedge350.5631"/>
    <x v="0"/>
  </r>
  <r>
    <x v="13"/>
    <n v="45727"/>
    <s v="WTI Sprds"/>
    <s v="Hedge"/>
    <n v="735"/>
    <d v="2025-01-31T00:00:00"/>
    <d v="2025-02-28T00:00:00"/>
    <n v="0.42"/>
    <n v="0.56000000000000005"/>
    <n v="102.90000000000005"/>
    <n v="308.7"/>
    <x v="12"/>
    <s v="Buy"/>
    <n v="411.6"/>
    <x v="0"/>
    <x v="0"/>
    <n v="2025"/>
    <s v="Buy"/>
    <x v="0"/>
    <s v="Mitsui CIF Rdam Jan 27-29WTI SprdsHedge7350.5632"/>
    <x v="0"/>
  </r>
  <r>
    <x v="0"/>
    <n v="45727"/>
    <s v="WTI Sprds"/>
    <s v="Hedge"/>
    <n v="-4389"/>
    <d v="2025-01-31T00:00:00"/>
    <d v="2025-02-28T00:00:00"/>
    <n v="0.42"/>
    <n v="0.56000000000000005"/>
    <n v="-614.46000000000026"/>
    <n v="-1843.3799999999999"/>
    <x v="12"/>
    <s v="Sell"/>
    <n v="-2457.84"/>
    <x v="0"/>
    <x v="0"/>
    <n v="2025"/>
    <s v="Sell"/>
    <x v="0"/>
    <s v="UnallocatedWTI SprdsHedge-43890.5633"/>
    <x v="0"/>
  </r>
  <r>
    <x v="14"/>
    <n v="45727"/>
    <s v="WTI Sprds"/>
    <s v="Hedge"/>
    <n v="2079"/>
    <d v="2025-02-28T00:00:00"/>
    <d v="2025-03-31T00:00:00"/>
    <n v="0.39"/>
    <n v="0.49"/>
    <n v="207.89999999999995"/>
    <n v="810.81000000000006"/>
    <x v="13"/>
    <s v="Buy"/>
    <n v="1018.71"/>
    <x v="0"/>
    <x v="0"/>
    <n v="2025"/>
    <s v="Buy"/>
    <x v="0"/>
    <s v="BPCL DES India March 16-22WTI SprdsHedge20790.4934"/>
    <x v="0"/>
  </r>
  <r>
    <x v="15"/>
    <n v="45727"/>
    <s v="WTI Sprds"/>
    <s v="Hedge"/>
    <n v="704"/>
    <d v="2025-02-28T00:00:00"/>
    <d v="2025-03-31T00:00:00"/>
    <n v="0.39"/>
    <n v="0.49"/>
    <n v="70.399999999999977"/>
    <n v="274.56"/>
    <x v="13"/>
    <s v="Buy"/>
    <n v="344.96"/>
    <x v="0"/>
    <x v="0"/>
    <n v="2025"/>
    <s v="Buy"/>
    <x v="0"/>
    <s v="CIF RDAM Jan 12-14 Load (BP)WTI SprdsHedge7040.4935"/>
    <x v="0"/>
  </r>
  <r>
    <x v="11"/>
    <n v="45727"/>
    <s v="WTI Sprds"/>
    <s v="Hedge"/>
    <n v="2096"/>
    <d v="2025-02-28T00:00:00"/>
    <d v="2025-03-31T00:00:00"/>
    <n v="0.39"/>
    <n v="0.49"/>
    <n v="209.59999999999997"/>
    <n v="817.44"/>
    <x v="13"/>
    <s v="Buy"/>
    <n v="1027.04"/>
    <x v="0"/>
    <x v="0"/>
    <n v="2025"/>
    <s v="Buy"/>
    <x v="0"/>
    <s v="CPC TAIWAN MARCH 11-15WTI SprdsHedge20960.4936"/>
    <x v="0"/>
  </r>
  <r>
    <x v="16"/>
    <n v="45727"/>
    <s v="WTI Sprds"/>
    <s v="Hedge"/>
    <n v="68"/>
    <d v="2025-02-28T00:00:00"/>
    <d v="2025-03-31T00:00:00"/>
    <n v="0.39"/>
    <n v="0.49"/>
    <n v="6.7999999999999989"/>
    <n v="26.52"/>
    <x v="13"/>
    <s v="Buy"/>
    <n v="33.32"/>
    <x v="0"/>
    <x v="0"/>
    <n v="2025"/>
    <s v="Buy"/>
    <x v="0"/>
    <s v="HDO April 12-22 25WTI SprdsHedge680.4937"/>
    <x v="0"/>
  </r>
  <r>
    <x v="3"/>
    <n v="45727"/>
    <s v="WTI Sprds"/>
    <s v="Hedge"/>
    <n v="-700"/>
    <d v="2025-02-28T00:00:00"/>
    <d v="2025-03-31T00:00:00"/>
    <n v="0.39"/>
    <n v="0.49"/>
    <n v="-69.999999999999986"/>
    <n v="-273"/>
    <x v="13"/>
    <s v="Sell"/>
    <n v="-343"/>
    <x v="0"/>
    <x v="0"/>
    <n v="2025"/>
    <s v="Sell"/>
    <x v="0"/>
    <s v="Jan 4-6 KAL AfraWTI SprdsHedge-7000.4938"/>
    <x v="0"/>
  </r>
  <r>
    <x v="13"/>
    <n v="45727"/>
    <s v="WTI Sprds"/>
    <s v="Hedge"/>
    <n v="735"/>
    <d v="2025-02-28T00:00:00"/>
    <d v="2025-03-31T00:00:00"/>
    <n v="0.39"/>
    <n v="0.49"/>
    <n v="73.499999999999986"/>
    <n v="286.65000000000003"/>
    <x v="13"/>
    <s v="Buy"/>
    <n v="360.15"/>
    <x v="0"/>
    <x v="0"/>
    <n v="2025"/>
    <s v="Buy"/>
    <x v="0"/>
    <s v="Mitsui CIF Rdam Jan 27-29WTI SprdsHedge7350.4939"/>
    <x v="0"/>
  </r>
  <r>
    <x v="0"/>
    <n v="45727"/>
    <s v="WTI Sprds"/>
    <s v="Hedge"/>
    <n v="-4982"/>
    <d v="2025-02-28T00:00:00"/>
    <d v="2025-03-31T00:00:00"/>
    <n v="0.39"/>
    <n v="0.49"/>
    <n v="-498.19999999999987"/>
    <n v="-1942.98"/>
    <x v="13"/>
    <s v="Sell"/>
    <n v="-2441.1799999999998"/>
    <x v="0"/>
    <x v="0"/>
    <n v="2025"/>
    <s v="Sell"/>
    <x v="0"/>
    <s v="UnallocatedWTI SprdsHedge-49820.4940"/>
    <x v="0"/>
  </r>
  <r>
    <x v="17"/>
    <n v="45727"/>
    <s v="WTI Sprds"/>
    <s v="Hedge"/>
    <n v="2100"/>
    <d v="2025-03-31T00:00:00"/>
    <d v="2025-04-30T00:00:00"/>
    <n v="0.42"/>
    <n v="0.15"/>
    <n v="-567"/>
    <n v="882"/>
    <x v="14"/>
    <s v="Buy"/>
    <n v="315"/>
    <x v="0"/>
    <x v="0"/>
    <n v="2025"/>
    <s v="Buy"/>
    <x v="0"/>
    <s v="CPC TAIWAN APR 23-27WTI SprdsHedge21000.1541"/>
    <x v="0"/>
  </r>
  <r>
    <x v="18"/>
    <n v="45727"/>
    <s v="WTI Sprds"/>
    <s v="Hedge"/>
    <n v="700"/>
    <d v="2025-03-31T00:00:00"/>
    <d v="2025-04-30T00:00:00"/>
    <n v="0.42"/>
    <n v="0.15"/>
    <n v="-189"/>
    <n v="294"/>
    <x v="14"/>
    <s v="Buy"/>
    <n v="105"/>
    <x v="0"/>
    <x v="0"/>
    <n v="2025"/>
    <s v="Buy"/>
    <x v="0"/>
    <s v="Gunvor FOB Feb 23-24WTI SprdsHedge7000.1542"/>
    <x v="0"/>
  </r>
  <r>
    <x v="16"/>
    <n v="45727"/>
    <s v="WTI Sprds"/>
    <s v="Hedge"/>
    <n v="68"/>
    <d v="2025-03-31T00:00:00"/>
    <d v="2025-04-30T00:00:00"/>
    <n v="0.42"/>
    <n v="0.15"/>
    <n v="-18.36"/>
    <n v="28.56"/>
    <x v="14"/>
    <s v="Buy"/>
    <n v="10.199999999999999"/>
    <x v="0"/>
    <x v="0"/>
    <n v="2025"/>
    <s v="Buy"/>
    <x v="0"/>
    <s v="HDO April 12-22 25WTI SprdsHedge680.1543"/>
    <x v="0"/>
  </r>
  <r>
    <x v="0"/>
    <n v="45727"/>
    <s v="WTI Sprds"/>
    <s v="Hedge"/>
    <n v="-3568"/>
    <d v="2025-03-31T00:00:00"/>
    <d v="2025-04-30T00:00:00"/>
    <n v="0.42"/>
    <n v="0.15"/>
    <n v="963.36"/>
    <n v="-1498.56"/>
    <x v="14"/>
    <s v="Sell"/>
    <n v="-535.19999999999993"/>
    <x v="0"/>
    <x v="0"/>
    <n v="2025"/>
    <s v="Sell"/>
    <x v="0"/>
    <s v="UnallocatedWTI SprdsHedge-35680.1544"/>
    <x v="0"/>
  </r>
  <r>
    <x v="19"/>
    <n v="45727"/>
    <s v="WTI Sprds"/>
    <s v="Hedge"/>
    <n v="700"/>
    <d v="2025-03-31T00:00:00"/>
    <d v="2025-04-30T00:00:00"/>
    <n v="0.42"/>
    <n v="0.15"/>
    <n v="-189"/>
    <n v="294"/>
    <x v="14"/>
    <s v="Buy"/>
    <n v="105"/>
    <x v="0"/>
    <x v="0"/>
    <n v="2025"/>
    <s v="Buy"/>
    <x v="0"/>
    <s v="Vitol FOB March BookoutWTI SprdsHedge7000.1545"/>
    <x v="0"/>
  </r>
  <r>
    <x v="20"/>
    <n v="45727"/>
    <s v="WTI Sprds"/>
    <s v="Hedge"/>
    <n v="-318"/>
    <d v="2025-04-30T00:00:00"/>
    <d v="2025-05-31T00:00:00"/>
    <n v="0.23"/>
    <n v="0.25"/>
    <n v="-6.3599999999999968"/>
    <n v="-73.14"/>
    <x v="15"/>
    <s v="Sell"/>
    <n v="-79.5"/>
    <x v="0"/>
    <x v="0"/>
    <n v="2025"/>
    <s v="Sell"/>
    <x v="0"/>
    <s v="EXTAP CIF Rotts Apr 20-24WTI SprdsHedge-3180.2546"/>
    <x v="0"/>
  </r>
  <r>
    <x v="0"/>
    <n v="45727"/>
    <s v="WTI Sprds"/>
    <s v="Hedge"/>
    <n v="318"/>
    <d v="2025-04-30T00:00:00"/>
    <d v="2025-05-31T00:00:00"/>
    <n v="0.23"/>
    <n v="0.25"/>
    <n v="6.3599999999999968"/>
    <n v="73.14"/>
    <x v="15"/>
    <s v="Buy"/>
    <n v="79.5"/>
    <x v="0"/>
    <x v="0"/>
    <n v="2025"/>
    <s v="Buy"/>
    <x v="0"/>
    <s v="UnallocatedWTI SprdsHedge3180.2547"/>
    <x v="0"/>
  </r>
  <r>
    <x v="20"/>
    <n v="45727"/>
    <s v="WTI Sprds"/>
    <s v="Hedge"/>
    <n v="-500"/>
    <d v="2025-05-31T00:00:00"/>
    <d v="2025-06-30T00:00:00"/>
    <n v="0"/>
    <n v="0.67"/>
    <n v="-335"/>
    <n v="0"/>
    <x v="16"/>
    <s v="Sell"/>
    <n v="-335"/>
    <x v="0"/>
    <x v="0"/>
    <n v="2025"/>
    <s v="Sell"/>
    <x v="0"/>
    <s v="EXTAP CIF Rotts Apr 20-24WTI SprdsHedge-5000.6748"/>
    <x v="0"/>
  </r>
  <r>
    <x v="0"/>
    <n v="45727"/>
    <s v="WTI Sprds"/>
    <s v="Hedge"/>
    <n v="500"/>
    <d v="2025-05-31T00:00:00"/>
    <d v="2025-06-30T00:00:00"/>
    <n v="0"/>
    <n v="0.67"/>
    <n v="335"/>
    <n v="0"/>
    <x v="16"/>
    <s v="Buy"/>
    <n v="335"/>
    <x v="0"/>
    <x v="0"/>
    <n v="2025"/>
    <s v="Buy"/>
    <x v="0"/>
    <s v="UnallocatedWTI SprdsHedge5000.6749"/>
    <x v="0"/>
  </r>
  <r>
    <x v="3"/>
    <d v="2025-03-11T00:00:00"/>
    <s v="Brent Sprds"/>
    <s v="Hedge"/>
    <n v="707"/>
    <d v="2024-12-31T00:00:00"/>
    <d v="2025-01-31T00:00:00"/>
    <n v="0.39"/>
    <n v="0.35"/>
    <n v="-28.280000000000026"/>
    <n v="275.73"/>
    <x v="11"/>
    <s v="Buy"/>
    <n v="247.45"/>
    <x v="0"/>
    <x v="2"/>
    <n v="2024"/>
    <s v="Buy"/>
    <x v="0"/>
    <s v="Jan 4-6 KAL AfraBrent SprdsHedge7070.3550"/>
    <x v="0"/>
  </r>
  <r>
    <x v="4"/>
    <d v="2025-03-11T00:00:00"/>
    <s v="Brent Sprds"/>
    <s v="Hedge"/>
    <n v="2100"/>
    <d v="2024-12-31T00:00:00"/>
    <d v="2025-01-31T00:00:00"/>
    <n v="0.39"/>
    <n v="0.35"/>
    <n v="-84.000000000000071"/>
    <n v="819"/>
    <x v="11"/>
    <s v="Buy"/>
    <n v="735"/>
    <x v="0"/>
    <x v="2"/>
    <n v="2024"/>
    <s v="Buy"/>
    <x v="0"/>
    <s v="Nov 19-21 Shell Rdam VLCCBrent SprdsHedge21000.3551"/>
    <x v="0"/>
  </r>
  <r>
    <x v="0"/>
    <d v="2025-03-11T00:00:00"/>
    <s v="Brent Sprds"/>
    <s v="Hedge"/>
    <n v="-2807"/>
    <d v="2024-12-31T00:00:00"/>
    <d v="2025-01-31T00:00:00"/>
    <n v="0.39"/>
    <n v="0.35"/>
    <n v="112.2800000000001"/>
    <n v="-1094.73"/>
    <x v="11"/>
    <s v="Sell"/>
    <n v="-982.44999999999993"/>
    <x v="0"/>
    <x v="2"/>
    <n v="2024"/>
    <s v="Sell"/>
    <x v="0"/>
    <s v="UnallocatedBrent SprdsHedge-28070.3552"/>
    <x v="0"/>
  </r>
  <r>
    <x v="10"/>
    <d v="2025-03-11T00:00:00"/>
    <s v="Brent Sprds"/>
    <s v="Hedge"/>
    <n v="-1383"/>
    <d v="2025-01-31T00:00:00"/>
    <d v="2025-02-28T00:00:00"/>
    <n v="0.39"/>
    <n v="1.1000000000000001"/>
    <n v="-981.93000000000006"/>
    <n v="-539.37"/>
    <x v="12"/>
    <s v="Sell"/>
    <n v="-1521.3000000000002"/>
    <x v="0"/>
    <x v="2"/>
    <n v="2025"/>
    <s v="Sell"/>
    <x v="0"/>
    <s v="CPC TAIWAN FEB 20-24Brent SprdsHedge-13831.153"/>
    <x v="0"/>
  </r>
  <r>
    <x v="6"/>
    <d v="2025-03-11T00:00:00"/>
    <s v="Brent Sprds"/>
    <s v="Hedge"/>
    <n v="2050"/>
    <d v="2025-01-31T00:00:00"/>
    <d v="2025-02-28T00:00:00"/>
    <n v="0.39"/>
    <n v="1.1000000000000001"/>
    <n v="1455.5000000000002"/>
    <n v="799.5"/>
    <x v="12"/>
    <s v="Buy"/>
    <n v="2255"/>
    <x v="0"/>
    <x v="2"/>
    <n v="2025"/>
    <s v="Buy"/>
    <x v="0"/>
    <s v="CPC TAIWAN JAN 8-14Brent SprdsHedge20501.154"/>
    <x v="0"/>
  </r>
  <r>
    <x v="21"/>
    <d v="2025-03-11T00:00:00"/>
    <s v="Brent Sprds"/>
    <s v="Hedge"/>
    <n v="2083"/>
    <d v="2025-01-31T00:00:00"/>
    <d v="2025-02-28T00:00:00"/>
    <n v="0.39"/>
    <n v="1.1000000000000001"/>
    <n v="1478.93"/>
    <n v="812.37"/>
    <x v="12"/>
    <s v="Buy"/>
    <n v="2291.3000000000002"/>
    <x v="0"/>
    <x v="2"/>
    <n v="2025"/>
    <s v="Buy"/>
    <x v="0"/>
    <s v="Dec 15-25 EXTAP VLCCBrent SprdsHedge20831.155"/>
    <x v="0"/>
  </r>
  <r>
    <x v="2"/>
    <d v="2025-03-11T00:00:00"/>
    <s v="Brent Sprds"/>
    <s v="Hedge"/>
    <n v="2050"/>
    <d v="2025-01-31T00:00:00"/>
    <d v="2025-02-28T00:00:00"/>
    <n v="0.39"/>
    <n v="1.1000000000000001"/>
    <n v="1455.5000000000002"/>
    <n v="799.5"/>
    <x v="12"/>
    <s v="Buy"/>
    <n v="2255"/>
    <x v="0"/>
    <x v="2"/>
    <n v="2025"/>
    <s v="Buy"/>
    <x v="0"/>
    <s v="Jan 1-10 EXTAP VLCCBrent SprdsHedge20501.156"/>
    <x v="0"/>
  </r>
  <r>
    <x v="0"/>
    <d v="2025-03-11T00:00:00"/>
    <s v="Brent Sprds"/>
    <s v="Hedge"/>
    <n v="-4800"/>
    <d v="2025-01-31T00:00:00"/>
    <d v="2025-02-28T00:00:00"/>
    <n v="0.39"/>
    <n v="1.1000000000000001"/>
    <n v="-3408.0000000000005"/>
    <n v="-1872"/>
    <x v="12"/>
    <s v="Sell"/>
    <n v="-5280"/>
    <x v="0"/>
    <x v="2"/>
    <n v="2025"/>
    <s v="Sell"/>
    <x v="0"/>
    <s v="UnallocatedBrent SprdsHedge-48001.157"/>
    <x v="0"/>
  </r>
  <r>
    <x v="10"/>
    <d v="2025-03-11T00:00:00"/>
    <s v="Brent Sprds"/>
    <s v="Hedge"/>
    <n v="1300"/>
    <d v="2025-02-28T00:00:00"/>
    <d v="2025-03-31T00:00:00"/>
    <n v="0.38"/>
    <n v="0.4"/>
    <n v="26.000000000000021"/>
    <n v="494"/>
    <x v="13"/>
    <s v="Buy"/>
    <n v="520"/>
    <x v="0"/>
    <x v="2"/>
    <n v="2025"/>
    <s v="Buy"/>
    <x v="0"/>
    <s v="CPC TAIWAN FEB 20-24Brent SprdsHedge13000.458"/>
    <x v="0"/>
  </r>
  <r>
    <x v="7"/>
    <d v="2025-03-11T00:00:00"/>
    <s v="Brent Sprds"/>
    <s v="Hedge"/>
    <n v="-2047"/>
    <d v="2025-02-28T00:00:00"/>
    <d v="2025-03-31T00:00:00"/>
    <n v="0.38"/>
    <n v="0.4"/>
    <n v="-40.940000000000033"/>
    <n v="-777.86"/>
    <x v="13"/>
    <s v="Sell"/>
    <n v="-818.80000000000007"/>
    <x v="0"/>
    <x v="2"/>
    <n v="2025"/>
    <s v="Sell"/>
    <x v="0"/>
    <s v="EXTAP Feb 15-25Brent SprdsHedge-20470.459"/>
    <x v="0"/>
  </r>
  <r>
    <x v="9"/>
    <d v="2025-03-11T00:00:00"/>
    <s v="Brent Sprds"/>
    <s v="Hedge"/>
    <n v="2147"/>
    <d v="2025-02-28T00:00:00"/>
    <d v="2025-03-31T00:00:00"/>
    <n v="0.38"/>
    <n v="0.4"/>
    <n v="42.94000000000004"/>
    <n v="815.86"/>
    <x v="13"/>
    <s v="Buy"/>
    <n v="858.80000000000007"/>
    <x v="0"/>
    <x v="2"/>
    <n v="2025"/>
    <s v="Buy"/>
    <x v="0"/>
    <s v="HDO Feb 5-15Brent SprdsHedge21470.460"/>
    <x v="0"/>
  </r>
  <r>
    <x v="2"/>
    <d v="2025-03-11T00:00:00"/>
    <s v="Brent Sprds"/>
    <s v="Hedge"/>
    <n v="2050"/>
    <d v="2025-02-28T00:00:00"/>
    <d v="2025-03-31T00:00:00"/>
    <n v="0.38"/>
    <n v="0.4"/>
    <n v="41.000000000000036"/>
    <n v="779"/>
    <x v="13"/>
    <s v="Buy"/>
    <n v="820"/>
    <x v="0"/>
    <x v="2"/>
    <n v="2025"/>
    <s v="Buy"/>
    <x v="0"/>
    <s v="Jan 1-10 EXTAP VLCCBrent SprdsHedge20500.461"/>
    <x v="0"/>
  </r>
  <r>
    <x v="3"/>
    <d v="2025-03-11T00:00:00"/>
    <s v="Brent Sprds"/>
    <s v="Hedge"/>
    <n v="735"/>
    <d v="2025-02-28T00:00:00"/>
    <d v="2025-03-31T00:00:00"/>
    <n v="0.38"/>
    <n v="0.4"/>
    <n v="14.700000000000014"/>
    <n v="279.3"/>
    <x v="13"/>
    <s v="Buy"/>
    <n v="294"/>
    <x v="0"/>
    <x v="2"/>
    <n v="2025"/>
    <s v="Buy"/>
    <x v="0"/>
    <s v="Jan 4-6 KAL AfraBrent SprdsHedge7350.462"/>
    <x v="0"/>
  </r>
  <r>
    <x v="0"/>
    <d v="2025-03-11T00:00:00"/>
    <s v="Brent Sprds"/>
    <s v="Hedge"/>
    <n v="-4185"/>
    <d v="2025-02-28T00:00:00"/>
    <d v="2025-03-31T00:00:00"/>
    <n v="0.38"/>
    <n v="0.4"/>
    <n v="-83.700000000000074"/>
    <n v="-1590.3"/>
    <x v="13"/>
    <s v="Sell"/>
    <n v="-1674"/>
    <x v="0"/>
    <x v="2"/>
    <n v="2025"/>
    <s v="Sell"/>
    <x v="0"/>
    <s v="UnallocatedBrent SprdsHedge-41850.463"/>
    <x v="0"/>
  </r>
  <r>
    <x v="14"/>
    <d v="2025-03-11T00:00:00"/>
    <s v="Brent Sprds"/>
    <s v="Hedge"/>
    <n v="2079"/>
    <d v="2025-03-31T00:00:00"/>
    <d v="2025-04-30T00:00:00"/>
    <n v="0.52"/>
    <n v="1.0900000000000001"/>
    <n v="1185.0300000000002"/>
    <n v="1081.08"/>
    <x v="14"/>
    <s v="Buy"/>
    <n v="2266.11"/>
    <x v="0"/>
    <x v="2"/>
    <n v="2025"/>
    <s v="Buy"/>
    <x v="0"/>
    <s v="BPCL DES India March 16-22Brent SprdsHedge20791.0964"/>
    <x v="0"/>
  </r>
  <r>
    <x v="17"/>
    <d v="2025-03-11T00:00:00"/>
    <s v="Brent Sprds"/>
    <s v="Hedge"/>
    <n v="-26"/>
    <d v="2025-03-31T00:00:00"/>
    <d v="2025-04-30T00:00:00"/>
    <n v="0.52"/>
    <n v="1.0900000000000001"/>
    <n v="-14.820000000000002"/>
    <n v="-13.52"/>
    <x v="14"/>
    <s v="Sell"/>
    <n v="-28.340000000000003"/>
    <x v="0"/>
    <x v="2"/>
    <n v="2025"/>
    <s v="Sell"/>
    <x v="0"/>
    <s v="CPC TAIWAN APR 23-27Brent SprdsHedge-261.0965"/>
    <x v="0"/>
  </r>
  <r>
    <x v="11"/>
    <d v="2025-03-11T00:00:00"/>
    <s v="Brent Sprds"/>
    <s v="Hedge"/>
    <n v="2096"/>
    <d v="2025-03-31T00:00:00"/>
    <d v="2025-04-30T00:00:00"/>
    <n v="0.52"/>
    <n v="1.0900000000000001"/>
    <n v="1194.72"/>
    <n v="1089.92"/>
    <x v="14"/>
    <s v="Buy"/>
    <n v="2284.6400000000003"/>
    <x v="0"/>
    <x v="2"/>
    <n v="2025"/>
    <s v="Buy"/>
    <x v="0"/>
    <s v="CPC TAIWAN MARCH 11-15Brent SprdsHedge20961.0966"/>
    <x v="0"/>
  </r>
  <r>
    <x v="7"/>
    <d v="2025-03-11T00:00:00"/>
    <s v="Brent Sprds"/>
    <s v="Hedge"/>
    <n v="2076"/>
    <d v="2025-03-31T00:00:00"/>
    <d v="2025-04-30T00:00:00"/>
    <n v="0.52"/>
    <n v="1.0900000000000001"/>
    <n v="1183.3200000000002"/>
    <n v="1079.52"/>
    <x v="14"/>
    <s v="Buy"/>
    <n v="2262.84"/>
    <x v="0"/>
    <x v="2"/>
    <n v="2025"/>
    <s v="Buy"/>
    <x v="0"/>
    <s v="EXTAP Feb 15-25Brent SprdsHedge20761.0967"/>
    <x v="0"/>
  </r>
  <r>
    <x v="0"/>
    <d v="2025-03-11T00:00:00"/>
    <s v="Brent Sprds"/>
    <s v="Hedge"/>
    <n v="-6225"/>
    <d v="2025-03-31T00:00:00"/>
    <d v="2025-04-30T00:00:00"/>
    <n v="0.52"/>
    <n v="1.0900000000000001"/>
    <n v="-3548.2500000000005"/>
    <n v="-3237"/>
    <x v="14"/>
    <s v="Sell"/>
    <n v="-6785.2500000000009"/>
    <x v="0"/>
    <x v="2"/>
    <n v="2025"/>
    <s v="Sell"/>
    <x v="0"/>
    <s v="UnallocatedBrent SprdsHedge-62251.0968"/>
    <x v="0"/>
  </r>
  <r>
    <x v="14"/>
    <d v="2025-03-11T00:00:00"/>
    <s v="Brent Sprds"/>
    <s v="Hedge"/>
    <n v="2079"/>
    <d v="2025-04-30T00:00:00"/>
    <d v="2025-05-31T00:00:00"/>
    <n v="0.47"/>
    <n v="0.37"/>
    <n v="-207.89999999999995"/>
    <n v="977.13"/>
    <x v="15"/>
    <s v="Buy"/>
    <n v="769.23"/>
    <x v="0"/>
    <x v="2"/>
    <n v="2025"/>
    <s v="Buy"/>
    <x v="0"/>
    <s v="BPCL DES India March 16-22Brent SprdsHedge20790.3769"/>
    <x v="0"/>
  </r>
  <r>
    <x v="17"/>
    <d v="2025-03-11T00:00:00"/>
    <s v="Brent Sprds"/>
    <s v="Hedge"/>
    <n v="1600"/>
    <d v="2025-04-30T00:00:00"/>
    <d v="2025-05-31T00:00:00"/>
    <n v="0.47"/>
    <n v="0.37"/>
    <n v="-159.99999999999997"/>
    <n v="752"/>
    <x v="15"/>
    <s v="Buy"/>
    <n v="592"/>
    <x v="0"/>
    <x v="2"/>
    <n v="2025"/>
    <s v="Buy"/>
    <x v="0"/>
    <s v="CPC TAIWAN APR 23-27Brent SprdsHedge16000.3770"/>
    <x v="0"/>
  </r>
  <r>
    <x v="16"/>
    <d v="2025-03-11T00:00:00"/>
    <s v="Brent Sprds"/>
    <s v="Hedge"/>
    <n v="68"/>
    <d v="2025-04-30T00:00:00"/>
    <d v="2025-05-31T00:00:00"/>
    <n v="0.47"/>
    <n v="0.37"/>
    <n v="-6.7999999999999989"/>
    <n v="31.959999999999997"/>
    <x v="15"/>
    <s v="Buy"/>
    <n v="25.16"/>
    <x v="0"/>
    <x v="2"/>
    <n v="2025"/>
    <s v="Buy"/>
    <x v="0"/>
    <s v="HDO April 12-22 25Brent SprdsHedge680.3771"/>
    <x v="0"/>
  </r>
  <r>
    <x v="0"/>
    <d v="2025-03-11T00:00:00"/>
    <s v="Brent Sprds"/>
    <s v="Hedge"/>
    <n v="-3747"/>
    <d v="2025-04-30T00:00:00"/>
    <d v="2025-05-31T00:00:00"/>
    <n v="0.47"/>
    <n v="0.37"/>
    <n v="374.69999999999993"/>
    <n v="-1761.09"/>
    <x v="15"/>
    <s v="Sell"/>
    <n v="-1386.3899999999999"/>
    <x v="0"/>
    <x v="2"/>
    <n v="2025"/>
    <s v="Sell"/>
    <x v="0"/>
    <s v="UnallocatedBrent SprdsHedge-37470.3772"/>
    <x v="0"/>
  </r>
  <r>
    <x v="22"/>
    <d v="2025-03-10T00:00:00"/>
    <s v="WTI-Brent"/>
    <s v="Hedge"/>
    <n v="-300"/>
    <d v="2024-12-31T00:00:00"/>
    <d v="2024-12-31T00:00:00"/>
    <n v="-3.52"/>
    <n v="-3.9"/>
    <n v="113.99999999999997"/>
    <n v="1056"/>
    <x v="17"/>
    <s v="Sell"/>
    <n v="1170"/>
    <x v="1"/>
    <x v="3"/>
    <n v="2024"/>
    <s v="Sell"/>
    <x v="0"/>
    <s v="Dec EFP 2WTI-BrentHedge-300-3.973"/>
    <x v="0"/>
  </r>
  <r>
    <x v="3"/>
    <d v="2025-03-10T00:00:00"/>
    <s v="WTI-Brent"/>
    <s v="Hedge"/>
    <n v="707"/>
    <d v="2024-12-31T00:00:00"/>
    <d v="2024-12-31T00:00:00"/>
    <n v="-3.52"/>
    <n v="-3.9"/>
    <n v="-268.65999999999991"/>
    <n v="-2488.64"/>
    <x v="17"/>
    <s v="Buy"/>
    <n v="-2757.2999999999997"/>
    <x v="1"/>
    <x v="3"/>
    <n v="2024"/>
    <s v="Buy"/>
    <x v="0"/>
    <s v="Jan 4-6 KAL AfraWTI-BrentHedge707-3.974"/>
    <x v="0"/>
  </r>
  <r>
    <x v="4"/>
    <d v="2025-03-10T00:00:00"/>
    <s v="WTI-Brent"/>
    <s v="Hedge"/>
    <n v="2100"/>
    <d v="2024-12-31T00:00:00"/>
    <d v="2024-12-31T00:00:00"/>
    <n v="-3.52"/>
    <n v="-3.9"/>
    <n v="-797.99999999999977"/>
    <n v="-7392"/>
    <x v="17"/>
    <s v="Buy"/>
    <n v="-8190"/>
    <x v="1"/>
    <x v="3"/>
    <n v="2024"/>
    <s v="Buy"/>
    <x v="0"/>
    <s v="Nov 19-21 Shell Rdam VLCCWTI-BrentHedge2100-3.975"/>
    <x v="0"/>
  </r>
  <r>
    <x v="0"/>
    <d v="2025-03-10T00:00:00"/>
    <s v="WTI-Brent"/>
    <s v="Hedge"/>
    <n v="-2507"/>
    <d v="2024-12-31T00:00:00"/>
    <d v="2024-12-31T00:00:00"/>
    <n v="-3.52"/>
    <n v="-3.9"/>
    <n v="952.65999999999974"/>
    <n v="8824.64"/>
    <x v="17"/>
    <s v="Sell"/>
    <n v="9777.2999999999993"/>
    <x v="1"/>
    <x v="3"/>
    <n v="2024"/>
    <s v="Sell"/>
    <x v="0"/>
    <s v="UnallocatedWTI-BrentHedge-2507-3.976"/>
    <x v="0"/>
  </r>
  <r>
    <x v="6"/>
    <d v="2025-03-10T00:00:00"/>
    <s v="WTI-Brent"/>
    <s v="Hedge"/>
    <n v="-50"/>
    <d v="2025-01-31T00:00:00"/>
    <d v="2025-01-31T00:00:00"/>
    <n v="-4.0999999999999996"/>
    <n v="-4.9400000000000004"/>
    <n v="42.000000000000036"/>
    <n v="204.99999999999997"/>
    <x v="18"/>
    <s v="Sell"/>
    <n v="247.00000000000003"/>
    <x v="1"/>
    <x v="3"/>
    <n v="2025"/>
    <s v="Sell"/>
    <x v="0"/>
    <s v="CPC TAIWAN JAN 8-14WTI-BrentHedge-50-4.9477"/>
    <x v="0"/>
  </r>
  <r>
    <x v="22"/>
    <d v="2025-03-10T00:00:00"/>
    <s v="WTI-Brent"/>
    <s v="Hedge"/>
    <n v="300"/>
    <d v="2025-01-31T00:00:00"/>
    <d v="2025-01-31T00:00:00"/>
    <n v="-4.0999999999999996"/>
    <n v="-4.9400000000000004"/>
    <n v="-252.00000000000023"/>
    <n v="-1230"/>
    <x v="18"/>
    <s v="Buy"/>
    <n v="-1482.0000000000002"/>
    <x v="1"/>
    <x v="3"/>
    <n v="2025"/>
    <s v="Buy"/>
    <x v="0"/>
    <s v="Dec EFP 2WTI-BrentHedge300-4.9478"/>
    <x v="0"/>
  </r>
  <r>
    <x v="23"/>
    <d v="2025-03-10T00:00:00"/>
    <s v="WTI-Brent"/>
    <s v="Hedge"/>
    <n v="700"/>
    <d v="2025-01-31T00:00:00"/>
    <d v="2025-01-31T00:00:00"/>
    <n v="-4.0999999999999996"/>
    <n v="-4.9400000000000004"/>
    <n v="-588.00000000000057"/>
    <n v="-2869.9999999999995"/>
    <x v="18"/>
    <s v="Buy"/>
    <n v="-3458.0000000000005"/>
    <x v="1"/>
    <x v="3"/>
    <n v="2025"/>
    <s v="Buy"/>
    <x v="0"/>
    <s v="Dec EFP 3WTI-BrentHedge700-4.9479"/>
    <x v="0"/>
  </r>
  <r>
    <x v="24"/>
    <d v="2025-03-10T00:00:00"/>
    <s v="WTI-Brent"/>
    <s v="Hedge"/>
    <n v="700"/>
    <d v="2025-01-31T00:00:00"/>
    <d v="2025-01-31T00:00:00"/>
    <n v="-4.0999999999999996"/>
    <n v="-4.9400000000000004"/>
    <n v="-588.00000000000057"/>
    <n v="-2869.9999999999995"/>
    <x v="18"/>
    <s v="Buy"/>
    <n v="-3458.0000000000005"/>
    <x v="1"/>
    <x v="3"/>
    <n v="2025"/>
    <s v="Buy"/>
    <x v="0"/>
    <s v="FOB Shell Nov 13-15WTI-BrentHedge700-4.9480"/>
    <x v="0"/>
  </r>
  <r>
    <x v="2"/>
    <d v="2025-03-10T00:00:00"/>
    <s v="WTI-Brent"/>
    <s v="Hedge"/>
    <n v="1750"/>
    <d v="2025-01-31T00:00:00"/>
    <d v="2025-01-31T00:00:00"/>
    <n v="-4.0999999999999996"/>
    <n v="-4.9400000000000004"/>
    <n v="-1470.0000000000014"/>
    <n v="-7174.9999999999991"/>
    <x v="18"/>
    <s v="Buy"/>
    <n v="-8645"/>
    <x v="1"/>
    <x v="3"/>
    <n v="2025"/>
    <s v="Buy"/>
    <x v="0"/>
    <s v="Jan 1-10 EXTAP VLCCWTI-BrentHedge1750-4.9481"/>
    <x v="0"/>
  </r>
  <r>
    <x v="5"/>
    <d v="2025-03-10T00:00:00"/>
    <s v="WTI-Brent"/>
    <s v="Hedge"/>
    <n v="-268"/>
    <d v="2025-01-31T00:00:00"/>
    <d v="2025-01-31T00:00:00"/>
    <n v="-4.0999999999999996"/>
    <n v="-4.9400000000000004"/>
    <n v="225.1200000000002"/>
    <n v="1098.8"/>
    <x v="18"/>
    <s v="Sell"/>
    <n v="1323.92"/>
    <x v="1"/>
    <x v="3"/>
    <n v="2025"/>
    <s v="Sell"/>
    <x v="0"/>
    <s v="Nov 22-26 Tranmere AfraWTI-BrentHedge-268-4.9482"/>
    <x v="0"/>
  </r>
  <r>
    <x v="0"/>
    <d v="2025-03-10T00:00:00"/>
    <s v="WTI-Brent"/>
    <s v="Hedge"/>
    <n v="-3132"/>
    <d v="2025-01-31T00:00:00"/>
    <d v="2025-01-31T00:00:00"/>
    <n v="-4.0999999999999996"/>
    <n v="-4.9400000000000004"/>
    <n v="2630.8800000000024"/>
    <n v="12841.199999999999"/>
    <x v="18"/>
    <s v="Sell"/>
    <n v="15472.080000000002"/>
    <x v="1"/>
    <x v="3"/>
    <n v="2025"/>
    <s v="Sell"/>
    <x v="0"/>
    <s v="UnallocatedWTI-BrentHedge-3132-4.9483"/>
    <x v="0"/>
  </r>
  <r>
    <x v="10"/>
    <d v="2025-03-10T00:00:00"/>
    <s v="WTI-Brent"/>
    <s v="Hedge"/>
    <n v="1300"/>
    <d v="2025-02-28T00:00:00"/>
    <d v="2025-02-28T00:00:00"/>
    <n v="-3.52"/>
    <n v="-3.4"/>
    <n v="156.00000000000014"/>
    <n v="-4576"/>
    <x v="19"/>
    <s v="Buy"/>
    <n v="-4420"/>
    <x v="1"/>
    <x v="3"/>
    <n v="2025"/>
    <s v="Buy"/>
    <x v="0"/>
    <s v="CPC TAIWAN FEB 20-24WTI-BrentHedge1300-3.484"/>
    <x v="0"/>
  </r>
  <r>
    <x v="7"/>
    <d v="2025-03-10T00:00:00"/>
    <s v="WTI-Brent"/>
    <s v="Hedge"/>
    <n v="-24"/>
    <d v="2025-02-28T00:00:00"/>
    <d v="2025-02-28T00:00:00"/>
    <n v="-3.52"/>
    <n v="-3.4"/>
    <n v="-2.8800000000000026"/>
    <n v="84.48"/>
    <x v="19"/>
    <s v="Sell"/>
    <n v="81.599999999999994"/>
    <x v="1"/>
    <x v="3"/>
    <n v="2025"/>
    <s v="Sell"/>
    <x v="0"/>
    <s v="EXTAP Feb 15-25WTI-BrentHedge-24-3.485"/>
    <x v="0"/>
  </r>
  <r>
    <x v="25"/>
    <d v="2025-03-10T00:00:00"/>
    <s v="WTI-Brent"/>
    <s v="Hedge"/>
    <n v="700"/>
    <d v="2025-02-28T00:00:00"/>
    <d v="2025-02-28T00:00:00"/>
    <n v="-3.52"/>
    <n v="-3.4"/>
    <n v="84.000000000000071"/>
    <n v="-2464"/>
    <x v="19"/>
    <s v="Buy"/>
    <n v="-2380"/>
    <x v="1"/>
    <x v="3"/>
    <n v="2025"/>
    <s v="Buy"/>
    <x v="0"/>
    <s v="Feb EFP 1WTI-BrentHedge700-3.486"/>
    <x v="0"/>
  </r>
  <r>
    <x v="12"/>
    <d v="2025-03-10T00:00:00"/>
    <s v="WTI-Brent"/>
    <s v="Hedge"/>
    <n v="700"/>
    <d v="2025-02-28T00:00:00"/>
    <d v="2025-02-28T00:00:00"/>
    <n v="-3.52"/>
    <n v="-3.4"/>
    <n v="84.000000000000071"/>
    <n v="-2464"/>
    <x v="19"/>
    <s v="Buy"/>
    <n v="-2380"/>
    <x v="1"/>
    <x v="3"/>
    <n v="2025"/>
    <s v="Buy"/>
    <x v="0"/>
    <s v="Feb EFP 2WTI-BrentHedge700-3.487"/>
    <x v="0"/>
  </r>
  <r>
    <x v="26"/>
    <d v="2025-03-10T00:00:00"/>
    <s v="WTI-Brent"/>
    <s v="Hedge"/>
    <n v="707"/>
    <d v="2025-02-28T00:00:00"/>
    <d v="2025-02-28T00:00:00"/>
    <n v="-3.52"/>
    <n v="-3.4"/>
    <n v="84.840000000000074"/>
    <n v="-2488.64"/>
    <x v="19"/>
    <s v="Buy"/>
    <n v="-2403.7999999999997"/>
    <x v="1"/>
    <x v="3"/>
    <n v="2025"/>
    <s v="Buy"/>
    <x v="0"/>
    <s v="Feb EFP 3WTI-BrentHedge707-3.488"/>
    <x v="0"/>
  </r>
  <r>
    <x v="8"/>
    <d v="2025-03-10T00:00:00"/>
    <s v="WTI-Brent"/>
    <s v="Hedge"/>
    <n v="700"/>
    <d v="2025-02-28T00:00:00"/>
    <d v="2025-02-28T00:00:00"/>
    <n v="-3.52"/>
    <n v="-3.4"/>
    <n v="84.000000000000071"/>
    <n v="-2464"/>
    <x v="19"/>
    <s v="Buy"/>
    <n v="-2380"/>
    <x v="1"/>
    <x v="3"/>
    <n v="2025"/>
    <s v="Buy"/>
    <x v="0"/>
    <s v="Gunvor FOB Dec 6-7WTI-BrentHedge700-3.489"/>
    <x v="0"/>
  </r>
  <r>
    <x v="9"/>
    <d v="2025-03-10T00:00:00"/>
    <s v="WTI-Brent"/>
    <s v="Hedge"/>
    <n v="47"/>
    <d v="2025-02-28T00:00:00"/>
    <d v="2025-02-28T00:00:00"/>
    <n v="-3.52"/>
    <n v="-3.4"/>
    <n v="5.640000000000005"/>
    <n v="-165.44"/>
    <x v="19"/>
    <s v="Buy"/>
    <n v="-159.79999999999998"/>
    <x v="1"/>
    <x v="3"/>
    <n v="2025"/>
    <s v="Buy"/>
    <x v="0"/>
    <s v="HDO Feb 5-15WTI-BrentHedge47-3.490"/>
    <x v="0"/>
  </r>
  <r>
    <x v="3"/>
    <d v="2025-03-10T00:00:00"/>
    <s v="WTI-Brent"/>
    <s v="Hedge"/>
    <n v="735"/>
    <d v="2025-02-28T00:00:00"/>
    <d v="2025-02-28T00:00:00"/>
    <n v="-3.52"/>
    <n v="-3.4"/>
    <n v="88.200000000000074"/>
    <n v="-2587.1999999999998"/>
    <x v="19"/>
    <s v="Buy"/>
    <n v="-2499"/>
    <x v="1"/>
    <x v="3"/>
    <n v="2025"/>
    <s v="Buy"/>
    <x v="0"/>
    <s v="Jan 4-6 KAL AfraWTI-BrentHedge735-3.491"/>
    <x v="0"/>
  </r>
  <r>
    <x v="0"/>
    <d v="2025-03-10T00:00:00"/>
    <s v="WTI-Brent"/>
    <s v="Hedge"/>
    <n v="-4865"/>
    <d v="2025-02-28T00:00:00"/>
    <d v="2025-02-28T00:00:00"/>
    <n v="-3.52"/>
    <n v="-3.4"/>
    <n v="-583.80000000000052"/>
    <n v="17124.8"/>
    <x v="19"/>
    <s v="Sell"/>
    <n v="16541"/>
    <x v="1"/>
    <x v="3"/>
    <n v="2025"/>
    <s v="Sell"/>
    <x v="0"/>
    <s v="UnallocatedWTI-BrentHedge-4865-3.492"/>
    <x v="0"/>
  </r>
  <r>
    <x v="14"/>
    <d v="2025-03-10T00:00:00"/>
    <s v="WTI-Brent"/>
    <s v="Hedge"/>
    <n v="2079"/>
    <d v="2025-03-31T00:00:00"/>
    <d v="2025-03-31T00:00:00"/>
    <n v="-3.5"/>
    <n v="-4.2300000000000004"/>
    <n v="-1517.670000000001"/>
    <n v="-7276.5"/>
    <x v="20"/>
    <s v="Buy"/>
    <n v="-8794.17"/>
    <x v="1"/>
    <x v="3"/>
    <n v="2025"/>
    <s v="Buy"/>
    <x v="0"/>
    <s v="BPCL DES India March 16-22WTI-BrentHedge2079-4.2393"/>
    <x v="0"/>
  </r>
  <r>
    <x v="15"/>
    <d v="2025-03-10T00:00:00"/>
    <s v="WTI-Brent"/>
    <s v="Hedge"/>
    <n v="704"/>
    <d v="2025-03-31T00:00:00"/>
    <d v="2025-03-31T00:00:00"/>
    <n v="-3.5"/>
    <n v="-4.2300000000000004"/>
    <n v="-513.9200000000003"/>
    <n v="-2464"/>
    <x v="20"/>
    <s v="Buy"/>
    <n v="-2977.92"/>
    <x v="1"/>
    <x v="3"/>
    <n v="2025"/>
    <s v="Buy"/>
    <x v="0"/>
    <s v="CIF RDAM Jan 12-14 Load (BP)WTI-BrentHedge704-4.2394"/>
    <x v="0"/>
  </r>
  <r>
    <x v="11"/>
    <d v="2025-03-10T00:00:00"/>
    <s v="WTI-Brent"/>
    <s v="Hedge"/>
    <n v="2096"/>
    <d v="2025-03-31T00:00:00"/>
    <d v="2025-03-31T00:00:00"/>
    <n v="-3.5"/>
    <n v="-4.2300000000000004"/>
    <n v="-1530.0800000000008"/>
    <n v="-7336"/>
    <x v="20"/>
    <s v="Buy"/>
    <n v="-8866.0800000000017"/>
    <x v="1"/>
    <x v="3"/>
    <n v="2025"/>
    <s v="Buy"/>
    <x v="0"/>
    <s v="CPC TAIWAN MARCH 11-15WTI-BrentHedge2096-4.2395"/>
    <x v="0"/>
  </r>
  <r>
    <x v="13"/>
    <d v="2025-03-10T00:00:00"/>
    <s v="WTI-Brent"/>
    <s v="Hedge"/>
    <n v="735"/>
    <d v="2025-03-31T00:00:00"/>
    <d v="2025-03-31T00:00:00"/>
    <n v="-3.5"/>
    <n v="-4.2300000000000004"/>
    <n v="-536.5500000000003"/>
    <n v="-2572.5"/>
    <x v="20"/>
    <s v="Buy"/>
    <n v="-3109.05"/>
    <x v="1"/>
    <x v="3"/>
    <n v="2025"/>
    <s v="Buy"/>
    <x v="0"/>
    <s v="Mitsui CIF Rdam Jan 27-29WTI-BrentHedge735-4.2396"/>
    <x v="0"/>
  </r>
  <r>
    <x v="0"/>
    <d v="2025-03-10T00:00:00"/>
    <s v="WTI-Brent"/>
    <s v="Hedge"/>
    <n v="-5614"/>
    <d v="2025-03-31T00:00:00"/>
    <d v="2025-03-31T00:00:00"/>
    <n v="-3.5"/>
    <n v="-4.2300000000000004"/>
    <n v="4098.2200000000021"/>
    <n v="19649"/>
    <x v="20"/>
    <s v="Sell"/>
    <n v="23747.22"/>
    <x v="1"/>
    <x v="3"/>
    <n v="2025"/>
    <s v="Sell"/>
    <x v="0"/>
    <s v="UnallocatedWTI-BrentHedge-5614-4.2397"/>
    <x v="0"/>
  </r>
  <r>
    <x v="16"/>
    <d v="2025-03-10T00:00:00"/>
    <s v="WTI-Brent"/>
    <s v="Hedge"/>
    <n v="68"/>
    <d v="2025-04-30T00:00:00"/>
    <d v="2025-04-30T00:00:00"/>
    <n v="-9.3800000000000008"/>
    <n v="-3.42"/>
    <n v="405.28000000000009"/>
    <n v="-637.84"/>
    <x v="21"/>
    <s v="Buy"/>
    <n v="-232.56"/>
    <x v="1"/>
    <x v="3"/>
    <n v="2025"/>
    <s v="Buy"/>
    <x v="0"/>
    <s v="HDO April 12-22 25WTI-BrentHedge68-3.4298"/>
    <x v="0"/>
  </r>
  <r>
    <x v="0"/>
    <d v="2025-03-10T00:00:00"/>
    <s v="WTI-Brent"/>
    <s v="Hedge"/>
    <n v="-68"/>
    <d v="2025-04-30T00:00:00"/>
    <d v="2025-04-30T00:00:00"/>
    <n v="-9.3800000000000008"/>
    <n v="-3.42"/>
    <n v="-405.28000000000009"/>
    <n v="637.84"/>
    <x v="21"/>
    <s v="Sell"/>
    <n v="232.56"/>
    <x v="1"/>
    <x v="3"/>
    <n v="2025"/>
    <s v="Sell"/>
    <x v="0"/>
    <s v="UnallocatedWTI-BrentHedge-68-3.4299"/>
    <x v="0"/>
  </r>
  <r>
    <x v="27"/>
    <d v="2025-03-10T00:00:00"/>
    <s v="WTI-Brent"/>
    <s v="Hedge"/>
    <n v="700"/>
    <d v="2025-05-31T00:00:00"/>
    <d v="2025-05-31T00:00:00"/>
    <n v="-3.83"/>
    <n v="-3.26"/>
    <n v="399.00000000000023"/>
    <n v="-2681"/>
    <x v="22"/>
    <s v="Buy"/>
    <n v="-2282"/>
    <x v="1"/>
    <x v="3"/>
    <n v="2025"/>
    <s v="Buy"/>
    <x v="0"/>
    <s v="Feb EFP 4WTI-BrentHedge700-3.26100"/>
    <x v="0"/>
  </r>
  <r>
    <x v="0"/>
    <d v="2025-03-10T00:00:00"/>
    <s v="WTI-Brent"/>
    <s v="Hedge"/>
    <n v="-700"/>
    <d v="2025-05-31T00:00:00"/>
    <d v="2025-05-31T00:00:00"/>
    <n v="-3.83"/>
    <n v="-3.26"/>
    <n v="-399.00000000000023"/>
    <n v="2681"/>
    <x v="22"/>
    <s v="Sell"/>
    <n v="2282"/>
    <x v="1"/>
    <x v="3"/>
    <n v="2025"/>
    <s v="Sell"/>
    <x v="0"/>
    <s v="UnallocatedWTI-BrentHedge-700-3.26101"/>
    <x v="0"/>
  </r>
  <r>
    <x v="19"/>
    <d v="2025-03-10T00:00:00"/>
    <s v="WTI-Brent"/>
    <s v="Hedge"/>
    <n v="300"/>
    <d v="2025-05-31T00:00:00"/>
    <d v="2025-05-31T00:00:00"/>
    <n v="-3.83"/>
    <n v="-3.26"/>
    <n v="171.00000000000009"/>
    <n v="-1149"/>
    <x v="22"/>
    <s v="Buy"/>
    <n v="-977.99999999999989"/>
    <x v="1"/>
    <x v="3"/>
    <n v="2025"/>
    <s v="Buy"/>
    <x v="0"/>
    <s v="Vitol FOB March BookoutWTI-BrentHedge300-3.26102"/>
    <x v="0"/>
  </r>
  <r>
    <x v="0"/>
    <d v="2025-03-10T00:00:00"/>
    <s v="WTI-Brent"/>
    <s v="Hedge"/>
    <n v="-300"/>
    <d v="2025-05-31T00:00:00"/>
    <d v="2025-05-31T00:00:00"/>
    <n v="-3.83"/>
    <n v="-3.26"/>
    <n v="-171.00000000000009"/>
    <n v="1149"/>
    <x v="22"/>
    <s v="Sell"/>
    <n v="977.99999999999989"/>
    <x v="1"/>
    <x v="3"/>
    <n v="2025"/>
    <s v="Sell"/>
    <x v="0"/>
    <s v="UnallocatedWTI-BrentHedge-300-3.26103"/>
    <x v="0"/>
  </r>
  <r>
    <x v="28"/>
    <d v="2025-03-11T00:00:00"/>
    <s v="DFL"/>
    <s v="Expo"/>
    <n v="-700"/>
    <d v="2024-10-31T00:00:00"/>
    <d v="2024-10-31T00:00:00"/>
    <n v="0.27"/>
    <n v="0.27"/>
    <n v="0"/>
    <n v="-189"/>
    <x v="23"/>
    <s v="Sell"/>
    <n v="-189"/>
    <x v="1"/>
    <x v="1"/>
    <n v="2024"/>
    <s v="Sell"/>
    <x v="0"/>
    <s v="Oct 27-29 KAL AfraDFLExpo-7000.27104"/>
    <x v="0"/>
  </r>
  <r>
    <x v="0"/>
    <d v="2025-03-11T00:00:00"/>
    <s v="DFL"/>
    <s v="Expo"/>
    <n v="-197"/>
    <d v="2024-11-30T00:00:00"/>
    <d v="2024-11-30T00:00:00"/>
    <n v="1.04"/>
    <n v="1.04"/>
    <n v="0"/>
    <n v="-204.88"/>
    <x v="24"/>
    <s v="Sell"/>
    <n v="-204.88"/>
    <x v="1"/>
    <x v="1"/>
    <n v="2024"/>
    <s v="Sell"/>
    <x v="0"/>
    <s v="UnallocatedDFLExpo-1971.04105"/>
    <x v="0"/>
  </r>
  <r>
    <x v="0"/>
    <d v="2025-03-11T00:00:00"/>
    <s v="DFL"/>
    <s v="Expo"/>
    <n v="-4683"/>
    <d v="2024-12-31T00:00:00"/>
    <d v="2024-12-31T00:00:00"/>
    <n v="0.82"/>
    <n v="0.82"/>
    <n v="0"/>
    <n v="-3840.06"/>
    <x v="17"/>
    <s v="Sell"/>
    <n v="-3840.06"/>
    <x v="1"/>
    <x v="1"/>
    <n v="2024"/>
    <s v="Sell"/>
    <x v="0"/>
    <s v="UnallocatedDFLExpo-46830.82106"/>
    <x v="0"/>
  </r>
  <r>
    <x v="3"/>
    <d v="2025-03-06T00:00:00"/>
    <s v="DFL"/>
    <s v="Hedge"/>
    <n v="293"/>
    <d v="2024-11-30T00:00:00"/>
    <d v="2024-11-30T00:00:00"/>
    <n v="0.24"/>
    <n v="1.04"/>
    <n v="234.4"/>
    <n v="70.319999999999993"/>
    <x v="24"/>
    <s v="Buy"/>
    <n v="304.72000000000003"/>
    <x v="1"/>
    <x v="1"/>
    <n v="2024"/>
    <s v="Buy"/>
    <x v="0"/>
    <s v="Jan 4-6 KAL AfraDFLHedge2931.04107"/>
    <x v="0"/>
  </r>
  <r>
    <x v="4"/>
    <d v="2025-03-06T00:00:00"/>
    <s v="DFL"/>
    <s v="Hedge"/>
    <n v="-2100"/>
    <d v="2024-11-30T00:00:00"/>
    <d v="2024-11-30T00:00:00"/>
    <n v="0.24"/>
    <n v="1.04"/>
    <n v="-1680"/>
    <n v="-504"/>
    <x v="24"/>
    <s v="Sell"/>
    <n v="-2184"/>
    <x v="1"/>
    <x v="1"/>
    <n v="2024"/>
    <s v="Sell"/>
    <x v="0"/>
    <s v="Nov 19-21 Shell Rdam VLCCDFLHedge-21001.04108"/>
    <x v="0"/>
  </r>
  <r>
    <x v="5"/>
    <d v="2025-03-06T00:00:00"/>
    <s v="DFL"/>
    <s v="Hedge"/>
    <n v="-690"/>
    <d v="2024-11-30T00:00:00"/>
    <d v="2024-11-30T00:00:00"/>
    <n v="0.24"/>
    <n v="1.04"/>
    <n v="-552"/>
    <n v="-165.6"/>
    <x v="24"/>
    <s v="Sell"/>
    <n v="-717.6"/>
    <x v="1"/>
    <x v="1"/>
    <n v="2024"/>
    <s v="Sell"/>
    <x v="0"/>
    <s v="Nov 22-26 Tranmere AfraDFLHedge-6901.04109"/>
    <x v="0"/>
  </r>
  <r>
    <x v="0"/>
    <d v="2025-03-06T00:00:00"/>
    <s v="DFL"/>
    <s v="Hedge"/>
    <n v="2497"/>
    <d v="2024-11-30T00:00:00"/>
    <d v="2024-11-30T00:00:00"/>
    <n v="0.24"/>
    <n v="1.04"/>
    <n v="1997.6000000000001"/>
    <n v="599.28"/>
    <x v="24"/>
    <s v="Buy"/>
    <n v="2596.88"/>
    <x v="1"/>
    <x v="1"/>
    <n v="2024"/>
    <s v="Buy"/>
    <x v="0"/>
    <s v="UnallocatedDFLHedge24971.04110"/>
    <x v="0"/>
  </r>
  <r>
    <x v="6"/>
    <d v="2025-03-06T00:00:00"/>
    <s v="DFL"/>
    <s v="Hedge"/>
    <n v="-2050"/>
    <d v="2024-12-31T00:00:00"/>
    <d v="2024-12-31T00:00:00"/>
    <n v="0.91"/>
    <n v="0.82"/>
    <n v="184.50000000000017"/>
    <n v="-1865.5"/>
    <x v="17"/>
    <s v="Sell"/>
    <n v="-1681"/>
    <x v="1"/>
    <x v="1"/>
    <n v="2024"/>
    <s v="Sell"/>
    <x v="0"/>
    <s v="CPC TAIWAN JAN 8-14DFLHedge-20500.82111"/>
    <x v="0"/>
  </r>
  <r>
    <x v="21"/>
    <d v="2025-03-06T00:00:00"/>
    <s v="DFL"/>
    <s v="Hedge"/>
    <n v="-2083"/>
    <d v="2024-12-31T00:00:00"/>
    <d v="2024-12-31T00:00:00"/>
    <n v="0.91"/>
    <n v="0.82"/>
    <n v="187.47000000000017"/>
    <n v="-1895.53"/>
    <x v="17"/>
    <s v="Sell"/>
    <n v="-1708.06"/>
    <x v="1"/>
    <x v="1"/>
    <n v="2024"/>
    <s v="Sell"/>
    <x v="0"/>
    <s v="Dec 15-25 EXTAP VLCCDFLHedge-20830.82112"/>
    <x v="0"/>
  </r>
  <r>
    <x v="29"/>
    <d v="2025-03-06T00:00:00"/>
    <s v="DFL"/>
    <s v="Hedge"/>
    <n v="0"/>
    <d v="2024-12-31T00:00:00"/>
    <d v="2024-12-31T00:00:00"/>
    <n v="0.91"/>
    <n v="0.82"/>
    <n v="0"/>
    <n v="0"/>
    <x v="17"/>
    <s v="Buy"/>
    <n v="0"/>
    <x v="1"/>
    <x v="1"/>
    <n v="2024"/>
    <s v="Sell"/>
    <x v="0"/>
    <s v="EOY Flattening OutDFLHedge00.82113"/>
    <x v="0"/>
  </r>
  <r>
    <x v="0"/>
    <d v="2025-03-06T00:00:00"/>
    <s v="DFL"/>
    <s v="Hedge"/>
    <n v="4133"/>
    <d v="2024-12-31T00:00:00"/>
    <d v="2024-12-31T00:00:00"/>
    <n v="0.91"/>
    <n v="0.82"/>
    <n v="-371.97000000000031"/>
    <n v="3761.03"/>
    <x v="17"/>
    <s v="Buy"/>
    <n v="3389.06"/>
    <x v="1"/>
    <x v="1"/>
    <n v="2024"/>
    <s v="Buy"/>
    <x v="0"/>
    <s v="UnallocatedDFLHedge41330.82114"/>
    <x v="0"/>
  </r>
  <r>
    <x v="15"/>
    <d v="2025-03-06T00:00:00"/>
    <s v="DFL"/>
    <s v="Hedge"/>
    <n v="-704"/>
    <d v="2025-01-31T00:00:00"/>
    <d v="2025-01-31T00:00:00"/>
    <n v="0.86"/>
    <n v="0.93"/>
    <n v="-49.280000000000044"/>
    <n v="-605.43999999999994"/>
    <x v="18"/>
    <s v="Sell"/>
    <n v="-654.72"/>
    <x v="1"/>
    <x v="1"/>
    <n v="2025"/>
    <s v="Sell"/>
    <x v="0"/>
    <s v="CIF RDAM Jan 12-14 Load (BP)DFLHedge-7040.93115"/>
    <x v="0"/>
  </r>
  <r>
    <x v="10"/>
    <d v="2025-03-06T00:00:00"/>
    <s v="DFL"/>
    <s v="Hedge"/>
    <n v="-2000"/>
    <d v="2025-01-31T00:00:00"/>
    <d v="2025-01-31T00:00:00"/>
    <n v="0.86"/>
    <n v="0.93"/>
    <n v="-140.00000000000011"/>
    <n v="-1720"/>
    <x v="18"/>
    <s v="Sell"/>
    <n v="-1860"/>
    <x v="1"/>
    <x v="1"/>
    <n v="2025"/>
    <s v="Sell"/>
    <x v="0"/>
    <s v="CPC TAIWAN FEB 20-24DFLHedge-20000.93116"/>
    <x v="0"/>
  </r>
  <r>
    <x v="2"/>
    <d v="2025-03-06T00:00:00"/>
    <s v="DFL"/>
    <s v="Hedge"/>
    <n v="-2069"/>
    <d v="2025-01-31T00:00:00"/>
    <d v="2025-01-31T00:00:00"/>
    <n v="0.86"/>
    <n v="0.93"/>
    <n v="-144.83000000000013"/>
    <n v="-1779.34"/>
    <x v="18"/>
    <s v="Sell"/>
    <n v="-1924.17"/>
    <x v="1"/>
    <x v="1"/>
    <n v="2025"/>
    <s v="Sell"/>
    <x v="0"/>
    <s v="Jan 1-10 EXTAP VLCCDFLHedge-20690.93117"/>
    <x v="0"/>
  </r>
  <r>
    <x v="3"/>
    <d v="2025-03-06T00:00:00"/>
    <s v="DFL"/>
    <s v="Hedge"/>
    <n v="-735"/>
    <d v="2025-01-31T00:00:00"/>
    <d v="2025-01-31T00:00:00"/>
    <n v="0.86"/>
    <n v="0.93"/>
    <n v="-51.450000000000045"/>
    <n v="-632.1"/>
    <x v="18"/>
    <s v="Sell"/>
    <n v="-683.55000000000007"/>
    <x v="1"/>
    <x v="1"/>
    <n v="2025"/>
    <s v="Sell"/>
    <x v="0"/>
    <s v="Jan 4-6 KAL AfraDFLHedge-7350.93118"/>
    <x v="0"/>
  </r>
  <r>
    <x v="13"/>
    <d v="2025-03-06T00:00:00"/>
    <s v="DFL"/>
    <s v="Hedge"/>
    <n v="-735"/>
    <d v="2025-01-31T00:00:00"/>
    <d v="2025-01-31T00:00:00"/>
    <n v="0.86"/>
    <n v="0.93"/>
    <n v="-51.450000000000045"/>
    <n v="-632.1"/>
    <x v="18"/>
    <s v="Sell"/>
    <n v="-683.55000000000007"/>
    <x v="1"/>
    <x v="1"/>
    <n v="2025"/>
    <s v="Sell"/>
    <x v="0"/>
    <s v="Mitsui CIF Rdam Jan 27-29DFLHedge-7350.93119"/>
    <x v="0"/>
  </r>
  <r>
    <x v="0"/>
    <d v="2025-03-06T00:00:00"/>
    <s v="DFL"/>
    <s v="Hedge"/>
    <n v="6243"/>
    <d v="2025-01-31T00:00:00"/>
    <d v="2025-01-31T00:00:00"/>
    <n v="0.86"/>
    <n v="0.93"/>
    <n v="437.01000000000039"/>
    <n v="5368.98"/>
    <x v="18"/>
    <s v="Buy"/>
    <n v="5805.9900000000007"/>
    <x v="1"/>
    <x v="1"/>
    <n v="2025"/>
    <s v="Buy"/>
    <x v="0"/>
    <s v="UnallocatedDFLHedge62430.93120"/>
    <x v="0"/>
  </r>
  <r>
    <x v="11"/>
    <d v="2025-03-06T00:00:00"/>
    <s v="DFL"/>
    <s v="Hedge"/>
    <n v="-1596"/>
    <d v="2025-02-28T00:00:00"/>
    <d v="2025-02-28T00:00:00"/>
    <n v="0.95"/>
    <n v="0.22"/>
    <n v="1165.08"/>
    <n v="-1516.1999999999998"/>
    <x v="19"/>
    <s v="Sell"/>
    <n v="-351.12"/>
    <x v="1"/>
    <x v="1"/>
    <n v="2025"/>
    <s v="Sell"/>
    <x v="0"/>
    <s v="CPC TAIWAN MARCH 11-15DFLHedge-15960.22121"/>
    <x v="0"/>
  </r>
  <r>
    <x v="7"/>
    <d v="2025-03-06T00:00:00"/>
    <s v="DFL"/>
    <s v="Hedge"/>
    <n v="-2076"/>
    <d v="2025-02-28T00:00:00"/>
    <d v="2025-02-28T00:00:00"/>
    <n v="0.95"/>
    <n v="0.22"/>
    <n v="1515.48"/>
    <n v="-1972.1999999999998"/>
    <x v="19"/>
    <s v="Sell"/>
    <n v="-456.72"/>
    <x v="1"/>
    <x v="1"/>
    <n v="2025"/>
    <s v="Sell"/>
    <x v="0"/>
    <s v="EXTAP Feb 15-25DFLHedge-20760.22122"/>
    <x v="0"/>
  </r>
  <r>
    <x v="0"/>
    <d v="2025-03-06T00:00:00"/>
    <s v="DFL"/>
    <s v="Hedge"/>
    <n v="3672"/>
    <d v="2025-02-28T00:00:00"/>
    <d v="2025-02-28T00:00:00"/>
    <n v="0.95"/>
    <n v="0.22"/>
    <n v="-2680.56"/>
    <n v="3488.3999999999996"/>
    <x v="19"/>
    <s v="Buy"/>
    <n v="807.84"/>
    <x v="1"/>
    <x v="1"/>
    <n v="2025"/>
    <s v="Buy"/>
    <x v="0"/>
    <s v="UnallocatedDFLHedge36720.22123"/>
    <x v="0"/>
  </r>
  <r>
    <x v="3"/>
    <d v="2023-10-07T00:00:00"/>
    <s v="Brent Sprds"/>
    <s v="Expo"/>
    <n v="-707"/>
    <d v="2024-12-31T00:00:00"/>
    <d v="2025-01-31T00:00:00"/>
    <n v="0.5"/>
    <n v="0.35"/>
    <n v="106.05000000000001"/>
    <n v="-353.5"/>
    <x v="11"/>
    <s v="Sell"/>
    <n v="-247.45"/>
    <x v="0"/>
    <x v="2"/>
    <n v="2024"/>
    <s v="Sell"/>
    <x v="0"/>
    <s v="Jan 4-6 KAL AfraBrent SprdsExpo-7070.35124"/>
    <x v="0"/>
  </r>
  <r>
    <x v="21"/>
    <d v="2023-10-07T00:00:00"/>
    <s v="Brent Sprds"/>
    <s v="Expo"/>
    <n v="-2083"/>
    <d v="2025-01-31T00:00:00"/>
    <d v="2025-02-28T00:00:00"/>
    <n v="0.26"/>
    <n v="1.1000000000000001"/>
    <n v="-1749.7200000000003"/>
    <n v="-541.58000000000004"/>
    <x v="12"/>
    <s v="Sell"/>
    <n v="-2291.3000000000002"/>
    <x v="0"/>
    <x v="2"/>
    <n v="2025"/>
    <s v="Sell"/>
    <x v="0"/>
    <s v="Dec 15-25 EXTAP VLCCBrent SprdsExpo-20831.1125"/>
    <x v="0"/>
  </r>
  <r>
    <x v="4"/>
    <d v="2023-10-07T00:00:00"/>
    <s v="Brent Sprds"/>
    <s v="Expo"/>
    <n v="-2100"/>
    <d v="2024-12-31T00:00:00"/>
    <d v="2025-01-31T00:00:00"/>
    <n v="0.5"/>
    <n v="0.35"/>
    <n v="315.00000000000006"/>
    <n v="-1050"/>
    <x v="11"/>
    <s v="Sell"/>
    <n v="-735"/>
    <x v="0"/>
    <x v="2"/>
    <n v="2024"/>
    <s v="Sell"/>
    <x v="0"/>
    <s v="Nov 19-21 Shell Rdam VLCCBrent SprdsExpo-21000.35126"/>
    <x v="0"/>
  </r>
  <r>
    <x v="3"/>
    <d v="2023-10-07T00:00:00"/>
    <s v="DFL"/>
    <s v="Expo"/>
    <n v="707"/>
    <d v="2024-11-30T00:00:00"/>
    <d v="2024-11-30T00:00:00"/>
    <n v="0.13"/>
    <n v="1.04"/>
    <n v="643.37"/>
    <n v="91.91"/>
    <x v="24"/>
    <s v="Buy"/>
    <n v="735.28"/>
    <x v="1"/>
    <x v="1"/>
    <n v="2024"/>
    <s v="Buy"/>
    <x v="0"/>
    <s v="Jan 4-6 KAL AfraDFLExpo7071.04127"/>
    <x v="0"/>
  </r>
  <r>
    <x v="21"/>
    <d v="2023-10-07T00:00:00"/>
    <s v="DFL"/>
    <s v="Expo"/>
    <n v="2083"/>
    <d v="2024-12-31T00:00:00"/>
    <d v="2024-12-31T00:00:00"/>
    <n v="0.06"/>
    <n v="0.82"/>
    <n v="1583.08"/>
    <n v="124.97999999999999"/>
    <x v="17"/>
    <s v="Buy"/>
    <n v="1708.06"/>
    <x v="1"/>
    <x v="1"/>
    <n v="2024"/>
    <s v="Buy"/>
    <x v="0"/>
    <s v="Dec 15-25 EXTAP VLCCDFLExpo20830.82128"/>
    <x v="0"/>
  </r>
  <r>
    <x v="4"/>
    <d v="2023-10-07T00:00:00"/>
    <s v="DFL"/>
    <s v="Expo"/>
    <n v="2100"/>
    <d v="2024-11-30T00:00:00"/>
    <d v="2024-11-30T00:00:00"/>
    <n v="0.13"/>
    <n v="1.04"/>
    <n v="1911"/>
    <n v="273"/>
    <x v="24"/>
    <s v="Buy"/>
    <n v="2184"/>
    <x v="1"/>
    <x v="1"/>
    <n v="2024"/>
    <s v="Buy"/>
    <x v="0"/>
    <s v="Nov 19-21 Shell Rdam VLCCDFLExpo21001.04129"/>
    <x v="0"/>
  </r>
  <r>
    <x v="3"/>
    <d v="2023-10-07T00:00:00"/>
    <s v="WTI Sprds"/>
    <s v="Expo"/>
    <n v="-707"/>
    <d v="2024-11-30T00:00:00"/>
    <d v="2024-12-31T00:00:00"/>
    <n v="0.5"/>
    <n v="0.52"/>
    <n v="-14.140000000000013"/>
    <n v="-353.5"/>
    <x v="10"/>
    <s v="Sell"/>
    <n v="-367.64"/>
    <x v="0"/>
    <x v="0"/>
    <n v="2024"/>
    <s v="Sell"/>
    <x v="0"/>
    <s v="Jan 4-6 KAL AfraWTI SprdsExpo-7070.52130"/>
    <x v="0"/>
  </r>
  <r>
    <x v="4"/>
    <d v="2023-10-07T00:00:00"/>
    <s v="WTI Sprds"/>
    <s v="Expo"/>
    <n v="-2100"/>
    <d v="2024-11-30T00:00:00"/>
    <d v="2024-12-31T00:00:00"/>
    <n v="0.5"/>
    <n v="0.52"/>
    <n v="-42.000000000000036"/>
    <n v="-1050"/>
    <x v="10"/>
    <s v="Sell"/>
    <n v="-1092"/>
    <x v="0"/>
    <x v="0"/>
    <n v="2024"/>
    <s v="Sell"/>
    <x v="0"/>
    <s v="Nov 19-21 Shell Rdam VLCCWTI SprdsExpo-21000.52131"/>
    <x v="0"/>
  </r>
  <r>
    <x v="3"/>
    <d v="2023-10-07T00:00:00"/>
    <s v="WTI-Brent"/>
    <s v="Expo"/>
    <n v="-707"/>
    <d v="2024-12-31T00:00:00"/>
    <d v="2024-12-31T00:00:00"/>
    <n v="-4.28"/>
    <n v="-3.9"/>
    <n v="-268.66000000000025"/>
    <n v="3025.96"/>
    <x v="17"/>
    <s v="Sell"/>
    <n v="2757.2999999999997"/>
    <x v="1"/>
    <x v="3"/>
    <n v="2024"/>
    <s v="Sell"/>
    <x v="0"/>
    <s v="Jan 4-6 KAL AfraWTI-BrentExpo-707-3.9132"/>
    <x v="0"/>
  </r>
  <r>
    <x v="4"/>
    <d v="2023-10-07T00:00:00"/>
    <s v="WTI-Brent"/>
    <s v="Expo"/>
    <n v="-2100"/>
    <d v="2024-12-31T00:00:00"/>
    <d v="2024-12-31T00:00:00"/>
    <n v="-4.28"/>
    <n v="-3.9"/>
    <n v="-798.00000000000068"/>
    <n v="8988"/>
    <x v="17"/>
    <s v="Sell"/>
    <n v="8190"/>
    <x v="1"/>
    <x v="3"/>
    <n v="2024"/>
    <s v="Sell"/>
    <x v="0"/>
    <s v="Nov 19-21 Shell Rdam VLCCWTI-BrentExpo-2100-3.9133"/>
    <x v="0"/>
  </r>
  <r>
    <x v="3"/>
    <d v="2023-10-08T00:00:00"/>
    <s v="Physical"/>
    <s v="Expo"/>
    <n v="707"/>
    <d v="2023-01-31T00:00:00"/>
    <d v="2023-01-31T00:00:00"/>
    <n v="1.4"/>
    <n v="1.4"/>
    <n v="0"/>
    <n v="989.8"/>
    <x v="25"/>
    <s v="Buy"/>
    <n v="989.8"/>
    <x v="2"/>
    <x v="4"/>
    <n v="2023"/>
    <s v="Buy"/>
    <x v="1"/>
    <s v="Jan 4-6 KAL AfraPhysicalExpo7071.4134"/>
    <x v="0"/>
  </r>
  <r>
    <x v="4"/>
    <d v="2023-10-08T00:00:00"/>
    <s v="Physical"/>
    <s v="Expo"/>
    <n v="2100"/>
    <d v="2023-01-31T00:00:00"/>
    <d v="2023-01-31T00:00:00"/>
    <n v="2.15"/>
    <n v="2.4500000000000002"/>
    <n v="630.00000000000057"/>
    <n v="4515"/>
    <x v="25"/>
    <s v="Buy"/>
    <n v="5145"/>
    <x v="2"/>
    <x v="4"/>
    <n v="2023"/>
    <s v="Buy"/>
    <x v="1"/>
    <s v="Nov 19-21 Shell Rdam VLCCPhysicalExpo21002.45135"/>
    <x v="0"/>
  </r>
  <r>
    <x v="30"/>
    <d v="2024-06-18T00:00:00"/>
    <s v="WTI Sprds-Fly"/>
    <s v="Hedge"/>
    <n v="0"/>
    <d v="2024-09-30T00:00:00"/>
    <d v="2024-10-31T00:00:00"/>
    <n v="0.77"/>
    <e v="#N/A"/>
    <s v=""/>
    <n v="0"/>
    <x v="26"/>
    <s v="Buy"/>
    <e v="#N/A"/>
    <x v="0"/>
    <x v="0"/>
    <n v="2024"/>
    <s v="Sell"/>
    <x v="0"/>
    <e v="#N/A"/>
    <x v="0"/>
  </r>
  <r>
    <x v="5"/>
    <d v="2024-10-08T00:00:00"/>
    <s v="DFL"/>
    <s v="Expo"/>
    <n v="690"/>
    <d v="2024-11-30T00:00:00"/>
    <d v="2024-11-30T00:00:00"/>
    <n v="0.13"/>
    <n v="1.04"/>
    <n v="627.9"/>
    <n v="89.7"/>
    <x v="24"/>
    <s v="Buy"/>
    <n v="717.6"/>
    <x v="1"/>
    <x v="1"/>
    <n v="2024"/>
    <s v="Buy"/>
    <x v="0"/>
    <s v="Nov 22-26 Tranmere AfraDFLExpo6901.04137"/>
    <x v="0"/>
  </r>
  <r>
    <x v="5"/>
    <d v="2024-10-08T00:00:00"/>
    <s v="Freight-TD25"/>
    <s v="Expo"/>
    <n v="-690"/>
    <d v="2024-11-30T00:00:00"/>
    <d v="2024-11-30T00:00:00"/>
    <n v="170"/>
    <n v="166"/>
    <n v="-55.2"/>
    <n v="-117300"/>
    <x v="24"/>
    <s v="Sell"/>
    <n v="-114540"/>
    <x v="3"/>
    <x v="5"/>
    <n v="2024"/>
    <s v="Sell"/>
    <x v="0"/>
    <s v="Nov 22-26 Tranmere AfraFreight-TD25Expo-690166138"/>
    <x v="0"/>
  </r>
  <r>
    <x v="5"/>
    <d v="2024-10-08T00:00:00"/>
    <s v="Freight-TD25"/>
    <s v="Expo"/>
    <n v="690"/>
    <d v="2024-11-30T00:00:00"/>
    <d v="2024-11-30T00:00:00"/>
    <n v="170"/>
    <n v="166"/>
    <n v="56"/>
    <n v="117300"/>
    <x v="24"/>
    <s v="Buy"/>
    <n v="114540"/>
    <x v="3"/>
    <x v="5"/>
    <n v="2024"/>
    <s v="Buy"/>
    <x v="0"/>
    <s v="Nov 22-26 Tranmere AfraFreight-TD25Expo690166139"/>
    <x v="0"/>
  </r>
  <r>
    <x v="5"/>
    <d v="2024-10-08T00:00:00"/>
    <s v="Physical"/>
    <s v="Expo"/>
    <n v="-690"/>
    <d v="2023-01-31T00:00:00"/>
    <d v="2023-01-31T00:00:00"/>
    <n v="1.75"/>
    <n v="1.75"/>
    <n v="0"/>
    <n v="-1207.5"/>
    <x v="25"/>
    <s v="Sell"/>
    <n v="-1207.5"/>
    <x v="2"/>
    <x v="4"/>
    <n v="2023"/>
    <s v="Sell"/>
    <x v="1"/>
    <s v="Nov 22-26 Tranmere AfraPhysicalExpo-6901.75140"/>
    <x v="0"/>
  </r>
  <r>
    <x v="5"/>
    <d v="2024-10-08T00:00:00"/>
    <s v="WTI Sprds"/>
    <s v="Expo"/>
    <n v="-690"/>
    <d v="2024-11-30T00:00:00"/>
    <d v="2024-12-31T00:00:00"/>
    <n v="0.57999999999999996"/>
    <n v="0.52"/>
    <n v="41.399999999999963"/>
    <n v="-400.2"/>
    <x v="10"/>
    <s v="Sell"/>
    <n v="-358.8"/>
    <x v="0"/>
    <x v="0"/>
    <n v="2024"/>
    <s v="Sell"/>
    <x v="0"/>
    <s v="Nov 22-26 Tranmere AfraWTI SprdsExpo-6900.52141"/>
    <x v="0"/>
  </r>
  <r>
    <x v="5"/>
    <d v="2024-10-08T00:00:00"/>
    <s v="WTI Sprds"/>
    <s v="Expo"/>
    <n v="-690"/>
    <d v="2024-12-31T00:00:00"/>
    <d v="2025-01-31T00:00:00"/>
    <n v="0.44"/>
    <n v="0.15"/>
    <n v="200.10000000000002"/>
    <n v="-303.60000000000002"/>
    <x v="11"/>
    <s v="Sell"/>
    <n v="-103.5"/>
    <x v="0"/>
    <x v="0"/>
    <n v="2024"/>
    <s v="Sell"/>
    <x v="0"/>
    <s v="Nov 22-26 Tranmere AfraWTI SprdsExpo-6900.15142"/>
    <x v="0"/>
  </r>
  <r>
    <x v="5"/>
    <d v="2024-10-08T00:00:00"/>
    <s v="WTI-Brent"/>
    <s v="Expo"/>
    <n v="-690"/>
    <d v="2025-01-31T00:00:00"/>
    <d v="2025-01-31T00:00:00"/>
    <n v="-4.21"/>
    <n v="-4.9400000000000004"/>
    <n v="503.70000000000027"/>
    <n v="2904.9"/>
    <x v="18"/>
    <s v="Sell"/>
    <n v="3408.6000000000004"/>
    <x v="1"/>
    <x v="3"/>
    <n v="2025"/>
    <s v="Sell"/>
    <x v="0"/>
    <s v="Nov 22-26 Tranmere AfraWTI-BrentExpo-690-4.94143"/>
    <x v="0"/>
  </r>
  <r>
    <x v="2"/>
    <d v="2024-10-09T00:00:00"/>
    <s v="Brent Sprds"/>
    <s v="Expo"/>
    <n v="-2050"/>
    <d v="2025-01-31T00:00:00"/>
    <d v="2025-02-28T00:00:00"/>
    <n v="0.33"/>
    <n v="1.1000000000000001"/>
    <n v="-1578.5"/>
    <n v="-676.5"/>
    <x v="12"/>
    <s v="Sell"/>
    <n v="-2255"/>
    <x v="0"/>
    <x v="2"/>
    <n v="2025"/>
    <s v="Sell"/>
    <x v="0"/>
    <s v="Jan 1-10 EXTAP VLCCBrent SprdsExpo-20501.1144"/>
    <x v="0"/>
  </r>
  <r>
    <x v="2"/>
    <d v="2024-10-09T00:00:00"/>
    <s v="Brent Sprds"/>
    <s v="Expo"/>
    <n v="-2050"/>
    <d v="2025-02-28T00:00:00"/>
    <d v="2025-03-31T00:00:00"/>
    <n v="0.24"/>
    <n v="0.4"/>
    <n v="-328.00000000000006"/>
    <n v="-492"/>
    <x v="13"/>
    <s v="Sell"/>
    <n v="-820"/>
    <x v="0"/>
    <x v="2"/>
    <n v="2025"/>
    <s v="Sell"/>
    <x v="0"/>
    <s v="Jan 1-10 EXTAP VLCCBrent SprdsExpo-20500.4145"/>
    <x v="0"/>
  </r>
  <r>
    <x v="2"/>
    <d v="2024-10-09T00:00:00"/>
    <s v="DFL"/>
    <s v="Expo"/>
    <n v="2069"/>
    <d v="2025-01-31T00:00:00"/>
    <d v="2025-01-31T00:00:00"/>
    <n v="0.04"/>
    <n v="0.93"/>
    <n v="1841.41"/>
    <n v="82.76"/>
    <x v="18"/>
    <s v="Buy"/>
    <n v="1924.17"/>
    <x v="1"/>
    <x v="1"/>
    <n v="2025"/>
    <s v="Buy"/>
    <x v="0"/>
    <s v="Jan 1-10 EXTAP VLCCDFLExpo20690.93146"/>
    <x v="0"/>
  </r>
  <r>
    <x v="2"/>
    <d v="2024-10-09T00:00:00"/>
    <s v="Physical"/>
    <s v="Expo"/>
    <n v="2069"/>
    <d v="2023-01-31T00:00:00"/>
    <d v="2023-01-31T00:00:00"/>
    <n v="3.1900000000000004"/>
    <n v="3.6"/>
    <n v="848.2899999999994"/>
    <n v="6744.94"/>
    <x v="25"/>
    <s v="Buy"/>
    <n v="7448.4000000000005"/>
    <x v="2"/>
    <x v="4"/>
    <n v="2023"/>
    <s v="Buy"/>
    <x v="1"/>
    <s v="Jan 1-10 EXTAP VLCCPhysicalExpo20693.6147"/>
    <x v="0"/>
  </r>
  <r>
    <x v="2"/>
    <d v="2024-10-09T00:00:00"/>
    <s v="WTI Sprds"/>
    <s v="Expo"/>
    <n v="-2050"/>
    <d v="2024-11-30T00:00:00"/>
    <d v="2024-12-31T00:00:00"/>
    <n v="0.63"/>
    <n v="0.52"/>
    <n v="225.49999999999997"/>
    <n v="-1291.5"/>
    <x v="10"/>
    <s v="Sell"/>
    <n v="-1066"/>
    <x v="0"/>
    <x v="0"/>
    <n v="2024"/>
    <s v="Sell"/>
    <x v="0"/>
    <s v="Jan 1-10 EXTAP VLCCWTI SprdsExpo-20500.52148"/>
    <x v="0"/>
  </r>
  <r>
    <x v="2"/>
    <d v="2024-10-09T00:00:00"/>
    <s v="WTI Sprds"/>
    <s v="Expo"/>
    <n v="-2050"/>
    <d v="2024-12-31T00:00:00"/>
    <d v="2025-01-31T00:00:00"/>
    <n v="0.48"/>
    <n v="0.15"/>
    <n v="676.49999999999989"/>
    <n v="-984"/>
    <x v="11"/>
    <s v="Sell"/>
    <n v="-307.5"/>
    <x v="0"/>
    <x v="0"/>
    <n v="2024"/>
    <s v="Sell"/>
    <x v="0"/>
    <s v="Jan 1-10 EXTAP VLCCWTI SprdsExpo-20500.15149"/>
    <x v="0"/>
  </r>
  <r>
    <x v="2"/>
    <d v="2024-10-09T00:00:00"/>
    <s v="WTI-Brent"/>
    <s v="Expo"/>
    <n v="-2050"/>
    <d v="2025-01-31T00:00:00"/>
    <d v="2025-01-31T00:00:00"/>
    <n v="-4.12"/>
    <n v="-4.9400000000000004"/>
    <n v="1681.0000000000007"/>
    <n v="8446"/>
    <x v="18"/>
    <s v="Sell"/>
    <n v="10127"/>
    <x v="1"/>
    <x v="3"/>
    <n v="2025"/>
    <s v="Sell"/>
    <x v="0"/>
    <s v="Jan 1-10 EXTAP VLCCWTI-BrentExpo-2050-4.94150"/>
    <x v="0"/>
  </r>
  <r>
    <x v="2"/>
    <d v="2025-01-28T00:00:00"/>
    <s v="Physical"/>
    <s v="Expo"/>
    <n v="0"/>
    <d v="2023-01-31T00:00:00"/>
    <d v="2023-01-31T00:00:00"/>
    <m/>
    <m/>
    <n v="-700"/>
    <n v="0"/>
    <x v="25"/>
    <s v="Buy"/>
    <n v="0"/>
    <x v="2"/>
    <x v="4"/>
    <n v="2023"/>
    <s v="Sell"/>
    <x v="1"/>
    <s v="Jan 1-10 EXTAP VLCCPhysicalExpo0151"/>
    <x v="0"/>
  </r>
  <r>
    <x v="3"/>
    <d v="2024-10-10T00:00:00"/>
    <s v="DFL"/>
    <s v="Hedge"/>
    <n v="-500"/>
    <d v="2024-11-30T00:00:00"/>
    <d v="2024-11-30T00:00:00"/>
    <n v="0.16"/>
    <n v="1.04"/>
    <n v="-440"/>
    <n v="-80"/>
    <x v="24"/>
    <s v="Sell"/>
    <n v="-520"/>
    <x v="1"/>
    <x v="1"/>
    <n v="2024"/>
    <s v="Sell"/>
    <x v="0"/>
    <s v="Jan 4-6 KAL AfraDFLHedge-5001.04152"/>
    <x v="0"/>
  </r>
  <r>
    <x v="28"/>
    <d v="2024-10-10T00:00:00"/>
    <s v="DFL"/>
    <s v="Expo"/>
    <n v="700"/>
    <d v="2024-10-31T00:00:00"/>
    <d v="2024-10-31T00:00:00"/>
    <n v="0.4"/>
    <n v="0.27"/>
    <n v="-91"/>
    <n v="280"/>
    <x v="23"/>
    <s v="Buy"/>
    <n v="189"/>
    <x v="1"/>
    <x v="1"/>
    <n v="2024"/>
    <s v="Buy"/>
    <x v="0"/>
    <s v="Oct 27-29 KAL AfraDFLExpo7000.27153"/>
    <x v="0"/>
  </r>
  <r>
    <x v="5"/>
    <d v="2024-10-10T00:00:00"/>
    <s v="WTI-Brent"/>
    <s v="Hedge"/>
    <n v="700"/>
    <d v="2025-01-31T00:00:00"/>
    <d v="2025-01-31T00:00:00"/>
    <n v="-4.2699999999999996"/>
    <n v="-4.9400000000000004"/>
    <n v="-469.00000000000057"/>
    <n v="-2988.9999999999995"/>
    <x v="18"/>
    <s v="Buy"/>
    <n v="-3458.0000000000005"/>
    <x v="1"/>
    <x v="3"/>
    <n v="2025"/>
    <s v="Buy"/>
    <x v="0"/>
    <s v="Nov 22-26 Tranmere AfraWTI-BrentHedge700-4.94154"/>
    <x v="0"/>
  </r>
  <r>
    <x v="31"/>
    <d v="2024-10-10T00:00:00"/>
    <s v="WTI-Brent"/>
    <s v="Expo"/>
    <n v="-700"/>
    <d v="2024-12-31T00:00:00"/>
    <d v="2024-12-31T00:00:00"/>
    <n v="-4.1900000000000004"/>
    <n v="-3.9"/>
    <n v="-203.00000000000034"/>
    <n v="2933.0000000000005"/>
    <x v="17"/>
    <s v="Sell"/>
    <n v="2730"/>
    <x v="1"/>
    <x v="3"/>
    <n v="2024"/>
    <s v="Sell"/>
    <x v="0"/>
    <s v="Dec EFP 1WTI-BrentExpo-700-3.9155"/>
    <x v="0"/>
  </r>
  <r>
    <x v="22"/>
    <d v="2024-10-10T00:00:00"/>
    <s v="WTI-Brent"/>
    <s v="Expo"/>
    <n v="-700"/>
    <d v="2024-12-31T00:00:00"/>
    <d v="2024-12-31T00:00:00"/>
    <n v="-4.1900000000000004"/>
    <n v="-3.9"/>
    <n v="-203.00000000000034"/>
    <n v="2933.0000000000005"/>
    <x v="17"/>
    <s v="Sell"/>
    <n v="2730"/>
    <x v="1"/>
    <x v="3"/>
    <n v="2024"/>
    <s v="Sell"/>
    <x v="0"/>
    <s v="Dec EFP 2WTI-BrentExpo-700-3.9156"/>
    <x v="0"/>
  </r>
  <r>
    <x v="23"/>
    <d v="2024-10-10T00:00:00"/>
    <s v="WTI-Brent"/>
    <s v="Expo"/>
    <n v="-700"/>
    <d v="2024-12-31T00:00:00"/>
    <d v="2024-12-31T00:00:00"/>
    <n v="-4.1900000000000004"/>
    <n v="-3.9"/>
    <n v="-203.00000000000034"/>
    <n v="2933.0000000000005"/>
    <x v="17"/>
    <s v="Sell"/>
    <n v="2730"/>
    <x v="1"/>
    <x v="3"/>
    <n v="2024"/>
    <s v="Sell"/>
    <x v="0"/>
    <s v="Dec EFP 3WTI-BrentExpo-700-3.9157"/>
    <x v="0"/>
  </r>
  <r>
    <x v="2"/>
    <d v="2024-10-10T00:00:00"/>
    <s v="WTI-Brent"/>
    <s v="Hedge"/>
    <n v="300"/>
    <d v="2025-01-31T00:00:00"/>
    <d v="2025-01-31T00:00:00"/>
    <n v="-4.2699999999999996"/>
    <n v="-4.9400000000000004"/>
    <n v="-201.00000000000026"/>
    <n v="-1280.9999999999998"/>
    <x v="18"/>
    <s v="Buy"/>
    <n v="-1482.0000000000002"/>
    <x v="1"/>
    <x v="3"/>
    <n v="2025"/>
    <s v="Buy"/>
    <x v="0"/>
    <s v="Jan 1-10 EXTAP VLCCWTI-BrentHedge300-4.94158"/>
    <x v="0"/>
  </r>
  <r>
    <x v="0"/>
    <d v="2024-10-11T00:00:00"/>
    <s v="WTI Sprds"/>
    <s v="Hedge"/>
    <n v="2000"/>
    <d v="2024-11-30T00:00:00"/>
    <d v="2024-12-31T00:00:00"/>
    <n v="0.71"/>
    <n v="0.52"/>
    <n v="-379.99999999999989"/>
    <n v="1420"/>
    <x v="10"/>
    <s v="Buy"/>
    <n v="1040"/>
    <x v="0"/>
    <x v="0"/>
    <n v="2024"/>
    <s v="Buy"/>
    <x v="0"/>
    <s v="UnallocatedWTI SprdsHedge20000.52159"/>
    <x v="0"/>
  </r>
  <r>
    <x v="2"/>
    <d v="2024-10-11T00:00:00"/>
    <s v="WTI Sprds"/>
    <s v="Hedge"/>
    <n v="1000"/>
    <d v="2024-11-30T00:00:00"/>
    <d v="2024-12-31T00:00:00"/>
    <n v="0.71"/>
    <n v="0.52"/>
    <n v="-189.99999999999994"/>
    <n v="710"/>
    <x v="10"/>
    <s v="Buy"/>
    <n v="520"/>
    <x v="0"/>
    <x v="0"/>
    <n v="2024"/>
    <s v="Buy"/>
    <x v="0"/>
    <s v="Jan 1-10 EXTAP VLCCWTI SprdsHedge10000.52160"/>
    <x v="0"/>
  </r>
  <r>
    <x v="2"/>
    <d v="2024-10-11T00:00:00"/>
    <s v="WTI Sprds"/>
    <s v="Hedge"/>
    <n v="1000"/>
    <d v="2024-12-31T00:00:00"/>
    <d v="2025-01-31T00:00:00"/>
    <n v="0.54"/>
    <n v="0.15"/>
    <n v="-390"/>
    <n v="540"/>
    <x v="11"/>
    <s v="Buy"/>
    <n v="150"/>
    <x v="0"/>
    <x v="0"/>
    <n v="2024"/>
    <s v="Buy"/>
    <x v="0"/>
    <s v="Jan 1-10 EXTAP VLCCWTI SprdsHedge10000.15161"/>
    <x v="0"/>
  </r>
  <r>
    <x v="0"/>
    <d v="2024-10-11T00:00:00"/>
    <s v="WTI-Brent"/>
    <s v="Hedge"/>
    <n v="2000"/>
    <d v="2024-12-31T00:00:00"/>
    <d v="2024-12-31T00:00:00"/>
    <n v="-4.1900000000000004"/>
    <n v="-3.9"/>
    <n v="580.00000000000091"/>
    <n v="-8380"/>
    <x v="17"/>
    <s v="Buy"/>
    <n v="-7800"/>
    <x v="1"/>
    <x v="3"/>
    <n v="2024"/>
    <s v="Buy"/>
    <x v="0"/>
    <s v="UnallocatedWTI-BrentHedge2000-3.9162"/>
    <x v="0"/>
  </r>
  <r>
    <x v="2"/>
    <d v="2024-10-11T00:00:00"/>
    <s v="WTI-Brent"/>
    <s v="Hedge"/>
    <m/>
    <d v="2025-01-31T00:00:00"/>
    <d v="2025-01-31T00:00:00"/>
    <n v="-4.29"/>
    <n v="-4.9400000000000004"/>
    <n v="0"/>
    <n v="0"/>
    <x v="18"/>
    <s v="Buy"/>
    <n v="0"/>
    <x v="1"/>
    <x v="3"/>
    <n v="2025"/>
    <s v="Sell"/>
    <x v="0"/>
    <s v="Jan 1-10 EXTAP VLCCWTI-BrentHedge-4.94163"/>
    <x v="0"/>
  </r>
  <r>
    <x v="5"/>
    <d v="2024-10-14T00:00:00"/>
    <s v="WTI Sprds"/>
    <s v="Hedge"/>
    <n v="258"/>
    <d v="2024-11-30T00:00:00"/>
    <d v="2024-12-31T00:00:00"/>
    <n v="0.57999999999999996"/>
    <n v="0.52"/>
    <n v="-15.479999999999984"/>
    <n v="149.63999999999999"/>
    <x v="10"/>
    <s v="Buy"/>
    <n v="134.16"/>
    <x v="0"/>
    <x v="0"/>
    <n v="2024"/>
    <s v="Buy"/>
    <x v="0"/>
    <s v="Nov 22-26 Tranmere AfraWTI SprdsHedge2580.52164"/>
    <x v="0"/>
  </r>
  <r>
    <x v="5"/>
    <d v="2024-10-14T00:00:00"/>
    <s v="WTI Sprds"/>
    <s v="Hedge"/>
    <n v="258"/>
    <d v="2024-12-31T00:00:00"/>
    <d v="2025-01-31T00:00:00"/>
    <n v="0.41"/>
    <n v="0.15"/>
    <n v="-67.08"/>
    <n v="105.77999999999999"/>
    <x v="11"/>
    <s v="Buy"/>
    <n v="38.699999999999996"/>
    <x v="0"/>
    <x v="0"/>
    <n v="2024"/>
    <s v="Buy"/>
    <x v="0"/>
    <s v="Nov 22-26 Tranmere AfraWTI SprdsHedge2580.15165"/>
    <x v="0"/>
  </r>
  <r>
    <x v="0"/>
    <d v="2024-10-14T00:00:00"/>
    <s v="WTI Sprds"/>
    <s v="Hedge"/>
    <n v="800"/>
    <d v="2024-11-30T00:00:00"/>
    <d v="2024-12-31T00:00:00"/>
    <n v="0.56999999999999995"/>
    <n v="0.52"/>
    <n v="-39.999999999999943"/>
    <n v="455.99999999999994"/>
    <x v="10"/>
    <s v="Buy"/>
    <n v="416"/>
    <x v="0"/>
    <x v="0"/>
    <n v="2024"/>
    <s v="Buy"/>
    <x v="0"/>
    <s v="UnallocatedWTI SprdsHedge8000.52166"/>
    <x v="0"/>
  </r>
  <r>
    <x v="0"/>
    <d v="2024-10-14T00:00:00"/>
    <s v="WTI Sprds"/>
    <s v="Hedge"/>
    <n v="1553"/>
    <d v="2024-11-30T00:00:00"/>
    <d v="2024-12-31T00:00:00"/>
    <n v="0.52"/>
    <n v="0.52"/>
    <n v="0"/>
    <n v="807.56000000000006"/>
    <x v="10"/>
    <s v="Buy"/>
    <n v="807.56000000000006"/>
    <x v="0"/>
    <x v="0"/>
    <n v="2024"/>
    <s v="Buy"/>
    <x v="0"/>
    <s v="UnallocatedWTI SprdsHedge15530.52167"/>
    <x v="0"/>
  </r>
  <r>
    <x v="0"/>
    <d v="2024-10-14T00:00:00"/>
    <s v="WTI Sprds"/>
    <s v="Hedge"/>
    <n v="-64"/>
    <d v="2024-11-30T00:00:00"/>
    <d v="2024-12-31T00:00:00"/>
    <n v="0.56999999999999995"/>
    <n v="0.52"/>
    <n v="3.1999999999999957"/>
    <n v="-36.479999999999997"/>
    <x v="10"/>
    <s v="Sell"/>
    <n v="-33.28"/>
    <x v="0"/>
    <x v="0"/>
    <n v="2024"/>
    <s v="Sell"/>
    <x v="0"/>
    <s v="UnallocatedWTI SprdsHedge-640.52168"/>
    <x v="0"/>
  </r>
  <r>
    <x v="5"/>
    <d v="2024-10-14T00:00:00"/>
    <s v="WTI-Brent"/>
    <s v="Hedge"/>
    <n v="258"/>
    <d v="2025-01-31T00:00:00"/>
    <d v="2025-01-31T00:00:00"/>
    <n v="-4.2800000000000011"/>
    <n v="-4.9400000000000004"/>
    <n v="-170.2799999999998"/>
    <n v="-1104.2400000000002"/>
    <x v="18"/>
    <s v="Buy"/>
    <n v="-1274.5200000000002"/>
    <x v="1"/>
    <x v="3"/>
    <n v="2025"/>
    <s v="Buy"/>
    <x v="0"/>
    <s v="Nov 22-26 Tranmere AfraWTI-BrentHedge258-4.94169"/>
    <x v="0"/>
  </r>
  <r>
    <x v="3"/>
    <d v="2024-10-15T00:00:00"/>
    <s v="DFL"/>
    <s v="Hedge"/>
    <n v="-500"/>
    <d v="2024-11-30T00:00:00"/>
    <d v="2024-11-30T00:00:00"/>
    <n v="0.01"/>
    <n v="1.04"/>
    <n v="-515"/>
    <n v="-5"/>
    <x v="24"/>
    <s v="Sell"/>
    <n v="-520"/>
    <x v="1"/>
    <x v="1"/>
    <n v="2024"/>
    <s v="Sell"/>
    <x v="0"/>
    <s v="Jan 4-6 KAL AfraDFLHedge-5001.04170"/>
    <x v="0"/>
  </r>
  <r>
    <x v="0"/>
    <d v="2024-10-16T00:00:00"/>
    <s v="DFL"/>
    <s v="Hedge"/>
    <n v="-400"/>
    <d v="2024-11-30T00:00:00"/>
    <d v="2024-11-30T00:00:00"/>
    <n v="0.14000000000000001"/>
    <n v="1.04"/>
    <n v="-360"/>
    <n v="-56.000000000000007"/>
    <x v="24"/>
    <s v="Sell"/>
    <n v="-416"/>
    <x v="1"/>
    <x v="1"/>
    <n v="2024"/>
    <s v="Sell"/>
    <x v="0"/>
    <s v="UnallocatedDFLHedge-4001.04171"/>
    <x v="0"/>
  </r>
  <r>
    <x v="0"/>
    <d v="2024-10-16T00:00:00"/>
    <s v="DFL"/>
    <s v="Hedge"/>
    <n v="-100"/>
    <d v="2024-12-31T00:00:00"/>
    <d v="2024-12-31T00:00:00"/>
    <n v="0.08"/>
    <n v="0.82"/>
    <n v="-74"/>
    <n v="-8"/>
    <x v="17"/>
    <s v="Sell"/>
    <n v="-82"/>
    <x v="1"/>
    <x v="1"/>
    <n v="2024"/>
    <s v="Sell"/>
    <x v="0"/>
    <s v="UnallocatedDFLHedge-1000.82172"/>
    <x v="0"/>
  </r>
  <r>
    <x v="0"/>
    <d v="2024-10-16T00:00:00"/>
    <s v="DFL"/>
    <s v="Hedge"/>
    <n v="-100"/>
    <d v="2025-01-31T00:00:00"/>
    <d v="2025-01-31T00:00:00"/>
    <n v="0.08"/>
    <n v="0.93"/>
    <n v="-85.000000000000014"/>
    <n v="-8"/>
    <x v="18"/>
    <s v="Sell"/>
    <n v="-93"/>
    <x v="1"/>
    <x v="1"/>
    <n v="2025"/>
    <s v="Sell"/>
    <x v="0"/>
    <s v="UnallocatedDFLHedge-1000.93173"/>
    <x v="0"/>
  </r>
  <r>
    <x v="6"/>
    <d v="2024-10-21T00:00:00"/>
    <s v="Brent Sprds"/>
    <s v="Expo"/>
    <n v="-2050"/>
    <d v="2025-01-31T00:00:00"/>
    <d v="2025-02-28T00:00:00"/>
    <n v="0.41"/>
    <n v="1.1000000000000001"/>
    <n v="-1414.5000000000005"/>
    <n v="-840.5"/>
    <x v="12"/>
    <s v="Sell"/>
    <n v="-2255"/>
    <x v="0"/>
    <x v="2"/>
    <n v="2025"/>
    <s v="Sell"/>
    <x v="0"/>
    <s v="CPC TAIWAN JAN 8-14Brent SprdsExpo-20501.1174"/>
    <x v="0"/>
  </r>
  <r>
    <x v="6"/>
    <d v="2024-10-21T00:00:00"/>
    <s v="DFL"/>
    <s v="Expo"/>
    <n v="2050"/>
    <d v="2024-12-31T00:00:00"/>
    <d v="2024-12-31T00:00:00"/>
    <n v="0.15"/>
    <n v="0.82"/>
    <n v="1373.4999999999998"/>
    <n v="307.5"/>
    <x v="17"/>
    <s v="Buy"/>
    <n v="1681"/>
    <x v="1"/>
    <x v="1"/>
    <n v="2024"/>
    <s v="Buy"/>
    <x v="0"/>
    <s v="CPC TAIWAN JAN 8-14DFLExpo20500.82175"/>
    <x v="0"/>
  </r>
  <r>
    <x v="6"/>
    <d v="2024-10-21T00:00:00"/>
    <s v="Freight-TD22"/>
    <s v="Expo"/>
    <n v="0"/>
    <d v="2024-11-30T00:00:00"/>
    <d v="2024-11-30T00:00:00"/>
    <n v="8000"/>
    <n v="8400"/>
    <n v="400"/>
    <n v="0"/>
    <x v="24"/>
    <s v="Buy"/>
    <n v="0"/>
    <x v="3"/>
    <x v="5"/>
    <n v="2024"/>
    <s v="Sell"/>
    <x v="0"/>
    <s v="CPC TAIWAN JAN 8-14Freight-TD22Expo08400176"/>
    <x v="0"/>
  </r>
  <r>
    <x v="6"/>
    <d v="2024-10-21T00:00:00"/>
    <s v="Physical"/>
    <s v="Expo"/>
    <n v="2050"/>
    <d v="2024-11-30T00:00:00"/>
    <d v="2024-11-30T00:00:00"/>
    <n v="2.15"/>
    <n v="2.36"/>
    <n v="430.49999999999994"/>
    <n v="4407.5"/>
    <x v="24"/>
    <s v="Buy"/>
    <n v="4838"/>
    <x v="2"/>
    <x v="4"/>
    <n v="2024"/>
    <s v="Buy"/>
    <x v="1"/>
    <s v="CPC TAIWAN JAN 8-14PhysicalExpo20502.36177"/>
    <x v="0"/>
  </r>
  <r>
    <x v="6"/>
    <d v="2024-10-21T00:00:00"/>
    <s v="WTI Sprds"/>
    <s v="Expo"/>
    <n v="-2050"/>
    <d v="2024-12-31T00:00:00"/>
    <d v="2025-01-31T00:00:00"/>
    <n v="0.39"/>
    <n v="0.15"/>
    <n v="492.00000000000006"/>
    <n v="-799.5"/>
    <x v="11"/>
    <s v="Sell"/>
    <n v="-307.5"/>
    <x v="0"/>
    <x v="0"/>
    <n v="2024"/>
    <s v="Sell"/>
    <x v="0"/>
    <s v="CPC TAIWAN JAN 8-14WTI SprdsExpo-20500.15178"/>
    <x v="0"/>
  </r>
  <r>
    <x v="22"/>
    <d v="2024-10-21T00:00:00"/>
    <s v="WTI-Brent"/>
    <s v="Hedge"/>
    <n v="300"/>
    <d v="2024-12-31T00:00:00"/>
    <d v="2024-12-31T00:00:00"/>
    <n v="-4.24"/>
    <n v="-3.9"/>
    <n v="102.00000000000009"/>
    <n v="-1272"/>
    <x v="17"/>
    <s v="Buy"/>
    <n v="-1170"/>
    <x v="1"/>
    <x v="3"/>
    <n v="2024"/>
    <s v="Buy"/>
    <x v="0"/>
    <s v="Dec EFP 2WTI-BrentHedge300-3.9179"/>
    <x v="0"/>
  </r>
  <r>
    <x v="6"/>
    <d v="2024-10-21T00:00:00"/>
    <s v="WTI-Brent"/>
    <s v="Expo"/>
    <n v="-2050"/>
    <d v="2025-01-31T00:00:00"/>
    <d v="2025-01-31T00:00:00"/>
    <n v="-4.2"/>
    <n v="-4.9400000000000004"/>
    <n v="1517.0000000000005"/>
    <n v="8610"/>
    <x v="18"/>
    <s v="Sell"/>
    <n v="10127"/>
    <x v="1"/>
    <x v="3"/>
    <n v="2025"/>
    <s v="Sell"/>
    <x v="0"/>
    <s v="CPC TAIWAN JAN 8-14WTI-BrentExpo-2050-4.94180"/>
    <x v="0"/>
  </r>
  <r>
    <x v="0"/>
    <d v="2024-10-22T00:00:00"/>
    <s v="DFL"/>
    <s v="Hedge"/>
    <n v="-300"/>
    <d v="2024-11-30T00:00:00"/>
    <d v="2024-11-30T00:00:00"/>
    <n v="0.13"/>
    <n v="1.04"/>
    <n v="-273"/>
    <n v="-39"/>
    <x v="24"/>
    <s v="Sell"/>
    <n v="-312"/>
    <x v="1"/>
    <x v="1"/>
    <n v="2024"/>
    <s v="Sell"/>
    <x v="0"/>
    <s v="UnallocatedDFLHedge-3001.04181"/>
    <x v="0"/>
  </r>
  <r>
    <x v="0"/>
    <d v="2024-10-23T00:00:00"/>
    <s v="DFL"/>
    <s v="Hedge"/>
    <n v="-1000"/>
    <d v="2024-11-30T00:00:00"/>
    <d v="2024-11-30T00:00:00"/>
    <n v="0.20499999999999999"/>
    <n v="1.04"/>
    <n v="-835.00000000000011"/>
    <n v="-205"/>
    <x v="24"/>
    <s v="Sell"/>
    <n v="-1040"/>
    <x v="1"/>
    <x v="1"/>
    <n v="2024"/>
    <s v="Sell"/>
    <x v="0"/>
    <s v="UnallocatedDFLHedge-10001.04182"/>
    <x v="0"/>
  </r>
  <r>
    <x v="0"/>
    <d v="2024-10-23T00:00:00"/>
    <s v="DFL"/>
    <s v="Hedge"/>
    <n v="1000"/>
    <d v="2024-12-31T00:00:00"/>
    <d v="2024-12-31T00:00:00"/>
    <n v="0.19"/>
    <n v="0.82"/>
    <n v="629.99999999999989"/>
    <n v="190"/>
    <x v="17"/>
    <s v="Buy"/>
    <n v="820"/>
    <x v="1"/>
    <x v="1"/>
    <n v="2024"/>
    <s v="Buy"/>
    <x v="0"/>
    <s v="UnallocatedDFLHedge10000.82183"/>
    <x v="0"/>
  </r>
  <r>
    <x v="6"/>
    <d v="2024-10-23T00:00:00"/>
    <s v="WTI Sprds"/>
    <s v="Hedge"/>
    <n v="2100"/>
    <d v="2024-12-31T00:00:00"/>
    <d v="2025-01-31T00:00:00"/>
    <n v="0.39999999999999147"/>
    <n v="0.15"/>
    <n v="-524.99999999998215"/>
    <n v="839.99999999998204"/>
    <x v="11"/>
    <s v="Buy"/>
    <n v="315"/>
    <x v="0"/>
    <x v="0"/>
    <n v="2024"/>
    <s v="Buy"/>
    <x v="0"/>
    <s v="CPC TAIWAN JAN 8-14WTI SprdsHedge21000.15184"/>
    <x v="0"/>
  </r>
  <r>
    <x v="6"/>
    <d v="2024-10-23T00:00:00"/>
    <s v="WTI-Brent"/>
    <s v="Hedge"/>
    <n v="2100"/>
    <d v="2025-01-31T00:00:00"/>
    <d v="2025-01-31T00:00:00"/>
    <n v="-4.1899999999999977"/>
    <n v="-4.9400000000000004"/>
    <n v="-1575.0000000000057"/>
    <n v="-8798.9999999999945"/>
    <x v="18"/>
    <s v="Buy"/>
    <n v="-10374"/>
    <x v="1"/>
    <x v="3"/>
    <n v="2025"/>
    <s v="Buy"/>
    <x v="0"/>
    <s v="CPC TAIWAN JAN 8-14WTI-BrentHedge2100-4.94185"/>
    <x v="0"/>
  </r>
  <r>
    <x v="31"/>
    <d v="2024-10-24T00:00:00"/>
    <s v="Freight-TD25"/>
    <s v="Expo"/>
    <n v="0"/>
    <d v="2024-11-30T00:00:00"/>
    <d v="2024-11-30T00:00:00"/>
    <n v="178"/>
    <n v="126.5"/>
    <n v="721"/>
    <n v="0"/>
    <x v="24"/>
    <s v="Buy"/>
    <n v="0"/>
    <x v="3"/>
    <x v="5"/>
    <n v="2024"/>
    <s v="Sell"/>
    <x v="0"/>
    <s v="Dec EFP 1Freight-TD25Expo0126.5186"/>
    <x v="0"/>
  </r>
  <r>
    <x v="22"/>
    <d v="2024-10-24T00:00:00"/>
    <s v="Freight-TD25"/>
    <s v="Expo"/>
    <n v="0"/>
    <d v="2024-11-30T00:00:00"/>
    <d v="2024-11-30T00:00:00"/>
    <n v="178"/>
    <n v="135"/>
    <n v="602"/>
    <n v="0"/>
    <x v="24"/>
    <s v="Buy"/>
    <n v="0"/>
    <x v="3"/>
    <x v="5"/>
    <n v="2024"/>
    <s v="Sell"/>
    <x v="0"/>
    <s v="Dec EFP 2Freight-TD25Expo0135187"/>
    <x v="0"/>
  </r>
  <r>
    <x v="23"/>
    <d v="2024-10-24T00:00:00"/>
    <s v="Freight-TD25"/>
    <s v="Expo"/>
    <n v="0"/>
    <d v="2024-11-30T00:00:00"/>
    <d v="2024-11-30T00:00:00"/>
    <n v="180"/>
    <n v="130"/>
    <n v="700"/>
    <n v="0"/>
    <x v="24"/>
    <s v="Buy"/>
    <n v="0"/>
    <x v="3"/>
    <x v="5"/>
    <n v="2024"/>
    <s v="Sell"/>
    <x v="0"/>
    <s v="Dec EFP 3Freight-TD25Expo0130188"/>
    <x v="0"/>
  </r>
  <r>
    <x v="31"/>
    <d v="2024-10-24T00:00:00"/>
    <s v="Freight-TD7"/>
    <s v="Expo"/>
    <n v="700"/>
    <d v="2024-12-31T00:00:00"/>
    <d v="2024-12-31T00:00:00"/>
    <n v="155"/>
    <n v="128"/>
    <n v="-378"/>
    <n v="108500"/>
    <x v="17"/>
    <s v="Buy"/>
    <n v="89600"/>
    <x v="3"/>
    <x v="5"/>
    <n v="2024"/>
    <s v="Buy"/>
    <x v="0"/>
    <s v="Dec EFP 1Freight-TD7Expo700128189"/>
    <x v="0"/>
  </r>
  <r>
    <x v="22"/>
    <d v="2024-10-24T00:00:00"/>
    <s v="Freight-TD7"/>
    <s v="Expo"/>
    <n v="700"/>
    <d v="2024-12-31T00:00:00"/>
    <d v="2024-12-31T00:00:00"/>
    <n v="155"/>
    <n v="128"/>
    <n v="-378"/>
    <n v="108500"/>
    <x v="17"/>
    <s v="Buy"/>
    <n v="89600"/>
    <x v="3"/>
    <x v="5"/>
    <n v="2024"/>
    <s v="Buy"/>
    <x v="0"/>
    <s v="Dec EFP 2Freight-TD7Expo700128190"/>
    <x v="0"/>
  </r>
  <r>
    <x v="23"/>
    <d v="2024-10-24T00:00:00"/>
    <s v="Freight-TD7"/>
    <s v="Expo"/>
    <n v="700"/>
    <d v="2024-12-31T00:00:00"/>
    <d v="2024-12-31T00:00:00"/>
    <n v="155"/>
    <n v="128"/>
    <n v="-378"/>
    <n v="108500"/>
    <x v="17"/>
    <s v="Buy"/>
    <n v="89600"/>
    <x v="3"/>
    <x v="5"/>
    <n v="2024"/>
    <s v="Buy"/>
    <x v="0"/>
    <s v="Dec EFP 3Freight-TD7Expo700128191"/>
    <x v="0"/>
  </r>
  <r>
    <x v="23"/>
    <d v="2024-10-24T00:00:00"/>
    <s v="Freight-TD7"/>
    <s v="Hedge"/>
    <n v="-2100"/>
    <d v="2024-12-31T00:00:00"/>
    <d v="2024-12-31T00:00:00"/>
    <n v="128"/>
    <n v="128"/>
    <n v="0"/>
    <n v="-268800"/>
    <x v="17"/>
    <s v="Sell"/>
    <n v="-268800"/>
    <x v="3"/>
    <x v="5"/>
    <n v="2024"/>
    <s v="Sell"/>
    <x v="0"/>
    <s v="Dec EFP 3Freight-TD7Hedge-2100128192"/>
    <x v="0"/>
  </r>
  <r>
    <x v="0"/>
    <d v="2024-10-24T00:00:00"/>
    <s v="WTI Sprds"/>
    <s v="Hedge"/>
    <n v="1000"/>
    <d v="2024-12-31T00:00:00"/>
    <d v="2025-01-31T00:00:00"/>
    <n v="0.34999999999999432"/>
    <n v="0.15"/>
    <n v="-199.99999999999432"/>
    <n v="349.99999999999432"/>
    <x v="11"/>
    <s v="Buy"/>
    <n v="150"/>
    <x v="0"/>
    <x v="0"/>
    <n v="2024"/>
    <s v="Buy"/>
    <x v="0"/>
    <s v="UnallocatedWTI SprdsHedge10000.15193"/>
    <x v="0"/>
  </r>
  <r>
    <x v="24"/>
    <d v="2024-10-24T00:00:00"/>
    <s v="WTI Sprds"/>
    <s v="Expo"/>
    <n v="-700"/>
    <d v="2024-12-31T00:00:00"/>
    <d v="2025-01-31T00:00:00"/>
    <n v="0.43"/>
    <n v="0.15"/>
    <n v="196.00000000000003"/>
    <n v="-301"/>
    <x v="11"/>
    <s v="Sell"/>
    <n v="-105"/>
    <x v="0"/>
    <x v="0"/>
    <n v="2024"/>
    <s v="Sell"/>
    <x v="0"/>
    <s v="FOB Shell Nov 13-15WTI SprdsExpo-7000.15194"/>
    <x v="0"/>
  </r>
  <r>
    <x v="0"/>
    <d v="2024-10-24T00:00:00"/>
    <s v="WTI-Brent"/>
    <s v="Hedge"/>
    <n v="1000"/>
    <d v="2025-01-31T00:00:00"/>
    <d v="2025-01-31T00:00:00"/>
    <n v="-4.1899999999999977"/>
    <n v="-4.9400000000000004"/>
    <n v="-750.00000000000261"/>
    <n v="-4189.9999999999982"/>
    <x v="18"/>
    <s v="Buy"/>
    <n v="-4940"/>
    <x v="1"/>
    <x v="3"/>
    <n v="2025"/>
    <s v="Buy"/>
    <x v="0"/>
    <s v="UnallocatedWTI-BrentHedge1000-4.94195"/>
    <x v="0"/>
  </r>
  <r>
    <x v="24"/>
    <d v="2024-10-24T00:00:00"/>
    <s v="WTI-Brent"/>
    <s v="Expo"/>
    <n v="-700"/>
    <d v="2025-01-31T00:00:00"/>
    <d v="2025-01-31T00:00:00"/>
    <n v="-4.28"/>
    <n v="-4.9400000000000004"/>
    <n v="462.00000000000011"/>
    <n v="2996"/>
    <x v="18"/>
    <s v="Sell"/>
    <n v="3458.0000000000005"/>
    <x v="1"/>
    <x v="3"/>
    <n v="2025"/>
    <s v="Sell"/>
    <x v="0"/>
    <s v="FOB Shell Nov 13-15WTI-BrentExpo-700-4.94196"/>
    <x v="0"/>
  </r>
  <r>
    <x v="24"/>
    <d v="2024-10-25T00:00:00"/>
    <s v="WTI Sprds"/>
    <s v="Expo"/>
    <n v="700"/>
    <d v="2024-12-31T00:00:00"/>
    <d v="2025-01-31T00:00:00"/>
    <n v="0.43"/>
    <n v="0.15"/>
    <n v="-196.00000000000003"/>
    <n v="301"/>
    <x v="11"/>
    <s v="Buy"/>
    <n v="105"/>
    <x v="0"/>
    <x v="0"/>
    <n v="2024"/>
    <s v="Buy"/>
    <x v="0"/>
    <s v="FOB Shell Nov 13-15WTI SprdsExpo7000.15197"/>
    <x v="0"/>
  </r>
  <r>
    <x v="0"/>
    <d v="2024-10-29T00:00:00"/>
    <s v="DFL"/>
    <s v="Hedge"/>
    <n v="-200"/>
    <d v="2024-11-30T00:00:00"/>
    <d v="2024-11-30T00:00:00"/>
    <n v="0.46"/>
    <n v="1.04"/>
    <n v="-116.00000000000001"/>
    <n v="-92"/>
    <x v="24"/>
    <s v="Sell"/>
    <n v="-208"/>
    <x v="1"/>
    <x v="1"/>
    <n v="2024"/>
    <s v="Sell"/>
    <x v="0"/>
    <s v="UnallocatedDFLHedge-2001.04198"/>
    <x v="0"/>
  </r>
  <r>
    <x v="31"/>
    <d v="2024-10-29T00:00:00"/>
    <s v="WTI-Brent"/>
    <s v="Hedge"/>
    <n v="700"/>
    <d v="2024-12-31T00:00:00"/>
    <d v="2024-12-31T00:00:00"/>
    <n v="-3.91"/>
    <n v="-3.9"/>
    <n v="7.0000000000001616"/>
    <n v="-2737"/>
    <x v="17"/>
    <s v="Buy"/>
    <n v="-2730"/>
    <x v="1"/>
    <x v="3"/>
    <n v="2024"/>
    <s v="Buy"/>
    <x v="0"/>
    <s v="Dec EFP 1WTI-BrentHedge700-3.9199"/>
    <x v="0"/>
  </r>
  <r>
    <x v="31"/>
    <d v="2024-10-29T00:00:00"/>
    <s v="WTI-Brent"/>
    <s v="Hedge"/>
    <n v="-700"/>
    <d v="2025-01-31T00:00:00"/>
    <d v="2025-01-31T00:00:00"/>
    <n v="-3.92"/>
    <n v="-4.9400000000000004"/>
    <n v="714.00000000000034"/>
    <n v="2744"/>
    <x v="18"/>
    <s v="Sell"/>
    <n v="3458.0000000000005"/>
    <x v="1"/>
    <x v="3"/>
    <n v="2025"/>
    <s v="Sell"/>
    <x v="0"/>
    <s v="Dec EFP 1WTI-BrentHedge-700-4.94200"/>
    <x v="0"/>
  </r>
  <r>
    <x v="22"/>
    <d v="2024-10-29T00:00:00"/>
    <s v="WTI-Brent"/>
    <s v="Hedge"/>
    <n v="700"/>
    <d v="2024-12-31T00:00:00"/>
    <d v="2024-12-31T00:00:00"/>
    <n v="-3.91"/>
    <n v="-3.9"/>
    <n v="7.0000000000001616"/>
    <n v="-2737"/>
    <x v="17"/>
    <s v="Buy"/>
    <n v="-2730"/>
    <x v="1"/>
    <x v="3"/>
    <n v="2024"/>
    <s v="Buy"/>
    <x v="0"/>
    <s v="Dec EFP 2WTI-BrentHedge700-3.9201"/>
    <x v="0"/>
  </r>
  <r>
    <x v="22"/>
    <d v="2024-10-29T00:00:00"/>
    <s v="WTI-Brent"/>
    <s v="Hedge"/>
    <n v="-700"/>
    <d v="2025-01-31T00:00:00"/>
    <d v="2025-01-31T00:00:00"/>
    <n v="-3.92"/>
    <n v="-4.9400000000000004"/>
    <n v="714.00000000000034"/>
    <n v="2744"/>
    <x v="18"/>
    <s v="Sell"/>
    <n v="3458.0000000000005"/>
    <x v="1"/>
    <x v="3"/>
    <n v="2025"/>
    <s v="Sell"/>
    <x v="0"/>
    <s v="Dec EFP 2WTI-BrentHedge-700-4.94202"/>
    <x v="0"/>
  </r>
  <r>
    <x v="23"/>
    <d v="2024-10-29T00:00:00"/>
    <s v="WTI-Brent"/>
    <s v="Hedge"/>
    <n v="700"/>
    <d v="2024-12-31T00:00:00"/>
    <d v="2024-12-31T00:00:00"/>
    <n v="-3.91"/>
    <n v="-3.9"/>
    <n v="7.0000000000001616"/>
    <n v="-2737"/>
    <x v="17"/>
    <s v="Buy"/>
    <n v="-2730"/>
    <x v="1"/>
    <x v="3"/>
    <n v="2024"/>
    <s v="Buy"/>
    <x v="0"/>
    <s v="Dec EFP 3WTI-BrentHedge700-3.9203"/>
    <x v="0"/>
  </r>
  <r>
    <x v="23"/>
    <d v="2024-10-29T00:00:00"/>
    <s v="WTI-Brent"/>
    <s v="Hedge"/>
    <n v="-700"/>
    <d v="2025-01-31T00:00:00"/>
    <d v="2025-01-31T00:00:00"/>
    <n v="-3.92"/>
    <n v="-4.9400000000000004"/>
    <n v="714.00000000000034"/>
    <n v="2744"/>
    <x v="18"/>
    <s v="Sell"/>
    <n v="3458.0000000000005"/>
    <x v="1"/>
    <x v="3"/>
    <n v="2025"/>
    <s v="Sell"/>
    <x v="0"/>
    <s v="Dec EFP 3WTI-BrentHedge-700-4.94204"/>
    <x v="0"/>
  </r>
  <r>
    <x v="0"/>
    <d v="2024-10-29T00:00:00"/>
    <s v="WTI-Brent"/>
    <s v="Hedge"/>
    <n v="507"/>
    <d v="2024-12-31T00:00:00"/>
    <d v="2024-12-31T00:00:00"/>
    <n v="-3.91"/>
    <n v="-3.9"/>
    <n v="5.0700000000001175"/>
    <n v="-1982.3700000000001"/>
    <x v="17"/>
    <s v="Buy"/>
    <n v="-1977.3"/>
    <x v="1"/>
    <x v="3"/>
    <n v="2024"/>
    <s v="Buy"/>
    <x v="0"/>
    <s v="UnallocatedWTI-BrentHedge507-3.9205"/>
    <x v="0"/>
  </r>
  <r>
    <x v="0"/>
    <d v="2024-10-30T00:00:00"/>
    <s v="Brent Sprds"/>
    <s v="Expo"/>
    <n v="2807"/>
    <d v="2024-12-31T00:00:00"/>
    <d v="2025-01-31T00:00:00"/>
    <n v="0.39"/>
    <n v="0.35"/>
    <n v="-112.2800000000001"/>
    <n v="1094.73"/>
    <x v="11"/>
    <s v="Buy"/>
    <n v="982.44999999999993"/>
    <x v="0"/>
    <x v="2"/>
    <n v="2024"/>
    <s v="Buy"/>
    <x v="0"/>
    <s v="UnallocatedBrent SprdsExpo28070.35206"/>
    <x v="0"/>
  </r>
  <r>
    <x v="0"/>
    <d v="2024-10-31T00:00:00"/>
    <s v="DFL"/>
    <s v="Hedge"/>
    <n v="-400"/>
    <d v="2024-11-30T00:00:00"/>
    <d v="2024-11-30T00:00:00"/>
    <n v="0.4"/>
    <n v="1.04"/>
    <n v="-256"/>
    <n v="-160"/>
    <x v="24"/>
    <s v="Sell"/>
    <n v="-416"/>
    <x v="1"/>
    <x v="1"/>
    <n v="2024"/>
    <s v="Sell"/>
    <x v="0"/>
    <s v="UnallocatedDFLHedge-4001.04207"/>
    <x v="0"/>
  </r>
  <r>
    <x v="0"/>
    <d v="2024-11-06T00:00:00"/>
    <s v="DFL"/>
    <s v="Hedge"/>
    <n v="-350"/>
    <d v="2024-12-31T00:00:00"/>
    <d v="2024-12-31T00:00:00"/>
    <n v="0.27"/>
    <n v="0.82"/>
    <n v="-192.49999999999997"/>
    <n v="-94.5"/>
    <x v="17"/>
    <s v="Sell"/>
    <n v="-287"/>
    <x v="1"/>
    <x v="1"/>
    <n v="2024"/>
    <s v="Sell"/>
    <x v="0"/>
    <s v="UnallocatedDFLHedge-3500.82208"/>
    <x v="0"/>
  </r>
  <r>
    <x v="7"/>
    <d v="2024-11-07T00:00:00"/>
    <s v="Freight-TD22"/>
    <s v="Expo"/>
    <n v="0"/>
    <d v="2024-11-30T00:00:00"/>
    <d v="2024-11-30T00:00:00"/>
    <n v="7500"/>
    <n v="7350"/>
    <n v="150"/>
    <n v="0"/>
    <x v="24"/>
    <s v="Buy"/>
    <n v="0"/>
    <x v="3"/>
    <x v="5"/>
    <n v="2024"/>
    <s v="Sell"/>
    <x v="0"/>
    <s v="EXTAP Feb 15-25Freight-TD22Expo07350209"/>
    <x v="0"/>
  </r>
  <r>
    <x v="7"/>
    <d v="2024-11-07T00:00:00"/>
    <s v="Physical"/>
    <s v="Expo"/>
    <n v="2076"/>
    <d v="2024-11-30T00:00:00"/>
    <d v="2024-11-30T00:00:00"/>
    <n v="2.5099999999999998"/>
    <n v="2.71"/>
    <n v="415.20000000000039"/>
    <n v="5210.7599999999993"/>
    <x v="24"/>
    <s v="Buy"/>
    <n v="5625.96"/>
    <x v="2"/>
    <x v="4"/>
    <n v="2024"/>
    <s v="Buy"/>
    <x v="1"/>
    <s v="EXTAP Feb 15-25PhysicalExpo20762.71210"/>
    <x v="0"/>
  </r>
  <r>
    <x v="7"/>
    <d v="2024-11-07T00:00:00"/>
    <s v="WTI Sprds"/>
    <s v="Expo"/>
    <n v="-2076"/>
    <d v="2024-12-31T00:00:00"/>
    <d v="2025-01-31T00:00:00"/>
    <n v="0.40000000000000568"/>
    <n v="0.15"/>
    <n v="519.00000000001171"/>
    <n v="-830.4000000000118"/>
    <x v="11"/>
    <s v="Sell"/>
    <n v="-311.39999999999998"/>
    <x v="0"/>
    <x v="0"/>
    <n v="2024"/>
    <s v="Sell"/>
    <x v="0"/>
    <s v="EXTAP Feb 15-25WTI SprdsExpo-20760.15211"/>
    <x v="0"/>
  </r>
  <r>
    <x v="7"/>
    <d v="2024-11-07T00:00:00"/>
    <s v="WTI Sprds"/>
    <s v="Expo"/>
    <n v="-2076"/>
    <d v="2025-01-31T00:00:00"/>
    <d v="2025-02-28T00:00:00"/>
    <n v="0.39000000000000057"/>
    <n v="0.56000000000000005"/>
    <n v="-352.91999999999894"/>
    <n v="-809.64000000000124"/>
    <x v="12"/>
    <s v="Sell"/>
    <n v="-1162.5600000000002"/>
    <x v="0"/>
    <x v="0"/>
    <n v="2025"/>
    <s v="Sell"/>
    <x v="0"/>
    <s v="EXTAP Feb 15-25WTI SprdsExpo-20760.56212"/>
    <x v="0"/>
  </r>
  <r>
    <x v="7"/>
    <d v="2024-11-07T00:00:00"/>
    <s v="WTI-Brent"/>
    <s v="Expo"/>
    <n v="-2076"/>
    <d v="2025-02-28T00:00:00"/>
    <d v="2025-02-28T00:00:00"/>
    <n v="-3.6900000000000119"/>
    <n v="-3.4"/>
    <n v="-602.04000000002497"/>
    <n v="7660.4400000000251"/>
    <x v="19"/>
    <s v="Sell"/>
    <n v="7058.4"/>
    <x v="1"/>
    <x v="3"/>
    <n v="2025"/>
    <s v="Sell"/>
    <x v="0"/>
    <s v="EXTAP Feb 15-25WTI-BrentExpo-2076-3.4213"/>
    <x v="0"/>
  </r>
  <r>
    <x v="7"/>
    <d v="2024-11-07T00:00:00"/>
    <s v="Brent Sprds"/>
    <s v="Expo"/>
    <n v="-2076"/>
    <d v="2025-02-28T00:00:00"/>
    <d v="2025-03-31T00:00:00"/>
    <n v="0.26"/>
    <n v="0.4"/>
    <n v="-290.64000000000004"/>
    <n v="-539.76"/>
    <x v="13"/>
    <s v="Sell"/>
    <n v="-830.40000000000009"/>
    <x v="0"/>
    <x v="2"/>
    <n v="2025"/>
    <s v="Sell"/>
    <x v="0"/>
    <s v="EXTAP Feb 15-25Brent SprdsExpo-20760.4214"/>
    <x v="0"/>
  </r>
  <r>
    <x v="7"/>
    <d v="2024-11-07T00:00:00"/>
    <s v="Brent Sprds"/>
    <s v="Expo"/>
    <n v="-2076"/>
    <d v="2025-03-31T00:00:00"/>
    <d v="2025-04-30T00:00:00"/>
    <n v="0.2"/>
    <n v="1.0900000000000001"/>
    <n v="-1847.6400000000003"/>
    <n v="-415.20000000000005"/>
    <x v="14"/>
    <s v="Sell"/>
    <n v="-2262.84"/>
    <x v="0"/>
    <x v="2"/>
    <n v="2025"/>
    <s v="Sell"/>
    <x v="0"/>
    <s v="EXTAP Feb 15-25Brent SprdsExpo-20761.09215"/>
    <x v="0"/>
  </r>
  <r>
    <x v="7"/>
    <d v="2024-11-07T00:00:00"/>
    <s v="DFL"/>
    <s v="Expo"/>
    <n v="2076"/>
    <d v="2025-02-28T00:00:00"/>
    <d v="2025-02-28T00:00:00"/>
    <n v="0"/>
    <n v="0.22"/>
    <n v="456.72"/>
    <n v="0"/>
    <x v="19"/>
    <s v="Buy"/>
    <n v="456.72"/>
    <x v="1"/>
    <x v="1"/>
    <n v="2025"/>
    <s v="Buy"/>
    <x v="0"/>
    <s v="EXTAP Feb 15-25DFLExpo20760.22216"/>
    <x v="0"/>
  </r>
  <r>
    <x v="7"/>
    <d v="2024-11-07T00:00:00"/>
    <s v="WTI Sprds"/>
    <s v="Hedge"/>
    <n v="2100"/>
    <d v="2024-12-31T00:00:00"/>
    <d v="2025-01-31T00:00:00"/>
    <n v="0.40000000000000568"/>
    <n v="0.15"/>
    <n v="-525.00000000001194"/>
    <n v="840.00000000001194"/>
    <x v="11"/>
    <s v="Buy"/>
    <n v="315"/>
    <x v="0"/>
    <x v="0"/>
    <n v="2024"/>
    <s v="Buy"/>
    <x v="0"/>
    <s v="EXTAP Feb 15-25WTI SprdsHedge21000.15217"/>
    <x v="0"/>
  </r>
  <r>
    <x v="7"/>
    <d v="2024-11-07T00:00:00"/>
    <s v="WTI Sprds"/>
    <s v="Hedge"/>
    <n v="2100"/>
    <d v="2025-01-31T00:00:00"/>
    <d v="2025-02-28T00:00:00"/>
    <n v="0.39000000000000057"/>
    <n v="0.56000000000000005"/>
    <n v="356.99999999999892"/>
    <n v="819.00000000000114"/>
    <x v="12"/>
    <s v="Buy"/>
    <n v="1176"/>
    <x v="0"/>
    <x v="0"/>
    <n v="2025"/>
    <s v="Buy"/>
    <x v="0"/>
    <s v="EXTAP Feb 15-25WTI SprdsHedge21000.56218"/>
    <x v="0"/>
  </r>
  <r>
    <x v="7"/>
    <d v="2024-11-07T00:00:00"/>
    <s v="WTI-Brent"/>
    <s v="Hedge"/>
    <n v="2100"/>
    <d v="2025-02-28T00:00:00"/>
    <d v="2025-02-28T00:00:00"/>
    <n v="-3.6900000000000119"/>
    <n v="-3.4"/>
    <n v="609.00000000002524"/>
    <n v="-7749.0000000000255"/>
    <x v="19"/>
    <s v="Buy"/>
    <n v="-7140"/>
    <x v="1"/>
    <x v="3"/>
    <n v="2025"/>
    <s v="Buy"/>
    <x v="0"/>
    <s v="EXTAP Feb 15-25WTI-BrentHedge2100-3.4219"/>
    <x v="0"/>
  </r>
  <r>
    <x v="7"/>
    <d v="2024-11-07T00:00:00"/>
    <s v="Brent Sprds"/>
    <s v="Hedge"/>
    <n v="2123"/>
    <d v="2025-02-28T00:00:00"/>
    <d v="2025-03-31T00:00:00"/>
    <n v="0.3"/>
    <n v="0.4"/>
    <n v="212.30000000000007"/>
    <n v="636.9"/>
    <x v="13"/>
    <s v="Buy"/>
    <n v="849.2"/>
    <x v="0"/>
    <x v="2"/>
    <n v="2025"/>
    <s v="Buy"/>
    <x v="0"/>
    <s v="EXTAP Feb 15-25Brent SprdsHedge21230.4220"/>
    <x v="0"/>
  </r>
  <r>
    <x v="9"/>
    <d v="2024-11-08T00:00:00"/>
    <s v="Freight-TD22"/>
    <s v="Expo"/>
    <n v="0"/>
    <d v="2024-11-30T00:00:00"/>
    <d v="2024-11-30T00:00:00"/>
    <n v="7500"/>
    <n v="7100"/>
    <n v="400"/>
    <n v="0"/>
    <x v="24"/>
    <s v="Buy"/>
    <n v="0"/>
    <x v="3"/>
    <x v="5"/>
    <n v="2024"/>
    <s v="Sell"/>
    <x v="0"/>
    <s v="HDO Feb 5-15Freight-TD22Expo07100221"/>
    <x v="0"/>
  </r>
  <r>
    <x v="9"/>
    <d v="2024-11-08T00:00:00"/>
    <s v="Physical"/>
    <s v="Expo"/>
    <n v="2147"/>
    <d v="2024-11-30T00:00:00"/>
    <d v="2024-11-30T00:00:00"/>
    <n v="4.0100000000000007"/>
    <n v="4.5999999999999996"/>
    <n v="1266.7299999999977"/>
    <n v="8609.4700000000012"/>
    <x v="24"/>
    <s v="Buy"/>
    <n v="9876.1999999999989"/>
    <x v="2"/>
    <x v="4"/>
    <n v="2024"/>
    <s v="Buy"/>
    <x v="1"/>
    <s v="HDO Feb 5-15PhysicalExpo21474.6222"/>
    <x v="0"/>
  </r>
  <r>
    <x v="9"/>
    <d v="2024-11-08T00:00:00"/>
    <s v="WTI Sprds"/>
    <s v="Expo"/>
    <n v="-2147"/>
    <d v="2024-12-31T00:00:00"/>
    <d v="2025-01-31T00:00:00"/>
    <n v="0.26999999999999602"/>
    <n v="0.15"/>
    <n v="257.63999999999146"/>
    <n v="-579.68999999999141"/>
    <x v="11"/>
    <s v="Sell"/>
    <n v="-322.05"/>
    <x v="0"/>
    <x v="0"/>
    <n v="2024"/>
    <s v="Sell"/>
    <x v="0"/>
    <s v="HDO Feb 5-15WTI SprdsExpo-21470.15223"/>
    <x v="0"/>
  </r>
  <r>
    <x v="9"/>
    <d v="2024-11-08T00:00:00"/>
    <s v="WTI Sprds"/>
    <s v="Expo"/>
    <n v="-2147"/>
    <d v="2025-01-31T00:00:00"/>
    <d v="2025-02-28T00:00:00"/>
    <n v="0.26000000000000512"/>
    <n v="0.56000000000000005"/>
    <n v="-644.09999999998911"/>
    <n v="-558.22000000001094"/>
    <x v="12"/>
    <s v="Sell"/>
    <n v="-1202.3200000000002"/>
    <x v="0"/>
    <x v="0"/>
    <n v="2025"/>
    <s v="Sell"/>
    <x v="0"/>
    <s v="HDO Feb 5-15WTI SprdsExpo-21470.56224"/>
    <x v="0"/>
  </r>
  <r>
    <x v="9"/>
    <d v="2024-11-08T00:00:00"/>
    <s v="WTI-Brent"/>
    <s v="Expo"/>
    <n v="-2147"/>
    <d v="2025-02-28T00:00:00"/>
    <d v="2025-02-28T00:00:00"/>
    <n v="-3.7600000000000051"/>
    <n v="-3.4"/>
    <n v="-772.92000000001121"/>
    <n v="8072.7200000000112"/>
    <x v="19"/>
    <s v="Sell"/>
    <n v="7299.8"/>
    <x v="1"/>
    <x v="3"/>
    <n v="2025"/>
    <s v="Sell"/>
    <x v="0"/>
    <s v="HDO Feb 5-15WTI-BrentExpo-2147-3.4225"/>
    <x v="0"/>
  </r>
  <r>
    <x v="9"/>
    <d v="2024-11-08T00:00:00"/>
    <s v="Brent Sprds"/>
    <s v="Expo"/>
    <n v="-2147"/>
    <d v="2025-02-28T00:00:00"/>
    <d v="2025-03-31T00:00:00"/>
    <n v="0.26"/>
    <n v="0.4"/>
    <n v="-300.58000000000004"/>
    <n v="-558.22"/>
    <x v="13"/>
    <s v="Sell"/>
    <n v="-858.80000000000007"/>
    <x v="0"/>
    <x v="2"/>
    <n v="2025"/>
    <s v="Sell"/>
    <x v="0"/>
    <s v="HDO Feb 5-15Brent SprdsExpo-21470.4226"/>
    <x v="0"/>
  </r>
  <r>
    <x v="0"/>
    <d v="2024-11-07T00:00:00"/>
    <s v="Brent Sprds"/>
    <s v="Hedge"/>
    <n v="2000"/>
    <d v="2025-01-31T00:00:00"/>
    <d v="2025-02-28T00:00:00"/>
    <n v="0.37"/>
    <n v="1.1000000000000001"/>
    <n v="1460.0000000000002"/>
    <n v="740"/>
    <x v="12"/>
    <s v="Buy"/>
    <n v="2200"/>
    <x v="0"/>
    <x v="2"/>
    <n v="2025"/>
    <s v="Buy"/>
    <x v="0"/>
    <s v="UnallocatedBrent SprdsHedge20001.1227"/>
    <x v="0"/>
  </r>
  <r>
    <x v="9"/>
    <d v="2024-11-08T00:00:00"/>
    <s v="WTI Sprds"/>
    <s v="Hedge"/>
    <n v="2123"/>
    <d v="2024-12-31T00:00:00"/>
    <d v="2025-01-31T00:00:00"/>
    <n v="0.15"/>
    <n v="0.15"/>
    <n v="0"/>
    <n v="318.45"/>
    <x v="11"/>
    <s v="Buy"/>
    <n v="318.45"/>
    <x v="0"/>
    <x v="0"/>
    <n v="2024"/>
    <s v="Buy"/>
    <x v="0"/>
    <s v="HDO Feb 5-15WTI SprdsHedge21230.15228"/>
    <x v="0"/>
  </r>
  <r>
    <x v="9"/>
    <d v="2024-11-08T00:00:00"/>
    <s v="WTI Sprds"/>
    <s v="Hedge"/>
    <n v="2100"/>
    <d v="2025-01-31T00:00:00"/>
    <d v="2025-02-28T00:00:00"/>
    <n v="0.2"/>
    <n v="0.56000000000000005"/>
    <n v="756.00000000000011"/>
    <n v="420"/>
    <x v="12"/>
    <s v="Buy"/>
    <n v="1176"/>
    <x v="0"/>
    <x v="0"/>
    <n v="2025"/>
    <s v="Buy"/>
    <x v="0"/>
    <s v="HDO Feb 5-15WTI SprdsHedge21000.56229"/>
    <x v="0"/>
  </r>
  <r>
    <x v="9"/>
    <d v="2024-11-08T00:00:00"/>
    <s v="WTI-Brent"/>
    <s v="Hedge"/>
    <n v="2100"/>
    <d v="2025-02-28T00:00:00"/>
    <d v="2025-02-28T00:00:00"/>
    <n v="-3.88"/>
    <n v="-3.4"/>
    <n v="1008"/>
    <n v="-8148"/>
    <x v="19"/>
    <s v="Buy"/>
    <n v="-7140"/>
    <x v="1"/>
    <x v="3"/>
    <n v="2025"/>
    <s v="Buy"/>
    <x v="0"/>
    <s v="HDO Feb 5-15WTI-BrentHedge2100-3.4230"/>
    <x v="0"/>
  </r>
  <r>
    <x v="0"/>
    <d v="2024-11-13T00:00:00"/>
    <s v="WTI Sprds"/>
    <s v="Expo"/>
    <n v="500"/>
    <d v="2024-12-31T00:00:00"/>
    <d v="2025-01-31T00:00:00"/>
    <n v="0.15"/>
    <n v="0.15"/>
    <n v="0"/>
    <n v="75"/>
    <x v="11"/>
    <s v="Buy"/>
    <n v="75"/>
    <x v="0"/>
    <x v="0"/>
    <n v="2024"/>
    <s v="Buy"/>
    <x v="0"/>
    <s v="UnallocatedWTI SprdsExpo5000.15231"/>
    <x v="0"/>
  </r>
  <r>
    <x v="0"/>
    <d v="2024-11-13T00:00:00"/>
    <s v="Brent Sprds"/>
    <s v="Hedge"/>
    <n v="1300"/>
    <d v="2025-01-31T00:00:00"/>
    <d v="2025-02-28T00:00:00"/>
    <n v="0.32"/>
    <n v="1.1000000000000001"/>
    <n v="1014"/>
    <n v="416"/>
    <x v="12"/>
    <s v="Buy"/>
    <n v="1430.0000000000002"/>
    <x v="0"/>
    <x v="2"/>
    <n v="2025"/>
    <s v="Buy"/>
    <x v="0"/>
    <s v="UnallocatedBrent SprdsHedge13001.1232"/>
    <x v="0"/>
  </r>
  <r>
    <x v="0"/>
    <d v="2024-11-13T00:00:00"/>
    <s v="Brent Sprds"/>
    <s v="Hedge"/>
    <n v="500"/>
    <d v="2025-01-31T00:00:00"/>
    <d v="2025-02-28T00:00:00"/>
    <n v="0.32"/>
    <n v="1.1000000000000001"/>
    <n v="390"/>
    <n v="160"/>
    <x v="12"/>
    <s v="Buy"/>
    <n v="550"/>
    <x v="0"/>
    <x v="2"/>
    <n v="2025"/>
    <s v="Buy"/>
    <x v="0"/>
    <s v="UnallocatedBrent SprdsHedge5001.1233"/>
    <x v="0"/>
  </r>
  <r>
    <x v="0"/>
    <d v="2024-11-13T00:00:00"/>
    <s v="Brent Sprds"/>
    <s v="Hedge"/>
    <n v="500"/>
    <d v="2025-02-28T00:00:00"/>
    <d v="2025-03-31T00:00:00"/>
    <n v="0.24999999999999994"/>
    <n v="0.4"/>
    <n v="75.000000000000043"/>
    <n v="124.99999999999997"/>
    <x v="13"/>
    <s v="Buy"/>
    <n v="200"/>
    <x v="0"/>
    <x v="2"/>
    <n v="2025"/>
    <s v="Buy"/>
    <x v="0"/>
    <s v="UnallocatedBrent SprdsHedge5000.4234"/>
    <x v="0"/>
  </r>
  <r>
    <x v="8"/>
    <d v="2024-11-14T00:00:00"/>
    <s v="WTI Sprds"/>
    <s v="Expo"/>
    <n v="-700"/>
    <d v="2024-12-31T00:00:00"/>
    <d v="2025-01-31T00:00:00"/>
    <n v="0.15"/>
    <n v="0.15"/>
    <n v="0"/>
    <n v="-105"/>
    <x v="11"/>
    <s v="Sell"/>
    <n v="-105"/>
    <x v="0"/>
    <x v="0"/>
    <n v="2024"/>
    <s v="Sell"/>
    <x v="0"/>
    <s v="Gunvor FOB Dec 6-7WTI SprdsExpo-7000.15235"/>
    <x v="0"/>
  </r>
  <r>
    <x v="8"/>
    <d v="2024-11-14T00:00:00"/>
    <s v="WTI Sprds"/>
    <s v="Expo"/>
    <n v="-700"/>
    <d v="2025-01-31T00:00:00"/>
    <d v="2025-02-28T00:00:00"/>
    <n v="0.26"/>
    <n v="0.56000000000000005"/>
    <n v="-210.00000000000003"/>
    <n v="-182"/>
    <x v="12"/>
    <s v="Sell"/>
    <n v="-392.00000000000006"/>
    <x v="0"/>
    <x v="0"/>
    <n v="2025"/>
    <s v="Sell"/>
    <x v="0"/>
    <s v="Gunvor FOB Dec 6-7WTI SprdsExpo-7000.56236"/>
    <x v="0"/>
  </r>
  <r>
    <x v="8"/>
    <d v="2024-11-14T00:00:00"/>
    <s v="WTI-Brent"/>
    <s v="Expo"/>
    <n v="-700"/>
    <d v="2025-02-28T00:00:00"/>
    <d v="2025-02-28T00:00:00"/>
    <n v="-3.98"/>
    <n v="-3.4"/>
    <n v="-406.00000000000006"/>
    <n v="2786"/>
    <x v="19"/>
    <s v="Sell"/>
    <n v="2380"/>
    <x v="1"/>
    <x v="3"/>
    <n v="2025"/>
    <s v="Sell"/>
    <x v="0"/>
    <s v="Gunvor FOB Dec 6-7WTI-BrentExpo-700-3.4237"/>
    <x v="0"/>
  </r>
  <r>
    <x v="31"/>
    <d v="2024-11-15T00:00:00"/>
    <s v="WTI-Brent"/>
    <s v="Hedge"/>
    <n v="700"/>
    <d v="2025-01-31T00:00:00"/>
    <d v="2025-01-31T00:00:00"/>
    <n v="-4.12"/>
    <n v="-4.9400000000000004"/>
    <n v="-574.00000000000023"/>
    <n v="-2884"/>
    <x v="18"/>
    <s v="Buy"/>
    <n v="-3458.0000000000005"/>
    <x v="1"/>
    <x v="3"/>
    <n v="2025"/>
    <s v="Buy"/>
    <x v="0"/>
    <s v="Dec EFP 1WTI-BrentHedge700-4.94238"/>
    <x v="0"/>
  </r>
  <r>
    <x v="7"/>
    <d v="2024-11-15T00:00:00"/>
    <s v="Brent Sprds"/>
    <s v="Expo"/>
    <n v="2000"/>
    <d v="2025-02-28T00:00:00"/>
    <d v="2025-03-31T00:00:00"/>
    <n v="0.21"/>
    <n v="0.4"/>
    <n v="380.00000000000006"/>
    <n v="420"/>
    <x v="13"/>
    <s v="Buy"/>
    <n v="800"/>
    <x v="0"/>
    <x v="2"/>
    <n v="2025"/>
    <s v="Buy"/>
    <x v="0"/>
    <s v="EXTAP Feb 15-25Brent SprdsExpo20000.4239"/>
    <x v="0"/>
  </r>
  <r>
    <x v="8"/>
    <d v="2024-11-14T00:00:00"/>
    <s v="WTI Sprds"/>
    <s v="Expo"/>
    <n v="632"/>
    <d v="2024-12-31T00:00:00"/>
    <d v="2025-01-31T00:00:00"/>
    <n v="0.1"/>
    <n v="0.15"/>
    <n v="31.599999999999994"/>
    <n v="63.2"/>
    <x v="11"/>
    <s v="Buy"/>
    <n v="94.8"/>
    <x v="0"/>
    <x v="0"/>
    <n v="2024"/>
    <s v="Buy"/>
    <x v="0"/>
    <s v="Gunvor FOB Dec 6-7WTI SprdsExpo6320.15240"/>
    <x v="0"/>
  </r>
  <r>
    <x v="8"/>
    <d v="2024-11-14T00:00:00"/>
    <s v="WTI Sprds"/>
    <s v="Expo"/>
    <n v="700"/>
    <d v="2025-01-31T00:00:00"/>
    <d v="2025-02-28T00:00:00"/>
    <n v="0.2"/>
    <n v="0.56000000000000005"/>
    <n v="252.00000000000003"/>
    <n v="140"/>
    <x v="12"/>
    <s v="Buy"/>
    <n v="392.00000000000006"/>
    <x v="0"/>
    <x v="0"/>
    <n v="2025"/>
    <s v="Buy"/>
    <x v="0"/>
    <s v="Gunvor FOB Dec 6-7WTI SprdsExpo7000.56241"/>
    <x v="0"/>
  </r>
  <r>
    <x v="32"/>
    <d v="2024-11-18T00:00:00"/>
    <s v="WTI Sprds"/>
    <s v="Expo"/>
    <n v="-700"/>
    <d v="2024-12-31T00:00:00"/>
    <d v="2025-01-31T00:00:00"/>
    <n v="0.03"/>
    <n v="0.15"/>
    <n v="-84"/>
    <n v="-21"/>
    <x v="11"/>
    <s v="Sell"/>
    <n v="-105"/>
    <x v="0"/>
    <x v="0"/>
    <n v="2024"/>
    <s v="Sell"/>
    <x v="0"/>
    <s v="Equinor FOB Dec 7-8WTI SprdsExpo-7000.15242"/>
    <x v="0"/>
  </r>
  <r>
    <x v="32"/>
    <d v="2024-11-18T00:00:00"/>
    <s v="WTI Sprds"/>
    <s v="Expo"/>
    <n v="-700"/>
    <d v="2025-01-31T00:00:00"/>
    <d v="2025-02-28T00:00:00"/>
    <n v="0.17"/>
    <n v="0.56000000000000005"/>
    <n v="-273"/>
    <n v="-119.00000000000001"/>
    <x v="12"/>
    <s v="Sell"/>
    <n v="-392.00000000000006"/>
    <x v="0"/>
    <x v="0"/>
    <n v="2025"/>
    <s v="Sell"/>
    <x v="0"/>
    <s v="Equinor FOB Dec 7-8WTI SprdsExpo-7000.56243"/>
    <x v="0"/>
  </r>
  <r>
    <x v="32"/>
    <d v="2024-11-18T00:00:00"/>
    <s v="WTI-Brent"/>
    <s v="Expo"/>
    <n v="-700"/>
    <d v="2025-02-28T00:00:00"/>
    <d v="2025-02-28T00:00:00"/>
    <n v="-4.05"/>
    <n v="-3.4"/>
    <n v="-454.99999999999994"/>
    <n v="2835"/>
    <x v="19"/>
    <s v="Sell"/>
    <n v="2380"/>
    <x v="1"/>
    <x v="3"/>
    <n v="2025"/>
    <s v="Sell"/>
    <x v="0"/>
    <s v="Equinor FOB Dec 7-8WTI-BrentExpo-700-3.4244"/>
    <x v="0"/>
  </r>
  <r>
    <x v="32"/>
    <d v="2024-11-18T00:00:00"/>
    <s v="Physical"/>
    <s v="Expo"/>
    <n v="700"/>
    <d v="2024-12-31T00:00:00"/>
    <d v="2024-12-31T00:00:00"/>
    <n v="1"/>
    <n v="1.1000000000000001"/>
    <n v="70.000000000000057"/>
    <n v="700"/>
    <x v="17"/>
    <s v="Buy"/>
    <n v="770.00000000000011"/>
    <x v="2"/>
    <x v="4"/>
    <n v="2024"/>
    <s v="Buy"/>
    <x v="1"/>
    <s v="Equinor FOB Dec 7-8PhysicalExpo7001.1245"/>
    <x v="0"/>
  </r>
  <r>
    <x v="22"/>
    <d v="2024-11-18T00:00:00"/>
    <s v="WTI-Brent"/>
    <s v="Hedge"/>
    <n v="200"/>
    <d v="2025-01-31T00:00:00"/>
    <d v="2025-01-31T00:00:00"/>
    <n v="-4.1500000000000004"/>
    <n v="-4.9400000000000004"/>
    <n v="-158"/>
    <n v="-830.00000000000011"/>
    <x v="18"/>
    <s v="Buy"/>
    <n v="-988.00000000000011"/>
    <x v="1"/>
    <x v="3"/>
    <n v="2025"/>
    <s v="Buy"/>
    <x v="0"/>
    <s v="Dec EFP 2WTI-BrentHedge200-4.94246"/>
    <x v="0"/>
  </r>
  <r>
    <x v="22"/>
    <d v="2024-11-18T00:00:00"/>
    <s v="WTI-Brent"/>
    <s v="Hedge"/>
    <n v="200"/>
    <d v="2025-01-31T00:00:00"/>
    <d v="2025-01-31T00:00:00"/>
    <n v="-4.16"/>
    <n v="-4.9400000000000004"/>
    <n v="-156.00000000000006"/>
    <n v="-832"/>
    <x v="18"/>
    <s v="Buy"/>
    <n v="-988.00000000000011"/>
    <x v="1"/>
    <x v="3"/>
    <n v="2025"/>
    <s v="Buy"/>
    <x v="0"/>
    <s v="Dec EFP 2WTI-BrentHedge200-4.94247"/>
    <x v="0"/>
  </r>
  <r>
    <x v="32"/>
    <d v="2024-11-18T00:00:00"/>
    <s v="WTI Sprds"/>
    <s v="Hedge"/>
    <n v="700"/>
    <d v="2024-12-31T00:00:00"/>
    <d v="2025-01-31T00:00:00"/>
    <n v="-1.0000000000005116E-2"/>
    <n v="0.15"/>
    <n v="112.00000000000358"/>
    <n v="-7.0000000000035811"/>
    <x v="11"/>
    <s v="Buy"/>
    <n v="105"/>
    <x v="0"/>
    <x v="0"/>
    <n v="2024"/>
    <s v="Buy"/>
    <x v="0"/>
    <s v="Equinor FOB Dec 7-8WTI SprdsHedge7000.15248"/>
    <x v="0"/>
  </r>
  <r>
    <x v="32"/>
    <d v="2024-11-18T00:00:00"/>
    <s v="WTI Sprds"/>
    <s v="Hedge"/>
    <n v="700"/>
    <d v="2025-01-31T00:00:00"/>
    <d v="2025-02-28T00:00:00"/>
    <n v="0.18000000000000682"/>
    <n v="0.56000000000000005"/>
    <n v="265.99999999999528"/>
    <n v="126.00000000000477"/>
    <x v="12"/>
    <s v="Buy"/>
    <n v="392.00000000000006"/>
    <x v="0"/>
    <x v="0"/>
    <n v="2025"/>
    <s v="Buy"/>
    <x v="0"/>
    <s v="Equinor FOB Dec 7-8WTI SprdsHedge7000.56249"/>
    <x v="0"/>
  </r>
  <r>
    <x v="32"/>
    <d v="2024-11-18T00:00:00"/>
    <s v="WTI-Brent"/>
    <s v="Hedge"/>
    <n v="700"/>
    <d v="2025-02-28T00:00:00"/>
    <d v="2025-02-28T00:00:00"/>
    <n v="-4.0200000000000102"/>
    <n v="-3.4"/>
    <n v="434.00000000000722"/>
    <n v="-2814.0000000000073"/>
    <x v="19"/>
    <s v="Buy"/>
    <n v="-2380"/>
    <x v="1"/>
    <x v="3"/>
    <n v="2025"/>
    <s v="Buy"/>
    <x v="0"/>
    <s v="Equinor FOB Dec 7-8WTI-BrentHedge700-3.4250"/>
    <x v="0"/>
  </r>
  <r>
    <x v="10"/>
    <d v="2024-11-21T00:00:00"/>
    <s v="WTI Sprds"/>
    <s v="Hedge"/>
    <n v="500"/>
    <d v="2025-01-31T00:00:00"/>
    <d v="2025-02-28T00:00:00"/>
    <n v="0.3"/>
    <n v="0.56000000000000005"/>
    <n v="130.00000000000003"/>
    <n v="150"/>
    <x v="12"/>
    <s v="Buy"/>
    <n v="280"/>
    <x v="0"/>
    <x v="0"/>
    <n v="2025"/>
    <s v="Buy"/>
    <x v="0"/>
    <s v="CPC TAIWAN FEB 20-24WTI SprdsHedge5000.56251"/>
    <x v="0"/>
  </r>
  <r>
    <x v="10"/>
    <d v="2024-11-21T00:00:00"/>
    <s v="Freight-TD22"/>
    <s v="Expo"/>
    <n v="0"/>
    <d v="2024-11-30T00:00:00"/>
    <d v="2024-11-30T00:00:00"/>
    <n v="7450"/>
    <n v="7400"/>
    <n v="0"/>
    <n v="0"/>
    <x v="24"/>
    <s v="Buy"/>
    <n v="0"/>
    <x v="3"/>
    <x v="5"/>
    <n v="2024"/>
    <s v="Sell"/>
    <x v="0"/>
    <s v="CPC TAIWAN FEB 20-24Freight-TD22Expo07400252"/>
    <x v="0"/>
  </r>
  <r>
    <x v="10"/>
    <d v="2024-11-21T00:00:00"/>
    <s v="Physical"/>
    <s v="Expo"/>
    <n v="2000"/>
    <d v="2024-11-30T00:00:00"/>
    <d v="2024-11-30T00:00:00"/>
    <n v="2.15"/>
    <n v="2.1"/>
    <n v="-99.999999999999645"/>
    <n v="4300"/>
    <x v="24"/>
    <s v="Buy"/>
    <n v="4200"/>
    <x v="2"/>
    <x v="4"/>
    <n v="2024"/>
    <s v="Buy"/>
    <x v="1"/>
    <s v="CPC TAIWAN FEB 20-24PhysicalExpo20002.1253"/>
    <x v="0"/>
  </r>
  <r>
    <x v="10"/>
    <d v="2024-11-21T00:00:00"/>
    <s v="WTI Sprds"/>
    <s v="Expo"/>
    <n v="-2000"/>
    <d v="2025-01-31T00:00:00"/>
    <d v="2025-02-28T00:00:00"/>
    <n v="0.28999999999999998"/>
    <n v="0.56000000000000005"/>
    <n v="-540.00000000000011"/>
    <n v="-580"/>
    <x v="12"/>
    <s v="Sell"/>
    <n v="-1120"/>
    <x v="0"/>
    <x v="0"/>
    <n v="2025"/>
    <s v="Sell"/>
    <x v="0"/>
    <s v="CPC TAIWAN FEB 20-24WTI SprdsExpo-20000.56254"/>
    <x v="0"/>
  </r>
  <r>
    <x v="10"/>
    <d v="2024-11-21T00:00:00"/>
    <s v="WTI-Brent"/>
    <s v="Expo"/>
    <n v="-2000"/>
    <d v="2025-02-28T00:00:00"/>
    <d v="2025-02-28T00:00:00"/>
    <n v="-4.05"/>
    <n v="-3.4"/>
    <n v="-1299.9999999999998"/>
    <n v="8100"/>
    <x v="19"/>
    <s v="Sell"/>
    <n v="6800"/>
    <x v="1"/>
    <x v="3"/>
    <n v="2025"/>
    <s v="Sell"/>
    <x v="0"/>
    <s v="CPC TAIWAN FEB 20-24WTI-BrentExpo-2000-3.4255"/>
    <x v="0"/>
  </r>
  <r>
    <x v="10"/>
    <d v="2024-11-21T00:00:00"/>
    <s v="Brent Sprds"/>
    <s v="Expo"/>
    <n v="-2000"/>
    <d v="2025-02-28T00:00:00"/>
    <d v="2025-03-31T00:00:00"/>
    <n v="0.3"/>
    <n v="0.4"/>
    <n v="-200.00000000000006"/>
    <n v="-600"/>
    <x v="13"/>
    <s v="Sell"/>
    <n v="-800"/>
    <x v="0"/>
    <x v="2"/>
    <n v="2025"/>
    <s v="Sell"/>
    <x v="0"/>
    <s v="CPC TAIWAN FEB 20-24Brent SprdsExpo-20000.4256"/>
    <x v="0"/>
  </r>
  <r>
    <x v="10"/>
    <d v="2024-11-21T00:00:00"/>
    <s v="DFL"/>
    <s v="Expo"/>
    <n v="2000"/>
    <d v="2025-01-31T00:00:00"/>
    <d v="2025-01-31T00:00:00"/>
    <n v="0.15"/>
    <n v="0.93"/>
    <n v="1560"/>
    <n v="300"/>
    <x v="18"/>
    <s v="Buy"/>
    <n v="1860"/>
    <x v="1"/>
    <x v="1"/>
    <n v="2025"/>
    <s v="Buy"/>
    <x v="0"/>
    <s v="CPC TAIWAN FEB 20-24DFLExpo20000.93257"/>
    <x v="0"/>
  </r>
  <r>
    <x v="0"/>
    <d v="2024-11-25T00:00:00"/>
    <s v="WTI-Brent"/>
    <s v="Hedge"/>
    <n v="300"/>
    <d v="2025-01-31T00:00:00"/>
    <d v="2025-01-31T00:00:00"/>
    <n v="-4"/>
    <n v="-4.9400000000000004"/>
    <n v="-282.00000000000011"/>
    <n v="-1200"/>
    <x v="18"/>
    <s v="Buy"/>
    <n v="-1482.0000000000002"/>
    <x v="1"/>
    <x v="3"/>
    <n v="2025"/>
    <s v="Buy"/>
    <x v="0"/>
    <s v="UnallocatedWTI-BrentHedge300-4.94258"/>
    <x v="0"/>
  </r>
  <r>
    <x v="0"/>
    <d v="2024-11-25T00:00:00"/>
    <s v="WTI-Brent"/>
    <s v="Hedge"/>
    <n v="300"/>
    <d v="2025-01-31T00:00:00"/>
    <d v="2025-01-31T00:00:00"/>
    <n v="-4.0199999999999996"/>
    <n v="-4.9400000000000004"/>
    <n v="-276.00000000000023"/>
    <n v="-1205.9999999999998"/>
    <x v="18"/>
    <s v="Buy"/>
    <n v="-1482.0000000000002"/>
    <x v="1"/>
    <x v="3"/>
    <n v="2025"/>
    <s v="Buy"/>
    <x v="0"/>
    <s v="UnallocatedWTI-BrentHedge300-4.94259"/>
    <x v="0"/>
  </r>
  <r>
    <x v="0"/>
    <d v="2024-11-25T00:00:00"/>
    <s v="WTI-Brent"/>
    <s v="Hedge"/>
    <n v="200"/>
    <d v="2025-01-31T00:00:00"/>
    <d v="2025-01-31T00:00:00"/>
    <n v="-4.04"/>
    <n v="-4.9400000000000004"/>
    <n v="-180.00000000000006"/>
    <n v="-808"/>
    <x v="18"/>
    <s v="Buy"/>
    <n v="-988.00000000000011"/>
    <x v="1"/>
    <x v="3"/>
    <n v="2025"/>
    <s v="Buy"/>
    <x v="0"/>
    <s v="UnallocatedWTI-BrentHedge200-4.94260"/>
    <x v="0"/>
  </r>
  <r>
    <x v="0"/>
    <d v="2024-11-25T00:00:00"/>
    <s v="WTI-Brent"/>
    <s v="Hedge"/>
    <n v="200"/>
    <d v="2025-01-31T00:00:00"/>
    <d v="2025-01-31T00:00:00"/>
    <n v="-4.0599999999999996"/>
    <n v="-4.9400000000000004"/>
    <n v="-176.00000000000017"/>
    <n v="-811.99999999999989"/>
    <x v="18"/>
    <s v="Buy"/>
    <n v="-988.00000000000011"/>
    <x v="1"/>
    <x v="3"/>
    <n v="2025"/>
    <s v="Buy"/>
    <x v="0"/>
    <s v="UnallocatedWTI-BrentHedge200-4.94261"/>
    <x v="0"/>
  </r>
  <r>
    <x v="0"/>
    <d v="2024-11-25T00:00:00"/>
    <s v="WTI-Brent"/>
    <s v="Hedge"/>
    <n v="200"/>
    <d v="2025-01-31T00:00:00"/>
    <d v="2025-01-31T00:00:00"/>
    <n v="-4.08"/>
    <n v="-4.9400000000000004"/>
    <n v="-172.00000000000006"/>
    <n v="-816"/>
    <x v="18"/>
    <s v="Buy"/>
    <n v="-988.00000000000011"/>
    <x v="1"/>
    <x v="3"/>
    <n v="2025"/>
    <s v="Buy"/>
    <x v="0"/>
    <s v="UnallocatedWTI-BrentHedge200-4.94262"/>
    <x v="0"/>
  </r>
  <r>
    <x v="0"/>
    <d v="2024-11-25T00:00:00"/>
    <s v="Brent Sprds"/>
    <s v="Hedge"/>
    <n v="1000"/>
    <d v="2025-01-31T00:00:00"/>
    <d v="2025-02-28T00:00:00"/>
    <n v="0.55000000000000004"/>
    <n v="1.1000000000000001"/>
    <n v="550"/>
    <n v="550"/>
    <x v="12"/>
    <s v="Buy"/>
    <n v="1100"/>
    <x v="0"/>
    <x v="2"/>
    <n v="2025"/>
    <s v="Buy"/>
    <x v="0"/>
    <s v="UnallocatedBrent SprdsHedge10001.1263"/>
    <x v="0"/>
  </r>
  <r>
    <x v="10"/>
    <d v="2024-11-25T00:00:00"/>
    <s v="WTI Sprds"/>
    <s v="Hedge"/>
    <n v="700"/>
    <d v="2025-01-31T00:00:00"/>
    <d v="2025-02-28T00:00:00"/>
    <n v="0.36"/>
    <n v="0.56000000000000005"/>
    <n v="140.00000000000006"/>
    <n v="252"/>
    <x v="12"/>
    <s v="Buy"/>
    <n v="392.00000000000006"/>
    <x v="0"/>
    <x v="0"/>
    <n v="2025"/>
    <s v="Buy"/>
    <x v="0"/>
    <s v="CPC TAIWAN FEB 20-24WTI SprdsHedge7000.56264"/>
    <x v="0"/>
  </r>
  <r>
    <x v="10"/>
    <d v="2024-11-25T00:00:00"/>
    <s v="WTI-Brent"/>
    <s v="Hedge"/>
    <n v="700"/>
    <d v="2025-02-28T00:00:00"/>
    <d v="2025-02-28T00:00:00"/>
    <n v="-3.9"/>
    <n v="-3.4"/>
    <n v="350"/>
    <n v="-2730"/>
    <x v="19"/>
    <s v="Buy"/>
    <n v="-2380"/>
    <x v="1"/>
    <x v="3"/>
    <n v="2025"/>
    <s v="Buy"/>
    <x v="0"/>
    <s v="CPC TAIWAN FEB 20-24WTI-BrentHedge700-3.4265"/>
    <x v="0"/>
  </r>
  <r>
    <x v="10"/>
    <d v="2024-11-25T00:00:00"/>
    <s v="Brent Sprds"/>
    <s v="Hedge"/>
    <n v="700"/>
    <d v="2025-02-28T00:00:00"/>
    <d v="2025-03-31T00:00:00"/>
    <n v="0.34"/>
    <n v="0.4"/>
    <n v="42"/>
    <n v="238.00000000000003"/>
    <x v="13"/>
    <s v="Buy"/>
    <n v="280"/>
    <x v="0"/>
    <x v="2"/>
    <n v="2025"/>
    <s v="Buy"/>
    <x v="0"/>
    <s v="CPC TAIWAN FEB 20-24Brent SprdsHedge7000.4266"/>
    <x v="0"/>
  </r>
  <r>
    <x v="0"/>
    <d v="2024-11-27T00:00:00"/>
    <s v="WTI-Brent"/>
    <s v="Hedge"/>
    <n v="300"/>
    <d v="2025-01-31T00:00:00"/>
    <d v="2025-01-31T00:00:00"/>
    <n v="-4.07"/>
    <n v="-4.9400000000000004"/>
    <n v="-261.00000000000006"/>
    <n v="-1221"/>
    <x v="18"/>
    <s v="Buy"/>
    <n v="-1482.0000000000002"/>
    <x v="1"/>
    <x v="3"/>
    <n v="2025"/>
    <s v="Buy"/>
    <x v="0"/>
    <s v="UnallocatedWTI-BrentHedge300-4.94267"/>
    <x v="0"/>
  </r>
  <r>
    <x v="0"/>
    <d v="2024-11-27T00:00:00"/>
    <s v="WTI-Brent"/>
    <s v="Hedge"/>
    <n v="300"/>
    <d v="2025-01-31T00:00:00"/>
    <d v="2025-01-31T00:00:00"/>
    <n v="-4.0999999999999996"/>
    <n v="-4.9400000000000004"/>
    <n v="-252.00000000000023"/>
    <n v="-1230"/>
    <x v="18"/>
    <s v="Buy"/>
    <n v="-1482.0000000000002"/>
    <x v="1"/>
    <x v="3"/>
    <n v="2025"/>
    <s v="Buy"/>
    <x v="0"/>
    <s v="UnallocatedWTI-BrentHedge300-4.94268"/>
    <x v="0"/>
  </r>
  <r>
    <x v="0"/>
    <d v="2024-11-27T00:00:00"/>
    <s v="WTI-Brent"/>
    <s v="Hedge"/>
    <n v="332"/>
    <d v="2025-01-31T00:00:00"/>
    <d v="2025-01-31T00:00:00"/>
    <n v="-4.08"/>
    <n v="-4.9400000000000004"/>
    <n v="-285.5200000000001"/>
    <n v="-1354.56"/>
    <x v="18"/>
    <s v="Buy"/>
    <n v="-1640.0800000000002"/>
    <x v="1"/>
    <x v="3"/>
    <n v="2025"/>
    <s v="Buy"/>
    <x v="0"/>
    <s v="UnallocatedWTI-BrentHedge332-4.94269"/>
    <x v="0"/>
  </r>
  <r>
    <x v="10"/>
    <d v="2024-11-21T00:00:00"/>
    <s v="Brent Sprds"/>
    <s v="Expo"/>
    <n v="1383"/>
    <d v="2025-01-31T00:00:00"/>
    <d v="2025-02-28T00:00:00"/>
    <n v="0.5"/>
    <n v="1.1000000000000001"/>
    <n v="829.80000000000007"/>
    <n v="691.5"/>
    <x v="12"/>
    <s v="Buy"/>
    <n v="1521.3000000000002"/>
    <x v="0"/>
    <x v="2"/>
    <n v="2025"/>
    <s v="Buy"/>
    <x v="0"/>
    <s v="CPC TAIWAN FEB 20-24Brent SprdsExpo13831.1270"/>
    <x v="0"/>
  </r>
  <r>
    <x v="0"/>
    <d v="2024-12-02T00:00:00"/>
    <s v="CFD"/>
    <s v="Hedge"/>
    <n v="-400"/>
    <s v="Dec 16-20"/>
    <d v="2024-12-31T00:00:00"/>
    <n v="0.33"/>
    <n v="0.84699999999999998"/>
    <n v="-206.79999999999995"/>
    <n v="-132"/>
    <x v="4"/>
    <s v="Sell"/>
    <n v="-338.8"/>
    <x v="1"/>
    <x v="1"/>
    <n v="2024"/>
    <s v="Sell"/>
    <x v="0"/>
    <s v="UnallocatedCFDHedge-4000.847271"/>
    <x v="0"/>
  </r>
  <r>
    <x v="0"/>
    <d v="2024-12-02T00:00:00"/>
    <s v="CFD"/>
    <s v="Hedge"/>
    <n v="-200"/>
    <s v="Dec 23-27"/>
    <d v="2024-12-31T00:00:00"/>
    <n v="0.19"/>
    <n v="-0.09"/>
    <n v="56.000000000000007"/>
    <n v="-38"/>
    <x v="5"/>
    <s v="Sell"/>
    <n v="18"/>
    <x v="1"/>
    <x v="1"/>
    <n v="2024"/>
    <s v="Sell"/>
    <x v="0"/>
    <s v="UnallocatedCFDHedge-200-0.09272"/>
    <x v="0"/>
  </r>
  <r>
    <x v="0"/>
    <d v="2024-12-03T00:00:00"/>
    <s v="WTI Sprds"/>
    <s v="Hedge"/>
    <n v="1500"/>
    <d v="2025-01-31T00:00:00"/>
    <d v="2025-02-28T00:00:00"/>
    <n v="0.4"/>
    <n v="0.56000000000000005"/>
    <n v="240.00000000000006"/>
    <n v="600"/>
    <x v="12"/>
    <s v="Buy"/>
    <n v="840.00000000000011"/>
    <x v="0"/>
    <x v="0"/>
    <n v="2025"/>
    <s v="Buy"/>
    <x v="0"/>
    <s v="UnallocatedWTI SprdsHedge15000.56273"/>
    <x v="0"/>
  </r>
  <r>
    <x v="0"/>
    <d v="2024-12-03T00:00:00"/>
    <s v="WTI Sprds"/>
    <s v="Hedge"/>
    <n v="1500"/>
    <d v="2025-02-28T00:00:00"/>
    <d v="2025-03-31T00:00:00"/>
    <n v="0.3"/>
    <n v="0.49"/>
    <n v="285"/>
    <n v="450"/>
    <x v="13"/>
    <s v="Buy"/>
    <n v="735"/>
    <x v="0"/>
    <x v="0"/>
    <n v="2025"/>
    <s v="Buy"/>
    <x v="0"/>
    <s v="UnallocatedWTI SprdsHedge15000.49274"/>
    <x v="0"/>
  </r>
  <r>
    <x v="0"/>
    <d v="2024-12-03T00:00:00"/>
    <s v="Brent Sprds"/>
    <s v="Hedge"/>
    <n v="1500"/>
    <d v="2025-02-28T00:00:00"/>
    <d v="2025-03-31T00:00:00"/>
    <n v="0.42"/>
    <n v="0.4"/>
    <n v="-29.999999999999943"/>
    <n v="630"/>
    <x v="13"/>
    <s v="Buy"/>
    <n v="600"/>
    <x v="0"/>
    <x v="2"/>
    <n v="2025"/>
    <s v="Buy"/>
    <x v="0"/>
    <s v="UnallocatedBrent SprdsHedge15000.4275"/>
    <x v="0"/>
  </r>
  <r>
    <x v="0"/>
    <d v="2024-12-03T00:00:00"/>
    <s v="Brent Sprds"/>
    <s v="Hedge"/>
    <n v="1500"/>
    <d v="2025-03-31T00:00:00"/>
    <d v="2025-04-30T00:00:00"/>
    <n v="0.28999999999999998"/>
    <n v="1.0900000000000001"/>
    <n v="1200"/>
    <n v="434.99999999999994"/>
    <x v="14"/>
    <s v="Buy"/>
    <n v="1635.0000000000002"/>
    <x v="0"/>
    <x v="2"/>
    <n v="2025"/>
    <s v="Buy"/>
    <x v="0"/>
    <s v="UnallocatedBrent SprdsHedge15001.09276"/>
    <x v="0"/>
  </r>
  <r>
    <x v="0"/>
    <d v="2024-12-03T00:00:00"/>
    <s v="WTI-Brent"/>
    <s v="Hedge"/>
    <n v="1000"/>
    <d v="2025-02-28T00:00:00"/>
    <d v="2025-02-28T00:00:00"/>
    <n v="-4.08"/>
    <n v="-3.4"/>
    <n v="680.00000000000011"/>
    <n v="-4080"/>
    <x v="19"/>
    <s v="Buy"/>
    <n v="-3400"/>
    <x v="1"/>
    <x v="3"/>
    <n v="2025"/>
    <s v="Buy"/>
    <x v="0"/>
    <s v="UnallocatedWTI-BrentHedge1000-3.4277"/>
    <x v="0"/>
  </r>
  <r>
    <x v="3"/>
    <d v="2024-12-03T00:00:00"/>
    <s v="Physical"/>
    <s v="Expo"/>
    <n v="735"/>
    <d v="2024-11-30T00:00:00"/>
    <d v="2024-11-30T00:00:00"/>
    <n v="-1.3800000000000001"/>
    <n v="-1.2"/>
    <n v="132.30000000000013"/>
    <n v="-1014.3000000000001"/>
    <x v="24"/>
    <s v="Buy"/>
    <n v="-882"/>
    <x v="2"/>
    <x v="4"/>
    <n v="2024"/>
    <s v="Buy"/>
    <x v="1"/>
    <s v="Jan 4-6 KAL AfraPhysicalExpo735-1.2278"/>
    <x v="0"/>
  </r>
  <r>
    <x v="3"/>
    <d v="2024-12-03T00:00:00"/>
    <s v="WTI Sprds"/>
    <s v="Expo"/>
    <n v="-735"/>
    <d v="2025-01-31T00:00:00"/>
    <d v="2025-02-28T00:00:00"/>
    <n v="0.39999999999999147"/>
    <n v="0.56000000000000005"/>
    <n v="-117.6000000000063"/>
    <n v="-293.99999999999375"/>
    <x v="12"/>
    <s v="Sell"/>
    <n v="-411.6"/>
    <x v="0"/>
    <x v="0"/>
    <n v="2025"/>
    <s v="Sell"/>
    <x v="0"/>
    <s v="Jan 4-6 KAL AfraWTI SprdsExpo-7350.56279"/>
    <x v="0"/>
  </r>
  <r>
    <x v="3"/>
    <d v="2024-12-03T00:00:00"/>
    <s v="WTI-Brent"/>
    <s v="Expo"/>
    <n v="-735"/>
    <d v="2025-02-28T00:00:00"/>
    <d v="2025-02-28T00:00:00"/>
    <n v="-4.0799999999999983"/>
    <n v="-3.4"/>
    <n v="-499.79999999999882"/>
    <n v="2998.7999999999988"/>
    <x v="19"/>
    <s v="Sell"/>
    <n v="2499"/>
    <x v="1"/>
    <x v="3"/>
    <n v="2025"/>
    <s v="Sell"/>
    <x v="0"/>
    <s v="Jan 4-6 KAL AfraWTI-BrentExpo-735-3.4280"/>
    <x v="0"/>
  </r>
  <r>
    <x v="3"/>
    <d v="2024-12-03T00:00:00"/>
    <s v="Brent Sprds"/>
    <s v="Expo"/>
    <n v="-735"/>
    <d v="2025-02-28T00:00:00"/>
    <d v="2025-03-31T00:00:00"/>
    <n v="0.35"/>
    <n v="0.4"/>
    <n v="-36.750000000000036"/>
    <n v="-257.25"/>
    <x v="13"/>
    <s v="Sell"/>
    <n v="-294"/>
    <x v="0"/>
    <x v="2"/>
    <n v="2025"/>
    <s v="Sell"/>
    <x v="0"/>
    <s v="Jan 4-6 KAL AfraBrent SprdsExpo-7350.4281"/>
    <x v="0"/>
  </r>
  <r>
    <x v="3"/>
    <d v="2024-12-03T00:00:00"/>
    <s v="DFL"/>
    <s v="Expo"/>
    <n v="735"/>
    <d v="2025-01-31T00:00:00"/>
    <d v="2025-01-31T00:00:00"/>
    <n v="0.25"/>
    <n v="0.93"/>
    <n v="499.8"/>
    <n v="183.75"/>
    <x v="18"/>
    <s v="Buy"/>
    <n v="683.55000000000007"/>
    <x v="1"/>
    <x v="1"/>
    <n v="2025"/>
    <s v="Buy"/>
    <x v="0"/>
    <s v="Jan 4-6 KAL AfraDFLExpo7350.93282"/>
    <x v="0"/>
  </r>
  <r>
    <x v="3"/>
    <d v="2024-12-03T00:00:00"/>
    <s v="WTI Sprds"/>
    <s v="Hedge"/>
    <n v="700"/>
    <d v="2025-01-31T00:00:00"/>
    <d v="2025-02-28T00:00:00"/>
    <n v="0.4"/>
    <n v="0.56000000000000005"/>
    <n v="112.00000000000003"/>
    <n v="280"/>
    <x v="12"/>
    <s v="Buy"/>
    <n v="392.00000000000006"/>
    <x v="0"/>
    <x v="0"/>
    <n v="2025"/>
    <s v="Buy"/>
    <x v="0"/>
    <s v="Jan 4-6 KAL AfraWTI SprdsHedge7000.56283"/>
    <x v="0"/>
  </r>
  <r>
    <x v="3"/>
    <d v="2024-12-03T00:00:00"/>
    <s v="WTI Sprds"/>
    <s v="Hedge"/>
    <n v="700"/>
    <d v="2025-02-28T00:00:00"/>
    <d v="2025-03-31T00:00:00"/>
    <n v="0.28000000000000003"/>
    <n v="0.49"/>
    <n v="146.99999999999997"/>
    <n v="196.00000000000003"/>
    <x v="13"/>
    <s v="Buy"/>
    <n v="343"/>
    <x v="0"/>
    <x v="0"/>
    <n v="2025"/>
    <s v="Buy"/>
    <x v="0"/>
    <s v="Jan 4-6 KAL AfraWTI SprdsHedge7000.49284"/>
    <x v="0"/>
  </r>
  <r>
    <x v="0"/>
    <d v="2024-12-04T00:00:00"/>
    <s v="WTI Sprds"/>
    <s v="Hedge"/>
    <n v="500"/>
    <d v="2025-01-31T00:00:00"/>
    <d v="2025-02-28T00:00:00"/>
    <n v="0.4"/>
    <n v="0.56000000000000005"/>
    <n v="80.000000000000014"/>
    <n v="200"/>
    <x v="12"/>
    <s v="Buy"/>
    <n v="280"/>
    <x v="0"/>
    <x v="0"/>
    <n v="2025"/>
    <s v="Buy"/>
    <x v="0"/>
    <s v="UnallocatedWTI SprdsHedge5000.56285"/>
    <x v="0"/>
  </r>
  <r>
    <x v="0"/>
    <d v="2024-12-04T00:00:00"/>
    <s v="WTI Sprds"/>
    <s v="Hedge"/>
    <n v="700"/>
    <d v="2025-01-31T00:00:00"/>
    <d v="2025-02-28T00:00:00"/>
    <n v="0.4"/>
    <n v="0.56000000000000005"/>
    <n v="112.00000000000003"/>
    <n v="280"/>
    <x v="12"/>
    <s v="Buy"/>
    <n v="392.00000000000006"/>
    <x v="0"/>
    <x v="0"/>
    <n v="2025"/>
    <s v="Buy"/>
    <x v="0"/>
    <s v="UnallocatedWTI SprdsHedge7000.56286"/>
    <x v="0"/>
  </r>
  <r>
    <x v="0"/>
    <d v="2024-12-04T00:00:00"/>
    <s v="WTI Sprds"/>
    <s v="Hedge"/>
    <n v="700"/>
    <d v="2025-02-28T00:00:00"/>
    <d v="2025-03-31T00:00:00"/>
    <n v="0.28999999999999998"/>
    <n v="0.49"/>
    <n v="140"/>
    <n v="203"/>
    <x v="13"/>
    <s v="Buy"/>
    <n v="343"/>
    <x v="0"/>
    <x v="0"/>
    <n v="2025"/>
    <s v="Buy"/>
    <x v="0"/>
    <s v="UnallocatedWTI SprdsHedge7000.49287"/>
    <x v="0"/>
  </r>
  <r>
    <x v="0"/>
    <d v="2024-12-04T00:00:00"/>
    <s v="WTI Sprds"/>
    <s v="Hedge"/>
    <n v="500"/>
    <d v="2025-01-31T00:00:00"/>
    <d v="2025-02-28T00:00:00"/>
    <n v="0.38"/>
    <n v="0.56000000000000005"/>
    <n v="90.000000000000028"/>
    <n v="190"/>
    <x v="12"/>
    <s v="Buy"/>
    <n v="280"/>
    <x v="0"/>
    <x v="0"/>
    <n v="2025"/>
    <s v="Buy"/>
    <x v="0"/>
    <s v="UnallocatedWTI SprdsHedge5000.56288"/>
    <x v="0"/>
  </r>
  <r>
    <x v="0"/>
    <d v="2024-12-04T00:00:00"/>
    <s v="WTI Sprds"/>
    <s v="Hedge"/>
    <n v="500"/>
    <d v="2025-02-28T00:00:00"/>
    <d v="2025-03-31T00:00:00"/>
    <n v="0.27"/>
    <n v="0.49"/>
    <n v="109.99999999999999"/>
    <n v="135"/>
    <x v="13"/>
    <s v="Buy"/>
    <n v="245"/>
    <x v="0"/>
    <x v="0"/>
    <n v="2025"/>
    <s v="Buy"/>
    <x v="0"/>
    <s v="UnallocatedWTI SprdsHedge5000.49289"/>
    <x v="0"/>
  </r>
  <r>
    <x v="0"/>
    <d v="2024-12-04T00:00:00"/>
    <s v="WTI Sprds"/>
    <s v="Hedge"/>
    <n v="500"/>
    <d v="2025-01-31T00:00:00"/>
    <d v="2025-02-28T00:00:00"/>
    <n v="0.36"/>
    <n v="0.56000000000000005"/>
    <n v="100.00000000000003"/>
    <n v="180"/>
    <x v="12"/>
    <s v="Buy"/>
    <n v="280"/>
    <x v="0"/>
    <x v="0"/>
    <n v="2025"/>
    <s v="Buy"/>
    <x v="0"/>
    <s v="UnallocatedWTI SprdsHedge5000.56290"/>
    <x v="0"/>
  </r>
  <r>
    <x v="0"/>
    <d v="2024-12-04T00:00:00"/>
    <s v="WTI Sprds"/>
    <s v="Hedge"/>
    <n v="500"/>
    <d v="2025-02-28T00:00:00"/>
    <d v="2025-03-31T00:00:00"/>
    <n v="0.26"/>
    <n v="0.49"/>
    <n v="114.99999999999999"/>
    <n v="130"/>
    <x v="13"/>
    <s v="Buy"/>
    <n v="245"/>
    <x v="0"/>
    <x v="0"/>
    <n v="2025"/>
    <s v="Buy"/>
    <x v="0"/>
    <s v="UnallocatedWTI SprdsHedge5000.49291"/>
    <x v="0"/>
  </r>
  <r>
    <x v="0"/>
    <d v="2024-12-04T00:00:00"/>
    <s v="Brent Sprds"/>
    <s v="Hedge"/>
    <n v="500"/>
    <d v="2025-02-28T00:00:00"/>
    <d v="2025-03-31T00:00:00"/>
    <n v="0.39"/>
    <n v="0.4"/>
    <n v="5.0000000000000044"/>
    <n v="195"/>
    <x v="13"/>
    <s v="Buy"/>
    <n v="200"/>
    <x v="0"/>
    <x v="2"/>
    <n v="2025"/>
    <s v="Buy"/>
    <x v="0"/>
    <s v="UnallocatedBrent SprdsHedge5000.4292"/>
    <x v="0"/>
  </r>
  <r>
    <x v="0"/>
    <d v="2024-12-04T00:00:00"/>
    <s v="Brent Sprds"/>
    <s v="Hedge"/>
    <n v="500"/>
    <d v="2025-02-28T00:00:00"/>
    <d v="2025-03-31T00:00:00"/>
    <n v="0.38"/>
    <n v="0.4"/>
    <n v="10.000000000000009"/>
    <n v="190"/>
    <x v="13"/>
    <s v="Buy"/>
    <n v="200"/>
    <x v="0"/>
    <x v="2"/>
    <n v="2025"/>
    <s v="Buy"/>
    <x v="0"/>
    <s v="UnallocatedBrent SprdsHedge5000.4293"/>
    <x v="0"/>
  </r>
  <r>
    <x v="0"/>
    <d v="2024-12-16T00:00:00"/>
    <s v="DFL"/>
    <s v="Hedge"/>
    <n v="-750"/>
    <d v="2025-01-31T00:00:00"/>
    <d v="2025-01-31T00:00:00"/>
    <n v="0.27"/>
    <n v="0.93"/>
    <n v="-495"/>
    <n v="-202.5"/>
    <x v="18"/>
    <s v="Sell"/>
    <n v="-697.5"/>
    <x v="1"/>
    <x v="1"/>
    <n v="2025"/>
    <s v="Sell"/>
    <x v="0"/>
    <s v="UnallocatedDFLHedge-7500.93294"/>
    <x v="0"/>
  </r>
  <r>
    <x v="0"/>
    <d v="2024-12-16T00:00:00"/>
    <s v="CFD"/>
    <s v="Hedge"/>
    <n v="500"/>
    <s v="Jan 6-10"/>
    <d v="2025-01-31T00:00:00"/>
    <n v="0.3"/>
    <n v="0.99"/>
    <n v="345"/>
    <n v="150"/>
    <x v="27"/>
    <s v="Buy"/>
    <n v="495"/>
    <x v="1"/>
    <x v="1"/>
    <n v="2025"/>
    <s v="Buy"/>
    <x v="0"/>
    <s v="UnallocatedCFDHedge5000.99295"/>
    <x v="0"/>
  </r>
  <r>
    <x v="0"/>
    <d v="2024-12-16T00:00:00"/>
    <s v="CFD"/>
    <s v="Hedge"/>
    <n v="-500"/>
    <s v="Jan 20-24"/>
    <d v="2025-01-31T00:00:00"/>
    <n v="0.06"/>
    <n v="1.43"/>
    <n v="-684.99999999999989"/>
    <n v="-30"/>
    <x v="28"/>
    <s v="Sell"/>
    <n v="-715"/>
    <x v="1"/>
    <x v="1"/>
    <n v="2025"/>
    <s v="Sell"/>
    <x v="0"/>
    <s v="UnallocatedCFDHedge-5001.43296"/>
    <x v="0"/>
  </r>
  <r>
    <x v="0"/>
    <d v="2024-12-16T00:00:00"/>
    <s v="DFL"/>
    <s v="Hedge"/>
    <n v="-1000"/>
    <d v="2025-01-31T00:00:00"/>
    <d v="2025-01-31T00:00:00"/>
    <n v="0.24"/>
    <n v="0.93"/>
    <n v="-690.00000000000011"/>
    <n v="-240"/>
    <x v="18"/>
    <s v="Sell"/>
    <n v="-930"/>
    <x v="1"/>
    <x v="1"/>
    <n v="2025"/>
    <s v="Sell"/>
    <x v="0"/>
    <s v="UnallocatedDFLHedge-10000.93297"/>
    <x v="0"/>
  </r>
  <r>
    <x v="0"/>
    <d v="2025-12-10T00:00:00"/>
    <s v="DFL"/>
    <s v="Hedge"/>
    <n v="1000"/>
    <d v="2025-02-28T00:00:00"/>
    <d v="2025-02-28T00:00:00"/>
    <n v="0.12"/>
    <n v="0.22"/>
    <n v="100"/>
    <n v="120"/>
    <x v="19"/>
    <s v="Buy"/>
    <n v="220"/>
    <x v="1"/>
    <x v="1"/>
    <n v="2025"/>
    <s v="Buy"/>
    <x v="0"/>
    <s v="UnallocatedDFLHedge10000.22298"/>
    <x v="0"/>
  </r>
  <r>
    <x v="13"/>
    <d v="2024-12-16T00:00:00"/>
    <s v="Physical"/>
    <s v="Expo"/>
    <n v="735"/>
    <d v="2024-11-30T00:00:00"/>
    <d v="2024-11-30T00:00:00"/>
    <n v="-1.47"/>
    <n v="-1.45"/>
    <n v="14.700000000000014"/>
    <n v="-1080.45"/>
    <x v="24"/>
    <s v="Buy"/>
    <n v="-1065.75"/>
    <x v="2"/>
    <x v="4"/>
    <n v="2024"/>
    <s v="Buy"/>
    <x v="1"/>
    <s v="Mitsui CIF Rdam Jan 27-29PhysicalExpo735-1.45299"/>
    <x v="0"/>
  </r>
  <r>
    <x v="13"/>
    <d v="2024-12-16T00:00:00"/>
    <s v="WTI Sprds"/>
    <s v="Expo"/>
    <n v="-735"/>
    <d v="2025-01-31T00:00:00"/>
    <d v="2025-02-28T00:00:00"/>
    <n v="0.42"/>
    <n v="0.56000000000000005"/>
    <n v="-102.90000000000005"/>
    <n v="-308.7"/>
    <x v="12"/>
    <s v="Sell"/>
    <n v="-411.6"/>
    <x v="0"/>
    <x v="0"/>
    <n v="2025"/>
    <s v="Sell"/>
    <x v="0"/>
    <s v="Mitsui CIF Rdam Jan 27-29WTI SprdsExpo-7350.56300"/>
    <x v="0"/>
  </r>
  <r>
    <x v="13"/>
    <d v="2024-12-16T00:00:00"/>
    <s v="WTI Sprds"/>
    <s v="Expo"/>
    <n v="-735"/>
    <d v="2025-02-28T00:00:00"/>
    <d v="2025-03-31T00:00:00"/>
    <n v="0.41"/>
    <n v="0.49"/>
    <n v="-58.800000000000011"/>
    <n v="-301.34999999999997"/>
    <x v="13"/>
    <s v="Sell"/>
    <n v="-360.15"/>
    <x v="0"/>
    <x v="0"/>
    <n v="2025"/>
    <s v="Sell"/>
    <x v="0"/>
    <s v="Mitsui CIF Rdam Jan 27-29WTI SprdsExpo-7350.49301"/>
    <x v="0"/>
  </r>
  <r>
    <x v="13"/>
    <d v="2024-12-16T00:00:00"/>
    <s v="WTI-Brent"/>
    <s v="Expo"/>
    <n v="-735"/>
    <d v="2025-03-31T00:00:00"/>
    <d v="2025-03-31T00:00:00"/>
    <n v="-3.64"/>
    <n v="-4.2300000000000004"/>
    <n v="433.6500000000002"/>
    <n v="2675.4"/>
    <x v="20"/>
    <s v="Sell"/>
    <n v="3109.05"/>
    <x v="1"/>
    <x v="3"/>
    <n v="2025"/>
    <s v="Sell"/>
    <x v="0"/>
    <s v="Mitsui CIF Rdam Jan 27-29WTI-BrentExpo-735-4.23302"/>
    <x v="0"/>
  </r>
  <r>
    <x v="13"/>
    <d v="2024-12-16T00:00:00"/>
    <s v="DFL"/>
    <s v="Expo"/>
    <n v="735"/>
    <d v="2025-01-31T00:00:00"/>
    <d v="2025-01-31T00:00:00"/>
    <n v="0.3"/>
    <n v="0.93"/>
    <n v="463.05000000000007"/>
    <n v="220.5"/>
    <x v="18"/>
    <s v="Buy"/>
    <n v="683.55000000000007"/>
    <x v="1"/>
    <x v="1"/>
    <n v="2025"/>
    <s v="Buy"/>
    <x v="0"/>
    <s v="Mitsui CIF Rdam Jan 27-29DFLExpo7350.93303"/>
    <x v="0"/>
  </r>
  <r>
    <x v="13"/>
    <d v="2024-12-16T00:00:00"/>
    <s v="Freight-TD25"/>
    <s v="Expo"/>
    <n v="0"/>
    <d v="2025-01-31T00:00:00"/>
    <d v="2025-01-31T00:00:00"/>
    <n v="150"/>
    <n v="127.5"/>
    <n v="315"/>
    <n v="0"/>
    <x v="18"/>
    <s v="Buy"/>
    <n v="0"/>
    <x v="3"/>
    <x v="5"/>
    <n v="2025"/>
    <s v="Sell"/>
    <x v="0"/>
    <s v="Mitsui CIF Rdam Jan 27-29Freight-TD25Expo0127.5304"/>
    <x v="0"/>
  </r>
  <r>
    <x v="11"/>
    <d v="2024-12-16T00:00:00"/>
    <s v="Freight-TD22"/>
    <s v="Expo"/>
    <n v="0"/>
    <d v="2024-11-30T00:00:00"/>
    <d v="2024-11-30T00:00:00"/>
    <n v="6500"/>
    <n v="6500"/>
    <n v="0"/>
    <n v="0"/>
    <x v="24"/>
    <s v="Buy"/>
    <n v="0"/>
    <x v="3"/>
    <x v="5"/>
    <n v="2024"/>
    <s v="Sell"/>
    <x v="0"/>
    <s v="CPC TAIWAN MARCH 11-15Freight-TD22Expo06500305"/>
    <x v="0"/>
  </r>
  <r>
    <x v="11"/>
    <d v="2024-12-16T00:00:00"/>
    <s v="Physical"/>
    <s v="Expo"/>
    <n v="2096"/>
    <d v="2025-01-31T00:00:00"/>
    <d v="2025-01-31T00:00:00"/>
    <n v="-1.73"/>
    <n v="-1.65"/>
    <n v="167.68000000000015"/>
    <n v="-3626.08"/>
    <x v="18"/>
    <s v="Buy"/>
    <n v="-3458.3999999999996"/>
    <x v="2"/>
    <x v="4"/>
    <n v="2025"/>
    <s v="Buy"/>
    <x v="1"/>
    <s v="CPC TAIWAN MARCH 11-15PhysicalExpo2096-1.65306"/>
    <x v="0"/>
  </r>
  <r>
    <x v="11"/>
    <d v="2024-12-16T00:00:00"/>
    <s v="WTI Sprds"/>
    <s v="Expo"/>
    <n v="-2096"/>
    <d v="2025-01-31T00:00:00"/>
    <d v="2025-02-28T00:00:00"/>
    <n v="0.42"/>
    <n v="0.56000000000000005"/>
    <n v="-293.44000000000017"/>
    <n v="-880.31999999999994"/>
    <x v="12"/>
    <s v="Sell"/>
    <n v="-1173.7600000000002"/>
    <x v="0"/>
    <x v="0"/>
    <n v="2025"/>
    <s v="Sell"/>
    <x v="0"/>
    <s v="CPC TAIWAN MARCH 11-15WTI SprdsExpo-20960.56307"/>
    <x v="0"/>
  </r>
  <r>
    <x v="11"/>
    <d v="2024-12-16T00:00:00"/>
    <s v="WTI Sprds"/>
    <s v="Expo"/>
    <n v="-2096"/>
    <d v="2025-02-28T00:00:00"/>
    <d v="2025-03-31T00:00:00"/>
    <n v="0.41"/>
    <n v="0.49"/>
    <n v="-167.68000000000004"/>
    <n v="-859.3599999999999"/>
    <x v="13"/>
    <s v="Sell"/>
    <n v="-1027.04"/>
    <x v="0"/>
    <x v="0"/>
    <n v="2025"/>
    <s v="Sell"/>
    <x v="0"/>
    <s v="CPC TAIWAN MARCH 11-15WTI SprdsExpo-20960.49308"/>
    <x v="0"/>
  </r>
  <r>
    <x v="11"/>
    <d v="2024-12-16T00:00:00"/>
    <s v="WTI-Brent"/>
    <s v="Expo"/>
    <n v="-2096"/>
    <d v="2025-03-31T00:00:00"/>
    <d v="2025-03-31T00:00:00"/>
    <n v="-3.64"/>
    <n v="-4.2300000000000004"/>
    <n v="1236.6400000000006"/>
    <n v="7629.4400000000005"/>
    <x v="20"/>
    <s v="Sell"/>
    <n v="8866.0800000000017"/>
    <x v="1"/>
    <x v="3"/>
    <n v="2025"/>
    <s v="Sell"/>
    <x v="0"/>
    <s v="CPC TAIWAN MARCH 11-15WTI-BrentExpo-2096-4.23309"/>
    <x v="0"/>
  </r>
  <r>
    <x v="11"/>
    <d v="2024-12-16T00:00:00"/>
    <s v="Brent Sprds"/>
    <s v="Expo"/>
    <n v="-2096"/>
    <d v="2025-03-31T00:00:00"/>
    <d v="2025-04-30T00:00:00"/>
    <n v="0.32"/>
    <n v="1.0900000000000001"/>
    <n v="-1613.92"/>
    <n v="-670.72"/>
    <x v="14"/>
    <s v="Sell"/>
    <n v="-2284.6400000000003"/>
    <x v="0"/>
    <x v="2"/>
    <n v="2025"/>
    <s v="Sell"/>
    <x v="0"/>
    <s v="CPC TAIWAN MARCH 11-15Brent SprdsExpo-20961.09310"/>
    <x v="0"/>
  </r>
  <r>
    <x v="11"/>
    <d v="2024-12-16T00:00:00"/>
    <s v="DFL"/>
    <s v="Expo"/>
    <n v="2096"/>
    <d v="2025-02-28T00:00:00"/>
    <d v="2025-02-28T00:00:00"/>
    <n v="0.13"/>
    <n v="0.22"/>
    <n v="188.64"/>
    <n v="272.48"/>
    <x v="19"/>
    <s v="Buy"/>
    <n v="461.12"/>
    <x v="1"/>
    <x v="1"/>
    <n v="2025"/>
    <s v="Buy"/>
    <x v="0"/>
    <s v="CPC TAIWAN MARCH 11-15DFLExpo20960.22311"/>
    <x v="0"/>
  </r>
  <r>
    <x v="25"/>
    <d v="2024-12-16T00:00:00"/>
    <s v="Physical"/>
    <s v="Expo"/>
    <n v="700"/>
    <d v="2025-01-31T00:00:00"/>
    <d v="2025-01-31T00:00:00"/>
    <n v="1.02"/>
    <n v="1"/>
    <n v="-14.000000000000012"/>
    <n v="714"/>
    <x v="18"/>
    <s v="Buy"/>
    <n v="700"/>
    <x v="2"/>
    <x v="4"/>
    <n v="2025"/>
    <s v="Buy"/>
    <x v="1"/>
    <s v="Feb EFP 1PhysicalExpo7001312"/>
    <x v="0"/>
  </r>
  <r>
    <x v="25"/>
    <d v="2024-12-16T00:00:00"/>
    <s v="Freight-TD25"/>
    <s v="Expo"/>
    <n v="0"/>
    <d v="2025-01-31T00:00:00"/>
    <d v="2025-01-31T00:00:00"/>
    <n v="150.47619047619048"/>
    <n v="152.5"/>
    <n v="-28.333333333333258"/>
    <n v="0"/>
    <x v="18"/>
    <s v="Buy"/>
    <n v="0"/>
    <x v="3"/>
    <x v="5"/>
    <n v="2025"/>
    <s v="Sell"/>
    <x v="0"/>
    <s v="Feb EFP 1Freight-TD25Expo0152.5313"/>
    <x v="0"/>
  </r>
  <r>
    <x v="25"/>
    <d v="2024-12-16T00:00:00"/>
    <s v="Freight-TD7"/>
    <s v="Expo"/>
    <n v="700"/>
    <d v="2025-02-28T00:00:00"/>
    <d v="2025-02-28T00:00:00"/>
    <n v="126.69962917181705"/>
    <n v="109"/>
    <n v="-247.79480840543874"/>
    <n v="88689.740420271934"/>
    <x v="19"/>
    <s v="Buy"/>
    <n v="76300"/>
    <x v="3"/>
    <x v="5"/>
    <n v="2025"/>
    <s v="Buy"/>
    <x v="0"/>
    <s v="Feb EFP 1Freight-TD7Expo700109314"/>
    <x v="0"/>
  </r>
  <r>
    <x v="25"/>
    <d v="2024-12-16T00:00:00"/>
    <s v="WTI Sprds"/>
    <s v="Expo"/>
    <n v="-700"/>
    <d v="2025-01-31T00:00:00"/>
    <d v="2025-02-28T00:00:00"/>
    <n v="0.42"/>
    <n v="0.56000000000000005"/>
    <n v="-98.000000000000043"/>
    <n v="-294"/>
    <x v="12"/>
    <s v="Sell"/>
    <n v="-392.00000000000006"/>
    <x v="0"/>
    <x v="0"/>
    <n v="2025"/>
    <s v="Sell"/>
    <x v="0"/>
    <s v="Feb EFP 1WTI SprdsExpo-7000.56315"/>
    <x v="0"/>
  </r>
  <r>
    <x v="25"/>
    <d v="2024-12-16T00:00:00"/>
    <s v="WTI-Brent"/>
    <s v="Expo"/>
    <n v="-700"/>
    <d v="2025-02-28T00:00:00"/>
    <d v="2025-02-28T00:00:00"/>
    <n v="-3.62"/>
    <n v="-3.4"/>
    <n v="-154.00000000000014"/>
    <n v="2534"/>
    <x v="19"/>
    <s v="Sell"/>
    <n v="2380"/>
    <x v="1"/>
    <x v="3"/>
    <n v="2025"/>
    <s v="Sell"/>
    <x v="0"/>
    <s v="Feb EFP 1WTI-BrentExpo-700-3.4316"/>
    <x v="0"/>
  </r>
  <r>
    <x v="12"/>
    <d v="2024-12-16T00:00:00"/>
    <s v="Physical"/>
    <s v="Expo"/>
    <n v="700"/>
    <d v="2025-01-31T00:00:00"/>
    <d v="2025-01-31T00:00:00"/>
    <n v="1.02"/>
    <n v="1"/>
    <n v="-14.000000000000012"/>
    <n v="714"/>
    <x v="18"/>
    <s v="Buy"/>
    <n v="700"/>
    <x v="2"/>
    <x v="4"/>
    <n v="2025"/>
    <s v="Buy"/>
    <x v="1"/>
    <s v="Feb EFP 2PhysicalExpo7001317"/>
    <x v="0"/>
  </r>
  <r>
    <x v="12"/>
    <d v="2024-12-16T00:00:00"/>
    <s v="Freight-TD25"/>
    <s v="Expo"/>
    <n v="0"/>
    <d v="2025-01-31T00:00:00"/>
    <d v="2025-01-31T00:00:00"/>
    <n v="150.47619047619048"/>
    <n v="129.5"/>
    <n v="293.66666666666674"/>
    <n v="0"/>
    <x v="18"/>
    <s v="Buy"/>
    <n v="0"/>
    <x v="3"/>
    <x v="5"/>
    <n v="2025"/>
    <s v="Sell"/>
    <x v="0"/>
    <s v="Feb EFP 2Freight-TD25Expo0129.5318"/>
    <x v="0"/>
  </r>
  <r>
    <x v="12"/>
    <d v="2024-12-16T00:00:00"/>
    <s v="Freight-TD7"/>
    <s v="Expo"/>
    <n v="700"/>
    <d v="2025-02-28T00:00:00"/>
    <d v="2025-02-28T00:00:00"/>
    <n v="126.69962917181705"/>
    <n v="109"/>
    <n v="-247.79480840543874"/>
    <n v="88689.740420271934"/>
    <x v="19"/>
    <s v="Buy"/>
    <n v="76300"/>
    <x v="3"/>
    <x v="5"/>
    <n v="2025"/>
    <s v="Buy"/>
    <x v="0"/>
    <s v="Feb EFP 2Freight-TD7Expo700109319"/>
    <x v="0"/>
  </r>
  <r>
    <x v="12"/>
    <d v="2024-12-16T00:00:00"/>
    <s v="WTI Sprds"/>
    <s v="Expo"/>
    <n v="-700"/>
    <d v="2025-01-31T00:00:00"/>
    <d v="2025-02-28T00:00:00"/>
    <n v="0.42"/>
    <n v="0.56000000000000005"/>
    <n v="-98.000000000000043"/>
    <n v="-294"/>
    <x v="12"/>
    <s v="Sell"/>
    <n v="-392.00000000000006"/>
    <x v="0"/>
    <x v="0"/>
    <n v="2025"/>
    <s v="Sell"/>
    <x v="0"/>
    <s v="Feb EFP 2WTI SprdsExpo-7000.56320"/>
    <x v="0"/>
  </r>
  <r>
    <x v="12"/>
    <d v="2024-12-16T00:00:00"/>
    <s v="WTI-Brent"/>
    <s v="Expo"/>
    <n v="-700"/>
    <d v="2025-02-28T00:00:00"/>
    <d v="2025-02-28T00:00:00"/>
    <n v="-3.62"/>
    <n v="-3.4"/>
    <n v="-154.00000000000014"/>
    <n v="2534"/>
    <x v="19"/>
    <s v="Sell"/>
    <n v="2380"/>
    <x v="1"/>
    <x v="3"/>
    <n v="2025"/>
    <s v="Sell"/>
    <x v="0"/>
    <s v="Feb EFP 2WTI-BrentExpo-700-3.4321"/>
    <x v="0"/>
  </r>
  <r>
    <x v="26"/>
    <d v="2024-12-16T00:00:00"/>
    <s v="Physical"/>
    <s v="Expo"/>
    <n v="707"/>
    <d v="2025-01-31T00:00:00"/>
    <d v="2025-01-31T00:00:00"/>
    <n v="1.27"/>
    <n v="1.5499999999999998"/>
    <n v="197.95999999999987"/>
    <n v="897.89"/>
    <x v="18"/>
    <s v="Buy"/>
    <n v="1095.8499999999999"/>
    <x v="2"/>
    <x v="4"/>
    <n v="2025"/>
    <s v="Buy"/>
    <x v="1"/>
    <s v="Feb EFP 3PhysicalExpo7071.55322"/>
    <x v="0"/>
  </r>
  <r>
    <x v="26"/>
    <d v="2024-12-16T00:00:00"/>
    <s v="Freight-TD25"/>
    <s v="Expo"/>
    <n v="-707"/>
    <d v="2025-01-31T00:00:00"/>
    <d v="2025-01-31T00:00:00"/>
    <n v="150"/>
    <n v="137.5"/>
    <n v="175"/>
    <n v="-106050"/>
    <x v="18"/>
    <s v="Sell"/>
    <n v="-97212.5"/>
    <x v="3"/>
    <x v="5"/>
    <n v="2025"/>
    <s v="Sell"/>
    <x v="0"/>
    <s v="Feb EFP 3Freight-TD25Expo-707137.5323"/>
    <x v="0"/>
  </r>
  <r>
    <x v="26"/>
    <d v="2024-12-16T00:00:00"/>
    <s v="Freight-TD25"/>
    <s v="Expo"/>
    <n v="707"/>
    <d v="2025-01-31T00:00:00"/>
    <d v="2025-01-31T00:00:00"/>
    <n v="137.5"/>
    <n v="137.5"/>
    <n v="0"/>
    <n v="97212.5"/>
    <x v="18"/>
    <s v="Buy"/>
    <n v="97212.5"/>
    <x v="3"/>
    <x v="5"/>
    <n v="2025"/>
    <s v="Buy"/>
    <x v="0"/>
    <s v="Feb EFP 3Freight-TD25Expo707137.5324"/>
    <x v="0"/>
  </r>
  <r>
    <x v="26"/>
    <d v="2024-12-16T00:00:00"/>
    <s v="Freight-TD7"/>
    <s v="Expo"/>
    <n v="700"/>
    <d v="2025-02-28T00:00:00"/>
    <d v="2025-02-28T00:00:00"/>
    <n v="126.69962917181705"/>
    <n v="109"/>
    <n v="-247.79480840543874"/>
    <n v="88689.740420271934"/>
    <x v="19"/>
    <s v="Buy"/>
    <n v="76300"/>
    <x v="3"/>
    <x v="5"/>
    <n v="2025"/>
    <s v="Buy"/>
    <x v="0"/>
    <s v="Feb EFP 3Freight-TD7Expo700109325"/>
    <x v="0"/>
  </r>
  <r>
    <x v="26"/>
    <d v="2024-12-16T00:00:00"/>
    <s v="WTI-Brent"/>
    <s v="Expo"/>
    <n v="-707"/>
    <d v="2025-02-28T00:00:00"/>
    <d v="2025-02-28T00:00:00"/>
    <n v="-3.62"/>
    <n v="-3.4"/>
    <n v="-155.54000000000013"/>
    <n v="2559.34"/>
    <x v="19"/>
    <s v="Sell"/>
    <n v="2403.7999999999997"/>
    <x v="1"/>
    <x v="3"/>
    <n v="2025"/>
    <s v="Sell"/>
    <x v="0"/>
    <s v="Feb EFP 3WTI-BrentExpo-707-3.4326"/>
    <x v="0"/>
  </r>
  <r>
    <x v="11"/>
    <d v="2025-12-19T00:00:00"/>
    <s v="DFL"/>
    <s v="Hedge"/>
    <n v="-500"/>
    <d v="2025-02-28T00:00:00"/>
    <d v="2025-02-28T00:00:00"/>
    <n v="0.16131000000000001"/>
    <n v="0.22"/>
    <n v="-29.344999999999995"/>
    <n v="-80.655000000000001"/>
    <x v="19"/>
    <s v="Sell"/>
    <n v="-110"/>
    <x v="1"/>
    <x v="1"/>
    <n v="2025"/>
    <s v="Sell"/>
    <x v="0"/>
    <s v="CPC TAIWAN MARCH 11-15DFLHedge-5000.22327"/>
    <x v="0"/>
  </r>
  <r>
    <x v="0"/>
    <d v="2024-12-18T00:00:00"/>
    <s v="CFD"/>
    <s v="Hedge"/>
    <n v="500"/>
    <s v="Jan 6-10"/>
    <d v="2025-01-31T00:00:00"/>
    <n v="0.3"/>
    <n v="0.99"/>
    <n v="345"/>
    <n v="150"/>
    <x v="27"/>
    <s v="Buy"/>
    <n v="495"/>
    <x v="1"/>
    <x v="1"/>
    <n v="2025"/>
    <s v="Buy"/>
    <x v="0"/>
    <s v="UnallocatedCFDHedge5000.99328"/>
    <x v="0"/>
  </r>
  <r>
    <x v="0"/>
    <d v="2024-12-18T00:00:00"/>
    <s v="CFD"/>
    <s v="Hedge"/>
    <n v="-500"/>
    <s v="Jan 20-24"/>
    <d v="2025-01-31T00:00:00"/>
    <n v="0.1"/>
    <n v="1.43"/>
    <n v="-664.99999999999989"/>
    <n v="-50"/>
    <x v="28"/>
    <s v="Sell"/>
    <n v="-715"/>
    <x v="1"/>
    <x v="1"/>
    <n v="2025"/>
    <s v="Sell"/>
    <x v="0"/>
    <s v="UnallocatedCFDHedge-5001.43329"/>
    <x v="0"/>
  </r>
  <r>
    <x v="0"/>
    <d v="2024-12-16T00:00:00"/>
    <s v="DFL"/>
    <s v="Hedge"/>
    <n v="-500"/>
    <d v="2025-01-31T00:00:00"/>
    <d v="2025-01-31T00:00:00"/>
    <n v="0.28000000000000003"/>
    <n v="0.93"/>
    <n v="-325"/>
    <n v="-140"/>
    <x v="18"/>
    <s v="Sell"/>
    <n v="-465"/>
    <x v="1"/>
    <x v="1"/>
    <n v="2025"/>
    <s v="Sell"/>
    <x v="0"/>
    <s v="UnallocatedDFLHedge-5000.93330"/>
    <x v="0"/>
  </r>
  <r>
    <x v="0"/>
    <d v="2024-12-18T00:00:00"/>
    <s v="WTI-Brent"/>
    <s v="Hedge"/>
    <n v="3800"/>
    <d v="2025-02-28T00:00:00"/>
    <d v="2025-02-28T00:00:00"/>
    <n v="-3.3700000000000045"/>
    <n v="-3.4"/>
    <n v="-113.99999999998238"/>
    <n v="-12806.000000000018"/>
    <x v="19"/>
    <s v="Buy"/>
    <n v="-12920"/>
    <x v="1"/>
    <x v="3"/>
    <n v="2025"/>
    <s v="Buy"/>
    <x v="0"/>
    <s v="UnallocatedWTI-BrentHedge3800-3.4331"/>
    <x v="0"/>
  </r>
  <r>
    <x v="0"/>
    <d v="2024-12-18T00:00:00"/>
    <s v="WTI-Brent"/>
    <s v="Hedge"/>
    <n v="-2000"/>
    <d v="2025-03-31T00:00:00"/>
    <d v="2025-03-31T00:00:00"/>
    <n v="-3.4300000000000068"/>
    <n v="-4.2300000000000004"/>
    <n v="1599.9999999999873"/>
    <n v="6860.0000000000136"/>
    <x v="20"/>
    <s v="Sell"/>
    <n v="8460"/>
    <x v="1"/>
    <x v="3"/>
    <n v="2025"/>
    <s v="Sell"/>
    <x v="0"/>
    <s v="UnallocatedWTI-BrentHedge-2000-4.23332"/>
    <x v="0"/>
  </r>
  <r>
    <x v="0"/>
    <d v="2024-12-18T00:00:00"/>
    <s v="WTI-Brent"/>
    <s v="Hedge"/>
    <n v="-1800"/>
    <d v="2025-04-30T00:00:00"/>
    <d v="2025-04-30T00:00:00"/>
    <n v="-3.460000000000008"/>
    <n v="-3.42"/>
    <n v="-72.000000000014452"/>
    <n v="6228.0000000000146"/>
    <x v="21"/>
    <s v="Sell"/>
    <n v="6156"/>
    <x v="1"/>
    <x v="3"/>
    <n v="2025"/>
    <s v="Sell"/>
    <x v="0"/>
    <s v="UnallocatedWTI-BrentHedge-1800-3.42333"/>
    <x v="0"/>
  </r>
  <r>
    <x v="25"/>
    <d v="2024-12-18T00:00:00"/>
    <s v="WTI Sprds"/>
    <s v="Hedge"/>
    <n v="700"/>
    <d v="2025-01-31T00:00:00"/>
    <d v="2025-02-28T00:00:00"/>
    <n v="0.56000000000000005"/>
    <n v="0.56000000000000005"/>
    <n v="0"/>
    <n v="392.00000000000006"/>
    <x v="12"/>
    <s v="Buy"/>
    <n v="392.00000000000006"/>
    <x v="0"/>
    <x v="0"/>
    <n v="2025"/>
    <s v="Buy"/>
    <x v="0"/>
    <s v="Feb EFP 1WTI SprdsHedge7000.56334"/>
    <x v="0"/>
  </r>
  <r>
    <x v="0"/>
    <d v="2024-12-18T00:00:00"/>
    <s v="WTI Sprds"/>
    <s v="Hedge"/>
    <n v="689"/>
    <d v="2025-01-31T00:00:00"/>
    <d v="2025-02-28T00:00:00"/>
    <n v="0.56000000000000005"/>
    <n v="0.56000000000000005"/>
    <n v="0"/>
    <n v="385.84000000000003"/>
    <x v="12"/>
    <s v="Buy"/>
    <n v="385.84000000000003"/>
    <x v="0"/>
    <x v="0"/>
    <n v="2025"/>
    <s v="Buy"/>
    <x v="0"/>
    <s v="UnallocatedWTI SprdsHedge6890.56335"/>
    <x v="0"/>
  </r>
  <r>
    <x v="14"/>
    <d v="2024-12-20T00:00:00"/>
    <s v="Freight-TD22"/>
    <s v="Expo"/>
    <n v="0"/>
    <d v="2024-11-30T00:00:00"/>
    <d v="2024-11-30T00:00:00"/>
    <n v="6500"/>
    <n v="6000"/>
    <n v="500"/>
    <n v="0"/>
    <x v="24"/>
    <s v="Buy"/>
    <n v="0"/>
    <x v="3"/>
    <x v="5"/>
    <n v="2024"/>
    <s v="Sell"/>
    <x v="0"/>
    <s v="BPCL DES India March 16-22Freight-TD22Expo06000336"/>
    <x v="0"/>
  </r>
  <r>
    <x v="14"/>
    <d v="2024-12-20T00:00:00"/>
    <s v="Physical"/>
    <s v="Expo"/>
    <n v="2079"/>
    <d v="2025-01-31T00:00:00"/>
    <d v="2025-01-31T00:00:00"/>
    <n v="2.59"/>
    <n v="2.5"/>
    <n v="-187.1099999999997"/>
    <n v="5384.61"/>
    <x v="18"/>
    <s v="Buy"/>
    <n v="5197.5"/>
    <x v="2"/>
    <x v="4"/>
    <n v="2025"/>
    <s v="Buy"/>
    <x v="1"/>
    <s v="BPCL DES India March 16-22PhysicalExpo20792.5337"/>
    <x v="0"/>
  </r>
  <r>
    <x v="14"/>
    <d v="2024-12-20T00:00:00"/>
    <s v="WTI Sprds"/>
    <s v="Expo"/>
    <n v="-2079"/>
    <d v="2025-02-28T00:00:00"/>
    <d v="2025-03-31T00:00:00"/>
    <n v="0.36"/>
    <n v="0.49"/>
    <n v="-270.27"/>
    <n v="-748.43999999999994"/>
    <x v="13"/>
    <s v="Sell"/>
    <n v="-1018.71"/>
    <x v="0"/>
    <x v="0"/>
    <n v="2025"/>
    <s v="Sell"/>
    <x v="0"/>
    <s v="BPCL DES India March 16-22WTI SprdsExpo-20790.49338"/>
    <x v="0"/>
  </r>
  <r>
    <x v="14"/>
    <d v="2024-12-20T00:00:00"/>
    <s v="WTI-Brent"/>
    <s v="Expo"/>
    <n v="-2079"/>
    <d v="2025-03-31T00:00:00"/>
    <d v="2025-03-31T00:00:00"/>
    <n v="-3.51"/>
    <n v="-4.2300000000000004"/>
    <n v="1496.8800000000012"/>
    <n v="7297.29"/>
    <x v="20"/>
    <s v="Sell"/>
    <n v="8794.17"/>
    <x v="1"/>
    <x v="3"/>
    <n v="2025"/>
    <s v="Sell"/>
    <x v="0"/>
    <s v="BPCL DES India March 16-22WTI-BrentExpo-2079-4.23339"/>
    <x v="0"/>
  </r>
  <r>
    <x v="14"/>
    <d v="2024-12-20T00:00:00"/>
    <s v="Brent Sprds"/>
    <s v="Expo"/>
    <n v="-2079"/>
    <d v="2025-03-31T00:00:00"/>
    <d v="2025-04-30T00:00:00"/>
    <n v="0.38"/>
    <n v="1.0900000000000001"/>
    <n v="-1476.0900000000001"/>
    <n v="-790.02"/>
    <x v="14"/>
    <s v="Sell"/>
    <n v="-2266.11"/>
    <x v="0"/>
    <x v="2"/>
    <n v="2025"/>
    <s v="Sell"/>
    <x v="0"/>
    <s v="BPCL DES India March 16-22Brent SprdsExpo-20791.09340"/>
    <x v="0"/>
  </r>
  <r>
    <x v="14"/>
    <d v="2024-12-20T00:00:00"/>
    <s v="Brent Sprds"/>
    <s v="Expo"/>
    <n v="-2079"/>
    <d v="2025-04-30T00:00:00"/>
    <d v="2025-05-31T00:00:00"/>
    <n v="0.33"/>
    <n v="0.37"/>
    <n v="-83.159999999999954"/>
    <n v="-686.07"/>
    <x v="15"/>
    <s v="Sell"/>
    <n v="-769.23"/>
    <x v="0"/>
    <x v="2"/>
    <n v="2025"/>
    <s v="Sell"/>
    <x v="0"/>
    <s v="BPCL DES India March 16-22Brent SprdsExpo-20790.37341"/>
    <x v="0"/>
  </r>
  <r>
    <x v="14"/>
    <d v="2024-12-20T00:00:00"/>
    <s v="DFL"/>
    <s v="Expo"/>
    <n v="2079"/>
    <d v="2025-03-31T00:00:00"/>
    <d v="2025-03-31T00:00:00"/>
    <n v="0.1"/>
    <n v="1.1299999999999999"/>
    <n v="2141.3699999999994"/>
    <n v="207.9"/>
    <x v="20"/>
    <s v="Buy"/>
    <n v="2349.27"/>
    <x v="1"/>
    <x v="1"/>
    <n v="2025"/>
    <s v="Buy"/>
    <x v="0"/>
    <s v="BPCL DES India March 16-22DFLExpo20791.13342"/>
    <x v="0"/>
  </r>
  <r>
    <x v="27"/>
    <d v="2024-12-23T00:00:00"/>
    <s v="Physical"/>
    <s v="Expo"/>
    <n v="700"/>
    <d v="2025-01-31T00:00:00"/>
    <d v="2025-01-31T00:00:00"/>
    <n v="1.27"/>
    <n v="1.5499999999999998"/>
    <n v="195.99999999999986"/>
    <n v="889"/>
    <x v="18"/>
    <s v="Buy"/>
    <n v="1084.9999999999998"/>
    <x v="2"/>
    <x v="4"/>
    <n v="2025"/>
    <s v="Buy"/>
    <x v="1"/>
    <s v="Feb EFP 4PhysicalExpo7001.55343"/>
    <x v="0"/>
  </r>
  <r>
    <x v="27"/>
    <d v="2024-12-23T00:00:00"/>
    <s v="Freight-TD25"/>
    <s v="Expo"/>
    <n v="-700"/>
    <d v="2025-02-28T00:00:00"/>
    <d v="2025-02-28T00:00:00"/>
    <n v="142.85714285714286"/>
    <n v="128.75"/>
    <n v="197.50000000000009"/>
    <n v="-100000"/>
    <x v="19"/>
    <s v="Sell"/>
    <n v="-90125"/>
    <x v="3"/>
    <x v="5"/>
    <n v="2025"/>
    <s v="Sell"/>
    <x v="0"/>
    <s v="Feb EFP 4Freight-TD25Expo-700128.75344"/>
    <x v="0"/>
  </r>
  <r>
    <x v="27"/>
    <d v="2024-12-23T00:00:00"/>
    <s v="Freight-TD25"/>
    <s v="Expo"/>
    <n v="700"/>
    <d v="2025-02-28T00:00:00"/>
    <d v="2025-02-28T00:00:00"/>
    <n v="128.75"/>
    <n v="128.75"/>
    <n v="0"/>
    <n v="90125"/>
    <x v="19"/>
    <s v="Buy"/>
    <n v="90125"/>
    <x v="3"/>
    <x v="5"/>
    <n v="2025"/>
    <s v="Buy"/>
    <x v="0"/>
    <s v="Feb EFP 4Freight-TD25Expo700128.75345"/>
    <x v="0"/>
  </r>
  <r>
    <x v="27"/>
    <d v="2024-12-23T00:00:00"/>
    <s v="Freight-TD7"/>
    <s v="Expo"/>
    <n v="700"/>
    <d v="2025-02-28T00:00:00"/>
    <d v="2025-02-28T00:00:00"/>
    <n v="126.69962917181705"/>
    <n v="109"/>
    <n v="-247.79480840543874"/>
    <n v="88689.740420271934"/>
    <x v="19"/>
    <s v="Buy"/>
    <n v="76300"/>
    <x v="3"/>
    <x v="5"/>
    <n v="2025"/>
    <s v="Buy"/>
    <x v="0"/>
    <s v="Feb EFP 4Freight-TD7Expo700109346"/>
    <x v="0"/>
  </r>
  <r>
    <x v="27"/>
    <d v="2024-12-23T00:00:00"/>
    <s v="WTI-Brent"/>
    <s v="Expo"/>
    <n v="-700"/>
    <d v="2025-02-28T00:00:00"/>
    <d v="2025-02-28T00:00:00"/>
    <n v="-3.39"/>
    <n v="-3.4"/>
    <n v="6.9999999999998508"/>
    <n v="2373"/>
    <x v="19"/>
    <s v="Sell"/>
    <n v="2380"/>
    <x v="1"/>
    <x v="3"/>
    <n v="2025"/>
    <s v="Sell"/>
    <x v="0"/>
    <s v="Feb EFP 4WTI-BrentExpo-700-3.4347"/>
    <x v="0"/>
  </r>
  <r>
    <x v="27"/>
    <d v="2024-12-23T00:00:00"/>
    <s v="WTI-Brent"/>
    <s v="Hedge"/>
    <n v="700"/>
    <d v="2025-02-28T00:00:00"/>
    <d v="2025-02-28T00:00:00"/>
    <n v="-3.39"/>
    <n v="-3.4"/>
    <n v="-6.9999999999998508"/>
    <n v="-2373"/>
    <x v="19"/>
    <s v="Buy"/>
    <n v="-2380"/>
    <x v="1"/>
    <x v="3"/>
    <n v="2025"/>
    <s v="Buy"/>
    <x v="0"/>
    <s v="Feb EFP 4WTI-BrentHedge700-3.4348"/>
    <x v="0"/>
  </r>
  <r>
    <x v="27"/>
    <d v="2024-12-23T00:00:00"/>
    <s v="WTI-Brent"/>
    <s v="Hedge"/>
    <n v="-700"/>
    <d v="2025-05-31T00:00:00"/>
    <d v="2025-05-31T00:00:00"/>
    <n v="-3.5"/>
    <n v="-3.26"/>
    <n v="-168.00000000000014"/>
    <n v="2450"/>
    <x v="22"/>
    <s v="Sell"/>
    <n v="2282"/>
    <x v="1"/>
    <x v="3"/>
    <n v="2025"/>
    <s v="Sell"/>
    <x v="0"/>
    <s v="Feb EFP 4WTI-BrentHedge-700-3.26349"/>
    <x v="0"/>
  </r>
  <r>
    <x v="0"/>
    <d v="2024-12-23T00:00:00"/>
    <s v="DFL"/>
    <s v="Hedge"/>
    <n v="600"/>
    <d v="2025-01-31T00:00:00"/>
    <d v="2025-01-31T00:00:00"/>
    <n v="0.2"/>
    <n v="0.93"/>
    <n v="438"/>
    <n v="120"/>
    <x v="18"/>
    <s v="Buy"/>
    <n v="558"/>
    <x v="1"/>
    <x v="1"/>
    <n v="2025"/>
    <s v="Buy"/>
    <x v="0"/>
    <s v="UnallocatedDFLHedge6000.93350"/>
    <x v="0"/>
  </r>
  <r>
    <x v="0"/>
    <d v="2024-12-23T00:00:00"/>
    <s v="DFL"/>
    <s v="Hedge"/>
    <n v="-600"/>
    <d v="2025-02-28T00:00:00"/>
    <d v="2025-02-28T00:00:00"/>
    <n v="0.1"/>
    <n v="0.22"/>
    <n v="-72"/>
    <n v="-60"/>
    <x v="19"/>
    <s v="Sell"/>
    <n v="-132"/>
    <x v="1"/>
    <x v="1"/>
    <n v="2025"/>
    <s v="Sell"/>
    <x v="0"/>
    <s v="UnallocatedDFLHedge-6000.22351"/>
    <x v="0"/>
  </r>
  <r>
    <x v="15"/>
    <d v="2024-12-19T00:00:00"/>
    <s v="Physical"/>
    <s v="Expo"/>
    <n v="704"/>
    <d v="2025-01-31T00:00:00"/>
    <d v="2025-01-31T00:00:00"/>
    <n v="-1.73"/>
    <n v="-1.4"/>
    <n v="232.32000000000005"/>
    <n v="-1217.92"/>
    <x v="18"/>
    <s v="Buy"/>
    <n v="-985.59999999999991"/>
    <x v="2"/>
    <x v="4"/>
    <n v="2025"/>
    <s v="Buy"/>
    <x v="1"/>
    <s v="CIF RDAM Jan 12-14 Load (BP)PhysicalExpo704-1.4352"/>
    <x v="0"/>
  </r>
  <r>
    <x v="15"/>
    <d v="2024-12-19T00:00:00"/>
    <s v="WTI Sprds"/>
    <s v="Expo"/>
    <n v="-704"/>
    <d v="2025-02-28T00:00:00"/>
    <d v="2025-03-31T00:00:00"/>
    <n v="0.43"/>
    <n v="0.49"/>
    <n v="-42.239999999999995"/>
    <n v="-302.71999999999997"/>
    <x v="13"/>
    <s v="Sell"/>
    <n v="-344.96"/>
    <x v="0"/>
    <x v="0"/>
    <n v="2025"/>
    <s v="Sell"/>
    <x v="0"/>
    <s v="CIF RDAM Jan 12-14 Load (BP)WTI SprdsExpo-7040.49353"/>
    <x v="0"/>
  </r>
  <r>
    <x v="15"/>
    <d v="2024-12-19T00:00:00"/>
    <s v="WTI-Brent"/>
    <s v="Expo"/>
    <n v="-704"/>
    <d v="2025-03-31T00:00:00"/>
    <d v="2025-03-31T00:00:00"/>
    <n v="-3.5"/>
    <n v="-4.2300000000000004"/>
    <n v="513.9200000000003"/>
    <n v="2464"/>
    <x v="20"/>
    <s v="Sell"/>
    <n v="2977.92"/>
    <x v="1"/>
    <x v="3"/>
    <n v="2025"/>
    <s v="Sell"/>
    <x v="0"/>
    <s v="CIF RDAM Jan 12-14 Load (BP)WTI-BrentExpo-704-4.23354"/>
    <x v="0"/>
  </r>
  <r>
    <x v="15"/>
    <d v="2024-12-19T00:00:00"/>
    <s v="DFL"/>
    <s v="Expo"/>
    <n v="704"/>
    <d v="2025-01-31T00:00:00"/>
    <d v="2025-01-31T00:00:00"/>
    <n v="0.3"/>
    <n v="0.93"/>
    <n v="443.5200000000001"/>
    <n v="211.2"/>
    <x v="18"/>
    <s v="Buy"/>
    <n v="654.72"/>
    <x v="1"/>
    <x v="1"/>
    <n v="2025"/>
    <s v="Buy"/>
    <x v="0"/>
    <s v="CIF RDAM Jan 12-14 Load (BP)DFLExpo7040.93355"/>
    <x v="0"/>
  </r>
  <r>
    <x v="15"/>
    <d v="2024-12-19T00:00:00"/>
    <s v="Freight-TD25"/>
    <s v="Expo"/>
    <n v="0"/>
    <d v="2025-01-31T00:00:00"/>
    <d v="2025-01-31T00:00:00"/>
    <n v="140"/>
    <n v="128.5"/>
    <n v="161"/>
    <n v="0"/>
    <x v="18"/>
    <s v="Buy"/>
    <n v="0"/>
    <x v="3"/>
    <x v="5"/>
    <n v="2025"/>
    <s v="Sell"/>
    <x v="0"/>
    <s v="CIF RDAM Jan 12-14 Load (BP)Freight-TD25Expo0128.5356"/>
    <x v="0"/>
  </r>
  <r>
    <x v="0"/>
    <d v="2024-12-27T00:00:00"/>
    <s v="Brent Sprds"/>
    <s v="Hedge"/>
    <n v="1185"/>
    <d v="2025-02-28T00:00:00"/>
    <d v="2025-03-31T00:00:00"/>
    <n v="0.38"/>
    <n v="0.4"/>
    <n v="23.700000000000021"/>
    <n v="450.3"/>
    <x v="13"/>
    <s v="Buy"/>
    <n v="474"/>
    <x v="0"/>
    <x v="2"/>
    <n v="2025"/>
    <s v="Buy"/>
    <x v="0"/>
    <s v="UnallocatedBrent SprdsHedge11850.4357"/>
    <x v="0"/>
  </r>
  <r>
    <x v="0"/>
    <d v="2024-12-30T00:00:00"/>
    <s v="DFL"/>
    <s v="Hedge"/>
    <n v="1400"/>
    <d v="2025-01-31T00:00:00"/>
    <d v="2025-01-31T00:00:00"/>
    <n v="0.5"/>
    <n v="0.93"/>
    <n v="602.00000000000011"/>
    <n v="700"/>
    <x v="18"/>
    <s v="Buy"/>
    <n v="1302"/>
    <x v="1"/>
    <x v="1"/>
    <n v="2025"/>
    <s v="Buy"/>
    <x v="0"/>
    <s v="UnallocatedDFLHedge14000.93358"/>
    <x v="0"/>
  </r>
  <r>
    <x v="0"/>
    <d v="2024-12-30T00:00:00"/>
    <s v="DFL"/>
    <s v="Hedge"/>
    <n v="-1400"/>
    <d v="2025-02-28T00:00:00"/>
    <d v="2025-02-28T00:00:00"/>
    <n v="0.31"/>
    <n v="0.22"/>
    <n v="126"/>
    <n v="-434"/>
    <x v="19"/>
    <s v="Sell"/>
    <n v="-308"/>
    <x v="1"/>
    <x v="1"/>
    <n v="2025"/>
    <s v="Sell"/>
    <x v="0"/>
    <s v="UnallocatedDFLHedge-14000.22359"/>
    <x v="0"/>
  </r>
  <r>
    <x v="0"/>
    <d v="2024-12-19T00:00:00"/>
    <s v="WTI-Brent"/>
    <s v="Expo"/>
    <n v="65"/>
    <d v="2025-02-28T00:00:00"/>
    <d v="2025-02-28T00:00:00"/>
    <n v="-3.57"/>
    <n v="-3.4"/>
    <n v="11.049999999999995"/>
    <n v="-232.04999999999998"/>
    <x v="19"/>
    <s v="Buy"/>
    <n v="-221"/>
    <x v="1"/>
    <x v="3"/>
    <n v="2025"/>
    <s v="Buy"/>
    <x v="0"/>
    <s v="UnallocatedWTI-BrentExpo65-3.4360"/>
    <x v="0"/>
  </r>
  <r>
    <x v="0"/>
    <d v="2025-01-02T00:00:00"/>
    <s v="DFL"/>
    <s v="Hedge"/>
    <n v="300"/>
    <d v="2025-01-31T00:00:00"/>
    <d v="2025-01-31T00:00:00"/>
    <n v="0.55000000000000004"/>
    <n v="0.93"/>
    <n v="114"/>
    <n v="165"/>
    <x v="18"/>
    <s v="Buy"/>
    <n v="279"/>
    <x v="1"/>
    <x v="1"/>
    <n v="2025"/>
    <s v="Buy"/>
    <x v="0"/>
    <s v="UnallocatedDFLHedge3000.93361"/>
    <x v="0"/>
  </r>
  <r>
    <x v="0"/>
    <d v="2025-01-02T00:00:00"/>
    <s v="DFL"/>
    <s v="Hedge"/>
    <n v="-300"/>
    <d v="2025-02-28T00:00:00"/>
    <d v="2025-02-28T00:00:00"/>
    <n v="0.35"/>
    <n v="0.22"/>
    <n v="38.999999999999993"/>
    <n v="-105"/>
    <x v="19"/>
    <s v="Sell"/>
    <n v="-66"/>
    <x v="1"/>
    <x v="1"/>
    <n v="2025"/>
    <s v="Sell"/>
    <x v="0"/>
    <s v="UnallocatedDFLHedge-3000.22362"/>
    <x v="0"/>
  </r>
  <r>
    <x v="29"/>
    <d v="2024-12-31T00:00:00"/>
    <s v="WTI Sprds"/>
    <s v="Hedge"/>
    <n v="0"/>
    <d v="2024-12-31T00:00:00"/>
    <d v="2024-12-31T00:00:00"/>
    <m/>
    <n v="0.15"/>
    <n v="-291.00000000002012"/>
    <n v="0"/>
    <x v="17"/>
    <s v="Buy"/>
    <n v="0"/>
    <x v="0"/>
    <x v="0"/>
    <n v="2024"/>
    <s v="Sell"/>
    <x v="0"/>
    <s v="EOY Flattening OutWTI SprdsHedge00.15363"/>
    <x v="0"/>
  </r>
  <r>
    <x v="29"/>
    <d v="2024-12-31T00:00:00"/>
    <s v="Brent Sprds"/>
    <s v="Hedge"/>
    <n v="0"/>
    <d v="2024-12-31T00:00:00"/>
    <d v="2024-12-31T00:00:00"/>
    <m/>
    <n v="0.35"/>
    <n v="1154.7000000000251"/>
    <n v="0"/>
    <x v="17"/>
    <s v="Buy"/>
    <n v="0"/>
    <x v="0"/>
    <x v="2"/>
    <n v="2024"/>
    <s v="Sell"/>
    <x v="0"/>
    <s v="EOY Flattening OutBrent SprdsHedge00.35364"/>
    <x v="0"/>
  </r>
  <r>
    <x v="29"/>
    <d v="2024-12-31T00:00:00"/>
    <s v="WTI-Brent"/>
    <s v="Hedge"/>
    <n v="0"/>
    <d v="2024-12-31T00:00:00"/>
    <d v="2024-12-31T00:00:00"/>
    <m/>
    <n v="-3.9"/>
    <n v="3468.2900000000263"/>
    <n v="0"/>
    <x v="17"/>
    <s v="Buy"/>
    <n v="0"/>
    <x v="1"/>
    <x v="3"/>
    <n v="2024"/>
    <s v="Sell"/>
    <x v="0"/>
    <s v="EOY Flattening OutWTI-BrentHedge0-3.9365"/>
    <x v="0"/>
  </r>
  <r>
    <x v="29"/>
    <d v="2024-12-31T00:00:00"/>
    <s v="DFL"/>
    <s v="Hedge"/>
    <n v="0"/>
    <d v="2024-12-31T00:00:00"/>
    <d v="2024-12-31T00:00:00"/>
    <m/>
    <m/>
    <n v="-5808.7999999999993"/>
    <n v="0"/>
    <x v="17"/>
    <s v="Buy"/>
    <n v="0"/>
    <x v="1"/>
    <x v="1"/>
    <n v="2024"/>
    <s v="Sell"/>
    <x v="0"/>
    <s v="EOY Flattening OutDFLHedge0366"/>
    <x v="0"/>
  </r>
  <r>
    <x v="29"/>
    <d v="2024-12-31T00:00:00"/>
    <s v="Physical"/>
    <s v="Hedge"/>
    <n v="0"/>
    <d v="2024-12-31T00:00:00"/>
    <d v="2024-12-31T00:00:00"/>
    <m/>
    <m/>
    <n v="-3984.2"/>
    <n v="0"/>
    <x v="17"/>
    <s v="Buy"/>
    <n v="0"/>
    <x v="2"/>
    <x v="4"/>
    <n v="2024"/>
    <s v="Sell"/>
    <x v="1"/>
    <s v="EOY Flattening OutPhysicalHedge0367"/>
    <x v="0"/>
  </r>
  <r>
    <x v="29"/>
    <d v="2024-12-31T00:00:00"/>
    <s v="Legacy 2024"/>
    <s v="Hedge"/>
    <n v="0"/>
    <d v="2024-12-31T00:00:00"/>
    <d v="2024-12-31T00:00:00"/>
    <m/>
    <m/>
    <n v="-650"/>
    <n v="0"/>
    <x v="17"/>
    <s v="Buy"/>
    <n v="0"/>
    <x v="4"/>
    <x v="6"/>
    <n v="2024"/>
    <s v="Sell"/>
    <x v="0"/>
    <s v="EOY Flattening OutLegacy 2024Hedge0368"/>
    <x v="0"/>
  </r>
  <r>
    <x v="29"/>
    <d v="2024-12-31T00:00:00"/>
    <s v="WTI Sprds-Fly"/>
    <s v="Hedge"/>
    <n v="0"/>
    <d v="2024-12-31T00:00:00"/>
    <d v="2024-12-31T00:00:00"/>
    <m/>
    <n v="0.15"/>
    <n v="0"/>
    <n v="0"/>
    <x v="17"/>
    <s v="Buy"/>
    <n v="0"/>
    <x v="0"/>
    <x v="0"/>
    <n v="2024"/>
    <s v="Sell"/>
    <x v="0"/>
    <s v="EOY Flattening OutWTI Sprds-FlyHedge00.15369"/>
    <x v="0"/>
  </r>
  <r>
    <x v="29"/>
    <d v="2024-12-31T00:00:00"/>
    <s v="Freight-TD25"/>
    <s v="Hedge"/>
    <n v="0"/>
    <d v="2024-12-31T00:00:00"/>
    <d v="2024-12-31T00:00:00"/>
    <m/>
    <m/>
    <n v="-2849.7933333333331"/>
    <n v="0"/>
    <x v="17"/>
    <s v="Buy"/>
    <n v="0"/>
    <x v="3"/>
    <x v="5"/>
    <n v="2024"/>
    <s v="Sell"/>
    <x v="0"/>
    <s v="EOY Flattening OutFreight-TD25Hedge0370"/>
    <x v="0"/>
  </r>
  <r>
    <x v="29"/>
    <d v="2024-12-31T00:00:00"/>
    <s v="Freight-TD7"/>
    <s v="Hedge"/>
    <n v="0"/>
    <d v="2024-12-31T00:00:00"/>
    <d v="2024-12-31T00:00:00"/>
    <m/>
    <m/>
    <n v="1733.179233621755"/>
    <n v="0"/>
    <x v="17"/>
    <s v="Buy"/>
    <n v="0"/>
    <x v="3"/>
    <x v="5"/>
    <n v="2024"/>
    <s v="Sell"/>
    <x v="0"/>
    <s v="EOY Flattening OutFreight-TD7Hedge0371"/>
    <x v="0"/>
  </r>
  <r>
    <x v="29"/>
    <d v="2024-12-31T00:00:00"/>
    <s v="Freight-TD22"/>
    <s v="Hedge"/>
    <n v="0"/>
    <d v="2024-12-31T00:00:00"/>
    <d v="2024-12-31T00:00:00"/>
    <m/>
    <m/>
    <n v="-1050"/>
    <n v="0"/>
    <x v="17"/>
    <s v="Buy"/>
    <n v="0"/>
    <x v="3"/>
    <x v="5"/>
    <n v="2024"/>
    <s v="Sell"/>
    <x v="0"/>
    <s v="EOY Flattening OutFreight-TD22Hedge0372"/>
    <x v="0"/>
  </r>
  <r>
    <x v="29"/>
    <d v="2024-12-31T00:00:00"/>
    <s v="Legacy 2024"/>
    <s v="Hedge"/>
    <n v="0"/>
    <d v="2024-12-31T00:00:00"/>
    <d v="2024-12-31T00:00:00"/>
    <m/>
    <m/>
    <n v="-949"/>
    <n v="0"/>
    <x v="17"/>
    <s v="Buy"/>
    <n v="0"/>
    <x v="4"/>
    <x v="6"/>
    <n v="2024"/>
    <s v="Sell"/>
    <x v="0"/>
    <s v="EOY Flattening OutLegacy 2024Hedge0373"/>
    <x v="0"/>
  </r>
  <r>
    <x v="29"/>
    <d v="2025-07-24T00:00:00"/>
    <s v="Physical"/>
    <s v="Hedge"/>
    <n v="0"/>
    <d v="2024-12-31T00:00:00"/>
    <d v="2024-12-31T00:00:00"/>
    <m/>
    <m/>
    <n v="650"/>
    <n v="0"/>
    <x v="17"/>
    <s v="Buy"/>
    <n v="0"/>
    <x v="2"/>
    <x v="4"/>
    <n v="2024"/>
    <s v="Sell"/>
    <x v="1"/>
    <s v="EOY Flattening OutPhysicalHedge0374"/>
    <x v="0"/>
  </r>
  <r>
    <x v="29"/>
    <d v="2025-08-14T00:00:00"/>
    <s v="Physical"/>
    <s v="Hedge"/>
    <n v="0"/>
    <d v="2024-12-31T00:00:00"/>
    <d v="2024-12-31T00:00:00"/>
    <m/>
    <m/>
    <m/>
    <n v="0"/>
    <x v="17"/>
    <s v="Buy"/>
    <n v="0"/>
    <x v="2"/>
    <x v="4"/>
    <n v="2024"/>
    <s v="Sell"/>
    <x v="1"/>
    <s v="EOY Flattening OutPhysicalHedge0375"/>
    <x v="0"/>
  </r>
  <r>
    <x v="29"/>
    <d v="2024-12-31T00:00:00"/>
    <s v="Physical"/>
    <s v="Hedge"/>
    <n v="0"/>
    <d v="2024-12-31T00:00:00"/>
    <d v="2024-12-31T00:00:00"/>
    <m/>
    <m/>
    <n v="-4012"/>
    <n v="0"/>
    <x v="17"/>
    <s v="Buy"/>
    <n v="0"/>
    <x v="2"/>
    <x v="4"/>
    <n v="2024"/>
    <s v="Sell"/>
    <x v="1"/>
    <s v="EOY Flattening OutPhysicalHedge0376"/>
    <x v="0"/>
  </r>
  <r>
    <x v="29"/>
    <d v="2025-10-13T00:00:00"/>
    <s v="Physical"/>
    <s v="Hedge"/>
    <n v="0"/>
    <d v="2024-12-31T00:00:00"/>
    <d v="2024-12-31T00:00:00"/>
    <m/>
    <m/>
    <n v="500"/>
    <n v="0"/>
    <x v="17"/>
    <s v="Buy"/>
    <n v="0"/>
    <x v="2"/>
    <x v="4"/>
    <n v="2024"/>
    <s v="Sell"/>
    <x v="1"/>
    <s v="EOY Flattening OutPhysicalHedge0377"/>
    <x v="0"/>
  </r>
  <r>
    <x v="29"/>
    <d v="2025-10-17T00:00:00"/>
    <s v="Physical"/>
    <s v="Hedge"/>
    <n v="0"/>
    <d v="2024-12-31T00:00:00"/>
    <d v="2024-12-31T00:00:00"/>
    <m/>
    <m/>
    <n v="500"/>
    <n v="0"/>
    <x v="17"/>
    <s v="Buy"/>
    <n v="0"/>
    <x v="2"/>
    <x v="4"/>
    <n v="2024"/>
    <s v="Sell"/>
    <x v="1"/>
    <s v="EOY Flattening OutPhysicalHedge0378"/>
    <x v="0"/>
  </r>
  <r>
    <x v="29"/>
    <d v="2025-10-30T00:00:00"/>
    <s v="Physical"/>
    <s v="Hedge"/>
    <n v="0"/>
    <d v="2024-12-31T00:00:00"/>
    <d v="2024-12-31T00:00:00"/>
    <m/>
    <m/>
    <n v="500"/>
    <n v="0"/>
    <x v="17"/>
    <s v="Buy"/>
    <n v="0"/>
    <x v="2"/>
    <x v="4"/>
    <n v="2024"/>
    <s v="Sell"/>
    <x v="1"/>
    <s v="EOY Flattening OutPhysicalHedge0379"/>
    <x v="0"/>
  </r>
  <r>
    <x v="29"/>
    <d v="2025-10-31T00:00:00"/>
    <s v="Freight-TD22"/>
    <s v="Hedge"/>
    <n v="0"/>
    <d v="2024-12-31T00:00:00"/>
    <d v="2024-12-31T00:00:00"/>
    <m/>
    <m/>
    <n v="500"/>
    <n v="0"/>
    <x v="17"/>
    <s v="Buy"/>
    <n v="0"/>
    <x v="3"/>
    <x v="5"/>
    <n v="2024"/>
    <s v="Sell"/>
    <x v="0"/>
    <s v="EOY Flattening OutFreight-TD22Hedge0380"/>
    <x v="0"/>
  </r>
  <r>
    <x v="29"/>
    <d v="2025-11-17T00:00:00"/>
    <s v="Brent Sprds"/>
    <s v="Hedge"/>
    <n v="0"/>
    <d v="2024-12-31T00:00:00"/>
    <d v="2024-12-31T00:00:00"/>
    <m/>
    <n v="0.35"/>
    <n v="2000"/>
    <n v="0"/>
    <x v="17"/>
    <s v="Buy"/>
    <n v="0"/>
    <x v="0"/>
    <x v="2"/>
    <n v="2024"/>
    <s v="Sell"/>
    <x v="0"/>
    <s v="EOY Flattening OutBrent SprdsHedge00.35381"/>
    <x v="0"/>
  </r>
  <r>
    <x v="29"/>
    <d v="2025-11-17T00:00:00"/>
    <s v="WTI Sprds"/>
    <s v="Hedge"/>
    <n v="0"/>
    <d v="2024-12-31T00:00:00"/>
    <d v="2024-12-31T00:00:00"/>
    <m/>
    <n v="0.15"/>
    <n v="2720.8"/>
    <n v="0"/>
    <x v="17"/>
    <s v="Buy"/>
    <n v="0"/>
    <x v="0"/>
    <x v="0"/>
    <n v="2024"/>
    <s v="Sell"/>
    <x v="0"/>
    <s v="EOY Flattening OutWTI SprdsHedge00.15382"/>
    <x v="0"/>
  </r>
  <r>
    <x v="0"/>
    <d v="2025-01-03T00:00:00"/>
    <s v="CFD"/>
    <s v="Hedge"/>
    <n v="-1000"/>
    <s v="Jan 6-10"/>
    <d v="2025-01-31T00:00:00"/>
    <n v="0.44"/>
    <n v="0.99"/>
    <n v="-550"/>
    <n v="-440"/>
    <x v="27"/>
    <s v="Sell"/>
    <n v="-990"/>
    <x v="1"/>
    <x v="1"/>
    <n v="2025"/>
    <s v="Sell"/>
    <x v="0"/>
    <s v="UnallocatedCFDHedge-10000.99383"/>
    <x v="0"/>
  </r>
  <r>
    <x v="0"/>
    <d v="2025-01-03T00:00:00"/>
    <s v="CFD"/>
    <s v="Hedge"/>
    <n v="1000"/>
    <s v="Jan 20-24"/>
    <d v="2025-01-31T00:00:00"/>
    <n v="0.56999999999999995"/>
    <n v="1.43"/>
    <n v="860"/>
    <n v="570"/>
    <x v="28"/>
    <s v="Buy"/>
    <n v="1430"/>
    <x v="1"/>
    <x v="1"/>
    <n v="2025"/>
    <s v="Buy"/>
    <x v="0"/>
    <s v="UnallocatedCFDHedge10001.43384"/>
    <x v="0"/>
  </r>
  <r>
    <x v="0"/>
    <d v="2025-01-03T00:00:00"/>
    <s v="DFL"/>
    <s v="Hedge"/>
    <n v="400"/>
    <d v="2025-02-28T00:00:00"/>
    <d v="2025-02-28T00:00:00"/>
    <n v="0.53869"/>
    <n v="0.22"/>
    <n v="-127.47600000000001"/>
    <n v="215.476"/>
    <x v="19"/>
    <s v="Buy"/>
    <n v="88"/>
    <x v="1"/>
    <x v="1"/>
    <n v="2025"/>
    <s v="Buy"/>
    <x v="0"/>
    <s v="UnallocatedDFLHedge4000.22385"/>
    <x v="0"/>
  </r>
  <r>
    <x v="0"/>
    <d v="2025-01-03T00:00:00"/>
    <s v="DFL"/>
    <s v="Hedge"/>
    <n v="-400"/>
    <d v="2025-03-31T00:00:00"/>
    <d v="2025-03-31T00:00:00"/>
    <n v="0.35"/>
    <n v="1.1299999999999999"/>
    <n v="-311.99999999999994"/>
    <n v="-140"/>
    <x v="20"/>
    <s v="Sell"/>
    <n v="-451.99999999999994"/>
    <x v="1"/>
    <x v="1"/>
    <n v="2025"/>
    <s v="Sell"/>
    <x v="0"/>
    <s v="UnallocatedDFLHedge-4001.13386"/>
    <x v="0"/>
  </r>
  <r>
    <x v="0"/>
    <d v="2025-01-03T00:00:00"/>
    <s v="WTI Sprds"/>
    <s v="Hedge"/>
    <n v="-250"/>
    <d v="2025-02-28T00:00:00"/>
    <d v="2025-03-31T00:00:00"/>
    <n v="0.78"/>
    <n v="0.49"/>
    <n v="72.500000000000014"/>
    <n v="-195"/>
    <x v="13"/>
    <s v="Sell"/>
    <n v="-122.5"/>
    <x v="0"/>
    <x v="0"/>
    <n v="2025"/>
    <s v="Sell"/>
    <x v="0"/>
    <s v="UnallocatedWTI SprdsHedge-2500.49387"/>
    <x v="0"/>
  </r>
  <r>
    <x v="0"/>
    <d v="2025-01-03T00:00:00"/>
    <s v="WTI Sprds"/>
    <s v="Hedge"/>
    <n v="-250"/>
    <d v="2025-03-31T00:00:00"/>
    <d v="2025-04-30T00:00:00"/>
    <n v="0.6"/>
    <n v="0.15"/>
    <n v="112.49999999999999"/>
    <n v="-150"/>
    <x v="14"/>
    <s v="Sell"/>
    <n v="-37.5"/>
    <x v="0"/>
    <x v="0"/>
    <n v="2025"/>
    <s v="Sell"/>
    <x v="0"/>
    <s v="UnallocatedWTI SprdsHedge-2500.15388"/>
    <x v="0"/>
  </r>
  <r>
    <x v="0"/>
    <d v="2025-01-03T00:00:00"/>
    <s v="WTI Sprds"/>
    <s v="Hedge"/>
    <n v="-250"/>
    <d v="2025-02-28T00:00:00"/>
    <d v="2025-03-31T00:00:00"/>
    <n v="0.8"/>
    <n v="0.49"/>
    <n v="77.500000000000014"/>
    <n v="-200"/>
    <x v="13"/>
    <s v="Sell"/>
    <n v="-122.5"/>
    <x v="0"/>
    <x v="0"/>
    <n v="2025"/>
    <s v="Sell"/>
    <x v="0"/>
    <s v="UnallocatedWTI SprdsHedge-2500.49389"/>
    <x v="0"/>
  </r>
  <r>
    <x v="0"/>
    <d v="2025-01-03T00:00:00"/>
    <s v="WTI Sprds"/>
    <s v="Hedge"/>
    <n v="-250"/>
    <d v="2025-03-31T00:00:00"/>
    <d v="2025-04-30T00:00:00"/>
    <n v="0.6"/>
    <n v="0.15"/>
    <n v="112.49999999999999"/>
    <n v="-150"/>
    <x v="14"/>
    <s v="Sell"/>
    <n v="-37.5"/>
    <x v="0"/>
    <x v="0"/>
    <n v="2025"/>
    <s v="Sell"/>
    <x v="0"/>
    <s v="UnallocatedWTI SprdsHedge-2500.15390"/>
    <x v="0"/>
  </r>
  <r>
    <x v="0"/>
    <d v="2025-01-03T00:00:00"/>
    <s v="WTI-Brent"/>
    <s v="Hedge"/>
    <n v="-250"/>
    <d v="2025-04-30T00:00:00"/>
    <d v="2025-04-30T00:00:00"/>
    <n v="-3.27"/>
    <n v="-3.42"/>
    <n v="37.499999999999979"/>
    <n v="817.5"/>
    <x v="21"/>
    <s v="Sell"/>
    <n v="855"/>
    <x v="1"/>
    <x v="3"/>
    <n v="2025"/>
    <s v="Sell"/>
    <x v="0"/>
    <s v="UnallocatedWTI-BrentHedge-250-3.42391"/>
    <x v="0"/>
  </r>
  <r>
    <x v="0"/>
    <d v="2025-01-06T00:00:00"/>
    <s v="Brent Sprds"/>
    <s v="Hedge"/>
    <n v="2725"/>
    <d v="2025-03-31T00:00:00"/>
    <d v="2025-04-30T00:00:00"/>
    <n v="0.6"/>
    <n v="1.0900000000000001"/>
    <n v="1335.2500000000002"/>
    <n v="1635"/>
    <x v="14"/>
    <s v="Buy"/>
    <n v="2970.25"/>
    <x v="0"/>
    <x v="2"/>
    <n v="2025"/>
    <s v="Buy"/>
    <x v="0"/>
    <s v="UnallocatedBrent SprdsHedge27251.09392"/>
    <x v="0"/>
  </r>
  <r>
    <x v="0"/>
    <d v="2025-01-06T00:00:00"/>
    <s v="Brent Sprds"/>
    <s v="Hedge"/>
    <n v="-500"/>
    <d v="2025-05-31T00:00:00"/>
    <d v="2025-06-30T00:00:00"/>
    <n v="0.38"/>
    <n v="-0.03"/>
    <n v="205.00000000000003"/>
    <n v="-190"/>
    <x v="16"/>
    <s v="Sell"/>
    <n v="15"/>
    <x v="0"/>
    <x v="2"/>
    <n v="2025"/>
    <s v="Sell"/>
    <x v="0"/>
    <s v="UnallocatedBrent SprdsHedge-500-0.03393"/>
    <x v="0"/>
  </r>
  <r>
    <x v="0"/>
    <d v="2025-01-06T00:00:00"/>
    <s v="DFL"/>
    <s v="Hedge"/>
    <n v="300"/>
    <d v="2025-02-28T00:00:00"/>
    <d v="2025-02-28T00:00:00"/>
    <n v="0.58869000000000005"/>
    <n v="0.22"/>
    <n v="-110.60700000000003"/>
    <n v="176.60700000000003"/>
    <x v="19"/>
    <s v="Buy"/>
    <n v="66"/>
    <x v="1"/>
    <x v="1"/>
    <n v="2025"/>
    <s v="Buy"/>
    <x v="0"/>
    <s v="UnallocatedDFLHedge3000.22394"/>
    <x v="0"/>
  </r>
  <r>
    <x v="0"/>
    <d v="2025-01-06T00:00:00"/>
    <s v="DFL"/>
    <s v="Hedge"/>
    <n v="-300"/>
    <d v="2025-03-31T00:00:00"/>
    <d v="2025-03-31T00:00:00"/>
    <n v="0.38"/>
    <n v="1.1299999999999999"/>
    <n v="-224.99999999999997"/>
    <n v="-114"/>
    <x v="20"/>
    <s v="Sell"/>
    <n v="-338.99999999999994"/>
    <x v="1"/>
    <x v="1"/>
    <n v="2025"/>
    <s v="Sell"/>
    <x v="0"/>
    <s v="UnallocatedDFLHedge-3001.13395"/>
    <x v="0"/>
  </r>
  <r>
    <x v="0"/>
    <d v="2025-01-07T00:00:00"/>
    <s v="DFL"/>
    <s v="Hedge"/>
    <n v="700"/>
    <d v="2025-02-28T00:00:00"/>
    <d v="2025-02-28T00:00:00"/>
    <n v="0.64868999999999999"/>
    <n v="0.22"/>
    <n v="-300.08300000000003"/>
    <n v="454.08299999999997"/>
    <x v="19"/>
    <s v="Buy"/>
    <n v="154"/>
    <x v="1"/>
    <x v="1"/>
    <n v="2025"/>
    <s v="Buy"/>
    <x v="0"/>
    <s v="UnallocatedDFLHedge7000.22396"/>
    <x v="0"/>
  </r>
  <r>
    <x v="0"/>
    <d v="2025-01-08T00:00:00"/>
    <s v="DFL"/>
    <s v="Hedge"/>
    <n v="800"/>
    <d v="2025-02-28T00:00:00"/>
    <d v="2025-02-28T00:00:00"/>
    <n v="0.66769000000000001"/>
    <n v="0.22"/>
    <n v="-358.15200000000004"/>
    <n v="534.15200000000004"/>
    <x v="19"/>
    <s v="Buy"/>
    <n v="176"/>
    <x v="1"/>
    <x v="1"/>
    <n v="2025"/>
    <s v="Buy"/>
    <x v="0"/>
    <s v="UnallocatedDFLHedge8000.22397"/>
    <x v="0"/>
  </r>
  <r>
    <x v="0"/>
    <d v="2025-01-07T00:00:00"/>
    <s v="DFL"/>
    <s v="Hedge"/>
    <n v="-700"/>
    <d v="2025-03-31T00:00:00"/>
    <d v="2025-03-31T00:00:00"/>
    <n v="0.40500000000000003"/>
    <n v="1.1299999999999999"/>
    <n v="-507.49999999999989"/>
    <n v="-283.5"/>
    <x v="20"/>
    <s v="Sell"/>
    <n v="-790.99999999999989"/>
    <x v="1"/>
    <x v="1"/>
    <n v="2025"/>
    <s v="Sell"/>
    <x v="0"/>
    <s v="UnallocatedDFLHedge-7001.13398"/>
    <x v="0"/>
  </r>
  <r>
    <x v="0"/>
    <d v="2025-01-08T00:00:00"/>
    <s v="DFL"/>
    <s v="Hedge"/>
    <n v="-800"/>
    <d v="2025-03-31T00:00:00"/>
    <d v="2025-03-31T00:00:00"/>
    <n v="0.44629999999999997"/>
    <n v="1.1299999999999999"/>
    <n v="-546.96"/>
    <n v="-357.03999999999996"/>
    <x v="20"/>
    <s v="Sell"/>
    <n v="-903.99999999999989"/>
    <x v="1"/>
    <x v="1"/>
    <n v="2025"/>
    <s v="Sell"/>
    <x v="0"/>
    <s v="UnallocatedDFLHedge-8001.13399"/>
    <x v="0"/>
  </r>
  <r>
    <x v="0"/>
    <d v="2025-01-07T00:00:00"/>
    <s v="CFD"/>
    <s v="Hedge"/>
    <n v="700"/>
    <s v="Jan27-Jan31"/>
    <d v="2025-01-31T00:00:00"/>
    <n v="0.72"/>
    <n v="0.36199999999999999"/>
    <n v="-250.6"/>
    <n v="504"/>
    <x v="29"/>
    <s v="Buy"/>
    <n v="253.4"/>
    <x v="1"/>
    <x v="1"/>
    <n v="2025"/>
    <s v="Buy"/>
    <x v="0"/>
    <s v="UnallocatedCFDHedge7000.362400"/>
    <x v="0"/>
  </r>
  <r>
    <x v="0"/>
    <d v="2025-01-09T00:00:00"/>
    <s v="DFL"/>
    <s v="Hedge"/>
    <n v="500"/>
    <d v="2025-02-28T00:00:00"/>
    <d v="2025-02-28T00:00:00"/>
    <n v="0.67869000000000002"/>
    <n v="0.22"/>
    <n v="-229.34500000000003"/>
    <n v="339.34500000000003"/>
    <x v="19"/>
    <s v="Buy"/>
    <n v="110"/>
    <x v="1"/>
    <x v="1"/>
    <n v="2025"/>
    <s v="Buy"/>
    <x v="0"/>
    <s v="UnallocatedDFLHedge5000.22401"/>
    <x v="0"/>
  </r>
  <r>
    <x v="0"/>
    <d v="2025-01-09T00:00:00"/>
    <s v="DFL"/>
    <s v="Hedge"/>
    <n v="-500"/>
    <d v="2025-03-31T00:00:00"/>
    <d v="2025-03-31T00:00:00"/>
    <n v="0.42"/>
    <n v="1.1299999999999999"/>
    <n v="-355"/>
    <n v="-210"/>
    <x v="20"/>
    <s v="Sell"/>
    <n v="-565"/>
    <x v="1"/>
    <x v="1"/>
    <n v="2025"/>
    <s v="Sell"/>
    <x v="0"/>
    <s v="UnallocatedDFLHedge-5001.13402"/>
    <x v="0"/>
  </r>
  <r>
    <x v="0"/>
    <d v="2025-01-08T00:00:00"/>
    <s v="CFD"/>
    <s v="Hedge"/>
    <n v="300"/>
    <s v="Jan27-Jan31"/>
    <d v="2025-01-31T00:00:00"/>
    <n v="0.45"/>
    <n v="0.36199999999999999"/>
    <n v="-26.400000000000006"/>
    <n v="135"/>
    <x v="29"/>
    <s v="Buy"/>
    <n v="108.6"/>
    <x v="1"/>
    <x v="1"/>
    <n v="2025"/>
    <s v="Buy"/>
    <x v="0"/>
    <s v="UnallocatedCFDHedge3000.362403"/>
    <x v="0"/>
  </r>
  <r>
    <x v="0"/>
    <d v="2025-01-08T00:00:00"/>
    <s v="WTI Sprds"/>
    <s v="Hedge"/>
    <n v="2000"/>
    <d v="2025-02-28T00:00:00"/>
    <d v="2025-03-31T00:00:00"/>
    <n v="0.65"/>
    <n v="0.49"/>
    <n v="-320.00000000000006"/>
    <n v="1300"/>
    <x v="13"/>
    <s v="Buy"/>
    <n v="980"/>
    <x v="0"/>
    <x v="0"/>
    <n v="2025"/>
    <s v="Buy"/>
    <x v="0"/>
    <s v="UnallocatedWTI SprdsHedge20000.49404"/>
    <x v="0"/>
  </r>
  <r>
    <x v="0"/>
    <d v="2025-01-08T00:00:00"/>
    <s v="WTI-Brent"/>
    <s v="Hedge"/>
    <n v="2000"/>
    <d v="2025-03-31T00:00:00"/>
    <d v="2025-03-31T00:00:00"/>
    <n v="-3.49"/>
    <n v="-4.2300000000000004"/>
    <n v="-1480.0000000000005"/>
    <n v="-6980"/>
    <x v="20"/>
    <s v="Buy"/>
    <n v="-8460"/>
    <x v="1"/>
    <x v="3"/>
    <n v="2025"/>
    <s v="Buy"/>
    <x v="0"/>
    <s v="UnallocatedWTI-BrentHedge2000-4.23405"/>
    <x v="0"/>
  </r>
  <r>
    <x v="0"/>
    <d v="2025-01-08T00:00:00"/>
    <s v="Brent Sprds"/>
    <s v="Hedge"/>
    <n v="2000"/>
    <d v="2025-03-31T00:00:00"/>
    <d v="2025-04-30T00:00:00"/>
    <n v="0.57999999999999996"/>
    <n v="1.0900000000000001"/>
    <n v="1020.0000000000002"/>
    <n v="1160"/>
    <x v="14"/>
    <s v="Buy"/>
    <n v="2180"/>
    <x v="0"/>
    <x v="2"/>
    <n v="2025"/>
    <s v="Buy"/>
    <x v="0"/>
    <s v="UnallocatedBrent SprdsHedge20001.09406"/>
    <x v="0"/>
  </r>
  <r>
    <x v="0"/>
    <d v="2025-01-08T00:00:00"/>
    <s v="WTI-Brent"/>
    <s v="Hedge"/>
    <n v="300"/>
    <d v="2025-03-31T00:00:00"/>
    <d v="2025-03-31T00:00:00"/>
    <n v="-3.5"/>
    <n v="-4.2300000000000004"/>
    <n v="-219.00000000000011"/>
    <n v="-1050"/>
    <x v="20"/>
    <s v="Buy"/>
    <n v="-1269.0000000000002"/>
    <x v="1"/>
    <x v="3"/>
    <n v="2025"/>
    <s v="Buy"/>
    <x v="0"/>
    <s v="UnallocatedWTI-BrentHedge300-4.23407"/>
    <x v="0"/>
  </r>
  <r>
    <x v="0"/>
    <d v="2025-01-08T00:00:00"/>
    <s v="Brent Sprds"/>
    <s v="Hedge"/>
    <n v="2000"/>
    <d v="2025-04-30T00:00:00"/>
    <d v="2025-05-31T00:00:00"/>
    <n v="0.47"/>
    <n v="0.37"/>
    <n v="-199.99999999999994"/>
    <n v="940"/>
    <x v="15"/>
    <s v="Buy"/>
    <n v="740"/>
    <x v="0"/>
    <x v="2"/>
    <n v="2025"/>
    <s v="Buy"/>
    <x v="0"/>
    <s v="UnallocatedBrent SprdsHedge20000.37408"/>
    <x v="0"/>
  </r>
  <r>
    <x v="16"/>
    <d v="2025-01-09T00:00:00"/>
    <s v="Freight-TD22"/>
    <s v="Expo"/>
    <n v="-2000"/>
    <d v="2025-02-28T00:00:00"/>
    <d v="2025-02-28T00:00:00"/>
    <n v="6400"/>
    <n v="9300"/>
    <n v="-2900"/>
    <n v="-12800000"/>
    <x v="19"/>
    <s v="Sell"/>
    <n v="-18600000"/>
    <x v="3"/>
    <x v="5"/>
    <n v="2025"/>
    <s v="Sell"/>
    <x v="0"/>
    <s v="HDO April 12-22 25Freight-TD22Expo-20009300409"/>
    <x v="0"/>
  </r>
  <r>
    <x v="16"/>
    <d v="2025-01-09T00:00:00"/>
    <s v="Freight-TD22"/>
    <s v="Hedge"/>
    <n v="2000"/>
    <d v="2025-02-28T00:00:00"/>
    <d v="2025-02-28T00:00:00"/>
    <n v="9300"/>
    <n v="9300"/>
    <n v="0"/>
    <n v="18600000"/>
    <x v="19"/>
    <s v="Buy"/>
    <n v="18600000"/>
    <x v="3"/>
    <x v="5"/>
    <n v="2025"/>
    <s v="Buy"/>
    <x v="0"/>
    <s v="HDO April 12-22 25Freight-TD22Hedge20009300410"/>
    <x v="0"/>
  </r>
  <r>
    <x v="16"/>
    <d v="2025-01-09T00:00:00"/>
    <s v="Physical"/>
    <s v="Expo"/>
    <n v="2068"/>
    <d v="2025-02-28T00:00:00"/>
    <d v="2025-02-28T00:00:00"/>
    <n v="3.2747775628626692"/>
    <n v="3.95"/>
    <n v="1396.3600000000006"/>
    <n v="6772.24"/>
    <x v="19"/>
    <s v="Buy"/>
    <n v="8168.6"/>
    <x v="2"/>
    <x v="4"/>
    <n v="2025"/>
    <s v="Buy"/>
    <x v="1"/>
    <s v="HDO April 12-22 25PhysicalExpo20683.95411"/>
    <x v="0"/>
  </r>
  <r>
    <x v="16"/>
    <d v="2025-01-09T00:00:00"/>
    <s v="WTI Sprds"/>
    <s v="Expo"/>
    <n v="-2068"/>
    <d v="2025-02-28T00:00:00"/>
    <d v="2025-03-31T00:00:00"/>
    <n v="0.68000000000000682"/>
    <n v="0.49"/>
    <n v="392.92000000001411"/>
    <n v="-1406.2400000000141"/>
    <x v="13"/>
    <s v="Sell"/>
    <n v="-1013.3199999999999"/>
    <x v="0"/>
    <x v="0"/>
    <n v="2025"/>
    <s v="Sell"/>
    <x v="0"/>
    <s v="HDO April 12-22 25WTI SprdsExpo-20680.49412"/>
    <x v="0"/>
  </r>
  <r>
    <x v="16"/>
    <d v="2025-01-09T00:00:00"/>
    <s v="WTI Sprds"/>
    <s v="Expo"/>
    <n v="-2068"/>
    <d v="2025-03-31T00:00:00"/>
    <d v="2025-04-30T00:00:00"/>
    <n v="0.53999999999999204"/>
    <n v="0.15"/>
    <n v="806.5199999999835"/>
    <n v="-1116.7199999999834"/>
    <x v="14"/>
    <s v="Sell"/>
    <n v="-310.2"/>
    <x v="0"/>
    <x v="0"/>
    <n v="2025"/>
    <s v="Sell"/>
    <x v="0"/>
    <s v="HDO April 12-22 25WTI SprdsExpo-20680.15413"/>
    <x v="0"/>
  </r>
  <r>
    <x v="16"/>
    <d v="2025-01-09T00:00:00"/>
    <s v="WTI-Brent"/>
    <s v="Expo"/>
    <n v="-2068"/>
    <d v="2025-04-30T00:00:00"/>
    <d v="2025-04-30T00:00:00"/>
    <n v="-3.5499999999999972"/>
    <n v="-3.42"/>
    <n v="-268.83999999999429"/>
    <n v="7341.3999999999942"/>
    <x v="21"/>
    <s v="Sell"/>
    <n v="7072.5599999999995"/>
    <x v="1"/>
    <x v="3"/>
    <n v="2025"/>
    <s v="Sell"/>
    <x v="0"/>
    <s v="HDO April 12-22 25WTI-BrentExpo-2068-3.42414"/>
    <x v="0"/>
  </r>
  <r>
    <x v="16"/>
    <d v="2025-01-09T00:00:00"/>
    <s v="Brent Sprds"/>
    <s v="Expo"/>
    <n v="-2068"/>
    <d v="2025-04-30T00:00:00"/>
    <d v="2025-05-31T00:00:00"/>
    <n v="0.54"/>
    <n v="0.37"/>
    <n v="351.56000000000006"/>
    <n v="-1116.72"/>
    <x v="15"/>
    <s v="Sell"/>
    <n v="-765.16"/>
    <x v="0"/>
    <x v="2"/>
    <n v="2025"/>
    <s v="Sell"/>
    <x v="0"/>
    <s v="HDO April 12-22 25Brent SprdsExpo-20680.37415"/>
    <x v="0"/>
  </r>
  <r>
    <x v="16"/>
    <d v="2025-01-09T00:00:00"/>
    <s v="WTI Sprds"/>
    <s v="Hedge"/>
    <n v="2000"/>
    <d v="2025-02-28T00:00:00"/>
    <d v="2025-03-31T00:00:00"/>
    <n v="0.68000000000000682"/>
    <n v="0.49"/>
    <n v="-380.00000000001364"/>
    <n v="1360.0000000000136"/>
    <x v="13"/>
    <s v="Buy"/>
    <n v="980"/>
    <x v="0"/>
    <x v="0"/>
    <n v="2025"/>
    <s v="Buy"/>
    <x v="0"/>
    <s v="HDO April 12-22 25WTI SprdsHedge20000.49416"/>
    <x v="0"/>
  </r>
  <r>
    <x v="16"/>
    <d v="2025-01-09T00:00:00"/>
    <s v="WTI Sprds"/>
    <s v="Hedge"/>
    <n v="2000"/>
    <d v="2025-03-31T00:00:00"/>
    <d v="2025-04-30T00:00:00"/>
    <n v="0.53999999999999204"/>
    <n v="0.15"/>
    <n v="-779.99999999998408"/>
    <n v="1079.9999999999841"/>
    <x v="14"/>
    <s v="Buy"/>
    <n v="300"/>
    <x v="0"/>
    <x v="0"/>
    <n v="2025"/>
    <s v="Buy"/>
    <x v="0"/>
    <s v="HDO April 12-22 25WTI SprdsHedge20000.15417"/>
    <x v="0"/>
  </r>
  <r>
    <x v="16"/>
    <d v="2025-01-09T00:00:00"/>
    <s v="WTI-Brent"/>
    <s v="Hedge"/>
    <n v="2000"/>
    <d v="2025-04-30T00:00:00"/>
    <d v="2025-04-30T00:00:00"/>
    <n v="-3.5499999999999972"/>
    <n v="-3.42"/>
    <n v="259.99999999999443"/>
    <n v="-7099.9999999999945"/>
    <x v="21"/>
    <s v="Buy"/>
    <n v="-6840"/>
    <x v="1"/>
    <x v="3"/>
    <n v="2025"/>
    <s v="Buy"/>
    <x v="0"/>
    <s v="HDO April 12-22 25WTI-BrentHedge2000-3.42418"/>
    <x v="0"/>
  </r>
  <r>
    <x v="16"/>
    <d v="2025-01-09T00:00:00"/>
    <s v="Brent Sprds"/>
    <s v="Hedge"/>
    <n v="2000"/>
    <d v="2025-04-30T00:00:00"/>
    <d v="2025-05-31T00:00:00"/>
    <n v="0.54"/>
    <n v="0.37"/>
    <n v="-340.00000000000006"/>
    <n v="1080"/>
    <x v="15"/>
    <s v="Buy"/>
    <n v="740"/>
    <x v="0"/>
    <x v="2"/>
    <n v="2025"/>
    <s v="Buy"/>
    <x v="0"/>
    <s v="HDO April 12-22 25Brent SprdsHedge20000.37419"/>
    <x v="0"/>
  </r>
  <r>
    <x v="0"/>
    <d v="2025-01-24T00:00:00"/>
    <s v="DFL"/>
    <s v="Hedge"/>
    <n v="-1500"/>
    <d v="2025-02-28T00:00:00"/>
    <d v="2025-02-28T00:00:00"/>
    <n v="0.96631"/>
    <n v="0.22"/>
    <n v="1119.4650000000001"/>
    <n v="-1449.4649999999999"/>
    <x v="19"/>
    <s v="Sell"/>
    <n v="-330"/>
    <x v="1"/>
    <x v="1"/>
    <n v="2025"/>
    <s v="Sell"/>
    <x v="0"/>
    <s v="UnallocatedDFLHedge-15000.22420"/>
    <x v="0"/>
  </r>
  <r>
    <x v="0"/>
    <d v="2025-01-22T00:00:00"/>
    <s v="DFL"/>
    <s v="Hedge"/>
    <n v="-300"/>
    <d v="2025-03-31T00:00:00"/>
    <d v="2025-03-31T00:00:00"/>
    <n v="0.80830999999999997"/>
    <n v="1.1299999999999999"/>
    <n v="-96.506999999999977"/>
    <n v="-242.49299999999999"/>
    <x v="20"/>
    <s v="Sell"/>
    <n v="-338.99999999999994"/>
    <x v="1"/>
    <x v="1"/>
    <n v="2025"/>
    <s v="Sell"/>
    <x v="0"/>
    <s v="UnallocatedDFLHedge-3001.13421"/>
    <x v="0"/>
  </r>
  <r>
    <x v="0"/>
    <d v="2025-01-09T00:00:00"/>
    <s v="WTI-Brent"/>
    <s v="Hedge"/>
    <n v="300"/>
    <d v="2025-03-31T00:00:00"/>
    <d v="2025-03-31T00:00:00"/>
    <n v="-3.53"/>
    <n v="-4.2300000000000004"/>
    <n v="-210.0000000000002"/>
    <n v="-1059"/>
    <x v="20"/>
    <s v="Buy"/>
    <n v="-1269.0000000000002"/>
    <x v="1"/>
    <x v="3"/>
    <n v="2025"/>
    <s v="Buy"/>
    <x v="0"/>
    <s v="UnallocatedWTI-BrentHedge300-4.23422"/>
    <x v="0"/>
  </r>
  <r>
    <x v="0"/>
    <d v="2025-01-09T00:00:00"/>
    <s v="WTI-Brent"/>
    <s v="Hedge"/>
    <n v="250"/>
    <d v="2025-03-31T00:00:00"/>
    <d v="2025-03-31T00:00:00"/>
    <n v="-3.56"/>
    <n v="-4.2300000000000004"/>
    <n v="-167.50000000000009"/>
    <n v="-890"/>
    <x v="20"/>
    <s v="Buy"/>
    <n v="-1057.5"/>
    <x v="1"/>
    <x v="3"/>
    <n v="2025"/>
    <s v="Buy"/>
    <x v="0"/>
    <s v="UnallocatedWTI-BrentHedge250-4.23423"/>
    <x v="0"/>
  </r>
  <r>
    <x v="0"/>
    <d v="2025-01-09T00:00:00"/>
    <s v="WTI-Brent"/>
    <s v="Hedge"/>
    <n v="250"/>
    <d v="2025-03-31T00:00:00"/>
    <d v="2025-03-31T00:00:00"/>
    <n v="-3.59"/>
    <n v="-4.2300000000000004"/>
    <n v="-160.00000000000014"/>
    <n v="-897.5"/>
    <x v="20"/>
    <s v="Buy"/>
    <n v="-1057.5"/>
    <x v="1"/>
    <x v="3"/>
    <n v="2025"/>
    <s v="Buy"/>
    <x v="0"/>
    <s v="UnallocatedWTI-BrentHedge250-4.23424"/>
    <x v="0"/>
  </r>
  <r>
    <x v="33"/>
    <d v="2025-01-10T00:00:00"/>
    <s v="Physical"/>
    <s v="Hedge"/>
    <n v="700"/>
    <d v="2025-03-31T00:00:00"/>
    <d v="2025-03-31T00:00:00"/>
    <n v="0"/>
    <n v="0.42"/>
    <n v="294"/>
    <n v="0"/>
    <x v="20"/>
    <s v="Buy"/>
    <n v="294"/>
    <x v="2"/>
    <x v="4"/>
    <n v="2025"/>
    <s v="Buy"/>
    <x v="1"/>
    <s v="March EFP 1PhysicalHedge7000.42425"/>
    <x v="0"/>
  </r>
  <r>
    <x v="34"/>
    <d v="2025-01-10T00:00:00"/>
    <s v="Physical"/>
    <s v="Hedge"/>
    <n v="700"/>
    <d v="2025-03-31T00:00:00"/>
    <d v="2025-03-31T00:00:00"/>
    <n v="0"/>
    <n v="0.42"/>
    <n v="294"/>
    <n v="0"/>
    <x v="20"/>
    <s v="Buy"/>
    <n v="294"/>
    <x v="2"/>
    <x v="4"/>
    <n v="2025"/>
    <s v="Buy"/>
    <x v="1"/>
    <s v="March EFP 2PhysicalHedge7000.42426"/>
    <x v="0"/>
  </r>
  <r>
    <x v="33"/>
    <d v="2025-01-10T00:00:00"/>
    <s v="WTI-Brent"/>
    <s v="Hedge"/>
    <n v="700"/>
    <d v="2025-03-31T00:00:00"/>
    <d v="2025-03-31T00:00:00"/>
    <n v="-4.01"/>
    <n v="-4.2300000000000004"/>
    <n v="-154.00000000000045"/>
    <n v="-2807"/>
    <x v="20"/>
    <s v="Buy"/>
    <n v="-2961.0000000000005"/>
    <x v="1"/>
    <x v="3"/>
    <n v="2025"/>
    <s v="Buy"/>
    <x v="0"/>
    <s v="March EFP 1WTI-BrentHedge700-4.23427"/>
    <x v="0"/>
  </r>
  <r>
    <x v="34"/>
    <d v="2025-01-10T00:00:00"/>
    <s v="WTI-Brent"/>
    <s v="Hedge"/>
    <n v="700"/>
    <d v="2025-03-31T00:00:00"/>
    <d v="2025-03-31T00:00:00"/>
    <n v="-4.01"/>
    <n v="-4.2300000000000004"/>
    <n v="-154.00000000000045"/>
    <n v="-2807"/>
    <x v="20"/>
    <s v="Buy"/>
    <n v="-2961.0000000000005"/>
    <x v="1"/>
    <x v="3"/>
    <n v="2025"/>
    <s v="Buy"/>
    <x v="0"/>
    <s v="March EFP 2WTI-BrentHedge700-4.23428"/>
    <x v="0"/>
  </r>
  <r>
    <x v="33"/>
    <d v="2025-01-10T00:00:00"/>
    <s v="WTI-Brent"/>
    <s v="Expo"/>
    <n v="-700"/>
    <d v="2025-03-31T00:00:00"/>
    <d v="2025-03-31T00:00:00"/>
    <n v="-4.01"/>
    <n v="-4.2300000000000004"/>
    <n v="154.00000000000045"/>
    <n v="2807"/>
    <x v="20"/>
    <s v="Sell"/>
    <n v="2961.0000000000005"/>
    <x v="1"/>
    <x v="3"/>
    <n v="2025"/>
    <s v="Sell"/>
    <x v="0"/>
    <s v="March EFP 1WTI-BrentExpo-700-4.23429"/>
    <x v="0"/>
  </r>
  <r>
    <x v="34"/>
    <d v="2025-01-10T00:00:00"/>
    <s v="WTI-Brent"/>
    <s v="Expo"/>
    <n v="-700"/>
    <d v="2025-03-31T00:00:00"/>
    <d v="2025-03-31T00:00:00"/>
    <n v="-4.01"/>
    <n v="-4.2300000000000004"/>
    <n v="154.00000000000045"/>
    <n v="2807"/>
    <x v="20"/>
    <s v="Sell"/>
    <n v="2961.0000000000005"/>
    <x v="1"/>
    <x v="3"/>
    <n v="2025"/>
    <s v="Sell"/>
    <x v="0"/>
    <s v="March EFP 2WTI-BrentExpo-700-4.23430"/>
    <x v="0"/>
  </r>
  <r>
    <x v="33"/>
    <d v="2025-01-10T00:00:00"/>
    <s v="Freight-TD25"/>
    <s v="Expo"/>
    <n v="-700"/>
    <d v="2025-03-31T00:00:00"/>
    <d v="2025-03-31T00:00:00"/>
    <n v="138"/>
    <n v="150"/>
    <n v="-168"/>
    <n v="-96600"/>
    <x v="20"/>
    <s v="Sell"/>
    <n v="-105000"/>
    <x v="3"/>
    <x v="5"/>
    <n v="2025"/>
    <s v="Sell"/>
    <x v="0"/>
    <s v="March EFP 1Freight-TD25Expo-700150431"/>
    <x v="0"/>
  </r>
  <r>
    <x v="33"/>
    <d v="2025-02-19T00:00:00"/>
    <s v="Freight-TD25"/>
    <s v="Hedge"/>
    <n v="700"/>
    <d v="2025-03-31T00:00:00"/>
    <d v="2025-03-31T00:00:00"/>
    <n v="150"/>
    <n v="150"/>
    <n v="0"/>
    <n v="105000"/>
    <x v="20"/>
    <s v="Buy"/>
    <n v="105000"/>
    <x v="3"/>
    <x v="5"/>
    <n v="2025"/>
    <s v="Buy"/>
    <x v="0"/>
    <s v="March EFP 1Freight-TD25Hedge700150432"/>
    <x v="0"/>
  </r>
  <r>
    <x v="33"/>
    <d v="2025-01-10T00:00:00"/>
    <s v="Freight-TD7"/>
    <s v="Expo"/>
    <n v="700"/>
    <d v="2025-03-31T00:00:00"/>
    <d v="2025-03-31T00:00:00"/>
    <n v="114"/>
    <n v="111.45"/>
    <n v="-35.69999999999996"/>
    <n v="79800"/>
    <x v="20"/>
    <s v="Buy"/>
    <n v="78015"/>
    <x v="3"/>
    <x v="5"/>
    <n v="2025"/>
    <s v="Buy"/>
    <x v="0"/>
    <s v="March EFP 1Freight-TD7Expo700111.45433"/>
    <x v="0"/>
  </r>
  <r>
    <x v="34"/>
    <d v="2025-01-10T00:00:00"/>
    <s v="Freight-TD25"/>
    <s v="Expo"/>
    <n v="0"/>
    <d v="2025-03-31T00:00:00"/>
    <d v="2025-03-31T00:00:00"/>
    <n v="138"/>
    <n v="150"/>
    <n v="-168"/>
    <n v="0"/>
    <x v="20"/>
    <s v="Buy"/>
    <n v="0"/>
    <x v="3"/>
    <x v="5"/>
    <n v="2025"/>
    <s v="Sell"/>
    <x v="0"/>
    <s v="March EFP 2Freight-TD25Expo0150434"/>
    <x v="0"/>
  </r>
  <r>
    <x v="34"/>
    <d v="2025-01-10T00:00:00"/>
    <s v="Freight-TD7"/>
    <s v="Expo"/>
    <n v="700"/>
    <d v="2025-03-31T00:00:00"/>
    <d v="2025-03-31T00:00:00"/>
    <n v="114"/>
    <n v="111.45"/>
    <n v="-35.69999999999996"/>
    <n v="79800"/>
    <x v="20"/>
    <s v="Buy"/>
    <n v="78015"/>
    <x v="3"/>
    <x v="5"/>
    <n v="2025"/>
    <s v="Buy"/>
    <x v="0"/>
    <s v="March EFP 2Freight-TD7Expo700111.45435"/>
    <x v="0"/>
  </r>
  <r>
    <x v="0"/>
    <d v="2025-01-26T00:00:00"/>
    <s v="DFL"/>
    <s v="Hedge"/>
    <n v="-300"/>
    <d v="2025-03-31T00:00:00"/>
    <d v="2025-03-31T00:00:00"/>
    <n v="0.69130999999999998"/>
    <n v="1.1299999999999999"/>
    <n v="-131.60699999999997"/>
    <n v="-207.393"/>
    <x v="20"/>
    <s v="Sell"/>
    <n v="-338.99999999999994"/>
    <x v="1"/>
    <x v="1"/>
    <n v="2025"/>
    <s v="Sell"/>
    <x v="0"/>
    <s v="UnallocatedDFLHedge-3001.13436"/>
    <x v="0"/>
  </r>
  <r>
    <x v="0"/>
    <d v="2025-01-13T00:00:00"/>
    <s v="WTI Sprds-Fly"/>
    <s v="Hedge"/>
    <n v="-500"/>
    <d v="2025-03-31T00:00:00"/>
    <d v="2025-04-30T00:00:00"/>
    <n v="1.52"/>
    <n v="0.15"/>
    <n v="685"/>
    <n v="-760"/>
    <x v="14"/>
    <s v="Sell"/>
    <n v="-75"/>
    <x v="0"/>
    <x v="0"/>
    <n v="2025"/>
    <s v="Sell"/>
    <x v="0"/>
    <s v="UnallocatedWTI Sprds-FlyHedge-5000.15437"/>
    <x v="0"/>
  </r>
  <r>
    <x v="0"/>
    <d v="2025-01-13T00:00:00"/>
    <s v="WTI Sprds-Fly"/>
    <s v="Hedge"/>
    <n v="500"/>
    <d v="2025-04-30T00:00:00"/>
    <d v="2025-05-31T00:00:00"/>
    <n v="1.26"/>
    <n v="0.25"/>
    <n v="-505"/>
    <n v="630"/>
    <x v="15"/>
    <s v="Buy"/>
    <n v="125"/>
    <x v="0"/>
    <x v="0"/>
    <n v="2025"/>
    <s v="Buy"/>
    <x v="0"/>
    <s v="UnallocatedWTI Sprds-FlyHedge5000.25438"/>
    <x v="0"/>
  </r>
  <r>
    <x v="0"/>
    <d v="2025-01-13T00:00:00"/>
    <s v="WTI Sprds-Fly"/>
    <s v="Hedge"/>
    <n v="-1000"/>
    <d v="2025-03-31T00:00:00"/>
    <d v="2025-04-30T00:00:00"/>
    <n v="1.52"/>
    <n v="0.15"/>
    <n v="1370"/>
    <n v="-1520"/>
    <x v="14"/>
    <s v="Sell"/>
    <n v="-150"/>
    <x v="0"/>
    <x v="0"/>
    <n v="2025"/>
    <s v="Sell"/>
    <x v="0"/>
    <s v="UnallocatedWTI Sprds-FlyHedge-10000.15439"/>
    <x v="0"/>
  </r>
  <r>
    <x v="0"/>
    <d v="2025-01-13T00:00:00"/>
    <s v="WTI Sprds-Fly"/>
    <s v="Hedge"/>
    <n v="1000"/>
    <d v="2025-04-30T00:00:00"/>
    <d v="2025-05-31T00:00:00"/>
    <n v="1.24"/>
    <n v="0.25"/>
    <n v="-990"/>
    <n v="1240"/>
    <x v="15"/>
    <s v="Buy"/>
    <n v="250"/>
    <x v="0"/>
    <x v="0"/>
    <n v="2025"/>
    <s v="Buy"/>
    <x v="0"/>
    <s v="UnallocatedWTI Sprds-FlyHedge10000.25440"/>
    <x v="0"/>
  </r>
  <r>
    <x v="0"/>
    <d v="2025-01-13T00:00:00"/>
    <s v="WTI Sprds-Fly"/>
    <s v="Hedge"/>
    <n v="-1000"/>
    <d v="2025-03-31T00:00:00"/>
    <d v="2025-04-30T00:00:00"/>
    <n v="1.52"/>
    <n v="0.15"/>
    <n v="1370"/>
    <n v="-1520"/>
    <x v="14"/>
    <s v="Sell"/>
    <n v="-150"/>
    <x v="0"/>
    <x v="0"/>
    <n v="2025"/>
    <s v="Sell"/>
    <x v="0"/>
    <s v="UnallocatedWTI Sprds-FlyHedge-10000.15441"/>
    <x v="0"/>
  </r>
  <r>
    <x v="0"/>
    <d v="2025-01-13T00:00:00"/>
    <s v="WTI Sprds-Fly"/>
    <s v="Hedge"/>
    <n v="1000"/>
    <d v="2025-04-30T00:00:00"/>
    <d v="2025-05-31T00:00:00"/>
    <n v="1.22"/>
    <n v="0.25"/>
    <n v="-970"/>
    <n v="1220"/>
    <x v="15"/>
    <s v="Buy"/>
    <n v="250"/>
    <x v="0"/>
    <x v="0"/>
    <n v="2025"/>
    <s v="Buy"/>
    <x v="0"/>
    <s v="UnallocatedWTI Sprds-FlyHedge10000.25442"/>
    <x v="0"/>
  </r>
  <r>
    <x v="0"/>
    <d v="2025-01-13T00:00:00"/>
    <s v="Physical"/>
    <s v="Expo"/>
    <n v="0"/>
    <d v="2025-02-28T00:00:00"/>
    <d v="2025-02-28T00:00:00"/>
    <n v="0"/>
    <n v="0"/>
    <n v="1699"/>
    <n v="0"/>
    <x v="19"/>
    <s v="Buy"/>
    <n v="0"/>
    <x v="2"/>
    <x v="4"/>
    <n v="2025"/>
    <s v="Sell"/>
    <x v="1"/>
    <s v="UnallocatedPhysicalExpo00443"/>
    <x v="0"/>
  </r>
  <r>
    <x v="0"/>
    <d v="2025-01-15T00:00:00"/>
    <s v="WTI-Brent"/>
    <s v="Hedge"/>
    <n v="3000"/>
    <d v="2025-03-31T00:00:00"/>
    <d v="2025-03-31T00:00:00"/>
    <n v="-3.32"/>
    <n v="-4.2300000000000004"/>
    <n v="-2730.0000000000018"/>
    <n v="-9960"/>
    <x v="20"/>
    <s v="Buy"/>
    <n v="-12690.000000000002"/>
    <x v="1"/>
    <x v="3"/>
    <n v="2025"/>
    <s v="Buy"/>
    <x v="0"/>
    <s v="UnallocatedWTI-BrentHedge3000-4.23444"/>
    <x v="0"/>
  </r>
  <r>
    <x v="0"/>
    <d v="2025-01-15T00:00:00"/>
    <s v="WTI-Brent"/>
    <s v="Hedge"/>
    <n v="-1500"/>
    <d v="2025-05-31T00:00:00"/>
    <d v="2025-05-31T00:00:00"/>
    <n v="-3.46"/>
    <n v="-3.26"/>
    <n v="-300.00000000000028"/>
    <n v="5190"/>
    <x v="22"/>
    <s v="Sell"/>
    <n v="4890"/>
    <x v="1"/>
    <x v="3"/>
    <n v="2025"/>
    <s v="Sell"/>
    <x v="0"/>
    <s v="UnallocatedWTI-BrentHedge-1500-3.26445"/>
    <x v="0"/>
  </r>
  <r>
    <x v="0"/>
    <d v="2025-01-15T00:00:00"/>
    <s v="WTI-Brent"/>
    <s v="Hedge"/>
    <n v="-1500"/>
    <d v="2025-06-30T00:00:00"/>
    <d v="2025-06-30T00:00:00"/>
    <n v="-3.48"/>
    <n v="-4.91"/>
    <n v="2145.0000000000005"/>
    <n v="5220"/>
    <x v="30"/>
    <s v="Sell"/>
    <n v="7365"/>
    <x v="1"/>
    <x v="3"/>
    <n v="2025"/>
    <s v="Sell"/>
    <x v="0"/>
    <s v="UnallocatedWTI-BrentHedge-1500-4.91446"/>
    <x v="0"/>
  </r>
  <r>
    <x v="0"/>
    <d v="2025-01-17T00:00:00"/>
    <s v="WTI Sprds"/>
    <s v="Hedge"/>
    <n v="282"/>
    <d v="2025-02-28T00:00:00"/>
    <d v="2025-03-31T00:00:00"/>
    <n v="0.49"/>
    <n v="0.49"/>
    <n v="0"/>
    <n v="138.18"/>
    <x v="13"/>
    <s v="Buy"/>
    <n v="138.18"/>
    <x v="0"/>
    <x v="0"/>
    <n v="2025"/>
    <s v="Buy"/>
    <x v="0"/>
    <s v="UnallocatedWTI SprdsHedge2820.49447"/>
    <x v="0"/>
  </r>
  <r>
    <x v="17"/>
    <d v="2025-01-21T00:00:00"/>
    <s v="Freight-TD22"/>
    <s v="Expo"/>
    <n v="-2100"/>
    <d v="2025-02-28T00:00:00"/>
    <d v="2025-02-28T00:00:00"/>
    <n v="10400"/>
    <n v="10050"/>
    <n v="350"/>
    <n v="-21840000"/>
    <x v="19"/>
    <s v="Sell"/>
    <n v="-21105000"/>
    <x v="3"/>
    <x v="5"/>
    <n v="2025"/>
    <s v="Sell"/>
    <x v="0"/>
    <s v="CPC TAIWAN APR 23-27Freight-TD22Expo-210010050448"/>
    <x v="0"/>
  </r>
  <r>
    <x v="17"/>
    <d v="2025-01-21T00:00:00"/>
    <s v="Freight-TD22"/>
    <s v="Expo"/>
    <n v="2100"/>
    <d v="2025-02-28T00:00:00"/>
    <d v="2025-02-28T00:00:00"/>
    <n v="10050"/>
    <n v="8200"/>
    <n v="1850"/>
    <n v="21105000"/>
    <x v="19"/>
    <s v="Buy"/>
    <n v="17220000"/>
    <x v="3"/>
    <x v="5"/>
    <n v="2025"/>
    <s v="Buy"/>
    <x v="0"/>
    <s v="CPC TAIWAN APR 23-27Freight-TD22Expo21008200449"/>
    <x v="0"/>
  </r>
  <r>
    <x v="17"/>
    <d v="2025-01-21T00:00:00"/>
    <s v="Physical"/>
    <s v="Expo"/>
    <n v="2100"/>
    <d v="2025-02-28T00:00:00"/>
    <d v="2025-02-28T00:00:00"/>
    <n v="4.050143884892087"/>
    <n v="5.0999999999999996"/>
    <n v="2204.6978417266164"/>
    <n v="8505.3021582733818"/>
    <x v="19"/>
    <s v="Buy"/>
    <n v="10710"/>
    <x v="2"/>
    <x v="4"/>
    <n v="2025"/>
    <s v="Buy"/>
    <x v="1"/>
    <s v="CPC TAIWAN APR 23-27PhysicalExpo21005.1450"/>
    <x v="0"/>
  </r>
  <r>
    <x v="17"/>
    <d v="2025-01-21T00:00:00"/>
    <s v="WTI Sprds"/>
    <s v="Expo"/>
    <n v="-2100"/>
    <d v="2025-03-31T00:00:00"/>
    <d v="2025-04-30T00:00:00"/>
    <n v="0.82999999999999829"/>
    <n v="0.15"/>
    <n v="1427.9999999999964"/>
    <n v="-1742.9999999999964"/>
    <x v="14"/>
    <s v="Sell"/>
    <n v="-315"/>
    <x v="0"/>
    <x v="0"/>
    <n v="2025"/>
    <s v="Sell"/>
    <x v="0"/>
    <s v="CPC TAIWAN APR 23-27WTI SprdsExpo-21000.15451"/>
    <x v="0"/>
  </r>
  <r>
    <x v="17"/>
    <d v="2025-01-21T00:00:00"/>
    <s v="WTI-Brent"/>
    <s v="Expo"/>
    <n v="-2100"/>
    <d v="2025-04-30T00:00:00"/>
    <d v="2025-04-30T00:00:00"/>
    <n v="-3.4000000000000057"/>
    <n v="-3.42"/>
    <n v="41.999999999987914"/>
    <n v="7140.0000000000118"/>
    <x v="21"/>
    <s v="Sell"/>
    <n v="7182"/>
    <x v="1"/>
    <x v="3"/>
    <n v="2025"/>
    <s v="Sell"/>
    <x v="0"/>
    <s v="CPC TAIWAN APR 23-27WTI-BrentExpo-2100-3.42452"/>
    <x v="0"/>
  </r>
  <r>
    <x v="17"/>
    <d v="2025-01-21T00:00:00"/>
    <s v="Brent Sprds"/>
    <s v="Expo"/>
    <n v="-2100"/>
    <d v="2025-04-30T00:00:00"/>
    <d v="2025-05-31T00:00:00"/>
    <n v="0.82000000000000739"/>
    <n v="0.37"/>
    <n v="945.00000000001558"/>
    <n v="-1722.0000000000155"/>
    <x v="15"/>
    <s v="Sell"/>
    <n v="-777"/>
    <x v="0"/>
    <x v="2"/>
    <n v="2025"/>
    <s v="Sell"/>
    <x v="0"/>
    <s v="CPC TAIWAN APR 23-27Brent SprdsExpo-21000.37453"/>
    <x v="0"/>
  </r>
  <r>
    <x v="17"/>
    <d v="2025-01-21T00:00:00"/>
    <s v="DFL"/>
    <s v="Expo"/>
    <n v="2100"/>
    <d v="2025-03-31T00:00:00"/>
    <d v="2025-03-31T00:00:00"/>
    <n v="0.78"/>
    <n v="1.1299999999999999"/>
    <n v="734.99999999999977"/>
    <n v="1638"/>
    <x v="20"/>
    <s v="Buy"/>
    <n v="2373"/>
    <x v="1"/>
    <x v="1"/>
    <n v="2025"/>
    <s v="Buy"/>
    <x v="0"/>
    <s v="CPC TAIWAN APR 23-27DFLExpo21001.13454"/>
    <x v="0"/>
  </r>
  <r>
    <x v="17"/>
    <d v="2025-01-27T00:00:00"/>
    <s v="DFL"/>
    <s v="Hedge"/>
    <n v="-500"/>
    <d v="2025-03-31T00:00:00"/>
    <d v="2025-03-31T00:00:00"/>
    <n v="0.78330999999999995"/>
    <n v="1.1299999999999999"/>
    <n v="-173.34499999999997"/>
    <n v="-391.65499999999997"/>
    <x v="20"/>
    <s v="Sell"/>
    <n v="-565"/>
    <x v="1"/>
    <x v="1"/>
    <n v="2025"/>
    <s v="Sell"/>
    <x v="0"/>
    <s v="CPC TAIWAN APR 23-27DFLHedge-5001.13455"/>
    <x v="0"/>
  </r>
  <r>
    <x v="0"/>
    <d v="2025-01-23T00:00:00"/>
    <s v="WTI-Brent"/>
    <s v="Hedge"/>
    <n v="1003"/>
    <d v="2025-03-31T00:00:00"/>
    <d v="2025-03-31T00:00:00"/>
    <n v="-3.64"/>
    <n v="-4.2300000000000004"/>
    <n v="-591.77000000000032"/>
    <n v="-3650.92"/>
    <x v="20"/>
    <s v="Buy"/>
    <n v="-4242.6900000000005"/>
    <x v="1"/>
    <x v="3"/>
    <n v="2025"/>
    <s v="Buy"/>
    <x v="0"/>
    <s v="UnallocatedWTI-BrentHedge1003-4.23456"/>
    <x v="0"/>
  </r>
  <r>
    <x v="0"/>
    <d v="2025-01-27T00:00:00"/>
    <s v="DFL"/>
    <s v="Hedge"/>
    <n v="-300"/>
    <d v="2025-02-28T00:00:00"/>
    <d v="2025-02-28T00:00:00"/>
    <n v="1.05131"/>
    <n v="0.22"/>
    <n v="249.393"/>
    <n v="-315.39299999999997"/>
    <x v="19"/>
    <s v="Sell"/>
    <n v="-66"/>
    <x v="1"/>
    <x v="1"/>
    <n v="2025"/>
    <s v="Sell"/>
    <x v="0"/>
    <s v="UnallocatedDFLHedge-3000.22457"/>
    <x v="0"/>
  </r>
  <r>
    <x v="0"/>
    <d v="2025-01-29T00:00:00"/>
    <s v="DFL"/>
    <s v="Hedge"/>
    <n v="-700"/>
    <d v="2025-02-28T00:00:00"/>
    <d v="2025-02-28T00:00:00"/>
    <n v="1.04131"/>
    <n v="0.22"/>
    <n v="574.91700000000003"/>
    <n v="-728.91699999999992"/>
    <x v="19"/>
    <s v="Sell"/>
    <n v="-154"/>
    <x v="1"/>
    <x v="1"/>
    <n v="2025"/>
    <s v="Sell"/>
    <x v="0"/>
    <s v="UnallocatedDFLHedge-7000.22458"/>
    <x v="0"/>
  </r>
  <r>
    <x v="17"/>
    <d v="2025-01-24T00:00:00"/>
    <s v="WTI-Brent"/>
    <s v="Hedge"/>
    <n v="2100"/>
    <d v="2025-04-30T00:00:00"/>
    <d v="2025-04-30T00:00:00"/>
    <n v="-3.59"/>
    <n v="-3.42"/>
    <n v="356.99999999999983"/>
    <n v="-7539"/>
    <x v="21"/>
    <s v="Buy"/>
    <n v="-7182"/>
    <x v="1"/>
    <x v="3"/>
    <n v="2025"/>
    <s v="Buy"/>
    <x v="0"/>
    <s v="CPC TAIWAN APR 23-27WTI-BrentHedge2100-3.42459"/>
    <x v="0"/>
  </r>
  <r>
    <x v="0"/>
    <d v="2025-01-24T00:00:00"/>
    <s v="WTI-Brent"/>
    <s v="Hedge"/>
    <n v="1900"/>
    <d v="2025-04-30T00:00:00"/>
    <d v="2025-04-30T00:00:00"/>
    <n v="-3.59"/>
    <n v="-3.42"/>
    <n v="322.99999999999989"/>
    <n v="-6821"/>
    <x v="21"/>
    <s v="Buy"/>
    <n v="-6498"/>
    <x v="1"/>
    <x v="3"/>
    <n v="2025"/>
    <s v="Buy"/>
    <x v="0"/>
    <s v="UnallocatedWTI-BrentHedge1900-3.42460"/>
    <x v="0"/>
  </r>
  <r>
    <x v="17"/>
    <d v="2025-01-28T00:00:00"/>
    <s v="DFL"/>
    <s v="Hedge"/>
    <n v="-200"/>
    <d v="2025-03-31T00:00:00"/>
    <d v="2025-03-31T00:00:00"/>
    <n v="0.81130999999999998"/>
    <n v="1.1299999999999999"/>
    <n v="-63.737999999999985"/>
    <n v="-162.262"/>
    <x v="20"/>
    <s v="Sell"/>
    <n v="-225.99999999999997"/>
    <x v="1"/>
    <x v="1"/>
    <n v="2025"/>
    <s v="Sell"/>
    <x v="0"/>
    <s v="CPC TAIWAN APR 23-27DFLHedge-2001.13461"/>
    <x v="0"/>
  </r>
  <r>
    <x v="0"/>
    <d v="2025-01-02T00:00:00"/>
    <s v="DFL"/>
    <s v="Hedge"/>
    <n v="-6193"/>
    <d v="2025-01-31T00:00:00"/>
    <d v="2025-01-31T00:00:00"/>
    <n v="0.93"/>
    <n v="0.93"/>
    <n v="0"/>
    <n v="-5759.4900000000007"/>
    <x v="18"/>
    <s v="Sell"/>
    <n v="-5759.4900000000007"/>
    <x v="1"/>
    <x v="1"/>
    <n v="2025"/>
    <s v="Sell"/>
    <x v="0"/>
    <s v="UnallocatedDFLHedge-61930.93462"/>
    <x v="0"/>
  </r>
  <r>
    <x v="0"/>
    <d v="2025-01-27T00:00:00"/>
    <s v="CFD"/>
    <s v="Hedge"/>
    <n v="-200"/>
    <s v="Jan27-Jan31"/>
    <d v="2025-01-31T00:00:00"/>
    <n v="0.56999999999999995"/>
    <n v="0.36199999999999999"/>
    <n v="41.599999999999994"/>
    <n v="-113.99999999999999"/>
    <x v="29"/>
    <s v="Sell"/>
    <n v="-72.399999999999991"/>
    <x v="1"/>
    <x v="1"/>
    <n v="2025"/>
    <s v="Sell"/>
    <x v="0"/>
    <s v="UnallocatedCFDHedge-2000.362463"/>
    <x v="0"/>
  </r>
  <r>
    <x v="0"/>
    <d v="2025-01-28T00:00:00"/>
    <s v="CFD"/>
    <s v="Hedge"/>
    <n v="-200"/>
    <s v="Jan27-Jan31"/>
    <d v="2025-01-31T00:00:00"/>
    <n v="0.54500000000000004"/>
    <n v="0.36199999999999999"/>
    <n v="36.600000000000009"/>
    <n v="-109.00000000000001"/>
    <x v="29"/>
    <s v="Sell"/>
    <n v="-72.399999999999991"/>
    <x v="1"/>
    <x v="1"/>
    <n v="2025"/>
    <s v="Sell"/>
    <x v="0"/>
    <s v="UnallocatedCFDHedge-2000.362464"/>
    <x v="0"/>
  </r>
  <r>
    <x v="0"/>
    <d v="2025-01-29T00:00:00"/>
    <s v="CFD"/>
    <s v="Hedge"/>
    <n v="-200"/>
    <s v="Jan27-Jan31"/>
    <d v="2025-01-31T00:00:00"/>
    <n v="0.41499999999999998"/>
    <n v="0.36199999999999999"/>
    <n v="10.599999999999998"/>
    <n v="-83"/>
    <x v="29"/>
    <s v="Sell"/>
    <n v="-72.399999999999991"/>
    <x v="1"/>
    <x v="1"/>
    <n v="2025"/>
    <s v="Sell"/>
    <x v="0"/>
    <s v="UnallocatedCFDHedge-2000.362465"/>
    <x v="0"/>
  </r>
  <r>
    <x v="0"/>
    <d v="2025-01-30T00:00:00"/>
    <s v="CFD"/>
    <s v="Hedge"/>
    <n v="-200"/>
    <s v="Jan27-Jan31"/>
    <d v="2025-01-31T00:00:00"/>
    <n v="0.115"/>
    <n v="0.36199999999999999"/>
    <n v="-49.4"/>
    <n v="-23"/>
    <x v="29"/>
    <s v="Sell"/>
    <n v="-72.399999999999991"/>
    <x v="1"/>
    <x v="1"/>
    <n v="2025"/>
    <s v="Sell"/>
    <x v="0"/>
    <s v="UnallocatedCFDHedge-2000.362466"/>
    <x v="0"/>
  </r>
  <r>
    <x v="0"/>
    <d v="2025-01-31T00:00:00"/>
    <s v="CFD"/>
    <s v="Hedge"/>
    <n v="-200"/>
    <s v="Jan27-Jan31"/>
    <d v="2025-01-31T00:00:00"/>
    <n v="0.16500000000000001"/>
    <n v="0.36199999999999999"/>
    <n v="-39.4"/>
    <n v="-33"/>
    <x v="29"/>
    <s v="Sell"/>
    <n v="-72.399999999999991"/>
    <x v="1"/>
    <x v="1"/>
    <n v="2025"/>
    <s v="Sell"/>
    <x v="0"/>
    <s v="UnallocatedCFDHedge-2000.362467"/>
    <x v="0"/>
  </r>
  <r>
    <x v="0"/>
    <d v="2025-01-31T00:00:00"/>
    <s v="DFL"/>
    <s v="Hedge"/>
    <n v="-1450"/>
    <d v="2025-02-28T00:00:00"/>
    <d v="2025-02-28T00:00:00"/>
    <n v="0.88631000000000004"/>
    <n v="0.22"/>
    <n v="966.1495000000001"/>
    <n v="-1285.1495"/>
    <x v="19"/>
    <s v="Sell"/>
    <n v="-319"/>
    <x v="1"/>
    <x v="1"/>
    <n v="2025"/>
    <s v="Sell"/>
    <x v="0"/>
    <s v="UnallocatedDFLHedge-14500.22468"/>
    <x v="0"/>
  </r>
  <r>
    <x v="0"/>
    <d v="2025-01-26T00:00:00"/>
    <s v="DFL"/>
    <s v="Hedge"/>
    <n v="100"/>
    <d v="2025-03-31T00:00:00"/>
    <d v="2025-03-31T00:00:00"/>
    <n v="0.6"/>
    <n v="1.1299999999999999"/>
    <n v="52.999999999999993"/>
    <n v="60"/>
    <x v="20"/>
    <s v="Buy"/>
    <n v="112.99999999999999"/>
    <x v="1"/>
    <x v="1"/>
    <n v="2025"/>
    <s v="Buy"/>
    <x v="0"/>
    <s v="UnallocatedDFLHedge1001.13469"/>
    <x v="0"/>
  </r>
  <r>
    <x v="0"/>
    <d v="2025-01-28T00:00:00"/>
    <s v="WTI Sprds"/>
    <s v="Hedge"/>
    <n v="-500"/>
    <d v="2025-03-31T00:00:00"/>
    <d v="2025-04-30T00:00:00"/>
    <n v="0.82"/>
    <n v="0.15"/>
    <n v="334.99999999999994"/>
    <n v="-410"/>
    <x v="14"/>
    <s v="Sell"/>
    <n v="-75"/>
    <x v="0"/>
    <x v="0"/>
    <n v="2025"/>
    <s v="Sell"/>
    <x v="0"/>
    <s v="UnallocatedWTI SprdsHedge-5000.15470"/>
    <x v="0"/>
  </r>
  <r>
    <x v="0"/>
    <d v="2025-01-28T00:00:00"/>
    <s v="WTI Sprds"/>
    <s v="Hedge"/>
    <n v="-500"/>
    <d v="2025-04-30T00:00:00"/>
    <d v="2025-05-31T00:00:00"/>
    <n v="0.79"/>
    <n v="0.25"/>
    <n v="270"/>
    <n v="-395"/>
    <x v="15"/>
    <s v="Sell"/>
    <n v="-125"/>
    <x v="0"/>
    <x v="0"/>
    <n v="2025"/>
    <s v="Sell"/>
    <x v="0"/>
    <s v="UnallocatedWTI SprdsHedge-5000.25471"/>
    <x v="0"/>
  </r>
  <r>
    <x v="0"/>
    <d v="2025-01-28T00:00:00"/>
    <s v="WTI-Brent"/>
    <s v="Hedge"/>
    <n v="-500"/>
    <d v="2025-05-31T00:00:00"/>
    <d v="2025-05-31T00:00:00"/>
    <n v="-3.46"/>
    <n v="-3.26"/>
    <n v="-100.00000000000009"/>
    <n v="1730"/>
    <x v="22"/>
    <s v="Sell"/>
    <n v="1630"/>
    <x v="1"/>
    <x v="3"/>
    <n v="2025"/>
    <s v="Sell"/>
    <x v="0"/>
    <s v="UnallocatedWTI-BrentHedge-500-3.26472"/>
    <x v="0"/>
  </r>
  <r>
    <x v="0"/>
    <d v="2025-01-06T00:00:00"/>
    <s v="DFL"/>
    <s v="Hedge"/>
    <n v="200"/>
    <d v="2025-02-28T00:00:00"/>
    <d v="2025-02-28T00:00:00"/>
    <n v="1.06"/>
    <n v="0.22"/>
    <n v="-168.00000000000003"/>
    <n v="212"/>
    <x v="19"/>
    <s v="Buy"/>
    <n v="44"/>
    <x v="1"/>
    <x v="1"/>
    <n v="2025"/>
    <s v="Buy"/>
    <x v="0"/>
    <s v="UnallocatedDFLHedge2000.22473"/>
    <x v="0"/>
  </r>
  <r>
    <x v="0"/>
    <d v="2025-01-24T00:00:00"/>
    <s v="DFL"/>
    <s v="Hedge"/>
    <n v="-600"/>
    <d v="2025-02-28T00:00:00"/>
    <d v="2025-02-28T00:00:00"/>
    <n v="0.99"/>
    <n v="0.22"/>
    <n v="462"/>
    <n v="-594"/>
    <x v="19"/>
    <s v="Sell"/>
    <n v="-132"/>
    <x v="1"/>
    <x v="1"/>
    <n v="2025"/>
    <s v="Sell"/>
    <x v="0"/>
    <s v="UnallocatedDFLHedge-6000.22474"/>
    <x v="0"/>
  </r>
  <r>
    <x v="0"/>
    <d v="2025-01-29T00:00:00"/>
    <s v="WTI Sprds"/>
    <s v="Hedge"/>
    <n v="250"/>
    <d v="2025-03-31T00:00:00"/>
    <d v="2025-04-30T00:00:00"/>
    <n v="0.6750000000000006"/>
    <n v="0.15"/>
    <n v="-131.25000000000014"/>
    <n v="168.75000000000014"/>
    <x v="14"/>
    <s v="Buy"/>
    <n v="37.5"/>
    <x v="0"/>
    <x v="0"/>
    <n v="2025"/>
    <s v="Buy"/>
    <x v="0"/>
    <s v="UnallocatedWTI SprdsHedge2500.15475"/>
    <x v="0"/>
  </r>
  <r>
    <x v="0"/>
    <d v="2025-01-29T00:00:00"/>
    <s v="WTI Sprds"/>
    <s v="Hedge"/>
    <n v="250"/>
    <d v="2025-04-30T00:00:00"/>
    <d v="2025-05-31T00:00:00"/>
    <n v="0.69500000000001083"/>
    <n v="0.25"/>
    <n v="-111.25000000000271"/>
    <n v="173.7500000000027"/>
    <x v="15"/>
    <s v="Buy"/>
    <n v="62.5"/>
    <x v="0"/>
    <x v="0"/>
    <n v="2025"/>
    <s v="Buy"/>
    <x v="0"/>
    <s v="UnallocatedWTI SprdsHedge2500.25476"/>
    <x v="0"/>
  </r>
  <r>
    <x v="0"/>
    <d v="2025-01-29T00:00:00"/>
    <s v="WTI-Brent"/>
    <s v="Hedge"/>
    <n v="250"/>
    <d v="2025-05-31T00:00:00"/>
    <d v="2025-05-31T00:00:00"/>
    <n v="-3.4450000000000038"/>
    <n v="-3.26"/>
    <n v="46.250000000001009"/>
    <n v="-861.25000000000091"/>
    <x v="22"/>
    <s v="Buy"/>
    <n v="-815"/>
    <x v="1"/>
    <x v="3"/>
    <n v="2025"/>
    <s v="Buy"/>
    <x v="0"/>
    <s v="UnallocatedWTI-BrentHedge250-3.26477"/>
    <x v="0"/>
  </r>
  <r>
    <x v="0"/>
    <d v="2025-01-29T00:00:00"/>
    <s v="WTI Sprds"/>
    <s v="Hedge"/>
    <n v="350"/>
    <d v="2025-03-31T00:00:00"/>
    <d v="2025-04-30T00:00:00"/>
    <n v="0.66"/>
    <n v="0.15"/>
    <n v="-178.5"/>
    <n v="231"/>
    <x v="14"/>
    <s v="Buy"/>
    <n v="52.5"/>
    <x v="0"/>
    <x v="0"/>
    <n v="2025"/>
    <s v="Buy"/>
    <x v="0"/>
    <s v="UnallocatedWTI SprdsHedge3500.15478"/>
    <x v="0"/>
  </r>
  <r>
    <x v="0"/>
    <d v="2025-01-29T00:00:00"/>
    <s v="WTI Sprds"/>
    <s v="Hedge"/>
    <n v="350"/>
    <d v="2025-03-31T00:00:00"/>
    <d v="2025-04-30T00:00:00"/>
    <n v="0.64"/>
    <n v="0.15"/>
    <n v="-171.5"/>
    <n v="224"/>
    <x v="14"/>
    <s v="Buy"/>
    <n v="52.5"/>
    <x v="0"/>
    <x v="0"/>
    <n v="2025"/>
    <s v="Buy"/>
    <x v="0"/>
    <s v="UnallocatedWTI SprdsHedge3500.15479"/>
    <x v="0"/>
  </r>
  <r>
    <x v="0"/>
    <d v="2025-01-29T00:00:00"/>
    <s v="WTI-Brent"/>
    <s v="Hedge"/>
    <n v="100"/>
    <d v="2025-03-31T00:00:00"/>
    <d v="2025-03-31T00:00:00"/>
    <n v="-3.96"/>
    <n v="-4.2300000000000004"/>
    <n v="-27.000000000000046"/>
    <n v="-396"/>
    <x v="20"/>
    <s v="Buy"/>
    <n v="-423.00000000000006"/>
    <x v="1"/>
    <x v="3"/>
    <n v="2025"/>
    <s v="Buy"/>
    <x v="0"/>
    <s v="UnallocatedWTI-BrentHedge100-4.23480"/>
    <x v="0"/>
  </r>
  <r>
    <x v="0"/>
    <d v="2025-01-29T00:00:00"/>
    <s v="WTI-Brent"/>
    <s v="Hedge"/>
    <n v="100"/>
    <d v="2025-03-31T00:00:00"/>
    <d v="2025-03-31T00:00:00"/>
    <n v="-3.96"/>
    <n v="-4.2300000000000004"/>
    <n v="-27.000000000000046"/>
    <n v="-396"/>
    <x v="20"/>
    <s v="Buy"/>
    <n v="-423.00000000000006"/>
    <x v="1"/>
    <x v="3"/>
    <n v="2025"/>
    <s v="Buy"/>
    <x v="0"/>
    <s v="UnallocatedWTI-BrentHedge100-4.23481"/>
    <x v="0"/>
  </r>
  <r>
    <x v="0"/>
    <d v="2025-01-29T00:00:00"/>
    <s v="WTI-Brent"/>
    <s v="Hedge"/>
    <n v="200"/>
    <d v="2025-03-31T00:00:00"/>
    <d v="2025-03-31T00:00:00"/>
    <n v="-3.98"/>
    <n v="-4.2300000000000004"/>
    <n v="-50.000000000000085"/>
    <n v="-796"/>
    <x v="20"/>
    <s v="Buy"/>
    <n v="-846.00000000000011"/>
    <x v="1"/>
    <x v="3"/>
    <n v="2025"/>
    <s v="Buy"/>
    <x v="0"/>
    <s v="UnallocatedWTI-BrentHedge200-4.23482"/>
    <x v="0"/>
  </r>
  <r>
    <x v="0"/>
    <d v="2025-01-29T00:00:00"/>
    <s v="DFL"/>
    <s v="Hedge"/>
    <n v="-500"/>
    <d v="2025-02-28T00:00:00"/>
    <d v="2025-02-28T00:00:00"/>
    <n v="1.06"/>
    <n v="0.22"/>
    <n v="420.00000000000006"/>
    <n v="-530"/>
    <x v="19"/>
    <s v="Sell"/>
    <n v="-110"/>
    <x v="1"/>
    <x v="1"/>
    <n v="2025"/>
    <s v="Sell"/>
    <x v="0"/>
    <s v="UnallocatedDFLHedge-5000.22483"/>
    <x v="0"/>
  </r>
  <r>
    <x v="0"/>
    <d v="2025-01-31T00:00:00"/>
    <s v="WTI Sprds"/>
    <s v="Hedge"/>
    <n v="350"/>
    <d v="2025-03-31T00:00:00"/>
    <d v="2025-04-30T00:00:00"/>
    <n v="0.62"/>
    <n v="0.15"/>
    <n v="-164.5"/>
    <n v="217"/>
    <x v="14"/>
    <s v="Buy"/>
    <n v="52.5"/>
    <x v="0"/>
    <x v="0"/>
    <n v="2025"/>
    <s v="Buy"/>
    <x v="0"/>
    <s v="UnallocatedWTI SprdsHedge3500.15484"/>
    <x v="0"/>
  </r>
  <r>
    <x v="17"/>
    <d v="2025-01-31T00:00:00"/>
    <s v="Brent Sprds"/>
    <s v="Expo"/>
    <n v="26"/>
    <d v="2025-03-31T00:00:00"/>
    <d v="2025-04-30T00:00:00"/>
    <n v="0.98"/>
    <n v="1.0900000000000001"/>
    <n v="2.8600000000000025"/>
    <n v="25.48"/>
    <x v="14"/>
    <s v="Buy"/>
    <n v="28.340000000000003"/>
    <x v="0"/>
    <x v="2"/>
    <n v="2025"/>
    <s v="Buy"/>
    <x v="0"/>
    <s v="CPC TAIWAN APR 23-27Brent SprdsExpo261.09485"/>
    <x v="0"/>
  </r>
  <r>
    <x v="0"/>
    <d v="2025-01-29T00:00:00"/>
    <s v="WTI-Brent"/>
    <s v="Hedge"/>
    <n v="111"/>
    <d v="2025-03-31T00:00:00"/>
    <d v="2025-03-31T00:00:00"/>
    <n v="-4.04"/>
    <n v="-4.2300000000000004"/>
    <n v="-21.090000000000042"/>
    <n v="-448.44"/>
    <x v="20"/>
    <s v="Buy"/>
    <n v="-469.53000000000003"/>
    <x v="1"/>
    <x v="3"/>
    <n v="2025"/>
    <s v="Buy"/>
    <x v="0"/>
    <s v="UnallocatedWTI-BrentHedge111-4.23486"/>
    <x v="0"/>
  </r>
  <r>
    <x v="0"/>
    <d v="2025-02-03T00:00:00"/>
    <s v="WTI Sprds"/>
    <s v="Hedge"/>
    <n v="300"/>
    <d v="2025-03-31T00:00:00"/>
    <d v="2025-04-30T00:00:00"/>
    <n v="0.55000000000000004"/>
    <n v="0.15"/>
    <n v="-120"/>
    <n v="165"/>
    <x v="14"/>
    <s v="Buy"/>
    <n v="45"/>
    <x v="0"/>
    <x v="0"/>
    <n v="2025"/>
    <s v="Buy"/>
    <x v="0"/>
    <s v="UnallocatedWTI SprdsHedge3000.15487"/>
    <x v="0"/>
  </r>
  <r>
    <x v="0"/>
    <d v="2025-02-03T00:00:00"/>
    <s v="WTI Sprds"/>
    <s v="Hedge"/>
    <n v="300"/>
    <d v="2025-03-31T00:00:00"/>
    <d v="2025-04-30T00:00:00"/>
    <n v="0.54"/>
    <n v="0.15"/>
    <n v="-117"/>
    <n v="162"/>
    <x v="14"/>
    <s v="Buy"/>
    <n v="45"/>
    <x v="0"/>
    <x v="0"/>
    <n v="2025"/>
    <s v="Buy"/>
    <x v="0"/>
    <s v="UnallocatedWTI SprdsHedge3000.15488"/>
    <x v="0"/>
  </r>
  <r>
    <x v="0"/>
    <d v="2025-02-03T00:00:00"/>
    <s v="WTI Sprds"/>
    <s v="Hedge"/>
    <n v="184"/>
    <d v="2025-03-31T00:00:00"/>
    <d v="2025-04-30T00:00:00"/>
    <n v="0.53"/>
    <n v="0.15"/>
    <n v="-69.92"/>
    <n v="97.52000000000001"/>
    <x v="14"/>
    <s v="Buy"/>
    <n v="27.599999999999998"/>
    <x v="0"/>
    <x v="0"/>
    <n v="2025"/>
    <s v="Buy"/>
    <x v="0"/>
    <s v="UnallocatedWTI SprdsHedge1840.15489"/>
    <x v="0"/>
  </r>
  <r>
    <x v="0"/>
    <d v="2025-02-04T00:00:00"/>
    <s v="WTI Sprds"/>
    <s v="Hedge"/>
    <n v="116"/>
    <d v="2025-03-31T00:00:00"/>
    <d v="2025-04-30T00:00:00"/>
    <n v="0.53"/>
    <n v="0.15"/>
    <n v="-44.08"/>
    <n v="61.480000000000004"/>
    <x v="14"/>
    <s v="Buy"/>
    <n v="17.399999999999999"/>
    <x v="0"/>
    <x v="0"/>
    <n v="2025"/>
    <s v="Buy"/>
    <x v="0"/>
    <s v="UnallocatedWTI SprdsHedge1160.15490"/>
    <x v="0"/>
  </r>
  <r>
    <x v="0"/>
    <d v="2025-02-04T00:00:00"/>
    <s v="WTI Sprds"/>
    <s v="Hedge"/>
    <n v="300"/>
    <d v="2025-03-31T00:00:00"/>
    <d v="2025-04-30T00:00:00"/>
    <n v="0.52"/>
    <n v="0.15"/>
    <n v="-111"/>
    <n v="156"/>
    <x v="14"/>
    <s v="Buy"/>
    <n v="45"/>
    <x v="0"/>
    <x v="0"/>
    <n v="2025"/>
    <s v="Buy"/>
    <x v="0"/>
    <s v="UnallocatedWTI SprdsHedge3000.15491"/>
    <x v="0"/>
  </r>
  <r>
    <x v="0"/>
    <d v="2025-02-04T00:00:00"/>
    <s v="WTI Sprds"/>
    <s v="Hedge"/>
    <n v="300"/>
    <d v="2025-03-31T00:00:00"/>
    <d v="2025-04-30T00:00:00"/>
    <n v="0.5"/>
    <n v="0.15"/>
    <n v="-105"/>
    <n v="150"/>
    <x v="14"/>
    <s v="Buy"/>
    <n v="45"/>
    <x v="0"/>
    <x v="0"/>
    <n v="2025"/>
    <s v="Buy"/>
    <x v="0"/>
    <s v="UnallocatedWTI SprdsHedge3000.15492"/>
    <x v="0"/>
  </r>
  <r>
    <x v="0"/>
    <d v="2025-02-04T00:00:00"/>
    <s v="WTI Sprds-Fly"/>
    <s v="Hedge"/>
    <n v="500"/>
    <d v="2025-03-31T00:00:00"/>
    <d v="2025-04-30T00:00:00"/>
    <n v="0.4"/>
    <n v="0.15"/>
    <n v="-125"/>
    <n v="200"/>
    <x v="14"/>
    <s v="Buy"/>
    <n v="75"/>
    <x v="0"/>
    <x v="0"/>
    <n v="2025"/>
    <s v="Buy"/>
    <x v="0"/>
    <s v="UnallocatedWTI Sprds-FlyHedge5000.15493"/>
    <x v="0"/>
  </r>
  <r>
    <x v="0"/>
    <d v="2025-02-04T00:00:00"/>
    <s v="WTI Sprds-Fly"/>
    <s v="Hedge"/>
    <n v="-500"/>
    <d v="2025-04-30T00:00:00"/>
    <d v="2025-05-31T00:00:00"/>
    <n v="0.51"/>
    <n v="0.25"/>
    <n v="130"/>
    <n v="-255"/>
    <x v="15"/>
    <s v="Sell"/>
    <n v="-125"/>
    <x v="0"/>
    <x v="0"/>
    <n v="2025"/>
    <s v="Sell"/>
    <x v="0"/>
    <s v="UnallocatedWTI Sprds-FlyHedge-5000.25494"/>
    <x v="0"/>
  </r>
  <r>
    <x v="0"/>
    <d v="2025-02-04T00:00:00"/>
    <s v="WTI-Brent"/>
    <s v="Hedge"/>
    <n v="500"/>
    <d v="2025-05-31T00:00:00"/>
    <d v="2025-05-31T00:00:00"/>
    <n v="-3.7"/>
    <n v="-3.26"/>
    <n v="220.0000000000002"/>
    <n v="-1850"/>
    <x v="22"/>
    <s v="Buy"/>
    <n v="-1630"/>
    <x v="1"/>
    <x v="3"/>
    <n v="2025"/>
    <s v="Buy"/>
    <x v="0"/>
    <s v="UnallocatedWTI-BrentHedge500-3.26495"/>
    <x v="0"/>
  </r>
  <r>
    <x v="0"/>
    <d v="2025-02-04T00:00:00"/>
    <s v="WTI Sprds"/>
    <s v="Hedge"/>
    <n v="2000"/>
    <d v="2025-03-31T00:00:00"/>
    <d v="2025-04-30T00:00:00"/>
    <n v="0.39"/>
    <n v="0.15"/>
    <n v="-480.00000000000006"/>
    <n v="780"/>
    <x v="14"/>
    <s v="Buy"/>
    <n v="300"/>
    <x v="0"/>
    <x v="0"/>
    <n v="2025"/>
    <s v="Buy"/>
    <x v="0"/>
    <s v="UnallocatedWTI SprdsHedge20000.15496"/>
    <x v="0"/>
  </r>
  <r>
    <x v="0"/>
    <d v="2025-02-05T00:00:00"/>
    <s v="WTI-Brent"/>
    <s v="Hedge"/>
    <n v="250"/>
    <d v="2025-05-31T00:00:00"/>
    <d v="2025-05-31T00:00:00"/>
    <n v="-3.7"/>
    <n v="-3.26"/>
    <n v="110.0000000000001"/>
    <n v="-925"/>
    <x v="22"/>
    <s v="Buy"/>
    <n v="-815"/>
    <x v="1"/>
    <x v="3"/>
    <n v="2025"/>
    <s v="Buy"/>
    <x v="0"/>
    <s v="UnallocatedWTI-BrentHedge250-3.26497"/>
    <x v="0"/>
  </r>
  <r>
    <x v="17"/>
    <d v="2025-02-05T00:00:00"/>
    <s v="Brent Sprds"/>
    <s v="Hedge"/>
    <n v="500"/>
    <d v="2025-04-30T00:00:00"/>
    <d v="2025-05-31T00:00:00"/>
    <n v="0.52"/>
    <n v="0.37"/>
    <n v="-75.000000000000014"/>
    <n v="260"/>
    <x v="15"/>
    <s v="Buy"/>
    <n v="185"/>
    <x v="0"/>
    <x v="2"/>
    <n v="2025"/>
    <s v="Buy"/>
    <x v="0"/>
    <s v="CPC TAIWAN APR 23-27Brent SprdsHedge5000.37498"/>
    <x v="0"/>
  </r>
  <r>
    <x v="0"/>
    <d v="2025-02-05T00:00:00"/>
    <s v="WTI-Brent"/>
    <s v="Hedge"/>
    <n v="250"/>
    <d v="2025-05-31T00:00:00"/>
    <d v="2025-05-31T00:00:00"/>
    <n v="-3.75"/>
    <n v="-3.26"/>
    <n v="122.50000000000006"/>
    <n v="-937.5"/>
    <x v="22"/>
    <s v="Buy"/>
    <n v="-815"/>
    <x v="1"/>
    <x v="3"/>
    <n v="2025"/>
    <s v="Buy"/>
    <x v="0"/>
    <s v="UnallocatedWTI-BrentHedge250-3.26499"/>
    <x v="0"/>
  </r>
  <r>
    <x v="18"/>
    <d v="2025-02-06T00:00:00"/>
    <s v="Physical"/>
    <s v="Expo"/>
    <n v="700"/>
    <d v="2025-02-28T00:00:00"/>
    <d v="2025-02-28T00:00:00"/>
    <n v="0"/>
    <n v="0.64"/>
    <n v="448"/>
    <n v="0"/>
    <x v="19"/>
    <s v="Buy"/>
    <n v="448"/>
    <x v="2"/>
    <x v="4"/>
    <n v="2025"/>
    <s v="Buy"/>
    <x v="1"/>
    <s v="Gunvor FOB Feb 23-24PhysicalExpo7000.64500"/>
    <x v="0"/>
  </r>
  <r>
    <x v="18"/>
    <d v="2025-02-06T00:00:00"/>
    <s v="WTI Sprds"/>
    <s v="Expo"/>
    <n v="-700"/>
    <d v="2025-03-31T00:00:00"/>
    <d v="2025-04-30T00:00:00"/>
    <n v="0.23999999999999488"/>
    <n v="0.15"/>
    <n v="62.999999999996426"/>
    <n v="-167.99999999999642"/>
    <x v="14"/>
    <s v="Sell"/>
    <n v="-105"/>
    <x v="0"/>
    <x v="0"/>
    <n v="2025"/>
    <s v="Sell"/>
    <x v="0"/>
    <s v="Gunvor FOB Feb 23-24WTI SprdsExpo-7000.15501"/>
    <x v="0"/>
  </r>
  <r>
    <x v="18"/>
    <d v="2025-02-06T00:00:00"/>
    <s v="WTI Sprds"/>
    <s v="Expo"/>
    <n v="-700"/>
    <d v="2025-04-30T00:00:00"/>
    <d v="2025-05-31T00:00:00"/>
    <n v="0.30000000000001137"/>
    <n v="0.25"/>
    <n v="35.000000000007958"/>
    <n v="-210.00000000000796"/>
    <x v="15"/>
    <s v="Sell"/>
    <n v="-175"/>
    <x v="0"/>
    <x v="0"/>
    <n v="2025"/>
    <s v="Sell"/>
    <x v="0"/>
    <s v="Gunvor FOB Feb 23-24WTI SprdsExpo-7000.25502"/>
    <x v="0"/>
  </r>
  <r>
    <x v="18"/>
    <d v="2025-02-06T00:00:00"/>
    <s v="WTI-Brent"/>
    <s v="Hedge"/>
    <n v="-700"/>
    <d v="2025-05-31T00:00:00"/>
    <d v="2025-05-31T00:00:00"/>
    <n v="-3.7700000000000102"/>
    <n v="-3.26"/>
    <n v="-357.00000000000733"/>
    <n v="2639.0000000000073"/>
    <x v="22"/>
    <s v="Sell"/>
    <n v="2282"/>
    <x v="1"/>
    <x v="3"/>
    <n v="2025"/>
    <s v="Sell"/>
    <x v="0"/>
    <s v="Gunvor FOB Feb 23-24WTI-BrentHedge-700-3.26503"/>
    <x v="0"/>
  </r>
  <r>
    <x v="18"/>
    <d v="2025-02-06T00:00:00"/>
    <s v="WTI-Brent"/>
    <s v="Hedge"/>
    <n v="500"/>
    <d v="2025-05-31T00:00:00"/>
    <d v="2025-05-31T00:00:00"/>
    <n v="-3.75"/>
    <n v="-3.26"/>
    <n v="245.00000000000011"/>
    <n v="-1875"/>
    <x v="22"/>
    <s v="Buy"/>
    <n v="-1630"/>
    <x v="1"/>
    <x v="3"/>
    <n v="2025"/>
    <s v="Buy"/>
    <x v="0"/>
    <s v="Gunvor FOB Feb 23-24WTI-BrentHedge500-3.26504"/>
    <x v="0"/>
  </r>
  <r>
    <x v="18"/>
    <d v="2025-02-06T00:00:00"/>
    <s v="WTI-Brent"/>
    <s v="Hedge"/>
    <n v="200"/>
    <d v="2025-05-31T00:00:00"/>
    <d v="2025-05-31T00:00:00"/>
    <n v="-3.77"/>
    <n v="-3.26"/>
    <n v="102.00000000000004"/>
    <n v="-754"/>
    <x v="22"/>
    <s v="Buy"/>
    <n v="-652"/>
    <x v="1"/>
    <x v="3"/>
    <n v="2025"/>
    <s v="Buy"/>
    <x v="0"/>
    <s v="Gunvor FOB Feb 23-24WTI-BrentHedge200-3.26505"/>
    <x v="0"/>
  </r>
  <r>
    <x v="0"/>
    <d v="2025-02-06T00:00:00"/>
    <s v="WTI Sprds"/>
    <s v="Hedge"/>
    <n v="-932"/>
    <d v="2025-03-31T00:00:00"/>
    <d v="2025-04-30T00:00:00"/>
    <n v="0.23999999999999488"/>
    <n v="0.15"/>
    <n v="83.879999999995235"/>
    <n v="-223.67999999999523"/>
    <x v="14"/>
    <s v="Sell"/>
    <n v="-139.79999999999998"/>
    <x v="0"/>
    <x v="0"/>
    <n v="2025"/>
    <s v="Sell"/>
    <x v="0"/>
    <s v="UnallocatedWTI SprdsHedge-9320.15506"/>
    <x v="0"/>
  </r>
  <r>
    <x v="0"/>
    <d v="2025-02-06T00:00:00"/>
    <s v="WTI Sprds-Fly"/>
    <s v="Hedge"/>
    <n v="932"/>
    <d v="2025-03-31T00:00:00"/>
    <d v="2025-04-30T00:00:00"/>
    <n v="0.23999999999999488"/>
    <n v="0.15"/>
    <n v="-83.879999999995235"/>
    <n v="223.67999999999523"/>
    <x v="14"/>
    <s v="Buy"/>
    <n v="139.79999999999998"/>
    <x v="0"/>
    <x v="0"/>
    <n v="2025"/>
    <s v="Buy"/>
    <x v="0"/>
    <s v="UnallocatedWTI Sprds-FlyHedge9320.15507"/>
    <x v="0"/>
  </r>
  <r>
    <x v="0"/>
    <d v="2025-02-06T00:00:00"/>
    <s v="WTI Sprds"/>
    <s v="Hedge"/>
    <n v="932"/>
    <d v="2025-04-30T00:00:00"/>
    <d v="2025-05-31T00:00:00"/>
    <n v="0.30000000000001137"/>
    <n v="0.25"/>
    <n v="-46.600000000010596"/>
    <n v="279.6000000000106"/>
    <x v="15"/>
    <s v="Buy"/>
    <n v="233"/>
    <x v="0"/>
    <x v="0"/>
    <n v="2025"/>
    <s v="Buy"/>
    <x v="0"/>
    <s v="UnallocatedWTI SprdsHedge9320.25508"/>
    <x v="0"/>
  </r>
  <r>
    <x v="0"/>
    <d v="2025-02-06T00:00:00"/>
    <s v="WTI Sprds-Fly"/>
    <s v="Hedge"/>
    <n v="-932"/>
    <d v="2025-04-30T00:00:00"/>
    <d v="2025-05-31T00:00:00"/>
    <n v="0.30000000000001137"/>
    <n v="0.25"/>
    <n v="46.600000000010596"/>
    <n v="-279.6000000000106"/>
    <x v="15"/>
    <s v="Sell"/>
    <n v="-233"/>
    <x v="0"/>
    <x v="0"/>
    <n v="2025"/>
    <s v="Sell"/>
    <x v="0"/>
    <s v="UnallocatedWTI Sprds-FlyHedge-9320.25509"/>
    <x v="0"/>
  </r>
  <r>
    <x v="35"/>
    <d v="2025-02-07T00:00:00"/>
    <s v="Freight-TD22"/>
    <s v="Expo"/>
    <n v="-2000"/>
    <d v="2025-03-31T00:00:00"/>
    <d v="2025-03-31T00:00:00"/>
    <n v="9250"/>
    <n v="9250"/>
    <n v="0"/>
    <n v="-18500000"/>
    <x v="20"/>
    <s v="Sell"/>
    <n v="-18500000"/>
    <x v="3"/>
    <x v="5"/>
    <n v="2025"/>
    <s v="Sell"/>
    <x v="0"/>
    <s v="HDO May 10-20 WTI+WTLFreight-TD22Expo-20009250510"/>
    <x v="0"/>
  </r>
  <r>
    <x v="35"/>
    <d v="2025-02-07T00:00:00"/>
    <s v="Freight-TD22"/>
    <s v="Expo"/>
    <n v="2000"/>
    <d v="2025-03-31T00:00:00"/>
    <d v="2025-03-31T00:00:00"/>
    <n v="8300"/>
    <n v="9250"/>
    <n v="950"/>
    <n v="16600000"/>
    <x v="20"/>
    <s v="Buy"/>
    <n v="18500000"/>
    <x v="3"/>
    <x v="5"/>
    <n v="2025"/>
    <s v="Buy"/>
    <x v="0"/>
    <s v="HDO May 10-20 WTI+WTLFreight-TD22Expo20009250511"/>
    <x v="0"/>
  </r>
  <r>
    <x v="35"/>
    <d v="2025-02-07T00:00:00"/>
    <s v="Physical"/>
    <s v="Expo"/>
    <n v="1400"/>
    <d v="2025-03-31T00:00:00"/>
    <d v="2025-03-31T00:00:00"/>
    <n v="4.1647619047619049"/>
    <n v="4.91"/>
    <n v="1043.3333333333333"/>
    <n v="5197.3333333333339"/>
    <x v="20"/>
    <s v="Buy"/>
    <n v="6874"/>
    <x v="2"/>
    <x v="4"/>
    <n v="2025"/>
    <s v="Buy"/>
    <x v="1"/>
    <s v="HDO May 10-20 WTI+WTLPhysicalExpo14004.91512"/>
    <x v="0"/>
  </r>
  <r>
    <x v="35"/>
    <d v="2025-02-07T00:00:00"/>
    <s v="Physical"/>
    <s v="Expo"/>
    <n v="700"/>
    <d v="2025-03-31T00:00:00"/>
    <d v="2025-03-31T00:00:00"/>
    <n v="3.7147619047619052"/>
    <n v="4.6100000000000003"/>
    <n v="626.66666666666663"/>
    <n v="2283.666666666667"/>
    <x v="20"/>
    <s v="Buy"/>
    <n v="3227"/>
    <x v="2"/>
    <x v="4"/>
    <n v="2025"/>
    <s v="Buy"/>
    <x v="1"/>
    <s v="HDO May 10-20 WTI+WTLPhysicalExpo7004.61513"/>
    <x v="0"/>
  </r>
  <r>
    <x v="35"/>
    <d v="2025-02-07T00:00:00"/>
    <s v="WTI Sprds"/>
    <s v="Expo"/>
    <n v="-2100"/>
    <d v="2025-03-31T00:00:00"/>
    <d v="2025-04-30T00:00:00"/>
    <n v="0.25"/>
    <n v="0.15"/>
    <n v="210"/>
    <n v="-525"/>
    <x v="14"/>
    <s v="Sell"/>
    <n v="-315"/>
    <x v="0"/>
    <x v="0"/>
    <n v="2025"/>
    <s v="Sell"/>
    <x v="0"/>
    <s v="HDO May 10-20 WTI+WTLWTI SprdsExpo-21000.15514"/>
    <x v="0"/>
  </r>
  <r>
    <x v="35"/>
    <d v="2025-02-07T00:00:00"/>
    <s v="WTI Sprds"/>
    <s v="Expo"/>
    <n v="-2100"/>
    <d v="2025-04-30T00:00:00"/>
    <d v="2025-05-31T00:00:00"/>
    <n v="0.28999999999999998"/>
    <n v="0.25"/>
    <n v="83.999999999999957"/>
    <n v="-609"/>
    <x v="15"/>
    <s v="Sell"/>
    <n v="-525"/>
    <x v="0"/>
    <x v="0"/>
    <n v="2025"/>
    <s v="Sell"/>
    <x v="0"/>
    <s v="HDO May 10-20 WTI+WTLWTI SprdsExpo-21000.25515"/>
    <x v="0"/>
  </r>
  <r>
    <x v="35"/>
    <d v="2025-02-07T00:00:00"/>
    <s v="WTI-Brent"/>
    <s v="Expo"/>
    <n v="-2100"/>
    <d v="2025-05-31T00:00:00"/>
    <d v="2025-05-31T00:00:00"/>
    <n v="-3.78"/>
    <n v="-3.26"/>
    <n v="-1092"/>
    <n v="7938"/>
    <x v="22"/>
    <s v="Sell"/>
    <n v="6846"/>
    <x v="1"/>
    <x v="3"/>
    <n v="2025"/>
    <s v="Sell"/>
    <x v="0"/>
    <s v="HDO May 10-20 WTI+WTLWTI-BrentExpo-2100-3.26516"/>
    <x v="0"/>
  </r>
  <r>
    <x v="35"/>
    <d v="2025-02-07T00:00:00"/>
    <s v="Brent Sprds"/>
    <s v="Expo"/>
    <n v="-1999"/>
    <d v="2025-05-31T00:00:00"/>
    <d v="2025-06-30T00:00:00"/>
    <n v="0.48"/>
    <n v="-0.03"/>
    <n v="1019.49"/>
    <n v="-959.52"/>
    <x v="16"/>
    <s v="Sell"/>
    <n v="59.97"/>
    <x v="0"/>
    <x v="2"/>
    <n v="2025"/>
    <s v="Sell"/>
    <x v="0"/>
    <s v="HDO May 10-20 WTI+WTLBrent SprdsExpo-1999-0.03517"/>
    <x v="0"/>
  </r>
  <r>
    <x v="35"/>
    <d v="2025-02-07T00:00:00"/>
    <s v="Brent Sprds"/>
    <s v="Expo"/>
    <n v="100"/>
    <d v="2025-06-30T00:00:00"/>
    <d v="2025-07-31T00:00:00"/>
    <n v="0.48"/>
    <n v="2.06"/>
    <n v="158"/>
    <n v="48"/>
    <x v="31"/>
    <s v="Buy"/>
    <n v="206"/>
    <x v="0"/>
    <x v="2"/>
    <n v="2025"/>
    <s v="Buy"/>
    <x v="0"/>
    <s v="HDO May 10-20 WTI+WTLBrent SprdsExpo1002.06518"/>
    <x v="0"/>
  </r>
  <r>
    <x v="35"/>
    <d v="2025-02-07T00:00:00"/>
    <s v="WTI Sprds"/>
    <s v="Hedge"/>
    <n v="2100"/>
    <d v="2025-03-31T00:00:00"/>
    <d v="2025-04-30T00:00:00"/>
    <n v="0.26000000000000512"/>
    <n v="0.15"/>
    <n v="-231.00000000001074"/>
    <n v="546.00000000001069"/>
    <x v="14"/>
    <s v="Buy"/>
    <n v="315"/>
    <x v="0"/>
    <x v="0"/>
    <n v="2025"/>
    <s v="Buy"/>
    <x v="0"/>
    <s v="HDO May 10-20 WTI+WTLWTI SprdsHedge21000.15519"/>
    <x v="0"/>
  </r>
  <r>
    <x v="35"/>
    <d v="2025-02-07T00:00:00"/>
    <s v="WTI Sprds"/>
    <s v="Hedge"/>
    <n v="2100"/>
    <d v="2025-04-30T00:00:00"/>
    <d v="2025-05-31T00:00:00"/>
    <n v="0.31999999999999318"/>
    <n v="0.25"/>
    <n v="-146.99999999998568"/>
    <n v="671.99999999998568"/>
    <x v="15"/>
    <s v="Buy"/>
    <n v="525"/>
    <x v="0"/>
    <x v="0"/>
    <n v="2025"/>
    <s v="Buy"/>
    <x v="0"/>
    <s v="HDO May 10-20 WTI+WTLWTI SprdsHedge21000.25520"/>
    <x v="0"/>
  </r>
  <r>
    <x v="35"/>
    <d v="2025-02-07T00:00:00"/>
    <s v="WTI-Brent"/>
    <s v="Hedge"/>
    <n v="2100"/>
    <d v="2025-05-31T00:00:00"/>
    <d v="2025-05-31T00:00:00"/>
    <n v="-3.8400000000000034"/>
    <n v="-3.26"/>
    <n v="1218.0000000000075"/>
    <n v="-8064.0000000000073"/>
    <x v="22"/>
    <s v="Buy"/>
    <n v="-6846"/>
    <x v="1"/>
    <x v="3"/>
    <n v="2025"/>
    <s v="Buy"/>
    <x v="0"/>
    <s v="HDO May 10-20 WTI+WTLWTI-BrentHedge2100-3.26521"/>
    <x v="0"/>
  </r>
  <r>
    <x v="35"/>
    <d v="2025-02-07T00:00:00"/>
    <s v="Brent Sprds"/>
    <s v="Hedge"/>
    <n v="2100"/>
    <d v="2025-05-31T00:00:00"/>
    <d v="2025-06-30T00:00:00"/>
    <n v="0.43000000000000682"/>
    <n v="-0.03"/>
    <n v="-966.00000000001432"/>
    <n v="903.00000000001432"/>
    <x v="16"/>
    <s v="Buy"/>
    <n v="-63"/>
    <x v="0"/>
    <x v="2"/>
    <n v="2025"/>
    <s v="Buy"/>
    <x v="0"/>
    <s v="HDO May 10-20 WTI+WTLBrent SprdsHedge2100-0.03522"/>
    <x v="0"/>
  </r>
  <r>
    <x v="35"/>
    <d v="2025-02-07T00:00:00"/>
    <s v="MEH"/>
    <s v="Expo"/>
    <n v="-700"/>
    <d v="2025-03-31T00:00:00"/>
    <d v="2025-03-31T00:00:00"/>
    <n v="1.55"/>
    <n v="1.488909090909091"/>
    <n v="42.763636363636358"/>
    <n v="-1085"/>
    <x v="20"/>
    <s v="Sell"/>
    <n v="-1042.2363636363636"/>
    <x v="1"/>
    <x v="7"/>
    <n v="2025"/>
    <s v="Sell"/>
    <x v="0"/>
    <s v="HDO May 10-20 WTI+WTLMEHExpo-7001.48890909090909523"/>
    <x v="0"/>
  </r>
  <r>
    <x v="0"/>
    <d v="2025-02-11T00:00:00"/>
    <s v="WTI Sprds-Fly"/>
    <s v="Hedge"/>
    <n v="300"/>
    <d v="2025-03-31T00:00:00"/>
    <d v="2025-04-30T00:00:00"/>
    <n v="0.24"/>
    <n v="0.15"/>
    <n v="-27"/>
    <n v="72"/>
    <x v="14"/>
    <s v="Buy"/>
    <n v="45"/>
    <x v="0"/>
    <x v="0"/>
    <n v="2025"/>
    <s v="Buy"/>
    <x v="0"/>
    <s v="UnallocatedWTI Sprds-FlyHedge3000.15524"/>
    <x v="0"/>
  </r>
  <r>
    <x v="0"/>
    <d v="2025-02-11T00:00:00"/>
    <s v="WTI Sprds-Fly"/>
    <s v="Hedge"/>
    <n v="-300"/>
    <d v="2025-04-30T00:00:00"/>
    <d v="2025-05-31T00:00:00"/>
    <n v="0.32"/>
    <n v="0.25"/>
    <n v="21.000000000000004"/>
    <n v="-96"/>
    <x v="15"/>
    <s v="Sell"/>
    <n v="-75"/>
    <x v="0"/>
    <x v="0"/>
    <n v="2025"/>
    <s v="Sell"/>
    <x v="0"/>
    <s v="UnallocatedWTI Sprds-FlyHedge-3000.25525"/>
    <x v="0"/>
  </r>
  <r>
    <x v="0"/>
    <d v="2025-02-11T00:00:00"/>
    <s v="WTI-Brent"/>
    <s v="Hedge"/>
    <n v="71"/>
    <d v="2025-05-31T00:00:00"/>
    <d v="2025-05-31T00:00:00"/>
    <n v="-3.85"/>
    <n v="-3.26"/>
    <n v="41.890000000000022"/>
    <n v="-273.35000000000002"/>
    <x v="22"/>
    <s v="Buy"/>
    <n v="-231.45999999999998"/>
    <x v="1"/>
    <x v="3"/>
    <n v="2025"/>
    <s v="Buy"/>
    <x v="0"/>
    <s v="UnallocatedWTI-BrentHedge71-3.26526"/>
    <x v="0"/>
  </r>
  <r>
    <x v="0"/>
    <d v="2025-02-12T00:00:00"/>
    <s v="WTI-Brent"/>
    <s v="Hedge"/>
    <n v="179"/>
    <d v="2025-05-31T00:00:00"/>
    <d v="2025-05-31T00:00:00"/>
    <n v="-3.85"/>
    <n v="-3.26"/>
    <n v="105.61000000000006"/>
    <n v="-689.15"/>
    <x v="22"/>
    <s v="Buy"/>
    <n v="-583.54"/>
    <x v="1"/>
    <x v="3"/>
    <n v="2025"/>
    <s v="Buy"/>
    <x v="0"/>
    <s v="UnallocatedWTI-BrentHedge179-3.26527"/>
    <x v="0"/>
  </r>
  <r>
    <x v="0"/>
    <d v="2025-02-12T00:00:00"/>
    <s v="WTI-Brent"/>
    <s v="Hedge"/>
    <n v="50"/>
    <d v="2025-04-30T00:00:00"/>
    <d v="2025-04-30T00:00:00"/>
    <n v="-3.95"/>
    <n v="-3.42"/>
    <n v="26.500000000000014"/>
    <n v="-197.5"/>
    <x v="21"/>
    <s v="Buy"/>
    <n v="-171"/>
    <x v="1"/>
    <x v="3"/>
    <n v="2025"/>
    <s v="Buy"/>
    <x v="0"/>
    <s v="UnallocatedWTI-BrentHedge50-3.42528"/>
    <x v="0"/>
  </r>
  <r>
    <x v="0"/>
    <d v="2025-02-13T00:00:00"/>
    <s v="WTI Sprds-Fly"/>
    <s v="Hedge"/>
    <n v="268"/>
    <d v="2025-03-31T00:00:00"/>
    <d v="2025-04-30T00:00:00"/>
    <n v="0.13"/>
    <n v="0.15"/>
    <n v="5.3599999999999977"/>
    <n v="34.840000000000003"/>
    <x v="14"/>
    <s v="Buy"/>
    <n v="40.199999999999996"/>
    <x v="0"/>
    <x v="0"/>
    <n v="2025"/>
    <s v="Buy"/>
    <x v="0"/>
    <s v="UnallocatedWTI Sprds-FlyHedge2680.15529"/>
    <x v="0"/>
  </r>
  <r>
    <x v="0"/>
    <d v="2025-02-13T00:00:00"/>
    <s v="WTI Sprds-Fly"/>
    <s v="Hedge"/>
    <n v="-268"/>
    <d v="2025-04-30T00:00:00"/>
    <d v="2025-05-31T00:00:00"/>
    <n v="0.23"/>
    <n v="0.25"/>
    <n v="-5.3599999999999977"/>
    <n v="-61.64"/>
    <x v="15"/>
    <s v="Sell"/>
    <n v="-67"/>
    <x v="0"/>
    <x v="0"/>
    <n v="2025"/>
    <s v="Sell"/>
    <x v="0"/>
    <s v="UnallocatedWTI Sprds-FlyHedge-2680.25530"/>
    <x v="0"/>
  </r>
  <r>
    <x v="0"/>
    <d v="2025-02-13T00:00:00"/>
    <s v="WTI Sprds"/>
    <s v="Hedge"/>
    <n v="-500"/>
    <d v="2025-04-30T00:00:00"/>
    <d v="2025-05-31T00:00:00"/>
    <n v="0.28000000000000003"/>
    <n v="0.25"/>
    <n v="15.000000000000014"/>
    <n v="-140"/>
    <x v="15"/>
    <s v="Sell"/>
    <n v="-125"/>
    <x v="0"/>
    <x v="0"/>
    <n v="2025"/>
    <s v="Sell"/>
    <x v="0"/>
    <s v="UnallocatedWTI SprdsHedge-5000.25531"/>
    <x v="0"/>
  </r>
  <r>
    <x v="0"/>
    <d v="2025-02-13T00:00:00"/>
    <s v="WTI Sprds"/>
    <s v="Hedge"/>
    <n v="-500"/>
    <d v="2025-05-31T00:00:00"/>
    <d v="2025-06-30T00:00:00"/>
    <n v="0.32"/>
    <n v="0.67"/>
    <n v="-175.00000000000003"/>
    <n v="-160"/>
    <x v="16"/>
    <s v="Sell"/>
    <n v="-335"/>
    <x v="0"/>
    <x v="0"/>
    <n v="2025"/>
    <s v="Sell"/>
    <x v="0"/>
    <s v="UnallocatedWTI SprdsHedge-5000.67532"/>
    <x v="0"/>
  </r>
  <r>
    <x v="0"/>
    <d v="2025-02-14T00:00:00"/>
    <s v="WTI Sprds-Fly"/>
    <s v="Hedge"/>
    <n v="250"/>
    <d v="2025-03-31T00:00:00"/>
    <d v="2025-04-30T00:00:00"/>
    <n v="0.03"/>
    <n v="0.15"/>
    <n v="30"/>
    <n v="7.5"/>
    <x v="14"/>
    <s v="Buy"/>
    <n v="37.5"/>
    <x v="0"/>
    <x v="0"/>
    <n v="2025"/>
    <s v="Buy"/>
    <x v="0"/>
    <s v="UnallocatedWTI Sprds-FlyHedge2500.15533"/>
    <x v="0"/>
  </r>
  <r>
    <x v="0"/>
    <d v="2025-02-14T00:00:00"/>
    <s v="WTI Sprds-Fly"/>
    <s v="Hedge"/>
    <n v="-250"/>
    <d v="2025-04-30T00:00:00"/>
    <d v="2025-05-31T00:00:00"/>
    <n v="0.15"/>
    <n v="0.25"/>
    <n v="-25"/>
    <n v="-37.5"/>
    <x v="15"/>
    <s v="Sell"/>
    <n v="-62.5"/>
    <x v="0"/>
    <x v="0"/>
    <n v="2025"/>
    <s v="Sell"/>
    <x v="0"/>
    <s v="UnallocatedWTI Sprds-FlyHedge-2500.25534"/>
    <x v="0"/>
  </r>
  <r>
    <x v="0"/>
    <d v="2025-02-14T00:00:00"/>
    <s v="WTI Sprds-Fly"/>
    <s v="Hedge"/>
    <n v="250"/>
    <d v="2025-03-31T00:00:00"/>
    <d v="2025-04-30T00:00:00"/>
    <n v="0.03"/>
    <n v="0.15"/>
    <n v="30"/>
    <n v="7.5"/>
    <x v="14"/>
    <s v="Buy"/>
    <n v="37.5"/>
    <x v="0"/>
    <x v="0"/>
    <n v="2025"/>
    <s v="Buy"/>
    <x v="0"/>
    <s v="UnallocatedWTI Sprds-FlyHedge2500.15535"/>
    <x v="0"/>
  </r>
  <r>
    <x v="0"/>
    <d v="2025-02-14T00:00:00"/>
    <s v="WTI Sprds-Fly"/>
    <s v="Hedge"/>
    <n v="-250"/>
    <d v="2025-04-30T00:00:00"/>
    <d v="2025-05-31T00:00:00"/>
    <n v="0.16"/>
    <n v="0.25"/>
    <n v="-22.5"/>
    <n v="-40"/>
    <x v="15"/>
    <s v="Sell"/>
    <n v="-62.5"/>
    <x v="0"/>
    <x v="0"/>
    <n v="2025"/>
    <s v="Sell"/>
    <x v="0"/>
    <s v="UnallocatedWTI Sprds-FlyHedge-2500.25536"/>
    <x v="0"/>
  </r>
  <r>
    <x v="0"/>
    <d v="2025-02-14T00:00:00"/>
    <s v="WTI-Brent"/>
    <s v="Hedge"/>
    <n v="50"/>
    <d v="2025-04-30T00:00:00"/>
    <d v="2025-04-30T00:00:00"/>
    <n v="-3.97"/>
    <n v="-3.42"/>
    <n v="27.500000000000014"/>
    <n v="-198.5"/>
    <x v="21"/>
    <s v="Buy"/>
    <n v="-171"/>
    <x v="1"/>
    <x v="3"/>
    <n v="2025"/>
    <s v="Buy"/>
    <x v="0"/>
    <s v="UnallocatedWTI-BrentHedge50-3.42537"/>
    <x v="0"/>
  </r>
  <r>
    <x v="0"/>
    <d v="2025-02-14T00:00:00"/>
    <s v="WTI-Brent"/>
    <s v="Hedge"/>
    <n v="50"/>
    <d v="2025-04-30T00:00:00"/>
    <d v="2025-04-30T00:00:00"/>
    <n v="-4.0199999999999996"/>
    <n v="-3.42"/>
    <n v="29.999999999999982"/>
    <n v="-200.99999999999997"/>
    <x v="21"/>
    <s v="Buy"/>
    <n v="-171"/>
    <x v="1"/>
    <x v="3"/>
    <n v="2025"/>
    <s v="Buy"/>
    <x v="0"/>
    <s v="UnallocatedWTI-BrentHedge50-3.42538"/>
    <x v="0"/>
  </r>
  <r>
    <x v="0"/>
    <d v="2025-02-17T00:00:00"/>
    <s v="WTI-Brent"/>
    <s v="Hedge"/>
    <n v="50"/>
    <d v="2025-04-30T00:00:00"/>
    <d v="2025-04-30T00:00:00"/>
    <n v="-4.07"/>
    <n v="-3.42"/>
    <n v="32.500000000000014"/>
    <n v="-203.5"/>
    <x v="21"/>
    <s v="Buy"/>
    <n v="-171"/>
    <x v="1"/>
    <x v="3"/>
    <n v="2025"/>
    <s v="Buy"/>
    <x v="0"/>
    <s v="UnallocatedWTI-BrentHedge50-3.42539"/>
    <x v="0"/>
  </r>
  <r>
    <x v="0"/>
    <d v="2025-02-17T00:00:00"/>
    <s v="WTI-Brent"/>
    <s v="Hedge"/>
    <n v="250"/>
    <d v="2025-05-31T00:00:00"/>
    <d v="2025-05-31T00:00:00"/>
    <n v="-3.9"/>
    <n v="-3.26"/>
    <n v="160.00000000000003"/>
    <n v="-975"/>
    <x v="22"/>
    <s v="Buy"/>
    <n v="-815"/>
    <x v="1"/>
    <x v="3"/>
    <n v="2025"/>
    <s v="Buy"/>
    <x v="0"/>
    <s v="UnallocatedWTI-BrentHedge250-3.26540"/>
    <x v="0"/>
  </r>
  <r>
    <x v="19"/>
    <d v="2025-02-18T00:00:00"/>
    <s v="Physical"/>
    <s v="Expo"/>
    <n v="700"/>
    <d v="2025-02-28T00:00:00"/>
    <d v="2025-02-28T00:00:00"/>
    <n v="-1.99"/>
    <n v="-1.9"/>
    <n v="63.000000000000057"/>
    <n v="-1393"/>
    <x v="19"/>
    <s v="Buy"/>
    <n v="-1330"/>
    <x v="2"/>
    <x v="4"/>
    <n v="2025"/>
    <s v="Buy"/>
    <x v="1"/>
    <s v="Vitol FOB March BookoutPhysicalExpo700-1.9541"/>
    <x v="0"/>
  </r>
  <r>
    <x v="19"/>
    <d v="2025-02-18T00:00:00"/>
    <s v="WTI Sprds"/>
    <s v="Expo"/>
    <n v="-700"/>
    <d v="2025-03-31T00:00:00"/>
    <d v="2025-04-30T00:00:00"/>
    <n v="0.01"/>
    <n v="0.15"/>
    <n v="-97.999999999999986"/>
    <n v="-7"/>
    <x v="14"/>
    <s v="Sell"/>
    <n v="-105"/>
    <x v="0"/>
    <x v="0"/>
    <n v="2025"/>
    <s v="Sell"/>
    <x v="0"/>
    <s v="Vitol FOB March BookoutWTI SprdsExpo-7000.15542"/>
    <x v="0"/>
  </r>
  <r>
    <x v="19"/>
    <d v="2025-02-18T00:00:00"/>
    <s v="WTI Sprds"/>
    <s v="Expo"/>
    <n v="-700"/>
    <d v="2025-04-30T00:00:00"/>
    <d v="2025-05-31T00:00:00"/>
    <n v="0.23"/>
    <n v="0.25"/>
    <n v="-13.999999999999993"/>
    <n v="-161"/>
    <x v="15"/>
    <s v="Sell"/>
    <n v="-175"/>
    <x v="0"/>
    <x v="0"/>
    <n v="2025"/>
    <s v="Sell"/>
    <x v="0"/>
    <s v="Vitol FOB March BookoutWTI SprdsExpo-7000.25543"/>
    <x v="0"/>
  </r>
  <r>
    <x v="19"/>
    <d v="2025-02-18T00:00:00"/>
    <s v="WTI-Brent"/>
    <s v="Expo"/>
    <n v="-700"/>
    <d v="2025-05-31T00:00:00"/>
    <d v="2025-05-31T00:00:00"/>
    <n v="-3.83"/>
    <n v="-3.26"/>
    <n v="-399.00000000000023"/>
    <n v="2681"/>
    <x v="22"/>
    <s v="Sell"/>
    <n v="2282"/>
    <x v="1"/>
    <x v="3"/>
    <n v="2025"/>
    <s v="Sell"/>
    <x v="0"/>
    <s v="Vitol FOB March BookoutWTI-BrentExpo-700-3.26544"/>
    <x v="0"/>
  </r>
  <r>
    <x v="0"/>
    <d v="2025-02-18T00:00:00"/>
    <s v="WTI Sprds"/>
    <s v="Hedge"/>
    <n v="650"/>
    <d v="2025-03-31T00:00:00"/>
    <d v="2025-04-30T00:00:00"/>
    <n v="0.03"/>
    <n v="0.15"/>
    <n v="78"/>
    <n v="19.5"/>
    <x v="14"/>
    <s v="Buy"/>
    <n v="97.5"/>
    <x v="0"/>
    <x v="0"/>
    <n v="2025"/>
    <s v="Buy"/>
    <x v="0"/>
    <s v="UnallocatedWTI SprdsHedge6500.15545"/>
    <x v="0"/>
  </r>
  <r>
    <x v="0"/>
    <d v="2025-02-18T00:00:00"/>
    <s v="Legacy 2024"/>
    <s v="Hedge"/>
    <n v="0"/>
    <d v="2024-12-31T00:00:00"/>
    <d v="2024-12-31T00:00:00"/>
    <m/>
    <m/>
    <n v="650"/>
    <n v="0"/>
    <x v="17"/>
    <s v="Buy"/>
    <n v="0"/>
    <x v="4"/>
    <x v="6"/>
    <n v="2024"/>
    <s v="Sell"/>
    <x v="0"/>
    <s v="UnallocatedLegacy 2024Hedge0546"/>
    <x v="0"/>
  </r>
  <r>
    <x v="0"/>
    <d v="2025-02-18T00:00:00"/>
    <s v="WTI Sprds"/>
    <s v="Hedge"/>
    <n v="50"/>
    <d v="2025-03-31T00:00:00"/>
    <d v="2025-04-30T00:00:00"/>
    <n v="0"/>
    <n v="0.15"/>
    <n v="7.5"/>
    <n v="0"/>
    <x v="14"/>
    <s v="Buy"/>
    <n v="7.5"/>
    <x v="0"/>
    <x v="0"/>
    <n v="2025"/>
    <s v="Buy"/>
    <x v="0"/>
    <s v="UnallocatedWTI SprdsHedge500.15547"/>
    <x v="0"/>
  </r>
  <r>
    <x v="0"/>
    <d v="2025-02-19T00:00:00"/>
    <s v="WTI Sprds"/>
    <s v="Hedge"/>
    <n v="-500"/>
    <d v="2025-04-30T00:00:00"/>
    <d v="2025-05-31T00:00:00"/>
    <n v="0.25"/>
    <n v="0.25"/>
    <n v="0"/>
    <n v="-125"/>
    <x v="15"/>
    <s v="Sell"/>
    <n v="-125"/>
    <x v="0"/>
    <x v="0"/>
    <n v="2025"/>
    <s v="Sell"/>
    <x v="0"/>
    <s v="UnallocatedWTI SprdsHedge-5000.25548"/>
    <x v="0"/>
  </r>
  <r>
    <x v="0"/>
    <d v="2025-02-25T00:00:00"/>
    <s v="Brent Sprds"/>
    <s v="Hedge"/>
    <n v="2000"/>
    <d v="2025-04-30T00:00:00"/>
    <d v="2025-05-31T00:00:00"/>
    <n v="0.48"/>
    <n v="0.37"/>
    <n v="-219.99999999999997"/>
    <n v="960"/>
    <x v="15"/>
    <s v="Buy"/>
    <n v="740"/>
    <x v="0"/>
    <x v="2"/>
    <n v="2025"/>
    <s v="Buy"/>
    <x v="0"/>
    <s v="UnallocatedBrent SprdsHedge20000.37549"/>
    <x v="0"/>
  </r>
  <r>
    <x v="0"/>
    <d v="2025-02-28T00:00:00"/>
    <s v="Brent Sprds"/>
    <s v="Expo"/>
    <n v="-253"/>
    <d v="2025-04-30T00:00:00"/>
    <d v="2025-05-31T00:00:00"/>
    <n v="0.48"/>
    <n v="0.37"/>
    <n v="27.83"/>
    <n v="-121.44"/>
    <x v="15"/>
    <s v="Sell"/>
    <n v="-93.61"/>
    <x v="0"/>
    <x v="2"/>
    <n v="2025"/>
    <s v="Sell"/>
    <x v="0"/>
    <s v="UnallocatedBrent SprdsExpo-2530.37550"/>
    <x v="0"/>
  </r>
  <r>
    <x v="0"/>
    <d v="2025-03-03T00:00:00"/>
    <s v="CFD"/>
    <s v="Hedge"/>
    <n v="200"/>
    <s v="Mar03-Mar07"/>
    <d v="2025-01-31T00:00:00"/>
    <n v="1.1499999999999999"/>
    <n v="1.32"/>
    <n v="34.000000000000028"/>
    <n v="229.99999999999997"/>
    <x v="6"/>
    <s v="Buy"/>
    <n v="264"/>
    <x v="1"/>
    <x v="1"/>
    <n v="2025"/>
    <s v="Buy"/>
    <x v="0"/>
    <s v="UnallocatedCFDHedge2001.32551"/>
    <x v="0"/>
  </r>
  <r>
    <x v="0"/>
    <d v="2025-03-03T00:00:00"/>
    <s v="CFD"/>
    <s v="Hedge"/>
    <n v="-200"/>
    <s v="Mar17-Mar21"/>
    <d v="2025-01-31T00:00:00"/>
    <n v="0.7"/>
    <n v="0.54"/>
    <n v="31.999999999999986"/>
    <n v="-140"/>
    <x v="7"/>
    <s v="Sell"/>
    <n v="-108"/>
    <x v="1"/>
    <x v="1"/>
    <n v="2025"/>
    <s v="Sell"/>
    <x v="0"/>
    <s v="UnallocatedCFDHedge-2000.54552"/>
    <x v="0"/>
  </r>
  <r>
    <x v="0"/>
    <d v="2025-03-03T00:00:00"/>
    <s v="WTI-Brent"/>
    <s v="Hedge"/>
    <n v="18"/>
    <d v="2025-04-30T00:00:00"/>
    <d v="2025-04-30T00:00:00"/>
    <n v="-3.42"/>
    <n v="-3.42"/>
    <n v="0"/>
    <n v="-61.56"/>
    <x v="21"/>
    <s v="Buy"/>
    <n v="-61.56"/>
    <x v="1"/>
    <x v="3"/>
    <n v="2025"/>
    <s v="Buy"/>
    <x v="0"/>
    <s v="UnallocatedWTI-BrentHedge18-3.42553"/>
    <x v="0"/>
  </r>
  <r>
    <x v="0"/>
    <d v="2025-02-28T00:00:00"/>
    <s v="DFL"/>
    <s v="Hedge"/>
    <n v="-222"/>
    <d v="2025-02-28T00:00:00"/>
    <d v="2025-02-28T00:00:00"/>
    <n v="0.22"/>
    <n v="0.22"/>
    <n v="0"/>
    <n v="-48.84"/>
    <x v="19"/>
    <s v="Sell"/>
    <n v="-48.84"/>
    <x v="1"/>
    <x v="1"/>
    <n v="2025"/>
    <s v="Sell"/>
    <x v="0"/>
    <s v="UnallocatedDFLHedge-2220.22554"/>
    <x v="0"/>
  </r>
  <r>
    <x v="36"/>
    <d v="2025-02-18T00:00:00"/>
    <s v="Physical"/>
    <s v="Expo"/>
    <n v="700"/>
    <d v="2025-02-28T00:00:00"/>
    <d v="2025-02-28T00:00:00"/>
    <n v="1.45"/>
    <n v="1.45"/>
    <n v="0"/>
    <n v="1015"/>
    <x v="19"/>
    <s v="Buy"/>
    <n v="1015"/>
    <x v="2"/>
    <x v="4"/>
    <n v="2025"/>
    <s v="Buy"/>
    <x v="1"/>
    <s v="Mitsui CIF Rotts Apr 16-30PhysicalExpo7001.45555"/>
    <x v="0"/>
  </r>
  <r>
    <x v="36"/>
    <d v="2025-02-18T00:00:00"/>
    <s v="WTI Sprds"/>
    <s v="Expo"/>
    <n v="-700"/>
    <d v="2025-03-31T00:00:00"/>
    <d v="2025-04-30T00:00:00"/>
    <n v="0.01"/>
    <n v="0.15"/>
    <n v="-97.999999999999986"/>
    <n v="-7"/>
    <x v="14"/>
    <s v="Sell"/>
    <n v="-105"/>
    <x v="0"/>
    <x v="0"/>
    <n v="2025"/>
    <s v="Sell"/>
    <x v="0"/>
    <s v="Mitsui CIF Rotts Apr 16-30WTI SprdsExpo-7000.15556"/>
    <x v="0"/>
  </r>
  <r>
    <x v="36"/>
    <d v="2025-02-18T00:00:00"/>
    <s v="WTI Sprds"/>
    <s v="Hedge"/>
    <n v="350"/>
    <d v="2025-03-31T00:00:00"/>
    <d v="2025-04-30T00:00:00"/>
    <n v="0.03"/>
    <n v="0.15"/>
    <n v="42"/>
    <n v="10.5"/>
    <x v="14"/>
    <s v="Buy"/>
    <n v="52.5"/>
    <x v="0"/>
    <x v="0"/>
    <n v="2025"/>
    <s v="Buy"/>
    <x v="0"/>
    <s v="Mitsui CIF Rotts Apr 16-30WTI SprdsHedge3500.15557"/>
    <x v="0"/>
  </r>
  <r>
    <x v="36"/>
    <d v="2025-02-18T00:00:00"/>
    <s v="WTI Sprds"/>
    <s v="Hedge"/>
    <n v="350"/>
    <d v="2025-03-31T00:00:00"/>
    <d v="2025-04-30T00:00:00"/>
    <n v="0.01"/>
    <n v="0.15"/>
    <n v="48.999999999999993"/>
    <n v="3.5"/>
    <x v="14"/>
    <s v="Buy"/>
    <n v="52.5"/>
    <x v="0"/>
    <x v="0"/>
    <n v="2025"/>
    <s v="Buy"/>
    <x v="0"/>
    <s v="Mitsui CIF Rotts Apr 16-30WTI SprdsHedge3500.15558"/>
    <x v="0"/>
  </r>
  <r>
    <x v="36"/>
    <d v="2025-03-03T00:00:00"/>
    <s v="WTI Sprds"/>
    <s v="Expo"/>
    <n v="-700"/>
    <d v="2025-04-30T00:00:00"/>
    <d v="2025-05-31T00:00:00"/>
    <n v="0.32"/>
    <n v="0.25"/>
    <n v="49.000000000000007"/>
    <n v="-224"/>
    <x v="15"/>
    <s v="Sell"/>
    <n v="-175"/>
    <x v="0"/>
    <x v="0"/>
    <n v="2025"/>
    <s v="Sell"/>
    <x v="0"/>
    <s v="Mitsui CIF Rotts Apr 16-30WTI SprdsExpo-7000.25559"/>
    <x v="0"/>
  </r>
  <r>
    <x v="36"/>
    <d v="2025-03-03T00:00:00"/>
    <s v="WTI-Brent"/>
    <s v="Expo"/>
    <n v="-700"/>
    <d v="2025-05-31T00:00:00"/>
    <d v="2025-05-31T00:00:00"/>
    <n v="-3.55"/>
    <n v="-3.26"/>
    <n v="-203.00000000000003"/>
    <n v="2485"/>
    <x v="22"/>
    <s v="Sell"/>
    <n v="2282"/>
    <x v="1"/>
    <x v="3"/>
    <n v="2025"/>
    <s v="Sell"/>
    <x v="0"/>
    <s v="Mitsui CIF Rotts Apr 16-30WTI-BrentExpo-700-3.26560"/>
    <x v="0"/>
  </r>
  <r>
    <x v="36"/>
    <d v="2025-03-03T00:00:00"/>
    <s v="Brent Sprds"/>
    <s v="Expo"/>
    <n v="-700"/>
    <d v="2025-05-31T00:00:00"/>
    <d v="2025-06-30T00:00:00"/>
    <n v="0.46"/>
    <n v="-0.03"/>
    <n v="343"/>
    <n v="-322"/>
    <x v="16"/>
    <s v="Sell"/>
    <n v="21"/>
    <x v="0"/>
    <x v="2"/>
    <n v="2025"/>
    <s v="Sell"/>
    <x v="0"/>
    <s v="Mitsui CIF Rotts Apr 16-30Brent SprdsExpo-700-0.03561"/>
    <x v="0"/>
  </r>
  <r>
    <x v="36"/>
    <d v="2025-03-03T00:00:00"/>
    <s v="DFL"/>
    <s v="Expo"/>
    <n v="700"/>
    <d v="2025-04-30T00:00:00"/>
    <d v="2025-04-30T00:00:00"/>
    <n v="0.47"/>
    <n v="1.42"/>
    <n v="665"/>
    <n v="329"/>
    <x v="21"/>
    <s v="Buy"/>
    <n v="994"/>
    <x v="1"/>
    <x v="1"/>
    <n v="2025"/>
    <s v="Buy"/>
    <x v="0"/>
    <s v="Mitsui CIF Rotts Apr 16-30DFLExpo7001.42562"/>
    <x v="0"/>
  </r>
  <r>
    <x v="36"/>
    <d v="2025-03-03T00:00:00"/>
    <s v="Freight-TD25"/>
    <s v="Expo"/>
    <n v="-700"/>
    <d v="2025-04-30T00:00:00"/>
    <d v="2025-04-30T00:00:00"/>
    <n v="138"/>
    <n v="138"/>
    <n v="0"/>
    <n v="-96600"/>
    <x v="21"/>
    <s v="Sell"/>
    <n v="-96600"/>
    <x v="3"/>
    <x v="5"/>
    <n v="2025"/>
    <s v="Sell"/>
    <x v="0"/>
    <s v="Mitsui CIF Rotts Apr 16-30Freight-TD25Expo-700138563"/>
    <x v="0"/>
  </r>
  <r>
    <x v="36"/>
    <d v="2025-03-03T00:00:00"/>
    <s v="Freight-TD25"/>
    <s v="Hedge"/>
    <n v="700"/>
    <d v="2025-04-30T00:00:00"/>
    <d v="2025-04-30T00:00:00"/>
    <n v="137.5"/>
    <n v="138"/>
    <n v="7"/>
    <n v="96250"/>
    <x v="21"/>
    <s v="Buy"/>
    <n v="96600"/>
    <x v="3"/>
    <x v="5"/>
    <n v="2025"/>
    <s v="Buy"/>
    <x v="0"/>
    <s v="Mitsui CIF Rotts Apr 16-30Freight-TD25Hedge700138564"/>
    <x v="0"/>
  </r>
  <r>
    <x v="0"/>
    <d v="2025-02-28T00:00:00"/>
    <s v="Freight-TD7"/>
    <s v="Hedge"/>
    <n v="-2800"/>
    <d v="2025-02-28T00:00:00"/>
    <d v="2025-02-28T00:00:00"/>
    <n v="109.1"/>
    <n v="109"/>
    <n v="-1.3999999999999204"/>
    <n v="-305480"/>
    <x v="19"/>
    <s v="Sell"/>
    <n v="-305200"/>
    <x v="3"/>
    <x v="5"/>
    <n v="2025"/>
    <s v="Sell"/>
    <x v="0"/>
    <s v="UnallocatedFreight-TD7Hedge-2800109565"/>
    <x v="0"/>
  </r>
  <r>
    <x v="35"/>
    <d v="2025-02-07T00:00:00"/>
    <s v="MEH"/>
    <s v="Expo"/>
    <n v="700"/>
    <d v="2025-03-31T00:00:00"/>
    <d v="2025-03-31T00:00:00"/>
    <n v="1.51"/>
    <n v="1.488909090909091"/>
    <n v="-14.763636363636333"/>
    <n v="1057"/>
    <x v="20"/>
    <s v="Buy"/>
    <n v="1042.2363636363636"/>
    <x v="1"/>
    <x v="7"/>
    <n v="2025"/>
    <s v="Buy"/>
    <x v="0"/>
    <s v="HDO May 10-20 WTI+WTLMEHExpo7001.48890909090909566"/>
    <x v="0"/>
  </r>
  <r>
    <x v="37"/>
    <d v="2025-02-18T00:00:00"/>
    <s v="Physical"/>
    <s v="Expo"/>
    <n v="685"/>
    <d v="2025-02-28T00:00:00"/>
    <d v="2025-02-28T00:00:00"/>
    <n v="-0.91999999999999993"/>
    <n v="-0.55000000000000004"/>
    <n v="253.44999999999993"/>
    <n v="-630.19999999999993"/>
    <x v="19"/>
    <s v="Buy"/>
    <n v="-376.75000000000006"/>
    <x v="2"/>
    <x v="4"/>
    <n v="2025"/>
    <s v="Buy"/>
    <x v="1"/>
    <s v="FOB BP March 15-16 EpicPhysicalExpo685-0.55567"/>
    <x v="0"/>
  </r>
  <r>
    <x v="37"/>
    <d v="2025-02-18T00:00:00"/>
    <s v="WTI Sprds"/>
    <s v="Expo"/>
    <n v="700"/>
    <d v="2025-03-31T00:00:00"/>
    <d v="2025-04-30T00:00:00"/>
    <n v="0.01"/>
    <n v="0.15"/>
    <n v="97.999999999999986"/>
    <n v="7"/>
    <x v="14"/>
    <s v="Buy"/>
    <n v="105"/>
    <x v="0"/>
    <x v="0"/>
    <n v="2025"/>
    <s v="Buy"/>
    <x v="0"/>
    <s v="FOB BP March 15-16 EpicWTI SprdsExpo7000.15568"/>
    <x v="0"/>
  </r>
  <r>
    <x v="37"/>
    <d v="2025-02-18T00:00:00"/>
    <s v="WTI Sprds"/>
    <s v="Hedge"/>
    <n v="-700"/>
    <d v="2025-03-31T00:00:00"/>
    <d v="2025-04-30T00:00:00"/>
    <n v="0.01"/>
    <n v="0.15"/>
    <n v="-97.999999999999986"/>
    <n v="-7"/>
    <x v="14"/>
    <s v="Sell"/>
    <n v="-105"/>
    <x v="0"/>
    <x v="0"/>
    <n v="2025"/>
    <s v="Sell"/>
    <x v="0"/>
    <s v="FOB BP March 15-16 EpicWTI SprdsHedge-7000.15569"/>
    <x v="0"/>
  </r>
  <r>
    <x v="37"/>
    <d v="2025-03-04T00:00:00"/>
    <s v="WTI Sprds"/>
    <s v="Expo"/>
    <n v="-685"/>
    <d v="2025-04-30T00:00:00"/>
    <d v="2025-05-31T00:00:00"/>
    <n v="0.47"/>
    <n v="0.25"/>
    <n v="150.69999999999999"/>
    <n v="-321.95"/>
    <x v="15"/>
    <s v="Sell"/>
    <n v="-171.25"/>
    <x v="0"/>
    <x v="0"/>
    <n v="2025"/>
    <s v="Sell"/>
    <x v="0"/>
    <s v="FOB BP March 15-16 EpicWTI SprdsExpo-6850.25570"/>
    <x v="0"/>
  </r>
  <r>
    <x v="37"/>
    <d v="2025-03-04T00:00:00"/>
    <s v="WTI Sprds"/>
    <s v="Expo"/>
    <n v="-685"/>
    <d v="2025-05-31T00:00:00"/>
    <d v="2025-06-30T00:00:00"/>
    <n v="0.44"/>
    <n v="0.67"/>
    <n v="-157.55000000000004"/>
    <n v="-301.39999999999998"/>
    <x v="16"/>
    <s v="Sell"/>
    <n v="-458.95000000000005"/>
    <x v="0"/>
    <x v="0"/>
    <n v="2025"/>
    <s v="Sell"/>
    <x v="0"/>
    <s v="FOB BP March 15-16 EpicWTI SprdsExpo-6850.67571"/>
    <x v="0"/>
  </r>
  <r>
    <x v="37"/>
    <d v="2025-03-04T00:00:00"/>
    <s v="WTI-Brent"/>
    <s v="Expo"/>
    <n v="-685"/>
    <d v="2025-06-30T00:00:00"/>
    <d v="2025-06-30T00:00:00"/>
    <n v="-3.4"/>
    <n v="-4.91"/>
    <n v="1034.3500000000001"/>
    <n v="2329"/>
    <x v="30"/>
    <s v="Sell"/>
    <n v="3363.35"/>
    <x v="1"/>
    <x v="3"/>
    <n v="2025"/>
    <s v="Sell"/>
    <x v="0"/>
    <s v="FOB BP March 15-16 EpicWTI-BrentExpo-685-4.91572"/>
    <x v="0"/>
  </r>
  <r>
    <x v="36"/>
    <d v="2025-03-03T00:00:00"/>
    <s v="DFL"/>
    <s v="Hedge"/>
    <n v="-700"/>
    <d v="2025-04-30T00:00:00"/>
    <d v="2025-04-30T00:00:00"/>
    <n v="0.37"/>
    <n v="1.42"/>
    <n v="-734.99999999999989"/>
    <n v="-259"/>
    <x v="21"/>
    <s v="Sell"/>
    <n v="-994"/>
    <x v="1"/>
    <x v="1"/>
    <n v="2025"/>
    <s v="Sell"/>
    <x v="0"/>
    <s v="Mitsui CIF Rotts Apr 16-30DFLHedge-7001.42573"/>
    <x v="0"/>
  </r>
  <r>
    <x v="20"/>
    <d v="2025-02-18T00:00:00"/>
    <s v="Physical"/>
    <s v="Expo"/>
    <n v="2100"/>
    <d v="2025-02-28T00:00:00"/>
    <d v="2025-02-28T00:00:00"/>
    <n v="0.44095238095238093"/>
    <n v="0.45"/>
    <n v="19.000000000000071"/>
    <n v="926"/>
    <x v="19"/>
    <s v="Buy"/>
    <n v="945"/>
    <x v="2"/>
    <x v="4"/>
    <n v="2025"/>
    <s v="Buy"/>
    <x v="1"/>
    <s v="EXTAP CIF Rotts Apr 20-24PhysicalExpo21000.45574"/>
    <x v="0"/>
  </r>
  <r>
    <x v="20"/>
    <d v="2025-02-18T00:00:00"/>
    <s v="WTI Sprds"/>
    <s v="Expo"/>
    <n v="-2100"/>
    <d v="2025-03-31T00:00:00"/>
    <d v="2025-04-30T00:00:00"/>
    <n v="0.01"/>
    <n v="0.15"/>
    <n v="-293.99999999999994"/>
    <n v="-21"/>
    <x v="14"/>
    <s v="Sell"/>
    <n v="-315"/>
    <x v="0"/>
    <x v="0"/>
    <n v="2025"/>
    <s v="Sell"/>
    <x v="0"/>
    <s v="EXTAP CIF Rotts Apr 20-24WTI SprdsExpo-21000.15575"/>
    <x v="0"/>
  </r>
  <r>
    <x v="20"/>
    <d v="2025-02-18T00:00:00"/>
    <s v="WTI Sprds"/>
    <s v="Hedge"/>
    <n v="372"/>
    <d v="2025-03-31T00:00:00"/>
    <d v="2025-04-30T00:00:00"/>
    <n v="0.15"/>
    <n v="0.15"/>
    <n v="0"/>
    <n v="55.8"/>
    <x v="14"/>
    <s v="Buy"/>
    <n v="55.8"/>
    <x v="0"/>
    <x v="0"/>
    <n v="2025"/>
    <s v="Buy"/>
    <x v="0"/>
    <s v="EXTAP CIF Rotts Apr 20-24WTI SprdsHedge3720.15576"/>
    <x v="0"/>
  </r>
  <r>
    <x v="20"/>
    <d v="2025-02-18T00:00:00"/>
    <s v="WTI Sprds"/>
    <s v="Hedge"/>
    <n v="1728"/>
    <d v="2025-03-31T00:00:00"/>
    <d v="2025-04-30T00:00:00"/>
    <n v="0.15"/>
    <n v="0.15"/>
    <n v="0"/>
    <n v="259.2"/>
    <x v="14"/>
    <s v="Buy"/>
    <n v="259.2"/>
    <x v="0"/>
    <x v="0"/>
    <n v="2025"/>
    <s v="Buy"/>
    <x v="0"/>
    <s v="EXTAP CIF Rotts Apr 20-24WTI SprdsHedge17280.15577"/>
    <x v="0"/>
  </r>
  <r>
    <x v="20"/>
    <d v="2025-03-05T00:00:00"/>
    <s v="WTI Sprds"/>
    <s v="Expo"/>
    <n v="-2100"/>
    <d v="2025-04-30T00:00:00"/>
    <d v="2025-05-31T00:00:00"/>
    <n v="0.39"/>
    <n v="0.25"/>
    <n v="294"/>
    <n v="-819"/>
    <x v="15"/>
    <s v="Sell"/>
    <n v="-525"/>
    <x v="0"/>
    <x v="0"/>
    <n v="2025"/>
    <s v="Sell"/>
    <x v="0"/>
    <s v="EXTAP CIF Rotts Apr 20-24WTI SprdsExpo-21000.25578"/>
    <x v="0"/>
  </r>
  <r>
    <x v="20"/>
    <d v="2025-03-05T00:00:00"/>
    <s v="WTI Sprds"/>
    <s v="Expo"/>
    <n v="-2100"/>
    <d v="2025-05-31T00:00:00"/>
    <d v="2025-06-30T00:00:00"/>
    <n v="0.39"/>
    <n v="0.67"/>
    <n v="-588"/>
    <n v="-819"/>
    <x v="16"/>
    <s v="Sell"/>
    <n v="-1407"/>
    <x v="0"/>
    <x v="0"/>
    <n v="2025"/>
    <s v="Sell"/>
    <x v="0"/>
    <s v="EXTAP CIF Rotts Apr 20-24WTI SprdsExpo-21000.67579"/>
    <x v="0"/>
  </r>
  <r>
    <x v="20"/>
    <d v="2025-03-05T00:00:00"/>
    <s v="WTI-Brent"/>
    <s v="Expo"/>
    <n v="-2100"/>
    <d v="2025-06-30T00:00:00"/>
    <d v="2025-06-30T00:00:00"/>
    <n v="-3.42"/>
    <n v="-4.91"/>
    <n v="3129.0000000000005"/>
    <n v="7182"/>
    <x v="30"/>
    <s v="Sell"/>
    <n v="10311"/>
    <x v="1"/>
    <x v="3"/>
    <n v="2025"/>
    <s v="Sell"/>
    <x v="0"/>
    <s v="EXTAP CIF Rotts Apr 20-24WTI-BrentExpo-2100-4.91580"/>
    <x v="0"/>
  </r>
  <r>
    <x v="20"/>
    <d v="2025-03-05T00:00:00"/>
    <s v="DFL"/>
    <s v="Expo"/>
    <n v="2100"/>
    <d v="2025-04-30T00:00:00"/>
    <d v="2025-04-30T00:00:00"/>
    <n v="0.45"/>
    <n v="1.42"/>
    <n v="2037"/>
    <n v="945"/>
    <x v="21"/>
    <s v="Buy"/>
    <n v="2982"/>
    <x v="1"/>
    <x v="1"/>
    <n v="2025"/>
    <s v="Buy"/>
    <x v="0"/>
    <s v="EXTAP CIF Rotts Apr 20-24DFLExpo21001.42581"/>
    <x v="0"/>
  </r>
  <r>
    <x v="20"/>
    <d v="2025-03-05T00:00:00"/>
    <s v="DFL"/>
    <s v="Hedge"/>
    <n v="-1700"/>
    <d v="2025-04-30T00:00:00"/>
    <d v="2025-04-30T00:00:00"/>
    <n v="0.45130999999999999"/>
    <n v="1.42"/>
    <n v="-1646.7729999999999"/>
    <n v="-767.22699999999998"/>
    <x v="21"/>
    <s v="Sell"/>
    <n v="-2414"/>
    <x v="1"/>
    <x v="1"/>
    <n v="2025"/>
    <s v="Sell"/>
    <x v="0"/>
    <s v="EXTAP CIF Rotts Apr 20-24DFLHedge-17001.42582"/>
    <x v="0"/>
  </r>
  <r>
    <x v="20"/>
    <d v="2025-03-05T00:00:00"/>
    <s v="WTI Sprds"/>
    <s v="Hedge"/>
    <n v="600"/>
    <d v="2025-04-30T00:00:00"/>
    <d v="2025-05-31T00:00:00"/>
    <n v="0.37"/>
    <n v="0.25"/>
    <n v="-72"/>
    <n v="222"/>
    <x v="15"/>
    <s v="Buy"/>
    <n v="150"/>
    <x v="0"/>
    <x v="0"/>
    <n v="2025"/>
    <s v="Buy"/>
    <x v="0"/>
    <s v="EXTAP CIF Rotts Apr 20-24WTI SprdsHedge6000.25583"/>
    <x v="0"/>
  </r>
  <r>
    <x v="20"/>
    <d v="2025-03-05T00:00:00"/>
    <s v="WTI Sprds"/>
    <s v="Hedge"/>
    <n v="600"/>
    <d v="2025-05-31T00:00:00"/>
    <d v="2025-06-30T00:00:00"/>
    <n v="0.38"/>
    <n v="0.67"/>
    <n v="174.00000000000003"/>
    <n v="228"/>
    <x v="16"/>
    <s v="Buy"/>
    <n v="402"/>
    <x v="0"/>
    <x v="0"/>
    <n v="2025"/>
    <s v="Buy"/>
    <x v="0"/>
    <s v="EXTAP CIF Rotts Apr 20-24WTI SprdsHedge6000.67584"/>
    <x v="0"/>
  </r>
  <r>
    <x v="20"/>
    <d v="2025-03-05T00:00:00"/>
    <s v="WTI Sprds"/>
    <s v="Hedge"/>
    <n v="600"/>
    <d v="2025-04-30T00:00:00"/>
    <d v="2025-05-31T00:00:00"/>
    <n v="0.36"/>
    <n v="0.25"/>
    <n v="-65.999999999999986"/>
    <n v="216"/>
    <x v="15"/>
    <s v="Buy"/>
    <n v="150"/>
    <x v="0"/>
    <x v="0"/>
    <n v="2025"/>
    <s v="Buy"/>
    <x v="0"/>
    <s v="EXTAP CIF Rotts Apr 20-24WTI SprdsHedge6000.25585"/>
    <x v="0"/>
  </r>
  <r>
    <x v="20"/>
    <d v="2025-03-05T00:00:00"/>
    <s v="WTI Sprds"/>
    <s v="Hedge"/>
    <n v="600"/>
    <d v="2025-05-31T00:00:00"/>
    <d v="2025-06-30T00:00:00"/>
    <n v="0.37"/>
    <n v="0.67"/>
    <n v="180.00000000000003"/>
    <n v="222"/>
    <x v="16"/>
    <s v="Buy"/>
    <n v="402"/>
    <x v="0"/>
    <x v="0"/>
    <n v="2025"/>
    <s v="Buy"/>
    <x v="0"/>
    <s v="EXTAP CIF Rotts Apr 20-24WTI SprdsHedge6000.67586"/>
    <x v="0"/>
  </r>
  <r>
    <x v="20"/>
    <d v="2025-03-05T00:00:00"/>
    <s v="WTI-Brent"/>
    <s v="Hedge"/>
    <n v="500"/>
    <d v="2025-07-31T00:00:00"/>
    <d v="2025-07-31T00:00:00"/>
    <n v="-3.46"/>
    <n v="-3.11"/>
    <n v="175.00000000000006"/>
    <n v="-1730"/>
    <x v="32"/>
    <s v="Buy"/>
    <n v="-1555"/>
    <x v="1"/>
    <x v="3"/>
    <n v="2025"/>
    <s v="Buy"/>
    <x v="0"/>
    <s v="EXTAP CIF Rotts Apr 20-24WTI-BrentHedge500-3.11587"/>
    <x v="0"/>
  </r>
  <r>
    <x v="20"/>
    <d v="2025-03-05T00:00:00"/>
    <s v="WTI Sprds"/>
    <s v="Hedge"/>
    <n v="1600"/>
    <d v="2025-04-30T00:00:00"/>
    <d v="2025-05-31T00:00:00"/>
    <n v="0.40000000000000568"/>
    <n v="0.25"/>
    <n v="-240.00000000000909"/>
    <n v="640.00000000000909"/>
    <x v="15"/>
    <s v="Buy"/>
    <n v="400"/>
    <x v="0"/>
    <x v="0"/>
    <n v="2025"/>
    <s v="Buy"/>
    <x v="0"/>
    <s v="EXTAP CIF Rotts Apr 20-24WTI SprdsHedge16000.25588"/>
    <x v="0"/>
  </r>
  <r>
    <x v="20"/>
    <d v="2025-03-05T00:00:00"/>
    <s v="WTI Sprds"/>
    <s v="Hedge"/>
    <n v="1600"/>
    <d v="2025-05-31T00:00:00"/>
    <d v="2025-06-30T00:00:00"/>
    <n v="0.39000000000000057"/>
    <n v="0.67"/>
    <n v="447.99999999999915"/>
    <n v="624.00000000000091"/>
    <x v="16"/>
    <s v="Buy"/>
    <n v="1072"/>
    <x v="0"/>
    <x v="0"/>
    <n v="2025"/>
    <s v="Buy"/>
    <x v="0"/>
    <s v="EXTAP CIF Rotts Apr 20-24WTI SprdsHedge16000.67589"/>
    <x v="0"/>
  </r>
  <r>
    <x v="20"/>
    <d v="2025-03-05T00:00:00"/>
    <s v="WTI-Brent"/>
    <s v="Hedge"/>
    <n v="1600"/>
    <d v="2025-06-30T00:00:00"/>
    <d v="2025-06-30T00:00:00"/>
    <n v="-3.3800000000000097"/>
    <n v="-4.91"/>
    <n v="-2447.9999999999845"/>
    <n v="-5408.0000000000155"/>
    <x v="30"/>
    <s v="Buy"/>
    <n v="-7856"/>
    <x v="1"/>
    <x v="3"/>
    <n v="2025"/>
    <s v="Buy"/>
    <x v="0"/>
    <s v="EXTAP CIF Rotts Apr 20-24WTI-BrentHedge1600-4.91590"/>
    <x v="0"/>
  </r>
  <r>
    <x v="20"/>
    <d v="2025-03-06T00:00:00"/>
    <s v="WTI Sprds"/>
    <s v="Hedge"/>
    <n v="500"/>
    <d v="2025-04-30T00:00:00"/>
    <d v="2025-05-31T00:00:00"/>
    <n v="0.34"/>
    <n v="0.25"/>
    <n v="-45.000000000000014"/>
    <n v="170"/>
    <x v="15"/>
    <s v="Buy"/>
    <n v="125"/>
    <x v="0"/>
    <x v="0"/>
    <n v="2025"/>
    <s v="Buy"/>
    <x v="0"/>
    <s v="EXTAP CIF Rotts Apr 20-24WTI SprdsHedge5000.25591"/>
    <x v="0"/>
  </r>
  <r>
    <x v="20"/>
    <d v="2025-03-06T00:00:00"/>
    <s v="WTI Sprds"/>
    <s v="Hedge"/>
    <n v="500"/>
    <d v="2025-05-31T00:00:00"/>
    <d v="2025-06-30T00:00:00"/>
    <n v="0.39"/>
    <n v="0.67"/>
    <n v="140"/>
    <n v="195"/>
    <x v="16"/>
    <s v="Buy"/>
    <n v="335"/>
    <x v="0"/>
    <x v="0"/>
    <n v="2025"/>
    <s v="Buy"/>
    <x v="0"/>
    <s v="EXTAP CIF Rotts Apr 20-24WTI SprdsHedge5000.67592"/>
    <x v="0"/>
  </r>
  <r>
    <x v="20"/>
    <d v="2025-03-06T00:00:00"/>
    <s v="DFL"/>
    <s v="Hedge"/>
    <n v="-500"/>
    <d v="2025-04-30T00:00:00"/>
    <d v="2025-04-30T00:00:00"/>
    <n v="0.48499999999999999"/>
    <n v="1.42"/>
    <n v="-467.49999999999994"/>
    <n v="-242.5"/>
    <x v="21"/>
    <s v="Sell"/>
    <n v="-710"/>
    <x v="1"/>
    <x v="1"/>
    <n v="2025"/>
    <s v="Sell"/>
    <x v="0"/>
    <s v="EXTAP CIF Rotts Apr 20-24DFLHedge-5001.42593"/>
    <x v="0"/>
  </r>
  <r>
    <x v="20"/>
    <d v="2025-03-06T00:00:00"/>
    <s v="WTI Sprds"/>
    <s v="Hedge"/>
    <n v="500"/>
    <d v="2025-04-30T00:00:00"/>
    <d v="2025-05-31T00:00:00"/>
    <n v="0.34"/>
    <n v="0.25"/>
    <n v="-45.000000000000014"/>
    <n v="170"/>
    <x v="15"/>
    <s v="Buy"/>
    <n v="125"/>
    <x v="0"/>
    <x v="0"/>
    <n v="2025"/>
    <s v="Buy"/>
    <x v="0"/>
    <s v="EXTAP CIF Rotts Apr 20-24WTI SprdsHedge5000.25594"/>
    <x v="0"/>
  </r>
  <r>
    <x v="20"/>
    <d v="2025-03-06T00:00:00"/>
    <s v="WTI Sprds"/>
    <s v="Hedge"/>
    <n v="500"/>
    <d v="2025-05-31T00:00:00"/>
    <d v="2025-06-30T00:00:00"/>
    <n v="0.39"/>
    <n v="0.67"/>
    <n v="140"/>
    <n v="195"/>
    <x v="16"/>
    <s v="Buy"/>
    <n v="335"/>
    <x v="0"/>
    <x v="0"/>
    <n v="2025"/>
    <s v="Buy"/>
    <x v="0"/>
    <s v="EXTAP CIF Rotts Apr 20-24WTI SprdsHedge5000.67595"/>
    <x v="0"/>
  </r>
  <r>
    <x v="0"/>
    <d v="2025-03-07T00:00:00"/>
    <s v="WTI-Brent"/>
    <s v="Hedge"/>
    <n v="250"/>
    <d v="2025-05-31T00:00:00"/>
    <d v="2025-05-31T00:00:00"/>
    <n v="-3.5"/>
    <n v="-3.26"/>
    <n v="60.000000000000057"/>
    <n v="-875"/>
    <x v="22"/>
    <s v="Buy"/>
    <n v="-815"/>
    <x v="1"/>
    <x v="3"/>
    <n v="2025"/>
    <s v="Buy"/>
    <x v="0"/>
    <s v="UnallocatedWTI-BrentHedge250-3.26596"/>
    <x v="0"/>
  </r>
  <r>
    <x v="0"/>
    <d v="2025-03-07T00:00:00"/>
    <s v="WTI-Brent"/>
    <s v="Hedge"/>
    <n v="250"/>
    <d v="2025-05-31T00:00:00"/>
    <d v="2025-05-31T00:00:00"/>
    <n v="-3.51"/>
    <n v="-3.26"/>
    <n v="62.5"/>
    <n v="-877.5"/>
    <x v="22"/>
    <s v="Buy"/>
    <n v="-815"/>
    <x v="1"/>
    <x v="3"/>
    <n v="2025"/>
    <s v="Buy"/>
    <x v="0"/>
    <s v="UnallocatedWTI-BrentHedge250-3.26597"/>
    <x v="0"/>
  </r>
  <r>
    <x v="0"/>
    <d v="2025-03-07T00:00:00"/>
    <s v="WTI-Brent"/>
    <s v="Hedge"/>
    <n v="250"/>
    <d v="2025-05-31T00:00:00"/>
    <d v="2025-05-31T00:00:00"/>
    <n v="-3.52"/>
    <n v="-3.26"/>
    <n v="65.000000000000057"/>
    <n v="-880"/>
    <x v="22"/>
    <s v="Buy"/>
    <n v="-815"/>
    <x v="1"/>
    <x v="3"/>
    <n v="2025"/>
    <s v="Buy"/>
    <x v="0"/>
    <s v="UnallocatedWTI-BrentHedge250-3.26598"/>
    <x v="0"/>
  </r>
  <r>
    <x v="0"/>
    <d v="2025-03-07T00:00:00"/>
    <s v="WTI-Brent"/>
    <s v="Hedge"/>
    <n v="250"/>
    <d v="2025-05-31T00:00:00"/>
    <d v="2025-05-31T00:00:00"/>
    <n v="-3.53"/>
    <n v="-3.26"/>
    <n v="67.5"/>
    <n v="-882.5"/>
    <x v="22"/>
    <s v="Buy"/>
    <n v="-815"/>
    <x v="1"/>
    <x v="3"/>
    <n v="2025"/>
    <s v="Buy"/>
    <x v="0"/>
    <s v="UnallocatedWTI-BrentHedge250-3.26599"/>
    <x v="0"/>
  </r>
  <r>
    <x v="0"/>
    <d v="2025-03-07T00:00:00"/>
    <s v="WTI-Brent"/>
    <s v="Hedge"/>
    <n v="250"/>
    <d v="2025-05-31T00:00:00"/>
    <d v="2025-05-31T00:00:00"/>
    <n v="-3.55"/>
    <n v="-3.26"/>
    <n v="72.500000000000014"/>
    <n v="-887.5"/>
    <x v="22"/>
    <s v="Buy"/>
    <n v="-815"/>
    <x v="1"/>
    <x v="3"/>
    <n v="2025"/>
    <s v="Buy"/>
    <x v="0"/>
    <s v="UnallocatedWTI-BrentHedge250-3.26600"/>
    <x v="0"/>
  </r>
  <r>
    <x v="38"/>
    <d v="2025-03-07T00:00:00"/>
    <s v="Freight-TD22"/>
    <s v="Expo"/>
    <n v="-2000"/>
    <d v="2025-04-30T00:00:00"/>
    <d v="2025-04-30T00:00:00"/>
    <n v="7300"/>
    <n v="7300"/>
    <n v="0"/>
    <n v="-14600000"/>
    <x v="21"/>
    <s v="Sell"/>
    <n v="-14600000"/>
    <x v="3"/>
    <x v="5"/>
    <n v="2025"/>
    <s v="Sell"/>
    <x v="0"/>
    <s v="HDO June DAP 5-15 WTI+WTLFreight-TD22Expo-20007300601"/>
    <x v="0"/>
  </r>
  <r>
    <x v="38"/>
    <d v="2025-03-07T00:00:00"/>
    <s v="Freight-TD22"/>
    <s v="Expo"/>
    <n v="2000"/>
    <d v="2025-04-30T00:00:00"/>
    <d v="2025-04-30T00:00:00"/>
    <n v="7300"/>
    <n v="7300"/>
    <n v="0"/>
    <n v="14600000"/>
    <x v="21"/>
    <s v="Buy"/>
    <n v="14600000"/>
    <x v="3"/>
    <x v="5"/>
    <n v="2025"/>
    <s v="Buy"/>
    <x v="0"/>
    <s v="HDO June DAP 5-15 WTI+WTLFreight-TD22Expo20007300602"/>
    <x v="0"/>
  </r>
  <r>
    <x v="38"/>
    <d v="2025-03-07T00:00:00"/>
    <s v="Physical"/>
    <s v="Expo"/>
    <n v="1400"/>
    <d v="2025-03-31T00:00:00"/>
    <d v="2025-03-31T00:00:00"/>
    <n v="3.6555301211162043"/>
    <n v="3.98"/>
    <n v="454.2578304373136"/>
    <n v="125.07997716895008"/>
    <x v="20"/>
    <s v="Buy"/>
    <n v="579.33780760626371"/>
    <x v="2"/>
    <x v="4"/>
    <n v="2025"/>
    <s v="Buy"/>
    <x v="1"/>
    <s v="HDO June DAP 5-15 WTI+WTLPhysicalExpo14003.98603"/>
    <x v="0"/>
  </r>
  <r>
    <x v="38"/>
    <d v="2025-03-07T00:00:00"/>
    <s v="Physical"/>
    <s v="Expo"/>
    <n v="700"/>
    <d v="2025-03-31T00:00:00"/>
    <d v="2025-03-31T00:00:00"/>
    <n v="3.2355301211162044"/>
    <n v="3.68"/>
    <n v="311.12891521865686"/>
    <n v="-231.46001141552489"/>
    <x v="20"/>
    <s v="Buy"/>
    <n v="79.668903803131968"/>
    <x v="2"/>
    <x v="4"/>
    <n v="2025"/>
    <s v="Buy"/>
    <x v="1"/>
    <s v="HDO June DAP 5-15 WTI+WTLPhysicalExpo7003.68604"/>
    <x v="0"/>
  </r>
  <r>
    <x v="38"/>
    <d v="2025-03-07T00:00:00"/>
    <s v="WTI Sprds"/>
    <s v="Expo"/>
    <n v="-1400"/>
    <d v="2025-04-30T00:00:00"/>
    <d v="2025-05-31T00:00:00"/>
    <n v="0.37"/>
    <n v="0.25"/>
    <n v="168"/>
    <n v="-518"/>
    <x v="15"/>
    <s v="Sell"/>
    <n v="-350"/>
    <x v="0"/>
    <x v="0"/>
    <n v="2025"/>
    <s v="Sell"/>
    <x v="0"/>
    <s v="HDO June DAP 5-15 WTI+WTLWTI SprdsExpo-14000.25605"/>
    <x v="0"/>
  </r>
  <r>
    <x v="38"/>
    <d v="2025-03-07T00:00:00"/>
    <s v="WTI Sprds"/>
    <s v="Expo"/>
    <n v="-1400"/>
    <d v="2025-05-31T00:00:00"/>
    <d v="2025-06-30T00:00:00"/>
    <n v="0.43"/>
    <n v="0.67"/>
    <n v="-336.00000000000006"/>
    <n v="-602"/>
    <x v="16"/>
    <s v="Sell"/>
    <n v="-938"/>
    <x v="0"/>
    <x v="0"/>
    <n v="2025"/>
    <s v="Sell"/>
    <x v="0"/>
    <s v="HDO June DAP 5-15 WTI+WTLWTI SprdsExpo-14000.67606"/>
    <x v="0"/>
  </r>
  <r>
    <x v="38"/>
    <d v="2025-03-07T00:00:00"/>
    <s v="WTI-Brent"/>
    <s v="Expo"/>
    <n v="-1400"/>
    <d v="2025-06-30T00:00:00"/>
    <d v="2025-06-30T00:00:00"/>
    <n v="-3.48"/>
    <n v="-4.91"/>
    <n v="2002.0000000000002"/>
    <n v="4872"/>
    <x v="30"/>
    <s v="Sell"/>
    <n v="6874"/>
    <x v="1"/>
    <x v="3"/>
    <n v="2025"/>
    <s v="Sell"/>
    <x v="0"/>
    <s v="HDO June DAP 5-15 WTI+WTLWTI-BrentExpo-1400-4.91607"/>
    <x v="0"/>
  </r>
  <r>
    <x v="38"/>
    <d v="2025-03-07T00:00:00"/>
    <s v="Brent Sprds"/>
    <s v="Expo"/>
    <n v="-2100"/>
    <d v="2025-06-30T00:00:00"/>
    <d v="2025-07-31T00:00:00"/>
    <n v="0.46"/>
    <n v="2.06"/>
    <n v="-3360"/>
    <n v="-966"/>
    <x v="31"/>
    <s v="Sell"/>
    <n v="-4326"/>
    <x v="0"/>
    <x v="2"/>
    <n v="2025"/>
    <s v="Sell"/>
    <x v="0"/>
    <s v="HDO June DAP 5-15 WTI+WTLBrent SprdsExpo-21002.06608"/>
    <x v="0"/>
  </r>
  <r>
    <x v="38"/>
    <d v="2025-03-07T00:00:00"/>
    <s v="WTI-Brent"/>
    <s v="Hedge"/>
    <n v="500"/>
    <d v="2025-06-30T00:00:00"/>
    <d v="2025-06-30T00:00:00"/>
    <n v="-3.48"/>
    <n v="-4.91"/>
    <n v="-715.00000000000011"/>
    <n v="-1740"/>
    <x v="30"/>
    <s v="Buy"/>
    <n v="-2455"/>
    <x v="1"/>
    <x v="3"/>
    <n v="2025"/>
    <s v="Buy"/>
    <x v="0"/>
    <s v="HDO June DAP 5-15 WTI+WTLWTI-BrentHedge500-4.91609"/>
    <x v="0"/>
  </r>
  <r>
    <x v="38"/>
    <d v="2025-03-07T00:00:00"/>
    <s v="WTI-Brent"/>
    <s v="Hedge"/>
    <n v="500"/>
    <d v="2025-07-31T00:00:00"/>
    <d v="2025-07-31T00:00:00"/>
    <n v="-3.48"/>
    <n v="-3.11"/>
    <n v="185.00000000000006"/>
    <n v="-1740"/>
    <x v="32"/>
    <s v="Buy"/>
    <n v="-1555"/>
    <x v="1"/>
    <x v="3"/>
    <n v="2025"/>
    <s v="Buy"/>
    <x v="0"/>
    <s v="HDO June DAP 5-15 WTI+WTLWTI-BrentHedge500-3.11610"/>
    <x v="0"/>
  </r>
  <r>
    <x v="20"/>
    <d v="2025-03-06T00:00:00"/>
    <s v="DFL"/>
    <s v="Hedge"/>
    <n v="-100"/>
    <d v="2025-04-30T00:00:00"/>
    <d v="2025-04-30T00:00:00"/>
    <n v="0.61"/>
    <n v="1.42"/>
    <n v="-81"/>
    <n v="-61"/>
    <x v="21"/>
    <s v="Sell"/>
    <n v="-142"/>
    <x v="1"/>
    <x v="1"/>
    <n v="2025"/>
    <s v="Sell"/>
    <x v="0"/>
    <s v="EXTAP CIF Rotts Apr 20-24DFLHedge-1001.42611"/>
    <x v="0"/>
  </r>
  <r>
    <x v="38"/>
    <d v="2025-03-11T00:00:00"/>
    <s v="WTI-Brent"/>
    <s v="Hedge"/>
    <n v="250"/>
    <d v="2025-06-30T00:00:00"/>
    <d v="2025-06-30T00:00:00"/>
    <n v="-3.55"/>
    <n v="-4.91"/>
    <n v="-340.00000000000006"/>
    <n v="-887.5"/>
    <x v="30"/>
    <s v="Buy"/>
    <n v="-1227.5"/>
    <x v="1"/>
    <x v="3"/>
    <n v="2025"/>
    <s v="Buy"/>
    <x v="0"/>
    <s v="HDO June DAP 5-15 WTI+WTLWTI-BrentHedge250-4.91612"/>
    <x v="0"/>
  </r>
  <r>
    <x v="38"/>
    <d v="2025-03-11T00:00:00"/>
    <s v="WTI-Brent"/>
    <s v="Hedge"/>
    <n v="217"/>
    <d v="2025-06-30T00:00:00"/>
    <d v="2025-06-30T00:00:00"/>
    <n v="-3.56"/>
    <n v="-4.91"/>
    <n v="-292.95000000000005"/>
    <n v="-772.52"/>
    <x v="30"/>
    <s v="Buy"/>
    <n v="-1065.47"/>
    <x v="1"/>
    <x v="3"/>
    <n v="2025"/>
    <s v="Buy"/>
    <x v="0"/>
    <s v="HDO June DAP 5-15 WTI+WTLWTI-BrentHedge217-4.91613"/>
    <x v="0"/>
  </r>
  <r>
    <x v="38"/>
    <d v="2025-03-10T00:00:00"/>
    <s v="WTI-Brent"/>
    <s v="Hedge"/>
    <n v="500"/>
    <d v="2025-06-30T00:00:00"/>
    <d v="2025-06-30T00:00:00"/>
    <n v="-3.52"/>
    <n v="-4.91"/>
    <n v="-695.00000000000011"/>
    <n v="-1760"/>
    <x v="30"/>
    <s v="Buy"/>
    <n v="-2455"/>
    <x v="1"/>
    <x v="3"/>
    <n v="2025"/>
    <s v="Buy"/>
    <x v="0"/>
    <s v="HDO June DAP 5-15 WTI+WTLWTI-BrentHedge500-4.91614"/>
    <x v="0"/>
  </r>
  <r>
    <x v="0"/>
    <d v="2025-03-11T00:00:00"/>
    <s v="Brent Sprds"/>
    <s v="Hedge"/>
    <n v="0.01"/>
    <d v="2025-06-30T00:00:00"/>
    <d v="2025-07-31T00:00:00"/>
    <n v="0.46"/>
    <n v="2.06"/>
    <n v="113.60000000000001"/>
    <n v="4.5999999999999999E-3"/>
    <x v="31"/>
    <s v="Buy"/>
    <n v="2.06E-2"/>
    <x v="0"/>
    <x v="2"/>
    <n v="2025"/>
    <s v="Buy"/>
    <x v="0"/>
    <s v="UnallocatedBrent SprdsHedge0.012.06615"/>
    <x v="0"/>
  </r>
  <r>
    <x v="0"/>
    <d v="2025-03-11T00:00:00"/>
    <s v="WTI-Brent"/>
    <s v="Hedge"/>
    <n v="200"/>
    <d v="2025-05-31T00:00:00"/>
    <d v="2025-05-31T00:00:00"/>
    <n v="-3.65"/>
    <n v="-3.26"/>
    <n v="78.000000000000028"/>
    <n v="-730"/>
    <x v="22"/>
    <s v="Buy"/>
    <n v="-652"/>
    <x v="1"/>
    <x v="3"/>
    <n v="2025"/>
    <s v="Buy"/>
    <x v="0"/>
    <s v="UnallocatedWTI-BrentHedge200-3.26616"/>
    <x v="0"/>
  </r>
  <r>
    <x v="0"/>
    <d v="2025-03-13T00:00:00"/>
    <s v="WTI Sprds"/>
    <s v="Hedge"/>
    <n v="250"/>
    <d v="2025-04-30T00:00:00"/>
    <d v="2025-05-31T00:00:00"/>
    <n v="0.3"/>
    <n v="0.25"/>
    <n v="-12.499999999999996"/>
    <n v="75"/>
    <x v="15"/>
    <s v="Buy"/>
    <n v="62.5"/>
    <x v="0"/>
    <x v="0"/>
    <n v="2025"/>
    <s v="Buy"/>
    <x v="0"/>
    <s v="UnallocatedWTI SprdsHedge2500.25617"/>
    <x v="0"/>
  </r>
  <r>
    <x v="0"/>
    <d v="2025-03-13T00:00:00"/>
    <s v="WTI Sprds"/>
    <s v="Hedge"/>
    <n v="250"/>
    <d v="2025-04-30T00:00:00"/>
    <d v="2025-05-31T00:00:00"/>
    <n v="0.28999999999999998"/>
    <n v="0.25"/>
    <n v="-9.9999999999999947"/>
    <n v="72.5"/>
    <x v="15"/>
    <s v="Buy"/>
    <n v="62.5"/>
    <x v="0"/>
    <x v="0"/>
    <n v="2025"/>
    <s v="Buy"/>
    <x v="0"/>
    <s v="UnallocatedWTI SprdsHedge2500.25618"/>
    <x v="0"/>
  </r>
  <r>
    <x v="0"/>
    <d v="2025-03-13T00:00:00"/>
    <s v="WTI Sprds"/>
    <s v="Hedge"/>
    <n v="250"/>
    <d v="2025-04-30T00:00:00"/>
    <d v="2025-05-31T00:00:00"/>
    <n v="0.28000000000000003"/>
    <n v="0.25"/>
    <n v="-7.5000000000000071"/>
    <n v="70"/>
    <x v="15"/>
    <s v="Buy"/>
    <n v="62.5"/>
    <x v="0"/>
    <x v="0"/>
    <n v="2025"/>
    <s v="Buy"/>
    <x v="0"/>
    <s v="UnallocatedWTI SprdsHedge2500.25619"/>
    <x v="0"/>
  </r>
  <r>
    <x v="0"/>
    <d v="2025-03-13T00:00:00"/>
    <s v="WTI Sprds"/>
    <s v="Hedge"/>
    <n v="250"/>
    <d v="2025-04-30T00:00:00"/>
    <d v="2025-05-31T00:00:00"/>
    <n v="0.27"/>
    <n v="0.25"/>
    <n v="-5.0000000000000044"/>
    <n v="67.5"/>
    <x v="15"/>
    <s v="Buy"/>
    <n v="62.5"/>
    <x v="0"/>
    <x v="0"/>
    <n v="2025"/>
    <s v="Buy"/>
    <x v="0"/>
    <s v="UnallocatedWTI SprdsHedge2500.25620"/>
    <x v="0"/>
  </r>
  <r>
    <x v="0"/>
    <d v="2025-03-13T00:00:00"/>
    <s v="WTI Sprds"/>
    <s v="Hedge"/>
    <n v="250"/>
    <d v="2025-04-30T00:00:00"/>
    <d v="2025-05-31T00:00:00"/>
    <n v="0.26"/>
    <n v="0.25"/>
    <n v="-2.5000000000000022"/>
    <n v="65"/>
    <x v="15"/>
    <s v="Buy"/>
    <n v="62.5"/>
    <x v="0"/>
    <x v="0"/>
    <n v="2025"/>
    <s v="Buy"/>
    <x v="0"/>
    <s v="UnallocatedWTI SprdsHedge2500.25621"/>
    <x v="0"/>
  </r>
  <r>
    <x v="0"/>
    <d v="2025-03-17T00:00:00"/>
    <s v="WTI Sprds"/>
    <s v="Hedge"/>
    <n v="250"/>
    <d v="2025-04-30T00:00:00"/>
    <d v="2025-05-31T00:00:00"/>
    <n v="0.25"/>
    <n v="0.25"/>
    <n v="0"/>
    <n v="62.5"/>
    <x v="15"/>
    <s v="Buy"/>
    <n v="62.5"/>
    <x v="0"/>
    <x v="0"/>
    <n v="2025"/>
    <s v="Buy"/>
    <x v="0"/>
    <s v="UnallocatedWTI SprdsHedge2500.25622"/>
    <x v="0"/>
  </r>
  <r>
    <x v="0"/>
    <d v="2025-03-13T00:00:00"/>
    <s v="WTI-Brent"/>
    <s v="Hedge"/>
    <n v="250"/>
    <d v="2025-06-30T00:00:00"/>
    <d v="2025-06-30T00:00:00"/>
    <n v="-3.52"/>
    <n v="-4.91"/>
    <n v="-347.50000000000006"/>
    <n v="-880"/>
    <x v="30"/>
    <s v="Buy"/>
    <n v="-1227.5"/>
    <x v="1"/>
    <x v="3"/>
    <n v="2025"/>
    <s v="Buy"/>
    <x v="0"/>
    <s v="UnallocatedWTI-BrentHedge250-4.91623"/>
    <x v="0"/>
  </r>
  <r>
    <x v="0"/>
    <d v="2025-03-13T00:00:00"/>
    <s v="WTI-Brent"/>
    <s v="Hedge"/>
    <n v="250"/>
    <d v="2025-06-30T00:00:00"/>
    <d v="2025-06-30T00:00:00"/>
    <n v="-3.53"/>
    <n v="-4.91"/>
    <n v="-345.00000000000006"/>
    <n v="-882.5"/>
    <x v="30"/>
    <s v="Buy"/>
    <n v="-1227.5"/>
    <x v="1"/>
    <x v="3"/>
    <n v="2025"/>
    <s v="Buy"/>
    <x v="0"/>
    <s v="UnallocatedWTI-BrentHedge250-4.91624"/>
    <x v="0"/>
  </r>
  <r>
    <x v="0"/>
    <d v="2025-03-13T00:00:00"/>
    <s v="WTI-Brent"/>
    <s v="Hedge"/>
    <n v="250"/>
    <d v="2025-06-30T00:00:00"/>
    <d v="2025-06-30T00:00:00"/>
    <n v="-3.54"/>
    <n v="-4.91"/>
    <n v="-342.5"/>
    <n v="-885"/>
    <x v="30"/>
    <s v="Buy"/>
    <n v="-1227.5"/>
    <x v="1"/>
    <x v="3"/>
    <n v="2025"/>
    <s v="Buy"/>
    <x v="0"/>
    <s v="UnallocatedWTI-BrentHedge250-4.91625"/>
    <x v="0"/>
  </r>
  <r>
    <x v="0"/>
    <d v="2025-03-13T00:00:00"/>
    <s v="WTI-Brent"/>
    <s v="Hedge"/>
    <n v="250"/>
    <d v="2025-06-30T00:00:00"/>
    <d v="2025-06-30T00:00:00"/>
    <n v="-3.55"/>
    <n v="-4.91"/>
    <n v="-340.00000000000006"/>
    <n v="-887.5"/>
    <x v="30"/>
    <s v="Buy"/>
    <n v="-1227.5"/>
    <x v="1"/>
    <x v="3"/>
    <n v="2025"/>
    <s v="Buy"/>
    <x v="0"/>
    <s v="UnallocatedWTI-BrentHedge250-4.91626"/>
    <x v="0"/>
  </r>
  <r>
    <x v="0"/>
    <d v="2025-03-18T00:00:00"/>
    <s v="WTI Sprds"/>
    <s v="Hedge"/>
    <n v="500"/>
    <d v="2025-04-30T00:00:00"/>
    <d v="2025-05-31T00:00:00"/>
    <n v="0.15"/>
    <n v="0.25"/>
    <n v="50"/>
    <n v="75"/>
    <x v="15"/>
    <s v="Buy"/>
    <n v="125"/>
    <x v="0"/>
    <x v="0"/>
    <n v="2025"/>
    <s v="Buy"/>
    <x v="0"/>
    <s v="UnallocatedWTI SprdsHedge5000.25627"/>
    <x v="0"/>
  </r>
  <r>
    <x v="0"/>
    <d v="2025-03-18T00:00:00"/>
    <s v="WTI Sprds"/>
    <s v="Hedge"/>
    <n v="400"/>
    <d v="2025-04-30T00:00:00"/>
    <d v="2025-05-31T00:00:00"/>
    <n v="0.12"/>
    <n v="0.25"/>
    <n v="52"/>
    <n v="48"/>
    <x v="15"/>
    <s v="Buy"/>
    <n v="100"/>
    <x v="0"/>
    <x v="0"/>
    <n v="2025"/>
    <s v="Buy"/>
    <x v="0"/>
    <s v="UnallocatedWTI SprdsHedge4000.25628"/>
    <x v="0"/>
  </r>
  <r>
    <x v="0"/>
    <d v="2025-03-18T00:00:00"/>
    <s v="WTI Sprds"/>
    <s v="Hedge"/>
    <n v="250"/>
    <d v="2025-04-30T00:00:00"/>
    <d v="2025-05-31T00:00:00"/>
    <n v="0.11"/>
    <n v="0.25"/>
    <n v="35"/>
    <n v="27.5"/>
    <x v="15"/>
    <s v="Buy"/>
    <n v="62.5"/>
    <x v="0"/>
    <x v="0"/>
    <n v="2025"/>
    <s v="Buy"/>
    <x v="0"/>
    <s v="UnallocatedWTI SprdsHedge2500.25629"/>
    <x v="0"/>
  </r>
  <r>
    <x v="0"/>
    <d v="2025-03-18T00:00:00"/>
    <s v="WTI Sprds"/>
    <s v="Hedge"/>
    <n v="153"/>
    <d v="2025-04-30T00:00:00"/>
    <d v="2025-05-31T00:00:00"/>
    <n v="0.11"/>
    <n v="0.25"/>
    <n v="21.42"/>
    <n v="16.830000000000002"/>
    <x v="15"/>
    <s v="Buy"/>
    <n v="38.25"/>
    <x v="0"/>
    <x v="0"/>
    <n v="2025"/>
    <s v="Buy"/>
    <x v="0"/>
    <s v="UnallocatedWTI SprdsHedge1530.25630"/>
    <x v="0"/>
  </r>
  <r>
    <x v="0"/>
    <d v="2025-03-18T00:00:00"/>
    <s v="WTI Sprds"/>
    <s v="Hedge"/>
    <n v="-1323"/>
    <d v="2025-05-31T00:00:00"/>
    <d v="2025-06-30T00:00:00"/>
    <n v="0.37"/>
    <n v="0.67"/>
    <n v="-396.90000000000003"/>
    <n v="-489.51"/>
    <x v="16"/>
    <s v="Sell"/>
    <n v="-886.41000000000008"/>
    <x v="0"/>
    <x v="0"/>
    <n v="2025"/>
    <s v="Sell"/>
    <x v="0"/>
    <s v="UnallocatedWTI SprdsHedge-13230.67631"/>
    <x v="0"/>
  </r>
  <r>
    <x v="0"/>
    <d v="2025-03-18T00:00:00"/>
    <s v="WTI Sprds"/>
    <s v="Hedge"/>
    <n v="-2302"/>
    <d v="2025-05-31T00:00:00"/>
    <d v="2025-06-30T00:00:00"/>
    <n v="0.37"/>
    <n v="0.67"/>
    <n v="-690.60000000000014"/>
    <n v="-851.74"/>
    <x v="16"/>
    <s v="Sell"/>
    <n v="-1542.3400000000001"/>
    <x v="0"/>
    <x v="0"/>
    <n v="2025"/>
    <s v="Sell"/>
    <x v="0"/>
    <s v="UnallocatedWTI SprdsHedge-23020.67632"/>
    <x v="0"/>
  </r>
  <r>
    <x v="39"/>
    <d v="2025-02-18T00:00:00"/>
    <s v="Physical"/>
    <s v="Expo"/>
    <n v="735"/>
    <d v="2025-04-30T00:00:00"/>
    <d v="2025-04-30T00:00:00"/>
    <n v="1.27"/>
    <n v="1.75"/>
    <n v="352.8"/>
    <n v="933.45"/>
    <x v="21"/>
    <s v="Buy"/>
    <n v="1286.25"/>
    <x v="2"/>
    <x v="4"/>
    <n v="2025"/>
    <s v="Buy"/>
    <x v="1"/>
    <s v="Glencore CIF Rdam Apr 22-26PhysicalExpo7351.75633"/>
    <x v="0"/>
  </r>
  <r>
    <x v="39"/>
    <d v="2025-02-18T00:00:00"/>
    <s v="WTI Sprds"/>
    <s v="Expo"/>
    <n v="-735"/>
    <d v="2025-05-31T00:00:00"/>
    <d v="2025-06-30T00:00:00"/>
    <n v="0.42"/>
    <n v="0.67"/>
    <n v="-183.75000000000003"/>
    <n v="-308.7"/>
    <x v="16"/>
    <s v="Sell"/>
    <n v="-492.45000000000005"/>
    <x v="0"/>
    <x v="0"/>
    <n v="2025"/>
    <s v="Sell"/>
    <x v="0"/>
    <s v="Glencore CIF Rdam Apr 22-26WTI SprdsExpo-7350.67634"/>
    <x v="0"/>
  </r>
  <r>
    <x v="39"/>
    <d v="2025-03-03T00:00:00"/>
    <s v="WTI-Brent"/>
    <s v="Expo"/>
    <n v="-735"/>
    <d v="2025-06-30T00:00:00"/>
    <d v="2025-06-30T00:00:00"/>
    <n v="-3.76"/>
    <n v="-4.91"/>
    <n v="845.25000000000023"/>
    <n v="2763.6"/>
    <x v="30"/>
    <s v="Sell"/>
    <n v="3608.85"/>
    <x v="1"/>
    <x v="3"/>
    <n v="2025"/>
    <s v="Sell"/>
    <x v="0"/>
    <s v="Glencore CIF Rdam Apr 22-26WTI-BrentExpo-735-4.91635"/>
    <x v="0"/>
  </r>
  <r>
    <x v="39"/>
    <d v="2025-03-03T00:00:00"/>
    <s v="DFL"/>
    <s v="Expo"/>
    <n v="735"/>
    <d v="2025-04-30T00:00:00"/>
    <d v="2025-04-30T00:00:00"/>
    <n v="0.75"/>
    <n v="1.42"/>
    <n v="492.44999999999993"/>
    <n v="551.25"/>
    <x v="21"/>
    <s v="Buy"/>
    <n v="1043.7"/>
    <x v="1"/>
    <x v="1"/>
    <n v="2025"/>
    <s v="Buy"/>
    <x v="0"/>
    <s v="Glencore CIF Rdam Apr 22-26DFLExpo7351.42636"/>
    <x v="0"/>
  </r>
  <r>
    <x v="39"/>
    <d v="2025-03-03T00:00:00"/>
    <s v="DFL"/>
    <s v="Hedge"/>
    <n v="-700"/>
    <d v="2025-04-30T00:00:00"/>
    <d v="2025-04-30T00:00:00"/>
    <n v="0.72"/>
    <n v="1.42"/>
    <n v="-489.99999999999994"/>
    <n v="-504"/>
    <x v="21"/>
    <s v="Sell"/>
    <n v="-994"/>
    <x v="1"/>
    <x v="1"/>
    <n v="2025"/>
    <s v="Sell"/>
    <x v="0"/>
    <s v="Glencore CIF Rdam Apr 22-26DFLHedge-7001.42637"/>
    <x v="0"/>
  </r>
  <r>
    <x v="40"/>
    <d v="2025-02-18T00:00:00"/>
    <s v="Physical"/>
    <s v="Expo"/>
    <n v="700"/>
    <d v="2025-04-30T00:00:00"/>
    <d v="2025-04-30T00:00:00"/>
    <n v="-1.5899999999999999"/>
    <n v="-1.5"/>
    <n v="27.999999999999869"/>
    <n v="-1077.9999999999998"/>
    <x v="21"/>
    <s v="Buy"/>
    <n v="-1050"/>
    <x v="2"/>
    <x v="4"/>
    <n v="2025"/>
    <s v="Buy"/>
    <x v="1"/>
    <s v="Trafi FOB Apr 23-24PhysicalExpo700-1.5638"/>
    <x v="0"/>
  </r>
  <r>
    <x v="40"/>
    <d v="2025-02-18T00:00:00"/>
    <s v="WTI Sprds"/>
    <s v="Expo"/>
    <n v="-700"/>
    <d v="2025-05-31T00:00:00"/>
    <d v="2025-06-30T00:00:00"/>
    <n v="0.42"/>
    <n v="0.67"/>
    <n v="-175.00000000000003"/>
    <n v="-294"/>
    <x v="16"/>
    <s v="Sell"/>
    <n v="-469"/>
    <x v="0"/>
    <x v="0"/>
    <n v="2025"/>
    <s v="Sell"/>
    <x v="0"/>
    <s v="Trafi FOB Apr 23-24WTI SprdsExpo-7000.67639"/>
    <x v="0"/>
  </r>
  <r>
    <x v="40"/>
    <d v="2025-03-03T00:00:00"/>
    <s v="WTI-Brent"/>
    <s v="Expo"/>
    <n v="-700"/>
    <d v="2025-06-30T00:00:00"/>
    <d v="2025-06-30T00:00:00"/>
    <n v="-3.76"/>
    <n v="-4.91"/>
    <n v="805.00000000000023"/>
    <n v="2632"/>
    <x v="30"/>
    <s v="Sell"/>
    <n v="3437"/>
    <x v="1"/>
    <x v="3"/>
    <n v="2025"/>
    <s v="Sell"/>
    <x v="0"/>
    <s v="Trafi FOB Apr 23-24WTI-BrentExpo-700-4.91640"/>
    <x v="0"/>
  </r>
  <r>
    <x v="0"/>
    <d v="2025-03-26T00:00:00"/>
    <s v="DFL"/>
    <s v="Hedge"/>
    <n v="500"/>
    <d v="2025-04-30T00:00:00"/>
    <d v="2025-04-30T00:00:00"/>
    <n v="0.92"/>
    <n v="1.42"/>
    <n v="249.99999999999994"/>
    <n v="460"/>
    <x v="21"/>
    <s v="Buy"/>
    <n v="710"/>
    <x v="1"/>
    <x v="1"/>
    <n v="2025"/>
    <s v="Buy"/>
    <x v="0"/>
    <s v="UnallocatedDFLHedge5001.42641"/>
    <x v="0"/>
  </r>
  <r>
    <x v="0"/>
    <d v="2025-03-26T00:00:00"/>
    <s v="DFL"/>
    <s v="Hedge"/>
    <n v="-500"/>
    <d v="2025-05-31T00:00:00"/>
    <d v="2025-05-31T00:00:00"/>
    <n v="0.82"/>
    <n v="0.14121300000000001"/>
    <n v="339.39349999999996"/>
    <n v="-410"/>
    <x v="22"/>
    <s v="Sell"/>
    <n v="-70.606499999999997"/>
    <x v="1"/>
    <x v="1"/>
    <n v="2025"/>
    <s v="Sell"/>
    <x v="0"/>
    <s v="UnallocatedDFLHedge-5000.141213642"/>
    <x v="0"/>
  </r>
  <r>
    <x v="0"/>
    <d v="2025-03-28T00:00:00"/>
    <s v="Brent Sprds"/>
    <s v="Expo"/>
    <n v="729"/>
    <d v="2025-05-31T00:00:00"/>
    <d v="2025-06-30T00:00:00"/>
    <n v="0.86"/>
    <n v="-0.03"/>
    <n v="-648.81000000000006"/>
    <n v="626.93999999999994"/>
    <x v="16"/>
    <s v="Buy"/>
    <n v="-21.869999999999997"/>
    <x v="0"/>
    <x v="2"/>
    <n v="2025"/>
    <s v="Buy"/>
    <x v="0"/>
    <s v="UnallocatedBrent SprdsExpo729-0.03643"/>
    <x v="0"/>
  </r>
  <r>
    <x v="0"/>
    <d v="2025-03-28T00:00:00"/>
    <s v="WTI-Brent"/>
    <s v="Expo"/>
    <n v="900"/>
    <d v="2025-05-31T00:00:00"/>
    <d v="2025-05-31T00:00:00"/>
    <n v="-4.25"/>
    <n v="-3.26"/>
    <n v="891.00000000000023"/>
    <n v="-3825"/>
    <x v="22"/>
    <s v="Buy"/>
    <n v="-2934"/>
    <x v="1"/>
    <x v="3"/>
    <n v="2025"/>
    <s v="Buy"/>
    <x v="0"/>
    <s v="UnallocatedWTI-BrentExpo900-3.26644"/>
    <x v="0"/>
  </r>
  <r>
    <x v="0"/>
    <d v="2025-03-28T00:00:00"/>
    <s v="DFL"/>
    <s v="Hedge"/>
    <n v="-1000"/>
    <d v="2025-05-31T00:00:00"/>
    <d v="2025-05-31T00:00:00"/>
    <n v="1"/>
    <n v="0.14121300000000001"/>
    <n v="858.78699999999992"/>
    <n v="-1000"/>
    <x v="22"/>
    <s v="Sell"/>
    <n v="-141.21299999999999"/>
    <x v="1"/>
    <x v="1"/>
    <n v="2025"/>
    <s v="Sell"/>
    <x v="0"/>
    <s v="UnallocatedDFLHedge-10000.141213645"/>
    <x v="0"/>
  </r>
  <r>
    <x v="35"/>
    <d v="2025-02-07T00:00:00"/>
    <s v="Brent Sprds"/>
    <s v="Expo"/>
    <n v="370"/>
    <d v="2025-05-31T00:00:00"/>
    <d v="2025-06-30T00:00:00"/>
    <n v="0.48"/>
    <n v="-0.03"/>
    <n v="-188.70000000000002"/>
    <n v="177.6"/>
    <x v="16"/>
    <s v="Buy"/>
    <n v="-11.1"/>
    <x v="0"/>
    <x v="2"/>
    <n v="2025"/>
    <s v="Buy"/>
    <x v="0"/>
    <s v="HDO May 10-20 WTI+WTLBrent SprdsExpo370-0.03646"/>
    <x v="0"/>
  </r>
  <r>
    <x v="41"/>
    <d v="2025-03-31T00:00:00"/>
    <s v="Physical"/>
    <s v="Expo"/>
    <n v="692"/>
    <d v="2025-04-30T00:00:00"/>
    <d v="2025-04-30T00:00:00"/>
    <n v="2.34"/>
    <n v="2.4"/>
    <n v="41.520000000000039"/>
    <n v="1619.28"/>
    <x v="21"/>
    <s v="Buy"/>
    <n v="1660.8"/>
    <x v="2"/>
    <x v="4"/>
    <n v="2025"/>
    <s v="Buy"/>
    <x v="1"/>
    <s v="Exxon CIF Rdam May 1-5PhysicalExpo6922.4647"/>
    <x v="0"/>
  </r>
  <r>
    <x v="41"/>
    <d v="2025-03-31T00:00:00"/>
    <s v="WTI Sprds"/>
    <s v="Expo"/>
    <n v="-692"/>
    <d v="2025-05-31T00:00:00"/>
    <d v="2025-06-30T00:00:00"/>
    <n v="0.52"/>
    <n v="0.67"/>
    <n v="-103.80000000000001"/>
    <n v="-359.84000000000003"/>
    <x v="16"/>
    <s v="Sell"/>
    <n v="-463.64000000000004"/>
    <x v="0"/>
    <x v="0"/>
    <n v="2025"/>
    <s v="Sell"/>
    <x v="0"/>
    <s v="Exxon CIF Rdam May 1-5WTI SprdsExpo-6920.67648"/>
    <x v="0"/>
  </r>
  <r>
    <x v="41"/>
    <d v="2025-03-31T00:00:00"/>
    <s v="WTI-Brent"/>
    <s v="Expo"/>
    <n v="-692"/>
    <d v="2025-06-30T00:00:00"/>
    <d v="2025-06-30T00:00:00"/>
    <n v="-3.78"/>
    <n v="-4.91"/>
    <n v="781.96000000000026"/>
    <n v="2615.7599999999998"/>
    <x v="30"/>
    <s v="Sell"/>
    <n v="3397.7200000000003"/>
    <x v="1"/>
    <x v="3"/>
    <n v="2025"/>
    <s v="Sell"/>
    <x v="0"/>
    <s v="Exxon CIF Rdam May 1-5WTI-BrentExpo-692-4.91649"/>
    <x v="0"/>
  </r>
  <r>
    <x v="41"/>
    <d v="2025-03-31T00:00:00"/>
    <s v="DFL"/>
    <s v="Expo"/>
    <n v="692"/>
    <d v="2025-05-31T00:00:00"/>
    <d v="2025-05-31T00:00:00"/>
    <n v="1.05"/>
    <n v="0.14121300000000001"/>
    <n v="-628.88060400000006"/>
    <n v="726.6"/>
    <x v="22"/>
    <s v="Buy"/>
    <n v="97.719396000000003"/>
    <x v="1"/>
    <x v="1"/>
    <n v="2025"/>
    <s v="Buy"/>
    <x v="0"/>
    <s v="Exxon CIF Rdam May 1-5DFLExpo6920.141213650"/>
    <x v="0"/>
  </r>
  <r>
    <x v="41"/>
    <d v="2025-03-31T00:00:00"/>
    <s v="Freight-TD25"/>
    <s v="Expo"/>
    <n v="-700"/>
    <d v="2025-04-30T00:00:00"/>
    <d v="2025-04-30T00:00:00"/>
    <n v="185"/>
    <n v="167.5"/>
    <n v="245.00000000000003"/>
    <n v="-129500"/>
    <x v="21"/>
    <s v="Sell"/>
    <n v="-117250"/>
    <x v="3"/>
    <x v="5"/>
    <n v="2025"/>
    <s v="Sell"/>
    <x v="0"/>
    <s v="Exxon CIF Rdam May 1-5Freight-TD25Expo-700167.5651"/>
    <x v="0"/>
  </r>
  <r>
    <x v="41"/>
    <d v="2025-03-31T00:00:00"/>
    <s v="Freight-TD25"/>
    <s v="Expo"/>
    <n v="700"/>
    <d v="2025-04-30T00:00:00"/>
    <d v="2025-04-30T00:00:00"/>
    <n v="167.5"/>
    <n v="167.5"/>
    <n v="0"/>
    <n v="117250"/>
    <x v="21"/>
    <s v="Buy"/>
    <n v="117250"/>
    <x v="3"/>
    <x v="5"/>
    <n v="2025"/>
    <s v="Buy"/>
    <x v="0"/>
    <s v="Exxon CIF Rdam May 1-5Freight-TD25Expo700167.5652"/>
    <x v="0"/>
  </r>
  <r>
    <x v="41"/>
    <d v="2025-03-31T00:00:00"/>
    <s v="Brent Sprds"/>
    <s v="Expo"/>
    <n v="-692"/>
    <d v="2025-06-30T00:00:00"/>
    <d v="2025-07-31T00:00:00"/>
    <n v="0.72"/>
    <n v="2.06"/>
    <n v="-927.28000000000009"/>
    <n v="-498.24"/>
    <x v="31"/>
    <s v="Sell"/>
    <n v="-1425.52"/>
    <x v="0"/>
    <x v="2"/>
    <n v="2025"/>
    <s v="Sell"/>
    <x v="0"/>
    <s v="Exxon CIF Rdam May 1-5Brent SprdsExpo-6922.06653"/>
    <x v="0"/>
  </r>
  <r>
    <x v="0"/>
    <d v="2025-03-31T00:00:00"/>
    <s v="Freight-TD7"/>
    <s v="Hedge"/>
    <n v="-1400"/>
    <d v="2025-03-31T00:00:00"/>
    <d v="2025-03-31T00:00:00"/>
    <n v="111.45"/>
    <n v="111.45"/>
    <n v="0"/>
    <n v="-156030"/>
    <x v="20"/>
    <s v="Sell"/>
    <n v="-156030"/>
    <x v="3"/>
    <x v="5"/>
    <n v="2025"/>
    <s v="Sell"/>
    <x v="0"/>
    <s v="UnallocatedFreight-TD7Hedge-1400111.45654"/>
    <x v="0"/>
  </r>
  <r>
    <x v="0"/>
    <d v="2025-03-31T00:00:00"/>
    <s v="CFD"/>
    <s v="Hedge"/>
    <n v="500"/>
    <s v="Apr07-Apr11"/>
    <d v="1931-04-01T00:00:00"/>
    <n v="2.12"/>
    <n v="2.2599999999999998"/>
    <n v="69.999999999999844"/>
    <n v="1060"/>
    <x v="2"/>
    <s v="Buy"/>
    <n v="1130"/>
    <x v="1"/>
    <x v="1"/>
    <n v="2025"/>
    <s v="Buy"/>
    <x v="0"/>
    <s v="UnallocatedCFDHedge5002.26655"/>
    <x v="0"/>
  </r>
  <r>
    <x v="0"/>
    <d v="2025-03-31T00:00:00"/>
    <s v="CFD"/>
    <s v="Hedge"/>
    <n v="-500"/>
    <s v="Apr14-Apr18"/>
    <d v="1931-04-01T00:00:00"/>
    <n v="1.82"/>
    <n v="1.86"/>
    <n v="-20.000000000000018"/>
    <n v="-910"/>
    <x v="3"/>
    <s v="Sell"/>
    <n v="-930"/>
    <x v="1"/>
    <x v="1"/>
    <n v="2025"/>
    <s v="Sell"/>
    <x v="0"/>
    <s v="UnallocatedCFDHedge-5001.86656"/>
    <x v="0"/>
  </r>
  <r>
    <x v="42"/>
    <d v="2025-04-01T00:00:00"/>
    <s v="Physical"/>
    <s v="Expo"/>
    <m/>
    <d v="2025-04-30T00:00:00"/>
    <d v="2025-04-30T00:00:00"/>
    <n v="2.5400000000000005"/>
    <n v="2.5499999999999998"/>
    <n v="0"/>
    <n v="0"/>
    <x v="21"/>
    <s v="Buy"/>
    <n v="0"/>
    <x v="2"/>
    <x v="4"/>
    <n v="2025"/>
    <s v="Sell"/>
    <x v="1"/>
    <s v="PhysicalExpo2.55657"/>
    <x v="0"/>
  </r>
  <r>
    <x v="42"/>
    <d v="2025-04-01T00:00:00"/>
    <s v="WTI Sprds"/>
    <s v="Expo"/>
    <m/>
    <d v="2025-05-31T00:00:00"/>
    <d v="2025-06-30T00:00:00"/>
    <n v="0.5"/>
    <n v="0.67"/>
    <n v="0"/>
    <n v="0"/>
    <x v="16"/>
    <s v="Buy"/>
    <n v="0"/>
    <x v="0"/>
    <x v="0"/>
    <n v="2025"/>
    <s v="Sell"/>
    <x v="0"/>
    <s v="WTI SprdsExpo0.67658"/>
    <x v="0"/>
  </r>
  <r>
    <x v="42"/>
    <d v="2025-04-01T00:00:00"/>
    <s v="WTI Sprds"/>
    <s v="Expo"/>
    <m/>
    <d v="2025-06-30T00:00:00"/>
    <d v="2025-07-31T00:00:00"/>
    <n v="0.6"/>
    <n v="0.55000000000000004"/>
    <n v="0"/>
    <n v="0"/>
    <x v="31"/>
    <s v="Buy"/>
    <n v="0"/>
    <x v="0"/>
    <x v="0"/>
    <n v="2025"/>
    <s v="Sell"/>
    <x v="0"/>
    <s v="WTI SprdsExpo0.55659"/>
    <x v="0"/>
  </r>
  <r>
    <x v="42"/>
    <d v="2025-04-01T00:00:00"/>
    <s v="WTI-Brent"/>
    <s v="Expo"/>
    <m/>
    <d v="2025-07-31T00:00:00"/>
    <d v="2025-07-31T00:00:00"/>
    <n v="-3.6"/>
    <n v="-3.11"/>
    <n v="0"/>
    <n v="0"/>
    <x v="32"/>
    <s v="Buy"/>
    <n v="0"/>
    <x v="1"/>
    <x v="3"/>
    <n v="2025"/>
    <s v="Sell"/>
    <x v="0"/>
    <s v="WTI-BrentExpo-3.11660"/>
    <x v="0"/>
  </r>
  <r>
    <x v="42"/>
    <d v="2025-04-01T00:00:00"/>
    <s v="DFL"/>
    <s v="Expo"/>
    <m/>
    <d v="2025-05-31T00:00:00"/>
    <d v="2025-05-31T00:00:00"/>
    <n v="0.9"/>
    <n v="0.14121300000000001"/>
    <n v="0"/>
    <n v="0"/>
    <x v="22"/>
    <s v="Buy"/>
    <n v="0"/>
    <x v="1"/>
    <x v="1"/>
    <n v="2025"/>
    <s v="Sell"/>
    <x v="0"/>
    <s v="DFLExpo0.141213661"/>
    <x v="0"/>
  </r>
  <r>
    <x v="42"/>
    <d v="2025-04-01T00:00:00"/>
    <s v="Freight-TD25"/>
    <s v="Expo"/>
    <m/>
    <d v="2025-04-30T00:00:00"/>
    <d v="2025-04-30T00:00:00"/>
    <n v="185"/>
    <n v="185"/>
    <n v="0"/>
    <n v="0"/>
    <x v="21"/>
    <s v="Buy"/>
    <n v="0"/>
    <x v="3"/>
    <x v="5"/>
    <n v="2025"/>
    <s v="Sell"/>
    <x v="0"/>
    <s v="Freight-TD25Expo185662"/>
    <x v="0"/>
  </r>
  <r>
    <x v="0"/>
    <d v="2025-03-31T00:00:00"/>
    <s v="DFL"/>
    <s v="Hedge"/>
    <n v="-279"/>
    <d v="2025-03-31T00:00:00"/>
    <d v="2025-03-31T00:00:00"/>
    <n v="1.1299999999999999"/>
    <n v="1.1299999999999999"/>
    <n v="0"/>
    <n v="-315.27"/>
    <x v="20"/>
    <s v="Sell"/>
    <n v="-315.27"/>
    <x v="1"/>
    <x v="1"/>
    <n v="2025"/>
    <s v="Sell"/>
    <x v="0"/>
    <s v="UnallocatedDFLHedge-2791.13663"/>
    <x v="0"/>
  </r>
  <r>
    <x v="0"/>
    <d v="2025-04-02T00:00:00"/>
    <s v="WTI Sprds-Fly"/>
    <s v="Hedge"/>
    <n v="1000"/>
    <d v="2025-05-31T00:00:00"/>
    <d v="2025-06-30T00:00:00"/>
    <n v="0.5"/>
    <n v="0.67"/>
    <n v="170.00000000000003"/>
    <n v="500"/>
    <x v="16"/>
    <s v="Buy"/>
    <n v="670"/>
    <x v="0"/>
    <x v="0"/>
    <n v="2025"/>
    <s v="Buy"/>
    <x v="0"/>
    <s v="UnallocatedWTI Sprds-FlyHedge10000.67664"/>
    <x v="0"/>
  </r>
  <r>
    <x v="0"/>
    <d v="2025-04-02T00:00:00"/>
    <s v="WTI Sprds-Fly"/>
    <s v="Hedge"/>
    <n v="-1000"/>
    <d v="2025-06-30T00:00:00"/>
    <d v="2025-07-31T00:00:00"/>
    <n v="0.63"/>
    <n v="0.55000000000000004"/>
    <n v="79.999999999999957"/>
    <n v="-630"/>
    <x v="31"/>
    <s v="Sell"/>
    <n v="-550"/>
    <x v="0"/>
    <x v="0"/>
    <n v="2025"/>
    <s v="Sell"/>
    <x v="0"/>
    <s v="UnallocatedWTI Sprds-FlyHedge-10000.55665"/>
    <x v="0"/>
  </r>
  <r>
    <x v="0"/>
    <d v="2025-04-03T00:00:00"/>
    <s v="Brent Sprds"/>
    <s v="Hedge"/>
    <n v="500"/>
    <d v="2025-06-30T00:00:00"/>
    <d v="2025-07-31T00:00:00"/>
    <n v="0.75"/>
    <n v="2.06"/>
    <n v="655"/>
    <n v="375"/>
    <x v="31"/>
    <s v="Buy"/>
    <n v="1030"/>
    <x v="0"/>
    <x v="2"/>
    <n v="2025"/>
    <s v="Buy"/>
    <x v="0"/>
    <s v="UnallocatedBrent SprdsHedge5002.06666"/>
    <x v="0"/>
  </r>
  <r>
    <x v="0"/>
    <d v="2025-04-03T00:00:00"/>
    <s v="Brent Sprds"/>
    <s v="Hedge"/>
    <n v="500"/>
    <d v="2025-06-30T00:00:00"/>
    <d v="2025-07-31T00:00:00"/>
    <n v="0.74"/>
    <n v="2.06"/>
    <n v="660"/>
    <n v="370"/>
    <x v="31"/>
    <s v="Buy"/>
    <n v="1030"/>
    <x v="0"/>
    <x v="2"/>
    <n v="2025"/>
    <s v="Buy"/>
    <x v="0"/>
    <s v="UnallocatedBrent SprdsHedge5002.06667"/>
    <x v="0"/>
  </r>
  <r>
    <x v="0"/>
    <d v="2025-04-03T00:00:00"/>
    <s v="Brent Sprds"/>
    <s v="Hedge"/>
    <n v="500"/>
    <d v="2025-06-30T00:00:00"/>
    <d v="2025-07-31T00:00:00"/>
    <n v="0.73"/>
    <n v="2.06"/>
    <n v="665"/>
    <n v="365"/>
    <x v="31"/>
    <s v="Buy"/>
    <n v="1030"/>
    <x v="0"/>
    <x v="2"/>
    <n v="2025"/>
    <s v="Buy"/>
    <x v="0"/>
    <s v="UnallocatedBrent SprdsHedge5002.06668"/>
    <x v="0"/>
  </r>
  <r>
    <x v="0"/>
    <d v="2025-04-03T00:00:00"/>
    <s v="Brent Sprds"/>
    <s v="Hedge"/>
    <n v="500"/>
    <d v="2025-06-30T00:00:00"/>
    <d v="2025-07-31T00:00:00"/>
    <n v="0.72"/>
    <n v="2.06"/>
    <n v="670"/>
    <n v="360"/>
    <x v="31"/>
    <s v="Buy"/>
    <n v="1030"/>
    <x v="0"/>
    <x v="2"/>
    <n v="2025"/>
    <s v="Buy"/>
    <x v="0"/>
    <s v="UnallocatedBrent SprdsHedge5002.06669"/>
    <x v="0"/>
  </r>
  <r>
    <x v="0"/>
    <d v="2025-04-03T00:00:00"/>
    <s v="Brent Sprds"/>
    <s v="Hedge"/>
    <n v="500"/>
    <d v="2025-06-30T00:00:00"/>
    <d v="2025-07-31T00:00:00"/>
    <n v="0.71"/>
    <n v="2.06"/>
    <n v="675"/>
    <n v="355"/>
    <x v="31"/>
    <s v="Buy"/>
    <n v="1030"/>
    <x v="0"/>
    <x v="2"/>
    <n v="2025"/>
    <s v="Buy"/>
    <x v="0"/>
    <s v="UnallocatedBrent SprdsHedge5002.06670"/>
    <x v="0"/>
  </r>
  <r>
    <x v="0"/>
    <d v="2025-04-03T00:00:00"/>
    <s v="Brent Sprds"/>
    <s v="Hedge"/>
    <n v="500"/>
    <d v="2025-06-30T00:00:00"/>
    <d v="2025-07-31T00:00:00"/>
    <n v="0.7"/>
    <n v="2.06"/>
    <n v="680"/>
    <n v="350"/>
    <x v="31"/>
    <s v="Buy"/>
    <n v="1030"/>
    <x v="0"/>
    <x v="2"/>
    <n v="2025"/>
    <s v="Buy"/>
    <x v="0"/>
    <s v="UnallocatedBrent SprdsHedge5002.06671"/>
    <x v="0"/>
  </r>
  <r>
    <x v="43"/>
    <d v="2025-04-03T00:00:00"/>
    <s v="DFL"/>
    <s v="Hedge"/>
    <n v="-100"/>
    <d v="2025-05-31T00:00:00"/>
    <d v="2025-05-31T00:00:00"/>
    <n v="1"/>
    <n v="0.14121300000000001"/>
    <n v="85.878699999999995"/>
    <n v="-100"/>
    <x v="22"/>
    <s v="Sell"/>
    <n v="-14.1213"/>
    <x v="1"/>
    <x v="1"/>
    <n v="2025"/>
    <s v="Sell"/>
    <x v="0"/>
    <s v="IOC DAP Paradip June 9-18DFLHedge-1000.141213672"/>
    <x v="0"/>
  </r>
  <r>
    <x v="43"/>
    <d v="2025-04-04T00:00:00"/>
    <s v="Physical"/>
    <s v="Expo"/>
    <n v="2054"/>
    <d v="2025-04-30T00:00:00"/>
    <d v="2025-04-30T00:00:00"/>
    <n v="2.8180579322033896"/>
    <n v="2.54"/>
    <n v="-571.13099274576223"/>
    <n v="5833.36"/>
    <x v="21"/>
    <s v="Buy"/>
    <n v="5217.16"/>
    <x v="2"/>
    <x v="4"/>
    <n v="2025"/>
    <s v="Buy"/>
    <x v="1"/>
    <s v="IOC DAP Paradip June 9-18PhysicalExpo20542.54673"/>
    <x v="0"/>
  </r>
  <r>
    <x v="43"/>
    <d v="2025-04-04T00:00:00"/>
    <s v="WTI Sprds"/>
    <s v="Expo"/>
    <n v="-2065"/>
    <d v="2025-05-31T00:00:00"/>
    <d v="2025-06-30T00:00:00"/>
    <n v="0.48"/>
    <n v="0.67"/>
    <n v="-392.35000000000014"/>
    <n v="-991.19999999999993"/>
    <x v="16"/>
    <s v="Sell"/>
    <n v="-1383.5500000000002"/>
    <x v="0"/>
    <x v="0"/>
    <n v="2025"/>
    <s v="Sell"/>
    <x v="0"/>
    <s v="IOC DAP Paradip June 9-18WTI SprdsExpo-20650.67674"/>
    <x v="0"/>
  </r>
  <r>
    <x v="43"/>
    <d v="2025-04-04T00:00:00"/>
    <s v="WTI Sprds"/>
    <s v="Expo"/>
    <n v="-2054"/>
    <d v="2025-06-30T00:00:00"/>
    <d v="2025-07-31T00:00:00"/>
    <n v="0.55000000000000004"/>
    <n v="0.55000000000000004"/>
    <n v="0"/>
    <n v="-1129.7"/>
    <x v="31"/>
    <s v="Sell"/>
    <n v="-1129.7"/>
    <x v="0"/>
    <x v="0"/>
    <n v="2025"/>
    <s v="Sell"/>
    <x v="0"/>
    <s v="IOC DAP Paradip June 9-18WTI SprdsExpo-20540.55675"/>
    <x v="0"/>
  </r>
  <r>
    <x v="43"/>
    <d v="2025-04-04T00:00:00"/>
    <s v="WTI-Brent"/>
    <s v="Expo"/>
    <n v="-2054"/>
    <d v="2025-07-31T00:00:00"/>
    <d v="2025-07-31T00:00:00"/>
    <n v="-3.5"/>
    <n v="-3.11"/>
    <n v="-801.06000000000029"/>
    <n v="7189"/>
    <x v="32"/>
    <s v="Sell"/>
    <n v="6387.94"/>
    <x v="1"/>
    <x v="3"/>
    <n v="2025"/>
    <s v="Sell"/>
    <x v="0"/>
    <s v="IOC DAP Paradip June 9-18WTI-BrentExpo-2054-3.11676"/>
    <x v="0"/>
  </r>
  <r>
    <x v="43"/>
    <d v="2025-04-04T00:00:00"/>
    <s v="DFL"/>
    <s v="Expo"/>
    <n v="2054"/>
    <d v="2025-05-31T00:00:00"/>
    <d v="2025-05-31T00:00:00"/>
    <n v="1.04"/>
    <n v="0.14121300000000001"/>
    <n v="-1846.1084980000001"/>
    <n v="2136.16"/>
    <x v="22"/>
    <s v="Buy"/>
    <n v="290.05150200000003"/>
    <x v="1"/>
    <x v="1"/>
    <n v="2025"/>
    <s v="Buy"/>
    <x v="0"/>
    <s v="IOC DAP Paradip June 9-18DFLExpo20540.141213677"/>
    <x v="0"/>
  </r>
  <r>
    <x v="43"/>
    <d v="2025-04-04T00:00:00"/>
    <s v="WTI Sprds"/>
    <s v="Hedge"/>
    <n v="500"/>
    <d v="2025-05-31T00:00:00"/>
    <d v="2025-06-30T00:00:00"/>
    <n v="0.34"/>
    <n v="0.67"/>
    <n v="165"/>
    <n v="170"/>
    <x v="16"/>
    <s v="Buy"/>
    <n v="335"/>
    <x v="0"/>
    <x v="0"/>
    <n v="2025"/>
    <s v="Buy"/>
    <x v="0"/>
    <s v="IOC DAP Paradip June 9-18WTI SprdsHedge5000.67678"/>
    <x v="0"/>
  </r>
  <r>
    <x v="43"/>
    <d v="2025-04-04T00:00:00"/>
    <s v="WTI Sprds"/>
    <s v="Hedge"/>
    <n v="500"/>
    <d v="2025-05-31T00:00:00"/>
    <d v="2025-06-30T00:00:00"/>
    <n v="0.33"/>
    <n v="0.67"/>
    <n v="170"/>
    <n v="165"/>
    <x v="16"/>
    <s v="Buy"/>
    <n v="335"/>
    <x v="0"/>
    <x v="0"/>
    <n v="2025"/>
    <s v="Buy"/>
    <x v="0"/>
    <s v="IOC DAP Paradip June 9-18WTI SprdsHedge5000.67679"/>
    <x v="0"/>
  </r>
  <r>
    <x v="43"/>
    <d v="2025-04-04T00:00:00"/>
    <s v="WTI Sprds"/>
    <s v="Hedge"/>
    <n v="1302"/>
    <d v="2025-05-31T00:00:00"/>
    <d v="2025-06-30T00:00:00"/>
    <n v="0.32"/>
    <n v="0.67"/>
    <n v="455.70000000000005"/>
    <n v="416.64"/>
    <x v="16"/>
    <s v="Buy"/>
    <n v="872.34"/>
    <x v="0"/>
    <x v="0"/>
    <n v="2025"/>
    <s v="Buy"/>
    <x v="0"/>
    <s v="IOC DAP Paradip June 9-18WTI SprdsHedge13020.67680"/>
    <x v="0"/>
  </r>
  <r>
    <x v="43"/>
    <d v="2025-04-04T00:00:00"/>
    <s v="WTI Sprds"/>
    <s v="Hedge"/>
    <n v="450"/>
    <d v="2025-05-31T00:00:00"/>
    <d v="2025-06-30T00:00:00"/>
    <n v="0.32"/>
    <n v="0.67"/>
    <n v="157.50000000000003"/>
    <n v="144"/>
    <x v="16"/>
    <s v="Buy"/>
    <n v="301.5"/>
    <x v="0"/>
    <x v="0"/>
    <n v="2025"/>
    <s v="Buy"/>
    <x v="0"/>
    <s v="IOC DAP Paradip June 9-18WTI SprdsHedge4500.67681"/>
    <x v="0"/>
  </r>
  <r>
    <x v="43"/>
    <d v="2025-04-04T00:00:00"/>
    <s v="DFL"/>
    <s v="Hedge"/>
    <n v="-2000"/>
    <d v="2025-05-31T00:00:00"/>
    <d v="2025-05-31T00:00:00"/>
    <n v="0.83"/>
    <n v="0.14121300000000001"/>
    <n v="1377.5739999999998"/>
    <n v="-1660"/>
    <x v="22"/>
    <s v="Sell"/>
    <n v="-282.42599999999999"/>
    <x v="1"/>
    <x v="1"/>
    <n v="2025"/>
    <s v="Sell"/>
    <x v="0"/>
    <s v="IOC DAP Paradip June 9-18DFLHedge-20000.141213682"/>
    <x v="0"/>
  </r>
  <r>
    <x v="0"/>
    <d v="2025-04-07T00:00:00"/>
    <s v="WTI Sprds"/>
    <s v="Hedge"/>
    <n v="1191"/>
    <d v="2025-05-31T00:00:00"/>
    <d v="2025-06-30T00:00:00"/>
    <n v="0.32"/>
    <n v="0.67"/>
    <n v="416.85"/>
    <n v="381.12"/>
    <x v="16"/>
    <s v="Buy"/>
    <n v="797.97"/>
    <x v="0"/>
    <x v="0"/>
    <n v="2025"/>
    <s v="Buy"/>
    <x v="0"/>
    <s v="UnallocatedWTI SprdsHedge11910.67683"/>
    <x v="0"/>
  </r>
  <r>
    <x v="0"/>
    <d v="2025-04-08T00:00:00"/>
    <s v="WTI Sprds"/>
    <s v="Hedge"/>
    <n v="1000"/>
    <d v="2025-06-30T00:00:00"/>
    <d v="2025-07-31T00:00:00"/>
    <n v="0.32"/>
    <n v="0.55000000000000004"/>
    <n v="230.00000000000003"/>
    <n v="320"/>
    <x v="31"/>
    <s v="Buy"/>
    <n v="550"/>
    <x v="0"/>
    <x v="0"/>
    <n v="2025"/>
    <s v="Buy"/>
    <x v="0"/>
    <s v="UnallocatedWTI SprdsHedge10000.55684"/>
    <x v="0"/>
  </r>
  <r>
    <x v="0"/>
    <d v="2025-04-08T00:00:00"/>
    <s v="WTI Sprds"/>
    <s v="Hedge"/>
    <n v="1000"/>
    <d v="2025-07-31T00:00:00"/>
    <d v="2025-08-31T00:00:00"/>
    <n v="0.32"/>
    <n v="1.64"/>
    <n v="1319.9999999999998"/>
    <n v="320"/>
    <x v="33"/>
    <s v="Buy"/>
    <n v="1640"/>
    <x v="0"/>
    <x v="0"/>
    <n v="2025"/>
    <s v="Buy"/>
    <x v="0"/>
    <s v="UnallocatedWTI SprdsHedge10001.64685"/>
    <x v="0"/>
  </r>
  <r>
    <x v="0"/>
    <d v="2025-04-08T00:00:00"/>
    <s v="WTI Sprds"/>
    <s v="Hedge"/>
    <n v="1000"/>
    <d v="2025-08-31T00:00:00"/>
    <d v="2025-09-30T00:00:00"/>
    <n v="0.32"/>
    <n v="1.25"/>
    <n v="929.99999999999989"/>
    <n v="320"/>
    <x v="34"/>
    <s v="Buy"/>
    <n v="1250"/>
    <x v="0"/>
    <x v="0"/>
    <n v="2025"/>
    <s v="Buy"/>
    <x v="0"/>
    <s v="UnallocatedWTI SprdsHedge10001.25686"/>
    <x v="0"/>
  </r>
  <r>
    <x v="0"/>
    <d v="2025-04-08T00:00:00"/>
    <s v="WTI Sprds"/>
    <s v="Hedge"/>
    <n v="1000"/>
    <d v="2025-09-30T00:00:00"/>
    <d v="2025-10-31T00:00:00"/>
    <n v="0.32"/>
    <n v="0.57999999999999996"/>
    <n v="259.99999999999994"/>
    <n v="320"/>
    <x v="35"/>
    <s v="Buy"/>
    <n v="580"/>
    <x v="0"/>
    <x v="0"/>
    <n v="2025"/>
    <s v="Buy"/>
    <x v="0"/>
    <s v="UnallocatedWTI SprdsHedge10000.58687"/>
    <x v="0"/>
  </r>
  <r>
    <x v="0"/>
    <d v="2025-04-08T00:00:00"/>
    <s v="WTI Sprds"/>
    <s v="Hedge"/>
    <n v="1000"/>
    <d v="2025-10-31T00:00:00"/>
    <d v="2025-11-30T00:00:00"/>
    <n v="0.32"/>
    <n v="0.28000000000000003"/>
    <n v="-39.999999999999979"/>
    <n v="320"/>
    <x v="36"/>
    <s v="Buy"/>
    <n v="280"/>
    <x v="0"/>
    <x v="0"/>
    <n v="2025"/>
    <s v="Buy"/>
    <x v="0"/>
    <s v="UnallocatedWTI SprdsHedge10000.28688"/>
    <x v="0"/>
  </r>
  <r>
    <x v="0"/>
    <d v="2025-04-08T00:00:00"/>
    <s v="WTI Sprds"/>
    <s v="Hedge"/>
    <n v="1000"/>
    <d v="2025-11-30T00:00:00"/>
    <d v="2025-12-31T00:00:00"/>
    <n v="0.32"/>
    <n v="0.5"/>
    <n v="180"/>
    <n v="320"/>
    <x v="0"/>
    <s v="Buy"/>
    <n v="500"/>
    <x v="0"/>
    <x v="0"/>
    <n v="2025"/>
    <s v="Buy"/>
    <x v="0"/>
    <s v="UnallocatedWTI SprdsHedge10000.5689"/>
    <x v="0"/>
  </r>
  <r>
    <x v="0"/>
    <d v="2025-04-08T00:00:00"/>
    <s v="WTI Sprds"/>
    <s v="Hedge"/>
    <n v="-1000"/>
    <d v="2025-09-30T00:00:00"/>
    <d v="2025-10-31T00:00:00"/>
    <n v="0.13999999999999999"/>
    <n v="0.57999999999999996"/>
    <n v="-439.99999999999994"/>
    <n v="-139.99999999999997"/>
    <x v="35"/>
    <s v="Sell"/>
    <n v="-580"/>
    <x v="0"/>
    <x v="0"/>
    <n v="2025"/>
    <s v="Sell"/>
    <x v="0"/>
    <s v="UnallocatedWTI SprdsHedge-10000.58690"/>
    <x v="0"/>
  </r>
  <r>
    <x v="0"/>
    <d v="2025-04-08T00:00:00"/>
    <s v="WTI Sprds"/>
    <s v="Hedge"/>
    <n v="-1000"/>
    <d v="2025-10-31T00:00:00"/>
    <d v="2025-11-30T00:00:00"/>
    <n v="0.13999999999999999"/>
    <n v="0.28000000000000003"/>
    <n v="-140.00000000000003"/>
    <n v="-139.99999999999997"/>
    <x v="36"/>
    <s v="Sell"/>
    <n v="-280"/>
    <x v="0"/>
    <x v="0"/>
    <n v="2025"/>
    <s v="Sell"/>
    <x v="0"/>
    <s v="UnallocatedWTI SprdsHedge-10000.28691"/>
    <x v="0"/>
  </r>
  <r>
    <x v="0"/>
    <d v="2025-04-08T00:00:00"/>
    <s v="WTI Sprds"/>
    <s v="Hedge"/>
    <n v="-1000"/>
    <d v="2025-11-30T00:00:00"/>
    <d v="2025-12-31T00:00:00"/>
    <n v="0.13999999999999999"/>
    <n v="0.5"/>
    <n v="-360"/>
    <n v="-139.99999999999997"/>
    <x v="0"/>
    <s v="Sell"/>
    <n v="-500"/>
    <x v="0"/>
    <x v="0"/>
    <n v="2025"/>
    <s v="Sell"/>
    <x v="0"/>
    <s v="UnallocatedWTI SprdsHedge-10000.5692"/>
    <x v="0"/>
  </r>
  <r>
    <x v="0"/>
    <d v="2025-04-09T00:00:00"/>
    <s v="Brent Sprds"/>
    <s v="Hedge"/>
    <n v="-250"/>
    <d v="2025-06-30T00:00:00"/>
    <d v="2025-07-31T00:00:00"/>
    <n v="0.4"/>
    <n v="2.06"/>
    <n v="-415.00000000000006"/>
    <n v="-100"/>
    <x v="31"/>
    <s v="Sell"/>
    <n v="-515"/>
    <x v="0"/>
    <x v="2"/>
    <n v="2025"/>
    <s v="Sell"/>
    <x v="0"/>
    <s v="UnallocatedBrent SprdsHedge-2502.06693"/>
    <x v="0"/>
  </r>
  <r>
    <x v="0"/>
    <d v="2025-04-09T00:00:00"/>
    <s v="Brent Sprds"/>
    <s v="Hedge"/>
    <n v="-250"/>
    <d v="2025-06-30T00:00:00"/>
    <d v="2025-07-31T00:00:00"/>
    <n v="0.41"/>
    <n v="2.06"/>
    <n v="-412.50000000000006"/>
    <n v="-102.5"/>
    <x v="31"/>
    <s v="Sell"/>
    <n v="-515"/>
    <x v="0"/>
    <x v="2"/>
    <n v="2025"/>
    <s v="Sell"/>
    <x v="0"/>
    <s v="UnallocatedBrent SprdsHedge-2502.06694"/>
    <x v="0"/>
  </r>
  <r>
    <x v="0"/>
    <d v="2025-04-09T00:00:00"/>
    <s v="Brent Sprds"/>
    <s v="Hedge"/>
    <n v="-200"/>
    <d v="2025-06-30T00:00:00"/>
    <d v="2025-07-31T00:00:00"/>
    <n v="0.42"/>
    <n v="2.06"/>
    <n v="-328"/>
    <n v="-84"/>
    <x v="31"/>
    <s v="Sell"/>
    <n v="-412"/>
    <x v="0"/>
    <x v="2"/>
    <n v="2025"/>
    <s v="Sell"/>
    <x v="0"/>
    <s v="UnallocatedBrent SprdsHedge-2002.06695"/>
    <x v="0"/>
  </r>
  <r>
    <x v="0"/>
    <d v="2025-04-09T00:00:00"/>
    <s v="Brent Sprds"/>
    <s v="Hedge"/>
    <n v="-150"/>
    <d v="2025-06-30T00:00:00"/>
    <d v="2025-07-31T00:00:00"/>
    <n v="0.43"/>
    <n v="2.06"/>
    <n v="-244.50000000000003"/>
    <n v="-64.5"/>
    <x v="31"/>
    <s v="Sell"/>
    <n v="-309"/>
    <x v="0"/>
    <x v="2"/>
    <n v="2025"/>
    <s v="Sell"/>
    <x v="0"/>
    <s v="UnallocatedBrent SprdsHedge-1502.06696"/>
    <x v="0"/>
  </r>
  <r>
    <x v="0"/>
    <d v="2025-04-09T00:00:00"/>
    <s v="Brent Sprds"/>
    <s v="Hedge"/>
    <n v="-150"/>
    <d v="2025-06-30T00:00:00"/>
    <d v="2025-07-31T00:00:00"/>
    <n v="0.44"/>
    <n v="2.06"/>
    <n v="-243.00000000000003"/>
    <n v="-66"/>
    <x v="31"/>
    <s v="Sell"/>
    <n v="-309"/>
    <x v="0"/>
    <x v="2"/>
    <n v="2025"/>
    <s v="Sell"/>
    <x v="0"/>
    <s v="UnallocatedBrent SprdsHedge-1502.06697"/>
    <x v="0"/>
  </r>
  <r>
    <x v="0"/>
    <d v="2025-04-09T00:00:00"/>
    <s v="WTI Sprds"/>
    <s v="Hedge"/>
    <n v="-1000"/>
    <d v="2025-06-30T00:00:00"/>
    <d v="2025-07-31T00:00:00"/>
    <n v="0.22666666666666668"/>
    <n v="0.55000000000000004"/>
    <n v="-323.33333333333337"/>
    <n v="-226.66666666666669"/>
    <x v="31"/>
    <s v="Sell"/>
    <n v="-550"/>
    <x v="0"/>
    <x v="0"/>
    <n v="2025"/>
    <s v="Sell"/>
    <x v="0"/>
    <s v="UnallocatedWTI SprdsHedge-10000.55698"/>
    <x v="0"/>
  </r>
  <r>
    <x v="0"/>
    <d v="2025-04-09T00:00:00"/>
    <s v="WTI Sprds"/>
    <s v="Hedge"/>
    <n v="-1000"/>
    <d v="2025-07-31T00:00:00"/>
    <d v="2025-08-31T00:00:00"/>
    <n v="0.22666666666666668"/>
    <n v="1.64"/>
    <n v="-1413.333333333333"/>
    <n v="-226.66666666666669"/>
    <x v="33"/>
    <s v="Sell"/>
    <n v="-1640"/>
    <x v="0"/>
    <x v="0"/>
    <n v="2025"/>
    <s v="Sell"/>
    <x v="0"/>
    <s v="UnallocatedWTI SprdsHedge-10001.64699"/>
    <x v="0"/>
  </r>
  <r>
    <x v="0"/>
    <d v="2025-04-09T00:00:00"/>
    <s v="WTI Sprds"/>
    <s v="Hedge"/>
    <n v="-1000"/>
    <d v="2025-08-31T00:00:00"/>
    <d v="2025-09-30T00:00:00"/>
    <n v="0.22666666666666668"/>
    <n v="1.25"/>
    <n v="-1023.3333333333335"/>
    <n v="-226.66666666666669"/>
    <x v="34"/>
    <s v="Sell"/>
    <n v="-1250"/>
    <x v="0"/>
    <x v="0"/>
    <n v="2025"/>
    <s v="Sell"/>
    <x v="0"/>
    <s v="UnallocatedWTI SprdsHedge-10001.25700"/>
    <x v="0"/>
  </r>
  <r>
    <x v="0"/>
    <d v="2025-04-09T00:00:00"/>
    <s v="WTI Sprds"/>
    <s v="Hedge"/>
    <n v="2000"/>
    <d v="2025-05-31T00:00:00"/>
    <d v="2025-06-30T00:00:00"/>
    <n v="0.46"/>
    <n v="0.67"/>
    <n v="420.00000000000006"/>
    <n v="920"/>
    <x v="16"/>
    <s v="Buy"/>
    <n v="1340"/>
    <x v="0"/>
    <x v="0"/>
    <n v="2025"/>
    <s v="Buy"/>
    <x v="0"/>
    <s v="UnallocatedWTI SprdsHedge20000.67701"/>
    <x v="0"/>
  </r>
  <r>
    <x v="0"/>
    <d v="2025-04-09T00:00:00"/>
    <s v="WTI Sprds"/>
    <s v="Hedge"/>
    <n v="-2000"/>
    <d v="2025-06-30T00:00:00"/>
    <d v="2025-07-31T00:00:00"/>
    <n v="0.42"/>
    <n v="0.55000000000000004"/>
    <n v="-260.00000000000011"/>
    <n v="-840"/>
    <x v="31"/>
    <s v="Sell"/>
    <n v="-1100"/>
    <x v="0"/>
    <x v="0"/>
    <n v="2025"/>
    <s v="Sell"/>
    <x v="0"/>
    <s v="UnallocatedWTI SprdsHedge-20000.55702"/>
    <x v="0"/>
  </r>
  <r>
    <x v="0"/>
    <d v="2025-04-09T00:00:00"/>
    <s v="WTI Sprds"/>
    <s v="Hedge"/>
    <n v="2000"/>
    <d v="2025-05-31T00:00:00"/>
    <d v="2025-06-30T00:00:00"/>
    <n v="0.46"/>
    <n v="0.67"/>
    <n v="420.00000000000006"/>
    <n v="920"/>
    <x v="16"/>
    <s v="Buy"/>
    <n v="1340"/>
    <x v="0"/>
    <x v="0"/>
    <n v="2025"/>
    <s v="Buy"/>
    <x v="0"/>
    <s v="UnallocatedWTI SprdsHedge20000.67703"/>
    <x v="0"/>
  </r>
  <r>
    <x v="0"/>
    <d v="2025-04-09T00:00:00"/>
    <s v="WTI Sprds"/>
    <s v="Hedge"/>
    <n v="-2000"/>
    <d v="2025-06-30T00:00:00"/>
    <d v="2025-07-31T00:00:00"/>
    <n v="0.42"/>
    <n v="0.55000000000000004"/>
    <n v="-260.00000000000011"/>
    <n v="-840"/>
    <x v="31"/>
    <s v="Sell"/>
    <n v="-1100"/>
    <x v="0"/>
    <x v="0"/>
    <n v="2025"/>
    <s v="Sell"/>
    <x v="0"/>
    <s v="UnallocatedWTI SprdsHedge-20000.55704"/>
    <x v="0"/>
  </r>
  <r>
    <x v="0"/>
    <d v="2025-04-09T00:00:00"/>
    <s v="WTI Sprds"/>
    <s v="Hedge"/>
    <n v="1000"/>
    <d v="2025-05-31T00:00:00"/>
    <d v="2025-06-30T00:00:00"/>
    <n v="0.49"/>
    <n v="0.67"/>
    <n v="180.00000000000006"/>
    <n v="490"/>
    <x v="16"/>
    <s v="Buy"/>
    <n v="670"/>
    <x v="0"/>
    <x v="0"/>
    <n v="2025"/>
    <s v="Buy"/>
    <x v="0"/>
    <s v="UnallocatedWTI SprdsHedge10000.67705"/>
    <x v="0"/>
  </r>
  <r>
    <x v="0"/>
    <d v="2025-04-09T00:00:00"/>
    <s v="WTI Sprds"/>
    <s v="Hedge"/>
    <n v="1000"/>
    <d v="2025-06-30T00:00:00"/>
    <d v="2025-07-31T00:00:00"/>
    <n v="0.49"/>
    <n v="0.55000000000000004"/>
    <n v="60.000000000000057"/>
    <n v="490"/>
    <x v="31"/>
    <s v="Buy"/>
    <n v="550"/>
    <x v="0"/>
    <x v="0"/>
    <n v="2025"/>
    <s v="Buy"/>
    <x v="0"/>
    <s v="UnallocatedWTI SprdsHedge10000.55706"/>
    <x v="0"/>
  </r>
  <r>
    <x v="0"/>
    <d v="2025-04-09T00:00:00"/>
    <s v="Freight-TD25"/>
    <s v="Hedge"/>
    <m/>
    <d v="2025-04-30T00:00:00"/>
    <d v="2025-04-30T00:00:00"/>
    <n v="185"/>
    <n v="185"/>
    <n v="-600"/>
    <n v="0"/>
    <x v="21"/>
    <s v="Buy"/>
    <n v="0"/>
    <x v="3"/>
    <x v="5"/>
    <n v="2025"/>
    <s v="Sell"/>
    <x v="0"/>
    <s v="UnallocatedFreight-TD25Hedge185707"/>
    <x v="0"/>
  </r>
  <r>
    <x v="0"/>
    <d v="2025-04-09T00:00:00"/>
    <s v="WTI Sprds"/>
    <s v="Hedge"/>
    <m/>
    <d v="2025-05-31T00:00:00"/>
    <d v="2025-06-30T00:00:00"/>
    <n v="0.46"/>
    <n v="0.67"/>
    <n v="600"/>
    <n v="0"/>
    <x v="16"/>
    <s v="Buy"/>
    <n v="0"/>
    <x v="0"/>
    <x v="0"/>
    <n v="2025"/>
    <s v="Sell"/>
    <x v="0"/>
    <s v="UnallocatedWTI SprdsHedge0.67708"/>
    <x v="0"/>
  </r>
  <r>
    <x v="0"/>
    <d v="2025-04-10T00:00:00"/>
    <s v="WTI-Brent"/>
    <s v="Hedge"/>
    <n v="500"/>
    <d v="2025-06-30T00:00:00"/>
    <d v="2025-06-30T00:00:00"/>
    <n v="-3.75"/>
    <n v="-4.91"/>
    <n v="-580.00000000000011"/>
    <n v="-1875"/>
    <x v="30"/>
    <s v="Buy"/>
    <n v="-2455"/>
    <x v="1"/>
    <x v="3"/>
    <n v="2025"/>
    <s v="Buy"/>
    <x v="0"/>
    <s v="UnallocatedWTI-BrentHedge500-4.91709"/>
    <x v="0"/>
  </r>
  <r>
    <x v="0"/>
    <d v="2025-04-10T00:00:00"/>
    <s v="WTI-Brent"/>
    <s v="Hedge"/>
    <n v="250"/>
    <d v="2025-06-30T00:00:00"/>
    <d v="2025-06-30T00:00:00"/>
    <n v="-3.78"/>
    <n v="-4.91"/>
    <n v="-282.50000000000006"/>
    <n v="-945"/>
    <x v="30"/>
    <s v="Buy"/>
    <n v="-1227.5"/>
    <x v="1"/>
    <x v="3"/>
    <n v="2025"/>
    <s v="Buy"/>
    <x v="0"/>
    <s v="UnallocatedWTI-BrentHedge250-4.91710"/>
    <x v="0"/>
  </r>
  <r>
    <x v="0"/>
    <d v="2025-04-10T00:00:00"/>
    <s v="WTI Sprds"/>
    <s v="Hedge"/>
    <n v="500"/>
    <d v="2025-06-30T00:00:00"/>
    <d v="2025-07-31T00:00:00"/>
    <n v="0.43"/>
    <n v="0.55000000000000004"/>
    <n v="60.000000000000028"/>
    <n v="215"/>
    <x v="31"/>
    <s v="Buy"/>
    <n v="275"/>
    <x v="0"/>
    <x v="0"/>
    <n v="2025"/>
    <s v="Buy"/>
    <x v="0"/>
    <s v="UnallocatedWTI SprdsHedge5000.55711"/>
    <x v="0"/>
  </r>
  <r>
    <x v="0"/>
    <d v="2025-04-10T00:00:00"/>
    <s v="WTI Sprds"/>
    <s v="Hedge"/>
    <m/>
    <d v="2025-06-30T00:00:00"/>
    <d v="2025-07-31T00:00:00"/>
    <n v="0.42"/>
    <n v="0.55000000000000004"/>
    <n v="0"/>
    <n v="0"/>
    <x v="31"/>
    <s v="Buy"/>
    <n v="0"/>
    <x v="0"/>
    <x v="0"/>
    <n v="2025"/>
    <s v="Sell"/>
    <x v="0"/>
    <s v="UnallocatedWTI SprdsHedge0.55712"/>
    <x v="0"/>
  </r>
  <r>
    <x v="0"/>
    <d v="2025-04-10T00:00:00"/>
    <s v="DFL"/>
    <s v="Hedge"/>
    <n v="-800"/>
    <d v="2025-05-31T00:00:00"/>
    <d v="2025-05-31T00:00:00"/>
    <n v="0.85"/>
    <n v="0.14121300000000001"/>
    <n v="567.02959999999996"/>
    <n v="-680"/>
    <x v="22"/>
    <s v="Sell"/>
    <n v="-112.9704"/>
    <x v="1"/>
    <x v="1"/>
    <n v="2025"/>
    <s v="Sell"/>
    <x v="0"/>
    <s v="UnallocatedDFLHedge-8000.141213713"/>
    <x v="0"/>
  </r>
  <r>
    <x v="0"/>
    <d v="2025-04-02T00:00:00"/>
    <s v="WTI Sprds-Fly"/>
    <s v="Hedge"/>
    <n v="-1000"/>
    <d v="2025-05-31T00:00:00"/>
    <d v="2025-06-30T00:00:00"/>
    <n v="0.44"/>
    <n v="0.67"/>
    <n v="-230.00000000000003"/>
    <n v="-440"/>
    <x v="16"/>
    <s v="Sell"/>
    <n v="-670"/>
    <x v="0"/>
    <x v="0"/>
    <n v="2025"/>
    <s v="Sell"/>
    <x v="0"/>
    <s v="UnallocatedWTI Sprds-FlyHedge-10000.67714"/>
    <x v="0"/>
  </r>
  <r>
    <x v="0"/>
    <d v="2025-04-02T00:00:00"/>
    <s v="WTI Sprds-Fly"/>
    <s v="Hedge"/>
    <n v="1000"/>
    <d v="2025-06-30T00:00:00"/>
    <d v="2025-07-31T00:00:00"/>
    <n v="0.45"/>
    <n v="0.55000000000000004"/>
    <n v="100.00000000000003"/>
    <n v="450"/>
    <x v="31"/>
    <s v="Buy"/>
    <n v="550"/>
    <x v="0"/>
    <x v="0"/>
    <n v="2025"/>
    <s v="Buy"/>
    <x v="0"/>
    <s v="UnallocatedWTI Sprds-FlyHedge10000.55715"/>
    <x v="0"/>
  </r>
  <r>
    <x v="0"/>
    <d v="2025-04-02T00:00:00"/>
    <s v="WTI Sprds"/>
    <s v="Hedge"/>
    <n v="1000"/>
    <d v="2025-05-31T00:00:00"/>
    <d v="2025-06-30T00:00:00"/>
    <n v="0.44"/>
    <n v="0.67"/>
    <n v="230.00000000000003"/>
    <n v="440"/>
    <x v="16"/>
    <s v="Buy"/>
    <n v="670"/>
    <x v="0"/>
    <x v="0"/>
    <n v="2025"/>
    <s v="Buy"/>
    <x v="0"/>
    <s v="UnallocatedWTI SprdsHedge10000.67716"/>
    <x v="0"/>
  </r>
  <r>
    <x v="0"/>
    <d v="2025-04-02T00:00:00"/>
    <s v="WTI Sprds"/>
    <s v="Hedge"/>
    <n v="-1000"/>
    <d v="2025-06-30T00:00:00"/>
    <d v="2025-07-31T00:00:00"/>
    <n v="0.45"/>
    <n v="0.55000000000000004"/>
    <n v="-100.00000000000003"/>
    <n v="-450"/>
    <x v="31"/>
    <s v="Sell"/>
    <n v="-550"/>
    <x v="0"/>
    <x v="0"/>
    <n v="2025"/>
    <s v="Sell"/>
    <x v="0"/>
    <s v="UnallocatedWTI SprdsHedge-10000.55717"/>
    <x v="0"/>
  </r>
  <r>
    <x v="0"/>
    <d v="2025-04-11T00:00:00"/>
    <s v="WTI Sprds"/>
    <s v="Hedge"/>
    <n v="2000"/>
    <d v="2025-06-30T00:00:00"/>
    <d v="2025-07-31T00:00:00"/>
    <n v="0.56000000000000005"/>
    <n v="0.55000000000000004"/>
    <n v="-20.000000000000018"/>
    <n v="1120"/>
    <x v="31"/>
    <s v="Buy"/>
    <n v="1100"/>
    <x v="0"/>
    <x v="0"/>
    <n v="2025"/>
    <s v="Buy"/>
    <x v="0"/>
    <s v="UnallocatedWTI SprdsHedge20000.55718"/>
    <x v="0"/>
  </r>
  <r>
    <x v="0"/>
    <d v="2025-04-11T00:00:00"/>
    <s v="Brent Sprds"/>
    <s v="Hedge"/>
    <n v="2000"/>
    <d v="2025-07-31T00:00:00"/>
    <d v="2025-08-31T00:00:00"/>
    <n v="0.59"/>
    <n v="1.1200000000000001"/>
    <n v="1060.0000000000002"/>
    <n v="1180"/>
    <x v="33"/>
    <s v="Buy"/>
    <n v="2240"/>
    <x v="0"/>
    <x v="2"/>
    <n v="2025"/>
    <s v="Buy"/>
    <x v="0"/>
    <s v="UnallocatedBrent SprdsHedge20001.12719"/>
    <x v="0"/>
  </r>
  <r>
    <x v="0"/>
    <d v="2025-04-14T00:00:00"/>
    <s v="WTI Sprds"/>
    <s v="Hedge"/>
    <n v="-1500"/>
    <d v="2025-05-31T00:00:00"/>
    <d v="2025-06-30T00:00:00"/>
    <n v="0.48"/>
    <n v="0.67"/>
    <n v="-285.00000000000011"/>
    <n v="-720"/>
    <x v="16"/>
    <s v="Sell"/>
    <n v="-1005.0000000000001"/>
    <x v="0"/>
    <x v="0"/>
    <n v="2025"/>
    <s v="Sell"/>
    <x v="0"/>
    <s v="UnallocatedWTI SprdsHedge-15000.67720"/>
    <x v="0"/>
  </r>
  <r>
    <x v="0"/>
    <d v="2025-04-14T00:00:00"/>
    <s v="WTI Sprds"/>
    <s v="Hedge"/>
    <n v="1500"/>
    <d v="2025-06-30T00:00:00"/>
    <d v="2025-07-31T00:00:00"/>
    <n v="0.45"/>
    <n v="0.55000000000000004"/>
    <n v="150.00000000000006"/>
    <n v="675"/>
    <x v="31"/>
    <s v="Buy"/>
    <n v="825.00000000000011"/>
    <x v="0"/>
    <x v="0"/>
    <n v="2025"/>
    <s v="Buy"/>
    <x v="0"/>
    <s v="UnallocatedWTI SprdsHedge15000.55721"/>
    <x v="0"/>
  </r>
  <r>
    <x v="0"/>
    <d v="2025-04-16T00:00:00"/>
    <s v="WTI Sprds"/>
    <s v="Hedge"/>
    <n v="500"/>
    <d v="2025-05-31T00:00:00"/>
    <d v="2025-06-30T00:00:00"/>
    <n v="0.56999999999999995"/>
    <n v="0.67"/>
    <n v="50.000000000000043"/>
    <n v="285"/>
    <x v="16"/>
    <s v="Buy"/>
    <n v="335"/>
    <x v="0"/>
    <x v="0"/>
    <n v="2025"/>
    <s v="Buy"/>
    <x v="0"/>
    <s v="UnallocatedWTI SprdsHedge5000.67722"/>
    <x v="0"/>
  </r>
  <r>
    <x v="0"/>
    <d v="2025-04-16T00:00:00"/>
    <s v="WTI Sprds"/>
    <s v="Hedge"/>
    <n v="500"/>
    <d v="2025-06-30T00:00:00"/>
    <d v="2025-07-31T00:00:00"/>
    <n v="0.52"/>
    <n v="0.55000000000000004"/>
    <n v="15.000000000000014"/>
    <n v="260"/>
    <x v="31"/>
    <s v="Buy"/>
    <n v="275"/>
    <x v="0"/>
    <x v="0"/>
    <n v="2025"/>
    <s v="Buy"/>
    <x v="0"/>
    <s v="UnallocatedWTI SprdsHedge5000.55723"/>
    <x v="0"/>
  </r>
  <r>
    <x v="0"/>
    <d v="2025-04-16T00:00:00"/>
    <s v="Brent Sprds"/>
    <s v="Hedge"/>
    <n v="500"/>
    <d v="2025-06-30T00:00:00"/>
    <d v="2025-07-31T00:00:00"/>
    <n v="0.88"/>
    <n v="2.06"/>
    <n v="590.00000000000011"/>
    <n v="440"/>
    <x v="31"/>
    <s v="Buy"/>
    <n v="1030"/>
    <x v="0"/>
    <x v="2"/>
    <n v="2025"/>
    <s v="Buy"/>
    <x v="0"/>
    <s v="UnallocatedBrent SprdsHedge5002.06724"/>
    <x v="0"/>
  </r>
  <r>
    <x v="44"/>
    <d v="2025-04-17T00:00:00"/>
    <s v="Physical"/>
    <s v="Expo"/>
    <n v="1198"/>
    <d v="2025-05-31T00:00:00"/>
    <d v="2025-05-31T00:00:00"/>
    <n v="4.4113465826466314"/>
    <n v="4.3600000000000003"/>
    <n v="-61.513206010664007"/>
    <n v="5344.4562772661166"/>
    <x v="22"/>
    <s v="Buy"/>
    <n v="5223.2800000000007"/>
    <x v="2"/>
    <x v="4"/>
    <n v="2025"/>
    <s v="Buy"/>
    <x v="1"/>
    <s v="Taiyo CFR Malaysia Jul 14-23PhysicalExpo11984.36725"/>
    <x v="0"/>
  </r>
  <r>
    <x v="44"/>
    <d v="2025-04-17T00:00:00"/>
    <s v="Physical"/>
    <s v="Expo"/>
    <n v="550"/>
    <d v="2025-05-31T00:00:00"/>
    <d v="2025-05-31T00:00:00"/>
    <n v="4.511346582646631"/>
    <n v="4.3600000000000003"/>
    <n v="-83.240620455646891"/>
    <n v="2508.631846825012"/>
    <x v="22"/>
    <s v="Buy"/>
    <n v="2398"/>
    <x v="2"/>
    <x v="4"/>
    <n v="2025"/>
    <s v="Buy"/>
    <x v="1"/>
    <s v="Taiyo CFR Malaysia Jul 14-23PhysicalExpo5504.36726"/>
    <x v="0"/>
  </r>
  <r>
    <x v="44"/>
    <d v="2025-04-17T00:00:00"/>
    <s v="Physical"/>
    <s v="Expo"/>
    <n v="315"/>
    <d v="2025-05-31T00:00:00"/>
    <d v="2025-05-31T00:00:00"/>
    <n v="4.3113465826466308"/>
    <n v="4.16"/>
    <n v="-47.674173533688673"/>
    <n v="1373.7618759088705"/>
    <x v="22"/>
    <s v="Buy"/>
    <n v="1310.4000000000001"/>
    <x v="2"/>
    <x v="4"/>
    <n v="2025"/>
    <s v="Buy"/>
    <x v="1"/>
    <s v="Taiyo CFR Malaysia Jul 14-23PhysicalExpo3154.16727"/>
    <x v="0"/>
  </r>
  <r>
    <x v="44"/>
    <d v="2025-04-17T00:00:00"/>
    <s v="WTI Sprds"/>
    <s v="Expo"/>
    <n v="-2100"/>
    <d v="2025-05-31T00:00:00"/>
    <d v="2025-06-30T00:00:00"/>
    <n v="0.65"/>
    <n v="0.67"/>
    <n v="-42.000000000000036"/>
    <n v="-1365"/>
    <x v="16"/>
    <s v="Sell"/>
    <n v="-1407"/>
    <x v="0"/>
    <x v="0"/>
    <n v="2025"/>
    <s v="Sell"/>
    <x v="0"/>
    <s v="Taiyo CFR Malaysia Jul 14-23WTI SprdsExpo-21000.67728"/>
    <x v="0"/>
  </r>
  <r>
    <x v="44"/>
    <d v="2025-04-17T00:00:00"/>
    <s v="WTI Sprds"/>
    <s v="Expo"/>
    <n v="-2100"/>
    <d v="2025-06-30T00:00:00"/>
    <d v="2025-07-31T00:00:00"/>
    <n v="0.63"/>
    <n v="0.55000000000000004"/>
    <n v="167.99999999999991"/>
    <n v="-1323"/>
    <x v="31"/>
    <s v="Sell"/>
    <n v="-1155"/>
    <x v="0"/>
    <x v="0"/>
    <n v="2025"/>
    <s v="Sell"/>
    <x v="0"/>
    <s v="Taiyo CFR Malaysia Jul 14-23WTI SprdsExpo-21000.55729"/>
    <x v="0"/>
  </r>
  <r>
    <x v="44"/>
    <d v="2025-04-17T00:00:00"/>
    <s v="WTI-Brent"/>
    <s v="Expo"/>
    <n v="-2063"/>
    <d v="2025-07-31T00:00:00"/>
    <d v="2025-07-31T00:00:00"/>
    <n v="-3.69"/>
    <n v="-3.11"/>
    <n v="-1196.5400000000002"/>
    <n v="7612.47"/>
    <x v="32"/>
    <s v="Sell"/>
    <n v="6415.9299999999994"/>
    <x v="1"/>
    <x v="3"/>
    <n v="2025"/>
    <s v="Sell"/>
    <x v="0"/>
    <s v="Taiyo CFR Malaysia Jul 14-23WTI-BrentExpo-2063-3.11730"/>
    <x v="0"/>
  </r>
  <r>
    <x v="44"/>
    <d v="2025-04-17T00:00:00"/>
    <s v="Brent Sprds"/>
    <s v="Expo"/>
    <n v="-2063"/>
    <d v="2025-07-31T00:00:00"/>
    <d v="2025-08-31T00:00:00"/>
    <n v="0.64"/>
    <n v="1.1200000000000001"/>
    <n v="-990.24000000000024"/>
    <n v="-1320.32"/>
    <x v="33"/>
    <s v="Sell"/>
    <n v="-2310.5600000000004"/>
    <x v="0"/>
    <x v="2"/>
    <n v="2025"/>
    <s v="Sell"/>
    <x v="0"/>
    <s v="Taiyo CFR Malaysia Jul 14-23Brent SprdsExpo-20631.12731"/>
    <x v="0"/>
  </r>
  <r>
    <x v="44"/>
    <d v="2025-04-17T00:00:00"/>
    <s v="Brent Sprds"/>
    <s v="Expo"/>
    <n v="-2063"/>
    <d v="2025-08-31T00:00:00"/>
    <d v="2025-09-30T00:00:00"/>
    <n v="0.46"/>
    <n v="0.87"/>
    <n v="-845.82999999999993"/>
    <n v="-948.98"/>
    <x v="34"/>
    <s v="Sell"/>
    <n v="-1794.81"/>
    <x v="0"/>
    <x v="2"/>
    <n v="2025"/>
    <s v="Sell"/>
    <x v="0"/>
    <s v="Taiyo CFR Malaysia Jul 14-23Brent SprdsExpo-20630.87732"/>
    <x v="0"/>
  </r>
  <r>
    <x v="45"/>
    <d v="2025-04-17T00:00:00"/>
    <s v="Physical"/>
    <s v="Expo"/>
    <n v="700"/>
    <d v="2025-05-31T00:00:00"/>
    <d v="2025-05-31T00:00:00"/>
    <n v="2.33"/>
    <n v="2"/>
    <n v="-231.00000000000006"/>
    <n v="1631"/>
    <x v="22"/>
    <s v="Buy"/>
    <n v="1400"/>
    <x v="2"/>
    <x v="4"/>
    <n v="2025"/>
    <s v="Buy"/>
    <x v="1"/>
    <s v="Exxon CIF Rotts May 15-19PhysicalExpo7002733"/>
    <x v="0"/>
  </r>
  <r>
    <x v="45"/>
    <d v="2025-04-17T00:00:00"/>
    <s v="WTI Sprds"/>
    <s v="Expo"/>
    <n v="-700"/>
    <d v="2025-05-31T00:00:00"/>
    <d v="2025-06-30T00:00:00"/>
    <n v="0.64"/>
    <n v="0.67"/>
    <n v="-21.000000000000018"/>
    <n v="-448"/>
    <x v="16"/>
    <s v="Sell"/>
    <n v="-469"/>
    <x v="0"/>
    <x v="0"/>
    <n v="2025"/>
    <s v="Sell"/>
    <x v="0"/>
    <s v="Exxon CIF Rotts May 15-19WTI SprdsExpo-7000.67734"/>
    <x v="0"/>
  </r>
  <r>
    <x v="45"/>
    <d v="2025-04-17T00:00:00"/>
    <s v="WTI-Brent"/>
    <s v="Expo"/>
    <n v="-700"/>
    <d v="2025-06-30T00:00:00"/>
    <d v="2025-06-30T00:00:00"/>
    <n v="-3.96"/>
    <n v="-4.91"/>
    <n v="665.00000000000011"/>
    <n v="2772"/>
    <x v="30"/>
    <s v="Sell"/>
    <n v="3437"/>
    <x v="1"/>
    <x v="3"/>
    <n v="2025"/>
    <s v="Sell"/>
    <x v="0"/>
    <s v="Exxon CIF Rotts May 15-19WTI-BrentExpo-700-4.91735"/>
    <x v="0"/>
  </r>
  <r>
    <x v="45"/>
    <d v="2025-04-17T00:00:00"/>
    <s v="Brent Sprds"/>
    <s v="Expo"/>
    <n v="-700"/>
    <d v="2025-06-30T00:00:00"/>
    <d v="2025-07-31T00:00:00"/>
    <n v="0.88"/>
    <n v="2.06"/>
    <n v="-826.00000000000011"/>
    <n v="-616"/>
    <x v="31"/>
    <s v="Sell"/>
    <n v="-1442"/>
    <x v="0"/>
    <x v="2"/>
    <n v="2025"/>
    <s v="Sell"/>
    <x v="0"/>
    <s v="Exxon CIF Rotts May 15-19Brent SprdsExpo-7002.06736"/>
    <x v="0"/>
  </r>
  <r>
    <x v="45"/>
    <d v="2025-04-17T00:00:00"/>
    <s v="DFL"/>
    <s v="Expo"/>
    <n v="700"/>
    <d v="2025-05-31T00:00:00"/>
    <d v="2025-05-31T00:00:00"/>
    <n v="1.26"/>
    <n v="0.14121300000000001"/>
    <n v="-783.15089999999998"/>
    <n v="882"/>
    <x v="22"/>
    <s v="Buy"/>
    <n v="98.849100000000007"/>
    <x v="1"/>
    <x v="1"/>
    <n v="2025"/>
    <s v="Buy"/>
    <x v="0"/>
    <s v="Exxon CIF Rotts May 15-19DFLExpo7000.141213737"/>
    <x v="0"/>
  </r>
  <r>
    <x v="46"/>
    <d v="2025-04-17T00:00:00"/>
    <s v="Physical"/>
    <s v="Expo"/>
    <n v="700"/>
    <d v="2025-05-31T00:00:00"/>
    <d v="2025-05-31T00:00:00"/>
    <n v="2.33"/>
    <n v="2"/>
    <n v="-231.00000000000006"/>
    <n v="1631"/>
    <x v="22"/>
    <s v="Buy"/>
    <n v="1400"/>
    <x v="2"/>
    <x v="4"/>
    <n v="2025"/>
    <s v="Buy"/>
    <x v="1"/>
    <s v="Exxon CIF Rotts May 16-20PhysicalExpo7002738"/>
    <x v="0"/>
  </r>
  <r>
    <x v="46"/>
    <d v="2025-04-17T00:00:00"/>
    <s v="WTI Sprds"/>
    <s v="Expo"/>
    <n v="-700"/>
    <d v="2025-05-31T00:00:00"/>
    <d v="2025-06-30T00:00:00"/>
    <n v="0.64"/>
    <n v="0.67"/>
    <n v="-21.000000000000018"/>
    <n v="-448"/>
    <x v="16"/>
    <s v="Sell"/>
    <n v="-469"/>
    <x v="0"/>
    <x v="0"/>
    <n v="2025"/>
    <s v="Sell"/>
    <x v="0"/>
    <s v="Exxon CIF Rotts May 16-20WTI SprdsExpo-7000.67739"/>
    <x v="0"/>
  </r>
  <r>
    <x v="46"/>
    <d v="2025-04-17T00:00:00"/>
    <s v="WTI-Brent"/>
    <s v="Expo"/>
    <n v="-700"/>
    <d v="2025-06-30T00:00:00"/>
    <d v="2025-06-30T00:00:00"/>
    <n v="-3.96"/>
    <n v="-4.91"/>
    <n v="665.00000000000011"/>
    <n v="2772"/>
    <x v="30"/>
    <s v="Sell"/>
    <n v="3437"/>
    <x v="1"/>
    <x v="3"/>
    <n v="2025"/>
    <s v="Sell"/>
    <x v="0"/>
    <s v="Exxon CIF Rotts May 16-20WTI-BrentExpo-700-4.91740"/>
    <x v="0"/>
  </r>
  <r>
    <x v="46"/>
    <d v="2025-04-17T00:00:00"/>
    <s v="Brent Sprds"/>
    <s v="Expo"/>
    <n v="-700"/>
    <d v="2025-06-30T00:00:00"/>
    <d v="2025-07-31T00:00:00"/>
    <n v="0.88"/>
    <n v="2.06"/>
    <n v="-826.00000000000011"/>
    <n v="-616"/>
    <x v="31"/>
    <s v="Sell"/>
    <n v="-1442"/>
    <x v="0"/>
    <x v="2"/>
    <n v="2025"/>
    <s v="Sell"/>
    <x v="0"/>
    <s v="Exxon CIF Rotts May 16-20Brent SprdsExpo-7002.06741"/>
    <x v="0"/>
  </r>
  <r>
    <x v="46"/>
    <d v="2025-04-17T00:00:00"/>
    <s v="DFL"/>
    <s v="Expo"/>
    <n v="700"/>
    <d v="2025-05-31T00:00:00"/>
    <d v="2025-05-31T00:00:00"/>
    <n v="1.26"/>
    <n v="0.14121300000000001"/>
    <n v="-783.15089999999998"/>
    <n v="882"/>
    <x v="22"/>
    <s v="Buy"/>
    <n v="98.849100000000007"/>
    <x v="1"/>
    <x v="1"/>
    <n v="2025"/>
    <s v="Buy"/>
    <x v="0"/>
    <s v="Exxon CIF Rotts May 16-20DFLExpo7000.141213742"/>
    <x v="0"/>
  </r>
  <r>
    <x v="0"/>
    <d v="2025-04-16T00:00:00"/>
    <s v="WTI Sprds"/>
    <s v="Hedge"/>
    <n v="2000"/>
    <d v="2025-05-31T00:00:00"/>
    <d v="2025-06-30T00:00:00"/>
    <n v="0.67"/>
    <n v="0.67"/>
    <n v="0"/>
    <n v="1340"/>
    <x v="16"/>
    <s v="Buy"/>
    <n v="1340"/>
    <x v="0"/>
    <x v="0"/>
    <n v="2025"/>
    <s v="Buy"/>
    <x v="0"/>
    <s v="UnallocatedWTI SprdsHedge20000.67743"/>
    <x v="0"/>
  </r>
  <r>
    <x v="0"/>
    <d v="2025-04-17T00:00:00"/>
    <s v="MEH"/>
    <s v="Expo"/>
    <n v="-865"/>
    <d v="2025-05-31T00:00:00"/>
    <d v="2025-05-31T00:00:00"/>
    <n v="1.3"/>
    <n v="1.0900000000000001"/>
    <n v="181.64999999999998"/>
    <n v="-1124.5"/>
    <x v="22"/>
    <s v="Sell"/>
    <n v="-942.85"/>
    <x v="1"/>
    <x v="7"/>
    <n v="2025"/>
    <s v="Sell"/>
    <x v="0"/>
    <s v="UnallocatedMEHExpo-8651.09744"/>
    <x v="0"/>
  </r>
  <r>
    <x v="0"/>
    <d v="2025-04-25T00:00:00"/>
    <s v="MEH"/>
    <s v="Hedge"/>
    <n v="865"/>
    <d v="2025-05-31T00:00:00"/>
    <d v="2025-05-31T00:00:00"/>
    <n v="1.0900000000000001"/>
    <n v="1.0900000000000001"/>
    <n v="0"/>
    <n v="942.85"/>
    <x v="22"/>
    <s v="Buy"/>
    <n v="942.85"/>
    <x v="1"/>
    <x v="7"/>
    <n v="2025"/>
    <s v="Buy"/>
    <x v="0"/>
    <s v="UnallocatedMEHHedge8651.09745"/>
    <x v="0"/>
  </r>
  <r>
    <x v="0"/>
    <d v="2025-04-17T00:00:00"/>
    <s v="WTI Sprds"/>
    <s v="Hedge"/>
    <n v="2000"/>
    <d v="2025-05-31T00:00:00"/>
    <d v="2025-06-30T00:00:00"/>
    <n v="0.67"/>
    <n v="0.67"/>
    <n v="0"/>
    <n v="1340"/>
    <x v="16"/>
    <s v="Buy"/>
    <n v="1340"/>
    <x v="0"/>
    <x v="0"/>
    <n v="2025"/>
    <s v="Buy"/>
    <x v="0"/>
    <s v="UnallocatedWTI SprdsHedge20000.67746"/>
    <x v="0"/>
  </r>
  <r>
    <x v="0"/>
    <d v="2025-04-17T00:00:00"/>
    <s v="WTI Sprds"/>
    <s v="Hedge"/>
    <n v="2000"/>
    <d v="2025-06-30T00:00:00"/>
    <d v="2025-07-31T00:00:00"/>
    <n v="0.67"/>
    <n v="0.55000000000000004"/>
    <n v="-240"/>
    <n v="1340"/>
    <x v="31"/>
    <s v="Buy"/>
    <n v="1100"/>
    <x v="0"/>
    <x v="0"/>
    <n v="2025"/>
    <s v="Buy"/>
    <x v="0"/>
    <s v="UnallocatedWTI SprdsHedge20000.55747"/>
    <x v="0"/>
  </r>
  <r>
    <x v="0"/>
    <d v="2025-04-17T00:00:00"/>
    <s v="WTI Sprds"/>
    <s v="Hedge"/>
    <n v="986"/>
    <d v="2025-05-31T00:00:00"/>
    <d v="2025-06-30T00:00:00"/>
    <n v="0.67"/>
    <n v="0.67"/>
    <n v="0"/>
    <n v="660.62"/>
    <x v="16"/>
    <s v="Buy"/>
    <n v="660.62"/>
    <x v="0"/>
    <x v="0"/>
    <n v="2025"/>
    <s v="Buy"/>
    <x v="0"/>
    <s v="UnallocatedWTI SprdsHedge9860.67748"/>
    <x v="0"/>
  </r>
  <r>
    <x v="0"/>
    <d v="2025-04-17T00:00:00"/>
    <s v="WTI Sprds"/>
    <s v="Hedge"/>
    <n v="986"/>
    <d v="2025-06-30T00:00:00"/>
    <d v="2025-07-31T00:00:00"/>
    <n v="0.67"/>
    <n v="0.55000000000000004"/>
    <n v="-118.32"/>
    <n v="660.62"/>
    <x v="31"/>
    <s v="Buy"/>
    <n v="542.30000000000007"/>
    <x v="0"/>
    <x v="0"/>
    <n v="2025"/>
    <s v="Buy"/>
    <x v="0"/>
    <s v="UnallocatedWTI SprdsHedge9860.55749"/>
    <x v="0"/>
  </r>
  <r>
    <x v="0"/>
    <d v="2025-04-17T00:00:00"/>
    <s v="WTI Sprds"/>
    <s v="Hedge"/>
    <n v="-1727"/>
    <d v="2025-05-31T00:00:00"/>
    <d v="2025-06-30T00:00:00"/>
    <n v="0.67"/>
    <n v="0.67"/>
    <n v="0"/>
    <n v="-1157.0900000000001"/>
    <x v="16"/>
    <s v="Sell"/>
    <n v="-1157.0900000000001"/>
    <x v="0"/>
    <x v="0"/>
    <n v="2025"/>
    <s v="Sell"/>
    <x v="0"/>
    <s v="UnallocatedWTI SprdsHedge-17270.67750"/>
    <x v="0"/>
  </r>
  <r>
    <x v="0"/>
    <d v="2025-04-17T00:00:00"/>
    <s v="WTI Sprds"/>
    <s v="Hedge"/>
    <n v="-930"/>
    <d v="2025-06-30T00:00:00"/>
    <d v="2025-07-31T00:00:00"/>
    <n v="0.73"/>
    <n v="0.55000000000000004"/>
    <n v="167.39999999999995"/>
    <n v="-678.9"/>
    <x v="31"/>
    <s v="Sell"/>
    <n v="-511.50000000000006"/>
    <x v="0"/>
    <x v="0"/>
    <n v="2025"/>
    <s v="Sell"/>
    <x v="0"/>
    <s v="UnallocatedWTI SprdsHedge-9300.55751"/>
    <x v="0"/>
  </r>
  <r>
    <x v="46"/>
    <d v="2025-04-22T00:00:00"/>
    <s v="WTI-Brent"/>
    <s v="Hedge"/>
    <n v="269"/>
    <d v="2025-06-30T00:00:00"/>
    <d v="2025-06-30T00:00:00"/>
    <n v="-3.85"/>
    <n v="-4.91"/>
    <n v="-285.14"/>
    <n v="-1035.6500000000001"/>
    <x v="30"/>
    <s v="Buy"/>
    <n v="-1320.79"/>
    <x v="1"/>
    <x v="3"/>
    <n v="2025"/>
    <s v="Buy"/>
    <x v="0"/>
    <s v="Exxon CIF Rotts May 16-20WTI-BrentHedge269-4.91752"/>
    <x v="0"/>
  </r>
  <r>
    <x v="46"/>
    <d v="2025-04-22T00:00:00"/>
    <s v="Brent Sprds"/>
    <s v="Hedge"/>
    <n v="-500"/>
    <d v="2025-06-30T00:00:00"/>
    <d v="2025-07-31T00:00:00"/>
    <n v="0.9"/>
    <n v="2.06"/>
    <n v="-580.00000000000011"/>
    <n v="-450"/>
    <x v="31"/>
    <s v="Sell"/>
    <n v="-1030"/>
    <x v="0"/>
    <x v="2"/>
    <n v="2025"/>
    <s v="Sell"/>
    <x v="0"/>
    <s v="Exxon CIF Rotts May 16-20Brent SprdsHedge-5002.06753"/>
    <x v="0"/>
  </r>
  <r>
    <x v="46"/>
    <d v="2025-04-17T00:00:00"/>
    <s v="DFL"/>
    <s v="Hedge"/>
    <n v="-500"/>
    <d v="2025-06-30T00:00:00"/>
    <d v="2025-06-30T00:00:00"/>
    <n v="1.01"/>
    <n v="1.72"/>
    <n v="-355"/>
    <n v="-505"/>
    <x v="30"/>
    <s v="Sell"/>
    <n v="-860"/>
    <x v="1"/>
    <x v="1"/>
    <n v="2025"/>
    <s v="Sell"/>
    <x v="0"/>
    <s v="Exxon CIF Rotts May 16-20DFLHedge-5001.72754"/>
    <x v="0"/>
  </r>
  <r>
    <x v="47"/>
    <d v="2025-04-22T00:00:00"/>
    <s v="WTI Sprds"/>
    <s v="Hedge"/>
    <n v="1000"/>
    <d v="2025-06-30T00:00:00"/>
    <d v="2025-07-31T00:00:00"/>
    <n v="0.73"/>
    <n v="0.55000000000000004"/>
    <n v="-179.99999999999994"/>
    <n v="730"/>
    <x v="31"/>
    <s v="Buy"/>
    <n v="550"/>
    <x v="0"/>
    <x v="0"/>
    <n v="2025"/>
    <s v="Buy"/>
    <x v="0"/>
    <s v="CPC CFR Taiwan July 22-26WTI SprdsHedge10000.55755"/>
    <x v="0"/>
  </r>
  <r>
    <x v="47"/>
    <d v="2025-04-22T00:00:00"/>
    <s v="Physical"/>
    <s v="Expo"/>
    <n v="2100"/>
    <d v="2025-05-31T00:00:00"/>
    <d v="2025-05-31T00:00:00"/>
    <n v="3.2150207761904763"/>
    <n v="3.46"/>
    <n v="609.00000000000011"/>
    <n v="6657"/>
    <x v="22"/>
    <s v="Buy"/>
    <n v="7266"/>
    <x v="2"/>
    <x v="4"/>
    <n v="2025"/>
    <s v="Buy"/>
    <x v="1"/>
    <s v="CPC CFR Taiwan July 22-26PhysicalExpo21003.46756"/>
    <x v="0"/>
  </r>
  <r>
    <x v="47"/>
    <d v="2025-04-22T00:00:00"/>
    <s v="WTI Sprds"/>
    <s v="Expo"/>
    <n v="-2075"/>
    <d v="2025-06-30T00:00:00"/>
    <d v="2025-07-31T00:00:00"/>
    <n v="0.73"/>
    <n v="0.55000000000000004"/>
    <n v="373.49999999999989"/>
    <n v="-1514.75"/>
    <x v="31"/>
    <s v="Sell"/>
    <n v="-1141.25"/>
    <x v="0"/>
    <x v="0"/>
    <n v="2025"/>
    <s v="Sell"/>
    <x v="0"/>
    <s v="CPC CFR Taiwan July 22-26WTI SprdsExpo-20750.55757"/>
    <x v="0"/>
  </r>
  <r>
    <x v="47"/>
    <d v="2025-04-22T00:00:00"/>
    <s v="WTI-Brent"/>
    <s v="Expo"/>
    <n v="-2100"/>
    <d v="2025-07-31T00:00:00"/>
    <d v="2025-07-31T00:00:00"/>
    <n v="-3.54"/>
    <n v="-3.11"/>
    <n v="-903.00000000000034"/>
    <n v="7434"/>
    <x v="32"/>
    <s v="Sell"/>
    <n v="6531"/>
    <x v="1"/>
    <x v="3"/>
    <n v="2025"/>
    <s v="Sell"/>
    <x v="0"/>
    <s v="CPC CFR Taiwan July 22-26WTI-BrentExpo-2100-3.11758"/>
    <x v="0"/>
  </r>
  <r>
    <x v="47"/>
    <d v="2025-04-22T00:00:00"/>
    <s v="Brent Sprds"/>
    <s v="Expo"/>
    <n v="-2100"/>
    <d v="2025-07-31T00:00:00"/>
    <d v="2025-08-31T00:00:00"/>
    <n v="0.69"/>
    <n v="1.1200000000000001"/>
    <n v="-903.00000000000034"/>
    <n v="-1449"/>
    <x v="33"/>
    <s v="Sell"/>
    <n v="-2352"/>
    <x v="0"/>
    <x v="2"/>
    <n v="2025"/>
    <s v="Sell"/>
    <x v="0"/>
    <s v="CPC CFR Taiwan July 22-26Brent SprdsExpo-21001.12759"/>
    <x v="0"/>
  </r>
  <r>
    <x v="47"/>
    <d v="2025-04-22T00:00:00"/>
    <s v="DFL"/>
    <s v="Expo"/>
    <n v="2100"/>
    <d v="2025-06-30T00:00:00"/>
    <d v="2025-06-30T00:00:00"/>
    <n v="1.01"/>
    <n v="1.72"/>
    <n v="1491"/>
    <n v="2121"/>
    <x v="30"/>
    <s v="Buy"/>
    <n v="3612"/>
    <x v="1"/>
    <x v="1"/>
    <n v="2025"/>
    <s v="Buy"/>
    <x v="0"/>
    <s v="CPC CFR Taiwan July 22-26DFLExpo21001.72760"/>
    <x v="0"/>
  </r>
  <r>
    <x v="47"/>
    <d v="2025-04-22T00:00:00"/>
    <s v="WTI-Brent"/>
    <s v="Hedge"/>
    <n v="700"/>
    <d v="2025-06-30T00:00:00"/>
    <d v="2025-06-30T00:00:00"/>
    <n v="-3.81"/>
    <n v="-4.91"/>
    <n v="-770.00000000000011"/>
    <n v="-2667"/>
    <x v="30"/>
    <s v="Buy"/>
    <n v="-3437"/>
    <x v="1"/>
    <x v="3"/>
    <n v="2025"/>
    <s v="Buy"/>
    <x v="0"/>
    <s v="CPC CFR Taiwan July 22-26WTI-BrentHedge700-4.91761"/>
    <x v="0"/>
  </r>
  <r>
    <x v="47"/>
    <d v="2025-04-22T00:00:00"/>
    <s v="WTI-Brent"/>
    <s v="Hedge"/>
    <n v="700"/>
    <d v="2025-06-30T00:00:00"/>
    <d v="2025-06-30T00:00:00"/>
    <n v="-3.85"/>
    <n v="-4.91"/>
    <n v="-742"/>
    <n v="-2695"/>
    <x v="30"/>
    <s v="Buy"/>
    <n v="-3437"/>
    <x v="1"/>
    <x v="3"/>
    <n v="2025"/>
    <s v="Buy"/>
    <x v="0"/>
    <s v="CPC CFR Taiwan July 22-26WTI-BrentHedge700-4.91762"/>
    <x v="0"/>
  </r>
  <r>
    <x v="47"/>
    <d v="2025-04-22T00:00:00"/>
    <s v="WTI Sprds"/>
    <s v="Hedge"/>
    <n v="1000"/>
    <d v="2025-06-30T00:00:00"/>
    <d v="2025-07-31T00:00:00"/>
    <n v="0.69"/>
    <n v="0.55000000000000004"/>
    <n v="-139.99999999999991"/>
    <n v="690"/>
    <x v="31"/>
    <s v="Buy"/>
    <n v="550"/>
    <x v="0"/>
    <x v="0"/>
    <n v="2025"/>
    <s v="Buy"/>
    <x v="0"/>
    <s v="CPC CFR Taiwan July 22-26WTI SprdsHedge10000.55763"/>
    <x v="0"/>
  </r>
  <r>
    <x v="44"/>
    <d v="2025-04-23T00:00:00"/>
    <s v="Freight-TD22"/>
    <s v="Expo"/>
    <n v="-2000"/>
    <d v="2025-05-31T00:00:00"/>
    <d v="2025-05-31T00:00:00"/>
    <n v="8300"/>
    <n v="8300"/>
    <n v="0"/>
    <n v="-16600000"/>
    <x v="22"/>
    <s v="Sell"/>
    <n v="-16600000"/>
    <x v="3"/>
    <x v="5"/>
    <n v="2025"/>
    <s v="Sell"/>
    <x v="0"/>
    <s v="Taiyo CFR Malaysia Jul 14-23Freight-TD22Expo-20008300764"/>
    <x v="0"/>
  </r>
  <r>
    <x v="47"/>
    <d v="2025-04-23T00:00:00"/>
    <s v="Freight-TD22"/>
    <s v="Expo"/>
    <n v="-2000"/>
    <d v="2025-05-31T00:00:00"/>
    <d v="2025-05-31T00:00:00"/>
    <n v="8300"/>
    <n v="8300"/>
    <n v="0"/>
    <n v="-16600000"/>
    <x v="22"/>
    <s v="Sell"/>
    <n v="-16600000"/>
    <x v="3"/>
    <x v="5"/>
    <n v="2025"/>
    <s v="Sell"/>
    <x v="0"/>
    <s v="CPC CFR Taiwan July 22-26Freight-TD22Expo-20008300765"/>
    <x v="0"/>
  </r>
  <r>
    <x v="47"/>
    <d v="2025-04-22T00:00:00"/>
    <s v="DFL"/>
    <s v="Hedge"/>
    <n v="-500"/>
    <d v="2025-05-31T00:00:00"/>
    <d v="2025-05-31T00:00:00"/>
    <n v="1.07"/>
    <n v="0.14121300000000001"/>
    <n v="464.39350000000002"/>
    <n v="-535"/>
    <x v="22"/>
    <s v="Sell"/>
    <n v="-70.606499999999997"/>
    <x v="1"/>
    <x v="1"/>
    <n v="2025"/>
    <s v="Sell"/>
    <x v="0"/>
    <s v="CPC CFR Taiwan July 22-26DFLHedge-5000.141213766"/>
    <x v="0"/>
  </r>
  <r>
    <x v="47"/>
    <d v="2025-04-22T00:00:00"/>
    <s v="DFL"/>
    <s v="Hedge"/>
    <n v="-200"/>
    <d v="2025-05-31T00:00:00"/>
    <d v="2025-05-31T00:00:00"/>
    <n v="1.1000000000000001"/>
    <n v="0.14121300000000001"/>
    <n v="191.75740000000002"/>
    <n v="-220.00000000000003"/>
    <x v="22"/>
    <s v="Sell"/>
    <n v="-28.242599999999999"/>
    <x v="1"/>
    <x v="1"/>
    <n v="2025"/>
    <s v="Sell"/>
    <x v="0"/>
    <s v="CPC CFR Taiwan July 22-26DFLHedge-2000.141213767"/>
    <x v="0"/>
  </r>
  <r>
    <x v="47"/>
    <d v="2025-04-22T00:00:00"/>
    <s v="WTI-Brent"/>
    <s v="Hedge"/>
    <n v="114"/>
    <d v="2025-07-31T00:00:00"/>
    <d v="2025-07-31T00:00:00"/>
    <n v="-3.6"/>
    <n v="-3.11"/>
    <n v="55.860000000000028"/>
    <n v="-410.40000000000003"/>
    <x v="32"/>
    <s v="Buy"/>
    <n v="-354.53999999999996"/>
    <x v="1"/>
    <x v="3"/>
    <n v="2025"/>
    <s v="Buy"/>
    <x v="0"/>
    <s v="CPC CFR Taiwan July 22-26WTI-BrentHedge114-3.11768"/>
    <x v="0"/>
  </r>
  <r>
    <x v="47"/>
    <d v="2025-04-25T00:00:00"/>
    <s v="DFL"/>
    <s v="Hedge"/>
    <n v="-700"/>
    <d v="2025-05-31T00:00:00"/>
    <d v="2025-05-31T00:00:00"/>
    <n v="0.91"/>
    <n v="0.14121300000000001"/>
    <n v="538.15089999999998"/>
    <n v="-637"/>
    <x v="22"/>
    <s v="Sell"/>
    <n v="-98.849100000000007"/>
    <x v="1"/>
    <x v="1"/>
    <n v="2025"/>
    <s v="Sell"/>
    <x v="0"/>
    <s v="CPC CFR Taiwan July 22-26DFLHedge-7000.141213769"/>
    <x v="0"/>
  </r>
  <r>
    <x v="47"/>
    <d v="2025-04-28T00:00:00"/>
    <s v="DFL"/>
    <s v="Hedge"/>
    <n v="-100"/>
    <d v="2025-05-31T00:00:00"/>
    <d v="2025-05-31T00:00:00"/>
    <n v="0.95"/>
    <n v="0.14121300000000001"/>
    <n v="80.878699999999995"/>
    <n v="-95"/>
    <x v="22"/>
    <s v="Sell"/>
    <n v="-14.1213"/>
    <x v="1"/>
    <x v="1"/>
    <n v="2025"/>
    <s v="Sell"/>
    <x v="0"/>
    <s v="CPC CFR Taiwan July 22-26DFLHedge-1000.141213770"/>
    <x v="0"/>
  </r>
  <r>
    <x v="47"/>
    <d v="2025-04-28T00:00:00"/>
    <s v="DFL"/>
    <s v="Hedge"/>
    <n v="-1400"/>
    <d v="2025-05-31T00:00:00"/>
    <d v="2025-05-31T00:00:00"/>
    <n v="0.97"/>
    <n v="0.14121300000000001"/>
    <n v="1160.3018"/>
    <n v="-1358"/>
    <x v="22"/>
    <s v="Sell"/>
    <n v="-197.69820000000001"/>
    <x v="1"/>
    <x v="1"/>
    <n v="2025"/>
    <s v="Sell"/>
    <x v="0"/>
    <s v="CPC CFR Taiwan July 22-26DFLHedge-14000.141213771"/>
    <x v="0"/>
  </r>
  <r>
    <x v="0"/>
    <d v="2025-04-28T00:00:00"/>
    <s v="WTI-Brent"/>
    <s v="Hedge"/>
    <n v="248"/>
    <d v="2025-06-30T00:00:00"/>
    <d v="2025-06-30T00:00:00"/>
    <n v="-3.81"/>
    <n v="-4.91"/>
    <n v="-272.8"/>
    <n v="-944.88"/>
    <x v="30"/>
    <s v="Buy"/>
    <n v="-1217.68"/>
    <x v="1"/>
    <x v="3"/>
    <n v="2025"/>
    <s v="Buy"/>
    <x v="0"/>
    <s v="UnallocatedWTI-BrentHedge248-4.91772"/>
    <x v="0"/>
  </r>
  <r>
    <x v="0"/>
    <d v="2025-04-28T00:00:00"/>
    <s v="CFD"/>
    <s v="Hedge"/>
    <n v="-500"/>
    <s v="May05-May09"/>
    <d v="2025-05-31T00:00:00"/>
    <n v="1"/>
    <n v="-0.18124999999999999"/>
    <n v="590.625"/>
    <n v="-500"/>
    <x v="37"/>
    <s v="Sell"/>
    <n v="90.625"/>
    <x v="1"/>
    <x v="1"/>
    <n v="2025"/>
    <s v="Sell"/>
    <x v="0"/>
    <s v="UnallocatedCFDHedge-500-0.18125773"/>
    <x v="0"/>
  </r>
  <r>
    <x v="0"/>
    <d v="2025-04-28T00:00:00"/>
    <s v="WTI-Brent"/>
    <s v="Hedge"/>
    <n v="2478"/>
    <d v="2025-06-30T00:00:00"/>
    <d v="2025-06-30T00:00:00"/>
    <n v="-3.81"/>
    <n v="-4.91"/>
    <n v="-2725.8"/>
    <n v="-9441.18"/>
    <x v="30"/>
    <s v="Buy"/>
    <n v="-12166.98"/>
    <x v="1"/>
    <x v="3"/>
    <n v="2025"/>
    <s v="Buy"/>
    <x v="0"/>
    <s v="UnallocatedWTI-BrentHedge2478-4.91774"/>
    <x v="0"/>
  </r>
  <r>
    <x v="0"/>
    <d v="2025-04-28T00:00:00"/>
    <s v="Brent Sprds"/>
    <s v="Hedge"/>
    <n v="2092"/>
    <d v="2025-06-30T00:00:00"/>
    <d v="2025-07-31T00:00:00"/>
    <n v="1.07"/>
    <n v="2.06"/>
    <n v="2071.08"/>
    <n v="2238.44"/>
    <x v="31"/>
    <s v="Buy"/>
    <n v="4309.5200000000004"/>
    <x v="0"/>
    <x v="2"/>
    <n v="2025"/>
    <s v="Buy"/>
    <x v="0"/>
    <s v="UnallocatedBrent SprdsHedge20922.06775"/>
    <x v="0"/>
  </r>
  <r>
    <x v="0"/>
    <d v="2025-04-29T00:00:00"/>
    <s v="WTI-Brent"/>
    <s v="Hedge"/>
    <n v="-500"/>
    <d v="2025-07-31T00:00:00"/>
    <d v="2025-07-31T00:00:00"/>
    <n v="-3.4099999999999997"/>
    <n v="-3.11"/>
    <n v="-149.99999999999991"/>
    <n v="1704.9999999999998"/>
    <x v="32"/>
    <s v="Sell"/>
    <n v="1555"/>
    <x v="1"/>
    <x v="3"/>
    <n v="2025"/>
    <s v="Sell"/>
    <x v="0"/>
    <s v="UnallocatedWTI-BrentHedge-500-3.11776"/>
    <x v="0"/>
  </r>
  <r>
    <x v="0"/>
    <d v="2025-04-29T00:00:00"/>
    <s v="WTI-Brent"/>
    <s v="Hedge"/>
    <n v="500"/>
    <d v="2025-08-31T00:00:00"/>
    <d v="2025-08-31T00:00:00"/>
    <n v="-3.51"/>
    <n v="-2.5"/>
    <n v="504.99999999999989"/>
    <n v="-1755"/>
    <x v="38"/>
    <s v="Buy"/>
    <n v="-1250"/>
    <x v="1"/>
    <x v="3"/>
    <n v="2025"/>
    <s v="Buy"/>
    <x v="0"/>
    <s v="UnallocatedWTI-BrentHedge500-2.5777"/>
    <x v="0"/>
  </r>
  <r>
    <x v="47"/>
    <d v="2025-04-28T00:00:00"/>
    <s v="DFL"/>
    <s v="Hedge"/>
    <n v="-1000"/>
    <d v="2025-05-31T00:00:00"/>
    <d v="2025-05-31T00:00:00"/>
    <n v="0.64"/>
    <n v="0.14121300000000001"/>
    <n v="498.78699999999998"/>
    <n v="-640"/>
    <x v="22"/>
    <s v="Sell"/>
    <n v="-141.21299999999999"/>
    <x v="1"/>
    <x v="1"/>
    <n v="2025"/>
    <s v="Sell"/>
    <x v="0"/>
    <s v="CPC CFR Taiwan July 22-26DFLHedge-10000.141213778"/>
    <x v="0"/>
  </r>
  <r>
    <x v="44"/>
    <d v="2025-04-23T00:00:00"/>
    <s v="Freight-TD22"/>
    <s v="Expo"/>
    <n v="2000"/>
    <d v="2025-05-31T00:00:00"/>
    <d v="2025-05-31T00:00:00"/>
    <n v="8300"/>
    <n v="8400"/>
    <n v="-100"/>
    <n v="16600000"/>
    <x v="22"/>
    <s v="Buy"/>
    <n v="16800000"/>
    <x v="3"/>
    <x v="5"/>
    <n v="2025"/>
    <s v="Buy"/>
    <x v="0"/>
    <s v="Taiyo CFR Malaysia Jul 14-23Freight-TD22Expo20008400779"/>
    <x v="0"/>
  </r>
  <r>
    <x v="47"/>
    <d v="2025-04-23T00:00:00"/>
    <s v="Freight-TD22"/>
    <s v="Expo"/>
    <n v="2000"/>
    <d v="2025-05-31T00:00:00"/>
    <d v="2025-05-31T00:00:00"/>
    <n v="7950"/>
    <n v="8400"/>
    <n v="-450"/>
    <n v="15900000"/>
    <x v="22"/>
    <s v="Buy"/>
    <n v="16800000"/>
    <x v="3"/>
    <x v="5"/>
    <n v="2025"/>
    <s v="Buy"/>
    <x v="0"/>
    <s v="CPC CFR Taiwan July 22-26Freight-TD22Expo20008400780"/>
    <x v="0"/>
  </r>
  <r>
    <x v="0"/>
    <d v="2025-04-30T00:00:00"/>
    <s v="WTI-Brent"/>
    <s v="Hedge"/>
    <n v="500"/>
    <d v="2025-08-31T00:00:00"/>
    <d v="2025-08-31T00:00:00"/>
    <n v="-3.43"/>
    <n v="-2.5"/>
    <n v="465.00000000000006"/>
    <n v="-1715"/>
    <x v="38"/>
    <s v="Buy"/>
    <n v="-1250"/>
    <x v="1"/>
    <x v="3"/>
    <n v="2025"/>
    <s v="Buy"/>
    <x v="0"/>
    <s v="UnallocatedWTI-BrentHedge500-2.5781"/>
    <x v="0"/>
  </r>
  <r>
    <x v="0"/>
    <d v="2025-04-30T00:00:00"/>
    <s v="WTI-Brent"/>
    <s v="Hedge"/>
    <n v="500"/>
    <d v="2025-08-31T00:00:00"/>
    <d v="2025-08-31T00:00:00"/>
    <n v="-3.44"/>
    <n v="-2.5"/>
    <n v="470"/>
    <n v="-1720"/>
    <x v="38"/>
    <s v="Buy"/>
    <n v="-1250"/>
    <x v="1"/>
    <x v="3"/>
    <n v="2025"/>
    <s v="Buy"/>
    <x v="0"/>
    <s v="UnallocatedWTI-BrentHedge500-2.5782"/>
    <x v="0"/>
  </r>
  <r>
    <x v="0"/>
    <d v="2025-04-30T00:00:00"/>
    <s v="WTI-Brent"/>
    <s v="Hedge"/>
    <n v="500"/>
    <d v="2025-08-31T00:00:00"/>
    <d v="2025-08-31T00:00:00"/>
    <n v="-3.45"/>
    <n v="-2.5"/>
    <n v="475.00000000000011"/>
    <n v="-1725"/>
    <x v="38"/>
    <s v="Buy"/>
    <n v="-1250"/>
    <x v="1"/>
    <x v="3"/>
    <n v="2025"/>
    <s v="Buy"/>
    <x v="0"/>
    <s v="UnallocatedWTI-BrentHedge500-2.5783"/>
    <x v="0"/>
  </r>
  <r>
    <x v="0"/>
    <d v="2025-04-30T00:00:00"/>
    <s v="CFD"/>
    <s v="Hedge"/>
    <n v="-500"/>
    <s v="May12-May16"/>
    <d v="2025-05-31T00:00:00"/>
    <n v="0.35"/>
    <n v="-9.7000000000000003E-2"/>
    <n v="223.49999999999997"/>
    <n v="-175"/>
    <x v="39"/>
    <s v="Sell"/>
    <n v="48.5"/>
    <x v="1"/>
    <x v="1"/>
    <n v="2025"/>
    <s v="Sell"/>
    <x v="0"/>
    <s v="UnallocatedCFDHedge-500-0.097784"/>
    <x v="0"/>
  </r>
  <r>
    <x v="0"/>
    <d v="2025-04-30T00:00:00"/>
    <s v="CFD"/>
    <s v="Hedge"/>
    <n v="-500"/>
    <s v="May19-May23"/>
    <d v="2025-05-31T00:00:00"/>
    <n v="0.35"/>
    <n v="0.47200000000000009"/>
    <n v="-61.000000000000057"/>
    <n v="-175"/>
    <x v="9"/>
    <s v="Sell"/>
    <n v="-236.00000000000006"/>
    <x v="1"/>
    <x v="1"/>
    <n v="2025"/>
    <s v="Sell"/>
    <x v="0"/>
    <s v="UnallocatedCFDHedge-5000.472785"/>
    <x v="0"/>
  </r>
  <r>
    <x v="0"/>
    <d v="2025-04-30T00:00:00"/>
    <s v="CFD"/>
    <s v="Hedge"/>
    <n v="-300"/>
    <s v="May12-May16"/>
    <d v="2025-05-31T00:00:00"/>
    <n v="0.2"/>
    <n v="-9.7000000000000003E-2"/>
    <n v="89.100000000000009"/>
    <n v="-60"/>
    <x v="39"/>
    <s v="Sell"/>
    <n v="29.1"/>
    <x v="1"/>
    <x v="1"/>
    <n v="2025"/>
    <s v="Sell"/>
    <x v="0"/>
    <s v="UnallocatedCFDHedge-300-0.097786"/>
    <x v="0"/>
  </r>
  <r>
    <x v="48"/>
    <d v="2025-05-01T00:00:00"/>
    <s v="Physical"/>
    <s v="Expo"/>
    <n v="700"/>
    <d v="2025-05-31T00:00:00"/>
    <d v="2025-05-31T00:00:00"/>
    <n v="1.44"/>
    <n v="0.45"/>
    <n v="-693"/>
    <n v="0"/>
    <x v="22"/>
    <s v="Buy"/>
    <n v="294"/>
    <x v="2"/>
    <x v="4"/>
    <n v="2025"/>
    <s v="Buy"/>
    <x v="1"/>
    <s v="Gunvor June EFPPhysicalExpo7000.45787"/>
    <x v="0"/>
  </r>
  <r>
    <x v="48"/>
    <d v="2025-05-01T00:00:00"/>
    <s v="WTI-Brent"/>
    <s v="Expo"/>
    <n v="-700"/>
    <d v="2025-07-31T00:00:00"/>
    <d v="2025-07-31T00:00:00"/>
    <n v="-3.38"/>
    <n v="-3.11"/>
    <n v="-189"/>
    <n v="-2807"/>
    <x v="32"/>
    <s v="Buy"/>
    <n v="-2933.0000000000082"/>
    <x v="1"/>
    <x v="3"/>
    <n v="2025"/>
    <s v="Sell"/>
    <x v="0"/>
    <s v="Gunvor June EFPWTI-BrentExpo-700-3.11788"/>
    <x v="0"/>
  </r>
  <r>
    <x v="48"/>
    <d v="2025-05-01T00:00:00"/>
    <s v="WTI Sprds"/>
    <s v="Expo"/>
    <n v="-700"/>
    <d v="2025-06-30T00:00:00"/>
    <d v="2025-07-31T00:00:00"/>
    <n v="0.55000000000000004"/>
    <n v="0.55000000000000004"/>
    <n v="0"/>
    <n v="-385.00000000000006"/>
    <x v="31"/>
    <s v="Sell"/>
    <n v="-385.00000000000006"/>
    <x v="0"/>
    <x v="0"/>
    <n v="2025"/>
    <s v="Sell"/>
    <x v="0"/>
    <s v="Gunvor June EFPWTI SprdsExpo-7000.55789"/>
    <x v="0"/>
  </r>
  <r>
    <x v="48"/>
    <d v="2025-05-01T00:00:00"/>
    <s v="Freight-TD25"/>
    <s v="Expo"/>
    <n v="-700"/>
    <d v="2025-05-31T00:00:00"/>
    <d v="2025-05-31T00:00:00"/>
    <n v="157"/>
    <n v="125"/>
    <n v="448"/>
    <n v="0"/>
    <x v="22"/>
    <s v="Sell"/>
    <n v="-87500"/>
    <x v="3"/>
    <x v="5"/>
    <n v="2025"/>
    <s v="Sell"/>
    <x v="0"/>
    <s v="Gunvor June EFPFreight-TD25Expo-700125790"/>
    <x v="0"/>
  </r>
  <r>
    <x v="1"/>
    <d v="2025-05-14T00:00:00"/>
    <s v="Freight-TD25"/>
    <s v="Expo"/>
    <n v="700"/>
    <d v="2025-06-30T00:00:00"/>
    <d v="2025-06-30T00:00:00"/>
    <n v="125"/>
    <n v="125"/>
    <n v="0"/>
    <n v="87500"/>
    <x v="30"/>
    <s v="Buy"/>
    <n v="87500"/>
    <x v="3"/>
    <x v="5"/>
    <n v="2025"/>
    <s v="Buy"/>
    <x v="0"/>
    <s v="Trafi CIF Rdam June 13-17Freight-TD25Expo700125791"/>
    <x v="0"/>
  </r>
  <r>
    <x v="48"/>
    <d v="2025-05-01T00:00:00"/>
    <s v="Freight-TD7"/>
    <s v="Expo"/>
    <n v="700"/>
    <d v="2025-06-30T00:00:00"/>
    <d v="2025-06-30T00:00:00"/>
    <n v="120"/>
    <n v="122"/>
    <n v="28"/>
    <n v="79800"/>
    <x v="30"/>
    <s v="Buy"/>
    <n v="85400"/>
    <x v="3"/>
    <x v="5"/>
    <n v="2025"/>
    <s v="Buy"/>
    <x v="0"/>
    <s v="Gunvor June EFPFreight-TD7Expo700122792"/>
    <x v="0"/>
  </r>
  <r>
    <x v="0"/>
    <d v="2025-05-02T00:00:00"/>
    <s v="DFL"/>
    <s v="Hedge"/>
    <n v="-335"/>
    <d v="2025-04-30T00:00:00"/>
    <d v="2025-04-30T00:00:00"/>
    <n v="1.42"/>
    <n v="1.42"/>
    <n v="0"/>
    <n v="-475.7"/>
    <x v="21"/>
    <s v="Sell"/>
    <n v="-475.7"/>
    <x v="1"/>
    <x v="1"/>
    <n v="2025"/>
    <s v="Sell"/>
    <x v="0"/>
    <s v="UnallocatedDFLHedge-3351.42793"/>
    <x v="0"/>
  </r>
  <r>
    <x v="0"/>
    <d v="2025-05-02T00:00:00"/>
    <s v="DFL"/>
    <s v="Hedge"/>
    <n v="-500"/>
    <d v="2025-05-31T00:00:00"/>
    <d v="2025-05-31T00:00:00"/>
    <n v="0.47"/>
    <n v="0.14121300000000001"/>
    <n v="164.39349999999996"/>
    <n v="-235"/>
    <x v="22"/>
    <s v="Sell"/>
    <n v="-70.606499999999997"/>
    <x v="1"/>
    <x v="1"/>
    <n v="2025"/>
    <s v="Sell"/>
    <x v="0"/>
    <s v="UnallocatedDFLHedge-5000.141213794"/>
    <x v="0"/>
  </r>
  <r>
    <x v="48"/>
    <d v="2025-05-05T00:00:00"/>
    <s v="WTI Sprds"/>
    <s v="Hedge"/>
    <n v="500"/>
    <d v="2025-06-30T00:00:00"/>
    <d v="2025-07-31T00:00:00"/>
    <n v="0.39"/>
    <n v="0.55000000000000004"/>
    <n v="80.000000000000014"/>
    <n v="195"/>
    <x v="31"/>
    <s v="Buy"/>
    <n v="275"/>
    <x v="0"/>
    <x v="0"/>
    <n v="2025"/>
    <s v="Buy"/>
    <x v="0"/>
    <s v="Gunvor June EFPWTI SprdsHedge5000.55795"/>
    <x v="0"/>
  </r>
  <r>
    <x v="0"/>
    <d v="2025-05-05T00:00:00"/>
    <s v="WTI-Brent"/>
    <s v="Hedge"/>
    <n v="2000"/>
    <d v="2025-07-31T00:00:00"/>
    <d v="2025-07-31T00:00:00"/>
    <n v="-3.48"/>
    <n v="-3.11"/>
    <n v="740.00000000000023"/>
    <n v="-6960"/>
    <x v="32"/>
    <s v="Buy"/>
    <n v="-6220"/>
    <x v="1"/>
    <x v="3"/>
    <n v="2025"/>
    <s v="Buy"/>
    <x v="0"/>
    <s v="UnallocatedWTI-BrentHedge2000-3.11796"/>
    <x v="0"/>
  </r>
  <r>
    <x v="0"/>
    <d v="2025-05-06T00:00:00"/>
    <s v="WTI Sprds"/>
    <s v="Hedge"/>
    <n v="-500"/>
    <d v="2025-06-30T00:00:00"/>
    <d v="2025-07-31T00:00:00"/>
    <n v="0.51"/>
    <n v="0.55000000000000004"/>
    <n v="-20.000000000000018"/>
    <n v="-255"/>
    <x v="31"/>
    <s v="Sell"/>
    <n v="-275"/>
    <x v="0"/>
    <x v="0"/>
    <n v="2025"/>
    <s v="Sell"/>
    <x v="0"/>
    <s v="UnallocatedWTI SprdsHedge-5000.55797"/>
    <x v="0"/>
  </r>
  <r>
    <x v="49"/>
    <d v="2025-05-06T00:00:00"/>
    <s v="Physical"/>
    <s v="Expo"/>
    <n v="700"/>
    <d v="2025-06-30T00:00:00"/>
    <d v="2025-06-30T00:00:00"/>
    <n v="-0.45000000000000018"/>
    <n v="0.01"/>
    <n v="322.00000000000011"/>
    <n v="-315.00000000000011"/>
    <x v="30"/>
    <s v="Buy"/>
    <n v="7"/>
    <x v="2"/>
    <x v="4"/>
    <n v="2025"/>
    <s v="Buy"/>
    <x v="1"/>
    <s v="July25 EFP 1PhysicalExpo7000.01798"/>
    <x v="0"/>
  </r>
  <r>
    <x v="49"/>
    <d v="2025-05-06T00:00:00"/>
    <s v="WTI-Brent"/>
    <s v="Expo"/>
    <n v="-700"/>
    <d v="2025-07-31T00:00:00"/>
    <d v="2025-07-31T00:00:00"/>
    <n v="-3.34"/>
    <n v="-3.11"/>
    <n v="-161"/>
    <n v="2338"/>
    <x v="32"/>
    <s v="Sell"/>
    <n v="2177"/>
    <x v="1"/>
    <x v="3"/>
    <n v="2025"/>
    <s v="Sell"/>
    <x v="0"/>
    <s v="July25 EFP 1WTI-BrentExpo-700-3.11799"/>
    <x v="0"/>
  </r>
  <r>
    <x v="49"/>
    <d v="2025-05-06T00:00:00"/>
    <s v="WTI Sprds"/>
    <s v="Expo"/>
    <n v="0"/>
    <d v="2025-06-30T00:00:00"/>
    <d v="2025-07-31T00:00:00"/>
    <n v="0.52"/>
    <n v="0.55000000000000004"/>
    <n v="0"/>
    <n v="0"/>
    <x v="31"/>
    <s v="Buy"/>
    <n v="0"/>
    <x v="0"/>
    <x v="0"/>
    <n v="2025"/>
    <s v="Sell"/>
    <x v="0"/>
    <s v="July25 EFP 1WTI SprdsExpo00.55800"/>
    <x v="0"/>
  </r>
  <r>
    <x v="49"/>
    <d v="2025-05-06T00:00:00"/>
    <s v="Freight-TD25"/>
    <s v="Expo"/>
    <n v="-700"/>
    <d v="2025-06-30T00:00:00"/>
    <d v="2025-06-30T00:00:00"/>
    <n v="135"/>
    <n v="150.77101718532276"/>
    <n v="-220.7942405945187"/>
    <n v="-94500"/>
    <x v="30"/>
    <s v="Sell"/>
    <n v="-105539.71202972594"/>
    <x v="3"/>
    <x v="5"/>
    <n v="2025"/>
    <s v="Sell"/>
    <x v="0"/>
    <s v="July25 EFP 1Freight-TD25Expo-700150.771017185323801"/>
    <x v="0"/>
  </r>
  <r>
    <x v="49"/>
    <d v="2025-05-06T00:00:00"/>
    <s v="Freight-TD25"/>
    <s v="Expo"/>
    <n v="700"/>
    <d v="2025-06-30T00:00:00"/>
    <d v="2025-06-30T00:00:00"/>
    <n v="142.5"/>
    <n v="150.77101718532276"/>
    <n v="115.79424059451868"/>
    <n v="99750"/>
    <x v="30"/>
    <s v="Buy"/>
    <n v="105539.71202972594"/>
    <x v="3"/>
    <x v="5"/>
    <n v="2025"/>
    <s v="Buy"/>
    <x v="0"/>
    <s v="July25 EFP 1Freight-TD25Expo700150.771017185323802"/>
    <x v="0"/>
  </r>
  <r>
    <x v="48"/>
    <d v="2025-05-01T00:00:00"/>
    <s v="Freight-TD7"/>
    <s v="Expo"/>
    <n v="-700"/>
    <d v="2025-06-30T00:00:00"/>
    <d v="2025-06-30T00:00:00"/>
    <n v="122"/>
    <n v="122"/>
    <n v="0"/>
    <n v="79800"/>
    <x v="30"/>
    <s v="Sell"/>
    <n v="-85400"/>
    <x v="3"/>
    <x v="5"/>
    <n v="2025"/>
    <s v="Sell"/>
    <x v="0"/>
    <s v="Gunvor June EFPFreight-TD7Expo-700122803"/>
    <x v="0"/>
  </r>
  <r>
    <x v="49"/>
    <d v="2025-05-06T00:00:00"/>
    <s v="Freight-TD7"/>
    <s v="Expo"/>
    <n v="700"/>
    <d v="2025-07-31T00:00:00"/>
    <d v="2025-07-31T00:00:00"/>
    <n v="110"/>
    <n v="117"/>
    <n v="98.000000000000014"/>
    <n v="77000"/>
    <x v="32"/>
    <s v="Buy"/>
    <n v="81900"/>
    <x v="3"/>
    <x v="5"/>
    <n v="2025"/>
    <s v="Buy"/>
    <x v="0"/>
    <s v="July25 EFP 1Freight-TD7Expo700117804"/>
    <x v="0"/>
  </r>
  <r>
    <x v="50"/>
    <d v="2025-05-06T00:00:00"/>
    <s v="Physical"/>
    <s v="Expo"/>
    <n v="0"/>
    <d v="2025-06-30T00:00:00"/>
    <d v="2025-06-30T00:00:00"/>
    <n v="0.17999999999999972"/>
    <n v="0.01"/>
    <n v="0"/>
    <n v="0"/>
    <x v="30"/>
    <s v="Buy"/>
    <n v="0"/>
    <x v="2"/>
    <x v="4"/>
    <n v="2025"/>
    <s v="Sell"/>
    <x v="1"/>
    <s v="July25 EFP 2PhysicalExpo00.01805"/>
    <x v="0"/>
  </r>
  <r>
    <x v="50"/>
    <d v="2025-05-06T00:00:00"/>
    <s v="WTI-Brent"/>
    <s v="Expo"/>
    <m/>
    <d v="2025-07-31T00:00:00"/>
    <d v="2025-07-31T00:00:00"/>
    <n v="-3.49"/>
    <n v="-3.11"/>
    <n v="0"/>
    <n v="0"/>
    <x v="32"/>
    <s v="Buy"/>
    <n v="0"/>
    <x v="1"/>
    <x v="3"/>
    <n v="2025"/>
    <s v="Sell"/>
    <x v="0"/>
    <s v="July25 EFP 2WTI-BrentExpo-3.11806"/>
    <x v="0"/>
  </r>
  <r>
    <x v="50"/>
    <d v="2025-05-06T00:00:00"/>
    <s v="WTI Sprds"/>
    <s v="Expo"/>
    <m/>
    <d v="2025-06-30T00:00:00"/>
    <d v="2025-07-31T00:00:00"/>
    <n v="0.52"/>
    <n v="0.55000000000000004"/>
    <n v="0"/>
    <n v="0"/>
    <x v="31"/>
    <s v="Buy"/>
    <n v="0"/>
    <x v="0"/>
    <x v="0"/>
    <n v="2025"/>
    <s v="Sell"/>
    <x v="0"/>
    <s v="July25 EFP 2WTI SprdsExpo0.55807"/>
    <x v="0"/>
  </r>
  <r>
    <x v="50"/>
    <d v="2025-05-06T00:00:00"/>
    <s v="Freight-TD25"/>
    <s v="Expo"/>
    <m/>
    <d v="2025-06-30T00:00:00"/>
    <d v="2025-06-30T00:00:00"/>
    <n v="141"/>
    <n v="0"/>
    <n v="0"/>
    <n v="0"/>
    <x v="30"/>
    <s v="Buy"/>
    <n v="0"/>
    <x v="3"/>
    <x v="5"/>
    <n v="2025"/>
    <s v="Sell"/>
    <x v="0"/>
    <s v="July25 EFP 2Freight-TD25Expo0808"/>
    <x v="0"/>
  </r>
  <r>
    <x v="50"/>
    <d v="2025-05-06T00:00:00"/>
    <s v="Freight-TD7"/>
    <s v="Expo"/>
    <m/>
    <d v="2025-07-31T00:00:00"/>
    <d v="2025-07-31T00:00:00"/>
    <n v="120"/>
    <n v="0"/>
    <n v="0"/>
    <n v="0"/>
    <x v="32"/>
    <s v="Buy"/>
    <n v="0"/>
    <x v="3"/>
    <x v="5"/>
    <n v="2025"/>
    <s v="Sell"/>
    <x v="0"/>
    <s v="July25 EFP 2Freight-TD7Expo0809"/>
    <x v="0"/>
  </r>
  <r>
    <x v="51"/>
    <d v="2025-05-06T00:00:00"/>
    <s v="Physical"/>
    <s v="Expo"/>
    <m/>
    <d v="2025-06-30T00:00:00"/>
    <d v="2025-06-30T00:00:00"/>
    <n v="-0.17"/>
    <n v="0.01"/>
    <n v="0"/>
    <n v="0"/>
    <x v="30"/>
    <s v="Buy"/>
    <n v="0"/>
    <x v="2"/>
    <x v="4"/>
    <n v="2025"/>
    <s v="Sell"/>
    <x v="1"/>
    <s v="July25 EFP 3PhysicalExpo0.01810"/>
    <x v="0"/>
  </r>
  <r>
    <x v="51"/>
    <d v="2025-05-06T00:00:00"/>
    <s v="WTI-Brent"/>
    <s v="Expo"/>
    <m/>
    <d v="2025-07-31T00:00:00"/>
    <d v="2025-07-31T00:00:00"/>
    <n v="-3.49"/>
    <n v="-3.11"/>
    <n v="0"/>
    <n v="0"/>
    <x v="32"/>
    <s v="Buy"/>
    <n v="0"/>
    <x v="1"/>
    <x v="3"/>
    <n v="2025"/>
    <s v="Sell"/>
    <x v="0"/>
    <s v="July25 EFP 3WTI-BrentExpo-3.11811"/>
    <x v="0"/>
  </r>
  <r>
    <x v="51"/>
    <d v="2025-05-06T00:00:00"/>
    <s v="WTI Sprds"/>
    <s v="Expo"/>
    <m/>
    <d v="2025-06-30T00:00:00"/>
    <d v="2025-07-31T00:00:00"/>
    <n v="0.52"/>
    <n v="0.55000000000000004"/>
    <n v="0"/>
    <n v="0"/>
    <x v="31"/>
    <s v="Buy"/>
    <n v="0"/>
    <x v="0"/>
    <x v="0"/>
    <n v="2025"/>
    <s v="Sell"/>
    <x v="0"/>
    <s v="July25 EFP 3WTI SprdsExpo0.55812"/>
    <x v="0"/>
  </r>
  <r>
    <x v="51"/>
    <d v="2025-05-06T00:00:00"/>
    <s v="Freight-TD25"/>
    <s v="Expo"/>
    <m/>
    <d v="2025-06-30T00:00:00"/>
    <d v="2025-06-30T00:00:00"/>
    <n v="141"/>
    <n v="0"/>
    <n v="0"/>
    <n v="0"/>
    <x v="30"/>
    <s v="Buy"/>
    <n v="0"/>
    <x v="3"/>
    <x v="5"/>
    <n v="2025"/>
    <s v="Sell"/>
    <x v="0"/>
    <s v="July25 EFP 3Freight-TD25Expo0813"/>
    <x v="0"/>
  </r>
  <r>
    <x v="51"/>
    <d v="2025-05-06T00:00:00"/>
    <s v="Freight-TD7"/>
    <s v="Expo"/>
    <m/>
    <d v="2025-07-31T00:00:00"/>
    <d v="2025-07-31T00:00:00"/>
    <n v="120"/>
    <n v="0"/>
    <n v="0"/>
    <n v="0"/>
    <x v="32"/>
    <s v="Buy"/>
    <n v="0"/>
    <x v="3"/>
    <x v="5"/>
    <n v="2025"/>
    <s v="Sell"/>
    <x v="0"/>
    <s v="July25 EFP 3Freight-TD7Expo0814"/>
    <x v="0"/>
  </r>
  <r>
    <x v="0"/>
    <d v="2025-05-06T00:00:00"/>
    <s v="CFD"/>
    <s v="Hedge"/>
    <n v="-200"/>
    <s v="May12-May16"/>
    <d v="2025-05-31T00:00:00"/>
    <n v="0.3"/>
    <n v="-9.7000000000000003E-2"/>
    <n v="79.400000000000006"/>
    <n v="-60"/>
    <x v="39"/>
    <s v="Sell"/>
    <n v="19.400000000000002"/>
    <x v="1"/>
    <x v="1"/>
    <n v="2025"/>
    <s v="Sell"/>
    <x v="0"/>
    <s v="UnallocatedCFDHedge-200-0.097815"/>
    <x v="0"/>
  </r>
  <r>
    <x v="0"/>
    <d v="2025-05-08T00:00:00"/>
    <s v="DFL"/>
    <s v="Hedge"/>
    <n v="-500"/>
    <d v="2025-05-31T00:00:00"/>
    <d v="2025-05-31T00:00:00"/>
    <n v="0.09"/>
    <n v="0.14121300000000001"/>
    <n v="-25.606500000000004"/>
    <n v="-45"/>
    <x v="22"/>
    <s v="Sell"/>
    <n v="-70.606499999999997"/>
    <x v="1"/>
    <x v="1"/>
    <n v="2025"/>
    <s v="Sell"/>
    <x v="0"/>
    <s v="UnallocatedDFLHedge-5000.141213816"/>
    <x v="0"/>
  </r>
  <r>
    <x v="51"/>
    <d v="2025-05-06T00:00:00"/>
    <s v="WTI Sprds"/>
    <s v="Hedge"/>
    <n v="700"/>
    <d v="2025-06-30T00:00:00"/>
    <d v="2025-07-31T00:00:00"/>
    <n v="0.37"/>
    <n v="0.55000000000000004"/>
    <n v="126.00000000000003"/>
    <n v="259"/>
    <x v="31"/>
    <s v="Buy"/>
    <n v="385.00000000000006"/>
    <x v="0"/>
    <x v="0"/>
    <n v="2025"/>
    <s v="Buy"/>
    <x v="0"/>
    <s v="July25 EFP 3WTI SprdsHedge7000.55817"/>
    <x v="0"/>
  </r>
  <r>
    <x v="50"/>
    <d v="2025-05-06T00:00:00"/>
    <s v="WTI Sprds"/>
    <s v="Hedge"/>
    <n v="300"/>
    <d v="2025-06-30T00:00:00"/>
    <d v="2025-07-31T00:00:00"/>
    <n v="0.37"/>
    <n v="0.55000000000000004"/>
    <n v="54.000000000000014"/>
    <n v="111"/>
    <x v="31"/>
    <s v="Buy"/>
    <n v="165"/>
    <x v="0"/>
    <x v="0"/>
    <n v="2025"/>
    <s v="Buy"/>
    <x v="0"/>
    <s v="July25 EFP 2WTI SprdsHedge3000.55818"/>
    <x v="0"/>
  </r>
  <r>
    <x v="50"/>
    <d v="2025-05-06T00:00:00"/>
    <s v="WTI Sprds"/>
    <s v="Hedge"/>
    <n v="600"/>
    <d v="2025-06-30T00:00:00"/>
    <d v="2025-07-31T00:00:00"/>
    <n v="0.35"/>
    <n v="0.55000000000000004"/>
    <n v="120.00000000000004"/>
    <n v="210"/>
    <x v="31"/>
    <s v="Buy"/>
    <n v="330"/>
    <x v="0"/>
    <x v="0"/>
    <n v="2025"/>
    <s v="Buy"/>
    <x v="0"/>
    <s v="July25 EFP 2WTI SprdsHedge6000.55819"/>
    <x v="0"/>
  </r>
  <r>
    <x v="0"/>
    <d v="2025-05-09T00:00:00"/>
    <s v="CFD"/>
    <s v="Hedge"/>
    <n v="500"/>
    <s v="May12-May16"/>
    <d v="2025-05-31T00:00:00"/>
    <n v="0.04"/>
    <n v="-9.7000000000000003E-2"/>
    <n v="-68.5"/>
    <n v="20"/>
    <x v="39"/>
    <s v="Buy"/>
    <n v="-48.5"/>
    <x v="1"/>
    <x v="1"/>
    <n v="2025"/>
    <s v="Buy"/>
    <x v="0"/>
    <s v="UnallocatedCFDHedge500-0.097820"/>
    <x v="0"/>
  </r>
  <r>
    <x v="0"/>
    <d v="2025-05-09T00:00:00"/>
    <s v="Brent Sprds"/>
    <s v="Hedge"/>
    <n v="621"/>
    <d v="2025-07-31T00:00:00"/>
    <d v="2025-08-31T00:00:00"/>
    <n v="0.38"/>
    <n v="1.1200000000000001"/>
    <n v="459.54000000000008"/>
    <n v="235.98"/>
    <x v="33"/>
    <s v="Buy"/>
    <n v="695.5200000000001"/>
    <x v="0"/>
    <x v="2"/>
    <n v="2025"/>
    <s v="Buy"/>
    <x v="0"/>
    <s v="UnallocatedBrent SprdsHedge6211.12821"/>
    <x v="0"/>
  </r>
  <r>
    <x v="0"/>
    <d v="2025-05-09T00:00:00"/>
    <s v="Brent Sprds"/>
    <s v="Hedge"/>
    <n v="621"/>
    <d v="2025-08-31T00:00:00"/>
    <d v="2025-09-30T00:00:00"/>
    <n v="0.38"/>
    <n v="0.87"/>
    <n v="304.29000000000002"/>
    <n v="235.98"/>
    <x v="34"/>
    <s v="Buy"/>
    <n v="540.27"/>
    <x v="0"/>
    <x v="2"/>
    <n v="2025"/>
    <s v="Buy"/>
    <x v="0"/>
    <s v="UnallocatedBrent SprdsHedge6210.87822"/>
    <x v="0"/>
  </r>
  <r>
    <x v="0"/>
    <d v="2025-05-09T00:00:00"/>
    <s v="Brent Sprds"/>
    <s v="Hedge"/>
    <n v="3000"/>
    <d v="2025-07-31T00:00:00"/>
    <d v="2025-08-31T00:00:00"/>
    <n v="0.38"/>
    <n v="1.1200000000000001"/>
    <n v="2220.0000000000005"/>
    <n v="1140"/>
    <x v="33"/>
    <s v="Buy"/>
    <n v="3360.0000000000005"/>
    <x v="0"/>
    <x v="2"/>
    <n v="2025"/>
    <s v="Buy"/>
    <x v="0"/>
    <s v="UnallocatedBrent SprdsHedge30001.12823"/>
    <x v="0"/>
  </r>
  <r>
    <x v="0"/>
    <d v="2025-05-09T00:00:00"/>
    <s v="Brent Sprds"/>
    <s v="Hedge"/>
    <n v="3000"/>
    <d v="2025-08-31T00:00:00"/>
    <d v="2025-09-30T00:00:00"/>
    <n v="0.38"/>
    <n v="0.87"/>
    <n v="1470"/>
    <n v="1140"/>
    <x v="34"/>
    <s v="Buy"/>
    <n v="2610"/>
    <x v="0"/>
    <x v="2"/>
    <n v="2025"/>
    <s v="Buy"/>
    <x v="0"/>
    <s v="UnallocatedBrent SprdsHedge30000.87824"/>
    <x v="0"/>
  </r>
  <r>
    <x v="0"/>
    <d v="2025-05-14T00:00:00"/>
    <s v="CFD"/>
    <s v="Hedge"/>
    <n v="-200"/>
    <s v="May19-May23"/>
    <d v="2025-05-31T00:00:00"/>
    <n v="0.1"/>
    <n v="0.47200000000000009"/>
    <n v="-74.40000000000002"/>
    <n v="-20"/>
    <x v="9"/>
    <s v="Sell"/>
    <n v="-94.40000000000002"/>
    <x v="1"/>
    <x v="1"/>
    <n v="2025"/>
    <s v="Sell"/>
    <x v="0"/>
    <s v="UnallocatedCFDHedge-2000.472825"/>
    <x v="0"/>
  </r>
  <r>
    <x v="0"/>
    <d v="2025-05-09T00:00:00"/>
    <s v="CFD"/>
    <s v="Hedge"/>
    <n v="500"/>
    <s v="May05-May09"/>
    <d v="2025-05-31T00:00:00"/>
    <n v="-0.18124999999999999"/>
    <n v="-0.18124999999999999"/>
    <n v="0"/>
    <n v="-90.625"/>
    <x v="37"/>
    <s v="Buy"/>
    <n v="-90.625"/>
    <x v="1"/>
    <x v="1"/>
    <n v="2025"/>
    <s v="Buy"/>
    <x v="0"/>
    <s v="UnallocatedCFDHedge500-0.18125826"/>
    <x v="0"/>
  </r>
  <r>
    <x v="52"/>
    <d v="2025-05-14T00:00:00"/>
    <s v="Physical"/>
    <s v="Expo"/>
    <n v="700"/>
    <d v="2025-05-31T00:00:00"/>
    <d v="2025-05-31T00:00:00"/>
    <n v="2.3239999999999998"/>
    <n v="0.6"/>
    <n v="-1115.8"/>
    <n v="1535.8"/>
    <x v="22"/>
    <s v="Buy"/>
    <n v="420"/>
    <x v="2"/>
    <x v="4"/>
    <n v="2025"/>
    <s v="Buy"/>
    <x v="1"/>
    <s v="Trafi CIF Rdam May30-Jun03PhysicalExpo7000.6827"/>
    <x v="0"/>
  </r>
  <r>
    <x v="52"/>
    <d v="2025-05-14T00:00:00"/>
    <s v="WTI Sprds"/>
    <s v="Expo"/>
    <n v="-700"/>
    <d v="2025-06-30T00:00:00"/>
    <d v="2025-07-31T00:00:00"/>
    <n v="0.47"/>
    <n v="0.55000000000000004"/>
    <n v="-56.00000000000005"/>
    <n v="-329"/>
    <x v="31"/>
    <s v="Sell"/>
    <n v="-385.00000000000006"/>
    <x v="0"/>
    <x v="0"/>
    <n v="2025"/>
    <s v="Sell"/>
    <x v="0"/>
    <s v="Trafi CIF Rdam May30-Jun03WTI SprdsExpo-7000.55828"/>
    <x v="0"/>
  </r>
  <r>
    <x v="52"/>
    <d v="2025-05-14T00:00:00"/>
    <s v="WTI-Brent"/>
    <s v="Expo"/>
    <n v="-420"/>
    <d v="2025-07-31T00:00:00"/>
    <d v="2025-07-31T00:00:00"/>
    <n v="-3.41"/>
    <n v="-3.11"/>
    <n v="-126.00000000000011"/>
    <n v="1432.2"/>
    <x v="32"/>
    <s v="Sell"/>
    <n v="1306.2"/>
    <x v="1"/>
    <x v="3"/>
    <n v="2025"/>
    <s v="Sell"/>
    <x v="0"/>
    <s v="Trafi CIF Rdam May30-Jun03WTI-BrentExpo-420-3.11829"/>
    <x v="0"/>
  </r>
  <r>
    <x v="52"/>
    <d v="2025-05-14T00:00:00"/>
    <s v="Brent Sprds"/>
    <s v="Expo"/>
    <n v="-76"/>
    <d v="2025-07-31T00:00:00"/>
    <d v="2025-08-31T00:00:00"/>
    <n v="0.51"/>
    <n v="1.1200000000000001"/>
    <n v="-46.360000000000007"/>
    <n v="-38.76"/>
    <x v="33"/>
    <s v="Sell"/>
    <n v="-85.12"/>
    <x v="0"/>
    <x v="2"/>
    <n v="2025"/>
    <s v="Sell"/>
    <x v="0"/>
    <s v="Trafi CIF Rdam May30-Jun03Brent SprdsExpo-761.12830"/>
    <x v="0"/>
  </r>
  <r>
    <x v="52"/>
    <d v="2025-05-13T00:00:00"/>
    <s v="CFD"/>
    <s v="Expo"/>
    <n v="420"/>
    <s v="May26-May30"/>
    <d v="2025-05-31T00:00:00"/>
    <n v="0.28000000000000003"/>
    <n v="0.48875000000000002"/>
    <n v="87.674999999999997"/>
    <n v="117.60000000000001"/>
    <x v="40"/>
    <s v="Buy"/>
    <n v="205.27500000000001"/>
    <x v="1"/>
    <x v="1"/>
    <n v="2025"/>
    <s v="Buy"/>
    <x v="0"/>
    <s v="Trafi CIF Rdam May30-Jun03CFDExpo4200.48875831"/>
    <x v="0"/>
  </r>
  <r>
    <x v="52"/>
    <d v="2025-05-14T00:00:00"/>
    <s v="CFD"/>
    <s v="Expo"/>
    <n v="280"/>
    <s v="Jun02-Jun06"/>
    <d v="2025-06-30T00:00:00"/>
    <n v="0.57999999999999996"/>
    <n v="1.81"/>
    <n v="344.4"/>
    <n v="162.39999999999998"/>
    <x v="41"/>
    <s v="Buy"/>
    <n v="506.8"/>
    <x v="1"/>
    <x v="1"/>
    <n v="2025"/>
    <s v="Buy"/>
    <x v="0"/>
    <s v="Trafi CIF Rdam May30-Jun03CFDExpo2801.81832"/>
    <x v="0"/>
  </r>
  <r>
    <x v="0"/>
    <d v="2025-05-15T00:00:00"/>
    <s v="CFD"/>
    <s v="Hedge"/>
    <n v="-400"/>
    <s v="May19-May23"/>
    <d v="2025-05-31T00:00:00"/>
    <n v="0"/>
    <n v="0.47200000000000009"/>
    <n v="-188.80000000000004"/>
    <n v="0"/>
    <x v="9"/>
    <s v="Sell"/>
    <n v="-188.80000000000004"/>
    <x v="1"/>
    <x v="1"/>
    <n v="2025"/>
    <s v="Sell"/>
    <x v="0"/>
    <s v="UnallocatedCFDHedge-4000.472833"/>
    <x v="0"/>
  </r>
  <r>
    <x v="0"/>
    <d v="2025-05-15T00:00:00"/>
    <s v="DFL"/>
    <s v="Hedge"/>
    <n v="-500"/>
    <d v="2025-05-31T00:00:00"/>
    <d v="2025-05-31T00:00:00"/>
    <n v="0.12"/>
    <n v="0.14121300000000001"/>
    <n v="-10.606500000000004"/>
    <n v="-60"/>
    <x v="22"/>
    <s v="Sell"/>
    <n v="-70.606499999999997"/>
    <x v="1"/>
    <x v="1"/>
    <n v="2025"/>
    <s v="Sell"/>
    <x v="0"/>
    <s v="UnallocatedDFLHedge-5000.141213834"/>
    <x v="0"/>
  </r>
  <r>
    <x v="0"/>
    <d v="2025-05-15T00:00:00"/>
    <s v="Brent Sprds"/>
    <s v="Hedge"/>
    <n v="-1500"/>
    <d v="2025-07-31T00:00:00"/>
    <d v="2025-08-31T00:00:00"/>
    <n v="0.46"/>
    <n v="1.1200000000000001"/>
    <n v="-990.00000000000023"/>
    <n v="-690"/>
    <x v="33"/>
    <s v="Sell"/>
    <n v="-1680.0000000000002"/>
    <x v="0"/>
    <x v="2"/>
    <n v="2025"/>
    <s v="Sell"/>
    <x v="0"/>
    <s v="UnallocatedBrent SprdsHedge-15001.12835"/>
    <x v="0"/>
  </r>
  <r>
    <x v="0"/>
    <d v="2025-05-15T00:00:00"/>
    <s v="WTI Sprds"/>
    <s v="Hedge"/>
    <n v="3000"/>
    <d v="2025-06-30T00:00:00"/>
    <d v="2025-07-31T00:00:00"/>
    <n v="0.47"/>
    <n v="0.55000000000000004"/>
    <n v="240.00000000000023"/>
    <n v="1410"/>
    <x v="31"/>
    <s v="Buy"/>
    <n v="1650.0000000000002"/>
    <x v="0"/>
    <x v="0"/>
    <n v="2025"/>
    <s v="Buy"/>
    <x v="0"/>
    <s v="UnallocatedWTI SprdsHedge30000.55836"/>
    <x v="0"/>
  </r>
  <r>
    <x v="53"/>
    <d v="2025-05-14T00:00:00"/>
    <s v="Physical"/>
    <s v="Expo"/>
    <n v="700"/>
    <d v="2025-05-31T00:00:00"/>
    <d v="2025-05-31T00:00:00"/>
    <n v="1.69"/>
    <n v="1.65"/>
    <n v="-28.000000000000025"/>
    <n v="1183"/>
    <x v="22"/>
    <s v="Buy"/>
    <n v="1155"/>
    <x v="2"/>
    <x v="4"/>
    <n v="2025"/>
    <s v="Buy"/>
    <x v="1"/>
    <s v="Exxon CIF Rdam June 22-26PhysicalExpo7001.65837"/>
    <x v="0"/>
  </r>
  <r>
    <x v="53"/>
    <d v="2025-05-14T00:00:00"/>
    <s v="WTI Sprds"/>
    <s v="Expo"/>
    <n v="-700"/>
    <d v="2025-06-30T00:00:00"/>
    <d v="2025-07-31T00:00:00"/>
    <n v="0.47"/>
    <n v="0.55000000000000004"/>
    <n v="-56.00000000000005"/>
    <n v="-329"/>
    <x v="31"/>
    <s v="Sell"/>
    <n v="-385.00000000000006"/>
    <x v="0"/>
    <x v="0"/>
    <n v="2025"/>
    <s v="Sell"/>
    <x v="0"/>
    <s v="Exxon CIF Rdam June 22-26WTI SprdsExpo-7000.55838"/>
    <x v="0"/>
  </r>
  <r>
    <x v="53"/>
    <d v="2025-05-14T00:00:00"/>
    <s v="WTI-Brent"/>
    <s v="Expo"/>
    <n v="-700"/>
    <d v="2025-07-31T00:00:00"/>
    <d v="2025-07-31T00:00:00"/>
    <n v="-3.35"/>
    <n v="-3.11"/>
    <n v="-168.00000000000014"/>
    <n v="2345"/>
    <x v="32"/>
    <s v="Sell"/>
    <n v="2177"/>
    <x v="1"/>
    <x v="3"/>
    <n v="2025"/>
    <s v="Sell"/>
    <x v="0"/>
    <s v="Exxon CIF Rdam June 22-26WTI-BrentExpo-700-3.11839"/>
    <x v="0"/>
  </r>
  <r>
    <x v="53"/>
    <d v="2025-05-14T00:00:00"/>
    <s v="Brent Sprds"/>
    <s v="Expo"/>
    <n v="-700"/>
    <d v="2025-07-31T00:00:00"/>
    <d v="2025-08-31T00:00:00"/>
    <n v="0.45"/>
    <n v="1.1200000000000001"/>
    <n v="-469.00000000000011"/>
    <n v="-315"/>
    <x v="33"/>
    <s v="Sell"/>
    <n v="-784.00000000000011"/>
    <x v="0"/>
    <x v="2"/>
    <n v="2025"/>
    <s v="Sell"/>
    <x v="0"/>
    <s v="Exxon CIF Rdam June 22-26Brent SprdsExpo-7001.12840"/>
    <x v="0"/>
  </r>
  <r>
    <x v="53"/>
    <d v="2025-05-14T00:00:00"/>
    <s v="Freight-TD25"/>
    <s v="Expo"/>
    <n v="-700"/>
    <d v="2025-06-30T00:00:00"/>
    <d v="2025-06-30T00:00:00"/>
    <n v="145"/>
    <n v="115"/>
    <n v="420"/>
    <n v="-101500"/>
    <x v="30"/>
    <s v="Sell"/>
    <n v="-80500"/>
    <x v="3"/>
    <x v="5"/>
    <n v="2025"/>
    <s v="Sell"/>
    <x v="0"/>
    <s v="Exxon CIF Rdam June 22-26Freight-TD25Expo-700115841"/>
    <x v="0"/>
  </r>
  <r>
    <x v="53"/>
    <d v="2025-05-14T00:00:00"/>
    <s v="Freight-TD25"/>
    <s v="Hedge"/>
    <n v="700"/>
    <d v="2025-06-30T00:00:00"/>
    <d v="2025-06-30T00:00:00"/>
    <n v="115"/>
    <n v="115"/>
    <n v="0"/>
    <n v="80500"/>
    <x v="30"/>
    <s v="Buy"/>
    <n v="80500"/>
    <x v="3"/>
    <x v="5"/>
    <n v="2025"/>
    <s v="Buy"/>
    <x v="0"/>
    <s v="Exxon CIF Rdam June 22-26Freight-TD25Hedge700115842"/>
    <x v="0"/>
  </r>
  <r>
    <x v="0"/>
    <d v="2025-05-16T00:00:00"/>
    <s v="CFD"/>
    <s v="Hedge"/>
    <n v="-200"/>
    <s v="May19-May23"/>
    <d v="2025-05-31T00:00:00"/>
    <n v="0.2"/>
    <n v="0.47200000000000009"/>
    <n v="-54.400000000000013"/>
    <n v="-40"/>
    <x v="9"/>
    <s v="Sell"/>
    <n v="-94.40000000000002"/>
    <x v="1"/>
    <x v="1"/>
    <n v="2025"/>
    <s v="Sell"/>
    <x v="0"/>
    <s v="UnallocatedCFDHedge-2000.472843"/>
    <x v="0"/>
  </r>
  <r>
    <x v="0"/>
    <d v="2025-05-16T00:00:00"/>
    <s v="CFD"/>
    <s v="Hedge"/>
    <n v="200"/>
    <s v="Jun09-Jun13"/>
    <d v="2025-06-30T00:00:00"/>
    <n v="0.86"/>
    <n v="1.526"/>
    <n v="133.20000000000002"/>
    <n v="172"/>
    <x v="42"/>
    <s v="Buy"/>
    <n v="305.2"/>
    <x v="1"/>
    <x v="1"/>
    <n v="2025"/>
    <s v="Buy"/>
    <x v="0"/>
    <s v="UnallocatedCFDHedge2001.526844"/>
    <x v="0"/>
  </r>
  <r>
    <x v="0"/>
    <d v="2025-05-15T00:00:00"/>
    <s v="DFL"/>
    <s v="Hedge"/>
    <n v="250"/>
    <d v="2025-05-31T00:00:00"/>
    <d v="2025-05-31T00:00:00"/>
    <n v="0.4"/>
    <n v="0.44562600000000002"/>
    <n v="11.406499999999999"/>
    <n v="100"/>
    <x v="22"/>
    <s v="Buy"/>
    <n v="111.40650000000001"/>
    <x v="1"/>
    <x v="1"/>
    <n v="2025"/>
    <s v="Buy"/>
    <x v="0"/>
    <s v="UnallocatedDFLHedge2500.445626845"/>
    <x v="0"/>
  </r>
  <r>
    <x v="0"/>
    <d v="2025-05-16T00:00:00"/>
    <s v="CFD"/>
    <s v="Hedge"/>
    <n v="-200"/>
    <s v="May19-May23"/>
    <d v="2025-05-31T00:00:00"/>
    <n v="0.2"/>
    <n v="0.47200000000000009"/>
    <n v="-54.400000000000013"/>
    <n v="-40"/>
    <x v="9"/>
    <s v="Sell"/>
    <n v="-94.40000000000002"/>
    <x v="1"/>
    <x v="1"/>
    <n v="2025"/>
    <s v="Sell"/>
    <x v="0"/>
    <s v="UnallocatedCFDHedge-2000.472846"/>
    <x v="0"/>
  </r>
  <r>
    <x v="0"/>
    <d v="2025-05-16T00:00:00"/>
    <s v="CFD"/>
    <s v="Hedge"/>
    <n v="500"/>
    <s v="May12-May16"/>
    <d v="2025-05-31T00:00:00"/>
    <n v="-9.7000000000000003E-2"/>
    <n v="-9.7000000000000003E-2"/>
    <n v="0"/>
    <n v="-48.5"/>
    <x v="39"/>
    <s v="Buy"/>
    <n v="-48.5"/>
    <x v="1"/>
    <x v="1"/>
    <n v="2025"/>
    <s v="Buy"/>
    <x v="0"/>
    <s v="UnallocatedCFDHedge500-0.097847"/>
    <x v="0"/>
  </r>
  <r>
    <x v="53"/>
    <d v="2025-05-16T00:00:00"/>
    <s v="Brent Sprds"/>
    <s v="Hedge"/>
    <n v="958"/>
    <d v="2025-07-31T00:00:00"/>
    <d v="2025-08-31T00:00:00"/>
    <n v="0.63"/>
    <n v="1.1200000000000001"/>
    <n v="469.42000000000007"/>
    <n v="603.54"/>
    <x v="33"/>
    <s v="Buy"/>
    <n v="1072.96"/>
    <x v="0"/>
    <x v="2"/>
    <n v="2025"/>
    <s v="Buy"/>
    <x v="0"/>
    <s v="Exxon CIF Rdam June 22-26Brent SprdsHedge9581.12848"/>
    <x v="0"/>
  </r>
  <r>
    <x v="53"/>
    <d v="2025-05-16T00:00:00"/>
    <s v="Brent Sprds"/>
    <s v="Hedge"/>
    <n v="-958"/>
    <d v="2025-08-31T00:00:00"/>
    <d v="2025-09-30T00:00:00"/>
    <n v="0.49"/>
    <n v="0.87"/>
    <n v="-364.04"/>
    <n v="-469.42"/>
    <x v="34"/>
    <s v="Sell"/>
    <n v="-833.46"/>
    <x v="0"/>
    <x v="2"/>
    <n v="2025"/>
    <s v="Sell"/>
    <x v="0"/>
    <s v="Exxon CIF Rdam June 22-26Brent SprdsHedge-9580.87849"/>
    <x v="0"/>
  </r>
  <r>
    <x v="54"/>
    <d v="2025-05-19T00:00:00"/>
    <s v="Physical"/>
    <s v="Expo"/>
    <n v="700"/>
    <d v="2025-05-31T00:00:00"/>
    <d v="2025-05-31T00:00:00"/>
    <n v="2.202"/>
    <n v="1.3"/>
    <n v="-631.4"/>
    <n v="1541.3999999999999"/>
    <x v="22"/>
    <s v="Buy"/>
    <n v="910"/>
    <x v="2"/>
    <x v="4"/>
    <n v="2025"/>
    <s v="Buy"/>
    <x v="1"/>
    <s v="PTIN CIF Rdam June 9-13PhysicalExpo7001.3850"/>
    <x v="0"/>
  </r>
  <r>
    <x v="54"/>
    <d v="2025-05-19T00:00:00"/>
    <s v="WTI Sprds"/>
    <s v="Expo"/>
    <n v="-700"/>
    <d v="2025-06-30T00:00:00"/>
    <d v="2025-07-31T00:00:00"/>
    <n v="0.69"/>
    <n v="0.55000000000000004"/>
    <n v="97.999999999999929"/>
    <n v="-482.99999999999994"/>
    <x v="31"/>
    <s v="Sell"/>
    <n v="-385.00000000000006"/>
    <x v="0"/>
    <x v="0"/>
    <n v="2025"/>
    <s v="Sell"/>
    <x v="0"/>
    <s v="PTIN CIF Rdam June 9-13WTI SprdsExpo-7000.55851"/>
    <x v="0"/>
  </r>
  <r>
    <x v="54"/>
    <d v="2025-05-19T00:00:00"/>
    <s v="WTI-Brent"/>
    <s v="Expo"/>
    <n v="-700"/>
    <d v="2025-07-31T00:00:00"/>
    <d v="2025-07-31T00:00:00"/>
    <n v="-3.32"/>
    <n v="-3.11"/>
    <n v="-146.99999999999997"/>
    <n v="2324"/>
    <x v="32"/>
    <s v="Sell"/>
    <n v="2177"/>
    <x v="1"/>
    <x v="3"/>
    <n v="2025"/>
    <s v="Sell"/>
    <x v="0"/>
    <s v="PTIN CIF Rdam June 9-13WTI-BrentExpo-700-3.11852"/>
    <x v="0"/>
  </r>
  <r>
    <x v="54"/>
    <d v="2025-05-19T00:00:00"/>
    <s v="Brent Sprds"/>
    <s v="Expo"/>
    <n v="-140"/>
    <d v="2025-07-31T00:00:00"/>
    <d v="2025-08-31T00:00:00"/>
    <n v="0.73"/>
    <n v="1.1200000000000001"/>
    <n v="-54.600000000000016"/>
    <n v="-102.2"/>
    <x v="33"/>
    <s v="Sell"/>
    <n v="-156.80000000000001"/>
    <x v="0"/>
    <x v="2"/>
    <n v="2025"/>
    <s v="Sell"/>
    <x v="0"/>
    <s v="PTIN CIF Rdam June 9-13Brent SprdsExpo-1401.12853"/>
    <x v="0"/>
  </r>
  <r>
    <x v="54"/>
    <d v="2025-05-14T00:00:00"/>
    <s v="Freight-TD25"/>
    <s v="Expo"/>
    <n v="-700"/>
    <d v="2025-06-30T00:00:00"/>
    <d v="2025-06-30T00:00:00"/>
    <n v="140"/>
    <n v="137.5"/>
    <n v="35"/>
    <n v="-98000"/>
    <x v="30"/>
    <s v="Sell"/>
    <n v="-96250"/>
    <x v="3"/>
    <x v="5"/>
    <n v="2025"/>
    <s v="Sell"/>
    <x v="0"/>
    <s v="PTIN CIF Rdam June 9-13Freight-TD25Expo-700137.5854"/>
    <x v="0"/>
  </r>
  <r>
    <x v="54"/>
    <d v="2025-05-01T00:00:00"/>
    <s v="Freight-TD25"/>
    <s v="Hedge"/>
    <n v="700"/>
    <d v="2025-05-31T00:00:00"/>
    <d v="2025-05-31T00:00:00"/>
    <n v="137.5"/>
    <n v="137.5"/>
    <n v="0"/>
    <n v="0"/>
    <x v="22"/>
    <s v="Buy"/>
    <n v="96250"/>
    <x v="3"/>
    <x v="5"/>
    <n v="2025"/>
    <s v="Buy"/>
    <x v="0"/>
    <s v="PTIN CIF Rdam June 9-13Freight-TD25Hedge700137.5855"/>
    <x v="0"/>
  </r>
  <r>
    <x v="1"/>
    <d v="2025-05-19T00:00:00"/>
    <s v="Physical"/>
    <s v="Expo"/>
    <n v="700"/>
    <d v="2025-05-31T00:00:00"/>
    <d v="2025-05-31T00:00:00"/>
    <n v="2.3780000000000001"/>
    <n v="1.45"/>
    <n v="-649.60000000000014"/>
    <n v="1664.6000000000001"/>
    <x v="22"/>
    <s v="Buy"/>
    <n v="1015"/>
    <x v="2"/>
    <x v="4"/>
    <n v="2025"/>
    <s v="Buy"/>
    <x v="1"/>
    <s v="Trafi CIF Rdam June 13-17PhysicalExpo7001.45856"/>
    <x v="0"/>
  </r>
  <r>
    <x v="1"/>
    <d v="2025-05-19T00:00:00"/>
    <s v="WTI Sprds"/>
    <s v="Expo"/>
    <n v="-700"/>
    <d v="2025-06-30T00:00:00"/>
    <d v="2025-07-31T00:00:00"/>
    <n v="0.69"/>
    <n v="0.55000000000000004"/>
    <n v="97.999999999999929"/>
    <n v="-482.99999999999994"/>
    <x v="31"/>
    <s v="Sell"/>
    <n v="-385.00000000000006"/>
    <x v="0"/>
    <x v="0"/>
    <n v="2025"/>
    <s v="Sell"/>
    <x v="0"/>
    <s v="Trafi CIF Rdam June 13-17WTI SprdsExpo-7000.55857"/>
    <x v="0"/>
  </r>
  <r>
    <x v="1"/>
    <d v="2025-05-19T00:00:00"/>
    <s v="WTI-Brent"/>
    <s v="Expo"/>
    <n v="-700"/>
    <d v="2025-07-31T00:00:00"/>
    <d v="2025-07-31T00:00:00"/>
    <n v="-3.32"/>
    <n v="-3.11"/>
    <n v="-146.99999999999997"/>
    <n v="2324"/>
    <x v="32"/>
    <s v="Sell"/>
    <n v="2177"/>
    <x v="1"/>
    <x v="3"/>
    <n v="2025"/>
    <s v="Sell"/>
    <x v="0"/>
    <s v="Trafi CIF Rdam June 13-17WTI-BrentExpo-700-3.11858"/>
    <x v="0"/>
  </r>
  <r>
    <x v="1"/>
    <d v="2025-05-19T00:00:00"/>
    <s v="Brent Sprds"/>
    <s v="Expo"/>
    <n v="-700"/>
    <d v="2025-07-31T00:00:00"/>
    <d v="2025-08-31T00:00:00"/>
    <n v="0.73"/>
    <n v="1.1200000000000001"/>
    <n v="-273.00000000000011"/>
    <n v="-511"/>
    <x v="33"/>
    <s v="Sell"/>
    <n v="-784.00000000000011"/>
    <x v="0"/>
    <x v="2"/>
    <n v="2025"/>
    <s v="Sell"/>
    <x v="0"/>
    <s v="Trafi CIF Rdam June 13-17Brent SprdsExpo-7001.12859"/>
    <x v="0"/>
  </r>
  <r>
    <x v="1"/>
    <d v="2025-05-14T00:00:00"/>
    <s v="Freight-TD25"/>
    <s v="Expo"/>
    <n v="-700"/>
    <d v="2025-06-30T00:00:00"/>
    <d v="2025-06-30T00:00:00"/>
    <n v="140"/>
    <n v="125"/>
    <n v="210"/>
    <n v="-98000"/>
    <x v="30"/>
    <s v="Sell"/>
    <n v="-87500"/>
    <x v="3"/>
    <x v="5"/>
    <n v="2025"/>
    <s v="Sell"/>
    <x v="0"/>
    <s v="Trafi CIF Rdam June 13-17Freight-TD25Expo-700125860"/>
    <x v="0"/>
  </r>
  <r>
    <x v="1"/>
    <d v="2025-05-14T00:00:00"/>
    <s v="Freight-TD25"/>
    <s v="Hedge"/>
    <n v="700"/>
    <d v="2025-06-30T00:00:00"/>
    <d v="2025-06-30T00:00:00"/>
    <n v="125"/>
    <n v="125"/>
    <n v="0"/>
    <n v="87500"/>
    <x v="30"/>
    <s v="Buy"/>
    <n v="87500"/>
    <x v="3"/>
    <x v="5"/>
    <n v="2025"/>
    <s v="Buy"/>
    <x v="0"/>
    <s v="Trafi CIF Rdam June 13-17Freight-TD25Hedge700125861"/>
    <x v="0"/>
  </r>
  <r>
    <x v="55"/>
    <d v="2025-05-19T00:00:00"/>
    <s v="Physical"/>
    <s v="Expo"/>
    <n v="700"/>
    <d v="2025-05-31T00:00:00"/>
    <d v="2025-05-31T00:00:00"/>
    <n v="2.5100000000000002"/>
    <n v="1.55"/>
    <n v="-672.00000000000011"/>
    <n v="1757.0000000000002"/>
    <x v="22"/>
    <s v="Buy"/>
    <n v="1085"/>
    <x v="2"/>
    <x v="4"/>
    <n v="2025"/>
    <s v="Buy"/>
    <x v="1"/>
    <s v="BP CIF Rdam June 17-21PhysicalExpo7001.55862"/>
    <x v="0"/>
  </r>
  <r>
    <x v="55"/>
    <d v="2025-05-19T00:00:00"/>
    <s v="WTI Sprds"/>
    <s v="Expo"/>
    <n v="-700"/>
    <d v="2025-06-30T00:00:00"/>
    <d v="2025-07-31T00:00:00"/>
    <n v="0.69"/>
    <n v="0.55000000000000004"/>
    <n v="97.999999999999929"/>
    <n v="-482.99999999999994"/>
    <x v="31"/>
    <s v="Sell"/>
    <n v="-385.00000000000006"/>
    <x v="0"/>
    <x v="0"/>
    <n v="2025"/>
    <s v="Sell"/>
    <x v="0"/>
    <s v="BP CIF Rdam June 17-21WTI SprdsExpo-7000.55863"/>
    <x v="0"/>
  </r>
  <r>
    <x v="55"/>
    <d v="2025-05-19T00:00:00"/>
    <s v="WTI-Brent"/>
    <s v="Expo"/>
    <n v="-700"/>
    <d v="2025-07-31T00:00:00"/>
    <d v="2025-07-31T00:00:00"/>
    <n v="-3.32"/>
    <n v="-3.11"/>
    <n v="-146.99999999999997"/>
    <n v="2324"/>
    <x v="32"/>
    <s v="Sell"/>
    <n v="2177"/>
    <x v="1"/>
    <x v="3"/>
    <n v="2025"/>
    <s v="Sell"/>
    <x v="0"/>
    <s v="BP CIF Rdam June 17-21WTI-BrentExpo-700-3.11864"/>
    <x v="0"/>
  </r>
  <r>
    <x v="55"/>
    <d v="2025-05-19T00:00:00"/>
    <s v="Brent Sprds"/>
    <s v="Expo"/>
    <n v="-700"/>
    <d v="2025-07-31T00:00:00"/>
    <d v="2025-08-31T00:00:00"/>
    <n v="0.73"/>
    <n v="1.1200000000000001"/>
    <n v="-273.00000000000011"/>
    <n v="-511"/>
    <x v="33"/>
    <s v="Sell"/>
    <n v="-784.00000000000011"/>
    <x v="0"/>
    <x v="2"/>
    <n v="2025"/>
    <s v="Sell"/>
    <x v="0"/>
    <s v="BP CIF Rdam June 17-21Brent SprdsExpo-7001.12865"/>
    <x v="0"/>
  </r>
  <r>
    <x v="55"/>
    <d v="2025-05-14T00:00:00"/>
    <s v="Freight-TD25"/>
    <s v="Expo"/>
    <n v="-700"/>
    <d v="2025-06-30T00:00:00"/>
    <d v="2025-06-30T00:00:00"/>
    <n v="140"/>
    <n v="120"/>
    <n v="280"/>
    <n v="-98000"/>
    <x v="30"/>
    <s v="Sell"/>
    <n v="-84000"/>
    <x v="3"/>
    <x v="5"/>
    <n v="2025"/>
    <s v="Sell"/>
    <x v="0"/>
    <s v="BP CIF Rdam June 17-21Freight-TD25Expo-700120866"/>
    <x v="0"/>
  </r>
  <r>
    <x v="55"/>
    <d v="2025-05-14T00:00:00"/>
    <s v="Freight-TD25"/>
    <s v="Hedge"/>
    <n v="700"/>
    <d v="2025-06-30T00:00:00"/>
    <d v="2025-06-30T00:00:00"/>
    <n v="120"/>
    <n v="120"/>
    <n v="0"/>
    <n v="84000"/>
    <x v="30"/>
    <s v="Buy"/>
    <n v="84000"/>
    <x v="3"/>
    <x v="5"/>
    <n v="2025"/>
    <s v="Buy"/>
    <x v="0"/>
    <s v="BP CIF Rdam June 17-21Freight-TD25Hedge700120867"/>
    <x v="0"/>
  </r>
  <r>
    <x v="55"/>
    <d v="2025-05-19T00:00:00"/>
    <s v="WTI Sprds"/>
    <s v="Hedge"/>
    <n v="3373"/>
    <d v="2025-06-30T00:00:00"/>
    <d v="2025-07-31T00:00:00"/>
    <n v="0.55000000000000004"/>
    <n v="0.55000000000000004"/>
    <n v="0"/>
    <n v="1855.15"/>
    <x v="31"/>
    <s v="Buy"/>
    <n v="1855.15"/>
    <x v="0"/>
    <x v="0"/>
    <n v="2025"/>
    <s v="Buy"/>
    <x v="0"/>
    <s v="BP CIF Rdam June 17-21WTI SprdsHedge33730.55868"/>
    <x v="0"/>
  </r>
  <r>
    <x v="55"/>
    <d v="2025-05-20T00:00:00"/>
    <s v="WTI Sprds"/>
    <s v="Hedge"/>
    <n v="-2100"/>
    <d v="2025-06-30T00:00:00"/>
    <d v="2025-07-31T00:00:00"/>
    <n v="0.55000000000000004"/>
    <n v="0.55000000000000004"/>
    <n v="0"/>
    <n v="-1155"/>
    <x v="31"/>
    <s v="Sell"/>
    <n v="-1155"/>
    <x v="0"/>
    <x v="0"/>
    <n v="2025"/>
    <s v="Sell"/>
    <x v="0"/>
    <s v="BP CIF Rdam June 17-21WTI SprdsHedge-21000.55869"/>
    <x v="0"/>
  </r>
  <r>
    <x v="55"/>
    <d v="2025-05-20T00:00:00"/>
    <s v="Brent Sprds"/>
    <s v="Hedge"/>
    <n v="1400"/>
    <d v="2025-07-31T00:00:00"/>
    <d v="2025-08-31T00:00:00"/>
    <n v="0.62"/>
    <n v="1.1200000000000001"/>
    <n v="700.00000000000011"/>
    <n v="868"/>
    <x v="33"/>
    <s v="Buy"/>
    <n v="1568.0000000000002"/>
    <x v="0"/>
    <x v="2"/>
    <n v="2025"/>
    <s v="Buy"/>
    <x v="0"/>
    <s v="BP CIF Rdam June 17-21Brent SprdsHedge14001.12870"/>
    <x v="0"/>
  </r>
  <r>
    <x v="56"/>
    <d v="2025-05-21T00:00:00"/>
    <s v="Physical"/>
    <s v="Expo"/>
    <n v="2098"/>
    <d v="2025-06-30T00:00:00"/>
    <d v="2025-06-30T00:00:00"/>
    <n v="2.5599999999999996"/>
    <n v="2.9899999999999998"/>
    <n v="902.14000000000033"/>
    <n v="5475.7799999999988"/>
    <x v="30"/>
    <s v="Buy"/>
    <n v="6273.0199999999995"/>
    <x v="2"/>
    <x v="4"/>
    <n v="2025"/>
    <s v="Buy"/>
    <x v="1"/>
    <s v="CPC Taiwain Aug 15-22PhysicalExpo20982.99871"/>
    <x v="0"/>
  </r>
  <r>
    <x v="56"/>
    <d v="2025-05-21T00:00:00"/>
    <s v="WTI Sprds"/>
    <s v="Expo"/>
    <n v="-2075"/>
    <d v="2025-07-31T00:00:00"/>
    <d v="2025-08-31T00:00:00"/>
    <n v="0.59"/>
    <n v="1.64"/>
    <n v="-2178.7499999999995"/>
    <n v="-1224.25"/>
    <x v="33"/>
    <s v="Sell"/>
    <n v="-3403"/>
    <x v="0"/>
    <x v="0"/>
    <n v="2025"/>
    <s v="Sell"/>
    <x v="0"/>
    <s v="CPC Taiwain Aug 15-22WTI SprdsExpo-20751.64872"/>
    <x v="0"/>
  </r>
  <r>
    <x v="56"/>
    <d v="2025-05-21T00:00:00"/>
    <s v="WTI Sprds"/>
    <s v="Expo"/>
    <n v="-2075"/>
    <d v="2025-08-31T00:00:00"/>
    <d v="2025-09-30T00:00:00"/>
    <n v="0.55000000000000004"/>
    <n v="1.25"/>
    <n v="-1452.5"/>
    <n v="-1141.25"/>
    <x v="34"/>
    <s v="Sell"/>
    <n v="-2593.75"/>
    <x v="0"/>
    <x v="0"/>
    <n v="2025"/>
    <s v="Sell"/>
    <x v="0"/>
    <s v="CPC Taiwain Aug 15-22WTI SprdsExpo-20751.25873"/>
    <x v="0"/>
  </r>
  <r>
    <x v="56"/>
    <d v="2025-05-21T00:00:00"/>
    <s v="WTI-Brent"/>
    <s v="Expo"/>
    <n v="-2098"/>
    <d v="2025-09-30T00:00:00"/>
    <d v="2025-09-30T00:00:00"/>
    <n v="-3.37"/>
    <n v="-3.27"/>
    <n v="-209.80000000000018"/>
    <n v="7070.26"/>
    <x v="43"/>
    <s v="Sell"/>
    <n v="6860.46"/>
    <x v="1"/>
    <x v="3"/>
    <n v="2025"/>
    <s v="Sell"/>
    <x v="0"/>
    <s v="CPC Taiwain Aug 15-22WTI-BrentExpo-2098-3.27874"/>
    <x v="0"/>
  </r>
  <r>
    <x v="56"/>
    <d v="2025-05-21T00:00:00"/>
    <s v="DFL"/>
    <s v="Expo"/>
    <n v="2098"/>
    <d v="2025-07-31T00:00:00"/>
    <d v="2025-07-31T00:00:00"/>
    <n v="0.65"/>
    <n v="1.47"/>
    <n v="1720.36"/>
    <n v="1363.7"/>
    <x v="32"/>
    <s v="Buy"/>
    <n v="3084.06"/>
    <x v="1"/>
    <x v="1"/>
    <n v="2025"/>
    <s v="Buy"/>
    <x v="0"/>
    <s v="CPC Taiwain Aug 15-22DFLExpo20981.47875"/>
    <x v="0"/>
  </r>
  <r>
    <x v="56"/>
    <d v="2025-05-21T00:00:00"/>
    <s v="Freight-TD22"/>
    <s v="Expo"/>
    <n v="-2000"/>
    <d v="2025-06-30T00:00:00"/>
    <d v="2025-06-30T00:00:00"/>
    <n v="8100"/>
    <n v="8100"/>
    <n v="0"/>
    <n v="-16200000"/>
    <x v="30"/>
    <s v="Sell"/>
    <n v="-16200000"/>
    <x v="3"/>
    <x v="5"/>
    <n v="2025"/>
    <s v="Sell"/>
    <x v="0"/>
    <s v="CPC Taiwain Aug 15-22Freight-TD22Expo-20008100876"/>
    <x v="0"/>
  </r>
  <r>
    <x v="56"/>
    <d v="2025-05-22T00:00:00"/>
    <s v="Freight-TD22"/>
    <s v="Hedge"/>
    <n v="2000"/>
    <d v="2025-06-30T00:00:00"/>
    <d v="2025-06-30T00:00:00"/>
    <n v="7600"/>
    <n v="8100"/>
    <n v="500"/>
    <n v="15200000"/>
    <x v="30"/>
    <s v="Buy"/>
    <n v="16200000"/>
    <x v="3"/>
    <x v="5"/>
    <n v="2025"/>
    <s v="Buy"/>
    <x v="0"/>
    <s v="CPC Taiwain Aug 15-22Freight-TD22Hedge20008100877"/>
    <x v="0"/>
  </r>
  <r>
    <x v="0"/>
    <d v="2025-05-21T00:00:00"/>
    <s v="WTI Sprds-Fly"/>
    <s v="Hedge"/>
    <n v="-500"/>
    <d v="2025-07-31T00:00:00"/>
    <d v="2025-08-31T00:00:00"/>
    <n v="0.59"/>
    <n v="1.64"/>
    <n v="-524.99999999999989"/>
    <n v="-295"/>
    <x v="33"/>
    <s v="Sell"/>
    <n v="-820"/>
    <x v="0"/>
    <x v="0"/>
    <n v="2025"/>
    <s v="Sell"/>
    <x v="0"/>
    <s v="UnallocatedWTI Sprds-FlyHedge-5001.64878"/>
    <x v="0"/>
  </r>
  <r>
    <x v="0"/>
    <d v="2025-05-21T00:00:00"/>
    <s v="WTI Sprds-Fly"/>
    <s v="Hedge"/>
    <n v="500"/>
    <d v="2025-08-31T00:00:00"/>
    <d v="2025-09-30T00:00:00"/>
    <n v="0.53"/>
    <n v="1.25"/>
    <n v="360"/>
    <n v="265"/>
    <x v="34"/>
    <s v="Buy"/>
    <n v="625"/>
    <x v="0"/>
    <x v="0"/>
    <n v="2025"/>
    <s v="Buy"/>
    <x v="0"/>
    <s v="UnallocatedWTI Sprds-FlyHedge5001.25879"/>
    <x v="0"/>
  </r>
  <r>
    <x v="0"/>
    <d v="2025-05-21T00:00:00"/>
    <s v="WTI-Brent"/>
    <s v="Hedge"/>
    <n v="2000"/>
    <d v="2025-07-31T00:00:00"/>
    <d v="2025-07-31T00:00:00"/>
    <n v="-3.31"/>
    <n v="-3.11"/>
    <n v="400.00000000000034"/>
    <n v="-6620"/>
    <x v="32"/>
    <s v="Buy"/>
    <n v="-6220"/>
    <x v="1"/>
    <x v="3"/>
    <n v="2025"/>
    <s v="Buy"/>
    <x v="0"/>
    <s v="UnallocatedWTI-BrentHedge2000-3.11880"/>
    <x v="0"/>
  </r>
  <r>
    <x v="0"/>
    <d v="2025-05-21T00:00:00"/>
    <s v="WTI-Brent"/>
    <s v="Hedge"/>
    <n v="-2000"/>
    <d v="2025-08-31T00:00:00"/>
    <d v="2025-08-31T00:00:00"/>
    <n v="-3.35"/>
    <n v="-2.5"/>
    <n v="-1700.0000000000002"/>
    <n v="6700"/>
    <x v="38"/>
    <s v="Sell"/>
    <n v="5000"/>
    <x v="1"/>
    <x v="3"/>
    <n v="2025"/>
    <s v="Sell"/>
    <x v="0"/>
    <s v="UnallocatedWTI-BrentHedge-2000-2.5881"/>
    <x v="0"/>
  </r>
  <r>
    <x v="54"/>
    <d v="2025-05-19T00:00:00"/>
    <s v="CFD"/>
    <s v="Hedge"/>
    <n v="-200"/>
    <s v="Jun02-Jun06"/>
    <d v="2025-06-30T00:00:00"/>
    <n v="0.9"/>
    <n v="1.81"/>
    <n v="-182"/>
    <n v="-180"/>
    <x v="41"/>
    <s v="Buy"/>
    <n v="252"/>
    <x v="1"/>
    <x v="1"/>
    <n v="2025"/>
    <s v="Sell"/>
    <x v="0"/>
    <s v="PTIN CIF Rdam June 9-13CFDHedge-2001.81882"/>
    <x v="0"/>
  </r>
  <r>
    <x v="54"/>
    <d v="2025-05-22T00:00:00"/>
    <s v="CFD"/>
    <s v="Hedge"/>
    <n v="-200"/>
    <s v="Jun09-Jun13"/>
    <d v="2025-06-30T00:00:00"/>
    <n v="0.8"/>
    <n v="1.526"/>
    <n v="-145.19999999999999"/>
    <n v="-160"/>
    <x v="42"/>
    <s v="Buy"/>
    <n v="331.8"/>
    <x v="1"/>
    <x v="1"/>
    <n v="2025"/>
    <s v="Sell"/>
    <x v="0"/>
    <s v="PTIN CIF Rdam June 9-13CFDHedge-2001.526883"/>
    <x v="0"/>
  </r>
  <r>
    <x v="1"/>
    <d v="2025-05-19T00:00:00"/>
    <s v="CFD"/>
    <s v="Hedge"/>
    <n v="-200"/>
    <s v="Jun16-Jun20"/>
    <d v="2025-06-30T00:00:00"/>
    <n v="0.57999999999999996"/>
    <n v="1.8180000000000001"/>
    <n v="-247.6"/>
    <n v="-115.99999999999999"/>
    <x v="44"/>
    <s v="Buy"/>
    <n v="78.400000000000006"/>
    <x v="1"/>
    <x v="1"/>
    <n v="2025"/>
    <s v="Sell"/>
    <x v="0"/>
    <s v="Trafi CIF Rdam June 13-17CFDHedge-2001.818884"/>
    <x v="0"/>
  </r>
  <r>
    <x v="54"/>
    <d v="2025-05-21T00:00:00"/>
    <s v="CFD"/>
    <s v="Hedge"/>
    <n v="-100"/>
    <s v="Jun09-Jun13"/>
    <d v="2025-06-30T00:00:00"/>
    <n v="0.8"/>
    <n v="1.526"/>
    <n v="-72.599999999999994"/>
    <n v="-80"/>
    <x v="42"/>
    <s v="Buy"/>
    <n v="331.8"/>
    <x v="1"/>
    <x v="1"/>
    <n v="2025"/>
    <s v="Sell"/>
    <x v="0"/>
    <s v="PTIN CIF Rdam June 9-13CFDHedge-1001.526885"/>
    <x v="0"/>
  </r>
  <r>
    <x v="56"/>
    <d v="2025-05-22T00:00:00"/>
    <s v="DFL"/>
    <s v="Hedge"/>
    <n v="-700"/>
    <d v="2025-06-30T00:00:00"/>
    <d v="2025-06-30T00:00:00"/>
    <n v="0.7"/>
    <n v="1.72"/>
    <n v="-714"/>
    <n v="-489.99999999999994"/>
    <x v="30"/>
    <s v="Sell"/>
    <n v="-1204"/>
    <x v="1"/>
    <x v="1"/>
    <n v="2025"/>
    <s v="Sell"/>
    <x v="0"/>
    <s v="CPC Taiwain Aug 15-22DFLHedge-7001.72886"/>
    <x v="0"/>
  </r>
  <r>
    <x v="56"/>
    <d v="2025-05-22T00:00:00"/>
    <s v="DFL"/>
    <s v="Hedge"/>
    <n v="-500"/>
    <d v="2025-07-31T00:00:00"/>
    <d v="2025-07-31T00:00:00"/>
    <n v="0.56000000000000005"/>
    <n v="1.47"/>
    <n v="-454.99999999999994"/>
    <n v="-280"/>
    <x v="32"/>
    <s v="Sell"/>
    <n v="-735"/>
    <x v="1"/>
    <x v="1"/>
    <n v="2025"/>
    <s v="Sell"/>
    <x v="0"/>
    <s v="CPC Taiwain Aug 15-22DFLHedge-5001.47887"/>
    <x v="0"/>
  </r>
  <r>
    <x v="54"/>
    <d v="2025-05-19T00:00:00"/>
    <s v="CFD"/>
    <s v="Expo"/>
    <n v="140"/>
    <s v="Jun02-Jun06"/>
    <d v="2025-06-30T00:00:00"/>
    <n v="1.32"/>
    <n v="1.81"/>
    <n v="68.599999999999994"/>
    <n v="184.8"/>
    <x v="41"/>
    <s v="Buy"/>
    <n v="305.20000000000005"/>
    <x v="1"/>
    <x v="1"/>
    <n v="2025"/>
    <s v="Buy"/>
    <x v="0"/>
    <s v="PTIN CIF Rdam June 9-13CFDExpo1401.81888"/>
    <x v="0"/>
  </r>
  <r>
    <x v="55"/>
    <d v="2025-05-19T00:00:00"/>
    <s v="CFD"/>
    <s v="Expo"/>
    <n v="1121"/>
    <s v="Jun09-Jun13"/>
    <d v="2025-06-30T00:00:00"/>
    <n v="1.08"/>
    <n v="1.526"/>
    <n v="499.96599999999995"/>
    <n v="1210.68"/>
    <x v="42"/>
    <s v="Buy"/>
    <n v="1184.3999999999999"/>
    <x v="1"/>
    <x v="1"/>
    <n v="2025"/>
    <s v="Buy"/>
    <x v="0"/>
    <s v="BP CIF Rdam June 17-21CFDExpo11211.526889"/>
    <x v="0"/>
  </r>
  <r>
    <x v="1"/>
    <d v="2025-05-19T00:00:00"/>
    <s v="CFD"/>
    <s v="Expo"/>
    <n v="846"/>
    <s v="Jun16-Jun20"/>
    <d v="2025-06-30T00:00:00"/>
    <n v="0.76"/>
    <n v="1.8180000000000001"/>
    <n v="895.0680000000001"/>
    <n v="642.96"/>
    <x v="44"/>
    <s v="Buy"/>
    <n v="397.59999999999997"/>
    <x v="1"/>
    <x v="1"/>
    <n v="2025"/>
    <s v="Buy"/>
    <x v="0"/>
    <s v="Trafi CIF Rdam June 13-17CFDExpo8461.818890"/>
    <x v="0"/>
  </r>
  <r>
    <x v="54"/>
    <d v="2025-05-23T00:00:00"/>
    <s v="CFD"/>
    <s v="Hedge"/>
    <n v="-300"/>
    <s v="Jun02-Jun06"/>
    <d v="2025-06-30T00:00:00"/>
    <n v="1.08"/>
    <n v="1.81"/>
    <n v="-219"/>
    <n v="-324"/>
    <x v="41"/>
    <s v="Sell"/>
    <n v="-543"/>
    <x v="1"/>
    <x v="1"/>
    <n v="2025"/>
    <s v="Sell"/>
    <x v="0"/>
    <s v="PTIN CIF Rdam June 9-13CFDHedge-3001.81891"/>
    <x v="0"/>
  </r>
  <r>
    <x v="55"/>
    <d v="2025-05-23T00:00:00"/>
    <s v="CFD"/>
    <s v="Hedge"/>
    <n v="-300"/>
    <s v="Jun09-Jun13"/>
    <d v="2025-06-30T00:00:00"/>
    <n v="0.95"/>
    <n v="1.526"/>
    <n v="-172.8"/>
    <n v="-285"/>
    <x v="42"/>
    <s v="Sell"/>
    <n v="-457.8"/>
    <x v="1"/>
    <x v="1"/>
    <n v="2025"/>
    <s v="Sell"/>
    <x v="0"/>
    <s v="BP CIF Rdam June 17-21CFDHedge-3001.526892"/>
    <x v="0"/>
  </r>
  <r>
    <x v="56"/>
    <d v="2025-05-23T00:00:00"/>
    <s v="DFL"/>
    <s v="Hedge"/>
    <n v="-300"/>
    <d v="2025-06-30T00:00:00"/>
    <d v="2025-06-30T00:00:00"/>
    <n v="0.84"/>
    <n v="1.72"/>
    <n v="-264"/>
    <n v="-252"/>
    <x v="30"/>
    <s v="Sell"/>
    <n v="-516"/>
    <x v="1"/>
    <x v="1"/>
    <n v="2025"/>
    <s v="Sell"/>
    <x v="0"/>
    <s v="CPC Taiwain Aug 15-22DFLHedge-3001.72893"/>
    <x v="0"/>
  </r>
  <r>
    <x v="56"/>
    <d v="2025-05-23T00:00:00"/>
    <s v="WTI Sprds"/>
    <s v="Hedge"/>
    <n v="-500"/>
    <d v="2025-07-31T00:00:00"/>
    <d v="2025-08-31T00:00:00"/>
    <n v="0.59"/>
    <n v="1.64"/>
    <n v="-524.99999999999989"/>
    <n v="-295"/>
    <x v="33"/>
    <s v="Sell"/>
    <n v="-820"/>
    <x v="0"/>
    <x v="0"/>
    <n v="2025"/>
    <s v="Sell"/>
    <x v="0"/>
    <s v="CPC Taiwain Aug 15-22WTI SprdsHedge-5001.64894"/>
    <x v="0"/>
  </r>
  <r>
    <x v="56"/>
    <d v="2025-05-23T00:00:00"/>
    <s v="WTI Sprds"/>
    <s v="Hedge"/>
    <n v="-500"/>
    <d v="2025-08-31T00:00:00"/>
    <d v="2025-09-30T00:00:00"/>
    <n v="0.59"/>
    <n v="1.25"/>
    <n v="-330"/>
    <n v="-295"/>
    <x v="34"/>
    <s v="Sell"/>
    <n v="-625"/>
    <x v="0"/>
    <x v="0"/>
    <n v="2025"/>
    <s v="Sell"/>
    <x v="0"/>
    <s v="CPC Taiwain Aug 15-22WTI SprdsHedge-5001.25895"/>
    <x v="0"/>
  </r>
  <r>
    <x v="0"/>
    <d v="2025-05-23T00:00:00"/>
    <s v="WTI-Brent"/>
    <s v="Hedge"/>
    <n v="2500"/>
    <d v="2025-07-31T00:00:00"/>
    <d v="2025-07-31T00:00:00"/>
    <n v="-3.25"/>
    <n v="-3.11"/>
    <n v="350.00000000000028"/>
    <n v="-8125"/>
    <x v="32"/>
    <s v="Buy"/>
    <n v="-7775"/>
    <x v="1"/>
    <x v="3"/>
    <n v="2025"/>
    <s v="Buy"/>
    <x v="0"/>
    <s v="UnallocatedWTI-BrentHedge2500-3.11896"/>
    <x v="0"/>
  </r>
  <r>
    <x v="56"/>
    <d v="2025-05-27T00:00:00"/>
    <s v="DFL"/>
    <s v="Hedge"/>
    <n v="-500"/>
    <d v="2025-06-30T00:00:00"/>
    <d v="2025-06-30T00:00:00"/>
    <n v="0.95"/>
    <n v="1.72"/>
    <n v="-385"/>
    <n v="-475"/>
    <x v="30"/>
    <s v="Sell"/>
    <n v="-860"/>
    <x v="1"/>
    <x v="1"/>
    <n v="2025"/>
    <s v="Sell"/>
    <x v="0"/>
    <s v="CPC Taiwain Aug 15-22DFLHedge-5001.72897"/>
    <x v="0"/>
  </r>
  <r>
    <x v="56"/>
    <d v="2025-05-27T00:00:00"/>
    <s v="DFL"/>
    <s v="Hedge"/>
    <n v="-750"/>
    <d v="2025-07-31T00:00:00"/>
    <d v="2025-07-31T00:00:00"/>
    <n v="0.67500000000000004"/>
    <n v="1.47"/>
    <n v="-596.25"/>
    <n v="-506.25000000000006"/>
    <x v="32"/>
    <s v="Sell"/>
    <n v="-1102.5"/>
    <x v="1"/>
    <x v="1"/>
    <n v="2025"/>
    <s v="Sell"/>
    <x v="0"/>
    <s v="CPC Taiwain Aug 15-22DFLHedge-7501.47898"/>
    <x v="0"/>
  </r>
  <r>
    <x v="55"/>
    <d v="2025-05-27T00:00:00"/>
    <s v="CFD"/>
    <s v="Hedge"/>
    <n v="-200"/>
    <s v="Jun09-Jun13"/>
    <d v="2025-06-30T00:00:00"/>
    <n v="0.93"/>
    <n v="1.526"/>
    <n v="-119.19999999999999"/>
    <n v="-186"/>
    <x v="42"/>
    <s v="Sell"/>
    <n v="-305.2"/>
    <x v="1"/>
    <x v="1"/>
    <n v="2025"/>
    <s v="Sell"/>
    <x v="0"/>
    <s v="BP CIF Rdam June 17-21CFDHedge-2001.526899"/>
    <x v="0"/>
  </r>
  <r>
    <x v="1"/>
    <d v="2025-05-27T00:00:00"/>
    <s v="CFD"/>
    <s v="Hedge"/>
    <n v="-100"/>
    <s v="Jun16-Jun20"/>
    <d v="2025-06-30T00:00:00"/>
    <n v="0.71"/>
    <n v="1.8180000000000001"/>
    <n v="-110.80000000000001"/>
    <n v="-71"/>
    <x v="44"/>
    <s v="Sell"/>
    <n v="-181.8"/>
    <x v="1"/>
    <x v="1"/>
    <n v="2025"/>
    <s v="Sell"/>
    <x v="0"/>
    <s v="Trafi CIF Rdam June 13-17CFDHedge-1001.818900"/>
    <x v="0"/>
  </r>
  <r>
    <x v="0"/>
    <d v="2025-05-27T00:00:00"/>
    <s v="WTI-Brent"/>
    <s v="Hedge"/>
    <n v="1853"/>
    <d v="2025-07-31T00:00:00"/>
    <d v="2025-07-31T00:00:00"/>
    <n v="-3.2"/>
    <n v="-3.11"/>
    <n v="166.77000000000055"/>
    <n v="-5929.6"/>
    <x v="32"/>
    <s v="Buy"/>
    <n v="-5762.83"/>
    <x v="1"/>
    <x v="3"/>
    <n v="2025"/>
    <s v="Buy"/>
    <x v="0"/>
    <s v="UnallocatedWTI-BrentHedge1853-3.11901"/>
    <x v="0"/>
  </r>
  <r>
    <x v="0"/>
    <d v="2025-05-27T00:00:00"/>
    <s v="Brent Sprds"/>
    <s v="Hedge"/>
    <m/>
    <d v="2025-08-31T00:00:00"/>
    <d v="2025-09-30T00:00:00"/>
    <n v="0.54"/>
    <n v="0.87"/>
    <n v="0"/>
    <n v="0"/>
    <x v="34"/>
    <s v="Buy"/>
    <n v="0"/>
    <x v="0"/>
    <x v="2"/>
    <n v="2025"/>
    <s v="Sell"/>
    <x v="0"/>
    <s v="UnallocatedBrent SprdsHedge0.87902"/>
    <x v="0"/>
  </r>
  <r>
    <x v="1"/>
    <d v="2025-05-27T00:00:00"/>
    <s v="CFD"/>
    <s v="Hedge"/>
    <n v="1500"/>
    <s v="May19-May23"/>
    <d v="2025-06-30T00:00:00"/>
    <n v="0.47199999999999998"/>
    <n v="0.47200000000000009"/>
    <n v="1.6653345369377348E-13"/>
    <n v="708"/>
    <x v="8"/>
    <s v="Buy"/>
    <n v="708.00000000000011"/>
    <x v="1"/>
    <x v="1"/>
    <n v="2025"/>
    <s v="Buy"/>
    <x v="0"/>
    <s v="Trafi CIF Rdam June 13-17CFDHedge15000.472903"/>
    <x v="0"/>
  </r>
  <r>
    <x v="57"/>
    <d v="2025-05-28T00:00:00"/>
    <s v="Physical"/>
    <s v="Expo"/>
    <n v="700"/>
    <d v="2025-06-30T00:00:00"/>
    <d v="2025-06-30T00:00:00"/>
    <n v="-1.1700000000000002"/>
    <n v="-1.2"/>
    <n v="-20.999999999999865"/>
    <n v="-819.00000000000011"/>
    <x v="30"/>
    <s v="Buy"/>
    <n v="-840"/>
    <x v="2"/>
    <x v="4"/>
    <n v="2025"/>
    <s v="Buy"/>
    <x v="1"/>
    <s v="BP FOB June 9-10 EHSCPhysicalExpo700-1.2904"/>
    <x v="0"/>
  </r>
  <r>
    <x v="57"/>
    <d v="2025-05-28T00:00:00"/>
    <s v="WTI Sprds"/>
    <s v="Expo"/>
    <n v="-700"/>
    <d v="2025-07-31T00:00:00"/>
    <d v="2025-08-31T00:00:00"/>
    <n v="0.64"/>
    <n v="1.64"/>
    <n v="-699.99999999999989"/>
    <n v="-448"/>
    <x v="33"/>
    <s v="Sell"/>
    <n v="-1148"/>
    <x v="0"/>
    <x v="0"/>
    <n v="2025"/>
    <s v="Sell"/>
    <x v="0"/>
    <s v="BP FOB June 9-10 EHSCWTI SprdsExpo-7001.64905"/>
    <x v="0"/>
  </r>
  <r>
    <x v="57"/>
    <d v="2025-05-28T00:00:00"/>
    <s v="WTI-Brent"/>
    <s v="Expo"/>
    <n v="-700"/>
    <d v="2025-08-31T00:00:00"/>
    <d v="2025-08-31T00:00:00"/>
    <n v="-3.12"/>
    <n v="-2.5"/>
    <n v="-434.00000000000006"/>
    <n v="2184"/>
    <x v="38"/>
    <s v="Sell"/>
    <n v="1750"/>
    <x v="1"/>
    <x v="3"/>
    <n v="2025"/>
    <s v="Sell"/>
    <x v="0"/>
    <s v="BP FOB June 9-10 EHSCWTI-BrentExpo-700-2.5906"/>
    <x v="0"/>
  </r>
  <r>
    <x v="0"/>
    <d v="2025-05-28T00:00:00"/>
    <s v="WTI Sprds"/>
    <s v="Hedge"/>
    <n v="-1000"/>
    <d v="2025-07-31T00:00:00"/>
    <d v="2025-08-31T00:00:00"/>
    <n v="0.59"/>
    <n v="1.64"/>
    <n v="-1049.9999999999998"/>
    <n v="-590"/>
    <x v="33"/>
    <s v="Sell"/>
    <n v="-1640"/>
    <x v="0"/>
    <x v="0"/>
    <n v="2025"/>
    <s v="Sell"/>
    <x v="0"/>
    <s v="UnallocatedWTI SprdsHedge-10001.64907"/>
    <x v="0"/>
  </r>
  <r>
    <x v="0"/>
    <d v="2025-05-28T00:00:00"/>
    <s v="WTI Sprds"/>
    <s v="Hedge"/>
    <n v="-1000"/>
    <d v="2025-08-31T00:00:00"/>
    <d v="2025-09-30T00:00:00"/>
    <n v="0.59"/>
    <n v="1.25"/>
    <n v="-660"/>
    <n v="-590"/>
    <x v="34"/>
    <s v="Sell"/>
    <n v="-1250"/>
    <x v="0"/>
    <x v="0"/>
    <n v="2025"/>
    <s v="Sell"/>
    <x v="0"/>
    <s v="UnallocatedWTI SprdsHedge-10001.25908"/>
    <x v="0"/>
  </r>
  <r>
    <x v="0"/>
    <d v="2025-05-28T00:00:00"/>
    <s v="DFL"/>
    <s v="Hedge"/>
    <n v="-625"/>
    <d v="2025-07-31T00:00:00"/>
    <d v="2025-07-31T00:00:00"/>
    <n v="0.68"/>
    <n v="1.47"/>
    <n v="-493.74999999999994"/>
    <n v="-425.00000000000006"/>
    <x v="32"/>
    <s v="Sell"/>
    <n v="-918.75"/>
    <x v="1"/>
    <x v="1"/>
    <n v="2025"/>
    <s v="Sell"/>
    <x v="0"/>
    <s v="UnallocatedDFLHedge-6251.47909"/>
    <x v="0"/>
  </r>
  <r>
    <x v="0"/>
    <d v="2025-05-28T00:00:00"/>
    <s v="CFD"/>
    <s v="Hedge"/>
    <n v="-200"/>
    <s v="Jun09-Jun13"/>
    <d v="2025-06-30T00:00:00"/>
    <n v="1"/>
    <n v="1.526"/>
    <n v="-105.2"/>
    <n v="-200"/>
    <x v="42"/>
    <s v="Sell"/>
    <n v="-305.2"/>
    <x v="1"/>
    <x v="1"/>
    <n v="2025"/>
    <s v="Sell"/>
    <x v="0"/>
    <s v="UnallocatedCFDHedge-2001.526910"/>
    <x v="0"/>
  </r>
  <r>
    <x v="0"/>
    <d v="2025-05-28T00:00:00"/>
    <s v="CFD"/>
    <s v="Hedge"/>
    <n v="-100"/>
    <s v="Jun09-Jun13"/>
    <d v="2025-06-30T00:00:00"/>
    <n v="0.98"/>
    <n v="1.526"/>
    <n v="-54.6"/>
    <n v="-98"/>
    <x v="42"/>
    <s v="Sell"/>
    <n v="-152.6"/>
    <x v="1"/>
    <x v="1"/>
    <n v="2025"/>
    <s v="Sell"/>
    <x v="0"/>
    <s v="UnallocatedCFDHedge-1001.526911"/>
    <x v="0"/>
  </r>
  <r>
    <x v="0"/>
    <d v="2025-05-28T00:00:00"/>
    <s v="CFD"/>
    <s v="Hedge"/>
    <n v="-100"/>
    <s v="Jun16-Jun20"/>
    <d v="2025-06-30T00:00:00"/>
    <n v="0.7"/>
    <n v="1.8180000000000001"/>
    <n v="-111.80000000000001"/>
    <n v="-70"/>
    <x v="44"/>
    <s v="Sell"/>
    <n v="-181.8"/>
    <x v="1"/>
    <x v="1"/>
    <n v="2025"/>
    <s v="Sell"/>
    <x v="0"/>
    <s v="UnallocatedCFDHedge-1001.818912"/>
    <x v="0"/>
  </r>
  <r>
    <x v="0"/>
    <d v="2025-05-28T00:00:00"/>
    <s v="WTI Sprds"/>
    <s v="Hedge"/>
    <n v="-1000"/>
    <d v="2025-07-31T00:00:00"/>
    <d v="2025-08-31T00:00:00"/>
    <n v="0.63500000000000001"/>
    <n v="1.64"/>
    <n v="-1004.9999999999999"/>
    <n v="-635"/>
    <x v="33"/>
    <s v="Sell"/>
    <n v="-1640"/>
    <x v="0"/>
    <x v="0"/>
    <n v="2025"/>
    <s v="Sell"/>
    <x v="0"/>
    <s v="UnallocatedWTI SprdsHedge-10001.64913"/>
    <x v="0"/>
  </r>
  <r>
    <x v="0"/>
    <d v="2025-05-28T00:00:00"/>
    <s v="WTI Sprds"/>
    <s v="Hedge"/>
    <n v="-1000"/>
    <d v="2025-08-31T00:00:00"/>
    <d v="2025-09-30T00:00:00"/>
    <n v="0.63500000000000001"/>
    <n v="1.25"/>
    <n v="-615"/>
    <n v="-635"/>
    <x v="34"/>
    <s v="Sell"/>
    <n v="-1250"/>
    <x v="0"/>
    <x v="0"/>
    <n v="2025"/>
    <s v="Sell"/>
    <x v="0"/>
    <s v="UnallocatedWTI SprdsHedge-10001.25914"/>
    <x v="0"/>
  </r>
  <r>
    <x v="0"/>
    <d v="2025-05-28T00:00:00"/>
    <s v="Brent Sprds"/>
    <s v="Hedge"/>
    <n v="0"/>
    <d v="2025-08-31T00:00:00"/>
    <d v="2025-09-30T00:00:00"/>
    <n v="0"/>
    <n v="0.87"/>
    <n v="624"/>
    <n v="0"/>
    <x v="34"/>
    <s v="Buy"/>
    <n v="0"/>
    <x v="0"/>
    <x v="2"/>
    <n v="2025"/>
    <s v="Sell"/>
    <x v="0"/>
    <s v="UnallocatedBrent SprdsHedge00.87915"/>
    <x v="0"/>
  </r>
  <r>
    <x v="0"/>
    <d v="2025-05-30T00:00:00"/>
    <s v="WTI-Brent"/>
    <s v="Hedge"/>
    <n v="1870"/>
    <d v="2025-07-31T00:00:00"/>
    <d v="2025-07-31T00:00:00"/>
    <n v="-3.36"/>
    <n v="-3.11"/>
    <n v="467.5"/>
    <n v="-6283.2"/>
    <x v="32"/>
    <s v="Buy"/>
    <n v="-5815.7"/>
    <x v="1"/>
    <x v="3"/>
    <n v="2025"/>
    <s v="Buy"/>
    <x v="0"/>
    <s v="UnallocatedWTI-BrentHedge1870-3.11916"/>
    <x v="0"/>
  </r>
  <r>
    <x v="0"/>
    <d v="2025-05-30T00:00:00"/>
    <s v="WTI-Brent"/>
    <s v="Hedge"/>
    <n v="-1853"/>
    <d v="2025-08-31T00:00:00"/>
    <d v="2025-08-31T00:00:00"/>
    <n v="-2.99"/>
    <n v="-2.5"/>
    <n v="-907.97000000000037"/>
    <n v="5540.47"/>
    <x v="38"/>
    <s v="Sell"/>
    <n v="4632.5"/>
    <x v="1"/>
    <x v="3"/>
    <n v="2025"/>
    <s v="Sell"/>
    <x v="0"/>
    <s v="UnallocatedWTI-BrentHedge-1853-2.5917"/>
    <x v="0"/>
  </r>
  <r>
    <x v="0"/>
    <d v="2025-05-30T00:00:00"/>
    <s v="WTI Sprds"/>
    <s v="Hedge"/>
    <m/>
    <d v="2025-08-31T00:00:00"/>
    <d v="2025-09-30T00:00:00"/>
    <n v="0.79"/>
    <n v="1.25"/>
    <n v="0"/>
    <n v="0"/>
    <x v="34"/>
    <s v="Buy"/>
    <n v="0"/>
    <x v="0"/>
    <x v="0"/>
    <n v="2025"/>
    <s v="Sell"/>
    <x v="0"/>
    <s v="UnallocatedWTI SprdsHedge1.25918"/>
    <x v="0"/>
  </r>
  <r>
    <x v="0"/>
    <d v="2025-05-30T00:00:00"/>
    <s v="Brent Sprds"/>
    <s v="Hedge"/>
    <n v="338"/>
    <d v="2025-08-31T00:00:00"/>
    <d v="2025-09-30T00:00:00"/>
    <n v="0.73"/>
    <n v="0.87"/>
    <n v="47.320000000000007"/>
    <n v="246.73999999999998"/>
    <x v="34"/>
    <s v="Buy"/>
    <n v="294.06"/>
    <x v="0"/>
    <x v="2"/>
    <n v="2025"/>
    <s v="Buy"/>
    <x v="0"/>
    <s v="UnallocatedBrent SprdsHedge3380.87919"/>
    <x v="0"/>
  </r>
  <r>
    <x v="0"/>
    <d v="2025-05-30T00:00:00"/>
    <s v="WTI-Brent"/>
    <s v="Hedge"/>
    <n v="500"/>
    <d v="2025-09-30T00:00:00"/>
    <d v="2025-09-30T00:00:00"/>
    <n v="-3.1"/>
    <n v="-3.27"/>
    <n v="-84.999999999999972"/>
    <n v="-1550"/>
    <x v="43"/>
    <s v="Buy"/>
    <n v="-1635"/>
    <x v="1"/>
    <x v="3"/>
    <n v="2025"/>
    <s v="Buy"/>
    <x v="0"/>
    <s v="UnallocatedWTI-BrentHedge500-3.27920"/>
    <x v="0"/>
  </r>
  <r>
    <x v="0"/>
    <d v="2025-06-02T00:00:00"/>
    <s v="WTI Sprds"/>
    <s v="Hedge"/>
    <n v="500"/>
    <d v="2025-07-31T00:00:00"/>
    <d v="2025-08-31T00:00:00"/>
    <n v="1.0249999999999999"/>
    <n v="1.64"/>
    <n v="307.5"/>
    <n v="512.5"/>
    <x v="33"/>
    <s v="Buy"/>
    <n v="820"/>
    <x v="0"/>
    <x v="0"/>
    <n v="2025"/>
    <s v="Buy"/>
    <x v="0"/>
    <s v="UnallocatedWTI SprdsHedge5001.64921"/>
    <x v="0"/>
  </r>
  <r>
    <x v="0"/>
    <d v="2025-06-02T00:00:00"/>
    <s v="WTI Sprds"/>
    <s v="Hedge"/>
    <n v="500"/>
    <d v="2025-08-31T00:00:00"/>
    <d v="2025-09-30T00:00:00"/>
    <n v="1.03"/>
    <n v="1.25"/>
    <n v="109.99999999999999"/>
    <n v="515"/>
    <x v="34"/>
    <s v="Buy"/>
    <n v="625"/>
    <x v="0"/>
    <x v="0"/>
    <n v="2025"/>
    <s v="Buy"/>
    <x v="0"/>
    <s v="UnallocatedWTI SprdsHedge5001.25922"/>
    <x v="0"/>
  </r>
  <r>
    <x v="0"/>
    <d v="2025-06-02T00:00:00"/>
    <s v="WTI Sprds"/>
    <s v="Hedge"/>
    <n v="400"/>
    <d v="2025-07-31T00:00:00"/>
    <d v="2025-08-31T00:00:00"/>
    <n v="0.95"/>
    <n v="1.64"/>
    <n v="276"/>
    <n v="380"/>
    <x v="33"/>
    <s v="Buy"/>
    <n v="656"/>
    <x v="0"/>
    <x v="0"/>
    <n v="2025"/>
    <s v="Buy"/>
    <x v="0"/>
    <s v="UnallocatedWTI SprdsHedge4001.64923"/>
    <x v="0"/>
  </r>
  <r>
    <x v="0"/>
    <d v="2025-06-02T00:00:00"/>
    <s v="WTI Sprds"/>
    <s v="Hedge"/>
    <n v="400"/>
    <d v="2025-08-31T00:00:00"/>
    <d v="2025-09-30T00:00:00"/>
    <n v="0.95"/>
    <n v="1.25"/>
    <n v="120.00000000000001"/>
    <n v="380"/>
    <x v="34"/>
    <s v="Buy"/>
    <n v="500"/>
    <x v="0"/>
    <x v="0"/>
    <n v="2025"/>
    <s v="Buy"/>
    <x v="0"/>
    <s v="UnallocatedWTI SprdsHedge4001.25924"/>
    <x v="0"/>
  </r>
  <r>
    <x v="0"/>
    <d v="2025-06-02T00:00:00"/>
    <s v="WTI Sprds"/>
    <s v="Hedge"/>
    <n v="400"/>
    <d v="2025-07-31T00:00:00"/>
    <d v="2025-08-31T00:00:00"/>
    <n v="0.93"/>
    <n v="1.64"/>
    <n v="283.99999999999994"/>
    <n v="372"/>
    <x v="33"/>
    <s v="Buy"/>
    <n v="656"/>
    <x v="0"/>
    <x v="0"/>
    <n v="2025"/>
    <s v="Buy"/>
    <x v="0"/>
    <s v="UnallocatedWTI SprdsHedge4001.64925"/>
    <x v="0"/>
  </r>
  <r>
    <x v="0"/>
    <d v="2025-06-02T00:00:00"/>
    <s v="WTI Sprds"/>
    <s v="Hedge"/>
    <n v="400"/>
    <d v="2025-08-31T00:00:00"/>
    <d v="2025-09-30T00:00:00"/>
    <n v="0.93"/>
    <n v="1.25"/>
    <n v="127.99999999999999"/>
    <n v="372"/>
    <x v="34"/>
    <s v="Buy"/>
    <n v="500"/>
    <x v="0"/>
    <x v="0"/>
    <n v="2025"/>
    <s v="Buy"/>
    <x v="0"/>
    <s v="UnallocatedWTI SprdsHedge4001.25926"/>
    <x v="0"/>
  </r>
  <r>
    <x v="0"/>
    <d v="2025-06-02T00:00:00"/>
    <s v="WTI Sprds"/>
    <s v="Hedge"/>
    <n v="400"/>
    <d v="2025-07-31T00:00:00"/>
    <d v="2025-08-31T00:00:00"/>
    <n v="0.91"/>
    <n v="1.64"/>
    <n v="291.99999999999994"/>
    <n v="364"/>
    <x v="33"/>
    <s v="Buy"/>
    <n v="656"/>
    <x v="0"/>
    <x v="0"/>
    <n v="2025"/>
    <s v="Buy"/>
    <x v="0"/>
    <s v="UnallocatedWTI SprdsHedge4001.64927"/>
    <x v="0"/>
  </r>
  <r>
    <x v="0"/>
    <d v="2025-06-02T00:00:00"/>
    <s v="WTI Sprds"/>
    <s v="Hedge"/>
    <n v="400"/>
    <d v="2025-08-31T00:00:00"/>
    <d v="2025-09-30T00:00:00"/>
    <n v="0.91"/>
    <n v="1.25"/>
    <n v="136"/>
    <n v="364"/>
    <x v="34"/>
    <s v="Buy"/>
    <n v="500"/>
    <x v="0"/>
    <x v="0"/>
    <n v="2025"/>
    <s v="Buy"/>
    <x v="0"/>
    <s v="UnallocatedWTI SprdsHedge4001.25928"/>
    <x v="0"/>
  </r>
  <r>
    <x v="0"/>
    <d v="2025-05-27T00:00:00"/>
    <s v="DFL"/>
    <s v="Hedge"/>
    <n v="5404"/>
    <d v="2025-05-31T00:00:00"/>
    <d v="2025-05-31T00:00:00"/>
    <n v="0.14121300000000001"/>
    <n v="0.14121300000000001"/>
    <n v="0"/>
    <n v="763.11505199999999"/>
    <x v="22"/>
    <s v="Buy"/>
    <n v="763.11505199999999"/>
    <x v="1"/>
    <x v="1"/>
    <n v="2025"/>
    <s v="Buy"/>
    <x v="0"/>
    <s v="UnallocatedDFLHedge54040.141213929"/>
    <x v="0"/>
  </r>
  <r>
    <x v="52"/>
    <d v="2025-06-02T00:00:00"/>
    <s v="CFD"/>
    <s v="Hedge"/>
    <n v="-420"/>
    <s v="May26-May30"/>
    <d v="2025-05-31T00:00:00"/>
    <n v="0.48875000000000002"/>
    <n v="0.48875000000000002"/>
    <n v="0"/>
    <n v="-205.27500000000001"/>
    <x v="40"/>
    <s v="Sell"/>
    <n v="-205.27500000000001"/>
    <x v="1"/>
    <x v="1"/>
    <n v="2025"/>
    <s v="Sell"/>
    <x v="0"/>
    <s v="Trafi CIF Rdam May30-Jun03CFDHedge-4200.48875930"/>
    <x v="0"/>
  </r>
  <r>
    <x v="0"/>
    <d v="2025-06-03T00:00:00"/>
    <s v="WTI Sprds"/>
    <s v="Hedge"/>
    <n v="350"/>
    <d v="2025-07-31T00:00:00"/>
    <d v="2025-08-31T00:00:00"/>
    <n v="0.9"/>
    <n v="1.64"/>
    <n v="258.99999999999994"/>
    <n v="315"/>
    <x v="33"/>
    <s v="Buy"/>
    <n v="574"/>
    <x v="0"/>
    <x v="0"/>
    <n v="2025"/>
    <s v="Buy"/>
    <x v="0"/>
    <s v="UnallocatedWTI SprdsHedge3501.64931"/>
    <x v="0"/>
  </r>
  <r>
    <x v="0"/>
    <d v="2025-06-03T00:00:00"/>
    <s v="WTI Sprds"/>
    <s v="Hedge"/>
    <n v="350"/>
    <d v="2025-08-31T00:00:00"/>
    <d v="2025-09-30T00:00:00"/>
    <n v="0.9"/>
    <n v="1.25"/>
    <n v="122.49999999999999"/>
    <n v="315"/>
    <x v="34"/>
    <s v="Buy"/>
    <n v="437.5"/>
    <x v="0"/>
    <x v="0"/>
    <n v="2025"/>
    <s v="Buy"/>
    <x v="0"/>
    <s v="UnallocatedWTI SprdsHedge3501.25932"/>
    <x v="0"/>
  </r>
  <r>
    <x v="0"/>
    <d v="2025-06-03T00:00:00"/>
    <s v="WTI Sprds"/>
    <s v="Hedge"/>
    <n v="350"/>
    <d v="2025-07-31T00:00:00"/>
    <d v="2025-08-31T00:00:00"/>
    <n v="0.89"/>
    <n v="1.64"/>
    <n v="262.49999999999994"/>
    <n v="311.5"/>
    <x v="33"/>
    <s v="Buy"/>
    <n v="574"/>
    <x v="0"/>
    <x v="0"/>
    <n v="2025"/>
    <s v="Buy"/>
    <x v="0"/>
    <s v="UnallocatedWTI SprdsHedge3501.64933"/>
    <x v="0"/>
  </r>
  <r>
    <x v="0"/>
    <d v="2025-06-03T00:00:00"/>
    <s v="WTI Sprds"/>
    <s v="Hedge"/>
    <n v="350"/>
    <d v="2025-08-31T00:00:00"/>
    <d v="2025-09-30T00:00:00"/>
    <n v="0.89"/>
    <n v="1.25"/>
    <n v="126"/>
    <n v="311.5"/>
    <x v="34"/>
    <s v="Buy"/>
    <n v="437.5"/>
    <x v="0"/>
    <x v="0"/>
    <n v="2025"/>
    <s v="Buy"/>
    <x v="0"/>
    <s v="UnallocatedWTI SprdsHedge3501.25934"/>
    <x v="0"/>
  </r>
  <r>
    <x v="0"/>
    <d v="2025-06-03T00:00:00"/>
    <s v="WTI Sprds"/>
    <s v="Hedge"/>
    <n v="350"/>
    <d v="2025-07-31T00:00:00"/>
    <d v="2025-08-31T00:00:00"/>
    <n v="0.88"/>
    <n v="1.64"/>
    <n v="265.99999999999994"/>
    <n v="308"/>
    <x v="33"/>
    <s v="Buy"/>
    <n v="574"/>
    <x v="0"/>
    <x v="0"/>
    <n v="2025"/>
    <s v="Buy"/>
    <x v="0"/>
    <s v="UnallocatedWTI SprdsHedge3501.64935"/>
    <x v="0"/>
  </r>
  <r>
    <x v="0"/>
    <d v="2025-06-03T00:00:00"/>
    <s v="WTI Sprds"/>
    <s v="Hedge"/>
    <n v="350"/>
    <d v="2025-08-31T00:00:00"/>
    <d v="2025-09-30T00:00:00"/>
    <n v="0.88"/>
    <n v="1.25"/>
    <n v="129.5"/>
    <n v="308"/>
    <x v="34"/>
    <s v="Buy"/>
    <n v="437.5"/>
    <x v="0"/>
    <x v="0"/>
    <n v="2025"/>
    <s v="Buy"/>
    <x v="0"/>
    <s v="UnallocatedWTI SprdsHedge3501.25936"/>
    <x v="0"/>
  </r>
  <r>
    <x v="0"/>
    <d v="2025-06-03T00:00:00"/>
    <s v="WTI Sprds"/>
    <s v="Hedge"/>
    <n v="350"/>
    <d v="2025-07-31T00:00:00"/>
    <d v="2025-08-31T00:00:00"/>
    <n v="0.87"/>
    <n v="1.64"/>
    <n v="269.49999999999994"/>
    <n v="304.5"/>
    <x v="33"/>
    <s v="Buy"/>
    <n v="574"/>
    <x v="0"/>
    <x v="0"/>
    <n v="2025"/>
    <s v="Buy"/>
    <x v="0"/>
    <s v="UnallocatedWTI SprdsHedge3501.64937"/>
    <x v="0"/>
  </r>
  <r>
    <x v="0"/>
    <d v="2025-06-03T00:00:00"/>
    <s v="WTI Sprds"/>
    <s v="Hedge"/>
    <n v="350"/>
    <d v="2025-08-31T00:00:00"/>
    <d v="2025-09-30T00:00:00"/>
    <n v="0.87"/>
    <n v="1.25"/>
    <n v="133"/>
    <n v="304.5"/>
    <x v="34"/>
    <s v="Buy"/>
    <n v="437.5"/>
    <x v="0"/>
    <x v="0"/>
    <n v="2025"/>
    <s v="Buy"/>
    <x v="0"/>
    <s v="UnallocatedWTI SprdsHedge3501.25938"/>
    <x v="0"/>
  </r>
  <r>
    <x v="0"/>
    <d v="2025-06-03T00:00:00"/>
    <s v="WTI Sprds"/>
    <s v="Hedge"/>
    <n v="350"/>
    <d v="2025-07-31T00:00:00"/>
    <d v="2025-08-31T00:00:00"/>
    <n v="0.86"/>
    <n v="1.64"/>
    <n v="272.99999999999994"/>
    <n v="301"/>
    <x v="33"/>
    <s v="Buy"/>
    <n v="574"/>
    <x v="0"/>
    <x v="0"/>
    <n v="2025"/>
    <s v="Buy"/>
    <x v="0"/>
    <s v="UnallocatedWTI SprdsHedge3501.64939"/>
    <x v="0"/>
  </r>
  <r>
    <x v="0"/>
    <d v="2025-06-03T00:00:00"/>
    <s v="WTI Sprds"/>
    <s v="Hedge"/>
    <n v="350"/>
    <d v="2025-08-31T00:00:00"/>
    <d v="2025-09-30T00:00:00"/>
    <n v="0.86"/>
    <n v="1.25"/>
    <n v="136.5"/>
    <n v="301"/>
    <x v="34"/>
    <s v="Buy"/>
    <n v="437.5"/>
    <x v="0"/>
    <x v="0"/>
    <n v="2025"/>
    <s v="Buy"/>
    <x v="0"/>
    <s v="UnallocatedWTI SprdsHedge3501.25940"/>
    <x v="0"/>
  </r>
  <r>
    <x v="0"/>
    <d v="2025-06-03T00:00:00"/>
    <s v="WTI Sprds"/>
    <s v="Hedge"/>
    <n v="350"/>
    <d v="2025-07-31T00:00:00"/>
    <d v="2025-08-31T00:00:00"/>
    <n v="0.85"/>
    <n v="1.64"/>
    <n v="276.5"/>
    <n v="297.5"/>
    <x v="33"/>
    <s v="Buy"/>
    <n v="574"/>
    <x v="0"/>
    <x v="0"/>
    <n v="2025"/>
    <s v="Buy"/>
    <x v="0"/>
    <s v="UnallocatedWTI SprdsHedge3501.64941"/>
    <x v="0"/>
  </r>
  <r>
    <x v="0"/>
    <d v="2025-06-03T00:00:00"/>
    <s v="WTI Sprds"/>
    <s v="Hedge"/>
    <n v="350"/>
    <d v="2025-08-31T00:00:00"/>
    <d v="2025-09-30T00:00:00"/>
    <n v="0.85"/>
    <n v="1.25"/>
    <n v="140"/>
    <n v="297.5"/>
    <x v="34"/>
    <s v="Buy"/>
    <n v="437.5"/>
    <x v="0"/>
    <x v="0"/>
    <n v="2025"/>
    <s v="Buy"/>
    <x v="0"/>
    <s v="UnallocatedWTI SprdsHedge3501.25942"/>
    <x v="0"/>
  </r>
  <r>
    <x v="0"/>
    <d v="2025-06-03T00:00:00"/>
    <s v="WTI Sprds"/>
    <s v="Hedge"/>
    <n v="350"/>
    <d v="2025-07-31T00:00:00"/>
    <d v="2025-08-31T00:00:00"/>
    <n v="0.84"/>
    <n v="1.64"/>
    <n v="280"/>
    <n v="294"/>
    <x v="33"/>
    <s v="Buy"/>
    <n v="574"/>
    <x v="0"/>
    <x v="0"/>
    <n v="2025"/>
    <s v="Buy"/>
    <x v="0"/>
    <s v="UnallocatedWTI SprdsHedge3501.64943"/>
    <x v="0"/>
  </r>
  <r>
    <x v="0"/>
    <d v="2025-06-03T00:00:00"/>
    <s v="WTI Sprds"/>
    <s v="Hedge"/>
    <n v="350"/>
    <d v="2025-08-31T00:00:00"/>
    <d v="2025-09-30T00:00:00"/>
    <n v="0.84"/>
    <n v="1.25"/>
    <n v="143.5"/>
    <n v="294"/>
    <x v="34"/>
    <s v="Buy"/>
    <n v="437.5"/>
    <x v="0"/>
    <x v="0"/>
    <n v="2025"/>
    <s v="Buy"/>
    <x v="0"/>
    <s v="UnallocatedWTI SprdsHedge3501.25944"/>
    <x v="0"/>
  </r>
  <r>
    <x v="0"/>
    <d v="2025-06-03T00:00:00"/>
    <s v="WTI Sprds"/>
    <s v="Hedge"/>
    <n v="250"/>
    <d v="2025-07-31T00:00:00"/>
    <d v="2025-08-31T00:00:00"/>
    <n v="0.94"/>
    <n v="1.64"/>
    <n v="175"/>
    <n v="235"/>
    <x v="33"/>
    <s v="Buy"/>
    <n v="410"/>
    <x v="0"/>
    <x v="0"/>
    <n v="2025"/>
    <s v="Buy"/>
    <x v="0"/>
    <s v="UnallocatedWTI SprdsHedge2501.64945"/>
    <x v="0"/>
  </r>
  <r>
    <x v="58"/>
    <d v="2025-06-03T00:00:00"/>
    <s v="Physical"/>
    <s v="Expo"/>
    <n v="700"/>
    <d v="2025-06-30T00:00:00"/>
    <d v="2025-06-30T00:00:00"/>
    <n v="1.4"/>
    <n v="1.1499999999999999"/>
    <n v="-175"/>
    <n v="979.99999999999989"/>
    <x v="30"/>
    <s v="Buy"/>
    <n v="804.99999999999989"/>
    <x v="2"/>
    <x v="4"/>
    <n v="2025"/>
    <s v="Buy"/>
    <x v="1"/>
    <s v="Vitol FOB June BookoutPhysicalExpo7001.15946"/>
    <x v="0"/>
  </r>
  <r>
    <x v="0"/>
    <d v="2025-06-03T00:00:00"/>
    <s v="WTI Sprds"/>
    <s v="Hedge"/>
    <n v="500"/>
    <d v="2025-07-31T00:00:00"/>
    <d v="2025-08-31T00:00:00"/>
    <n v="0.93"/>
    <n v="1.64"/>
    <n v="354.99999999999994"/>
    <n v="465"/>
    <x v="33"/>
    <s v="Buy"/>
    <n v="820"/>
    <x v="0"/>
    <x v="0"/>
    <n v="2025"/>
    <s v="Buy"/>
    <x v="0"/>
    <s v="UnallocatedWTI SprdsHedge5001.64947"/>
    <x v="0"/>
  </r>
  <r>
    <x v="0"/>
    <d v="2025-05-30T00:00:00"/>
    <s v="WTI-Brent"/>
    <s v="Hedge"/>
    <n v="500"/>
    <d v="2025-08-31T00:00:00"/>
    <d v="2025-08-31T00:00:00"/>
    <n v="-3.14"/>
    <n v="-2.5"/>
    <n v="320.00000000000006"/>
    <n v="-1570"/>
    <x v="38"/>
    <s v="Buy"/>
    <n v="-1250"/>
    <x v="1"/>
    <x v="3"/>
    <n v="2025"/>
    <s v="Buy"/>
    <x v="0"/>
    <s v="UnallocatedWTI-BrentHedge500-2.5948"/>
    <x v="0"/>
  </r>
  <r>
    <x v="0"/>
    <d v="2025-06-04T00:00:00"/>
    <s v="WTI Sprds"/>
    <s v="Hedge"/>
    <n v="300"/>
    <d v="2025-07-31T00:00:00"/>
    <d v="2025-08-31T00:00:00"/>
    <n v="0.9"/>
    <n v="1.64"/>
    <n v="221.99999999999997"/>
    <n v="270"/>
    <x v="33"/>
    <s v="Buy"/>
    <n v="491.99999999999994"/>
    <x v="0"/>
    <x v="0"/>
    <n v="2025"/>
    <s v="Buy"/>
    <x v="0"/>
    <s v="UnallocatedWTI SprdsHedge3001.64949"/>
    <x v="0"/>
  </r>
  <r>
    <x v="0"/>
    <d v="2025-06-04T00:00:00"/>
    <s v="WTI Sprds"/>
    <s v="Hedge"/>
    <n v="200"/>
    <d v="2025-07-31T00:00:00"/>
    <d v="2025-08-31T00:00:00"/>
    <n v="0.9"/>
    <n v="1.64"/>
    <n v="147.99999999999997"/>
    <n v="180"/>
    <x v="33"/>
    <s v="Buy"/>
    <n v="328"/>
    <x v="0"/>
    <x v="0"/>
    <n v="2025"/>
    <s v="Buy"/>
    <x v="0"/>
    <s v="UnallocatedWTI SprdsHedge2001.64950"/>
    <x v="0"/>
  </r>
  <r>
    <x v="0"/>
    <d v="2025-06-05T00:00:00"/>
    <s v="WTI Sprds"/>
    <s v="Hedge"/>
    <n v="300"/>
    <d v="2025-07-31T00:00:00"/>
    <d v="2025-08-31T00:00:00"/>
    <n v="0.9"/>
    <n v="1.64"/>
    <n v="221.99999999999997"/>
    <n v="270"/>
    <x v="33"/>
    <s v="Buy"/>
    <n v="491.99999999999994"/>
    <x v="0"/>
    <x v="0"/>
    <n v="2025"/>
    <s v="Buy"/>
    <x v="0"/>
    <s v="UnallocatedWTI SprdsHedge3001.64951"/>
    <x v="0"/>
  </r>
  <r>
    <x v="0"/>
    <d v="2025-06-05T00:00:00"/>
    <s v="WTI Sprds"/>
    <s v="Hedge"/>
    <n v="300"/>
    <d v="2025-07-31T00:00:00"/>
    <d v="2025-08-31T00:00:00"/>
    <n v="0.87"/>
    <n v="1.64"/>
    <n v="230.99999999999997"/>
    <n v="261"/>
    <x v="33"/>
    <s v="Buy"/>
    <n v="491.99999999999994"/>
    <x v="0"/>
    <x v="0"/>
    <n v="2025"/>
    <s v="Buy"/>
    <x v="0"/>
    <s v="UnallocatedWTI SprdsHedge3001.64952"/>
    <x v="0"/>
  </r>
  <r>
    <x v="59"/>
    <d v="2025-06-10T00:00:00"/>
    <s v="Physical"/>
    <s v="Expo"/>
    <n v="2065"/>
    <d v="2025-06-30T00:00:00"/>
    <d v="2025-06-30T00:00:00"/>
    <n v="4.1786421646489096"/>
    <n v="4.76"/>
    <n v="1200.5039300000012"/>
    <n v="8920.8000000000011"/>
    <x v="30"/>
    <s v="Buy"/>
    <n v="9829.4"/>
    <x v="2"/>
    <x v="4"/>
    <n v="2025"/>
    <s v="Buy"/>
    <x v="1"/>
    <s v="HDO CFR Korea Sep 12-22PhysicalExpo20654.76953"/>
    <x v="0"/>
  </r>
  <r>
    <x v="59"/>
    <d v="2025-06-10T00:00:00"/>
    <s v="WTI Sprds"/>
    <s v="Expo"/>
    <n v="-2075"/>
    <d v="2025-07-31T00:00:00"/>
    <d v="2025-08-31T00:00:00"/>
    <n v="1.1499999999999999"/>
    <n v="1.64"/>
    <n v="-1016.75"/>
    <n v="-2386.25"/>
    <x v="33"/>
    <s v="Sell"/>
    <n v="-3403"/>
    <x v="0"/>
    <x v="0"/>
    <n v="2025"/>
    <s v="Sell"/>
    <x v="0"/>
    <s v="HDO CFR Korea Sep 12-22WTI SprdsExpo-20751.64954"/>
    <x v="0"/>
  </r>
  <r>
    <x v="59"/>
    <d v="2025-06-10T00:00:00"/>
    <s v="WTI Sprds"/>
    <s v="Expo"/>
    <n v="-2065"/>
    <d v="2025-08-31T00:00:00"/>
    <d v="2025-09-30T00:00:00"/>
    <n v="1.05"/>
    <n v="1.25"/>
    <n v="-412.99999999999989"/>
    <n v="-2168.25"/>
    <x v="34"/>
    <s v="Sell"/>
    <n v="-2581.25"/>
    <x v="0"/>
    <x v="0"/>
    <n v="2025"/>
    <s v="Sell"/>
    <x v="0"/>
    <s v="HDO CFR Korea Sep 12-22WTI SprdsExpo-20651.25955"/>
    <x v="0"/>
  </r>
  <r>
    <x v="59"/>
    <d v="2025-06-10T00:00:00"/>
    <s v="WTI-Brent"/>
    <s v="Expo"/>
    <n v="-2065"/>
    <d v="2025-09-30T00:00:00"/>
    <d v="2025-09-30T00:00:00"/>
    <n v="-3.1"/>
    <n v="-3.27"/>
    <n v="351.04999999999984"/>
    <n v="6401.5"/>
    <x v="43"/>
    <s v="Sell"/>
    <n v="6752.55"/>
    <x v="1"/>
    <x v="3"/>
    <n v="2025"/>
    <s v="Sell"/>
    <x v="0"/>
    <s v="HDO CFR Korea Sep 12-22WTI-BrentExpo-2065-3.27956"/>
    <x v="0"/>
  </r>
  <r>
    <x v="59"/>
    <d v="2025-06-10T00:00:00"/>
    <s v="Brent Sprds"/>
    <s v="Expo"/>
    <n v="-2065"/>
    <d v="2025-09-30T00:00:00"/>
    <d v="2025-10-31T00:00:00"/>
    <n v="0.7"/>
    <n v="0.83"/>
    <n v="-268.45"/>
    <n v="-1445.5"/>
    <x v="35"/>
    <s v="Sell"/>
    <n v="-1713.9499999999998"/>
    <x v="0"/>
    <x v="2"/>
    <n v="2025"/>
    <s v="Sell"/>
    <x v="0"/>
    <s v="HDO CFR Korea Sep 12-22Brent SprdsExpo-20650.83957"/>
    <x v="0"/>
  </r>
  <r>
    <x v="59"/>
    <d v="2025-06-10T00:00:00"/>
    <s v="Freight-TD22"/>
    <s v="Expo"/>
    <n v="-2000"/>
    <d v="2025-06-30T00:00:00"/>
    <d v="2025-06-30T00:00:00"/>
    <n v="6000"/>
    <n v="6000"/>
    <n v="0"/>
    <n v="-12000000"/>
    <x v="30"/>
    <s v="Sell"/>
    <n v="-12000000"/>
    <x v="3"/>
    <x v="5"/>
    <n v="2025"/>
    <s v="Sell"/>
    <x v="0"/>
    <s v="HDO CFR Korea Sep 12-22Freight-TD22Expo-20006000958"/>
    <x v="0"/>
  </r>
  <r>
    <x v="59"/>
    <d v="2025-06-10T00:00:00"/>
    <s v="Freight-TD22"/>
    <s v="Hedge"/>
    <n v="2000"/>
    <d v="2025-06-30T00:00:00"/>
    <d v="2025-06-30T00:00:00"/>
    <n v="7000"/>
    <n v="6000"/>
    <n v="-1000"/>
    <n v="14000000"/>
    <x v="30"/>
    <s v="Buy"/>
    <n v="12000000"/>
    <x v="3"/>
    <x v="5"/>
    <n v="2025"/>
    <s v="Buy"/>
    <x v="0"/>
    <s v="HDO CFR Korea Sep 12-22Freight-TD22Hedge20006000959"/>
    <x v="0"/>
  </r>
  <r>
    <x v="59"/>
    <d v="2025-06-10T00:00:00"/>
    <s v="WTI Sprds"/>
    <s v="Hedge"/>
    <n v="2100"/>
    <d v="2025-07-31T00:00:00"/>
    <d v="2025-08-31T00:00:00"/>
    <n v="1.0700000000000074"/>
    <n v="1.64"/>
    <n v="1196.9999999999843"/>
    <n v="2247.0000000000155"/>
    <x v="33"/>
    <s v="Buy"/>
    <n v="3444"/>
    <x v="0"/>
    <x v="0"/>
    <n v="2025"/>
    <s v="Buy"/>
    <x v="0"/>
    <s v="HDO CFR Korea Sep 12-22WTI SprdsHedge21001.64960"/>
    <x v="0"/>
  </r>
  <r>
    <x v="59"/>
    <d v="2025-06-10T00:00:00"/>
    <s v="WTI Sprds"/>
    <s v="Hedge"/>
    <n v="2100"/>
    <d v="2025-08-31T00:00:00"/>
    <d v="2025-09-30T00:00:00"/>
    <n v="0.96999999999999886"/>
    <n v="1.25"/>
    <n v="588.00000000000239"/>
    <n v="2036.9999999999977"/>
    <x v="34"/>
    <s v="Buy"/>
    <n v="2625"/>
    <x v="0"/>
    <x v="0"/>
    <n v="2025"/>
    <s v="Buy"/>
    <x v="0"/>
    <s v="HDO CFR Korea Sep 12-22WTI SprdsHedge21001.25961"/>
    <x v="0"/>
  </r>
  <r>
    <x v="59"/>
    <d v="2025-06-10T00:00:00"/>
    <s v="WTI-Brent"/>
    <s v="Hedge"/>
    <n v="2100"/>
    <d v="2025-09-30T00:00:00"/>
    <d v="2025-09-30T00:00:00"/>
    <n v="-3.1899999999999977"/>
    <n v="-3.27"/>
    <n v="-168.0000000000048"/>
    <n v="-6698.9999999999955"/>
    <x v="43"/>
    <s v="Buy"/>
    <n v="-6867"/>
    <x v="1"/>
    <x v="3"/>
    <n v="2025"/>
    <s v="Buy"/>
    <x v="0"/>
    <s v="HDO CFR Korea Sep 12-22WTI-BrentHedge2100-3.27962"/>
    <x v="0"/>
  </r>
  <r>
    <x v="60"/>
    <d v="2025-06-10T00:00:00"/>
    <s v="Physical"/>
    <s v="Expo"/>
    <n v="700"/>
    <d v="2025-06-30T00:00:00"/>
    <d v="2025-06-30T00:00:00"/>
    <n v="0.49999999999999956"/>
    <n v="0.25"/>
    <n v="-174.99999999999969"/>
    <n v="349.99999999999972"/>
    <x v="30"/>
    <s v="Buy"/>
    <n v="175"/>
    <x v="2"/>
    <x v="4"/>
    <n v="2025"/>
    <s v="Buy"/>
    <x v="1"/>
    <s v="Equinor FOB Bookout June/JulyPhysicalExpo7000.25963"/>
    <x v="0"/>
  </r>
  <r>
    <x v="60"/>
    <d v="2025-06-10T00:00:00"/>
    <s v="WTI Sprds"/>
    <s v="Expo"/>
    <n v="-700"/>
    <d v="2025-07-31T00:00:00"/>
    <d v="2025-08-31T00:00:00"/>
    <n v="1.1499999999999999"/>
    <n v="1.64"/>
    <n v="-343"/>
    <n v="-804.99999999999989"/>
    <x v="33"/>
    <s v="Sell"/>
    <n v="-1148"/>
    <x v="0"/>
    <x v="0"/>
    <n v="2025"/>
    <s v="Sell"/>
    <x v="0"/>
    <s v="Equinor FOB Bookout June/JulyWTI SprdsExpo-7001.64964"/>
    <x v="0"/>
  </r>
  <r>
    <x v="60"/>
    <d v="2025-06-10T00:00:00"/>
    <s v="WTI Sprds"/>
    <s v="Expo"/>
    <n v="-700"/>
    <d v="2025-08-31T00:00:00"/>
    <d v="2025-09-30T00:00:00"/>
    <n v="1.05"/>
    <n v="1.25"/>
    <n v="-139.99999999999997"/>
    <n v="-735"/>
    <x v="34"/>
    <s v="Sell"/>
    <n v="-875"/>
    <x v="0"/>
    <x v="0"/>
    <n v="2025"/>
    <s v="Sell"/>
    <x v="0"/>
    <s v="Equinor FOB Bookout June/JulyWTI SprdsExpo-7001.25965"/>
    <x v="0"/>
  </r>
  <r>
    <x v="60"/>
    <d v="2025-06-10T00:00:00"/>
    <s v="WTI-Brent"/>
    <s v="Expo"/>
    <n v="-700"/>
    <d v="2025-09-30T00:00:00"/>
    <d v="2025-09-30T00:00:00"/>
    <n v="-3.1"/>
    <n v="-3.27"/>
    <n v="118.99999999999994"/>
    <n v="2170"/>
    <x v="43"/>
    <s v="Sell"/>
    <n v="2289"/>
    <x v="1"/>
    <x v="3"/>
    <n v="2025"/>
    <s v="Sell"/>
    <x v="0"/>
    <s v="Equinor FOB Bookout June/JulyWTI-BrentExpo-700-3.27966"/>
    <x v="0"/>
  </r>
  <r>
    <x v="60"/>
    <d v="2025-06-10T00:00:00"/>
    <s v="WTI Sprds"/>
    <s v="Hedge"/>
    <n v="900"/>
    <d v="2025-07-31T00:00:00"/>
    <d v="2025-08-31T00:00:00"/>
    <n v="1.0700000000000074"/>
    <n v="1.64"/>
    <n v="512.99999999999329"/>
    <n v="963.00000000000659"/>
    <x v="33"/>
    <s v="Buy"/>
    <n v="1476"/>
    <x v="0"/>
    <x v="0"/>
    <n v="2025"/>
    <s v="Buy"/>
    <x v="0"/>
    <s v="Equinor FOB Bookout June/JulyWTI SprdsHedge9001.64967"/>
    <x v="0"/>
  </r>
  <r>
    <x v="60"/>
    <d v="2025-06-10T00:00:00"/>
    <s v="WTI Sprds"/>
    <s v="Hedge"/>
    <n v="900"/>
    <d v="2025-08-31T00:00:00"/>
    <d v="2025-09-30T00:00:00"/>
    <n v="0.96999999999999886"/>
    <n v="1.25"/>
    <n v="252.00000000000102"/>
    <n v="872.99999999999898"/>
    <x v="34"/>
    <s v="Buy"/>
    <n v="1125"/>
    <x v="0"/>
    <x v="0"/>
    <n v="2025"/>
    <s v="Buy"/>
    <x v="0"/>
    <s v="Equinor FOB Bookout June/JulyWTI SprdsHedge9001.25968"/>
    <x v="0"/>
  </r>
  <r>
    <x v="60"/>
    <d v="2025-06-10T00:00:00"/>
    <s v="WTI-Brent"/>
    <s v="Hedge"/>
    <n v="900"/>
    <d v="2025-09-30T00:00:00"/>
    <d v="2025-09-30T00:00:00"/>
    <n v="-3.1899999999999977"/>
    <n v="-3.27"/>
    <n v="-72.000000000002061"/>
    <n v="-2870.9999999999982"/>
    <x v="43"/>
    <s v="Buy"/>
    <n v="-2943"/>
    <x v="1"/>
    <x v="3"/>
    <n v="2025"/>
    <s v="Buy"/>
    <x v="0"/>
    <s v="Equinor FOB Bookout June/JulyWTI-BrentHedge900-3.27969"/>
    <x v="0"/>
  </r>
  <r>
    <x v="0"/>
    <d v="2025-06-11T00:00:00"/>
    <s v="DFL"/>
    <s v="Hedge"/>
    <n v="-200"/>
    <d v="2025-07-31T00:00:00"/>
    <d v="2025-07-31T00:00:00"/>
    <n v="1.1399999999999999"/>
    <n v="1.47"/>
    <n v="-66.000000000000014"/>
    <n v="-227.99999999999997"/>
    <x v="32"/>
    <s v="Sell"/>
    <n v="-294"/>
    <x v="1"/>
    <x v="1"/>
    <n v="2025"/>
    <s v="Sell"/>
    <x v="0"/>
    <s v="UnallocatedDFLHedge-2001.47970"/>
    <x v="0"/>
  </r>
  <r>
    <x v="0"/>
    <d v="2025-06-11T00:00:00"/>
    <s v="DFL"/>
    <s v="Hedge"/>
    <n v="100"/>
    <d v="2025-07-31T00:00:00"/>
    <d v="2025-07-31T00:00:00"/>
    <n v="1.1100000000000001"/>
    <n v="1.47"/>
    <n v="35.999999999999986"/>
    <n v="111.00000000000001"/>
    <x v="32"/>
    <s v="Buy"/>
    <n v="147"/>
    <x v="1"/>
    <x v="1"/>
    <n v="2025"/>
    <s v="Buy"/>
    <x v="0"/>
    <s v="UnallocatedDFLHedge1001.47971"/>
    <x v="0"/>
  </r>
  <r>
    <x v="0"/>
    <d v="2025-06-11T00:00:00"/>
    <s v="CFD"/>
    <s v="Hedge"/>
    <n v="-200"/>
    <s v="Jun16-Jun20"/>
    <d v="2025-06-30T00:00:00"/>
    <n v="1.25"/>
    <n v="1.8180000000000001"/>
    <n v="-113.60000000000001"/>
    <n v="-250"/>
    <x v="44"/>
    <s v="Sell"/>
    <n v="-363.6"/>
    <x v="1"/>
    <x v="1"/>
    <n v="2025"/>
    <s v="Sell"/>
    <x v="0"/>
    <s v="UnallocatedCFDHedge-2001.818972"/>
    <x v="0"/>
  </r>
  <r>
    <x v="0"/>
    <d v="2025-06-11T00:00:00"/>
    <s v="WTI Sprds"/>
    <s v="Hedge"/>
    <n v="-500"/>
    <d v="2025-07-31T00:00:00"/>
    <d v="2025-08-31T00:00:00"/>
    <n v="1.1000000000000001"/>
    <n v="1.64"/>
    <n v="-269.99999999999989"/>
    <n v="-550"/>
    <x v="33"/>
    <s v="Sell"/>
    <n v="-820"/>
    <x v="0"/>
    <x v="0"/>
    <n v="2025"/>
    <s v="Sell"/>
    <x v="0"/>
    <s v="UnallocatedWTI SprdsHedge-5001.64973"/>
    <x v="0"/>
  </r>
  <r>
    <x v="0"/>
    <d v="2025-06-11T00:00:00"/>
    <s v="WTI Sprds"/>
    <s v="Hedge"/>
    <n v="-500"/>
    <d v="2025-08-31T00:00:00"/>
    <d v="2025-09-30T00:00:00"/>
    <n v="1.1000000000000001"/>
    <n v="1.25"/>
    <n v="-74.999999999999957"/>
    <n v="-550"/>
    <x v="34"/>
    <s v="Sell"/>
    <n v="-625"/>
    <x v="0"/>
    <x v="0"/>
    <n v="2025"/>
    <s v="Sell"/>
    <x v="0"/>
    <s v="UnallocatedWTI SprdsHedge-5001.25974"/>
    <x v="0"/>
  </r>
  <r>
    <x v="0"/>
    <d v="2025-06-11T00:00:00"/>
    <s v="WTI Sprds"/>
    <s v="Hedge"/>
    <n v="-150"/>
    <d v="2025-07-31T00:00:00"/>
    <d v="2025-08-31T00:00:00"/>
    <n v="1.2450000000000001"/>
    <n v="1.64"/>
    <n v="-59.249999999999972"/>
    <n v="-186.75000000000003"/>
    <x v="33"/>
    <s v="Sell"/>
    <n v="-245.99999999999997"/>
    <x v="0"/>
    <x v="0"/>
    <n v="2025"/>
    <s v="Sell"/>
    <x v="0"/>
    <s v="UnallocatedWTI SprdsHedge-1501.64975"/>
    <x v="0"/>
  </r>
  <r>
    <x v="0"/>
    <d v="2025-06-11T00:00:00"/>
    <s v="WTI Sprds"/>
    <s v="Hedge"/>
    <n v="-150"/>
    <d v="2025-08-31T00:00:00"/>
    <d v="2025-09-30T00:00:00"/>
    <n v="1.2450000000000001"/>
    <n v="1.25"/>
    <n v="-0.74999999999998401"/>
    <n v="-186.75000000000003"/>
    <x v="34"/>
    <s v="Sell"/>
    <n v="-187.5"/>
    <x v="0"/>
    <x v="0"/>
    <n v="2025"/>
    <s v="Sell"/>
    <x v="0"/>
    <s v="UnallocatedWTI SprdsHedge-1501.25976"/>
    <x v="0"/>
  </r>
  <r>
    <x v="0"/>
    <d v="2025-06-11T00:00:00"/>
    <s v="WTI Sprds"/>
    <s v="Hedge"/>
    <n v="-1400"/>
    <d v="2025-07-31T00:00:00"/>
    <d v="2025-08-31T00:00:00"/>
    <n v="1.64"/>
    <n v="1.64"/>
    <n v="0"/>
    <n v="-2296"/>
    <x v="33"/>
    <s v="Sell"/>
    <n v="-2296"/>
    <x v="0"/>
    <x v="0"/>
    <n v="2025"/>
    <s v="Sell"/>
    <x v="0"/>
    <s v="UnallocatedWTI SprdsHedge-14001.64977"/>
    <x v="0"/>
  </r>
  <r>
    <x v="0"/>
    <d v="2025-06-16T00:00:00"/>
    <s v="CFD"/>
    <s v="Hedge"/>
    <n v="-221"/>
    <s v="Jun09-Jun13"/>
    <d v="2025-06-30T00:00:00"/>
    <n v="1.526"/>
    <n v="1.526"/>
    <n v="0"/>
    <n v="-337.24599999999998"/>
    <x v="42"/>
    <s v="Buy"/>
    <n v="331.8"/>
    <x v="1"/>
    <x v="1"/>
    <n v="2025"/>
    <s v="Sell"/>
    <x v="0"/>
    <s v="UnallocatedCFDHedge-2211.526978"/>
    <x v="0"/>
  </r>
  <r>
    <x v="0"/>
    <d v="2025-06-16T00:00:00"/>
    <s v="CFD"/>
    <s v="Hedge"/>
    <n v="80"/>
    <s v="Jun02-Jun06"/>
    <d v="2025-06-30T00:00:00"/>
    <n v="1.81"/>
    <n v="1.81"/>
    <n v="0"/>
    <n v="144.80000000000001"/>
    <x v="41"/>
    <s v="Buy"/>
    <n v="331.8"/>
    <x v="1"/>
    <x v="1"/>
    <n v="2025"/>
    <s v="Buy"/>
    <x v="0"/>
    <s v="UnallocatedCFDHedge801.81979"/>
    <x v="0"/>
  </r>
  <r>
    <x v="60"/>
    <d v="2025-06-10T00:00:00"/>
    <s v="WTI Sprds"/>
    <s v="Hedge"/>
    <n v="200"/>
    <d v="2025-07-31T00:00:00"/>
    <d v="2025-08-31T00:00:00"/>
    <n v="1.57"/>
    <n v="1.64"/>
    <n v="13.999999999999968"/>
    <n v="314"/>
    <x v="33"/>
    <s v="Buy"/>
    <n v="328"/>
    <x v="0"/>
    <x v="0"/>
    <n v="2025"/>
    <s v="Buy"/>
    <x v="0"/>
    <s v="Equinor FOB Bookout June/JulyWTI SprdsHedge2001.64980"/>
    <x v="0"/>
  </r>
  <r>
    <x v="60"/>
    <d v="2025-06-10T00:00:00"/>
    <s v="WTI Sprds"/>
    <s v="Hedge"/>
    <n v="200"/>
    <d v="2025-08-31T00:00:00"/>
    <d v="2025-09-30T00:00:00"/>
    <n v="1.57"/>
    <n v="1.25"/>
    <n v="-64.000000000000014"/>
    <n v="314"/>
    <x v="34"/>
    <s v="Buy"/>
    <n v="250"/>
    <x v="0"/>
    <x v="0"/>
    <n v="2025"/>
    <s v="Buy"/>
    <x v="0"/>
    <s v="Equinor FOB Bookout June/JulyWTI SprdsHedge2001.25981"/>
    <x v="0"/>
  </r>
  <r>
    <x v="60"/>
    <d v="2025-06-10T00:00:00"/>
    <s v="WTI Sprds"/>
    <s v="Hedge"/>
    <n v="200"/>
    <d v="2025-07-31T00:00:00"/>
    <d v="2025-08-31T00:00:00"/>
    <n v="1.68"/>
    <n v="1.64"/>
    <n v="-8.0000000000000071"/>
    <n v="336"/>
    <x v="33"/>
    <s v="Buy"/>
    <n v="328"/>
    <x v="0"/>
    <x v="0"/>
    <n v="2025"/>
    <s v="Buy"/>
    <x v="0"/>
    <s v="Equinor FOB Bookout June/JulyWTI SprdsHedge2001.64982"/>
    <x v="0"/>
  </r>
  <r>
    <x v="60"/>
    <d v="2025-06-10T00:00:00"/>
    <s v="WTI Sprds"/>
    <s v="Hedge"/>
    <n v="200"/>
    <d v="2025-07-31T00:00:00"/>
    <d v="2025-08-31T00:00:00"/>
    <n v="1.61"/>
    <n v="1.64"/>
    <n v="5.9999999999999609"/>
    <n v="322"/>
    <x v="33"/>
    <s v="Buy"/>
    <n v="328"/>
    <x v="0"/>
    <x v="0"/>
    <n v="2025"/>
    <s v="Buy"/>
    <x v="0"/>
    <s v="Equinor FOB Bookout June/JulyWTI SprdsHedge2001.64983"/>
    <x v="0"/>
  </r>
  <r>
    <x v="60"/>
    <d v="2025-06-10T00:00:00"/>
    <s v="WTI Sprds"/>
    <s v="Hedge"/>
    <n v="742"/>
    <d v="2025-07-31T00:00:00"/>
    <d v="2025-08-31T00:00:00"/>
    <n v="1.52"/>
    <n v="1.64"/>
    <n v="89.039999999999921"/>
    <n v="1127.8399999999999"/>
    <x v="33"/>
    <s v="Buy"/>
    <n v="1216.8799999999999"/>
    <x v="0"/>
    <x v="0"/>
    <n v="2025"/>
    <s v="Buy"/>
    <x v="0"/>
    <s v="Equinor FOB Bookout June/JulyWTI SprdsHedge7421.64984"/>
    <x v="0"/>
  </r>
  <r>
    <x v="42"/>
    <d v="2025-06-10T00:00:00"/>
    <s v="Brent Sprds"/>
    <s v="Hedge"/>
    <n v="500"/>
    <d v="2025-09-30T00:00:00"/>
    <d v="2025-10-31T00:00:00"/>
    <n v="0.89"/>
    <n v="0.83"/>
    <n v="-30.000000000000028"/>
    <n v="445"/>
    <x v="35"/>
    <s v="Buy"/>
    <n v="415"/>
    <x v="0"/>
    <x v="2"/>
    <n v="2025"/>
    <s v="Buy"/>
    <x v="0"/>
    <s v="Brent SprdsHedge5000.83985"/>
    <x v="0"/>
  </r>
  <r>
    <x v="42"/>
    <d v="2025-06-17T00:00:00"/>
    <s v="WTI-Brent"/>
    <s v="Hedge"/>
    <n v="500"/>
    <d v="2025-09-30T00:00:00"/>
    <d v="2025-09-30T00:00:00"/>
    <n v="-3.3"/>
    <n v="-3.27"/>
    <n v="14.999999999999902"/>
    <n v="-1650"/>
    <x v="43"/>
    <s v="Buy"/>
    <n v="-1635"/>
    <x v="1"/>
    <x v="3"/>
    <n v="2025"/>
    <s v="Buy"/>
    <x v="0"/>
    <s v="WTI-BrentHedge500-3.27986"/>
    <x v="0"/>
  </r>
  <r>
    <x v="42"/>
    <d v="2025-06-17T00:00:00"/>
    <s v="WTI-Brent"/>
    <s v="Hedge"/>
    <n v="200"/>
    <d v="2025-08-31T00:00:00"/>
    <d v="2025-08-31T00:00:00"/>
    <n v="-3.1"/>
    <n v="-2.5"/>
    <n v="120.00000000000001"/>
    <n v="-620"/>
    <x v="38"/>
    <s v="Buy"/>
    <n v="-500"/>
    <x v="1"/>
    <x v="3"/>
    <n v="2025"/>
    <s v="Buy"/>
    <x v="0"/>
    <s v="WTI-BrentHedge200-2.5987"/>
    <x v="0"/>
  </r>
  <r>
    <x v="61"/>
    <d v="2025-06-17T00:00:00"/>
    <s v="Physical"/>
    <s v="Expo"/>
    <n v="700"/>
    <d v="2025-06-30T00:00:00"/>
    <d v="2025-06-30T00:00:00"/>
    <n v="1.0799999999999998"/>
    <n v="0.45"/>
    <n v="-440.99999999999994"/>
    <n v="755.99999999999989"/>
    <x v="30"/>
    <s v="Buy"/>
    <n v="315"/>
    <x v="2"/>
    <x v="4"/>
    <n v="2025"/>
    <s v="Buy"/>
    <x v="1"/>
    <s v="ENI FOB July 7-10 TBN2PhysicalExpo7000.45988"/>
    <x v="0"/>
  </r>
  <r>
    <x v="61"/>
    <d v="2025-06-17T00:00:00"/>
    <s v="WTI Sprds"/>
    <s v="Expo"/>
    <n v="-700"/>
    <d v="2025-07-31T00:00:00"/>
    <d v="2025-08-31T00:00:00"/>
    <n v="1.44"/>
    <n v="1.64"/>
    <n v="-139.99999999999997"/>
    <n v="-1008"/>
    <x v="33"/>
    <s v="Sell"/>
    <n v="-1148"/>
    <x v="0"/>
    <x v="0"/>
    <n v="2025"/>
    <s v="Sell"/>
    <x v="0"/>
    <s v="ENI FOB July 7-10 TBN2WTI SprdsExpo-7001.64989"/>
    <x v="0"/>
  </r>
  <r>
    <x v="61"/>
    <d v="2025-06-17T00:00:00"/>
    <s v="WTI Sprds"/>
    <s v="Expo"/>
    <n v="-700"/>
    <d v="2025-08-31T00:00:00"/>
    <d v="2025-09-30T00:00:00"/>
    <n v="1.63"/>
    <n v="1.25"/>
    <n v="265.99999999999994"/>
    <n v="-1141"/>
    <x v="34"/>
    <s v="Sell"/>
    <n v="-875"/>
    <x v="0"/>
    <x v="0"/>
    <n v="2025"/>
    <s v="Sell"/>
    <x v="0"/>
    <s v="ENI FOB July 7-10 TBN2WTI SprdsExpo-7001.25990"/>
    <x v="0"/>
  </r>
  <r>
    <x v="61"/>
    <d v="2025-06-17T00:00:00"/>
    <s v="WTI-Brent"/>
    <s v="Expo"/>
    <n v="-700"/>
    <d v="2025-09-30T00:00:00"/>
    <d v="2025-09-30T00:00:00"/>
    <n v="-3.3"/>
    <n v="-3.27"/>
    <n v="-20.999999999999865"/>
    <n v="2310"/>
    <x v="43"/>
    <s v="Sell"/>
    <n v="2289"/>
    <x v="1"/>
    <x v="3"/>
    <n v="2025"/>
    <s v="Sell"/>
    <x v="0"/>
    <s v="ENI FOB July 7-10 TBN2WTI-BrentExpo-700-3.27991"/>
    <x v="0"/>
  </r>
  <r>
    <x v="0"/>
    <d v="2025-06-17T00:00:00"/>
    <s v="WTI Sprds"/>
    <s v="Hedge"/>
    <n v="1900"/>
    <d v="2025-07-31T00:00:00"/>
    <d v="2025-08-31T00:00:00"/>
    <n v="1.5700000000000074"/>
    <n v="1.64"/>
    <n v="132.99999999998576"/>
    <n v="2983.0000000000141"/>
    <x v="33"/>
    <s v="Buy"/>
    <n v="3116"/>
    <x v="0"/>
    <x v="0"/>
    <n v="2025"/>
    <s v="Buy"/>
    <x v="0"/>
    <s v="UnallocatedWTI SprdsHedge19001.64992"/>
    <x v="0"/>
  </r>
  <r>
    <x v="0"/>
    <d v="2025-06-17T00:00:00"/>
    <s v="WTI Sprds"/>
    <s v="Hedge"/>
    <n v="1900"/>
    <d v="2025-08-31T00:00:00"/>
    <d v="2025-09-30T00:00:00"/>
    <n v="1.7000000000000028"/>
    <n v="1.25"/>
    <n v="-855.00000000000546"/>
    <n v="3230.0000000000055"/>
    <x v="34"/>
    <s v="Buy"/>
    <n v="2375"/>
    <x v="0"/>
    <x v="0"/>
    <n v="2025"/>
    <s v="Buy"/>
    <x v="0"/>
    <s v="UnallocatedWTI SprdsHedge19001.25993"/>
    <x v="0"/>
  </r>
  <r>
    <x v="0"/>
    <d v="2025-06-17T00:00:00"/>
    <s v="WTI-Brent"/>
    <s v="Hedge"/>
    <n v="1900"/>
    <d v="2025-09-30T00:00:00"/>
    <d v="2025-09-30T00:00:00"/>
    <n v="-3.3300000000000125"/>
    <n v="-3.27"/>
    <n v="114.00000000002373"/>
    <n v="-6327.0000000000236"/>
    <x v="43"/>
    <s v="Buy"/>
    <n v="-6213"/>
    <x v="1"/>
    <x v="3"/>
    <n v="2025"/>
    <s v="Buy"/>
    <x v="0"/>
    <s v="UnallocatedWTI-BrentHedge1900-3.27994"/>
    <x v="0"/>
  </r>
  <r>
    <x v="0"/>
    <d v="2025-06-18T00:00:00"/>
    <s v="Brent Sprds"/>
    <s v="Hedge"/>
    <n v="500"/>
    <d v="2025-08-31T00:00:00"/>
    <d v="2025-09-30T00:00:00"/>
    <n v="1.43"/>
    <n v="0.87"/>
    <n v="-279.99999999999994"/>
    <n v="715"/>
    <x v="34"/>
    <s v="Buy"/>
    <n v="435"/>
    <x v="0"/>
    <x v="2"/>
    <n v="2025"/>
    <s v="Buy"/>
    <x v="0"/>
    <s v="UnallocatedBrent SprdsHedge5000.87995"/>
    <x v="0"/>
  </r>
  <r>
    <x v="0"/>
    <d v="2025-06-18T00:00:00"/>
    <s v="Brent Sprds"/>
    <s v="Hedge"/>
    <n v="500"/>
    <d v="2025-08-31T00:00:00"/>
    <d v="2025-09-30T00:00:00"/>
    <n v="1.42"/>
    <n v="0.87"/>
    <n v="-274.99999999999994"/>
    <n v="710"/>
    <x v="34"/>
    <s v="Buy"/>
    <n v="435"/>
    <x v="0"/>
    <x v="2"/>
    <n v="2025"/>
    <s v="Buy"/>
    <x v="0"/>
    <s v="UnallocatedBrent SprdsHedge5000.87996"/>
    <x v="0"/>
  </r>
  <r>
    <x v="0"/>
    <d v="2025-06-18T00:00:00"/>
    <s v="Brent Sprds"/>
    <s v="Hedge"/>
    <n v="500"/>
    <d v="2025-09-30T00:00:00"/>
    <d v="2025-10-31T00:00:00"/>
    <n v="1.1499999999999999"/>
    <n v="0.83"/>
    <n v="-159.99999999999997"/>
    <n v="575"/>
    <x v="35"/>
    <s v="Buy"/>
    <n v="415"/>
    <x v="0"/>
    <x v="2"/>
    <n v="2025"/>
    <s v="Buy"/>
    <x v="0"/>
    <s v="UnallocatedBrent SprdsHedge5000.83997"/>
    <x v="0"/>
  </r>
  <r>
    <x v="0"/>
    <d v="2025-06-17T00:00:00"/>
    <s v="WTI-Brent"/>
    <s v="Hedge"/>
    <n v="1000"/>
    <d v="2025-08-31T00:00:00"/>
    <d v="2025-08-31T00:00:00"/>
    <n v="-3.15"/>
    <n v="-2.5"/>
    <n v="649.99999999999989"/>
    <n v="-3150"/>
    <x v="38"/>
    <s v="Buy"/>
    <n v="-2500"/>
    <x v="1"/>
    <x v="3"/>
    <n v="2025"/>
    <s v="Buy"/>
    <x v="0"/>
    <s v="UnallocatedWTI-BrentHedge1000-2.5998"/>
    <x v="0"/>
  </r>
  <r>
    <x v="0"/>
    <d v="2025-06-17T00:00:00"/>
    <s v="WTI Sprds"/>
    <s v="Hedge"/>
    <n v="-942"/>
    <d v="2025-07-31T00:00:00"/>
    <d v="2025-08-31T00:00:00"/>
    <n v="1.64"/>
    <n v="1.64"/>
    <n v="0"/>
    <n v="-1544.8799999999999"/>
    <x v="33"/>
    <s v="Sell"/>
    <n v="-1544.8799999999999"/>
    <x v="0"/>
    <x v="0"/>
    <n v="2025"/>
    <s v="Sell"/>
    <x v="0"/>
    <s v="UnallocatedWTI SprdsHedge-9421.64999"/>
    <x v="0"/>
  </r>
  <r>
    <x v="0"/>
    <d v="2025-06-17T00:00:00"/>
    <s v="WTI Sprds"/>
    <s v="Hedge"/>
    <n v="-500"/>
    <d v="2025-07-31T00:00:00"/>
    <d v="2025-08-31T00:00:00"/>
    <n v="1.0900000000000034"/>
    <n v="1.64"/>
    <n v="-274.99999999999824"/>
    <n v="-545.00000000000171"/>
    <x v="33"/>
    <s v="Sell"/>
    <n v="-820"/>
    <x v="0"/>
    <x v="0"/>
    <n v="2025"/>
    <s v="Sell"/>
    <x v="0"/>
    <s v="UnallocatedWTI SprdsHedge-5001.641000"/>
    <x v="0"/>
  </r>
  <r>
    <x v="0"/>
    <d v="2025-06-17T00:00:00"/>
    <s v="WTI Sprds"/>
    <s v="Hedge"/>
    <n v="500"/>
    <d v="2025-08-31T00:00:00"/>
    <d v="2025-09-30T00:00:00"/>
    <n v="1.8299999999999983"/>
    <n v="1.25"/>
    <n v="-289.99999999999915"/>
    <n v="914.99999999999909"/>
    <x v="34"/>
    <s v="Buy"/>
    <n v="625"/>
    <x v="0"/>
    <x v="0"/>
    <n v="2025"/>
    <s v="Buy"/>
    <x v="0"/>
    <s v="UnallocatedWTI SprdsHedge5001.251001"/>
    <x v="0"/>
  </r>
  <r>
    <x v="0"/>
    <d v="2025-06-17T00:00:00"/>
    <s v="WTI Sprds-Fly"/>
    <s v="Hedge"/>
    <n v="500"/>
    <d v="2025-07-31T00:00:00"/>
    <d v="2025-08-31T00:00:00"/>
    <n v="1.0900000000000034"/>
    <n v="1.64"/>
    <n v="274.99999999999824"/>
    <n v="545.00000000000171"/>
    <x v="33"/>
    <s v="Buy"/>
    <n v="820"/>
    <x v="0"/>
    <x v="0"/>
    <n v="2025"/>
    <s v="Buy"/>
    <x v="0"/>
    <s v="UnallocatedWTI Sprds-FlyHedge5001.641002"/>
    <x v="0"/>
  </r>
  <r>
    <x v="0"/>
    <d v="2025-06-17T00:00:00"/>
    <s v="WTI Sprds-Fly"/>
    <s v="Hedge"/>
    <n v="-500"/>
    <d v="2025-08-31T00:00:00"/>
    <d v="2025-09-30T00:00:00"/>
    <n v="1.8299999999999983"/>
    <n v="1.25"/>
    <n v="289.99999999999915"/>
    <n v="-914.99999999999909"/>
    <x v="34"/>
    <s v="Sell"/>
    <n v="-625"/>
    <x v="0"/>
    <x v="0"/>
    <n v="2025"/>
    <s v="Sell"/>
    <x v="0"/>
    <s v="UnallocatedWTI Sprds-FlyHedge-5001.251003"/>
    <x v="0"/>
  </r>
  <r>
    <x v="0"/>
    <d v="2025-06-17T00:00:00"/>
    <s v="WTI-Brent"/>
    <s v="Hedge"/>
    <n v="709"/>
    <d v="2025-08-31T00:00:00"/>
    <d v="2025-08-31T00:00:00"/>
    <n v="-3.2"/>
    <n v="-2.5"/>
    <n v="496.30000000000013"/>
    <n v="-2268.8000000000002"/>
    <x v="38"/>
    <s v="Buy"/>
    <n v="-1772.5"/>
    <x v="1"/>
    <x v="3"/>
    <n v="2025"/>
    <s v="Buy"/>
    <x v="0"/>
    <s v="UnallocatedWTI-BrentHedge709-2.51004"/>
    <x v="0"/>
  </r>
  <r>
    <x v="0"/>
    <d v="2025-06-17T00:00:00"/>
    <s v="WTI Sprds"/>
    <s v="Hedge"/>
    <n v="500"/>
    <d v="2025-08-31T00:00:00"/>
    <d v="2025-09-30T00:00:00"/>
    <n v="1.6"/>
    <n v="1.25"/>
    <n v="-175.00000000000006"/>
    <n v="800"/>
    <x v="34"/>
    <s v="Buy"/>
    <n v="625"/>
    <x v="0"/>
    <x v="0"/>
    <n v="2025"/>
    <s v="Buy"/>
    <x v="0"/>
    <s v="UnallocatedWTI SprdsHedge5001.251005"/>
    <x v="0"/>
  </r>
  <r>
    <x v="62"/>
    <d v="2025-06-23T00:00:00"/>
    <s v="Physical"/>
    <s v="Expo"/>
    <m/>
    <d v="2025-08-31T00:00:00"/>
    <d v="2025-08-31T00:00:00"/>
    <n v="-0.10999999999999988"/>
    <n v="0.04"/>
    <n v="0"/>
    <n v="0"/>
    <x v="38"/>
    <s v="Buy"/>
    <n v="0"/>
    <x v="2"/>
    <x v="4"/>
    <n v="2025"/>
    <s v="Sell"/>
    <x v="1"/>
    <s v="Aug EFP 1PhysicalExpo0.041006"/>
    <x v="0"/>
  </r>
  <r>
    <x v="62"/>
    <d v="2025-06-23T00:00:00"/>
    <s v="WTI-Brent"/>
    <s v="Expo"/>
    <n v="0"/>
    <d v="2025-08-31T00:00:00"/>
    <d v="2025-08-31T00:00:00"/>
    <n v="-2.97"/>
    <n v="-2.5"/>
    <n v="0"/>
    <n v="0"/>
    <x v="38"/>
    <s v="Buy"/>
    <n v="0"/>
    <x v="1"/>
    <x v="3"/>
    <n v="2025"/>
    <s v="Sell"/>
    <x v="0"/>
    <s v="Aug EFP 1WTI-BrentExpo0-2.51007"/>
    <x v="0"/>
  </r>
  <r>
    <x v="62"/>
    <d v="2025-06-23T00:00:00"/>
    <s v="Freight-TD25"/>
    <s v="Expo"/>
    <n v="0"/>
    <m/>
    <m/>
    <m/>
    <m/>
    <m/>
    <n v="0"/>
    <x v="45"/>
    <s v="Buy"/>
    <n v="0"/>
    <x v="3"/>
    <x v="5"/>
    <n v="1900"/>
    <s v="Sell"/>
    <x v="0"/>
    <s v="Aug EFP 1Freight-TD25Expo01008"/>
    <x v="0"/>
  </r>
  <r>
    <x v="62"/>
    <d v="2025-06-23T00:00:00"/>
    <s v="Freight-TD7"/>
    <s v="Expo"/>
    <n v="0"/>
    <m/>
    <m/>
    <m/>
    <m/>
    <m/>
    <n v="0"/>
    <x v="45"/>
    <s v="Buy"/>
    <n v="0"/>
    <x v="3"/>
    <x v="5"/>
    <n v="1900"/>
    <s v="Sell"/>
    <x v="0"/>
    <s v="Aug EFP 1Freight-TD7Expo01009"/>
    <x v="0"/>
  </r>
  <r>
    <x v="63"/>
    <d v="2025-06-23T00:00:00"/>
    <s v="Physical"/>
    <s v="Expo"/>
    <m/>
    <d v="2025-08-31T00:00:00"/>
    <d v="2025-08-31T00:00:00"/>
    <n v="0"/>
    <n v="0.04"/>
    <n v="0"/>
    <n v="0"/>
    <x v="38"/>
    <s v="Buy"/>
    <n v="0"/>
    <x v="2"/>
    <x v="4"/>
    <n v="2025"/>
    <s v="Sell"/>
    <x v="1"/>
    <s v="Aug EFP 2PhysicalExpo0.041010"/>
    <x v="0"/>
  </r>
  <r>
    <x v="63"/>
    <d v="2025-06-23T00:00:00"/>
    <s v="WTI-Brent"/>
    <s v="Expo"/>
    <n v="0"/>
    <d v="2025-08-31T00:00:00"/>
    <d v="2025-08-31T00:00:00"/>
    <n v="-2.97"/>
    <n v="-2.5"/>
    <n v="0"/>
    <n v="0"/>
    <x v="38"/>
    <s v="Buy"/>
    <n v="0"/>
    <x v="1"/>
    <x v="3"/>
    <n v="2025"/>
    <s v="Sell"/>
    <x v="0"/>
    <s v="Aug EFP 2WTI-BrentExpo0-2.51011"/>
    <x v="0"/>
  </r>
  <r>
    <x v="63"/>
    <d v="2025-06-23T00:00:00"/>
    <s v="Freight-TD25"/>
    <s v="Expo"/>
    <n v="0"/>
    <m/>
    <m/>
    <m/>
    <m/>
    <m/>
    <n v="0"/>
    <x v="45"/>
    <s v="Buy"/>
    <n v="0"/>
    <x v="3"/>
    <x v="5"/>
    <n v="1900"/>
    <s v="Sell"/>
    <x v="0"/>
    <s v="Aug EFP 2Freight-TD25Expo01012"/>
    <x v="0"/>
  </r>
  <r>
    <x v="63"/>
    <d v="2025-06-23T00:00:00"/>
    <s v="Freight-TD7"/>
    <s v="Expo"/>
    <n v="0"/>
    <m/>
    <m/>
    <m/>
    <m/>
    <m/>
    <n v="0"/>
    <x v="45"/>
    <s v="Buy"/>
    <n v="0"/>
    <x v="3"/>
    <x v="5"/>
    <n v="1900"/>
    <s v="Sell"/>
    <x v="0"/>
    <s v="Aug EFP 2Freight-TD7Expo01013"/>
    <x v="0"/>
  </r>
  <r>
    <x v="64"/>
    <d v="2025-06-23T00:00:00"/>
    <s v="Physical"/>
    <s v="Expo"/>
    <m/>
    <d v="2025-08-31T00:00:00"/>
    <d v="2025-08-31T00:00:00"/>
    <n v="700"/>
    <n v="0.04"/>
    <n v="0"/>
    <n v="0"/>
    <x v="38"/>
    <s v="Buy"/>
    <n v="0"/>
    <x v="2"/>
    <x v="4"/>
    <n v="2025"/>
    <s v="Sell"/>
    <x v="1"/>
    <s v="Aug EFP 3PhysicalExpo0.041014"/>
    <x v="0"/>
  </r>
  <r>
    <x v="64"/>
    <d v="2025-06-23T00:00:00"/>
    <s v="WTI-Brent"/>
    <s v="Expo"/>
    <n v="0"/>
    <d v="2025-08-31T00:00:00"/>
    <d v="2025-08-31T00:00:00"/>
    <n v="-2.97"/>
    <n v="-2.5"/>
    <n v="0"/>
    <n v="0"/>
    <x v="38"/>
    <s v="Buy"/>
    <n v="0"/>
    <x v="1"/>
    <x v="3"/>
    <n v="2025"/>
    <s v="Sell"/>
    <x v="0"/>
    <s v="Aug EFP 3WTI-BrentExpo0-2.51015"/>
    <x v="0"/>
  </r>
  <r>
    <x v="64"/>
    <d v="2025-06-23T00:00:00"/>
    <s v="Freight-TD25"/>
    <s v="Expo"/>
    <n v="0"/>
    <m/>
    <m/>
    <m/>
    <m/>
    <m/>
    <n v="0"/>
    <x v="45"/>
    <s v="Buy"/>
    <n v="0"/>
    <x v="3"/>
    <x v="5"/>
    <n v="1900"/>
    <s v="Sell"/>
    <x v="0"/>
    <s v="Aug EFP 3Freight-TD25Expo01016"/>
    <x v="0"/>
  </r>
  <r>
    <x v="64"/>
    <d v="2025-06-23T00:00:00"/>
    <s v="Freight-TD7"/>
    <s v="Expo"/>
    <n v="0"/>
    <m/>
    <m/>
    <m/>
    <m/>
    <m/>
    <n v="0"/>
    <x v="45"/>
    <s v="Buy"/>
    <n v="0"/>
    <x v="3"/>
    <x v="5"/>
    <n v="1900"/>
    <s v="Sell"/>
    <x v="0"/>
    <s v="Aug EFP 3Freight-TD7Expo01017"/>
    <x v="0"/>
  </r>
  <r>
    <x v="0"/>
    <d v="2025-06-24T00:00:00"/>
    <s v="Brent Sprds"/>
    <s v="Hedge"/>
    <n v="-1000"/>
    <d v="2025-08-31T00:00:00"/>
    <d v="2025-09-30T00:00:00"/>
    <n v="0.95"/>
    <n v="0.87"/>
    <n v="79.999999999999957"/>
    <n v="-950"/>
    <x v="34"/>
    <s v="Sell"/>
    <n v="-870"/>
    <x v="0"/>
    <x v="2"/>
    <n v="2025"/>
    <s v="Sell"/>
    <x v="0"/>
    <s v="UnallocatedBrent SprdsHedge-10000.871018"/>
    <x v="0"/>
  </r>
  <r>
    <x v="0"/>
    <d v="2025-06-25T00:00:00"/>
    <s v="WTI Sprds"/>
    <s v="Hedge"/>
    <n v="-500"/>
    <d v="2025-08-31T00:00:00"/>
    <d v="2025-09-30T00:00:00"/>
    <n v="1.29"/>
    <n v="1.25"/>
    <n v="20.000000000000018"/>
    <n v="-645"/>
    <x v="34"/>
    <s v="Sell"/>
    <n v="-625"/>
    <x v="0"/>
    <x v="0"/>
    <n v="2025"/>
    <s v="Sell"/>
    <x v="0"/>
    <s v="UnallocatedWTI SprdsHedge-5001.251019"/>
    <x v="0"/>
  </r>
  <r>
    <x v="0"/>
    <d v="2025-06-25T00:00:00"/>
    <s v="WTI Sprds"/>
    <s v="Hedge"/>
    <n v="-500"/>
    <d v="2025-09-30T00:00:00"/>
    <d v="2025-10-31T00:00:00"/>
    <n v="1.03"/>
    <n v="0.57999999999999996"/>
    <n v="225.00000000000003"/>
    <n v="-515"/>
    <x v="35"/>
    <s v="Sell"/>
    <n v="-290"/>
    <x v="0"/>
    <x v="0"/>
    <n v="2025"/>
    <s v="Sell"/>
    <x v="0"/>
    <s v="UnallocatedWTI SprdsHedge-5000.581020"/>
    <x v="0"/>
  </r>
  <r>
    <x v="65"/>
    <d v="2025-06-25T00:00:00"/>
    <s v="Physical"/>
    <s v="Expo"/>
    <n v="700"/>
    <d v="2025-06-30T00:00:00"/>
    <d v="2025-06-30T00:00:00"/>
    <n v="1.3500000000000003"/>
    <n v="-0.55000000000000004"/>
    <n v="-1330.0000000000002"/>
    <n v="945.00000000000023"/>
    <x v="30"/>
    <s v="Buy"/>
    <n v="-385.00000000000006"/>
    <x v="2"/>
    <x v="4"/>
    <n v="2025"/>
    <s v="Buy"/>
    <x v="1"/>
    <s v="Trafi FOB July 19-20 Pin OakPhysicalExpo700-0.551021"/>
    <x v="0"/>
  </r>
  <r>
    <x v="65"/>
    <d v="2025-06-25T00:00:00"/>
    <s v="WTI Sprds"/>
    <s v="Expo"/>
    <n v="-700"/>
    <d v="2025-08-31T00:00:00"/>
    <d v="2025-09-30T00:00:00"/>
    <n v="1.45"/>
    <n v="1.25"/>
    <n v="139.99999999999997"/>
    <n v="-1015"/>
    <x v="34"/>
    <s v="Sell"/>
    <n v="-875"/>
    <x v="0"/>
    <x v="0"/>
    <n v="2025"/>
    <s v="Sell"/>
    <x v="0"/>
    <s v="Trafi FOB July 19-20 Pin OakWTI SprdsExpo-7001.251022"/>
    <x v="0"/>
  </r>
  <r>
    <x v="65"/>
    <d v="2025-06-25T00:00:00"/>
    <s v="WTI-Brent"/>
    <s v="Expo"/>
    <n v="-700"/>
    <d v="2025-09-30T00:00:00"/>
    <d v="2025-09-30T00:00:00"/>
    <n v="-2.96"/>
    <n v="-3.27"/>
    <n v="217.00000000000003"/>
    <n v="2072"/>
    <x v="43"/>
    <s v="Sell"/>
    <n v="2289"/>
    <x v="1"/>
    <x v="3"/>
    <n v="2025"/>
    <s v="Sell"/>
    <x v="0"/>
    <s v="Trafi FOB July 19-20 Pin OakWTI-BrentExpo-700-3.271023"/>
    <x v="0"/>
  </r>
  <r>
    <x v="0"/>
    <d v="2025-06-25T00:00:00"/>
    <s v="WTI-Brent"/>
    <s v="Hedge"/>
    <n v="200"/>
    <d v="2025-08-31T00:00:00"/>
    <d v="2025-08-31T00:00:00"/>
    <n v="-2.8"/>
    <n v="-2.5"/>
    <n v="59.999999999999964"/>
    <n v="-560"/>
    <x v="38"/>
    <s v="Buy"/>
    <n v="-500"/>
    <x v="1"/>
    <x v="3"/>
    <n v="2025"/>
    <s v="Buy"/>
    <x v="0"/>
    <s v="UnallocatedWTI-BrentHedge200-2.51024"/>
    <x v="0"/>
  </r>
  <r>
    <x v="0"/>
    <d v="2025-06-25T00:00:00"/>
    <s v="WTI-Brent"/>
    <s v="Hedge"/>
    <n v="54"/>
    <d v="2025-08-31T00:00:00"/>
    <d v="2025-08-31T00:00:00"/>
    <n v="-2.81"/>
    <n v="-2.5"/>
    <n v="16.740000000000002"/>
    <n v="-151.74"/>
    <x v="38"/>
    <s v="Buy"/>
    <n v="-135"/>
    <x v="1"/>
    <x v="3"/>
    <n v="2025"/>
    <s v="Buy"/>
    <x v="0"/>
    <s v="UnallocatedWTI-BrentHedge54-2.51025"/>
    <x v="0"/>
  </r>
  <r>
    <x v="66"/>
    <d v="2025-06-26T00:00:00"/>
    <s v="Physical"/>
    <s v="Expo"/>
    <n v="700"/>
    <d v="2025-06-30T00:00:00"/>
    <d v="2025-06-30T00:00:00"/>
    <n v="0.61999999999999966"/>
    <n v="-0.5"/>
    <n v="-783.99999999999977"/>
    <n v="433.99999999999977"/>
    <x v="30"/>
    <s v="Buy"/>
    <n v="-350"/>
    <x v="2"/>
    <x v="4"/>
    <n v="2025"/>
    <s v="Buy"/>
    <x v="1"/>
    <s v="Vitol FOB July 14-15 BookoutPhysicalExpo700-0.51026"/>
    <x v="0"/>
  </r>
  <r>
    <x v="66"/>
    <d v="2025-06-26T00:00:00"/>
    <s v="WTI Sprds"/>
    <s v="Expo"/>
    <n v="-700"/>
    <d v="2025-08-31T00:00:00"/>
    <d v="2025-09-30T00:00:00"/>
    <n v="1.42"/>
    <n v="1.25"/>
    <n v="118.99999999999994"/>
    <n v="-994"/>
    <x v="34"/>
    <s v="Sell"/>
    <n v="-875"/>
    <x v="0"/>
    <x v="0"/>
    <n v="2025"/>
    <s v="Sell"/>
    <x v="0"/>
    <s v="Vitol FOB July 14-15 BookoutWTI SprdsExpo-7001.251027"/>
    <x v="0"/>
  </r>
  <r>
    <x v="66"/>
    <d v="2025-06-26T00:00:00"/>
    <s v="WTI-Brent"/>
    <s v="Expo"/>
    <n v="-700"/>
    <d v="2025-09-30T00:00:00"/>
    <d v="2025-09-30T00:00:00"/>
    <n v="-2.85"/>
    <n v="-3.27"/>
    <n v="293.99999999999994"/>
    <n v="1995"/>
    <x v="43"/>
    <s v="Sell"/>
    <n v="2289"/>
    <x v="1"/>
    <x v="3"/>
    <n v="2025"/>
    <s v="Sell"/>
    <x v="0"/>
    <s v="Vitol FOB July 14-15 BookoutWTI-BrentExpo-700-3.271028"/>
    <x v="0"/>
  </r>
  <r>
    <x v="0"/>
    <d v="2025-06-26T00:00:00"/>
    <s v="WTI-Brent"/>
    <s v="Hedge"/>
    <n v="2100"/>
    <d v="2025-08-31T00:00:00"/>
    <d v="2025-08-31T00:00:00"/>
    <n v="-2.4900000000000002"/>
    <n v="-2.5"/>
    <n v="-20.999999999999552"/>
    <n v="-5229"/>
    <x v="38"/>
    <s v="Buy"/>
    <n v="-5250"/>
    <x v="1"/>
    <x v="3"/>
    <n v="2025"/>
    <s v="Buy"/>
    <x v="0"/>
    <s v="UnallocatedWTI-BrentHedge2100-2.51029"/>
    <x v="0"/>
  </r>
  <r>
    <x v="0"/>
    <d v="2025-06-26T00:00:00"/>
    <s v="WTI-Brent"/>
    <s v="Hedge"/>
    <n v="-2100"/>
    <d v="2025-10-31T00:00:00"/>
    <d v="2025-10-31T00:00:00"/>
    <n v="-3.09"/>
    <n v="-4.1100000000000003"/>
    <n v="2142.0000000000009"/>
    <n v="6489"/>
    <x v="46"/>
    <s v="Sell"/>
    <n v="8631"/>
    <x v="1"/>
    <x v="3"/>
    <n v="2025"/>
    <s v="Sell"/>
    <x v="0"/>
    <s v="UnallocatedWTI-BrentHedge-2100-4.111030"/>
    <x v="0"/>
  </r>
  <r>
    <x v="0"/>
    <d v="2025-06-27T00:00:00"/>
    <s v="WTI-Brent"/>
    <s v="Hedge"/>
    <n v="-1000"/>
    <d v="2025-08-31T00:00:00"/>
    <d v="2025-08-31T00:00:00"/>
    <n v="-2.33"/>
    <n v="-2.5"/>
    <n v="169.99999999999994"/>
    <n v="2330"/>
    <x v="38"/>
    <s v="Sell"/>
    <n v="2500"/>
    <x v="1"/>
    <x v="3"/>
    <n v="2025"/>
    <s v="Sell"/>
    <x v="0"/>
    <s v="UnallocatedWTI-BrentHedge-1000-2.51031"/>
    <x v="0"/>
  </r>
  <r>
    <x v="0"/>
    <d v="2025-06-27T00:00:00"/>
    <s v="WTI-Brent"/>
    <s v="Hedge"/>
    <n v="-300"/>
    <d v="2025-08-31T00:00:00"/>
    <d v="2025-08-31T00:00:00"/>
    <n v="-2.35"/>
    <n v="-2.5"/>
    <n v="44.999999999999972"/>
    <n v="705"/>
    <x v="38"/>
    <s v="Sell"/>
    <n v="750"/>
    <x v="1"/>
    <x v="3"/>
    <n v="2025"/>
    <s v="Sell"/>
    <x v="0"/>
    <s v="UnallocatedWTI-BrentHedge-300-2.51032"/>
    <x v="0"/>
  </r>
  <r>
    <x v="0"/>
    <d v="2025-06-27T00:00:00"/>
    <s v="WTI-Brent"/>
    <s v="Hedge"/>
    <n v="-400"/>
    <d v="2025-08-31T00:00:00"/>
    <d v="2025-08-31T00:00:00"/>
    <n v="-2.34"/>
    <n v="-2.5"/>
    <n v="64.000000000000057"/>
    <n v="936"/>
    <x v="38"/>
    <s v="Sell"/>
    <n v="1000"/>
    <x v="1"/>
    <x v="3"/>
    <n v="2025"/>
    <s v="Sell"/>
    <x v="0"/>
    <s v="UnallocatedWTI-BrentHedge-400-2.51033"/>
    <x v="0"/>
  </r>
  <r>
    <x v="0"/>
    <d v="2025-06-27T00:00:00"/>
    <s v="WTI-Brent"/>
    <s v="Hedge"/>
    <n v="-400"/>
    <d v="2025-08-31T00:00:00"/>
    <d v="2025-08-31T00:00:00"/>
    <n v="-2.25"/>
    <n v="-2.5"/>
    <n v="100"/>
    <n v="900"/>
    <x v="38"/>
    <s v="Sell"/>
    <n v="1000"/>
    <x v="1"/>
    <x v="3"/>
    <n v="2025"/>
    <s v="Sell"/>
    <x v="0"/>
    <s v="UnallocatedWTI-BrentHedge-400-2.51034"/>
    <x v="0"/>
  </r>
  <r>
    <x v="0"/>
    <d v="2025-06-27T00:00:00"/>
    <s v="Brent Sprds"/>
    <s v="Hedge"/>
    <n v="-769"/>
    <d v="2025-08-31T00:00:00"/>
    <d v="2025-09-30T00:00:00"/>
    <n v="1.08"/>
    <n v="0.87"/>
    <n v="161.49000000000007"/>
    <n v="-830.5200000000001"/>
    <x v="34"/>
    <s v="Sell"/>
    <n v="-669.03"/>
    <x v="0"/>
    <x v="2"/>
    <n v="2025"/>
    <s v="Sell"/>
    <x v="0"/>
    <s v="UnallocatedBrent SprdsHedge-7690.871035"/>
    <x v="0"/>
  </r>
  <r>
    <x v="0"/>
    <d v="2025-06-27T00:00:00"/>
    <s v="Brent Sprds"/>
    <s v="Hedge"/>
    <n v="-131"/>
    <d v="2025-08-31T00:00:00"/>
    <d v="2025-09-30T00:00:00"/>
    <n v="1.0900000000000001"/>
    <n v="0.87"/>
    <n v="28.820000000000011"/>
    <n v="-142.79000000000002"/>
    <x v="34"/>
    <s v="Sell"/>
    <n v="-113.97"/>
    <x v="0"/>
    <x v="2"/>
    <n v="2025"/>
    <s v="Sell"/>
    <x v="0"/>
    <s v="UnallocatedBrent SprdsHedge-1310.871036"/>
    <x v="0"/>
  </r>
  <r>
    <x v="65"/>
    <d v="2025-06-27T00:00:00"/>
    <s v="WTI Sprds"/>
    <s v="Hedge"/>
    <n v="500"/>
    <d v="2025-08-31T00:00:00"/>
    <d v="2025-09-30T00:00:00"/>
    <n v="1.43"/>
    <n v="1.25"/>
    <n v="-89.999999999999972"/>
    <n v="715"/>
    <x v="34"/>
    <s v="Buy"/>
    <n v="625"/>
    <x v="0"/>
    <x v="0"/>
    <n v="2025"/>
    <s v="Buy"/>
    <x v="0"/>
    <s v="Trafi FOB July 19-20 Pin OakWTI SprdsHedge5001.251037"/>
    <x v="0"/>
  </r>
  <r>
    <x v="65"/>
    <d v="2025-06-27T00:00:00"/>
    <s v="WTI Sprds"/>
    <s v="Hedge"/>
    <n v="500"/>
    <d v="2025-09-30T00:00:00"/>
    <d v="2025-10-31T00:00:00"/>
    <n v="1.1399999999999999"/>
    <n v="0.57999999999999996"/>
    <n v="-279.99999999999994"/>
    <n v="570"/>
    <x v="35"/>
    <s v="Buy"/>
    <n v="290"/>
    <x v="0"/>
    <x v="0"/>
    <n v="2025"/>
    <s v="Buy"/>
    <x v="0"/>
    <s v="Trafi FOB July 19-20 Pin OakWTI SprdsHedge5000.581038"/>
    <x v="0"/>
  </r>
  <r>
    <x v="0"/>
    <d v="2025-06-30T00:00:00"/>
    <s v="CFD"/>
    <s v="Expo"/>
    <n v="-246"/>
    <s v="Jun16-Jun20"/>
    <d v="2025-06-30T00:00:00"/>
    <n v="1.8180000000000001"/>
    <n v="1.8180000000000001"/>
    <n v="0"/>
    <n v="-447.22800000000001"/>
    <x v="44"/>
    <s v="Buy"/>
    <n v="397.59999999999997"/>
    <x v="1"/>
    <x v="1"/>
    <n v="2025"/>
    <s v="Sell"/>
    <x v="0"/>
    <s v="UnallocatedCFDExpo-2461.8181039"/>
    <x v="0"/>
  </r>
  <r>
    <x v="65"/>
    <d v="2025-06-27T00:00:00"/>
    <s v="WTI Sprds"/>
    <s v="Hedge"/>
    <n v="200"/>
    <d v="2025-08-31T00:00:00"/>
    <d v="2025-09-30T00:00:00"/>
    <n v="1.4"/>
    <n v="1.25"/>
    <n v="-29.999999999999982"/>
    <n v="280"/>
    <x v="34"/>
    <s v="Buy"/>
    <n v="250"/>
    <x v="0"/>
    <x v="0"/>
    <n v="2025"/>
    <s v="Buy"/>
    <x v="0"/>
    <s v="Trafi FOB July 19-20 Pin OakWTI SprdsHedge2001.251040"/>
    <x v="0"/>
  </r>
  <r>
    <x v="0"/>
    <d v="2025-06-27T00:00:00"/>
    <s v="WTI-Brent"/>
    <s v="Hedge"/>
    <n v="-110"/>
    <d v="2025-08-31T00:00:00"/>
    <d v="2025-08-31T00:00:00"/>
    <n v="-2.25"/>
    <n v="-2.5"/>
    <n v="27.5"/>
    <n v="247.5"/>
    <x v="38"/>
    <s v="Sell"/>
    <n v="275"/>
    <x v="1"/>
    <x v="3"/>
    <n v="2025"/>
    <s v="Sell"/>
    <x v="0"/>
    <s v="UnallocatedWTI-BrentHedge-110-2.51041"/>
    <x v="0"/>
  </r>
  <r>
    <x v="0"/>
    <d v="2025-06-27T00:00:00"/>
    <s v="Brent Sprds"/>
    <s v="Hedge"/>
    <n v="-38"/>
    <d v="2025-08-31T00:00:00"/>
    <d v="2025-09-30T00:00:00"/>
    <n v="1.45"/>
    <n v="0.87"/>
    <n v="22.04"/>
    <n v="-55.1"/>
    <x v="34"/>
    <s v="Sell"/>
    <n v="-33.06"/>
    <x v="0"/>
    <x v="2"/>
    <n v="2025"/>
    <s v="Sell"/>
    <x v="0"/>
    <s v="UnallocatedBrent SprdsHedge-380.871042"/>
    <x v="0"/>
  </r>
  <r>
    <x v="0"/>
    <d v="2025-06-30T00:00:00"/>
    <s v="WTI-Brent"/>
    <s v="Hedge"/>
    <n v="500"/>
    <d v="2025-09-30T00:00:00"/>
    <d v="2025-09-30T00:00:00"/>
    <n v="-2.86"/>
    <n v="-3.27"/>
    <n v="-205.00000000000006"/>
    <n v="-1430"/>
    <x v="43"/>
    <s v="Buy"/>
    <n v="-1635"/>
    <x v="1"/>
    <x v="3"/>
    <n v="2025"/>
    <s v="Buy"/>
    <x v="0"/>
    <s v="UnallocatedWTI-BrentHedge500-3.271043"/>
    <x v="0"/>
  </r>
  <r>
    <x v="65"/>
    <d v="2025-06-30T00:00:00"/>
    <s v="WTI Sprds"/>
    <s v="Hedge"/>
    <n v="700"/>
    <d v="2025-08-31T00:00:00"/>
    <d v="2025-09-30T00:00:00"/>
    <n v="1.23"/>
    <n v="1.25"/>
    <n v="14.000000000000012"/>
    <n v="861"/>
    <x v="34"/>
    <s v="Buy"/>
    <n v="875"/>
    <x v="0"/>
    <x v="0"/>
    <n v="2025"/>
    <s v="Buy"/>
    <x v="0"/>
    <s v="Trafi FOB July 19-20 Pin OakWTI SprdsHedge7001.251044"/>
    <x v="0"/>
  </r>
  <r>
    <x v="0"/>
    <d v="2025-06-30T00:00:00"/>
    <s v="WTI-Brent"/>
    <s v="Hedge"/>
    <n v="117"/>
    <d v="2025-10-31T00:00:00"/>
    <d v="2025-10-31T00:00:00"/>
    <n v="-3.11"/>
    <n v="-4.1100000000000003"/>
    <n v="-117.00000000000006"/>
    <n v="-363.87"/>
    <x v="46"/>
    <s v="Buy"/>
    <n v="-480.87000000000006"/>
    <x v="1"/>
    <x v="3"/>
    <n v="2025"/>
    <s v="Buy"/>
    <x v="0"/>
    <s v="UnallocatedWTI-BrentHedge117-4.111045"/>
    <x v="0"/>
  </r>
  <r>
    <x v="0"/>
    <d v="2025-07-01T00:00:00"/>
    <s v="WTI-Brent"/>
    <s v="Hedge"/>
    <n v="500"/>
    <d v="2025-09-30T00:00:00"/>
    <d v="2025-09-30T00:00:00"/>
    <n v="-2.9"/>
    <n v="-3.27"/>
    <n v="-185.00000000000006"/>
    <n v="-1450"/>
    <x v="43"/>
    <s v="Buy"/>
    <n v="-1635"/>
    <x v="1"/>
    <x v="3"/>
    <n v="2025"/>
    <s v="Buy"/>
    <x v="0"/>
    <s v="UnallocatedWTI-BrentHedge500-3.271046"/>
    <x v="0"/>
  </r>
  <r>
    <x v="0"/>
    <d v="2025-07-01T00:00:00"/>
    <s v="WTI-Brent"/>
    <s v="Hedge"/>
    <n v="500"/>
    <d v="2025-10-31T00:00:00"/>
    <d v="2025-10-31T00:00:00"/>
    <n v="-3.11"/>
    <n v="-4.1100000000000003"/>
    <n v="-500.00000000000023"/>
    <n v="-1555"/>
    <x v="46"/>
    <s v="Buy"/>
    <n v="-2055"/>
    <x v="1"/>
    <x v="3"/>
    <n v="2025"/>
    <s v="Buy"/>
    <x v="0"/>
    <s v="UnallocatedWTI-BrentHedge500-4.111047"/>
    <x v="0"/>
  </r>
  <r>
    <x v="56"/>
    <d v="2025-05-22T00:00:00"/>
    <s v="DFL"/>
    <s v="Hedge"/>
    <n v="-100"/>
    <d v="2025-06-30T00:00:00"/>
    <d v="2025-06-30T00:00:00"/>
    <n v="1.72"/>
    <n v="1.72"/>
    <n v="0"/>
    <n v="-172"/>
    <x v="30"/>
    <s v="Sell"/>
    <n v="-172"/>
    <x v="1"/>
    <x v="1"/>
    <n v="2025"/>
    <s v="Sell"/>
    <x v="0"/>
    <s v="CPC Taiwain Aug 15-22DFLHedge-1001.721048"/>
    <x v="0"/>
  </r>
  <r>
    <x v="67"/>
    <d v="2025-07-03T00:00:00"/>
    <s v="Physical"/>
    <s v="Expo"/>
    <n v="1334"/>
    <d v="2025-08-31T00:00:00"/>
    <d v="2025-08-31T00:00:00"/>
    <n v="5.38"/>
    <n v="5.36"/>
    <n v="-26.679999999999431"/>
    <n v="7176.92"/>
    <x v="38"/>
    <s v="Buy"/>
    <n v="7150.2400000000007"/>
    <x v="2"/>
    <x v="4"/>
    <n v="2025"/>
    <s v="Buy"/>
    <x v="1"/>
    <s v="GS Caltex DAP Oct 10-16PhysicalExpo13345.361049"/>
    <x v="0"/>
  </r>
  <r>
    <x v="67"/>
    <d v="2025-07-03T00:00:00"/>
    <s v="Physical"/>
    <s v="Expo"/>
    <n v="700"/>
    <d v="2025-08-31T00:00:00"/>
    <d v="2025-08-31T00:00:00"/>
    <n v="5.05"/>
    <n v="4.96"/>
    <n v="-62.999999999999901"/>
    <n v="3535"/>
    <x v="38"/>
    <s v="Buy"/>
    <n v="3472"/>
    <x v="2"/>
    <x v="4"/>
    <n v="2025"/>
    <s v="Buy"/>
    <x v="1"/>
    <s v="GS Caltex DAP Oct 10-16PhysicalExpo7004.961050"/>
    <x v="0"/>
  </r>
  <r>
    <x v="67"/>
    <d v="2025-07-03T00:00:00"/>
    <s v="WTI Sprds"/>
    <s v="Expo"/>
    <n v="-1400"/>
    <d v="2025-08-31T00:00:00"/>
    <d v="2025-09-30T00:00:00"/>
    <n v="1.4"/>
    <n v="1.25"/>
    <n v="209.99999999999989"/>
    <n v="-1959.9999999999998"/>
    <x v="34"/>
    <s v="Sell"/>
    <n v="-1750"/>
    <x v="0"/>
    <x v="0"/>
    <n v="2025"/>
    <s v="Sell"/>
    <x v="0"/>
    <s v="GS Caltex DAP Oct 10-16WTI SprdsExpo-14001.251051"/>
    <x v="0"/>
  </r>
  <r>
    <x v="67"/>
    <d v="2025-07-03T00:00:00"/>
    <s v="WTI Sprds"/>
    <s v="Expo"/>
    <n v="-1334"/>
    <d v="2025-09-30T00:00:00"/>
    <d v="2025-10-31T00:00:00"/>
    <n v="1.25"/>
    <n v="0.57999999999999996"/>
    <n v="893.78000000000009"/>
    <n v="-1667.5"/>
    <x v="35"/>
    <s v="Sell"/>
    <n v="-773.71999999999991"/>
    <x v="0"/>
    <x v="0"/>
    <n v="2025"/>
    <s v="Sell"/>
    <x v="0"/>
    <s v="GS Caltex DAP Oct 10-16WTI SprdsExpo-13340.581052"/>
    <x v="0"/>
  </r>
  <r>
    <x v="67"/>
    <d v="2025-07-03T00:00:00"/>
    <s v="WTI-Brent"/>
    <s v="Expo"/>
    <n v="-1334"/>
    <d v="2025-10-31T00:00:00"/>
    <d v="2025-10-31T00:00:00"/>
    <n v="-3.25"/>
    <n v="-4.1100000000000003"/>
    <n v="1147.2400000000005"/>
    <n v="4335.5"/>
    <x v="46"/>
    <s v="Sell"/>
    <n v="5482.7400000000007"/>
    <x v="1"/>
    <x v="3"/>
    <n v="2025"/>
    <s v="Sell"/>
    <x v="0"/>
    <s v="GS Caltex DAP Oct 10-16WTI-BrentExpo-1334-4.111053"/>
    <x v="0"/>
  </r>
  <r>
    <x v="67"/>
    <d v="2025-07-03T00:00:00"/>
    <s v="Brent Sprds"/>
    <s v="Expo"/>
    <n v="-2034"/>
    <d v="2025-10-31T00:00:00"/>
    <d v="2025-11-30T00:00:00"/>
    <n v="0.86"/>
    <n v="0.64"/>
    <n v="447.47999999999996"/>
    <n v="-1749.24"/>
    <x v="36"/>
    <s v="Sell"/>
    <n v="-1301.76"/>
    <x v="0"/>
    <x v="2"/>
    <n v="2025"/>
    <s v="Sell"/>
    <x v="0"/>
    <s v="GS Caltex DAP Oct 10-16Brent SprdsExpo-20340.641054"/>
    <x v="0"/>
  </r>
  <r>
    <x v="67"/>
    <d v="2025-07-03T00:00:00"/>
    <s v="Freight-TD22"/>
    <s v="Expo"/>
    <n v="-2000"/>
    <d v="2025-08-31T00:00:00"/>
    <d v="2025-08-31T00:00:00"/>
    <n v="6700"/>
    <n v="7100"/>
    <n v="-400"/>
    <n v="-13400000"/>
    <x v="38"/>
    <s v="Sell"/>
    <n v="-14200000"/>
    <x v="3"/>
    <x v="5"/>
    <n v="2025"/>
    <s v="Sell"/>
    <x v="0"/>
    <s v="GS Caltex DAP Oct 10-16Freight-TD22Expo-200071001055"/>
    <x v="0"/>
  </r>
  <r>
    <x v="67"/>
    <d v="2025-07-03T00:00:00"/>
    <s v="Freight-TD22"/>
    <s v="Hedge"/>
    <n v="2000"/>
    <d v="2025-08-31T00:00:00"/>
    <d v="2025-08-31T00:00:00"/>
    <n v="7100"/>
    <n v="7100"/>
    <n v="0"/>
    <n v="14200000"/>
    <x v="38"/>
    <s v="Buy"/>
    <n v="14200000"/>
    <x v="3"/>
    <x v="5"/>
    <n v="2025"/>
    <s v="Buy"/>
    <x v="0"/>
    <s v="GS Caltex DAP Oct 10-16Freight-TD22Hedge200071001056"/>
    <x v="0"/>
  </r>
  <r>
    <x v="67"/>
    <d v="2025-07-03T00:00:00"/>
    <s v="Brent Sprds"/>
    <s v="Hedge"/>
    <n v="1000"/>
    <d v="2025-10-31T00:00:00"/>
    <d v="2025-11-30T00:00:00"/>
    <n v="0.81"/>
    <n v="0.64"/>
    <n v="-170.00000000000003"/>
    <n v="810"/>
    <x v="36"/>
    <s v="Buy"/>
    <n v="640"/>
    <x v="0"/>
    <x v="2"/>
    <n v="2025"/>
    <s v="Buy"/>
    <x v="0"/>
    <s v="GS Caltex DAP Oct 10-16Brent SprdsHedge10000.641057"/>
    <x v="0"/>
  </r>
  <r>
    <x v="67"/>
    <d v="2025-07-03T00:00:00"/>
    <s v="WTI-Brent"/>
    <s v="Hedge"/>
    <n v="1000"/>
    <d v="2025-10-31T00:00:00"/>
    <d v="2025-10-31T00:00:00"/>
    <n v="-3.25"/>
    <n v="-4.1100000000000003"/>
    <n v="-860.00000000000034"/>
    <n v="-3250"/>
    <x v="46"/>
    <s v="Buy"/>
    <n v="-4110"/>
    <x v="1"/>
    <x v="3"/>
    <n v="2025"/>
    <s v="Buy"/>
    <x v="0"/>
    <s v="GS Caltex DAP Oct 10-16WTI-BrentHedge1000-4.111058"/>
    <x v="0"/>
  </r>
  <r>
    <x v="67"/>
    <d v="2025-07-03T00:00:00"/>
    <s v="Brent Sprds"/>
    <s v="Hedge"/>
    <n v="1000"/>
    <d v="2025-09-30T00:00:00"/>
    <d v="2025-10-31T00:00:00"/>
    <n v="0.96499999999999997"/>
    <n v="0.83"/>
    <n v="-135"/>
    <n v="965"/>
    <x v="35"/>
    <s v="Buy"/>
    <n v="830"/>
    <x v="0"/>
    <x v="2"/>
    <n v="2025"/>
    <s v="Buy"/>
    <x v="0"/>
    <s v="GS Caltex DAP Oct 10-16Brent SprdsHedge10000.831059"/>
    <x v="0"/>
  </r>
  <r>
    <x v="67"/>
    <d v="2025-07-03T00:00:00"/>
    <s v="Brent Sprds"/>
    <s v="Hedge"/>
    <n v="1000"/>
    <d v="2025-10-31T00:00:00"/>
    <d v="2025-11-30T00:00:00"/>
    <n v="0.96499999999999997"/>
    <n v="0.64"/>
    <n v="-324.99999999999994"/>
    <n v="965"/>
    <x v="36"/>
    <s v="Buy"/>
    <n v="640"/>
    <x v="0"/>
    <x v="2"/>
    <n v="2025"/>
    <s v="Buy"/>
    <x v="0"/>
    <s v="GS Caltex DAP Oct 10-16Brent SprdsHedge10000.641060"/>
    <x v="0"/>
  </r>
  <r>
    <x v="67"/>
    <d v="2025-07-03T00:00:00"/>
    <s v="WTI Sprds"/>
    <s v="Hedge"/>
    <n v="200"/>
    <d v="2025-08-31T00:00:00"/>
    <d v="2025-09-30T00:00:00"/>
    <n v="1.41"/>
    <n v="1.25"/>
    <n v="-31.999999999999986"/>
    <n v="282"/>
    <x v="34"/>
    <s v="Buy"/>
    <n v="250"/>
    <x v="0"/>
    <x v="0"/>
    <n v="2025"/>
    <s v="Buy"/>
    <x v="0"/>
    <s v="GS Caltex DAP Oct 10-16WTI SprdsHedge2001.251061"/>
    <x v="0"/>
  </r>
  <r>
    <x v="67"/>
    <d v="2025-07-04T00:00:00"/>
    <s v="WTI-Brent"/>
    <s v="Hedge"/>
    <n v="195"/>
    <d v="2025-10-31T00:00:00"/>
    <d v="2025-10-31T00:00:00"/>
    <n v="-3.26"/>
    <n v="-4.1100000000000003"/>
    <n v="-165.75000000000011"/>
    <n v="-635.69999999999993"/>
    <x v="46"/>
    <s v="Buy"/>
    <n v="-801.45"/>
    <x v="1"/>
    <x v="3"/>
    <n v="2025"/>
    <s v="Buy"/>
    <x v="0"/>
    <s v="GS Caltex DAP Oct 10-16WTI-BrentHedge195-4.111062"/>
    <x v="0"/>
  </r>
  <r>
    <x v="0"/>
    <d v="2025-07-07T00:00:00"/>
    <s v="WTI Sprds"/>
    <s v="Hedge"/>
    <n v="-210"/>
    <d v="2025-08-31T00:00:00"/>
    <d v="2025-09-30T00:00:00"/>
    <n v="1.4"/>
    <n v="1.25"/>
    <n v="31.499999999999982"/>
    <n v="-294"/>
    <x v="34"/>
    <s v="Sell"/>
    <n v="-262.5"/>
    <x v="0"/>
    <x v="0"/>
    <n v="2025"/>
    <s v="Sell"/>
    <x v="0"/>
    <s v="UnallocatedWTI SprdsHedge-2101.251063"/>
    <x v="0"/>
  </r>
  <r>
    <x v="0"/>
    <d v="2025-07-07T00:00:00"/>
    <s v="WTI Sprds"/>
    <s v="Hedge"/>
    <n v="-70"/>
    <d v="2025-09-30T00:00:00"/>
    <d v="2025-10-31T00:00:00"/>
    <n v="1.3"/>
    <n v="0.57999999999999996"/>
    <n v="50.400000000000006"/>
    <n v="-91"/>
    <x v="35"/>
    <s v="Sell"/>
    <n v="-40.599999999999994"/>
    <x v="0"/>
    <x v="0"/>
    <n v="2025"/>
    <s v="Sell"/>
    <x v="0"/>
    <s v="UnallocatedWTI SprdsHedge-700.581064"/>
    <x v="0"/>
  </r>
  <r>
    <x v="0"/>
    <d v="2025-07-08T00:00:00"/>
    <s v="WTI-Brent"/>
    <s v="Hedge"/>
    <n v="300"/>
    <d v="2025-10-31T00:00:00"/>
    <d v="2025-10-31T00:00:00"/>
    <n v="-3.27"/>
    <n v="-4.1100000000000003"/>
    <n v="-252.00000000000009"/>
    <n v="-981"/>
    <x v="46"/>
    <s v="Buy"/>
    <n v="-1233"/>
    <x v="1"/>
    <x v="3"/>
    <n v="2025"/>
    <s v="Buy"/>
    <x v="0"/>
    <s v="UnallocatedWTI-BrentHedge300-4.111065"/>
    <x v="0"/>
  </r>
  <r>
    <x v="0"/>
    <d v="2025-07-09T00:00:00"/>
    <s v="WTI Sprds-Fly"/>
    <s v="Hedge"/>
    <n v="-1000"/>
    <d v="2025-09-30T00:00:00"/>
    <d v="2025-10-31T00:00:00"/>
    <n v="1.36"/>
    <n v="0.57999999999999996"/>
    <n v="780.00000000000011"/>
    <n v="-1360"/>
    <x v="35"/>
    <s v="Sell"/>
    <n v="-580"/>
    <x v="0"/>
    <x v="0"/>
    <n v="2025"/>
    <s v="Sell"/>
    <x v="0"/>
    <s v="UnallocatedWTI Sprds-FlyHedge-10000.581066"/>
    <x v="0"/>
  </r>
  <r>
    <x v="0"/>
    <d v="2025-07-09T00:00:00"/>
    <s v="WTI Sprds-Fly"/>
    <s v="Hedge"/>
    <n v="1000"/>
    <d v="2025-10-31T00:00:00"/>
    <d v="2025-11-30T00:00:00"/>
    <n v="1"/>
    <n v="0.28000000000000003"/>
    <n v="-720"/>
    <n v="1000"/>
    <x v="36"/>
    <s v="Buy"/>
    <n v="280"/>
    <x v="0"/>
    <x v="0"/>
    <n v="2025"/>
    <s v="Buy"/>
    <x v="0"/>
    <s v="UnallocatedWTI Sprds-FlyHedge10000.281067"/>
    <x v="0"/>
  </r>
  <r>
    <x v="0"/>
    <d v="2025-07-09T00:00:00"/>
    <s v="WTI Sprds-Fly"/>
    <s v="Hedge"/>
    <n v="-1000"/>
    <d v="2025-09-30T00:00:00"/>
    <d v="2025-10-31T00:00:00"/>
    <n v="1.36"/>
    <n v="0.57999999999999996"/>
    <n v="780.00000000000011"/>
    <n v="-1360"/>
    <x v="35"/>
    <s v="Sell"/>
    <n v="-580"/>
    <x v="0"/>
    <x v="0"/>
    <n v="2025"/>
    <s v="Sell"/>
    <x v="0"/>
    <s v="UnallocatedWTI Sprds-FlyHedge-10000.581068"/>
    <x v="0"/>
  </r>
  <r>
    <x v="0"/>
    <d v="2025-07-09T00:00:00"/>
    <s v="WTI Sprds-Fly"/>
    <s v="Hedge"/>
    <n v="1000"/>
    <d v="2025-10-31T00:00:00"/>
    <d v="2025-11-30T00:00:00"/>
    <n v="0.9900000000000001"/>
    <n v="0.28000000000000003"/>
    <n v="-710.00000000000011"/>
    <n v="990.00000000000011"/>
    <x v="36"/>
    <s v="Buy"/>
    <n v="280"/>
    <x v="0"/>
    <x v="0"/>
    <n v="2025"/>
    <s v="Buy"/>
    <x v="0"/>
    <s v="UnallocatedWTI Sprds-FlyHedge10000.281069"/>
    <x v="0"/>
  </r>
  <r>
    <x v="67"/>
    <d v="2025-07-10T00:00:00"/>
    <s v="WTI-Brent"/>
    <s v="Hedge"/>
    <n v="500"/>
    <d v="2025-10-31T00:00:00"/>
    <d v="2025-10-31T00:00:00"/>
    <n v="-3.3"/>
    <n v="-4.1100000000000003"/>
    <n v="-405.00000000000023"/>
    <n v="-1650"/>
    <x v="46"/>
    <s v="Buy"/>
    <n v="-2055"/>
    <x v="1"/>
    <x v="3"/>
    <n v="2025"/>
    <s v="Buy"/>
    <x v="0"/>
    <s v="GS Caltex DAP Oct 10-16WTI-BrentHedge500-4.111070"/>
    <x v="0"/>
  </r>
  <r>
    <x v="67"/>
    <d v="2025-07-10T00:00:00"/>
    <s v="WTI-Brent"/>
    <s v="Hedge"/>
    <n v="500"/>
    <d v="2025-10-31T00:00:00"/>
    <d v="2025-10-31T00:00:00"/>
    <n v="-3.31"/>
    <n v="-4.1100000000000003"/>
    <n v="-400.00000000000011"/>
    <n v="-1655"/>
    <x v="46"/>
    <s v="Buy"/>
    <n v="-2055"/>
    <x v="1"/>
    <x v="3"/>
    <n v="2025"/>
    <s v="Buy"/>
    <x v="0"/>
    <s v="GS Caltex DAP Oct 10-16WTI-BrentHedge500-4.111071"/>
    <x v="0"/>
  </r>
  <r>
    <x v="67"/>
    <d v="2025-07-10T00:00:00"/>
    <s v="WTI-Brent"/>
    <s v="Hedge"/>
    <n v="500"/>
    <d v="2025-10-31T00:00:00"/>
    <d v="2025-10-31T00:00:00"/>
    <n v="-3.32"/>
    <n v="-4.1100000000000003"/>
    <n v="-395.00000000000023"/>
    <n v="-1660"/>
    <x v="46"/>
    <s v="Buy"/>
    <n v="-2055"/>
    <x v="1"/>
    <x v="3"/>
    <n v="2025"/>
    <s v="Buy"/>
    <x v="0"/>
    <s v="GS Caltex DAP Oct 10-16WTI-BrentHedge500-4.111072"/>
    <x v="0"/>
  </r>
  <r>
    <x v="67"/>
    <d v="2025-07-10T00:00:00"/>
    <s v="WTI-Brent"/>
    <s v="Hedge"/>
    <n v="500"/>
    <d v="2025-10-31T00:00:00"/>
    <d v="2025-10-31T00:00:00"/>
    <n v="-3.33"/>
    <n v="-4.1100000000000003"/>
    <n v="-390.00000000000011"/>
    <n v="-1665"/>
    <x v="46"/>
    <s v="Buy"/>
    <n v="-2055"/>
    <x v="1"/>
    <x v="3"/>
    <n v="2025"/>
    <s v="Buy"/>
    <x v="0"/>
    <s v="GS Caltex DAP Oct 10-16WTI-BrentHedge500-4.111073"/>
    <x v="0"/>
  </r>
  <r>
    <x v="67"/>
    <d v="2025-07-10T00:00:00"/>
    <s v="WTI-Brent"/>
    <s v="Hedge"/>
    <n v="500"/>
    <d v="2025-10-31T00:00:00"/>
    <d v="2025-10-31T00:00:00"/>
    <n v="-3.34"/>
    <n v="-4.1100000000000003"/>
    <n v="-385.00000000000023"/>
    <n v="-1670"/>
    <x v="46"/>
    <s v="Buy"/>
    <n v="-2055"/>
    <x v="1"/>
    <x v="3"/>
    <n v="2025"/>
    <s v="Buy"/>
    <x v="0"/>
    <s v="GS Caltex DAP Oct 10-16WTI-BrentHedge500-4.111074"/>
    <x v="0"/>
  </r>
  <r>
    <x v="67"/>
    <d v="2025-07-10T00:00:00"/>
    <s v="WTI-Brent"/>
    <s v="Hedge"/>
    <n v="500"/>
    <d v="2025-10-31T00:00:00"/>
    <d v="2025-10-31T00:00:00"/>
    <n v="-3.35"/>
    <n v="-4.1100000000000003"/>
    <n v="-380.00000000000011"/>
    <n v="-1675"/>
    <x v="46"/>
    <s v="Buy"/>
    <n v="-2055"/>
    <x v="1"/>
    <x v="3"/>
    <n v="2025"/>
    <s v="Buy"/>
    <x v="0"/>
    <s v="GS Caltex DAP Oct 10-16WTI-BrentHedge500-4.111075"/>
    <x v="0"/>
  </r>
  <r>
    <x v="0"/>
    <d v="2025-07-11T00:00:00"/>
    <s v="WTI Sprds-Fly"/>
    <s v="Hedge"/>
    <n v="-1000"/>
    <d v="2025-09-30T00:00:00"/>
    <d v="2025-10-31T00:00:00"/>
    <n v="1.27"/>
    <n v="0.57999999999999996"/>
    <n v="690.00000000000011"/>
    <n v="-1270"/>
    <x v="35"/>
    <s v="Sell"/>
    <n v="-580"/>
    <x v="0"/>
    <x v="0"/>
    <n v="2025"/>
    <s v="Sell"/>
    <x v="0"/>
    <s v="UnallocatedWTI Sprds-FlyHedge-10000.581076"/>
    <x v="0"/>
  </r>
  <r>
    <x v="0"/>
    <d v="2025-07-11T00:00:00"/>
    <s v="WTI Sprds-Fly"/>
    <s v="Hedge"/>
    <n v="1000"/>
    <d v="2025-10-31T00:00:00"/>
    <d v="2025-11-30T00:00:00"/>
    <n v="0.87"/>
    <n v="0.28000000000000003"/>
    <n v="-590"/>
    <n v="870"/>
    <x v="36"/>
    <s v="Buy"/>
    <n v="280"/>
    <x v="0"/>
    <x v="0"/>
    <n v="2025"/>
    <s v="Buy"/>
    <x v="0"/>
    <s v="UnallocatedWTI Sprds-FlyHedge10000.281077"/>
    <x v="0"/>
  </r>
  <r>
    <x v="0"/>
    <d v="2025-07-11T00:00:00"/>
    <s v="WTI-Brent"/>
    <s v="Hedge"/>
    <n v="500"/>
    <d v="2025-09-30T00:00:00"/>
    <d v="2025-09-30T00:00:00"/>
    <n v="-3.31"/>
    <n v="-3.27"/>
    <n v="20.000000000000018"/>
    <n v="-1655"/>
    <x v="43"/>
    <s v="Buy"/>
    <n v="-1635"/>
    <x v="1"/>
    <x v="3"/>
    <n v="2025"/>
    <s v="Buy"/>
    <x v="0"/>
    <s v="UnallocatedWTI-BrentHedge500-3.271078"/>
    <x v="0"/>
  </r>
  <r>
    <x v="68"/>
    <d v="2025-07-16T00:00:00"/>
    <s v="Physical"/>
    <s v="Expo"/>
    <n v="700"/>
    <d v="2025-08-31T00:00:00"/>
    <d v="2025-08-31T00:00:00"/>
    <n v="-6.0000000000000678E-2"/>
    <n v="-0.22"/>
    <n v="-111.99999999999952"/>
    <n v="-42.000000000000476"/>
    <x v="38"/>
    <s v="Buy"/>
    <n v="-154"/>
    <x v="2"/>
    <x v="4"/>
    <n v="2025"/>
    <s v="Buy"/>
    <x v="1"/>
    <s v="BP FOB Aug 7-9 EHSCPhysicalExpo700-0.221079"/>
    <x v="0"/>
  </r>
  <r>
    <x v="68"/>
    <d v="2025-07-16T00:00:00"/>
    <s v="WTI Sprds"/>
    <s v="Expo"/>
    <n v="-700"/>
    <d v="2025-08-31T00:00:00"/>
    <d v="2025-09-30T00:00:00"/>
    <n v="1.1399999999999999"/>
    <n v="1.25"/>
    <n v="-77.000000000000071"/>
    <n v="-797.99999999999989"/>
    <x v="34"/>
    <s v="Sell"/>
    <n v="-875"/>
    <x v="0"/>
    <x v="0"/>
    <n v="2025"/>
    <s v="Sell"/>
    <x v="0"/>
    <s v="BP FOB Aug 7-9 EHSCWTI SprdsExpo-7001.251080"/>
    <x v="0"/>
  </r>
  <r>
    <x v="68"/>
    <d v="2025-07-16T00:00:00"/>
    <s v="WTI Sprds"/>
    <s v="Expo"/>
    <n v="-700"/>
    <d v="2025-09-30T00:00:00"/>
    <d v="2025-10-31T00:00:00"/>
    <n v="0.97"/>
    <n v="0.57999999999999996"/>
    <n v="273"/>
    <n v="-679"/>
    <x v="35"/>
    <s v="Sell"/>
    <n v="-406"/>
    <x v="0"/>
    <x v="0"/>
    <n v="2025"/>
    <s v="Sell"/>
    <x v="0"/>
    <s v="BP FOB Aug 7-9 EHSCWTI SprdsExpo-7000.581081"/>
    <x v="0"/>
  </r>
  <r>
    <x v="67"/>
    <d v="2025-07-16T00:00:00"/>
    <s v="WTI-Brent"/>
    <s v="Expo"/>
    <n v="-700"/>
    <d v="2025-10-31T00:00:00"/>
    <d v="2025-10-31T00:00:00"/>
    <n v="-3.37"/>
    <n v="-4.1100000000000003"/>
    <n v="518.00000000000011"/>
    <n v="2359"/>
    <x v="46"/>
    <s v="Sell"/>
    <n v="2877"/>
    <x v="1"/>
    <x v="3"/>
    <n v="2025"/>
    <s v="Sell"/>
    <x v="0"/>
    <s v="GS Caltex DAP Oct 10-16WTI-BrentExpo-700-4.111082"/>
    <x v="0"/>
  </r>
  <r>
    <x v="68"/>
    <d v="2025-07-17T00:00:00"/>
    <s v="WTI Sprds"/>
    <s v="Hedge"/>
    <n v="150"/>
    <d v="2025-08-31T00:00:00"/>
    <d v="2025-09-30T00:00:00"/>
    <n v="1.25"/>
    <n v="1.25"/>
    <n v="0"/>
    <n v="187.5"/>
    <x v="34"/>
    <s v="Buy"/>
    <n v="187.5"/>
    <x v="0"/>
    <x v="0"/>
    <n v="2025"/>
    <s v="Buy"/>
    <x v="0"/>
    <s v="BP FOB Aug 7-9 EHSCWTI SprdsHedge1501.251083"/>
    <x v="0"/>
  </r>
  <r>
    <x v="68"/>
    <d v="2025-07-17T00:00:00"/>
    <s v="WTI Sprds"/>
    <s v="Hedge"/>
    <n v="-192"/>
    <d v="2025-09-30T00:00:00"/>
    <d v="2025-10-31T00:00:00"/>
    <n v="0.93"/>
    <n v="0.57999999999999996"/>
    <n v="67.200000000000017"/>
    <n v="-178.56"/>
    <x v="35"/>
    <s v="Sell"/>
    <n v="-111.35999999999999"/>
    <x v="0"/>
    <x v="0"/>
    <n v="2025"/>
    <s v="Sell"/>
    <x v="0"/>
    <s v="BP FOB Aug 7-9 EHSCWTI SprdsHedge-1920.581084"/>
    <x v="0"/>
  </r>
  <r>
    <x v="68"/>
    <d v="2025-07-17T00:00:00"/>
    <s v="WTI Sprds"/>
    <s v="Hedge"/>
    <n v="-192"/>
    <d v="2025-10-31T00:00:00"/>
    <d v="2025-11-30T00:00:00"/>
    <n v="0.93"/>
    <n v="0.28000000000000003"/>
    <n v="124.80000000000001"/>
    <n v="-178.56"/>
    <x v="36"/>
    <s v="Sell"/>
    <n v="-53.760000000000005"/>
    <x v="0"/>
    <x v="0"/>
    <n v="2025"/>
    <s v="Sell"/>
    <x v="0"/>
    <s v="BP FOB Aug 7-9 EHSCWTI SprdsHedge-1920.281085"/>
    <x v="0"/>
  </r>
  <r>
    <x v="0"/>
    <d v="2025-07-17T00:00:00"/>
    <s v="WTI Sprds"/>
    <s v="Hedge"/>
    <n v="638"/>
    <d v="2025-08-31T00:00:00"/>
    <d v="2025-09-30T00:00:00"/>
    <n v="1.28"/>
    <n v="1.25"/>
    <n v="-19.140000000000018"/>
    <n v="816.64"/>
    <x v="34"/>
    <s v="Buy"/>
    <n v="797.5"/>
    <x v="0"/>
    <x v="0"/>
    <n v="2025"/>
    <s v="Buy"/>
    <x v="0"/>
    <s v="UnallocatedWTI SprdsHedge6381.251086"/>
    <x v="0"/>
  </r>
  <r>
    <x v="0"/>
    <d v="2025-07-17T00:00:00"/>
    <s v="WTI Sprds"/>
    <s v="Hedge"/>
    <n v="1000"/>
    <d v="2025-08-31T00:00:00"/>
    <d v="2025-09-30T00:00:00"/>
    <n v="1.28"/>
    <n v="1.25"/>
    <n v="-30.000000000000028"/>
    <n v="1280"/>
    <x v="34"/>
    <s v="Buy"/>
    <n v="1250"/>
    <x v="0"/>
    <x v="0"/>
    <n v="2025"/>
    <s v="Buy"/>
    <x v="0"/>
    <s v="UnallocatedWTI SprdsHedge10001.251087"/>
    <x v="0"/>
  </r>
  <r>
    <x v="0"/>
    <d v="2025-07-21T00:00:00"/>
    <s v="WTI Sprds"/>
    <s v="Expo"/>
    <n v="-738"/>
    <d v="2025-08-31T00:00:00"/>
    <d v="2025-09-30T00:00:00"/>
    <n v="1.25"/>
    <n v="1.25"/>
    <n v="0"/>
    <n v="-922.5"/>
    <x v="34"/>
    <s v="Sell"/>
    <n v="-922.5"/>
    <x v="0"/>
    <x v="0"/>
    <n v="2025"/>
    <s v="Sell"/>
    <x v="0"/>
    <s v="UnallocatedWTI SprdsExpo-7381.251088"/>
    <x v="0"/>
  </r>
  <r>
    <x v="0"/>
    <d v="2025-07-23T00:00:00"/>
    <s v="WTI Sprds-Fly"/>
    <s v="Hedge"/>
    <n v="-1000"/>
    <d v="2025-11-30T00:00:00"/>
    <d v="2025-12-31T00:00:00"/>
    <n v="0.37"/>
    <n v="0.5"/>
    <n v="-130"/>
    <n v="-370"/>
    <x v="0"/>
    <s v="Sell"/>
    <n v="-500"/>
    <x v="0"/>
    <x v="0"/>
    <n v="2025"/>
    <s v="Sell"/>
    <x v="0"/>
    <s v="UnallocatedWTI Sprds-FlyHedge-10000.51089"/>
    <x v="0"/>
  </r>
  <r>
    <x v="0"/>
    <d v="2025-07-23T00:00:00"/>
    <s v="WTI Sprds-Fly"/>
    <s v="Hedge"/>
    <n v="1000"/>
    <d v="2025-12-31T00:00:00"/>
    <d v="2026-01-31T00:00:00"/>
    <n v="0.22"/>
    <n v="0.19"/>
    <n v="-30"/>
    <n v="220"/>
    <x v="1"/>
    <s v="Buy"/>
    <n v="190"/>
    <x v="0"/>
    <x v="0"/>
    <n v="2025"/>
    <s v="Buy"/>
    <x v="0"/>
    <s v="UnallocatedWTI Sprds-FlyHedge10000.191090"/>
    <x v="0"/>
  </r>
  <r>
    <x v="69"/>
    <d v="2025-07-23T00:00:00"/>
    <s v="Physical"/>
    <s v="Expo"/>
    <n v="2040"/>
    <d v="2025-08-31T00:00:00"/>
    <d v="2025-08-31T00:00:00"/>
    <n v="2.8953921568627448"/>
    <n v="2.8"/>
    <n v="-194.59999999999968"/>
    <n v="6180.4518337408308"/>
    <x v="38"/>
    <s v="Buy"/>
    <n v="5712"/>
    <x v="2"/>
    <x v="4"/>
    <n v="2025"/>
    <s v="Buy"/>
    <x v="1"/>
    <s v="CPC Taiwan Oct 19-23PhysicalExpo20402.81091"/>
    <x v="0"/>
  </r>
  <r>
    <x v="69"/>
    <d v="2025-07-23T00:00:00"/>
    <s v="WTI Sprds"/>
    <s v="Expo"/>
    <n v="-2040"/>
    <d v="2025-09-30T00:00:00"/>
    <d v="2025-10-31T00:00:00"/>
    <n v="0.88"/>
    <n v="0.57999999999999996"/>
    <n v="612.00000000000011"/>
    <n v="-1795.2"/>
    <x v="35"/>
    <s v="Sell"/>
    <n v="-1183.1999999999998"/>
    <x v="0"/>
    <x v="0"/>
    <n v="2025"/>
    <s v="Sell"/>
    <x v="0"/>
    <s v="CPC Taiwan Oct 19-23WTI SprdsExpo-20400.581092"/>
    <x v="0"/>
  </r>
  <r>
    <x v="69"/>
    <d v="2025-07-23T00:00:00"/>
    <s v="WTI-Brent"/>
    <s v="Expo"/>
    <n v="-2040"/>
    <d v="2025-10-31T00:00:00"/>
    <d v="2025-10-31T00:00:00"/>
    <n v="-3.31"/>
    <n v="-4.1100000000000003"/>
    <n v="1632.0000000000005"/>
    <n v="6752.4000000000005"/>
    <x v="46"/>
    <s v="Sell"/>
    <n v="8384.4000000000015"/>
    <x v="1"/>
    <x v="3"/>
    <n v="2025"/>
    <s v="Sell"/>
    <x v="0"/>
    <s v="CPC Taiwan Oct 19-23WTI-BrentExpo-2040-4.111093"/>
    <x v="0"/>
  </r>
  <r>
    <x v="69"/>
    <d v="2025-07-23T00:00:00"/>
    <s v="Brent Sprds"/>
    <s v="Expo"/>
    <n v="-2040"/>
    <d v="2025-10-31T00:00:00"/>
    <d v="2025-11-30T00:00:00"/>
    <n v="0.52"/>
    <n v="0.64"/>
    <n v="-244.79999999999998"/>
    <n v="-1060.8"/>
    <x v="36"/>
    <s v="Sell"/>
    <n v="-1305.6000000000001"/>
    <x v="0"/>
    <x v="2"/>
    <n v="2025"/>
    <s v="Sell"/>
    <x v="0"/>
    <s v="CPC Taiwan Oct 19-23Brent SprdsExpo-20400.641094"/>
    <x v="0"/>
  </r>
  <r>
    <x v="69"/>
    <d v="2025-07-23T00:00:00"/>
    <s v="DFL"/>
    <s v="Expo"/>
    <n v="2040"/>
    <d v="2025-09-30T00:00:00"/>
    <d v="2025-09-30T00:00:00"/>
    <n v="0.75"/>
    <n v="0.49"/>
    <n v="-530.4"/>
    <n v="1530"/>
    <x v="43"/>
    <s v="Buy"/>
    <n v="999.6"/>
    <x v="1"/>
    <x v="1"/>
    <n v="2025"/>
    <s v="Buy"/>
    <x v="0"/>
    <s v="CPC Taiwan Oct 19-23DFLExpo20400.491095"/>
    <x v="0"/>
  </r>
  <r>
    <x v="69"/>
    <d v="2025-07-23T00:00:00"/>
    <s v="Freight-TD22"/>
    <s v="Expo"/>
    <n v="-2000"/>
    <d v="2025-08-31T00:00:00"/>
    <d v="2025-08-31T00:00:00"/>
    <n v="6400"/>
    <n v="7200"/>
    <n v="800"/>
    <n v="-12800000"/>
    <x v="38"/>
    <s v="Sell"/>
    <n v="-14400000"/>
    <x v="3"/>
    <x v="5"/>
    <n v="2025"/>
    <s v="Sell"/>
    <x v="0"/>
    <s v="CPC Taiwan Oct 19-23Freight-TD22Expo-200072001096"/>
    <x v="0"/>
  </r>
  <r>
    <x v="69"/>
    <d v="2025-07-23T00:00:00"/>
    <s v="Freight-TD22"/>
    <s v="Hedge"/>
    <n v="2000"/>
    <d v="2025-08-31T00:00:00"/>
    <d v="2025-08-31T00:00:00"/>
    <n v="6400"/>
    <n v="6400"/>
    <n v="0"/>
    <n v="12800000"/>
    <x v="38"/>
    <s v="Buy"/>
    <n v="12800000"/>
    <x v="3"/>
    <x v="5"/>
    <n v="2025"/>
    <s v="Buy"/>
    <x v="0"/>
    <s v="CPC Taiwan Oct 19-23Freight-TD22Hedge200064001097"/>
    <x v="0"/>
  </r>
  <r>
    <x v="0"/>
    <d v="2025-07-24T00:00:00"/>
    <s v="WTI Sprds-Fly"/>
    <s v="Hedge"/>
    <n v="-122"/>
    <d v="2025-11-30T00:00:00"/>
    <d v="2025-12-31T00:00:00"/>
    <n v="0.45"/>
    <n v="0.5"/>
    <n v="-6.0999999999999988"/>
    <n v="-54.9"/>
    <x v="0"/>
    <s v="Sell"/>
    <n v="-61"/>
    <x v="0"/>
    <x v="0"/>
    <n v="2025"/>
    <s v="Sell"/>
    <x v="0"/>
    <s v="UnallocatedWTI Sprds-FlyHedge-1220.51098"/>
    <x v="0"/>
  </r>
  <r>
    <x v="0"/>
    <d v="2025-07-24T00:00:00"/>
    <s v="WTI Sprds-Fly"/>
    <s v="Hedge"/>
    <n v="122"/>
    <d v="2025-12-31T00:00:00"/>
    <d v="2026-01-31T00:00:00"/>
    <n v="0.27"/>
    <n v="0.19"/>
    <n v="-9.7600000000000016"/>
    <n v="32.940000000000005"/>
    <x v="1"/>
    <s v="Buy"/>
    <n v="23.18"/>
    <x v="0"/>
    <x v="0"/>
    <n v="2025"/>
    <s v="Buy"/>
    <x v="0"/>
    <s v="UnallocatedWTI Sprds-FlyHedge1220.191099"/>
    <x v="0"/>
  </r>
  <r>
    <x v="70"/>
    <d v="2025-07-30T00:00:00"/>
    <s v="Brent Sprds"/>
    <s v="Hedge"/>
    <n v="65"/>
    <d v="2025-09-30T00:00:00"/>
    <d v="2025-10-31T00:00:00"/>
    <n v="0.77"/>
    <n v="0.83"/>
    <n v="3.8999999999999964"/>
    <n v="50.050000000000004"/>
    <x v="35"/>
    <s v="Buy"/>
    <n v="53.949999999999996"/>
    <x v="0"/>
    <x v="2"/>
    <n v="2025"/>
    <s v="Buy"/>
    <x v="0"/>
    <s v="Cargo NameBrent SprdsHedge650.831100"/>
    <x v="0"/>
  </r>
  <r>
    <x v="0"/>
    <d v="2025-07-30T00:00:00"/>
    <s v="WTI-Brent"/>
    <s v="Hedge"/>
    <n v="-437"/>
    <d v="2025-09-30T00:00:00"/>
    <d v="2025-09-30T00:00:00"/>
    <n v="-3.2399999999999949"/>
    <n v="-3.27"/>
    <n v="13.110000000002243"/>
    <n v="1415.8799999999978"/>
    <x v="43"/>
    <s v="Sell"/>
    <n v="1428.99"/>
    <x v="1"/>
    <x v="3"/>
    <n v="2025"/>
    <s v="Sell"/>
    <x v="0"/>
    <s v="UnallocatedWTI-BrentHedge-437-3.271101"/>
    <x v="0"/>
  </r>
  <r>
    <x v="0"/>
    <d v="2025-07-30T00:00:00"/>
    <s v="WTI-Brent"/>
    <s v="Hedge"/>
    <n v="437"/>
    <d v="2025-10-31T00:00:00"/>
    <d v="2025-10-31T00:00:00"/>
    <n v="-3.539999999999992"/>
    <n v="-4.1100000000000003"/>
    <n v="-249.09000000000361"/>
    <n v="-1546.9799999999966"/>
    <x v="46"/>
    <s v="Buy"/>
    <n v="-1796.0700000000002"/>
    <x v="1"/>
    <x v="3"/>
    <n v="2025"/>
    <s v="Buy"/>
    <x v="0"/>
    <s v="UnallocatedWTI-BrentHedge437-4.111102"/>
    <x v="0"/>
  </r>
  <r>
    <x v="69"/>
    <d v="2025-08-04T00:00:00"/>
    <s v="DFL"/>
    <s v="Hedge"/>
    <n v="-123"/>
    <d v="2025-07-31T00:00:00"/>
    <d v="2025-07-31T00:00:00"/>
    <n v="1.45"/>
    <n v="1.47"/>
    <n v="-2.4600000000000022"/>
    <n v="-178.35"/>
    <x v="32"/>
    <s v="Sell"/>
    <n v="-180.81"/>
    <x v="1"/>
    <x v="1"/>
    <n v="2025"/>
    <s v="Sell"/>
    <x v="0"/>
    <s v="CPC Taiwan Oct 19-23DFLHedge-1231.471103"/>
    <x v="0"/>
  </r>
  <r>
    <x v="49"/>
    <d v="2025-08-04T00:00:00"/>
    <s v="Freight-TD7"/>
    <s v="Expo"/>
    <n v="-700"/>
    <d v="2025-07-31T00:00:00"/>
    <d v="2025-07-31T00:00:00"/>
    <n v="117"/>
    <n v="117"/>
    <n v="0"/>
    <n v="-81900"/>
    <x v="32"/>
    <s v="Sell"/>
    <n v="-81900"/>
    <x v="3"/>
    <x v="5"/>
    <n v="2025"/>
    <s v="Sell"/>
    <x v="0"/>
    <s v="July25 EFP 1Freight-TD7Expo-7001171104"/>
    <x v="0"/>
  </r>
  <r>
    <x v="69"/>
    <d v="2025-08-04T00:00:00"/>
    <s v="WTI Sprds"/>
    <s v="Hedge"/>
    <n v="300"/>
    <d v="2025-09-30T00:00:00"/>
    <d v="2025-10-31T00:00:00"/>
    <n v="0.99"/>
    <n v="0.57999999999999996"/>
    <n v="-123.00000000000001"/>
    <n v="297"/>
    <x v="35"/>
    <s v="Buy"/>
    <n v="174"/>
    <x v="0"/>
    <x v="0"/>
    <n v="2025"/>
    <s v="Buy"/>
    <x v="0"/>
    <s v="CPC Taiwan Oct 19-23WTI SprdsHedge3000.581105"/>
    <x v="0"/>
  </r>
  <r>
    <x v="69"/>
    <d v="2025-08-04T00:00:00"/>
    <s v="WTI Sprds"/>
    <s v="Hedge"/>
    <n v="300"/>
    <d v="2025-09-30T00:00:00"/>
    <d v="2025-10-31T00:00:00"/>
    <n v="0.98"/>
    <n v="0.57999999999999996"/>
    <n v="-120"/>
    <n v="294"/>
    <x v="35"/>
    <s v="Buy"/>
    <n v="174"/>
    <x v="0"/>
    <x v="0"/>
    <n v="2025"/>
    <s v="Buy"/>
    <x v="0"/>
    <s v="CPC Taiwan Oct 19-23WTI SprdsHedge3000.581106"/>
    <x v="0"/>
  </r>
  <r>
    <x v="69"/>
    <d v="2025-08-05T00:00:00"/>
    <s v="WTI Sprds"/>
    <s v="Hedge"/>
    <n v="300"/>
    <d v="2025-09-30T00:00:00"/>
    <d v="2025-10-31T00:00:00"/>
    <n v="0.97"/>
    <n v="0.57999999999999996"/>
    <n v="-117"/>
    <n v="291"/>
    <x v="35"/>
    <s v="Buy"/>
    <n v="174"/>
    <x v="0"/>
    <x v="0"/>
    <n v="2025"/>
    <s v="Buy"/>
    <x v="0"/>
    <s v="CPC Taiwan Oct 19-23WTI SprdsHedge3000.581107"/>
    <x v="0"/>
  </r>
  <r>
    <x v="69"/>
    <d v="2025-08-05T00:00:00"/>
    <s v="WTI Sprds"/>
    <s v="Hedge"/>
    <n v="300"/>
    <d v="2025-09-30T00:00:00"/>
    <d v="2025-10-31T00:00:00"/>
    <n v="0.96"/>
    <n v="0.57999999999999996"/>
    <n v="-114"/>
    <n v="288"/>
    <x v="35"/>
    <s v="Buy"/>
    <n v="174"/>
    <x v="0"/>
    <x v="0"/>
    <n v="2025"/>
    <s v="Buy"/>
    <x v="0"/>
    <s v="CPC Taiwan Oct 19-23WTI SprdsHedge3000.581108"/>
    <x v="0"/>
  </r>
  <r>
    <x v="69"/>
    <d v="2025-08-05T00:00:00"/>
    <s v="WTI Sprds"/>
    <s v="Hedge"/>
    <n v="300"/>
    <d v="2025-09-30T00:00:00"/>
    <d v="2025-10-31T00:00:00"/>
    <n v="0.95"/>
    <n v="0.57999999999999996"/>
    <n v="-111"/>
    <n v="285"/>
    <x v="35"/>
    <s v="Buy"/>
    <n v="174"/>
    <x v="0"/>
    <x v="0"/>
    <n v="2025"/>
    <s v="Buy"/>
    <x v="0"/>
    <s v="CPC Taiwan Oct 19-23WTI SprdsHedge3000.581109"/>
    <x v="0"/>
  </r>
  <r>
    <x v="69"/>
    <d v="2025-08-05T00:00:00"/>
    <s v="DFL"/>
    <s v="Hedge"/>
    <n v="-350"/>
    <d v="2025-09-30T00:00:00"/>
    <d v="2025-09-30T00:00:00"/>
    <n v="0.91"/>
    <n v="0.49"/>
    <n v="147"/>
    <n v="-318.5"/>
    <x v="43"/>
    <s v="Sell"/>
    <n v="-171.5"/>
    <x v="1"/>
    <x v="1"/>
    <n v="2025"/>
    <s v="Sell"/>
    <x v="0"/>
    <s v="CPC Taiwan Oct 19-23DFLHedge-3500.491110"/>
    <x v="0"/>
  </r>
  <r>
    <x v="69"/>
    <d v="2025-08-06T00:00:00"/>
    <s v="DFL"/>
    <s v="Hedge"/>
    <n v="-300"/>
    <d v="2025-09-30T00:00:00"/>
    <d v="2025-09-30T00:00:00"/>
    <n v="1.02"/>
    <n v="0.49"/>
    <n v="159"/>
    <n v="-306"/>
    <x v="43"/>
    <s v="Sell"/>
    <n v="-147"/>
    <x v="1"/>
    <x v="1"/>
    <n v="2025"/>
    <s v="Sell"/>
    <x v="0"/>
    <s v="CPC Taiwan Oct 19-23DFLHedge-3000.491111"/>
    <x v="0"/>
  </r>
  <r>
    <x v="71"/>
    <d v="2025-08-07T00:00:00"/>
    <s v="Physical"/>
    <s v="Expo"/>
    <n v="1429"/>
    <d v="2025-08-31T00:00:00"/>
    <d v="2025-08-31T00:00:00"/>
    <n v="3.918556652562295"/>
    <n v="4.0999999999999996"/>
    <n v="259.28254348847992"/>
    <n v="5599.6174565115198"/>
    <x v="38"/>
    <s v="Buy"/>
    <n v="5858.9"/>
    <x v="2"/>
    <x v="4"/>
    <n v="2025"/>
    <s v="Buy"/>
    <x v="1"/>
    <s v="HDO DAP Korea Nov 8-18PhysicalExpo14294.11112"/>
    <x v="0"/>
  </r>
  <r>
    <x v="71"/>
    <d v="2025-08-07T00:00:00"/>
    <s v="Physical"/>
    <s v="Expo"/>
    <n v="698"/>
    <d v="2025-08-31T00:00:00"/>
    <d v="2025-08-31T00:00:00"/>
    <n v="3.5685566525622949"/>
    <n v="3.8"/>
    <n v="161.54745651151802"/>
    <n v="2490.8525434884818"/>
    <x v="38"/>
    <s v="Buy"/>
    <n v="2652.4"/>
    <x v="2"/>
    <x v="4"/>
    <n v="2025"/>
    <s v="Buy"/>
    <x v="1"/>
    <s v="HDO DAP Korea Nov 8-18PhysicalExpo6983.81113"/>
    <x v="0"/>
  </r>
  <r>
    <x v="71"/>
    <d v="2025-08-07T00:00:00"/>
    <s v="WTI Sprds"/>
    <s v="Expo"/>
    <n v="-2127"/>
    <d v="2025-09-30T00:00:00"/>
    <d v="2025-10-31T00:00:00"/>
    <n v="0.94"/>
    <n v="0.57999999999999996"/>
    <n v="765.72"/>
    <n v="-1999.3799999999999"/>
    <x v="35"/>
    <s v="Sell"/>
    <n v="-1233.6599999999999"/>
    <x v="0"/>
    <x v="0"/>
    <n v="2025"/>
    <s v="Sell"/>
    <x v="0"/>
    <s v="HDO DAP Korea Nov 8-18WTI SprdsExpo-21270.581114"/>
    <x v="0"/>
  </r>
  <r>
    <x v="71"/>
    <d v="2025-08-07T00:00:00"/>
    <s v="WTI Sprds"/>
    <s v="Expo"/>
    <n v="-2127"/>
    <d v="2025-10-31T00:00:00"/>
    <d v="2025-11-30T00:00:00"/>
    <n v="0.62"/>
    <n v="0.28000000000000003"/>
    <n v="723.18"/>
    <n v="-1318.74"/>
    <x v="36"/>
    <s v="Sell"/>
    <n v="-595.56000000000006"/>
    <x v="0"/>
    <x v="0"/>
    <n v="2025"/>
    <s v="Sell"/>
    <x v="0"/>
    <s v="HDO DAP Korea Nov 8-18WTI SprdsExpo-21270.281115"/>
    <x v="0"/>
  </r>
  <r>
    <x v="71"/>
    <d v="2025-08-07T00:00:00"/>
    <s v="WTI-Brent"/>
    <s v="Expo"/>
    <n v="-2127"/>
    <d v="2025-11-30T00:00:00"/>
    <d v="2025-11-30T00:00:00"/>
    <n v="-3.48"/>
    <n v="-4.6500000000000004"/>
    <n v="2488.5900000000006"/>
    <n v="7401.96"/>
    <x v="47"/>
    <s v="Sell"/>
    <n v="9890.5500000000011"/>
    <x v="1"/>
    <x v="3"/>
    <n v="2025"/>
    <s v="Sell"/>
    <x v="0"/>
    <s v="HDO DAP Korea Nov 8-18WTI-BrentExpo-2127-4.651116"/>
    <x v="0"/>
  </r>
  <r>
    <x v="71"/>
    <d v="2025-08-07T00:00:00"/>
    <s v="Brent Sprds"/>
    <s v="Expo"/>
    <n v="-2127"/>
    <d v="2025-11-30T00:00:00"/>
    <d v="2025-12-31T00:00:00"/>
    <n v="0.53"/>
    <n v="0.99"/>
    <n v="-978.42"/>
    <n v="-1127.31"/>
    <x v="0"/>
    <s v="Sell"/>
    <n v="-2105.73"/>
    <x v="0"/>
    <x v="2"/>
    <n v="2025"/>
    <s v="Sell"/>
    <x v="0"/>
    <s v="HDO DAP Korea Nov 8-18Brent SprdsExpo-21270.991117"/>
    <x v="0"/>
  </r>
  <r>
    <x v="71"/>
    <d v="2025-08-07T00:00:00"/>
    <s v="Freight-TD22"/>
    <s v="Expo"/>
    <n v="-2000"/>
    <d v="2025-09-30T00:00:00"/>
    <d v="2025-09-30T00:00:00"/>
    <n v="7250"/>
    <n v="7200"/>
    <n v="50"/>
    <n v="-14500000"/>
    <x v="43"/>
    <s v="Sell"/>
    <n v="-14400000"/>
    <x v="3"/>
    <x v="5"/>
    <n v="2025"/>
    <s v="Sell"/>
    <x v="0"/>
    <s v="HDO DAP Korea Nov 8-18Freight-TD22Expo-200072001118"/>
    <x v="0"/>
  </r>
  <r>
    <x v="71"/>
    <d v="2025-08-07T00:00:00"/>
    <s v="Freight-TD22"/>
    <s v="Hedge"/>
    <n v="2000"/>
    <d v="2025-09-30T00:00:00"/>
    <d v="2025-09-30T00:00:00"/>
    <n v="7200"/>
    <n v="7200"/>
    <n v="0"/>
    <n v="14400000"/>
    <x v="43"/>
    <s v="Buy"/>
    <n v="14400000"/>
    <x v="3"/>
    <x v="5"/>
    <n v="2025"/>
    <s v="Buy"/>
    <x v="0"/>
    <s v="HDO DAP Korea Nov 8-18Freight-TD22Hedge200072001119"/>
    <x v="0"/>
  </r>
  <r>
    <x v="71"/>
    <d v="2025-08-07T00:00:00"/>
    <s v="WTI Sprds"/>
    <s v="Hedge"/>
    <n v="2000"/>
    <d v="2025-09-30T00:00:00"/>
    <d v="2025-10-31T00:00:00"/>
    <n v="0.84000000000000341"/>
    <n v="0.57999999999999996"/>
    <n v="-520.00000000000693"/>
    <n v="1680.0000000000068"/>
    <x v="35"/>
    <s v="Buy"/>
    <n v="1160"/>
    <x v="0"/>
    <x v="0"/>
    <n v="2025"/>
    <s v="Buy"/>
    <x v="0"/>
    <s v="HDO DAP Korea Nov 8-18WTI SprdsHedge20000.581120"/>
    <x v="0"/>
  </r>
  <r>
    <x v="71"/>
    <d v="2025-08-07T00:00:00"/>
    <s v="WTI Sprds"/>
    <s v="Hedge"/>
    <n v="2000"/>
    <d v="2025-10-31T00:00:00"/>
    <d v="2025-11-30T00:00:00"/>
    <n v="0.53999999999999915"/>
    <n v="0.28000000000000003"/>
    <n v="-519.99999999999829"/>
    <n v="1079.9999999999982"/>
    <x v="36"/>
    <s v="Buy"/>
    <n v="560"/>
    <x v="0"/>
    <x v="0"/>
    <n v="2025"/>
    <s v="Buy"/>
    <x v="0"/>
    <s v="HDO DAP Korea Nov 8-18WTI SprdsHedge20000.281121"/>
    <x v="0"/>
  </r>
  <r>
    <x v="71"/>
    <d v="2025-08-07T00:00:00"/>
    <s v="WTI-Brent"/>
    <s v="Hedge"/>
    <n v="2000"/>
    <d v="2025-11-30T00:00:00"/>
    <d v="2025-11-30T00:00:00"/>
    <n v="-3.4000000000000057"/>
    <n v="-4.6500000000000004"/>
    <n v="-2499.9999999999895"/>
    <n v="-6800.0000000000109"/>
    <x v="47"/>
    <s v="Buy"/>
    <n v="-9300"/>
    <x v="1"/>
    <x v="3"/>
    <n v="2025"/>
    <s v="Buy"/>
    <x v="0"/>
    <s v="HDO DAP Korea Nov 8-18WTI-BrentHedge2000-4.651122"/>
    <x v="0"/>
  </r>
  <r>
    <x v="71"/>
    <d v="2025-08-07T00:00:00"/>
    <s v="WTI-Brent"/>
    <s v="Hedge"/>
    <n v="630"/>
    <d v="2025-10-31T00:00:00"/>
    <d v="2025-10-31T00:00:00"/>
    <n v="-3.3900000000000077"/>
    <n v="-4.1100000000000003"/>
    <n v="-453.59999999999536"/>
    <n v="-2135.7000000000048"/>
    <x v="46"/>
    <s v="Buy"/>
    <n v="-2589.3000000000002"/>
    <x v="1"/>
    <x v="3"/>
    <n v="2025"/>
    <s v="Buy"/>
    <x v="0"/>
    <s v="HDO DAP Korea Nov 8-18WTI-BrentHedge630-4.111123"/>
    <x v="0"/>
  </r>
  <r>
    <x v="72"/>
    <d v="2025-08-07T00:00:00"/>
    <s v="Physical"/>
    <s v="Expo"/>
    <n v="740"/>
    <d v="2025-08-31T00:00:00"/>
    <d v="2025-08-31T00:00:00"/>
    <n v="-1.0700000000000003"/>
    <n v="-1"/>
    <n v="51.80000000000021"/>
    <n v="-791.80000000000018"/>
    <x v="38"/>
    <s v="Buy"/>
    <n v="-740"/>
    <x v="2"/>
    <x v="4"/>
    <n v="2025"/>
    <s v="Buy"/>
    <x v="1"/>
    <s v="Ampol FOB Sep 15-20PhysicalExpo740-11124"/>
    <x v="0"/>
  </r>
  <r>
    <x v="72"/>
    <d v="2025-08-07T00:00:00"/>
    <s v="WTI Sprds"/>
    <s v="Expo"/>
    <n v="-740"/>
    <d v="2025-09-30T00:00:00"/>
    <d v="2025-10-31T00:00:00"/>
    <n v="0.84000000000000341"/>
    <n v="0.57999999999999996"/>
    <n v="192.40000000000256"/>
    <n v="-621.60000000000252"/>
    <x v="35"/>
    <s v="Sell"/>
    <n v="-429.2"/>
    <x v="0"/>
    <x v="0"/>
    <n v="2025"/>
    <s v="Sell"/>
    <x v="0"/>
    <s v="Ampol FOB Sep 15-20WTI SprdsExpo-7400.581125"/>
    <x v="0"/>
  </r>
  <r>
    <x v="72"/>
    <d v="2025-08-07T00:00:00"/>
    <s v="WTI Sprds"/>
    <s v="Expo"/>
    <n v="-740"/>
    <d v="2025-10-31T00:00:00"/>
    <d v="2025-11-30T00:00:00"/>
    <n v="0.53999999999999915"/>
    <n v="0.28000000000000003"/>
    <n v="192.39999999999935"/>
    <n v="-399.59999999999934"/>
    <x v="36"/>
    <s v="Sell"/>
    <n v="-207.20000000000002"/>
    <x v="0"/>
    <x v="0"/>
    <n v="2025"/>
    <s v="Sell"/>
    <x v="0"/>
    <s v="Ampol FOB Sep 15-20WTI SprdsExpo-7400.281126"/>
    <x v="0"/>
  </r>
  <r>
    <x v="72"/>
    <d v="2025-08-07T00:00:00"/>
    <s v="WTI-Brent"/>
    <s v="Expo"/>
    <n v="-740"/>
    <d v="2025-11-30T00:00:00"/>
    <d v="2025-11-30T00:00:00"/>
    <n v="-3.39"/>
    <n v="-4.6500000000000004"/>
    <n v="932.4000000000002"/>
    <n v="2508.6"/>
    <x v="47"/>
    <s v="Sell"/>
    <n v="3441.0000000000005"/>
    <x v="1"/>
    <x v="3"/>
    <n v="2025"/>
    <s v="Sell"/>
    <x v="0"/>
    <s v="Ampol FOB Sep 15-20WTI-BrentExpo-740-4.651127"/>
    <x v="0"/>
  </r>
  <r>
    <x v="69"/>
    <d v="2025-08-06T00:00:00"/>
    <s v="DFL"/>
    <s v="Hedge"/>
    <n v="-200"/>
    <d v="2025-09-30T00:00:00"/>
    <d v="2025-09-30T00:00:00"/>
    <n v="0.93"/>
    <n v="0.49"/>
    <n v="88.000000000000014"/>
    <n v="-186"/>
    <x v="43"/>
    <s v="Sell"/>
    <n v="-98"/>
    <x v="1"/>
    <x v="1"/>
    <n v="2025"/>
    <s v="Sell"/>
    <x v="0"/>
    <s v="CPC Taiwan Oct 19-23DFLHedge-2000.491128"/>
    <x v="0"/>
  </r>
  <r>
    <x v="73"/>
    <d v="2025-08-12T00:00:00"/>
    <s v="Physical"/>
    <s v="Expo"/>
    <n v="700"/>
    <d v="2025-08-31T00:00:00"/>
    <d v="2025-08-31T00:00:00"/>
    <n v="-1.0799999999999998"/>
    <n v="-0.95"/>
    <n v="90.999999999999929"/>
    <n v="-755.99999999999989"/>
    <x v="38"/>
    <s v="Buy"/>
    <n v="-665"/>
    <x v="2"/>
    <x v="4"/>
    <n v="2025"/>
    <s v="Buy"/>
    <x v="1"/>
    <s v="BP FOB Sep 5-10PhysicalExpo700-0.951129"/>
    <x v="0"/>
  </r>
  <r>
    <x v="73"/>
    <d v="2025-08-12T00:00:00"/>
    <s v="WTI Sprds"/>
    <s v="Expo"/>
    <n v="-700"/>
    <d v="2025-09-30T00:00:00"/>
    <d v="2025-10-31T00:00:00"/>
    <n v="0.76"/>
    <n v="0.57999999999999996"/>
    <n v="126.00000000000003"/>
    <n v="-532"/>
    <x v="35"/>
    <s v="Sell"/>
    <n v="-406"/>
    <x v="0"/>
    <x v="0"/>
    <n v="2025"/>
    <s v="Sell"/>
    <x v="0"/>
    <s v="BP FOB Sep 5-10WTI SprdsExpo-7000.581130"/>
    <x v="0"/>
  </r>
  <r>
    <x v="73"/>
    <d v="2025-08-12T00:00:00"/>
    <s v="WTI Sprds"/>
    <s v="Expo"/>
    <n v="-700"/>
    <d v="2025-10-31T00:00:00"/>
    <d v="2025-11-30T00:00:00"/>
    <n v="0.51"/>
    <n v="0.28000000000000003"/>
    <n v="161"/>
    <n v="-357"/>
    <x v="36"/>
    <s v="Sell"/>
    <n v="-196.00000000000003"/>
    <x v="0"/>
    <x v="0"/>
    <n v="2025"/>
    <s v="Sell"/>
    <x v="0"/>
    <s v="BP FOB Sep 5-10WTI SprdsExpo-7000.281131"/>
    <x v="0"/>
  </r>
  <r>
    <x v="73"/>
    <d v="2025-08-12T00:00:00"/>
    <s v="WTI-Brent"/>
    <s v="Expo"/>
    <n v="-700"/>
    <d v="2025-11-30T00:00:00"/>
    <d v="2025-11-30T00:00:00"/>
    <n v="-3.56"/>
    <n v="-4.6500000000000004"/>
    <n v="763.00000000000023"/>
    <n v="2492"/>
    <x v="47"/>
    <s v="Sell"/>
    <n v="3255.0000000000005"/>
    <x v="1"/>
    <x v="3"/>
    <n v="2025"/>
    <s v="Sell"/>
    <x v="0"/>
    <s v="BP FOB Sep 5-10WTI-BrentExpo-700-4.651132"/>
    <x v="0"/>
  </r>
  <r>
    <x v="72"/>
    <d v="2025-08-12T00:00:00"/>
    <s v="WTI Sprds"/>
    <s v="Hedge"/>
    <n v="250"/>
    <d v="2025-09-30T00:00:00"/>
    <d v="2025-10-31T00:00:00"/>
    <n v="0.76"/>
    <n v="0.57999999999999996"/>
    <n v="-45.000000000000014"/>
    <n v="190"/>
    <x v="35"/>
    <s v="Buy"/>
    <n v="145"/>
    <x v="0"/>
    <x v="0"/>
    <n v="2025"/>
    <s v="Buy"/>
    <x v="0"/>
    <s v="Ampol FOB Sep 15-20WTI SprdsHedge2500.581133"/>
    <x v="0"/>
  </r>
  <r>
    <x v="72"/>
    <d v="2025-08-12T00:00:00"/>
    <s v="WTI Sprds"/>
    <s v="Hedge"/>
    <n v="250"/>
    <d v="2025-09-30T00:00:00"/>
    <d v="2025-10-31T00:00:00"/>
    <n v="0.75"/>
    <n v="0.57999999999999996"/>
    <n v="-42.500000000000007"/>
    <n v="187.5"/>
    <x v="35"/>
    <s v="Buy"/>
    <n v="145"/>
    <x v="0"/>
    <x v="0"/>
    <n v="2025"/>
    <s v="Buy"/>
    <x v="0"/>
    <s v="Ampol FOB Sep 15-20WTI SprdsHedge2500.581134"/>
    <x v="0"/>
  </r>
  <r>
    <x v="72"/>
    <d v="2025-08-12T00:00:00"/>
    <s v="WTI Sprds"/>
    <s v="Hedge"/>
    <n v="250"/>
    <d v="2025-09-30T00:00:00"/>
    <d v="2025-10-31T00:00:00"/>
    <n v="0.74"/>
    <n v="0.57999999999999996"/>
    <n v="-40.000000000000007"/>
    <n v="185"/>
    <x v="35"/>
    <s v="Buy"/>
    <n v="145"/>
    <x v="0"/>
    <x v="0"/>
    <n v="2025"/>
    <s v="Buy"/>
    <x v="0"/>
    <s v="Ampol FOB Sep 15-20WTI SprdsHedge2500.581135"/>
    <x v="0"/>
  </r>
  <r>
    <x v="72"/>
    <d v="2025-08-12T00:00:00"/>
    <s v="WTI Sprds"/>
    <s v="Hedge"/>
    <n v="250"/>
    <d v="2025-09-30T00:00:00"/>
    <d v="2025-10-31T00:00:00"/>
    <n v="0.73"/>
    <n v="0.57999999999999996"/>
    <n v="-37.500000000000007"/>
    <n v="182.5"/>
    <x v="35"/>
    <s v="Buy"/>
    <n v="145"/>
    <x v="0"/>
    <x v="0"/>
    <n v="2025"/>
    <s v="Buy"/>
    <x v="0"/>
    <s v="Ampol FOB Sep 15-20WTI SprdsHedge2500.581136"/>
    <x v="0"/>
  </r>
  <r>
    <x v="72"/>
    <d v="2025-08-12T00:00:00"/>
    <s v="WTI Sprds"/>
    <s v="Hedge"/>
    <n v="250"/>
    <d v="2025-09-30T00:00:00"/>
    <d v="2025-10-31T00:00:00"/>
    <n v="0.72"/>
    <n v="0.57999999999999996"/>
    <n v="-35"/>
    <n v="180"/>
    <x v="35"/>
    <s v="Buy"/>
    <n v="145"/>
    <x v="0"/>
    <x v="0"/>
    <n v="2025"/>
    <s v="Buy"/>
    <x v="0"/>
    <s v="Ampol FOB Sep 15-20WTI SprdsHedge2500.581137"/>
    <x v="0"/>
  </r>
  <r>
    <x v="71"/>
    <d v="2025-08-12T00:00:00"/>
    <s v="Brent Sprds"/>
    <s v="Hedge"/>
    <n v="500"/>
    <d v="2025-10-31T00:00:00"/>
    <d v="2025-11-30T00:00:00"/>
    <n v="0.51"/>
    <n v="0.64"/>
    <n v="65"/>
    <n v="255"/>
    <x v="36"/>
    <s v="Buy"/>
    <n v="320"/>
    <x v="0"/>
    <x v="2"/>
    <n v="2025"/>
    <s v="Buy"/>
    <x v="0"/>
    <s v="HDO DAP Korea Nov 8-18Brent SprdsHedge5000.641138"/>
    <x v="0"/>
  </r>
  <r>
    <x v="71"/>
    <d v="2025-08-12T00:00:00"/>
    <s v="Brent Sprds"/>
    <s v="Hedge"/>
    <n v="500"/>
    <d v="2025-11-30T00:00:00"/>
    <d v="2025-12-31T00:00:00"/>
    <n v="0.34"/>
    <n v="0.99"/>
    <n v="324.99999999999994"/>
    <n v="170"/>
    <x v="0"/>
    <s v="Buy"/>
    <n v="495"/>
    <x v="0"/>
    <x v="2"/>
    <n v="2025"/>
    <s v="Buy"/>
    <x v="0"/>
    <s v="HDO DAP Korea Nov 8-18Brent SprdsHedge5000.991139"/>
    <x v="0"/>
  </r>
  <r>
    <x v="71"/>
    <d v="2025-08-12T00:00:00"/>
    <s v="WTI Sprds"/>
    <s v="Hedge"/>
    <n v="1000"/>
    <d v="2025-09-30T00:00:00"/>
    <d v="2025-10-31T00:00:00"/>
    <n v="0.69"/>
    <n v="0.57999999999999996"/>
    <n v="-109.99999999999999"/>
    <n v="690"/>
    <x v="35"/>
    <s v="Buy"/>
    <n v="580"/>
    <x v="0"/>
    <x v="0"/>
    <n v="2025"/>
    <s v="Buy"/>
    <x v="0"/>
    <s v="HDO DAP Korea Nov 8-18WTI SprdsHedge10000.581140"/>
    <x v="0"/>
  </r>
  <r>
    <x v="72"/>
    <d v="2025-08-12T00:00:00"/>
    <s v="WTI Sprds"/>
    <s v="Hedge"/>
    <n v="250"/>
    <d v="2025-09-30T00:00:00"/>
    <d v="2025-10-31T00:00:00"/>
    <n v="0.68"/>
    <n v="0.57999999999999996"/>
    <n v="-25.000000000000021"/>
    <n v="170"/>
    <x v="35"/>
    <s v="Buy"/>
    <n v="145"/>
    <x v="0"/>
    <x v="0"/>
    <n v="2025"/>
    <s v="Buy"/>
    <x v="0"/>
    <s v="Ampol FOB Sep 15-20WTI SprdsHedge2500.581141"/>
    <x v="0"/>
  </r>
  <r>
    <x v="0"/>
    <d v="2025-08-15T00:00:00"/>
    <s v="WTI Sprds-Fly"/>
    <s v="Hedge"/>
    <n v="3000"/>
    <d v="2025-09-30T00:00:00"/>
    <d v="2025-10-31T00:00:00"/>
    <n v="0.82"/>
    <n v="0.57999999999999996"/>
    <n v="-720"/>
    <n v="2460"/>
    <x v="35"/>
    <s v="Buy"/>
    <n v="1739.9999999999998"/>
    <x v="0"/>
    <x v="0"/>
    <n v="2025"/>
    <s v="Buy"/>
    <x v="0"/>
    <s v="UnallocatedWTI Sprds-FlyHedge30000.581142"/>
    <x v="0"/>
  </r>
  <r>
    <x v="0"/>
    <d v="2025-08-15T00:00:00"/>
    <s v="WTI Sprds-Fly"/>
    <s v="Hedge"/>
    <n v="-3000"/>
    <d v="2025-10-31T00:00:00"/>
    <d v="2025-11-30T00:00:00"/>
    <n v="0.51"/>
    <n v="0.28000000000000003"/>
    <n v="690"/>
    <n v="-1530"/>
    <x v="36"/>
    <s v="Sell"/>
    <n v="-840.00000000000011"/>
    <x v="0"/>
    <x v="0"/>
    <n v="2025"/>
    <s v="Sell"/>
    <x v="0"/>
    <s v="UnallocatedWTI Sprds-FlyHedge-30000.281143"/>
    <x v="0"/>
  </r>
  <r>
    <x v="72"/>
    <d v="2025-08-18T00:00:00"/>
    <s v="WTI-Brent"/>
    <s v="Hedge"/>
    <n v="500"/>
    <d v="2025-11-30T00:00:00"/>
    <d v="2025-11-30T00:00:00"/>
    <n v="-3.8"/>
    <n v="-4.6500000000000004"/>
    <n v="-425.00000000000028"/>
    <n v="-1900"/>
    <x v="47"/>
    <s v="Buy"/>
    <n v="-2325"/>
    <x v="1"/>
    <x v="3"/>
    <n v="2025"/>
    <s v="Buy"/>
    <x v="0"/>
    <s v="Ampol FOB Sep 15-20WTI-BrentHedge500-4.651144"/>
    <x v="0"/>
  </r>
  <r>
    <x v="71"/>
    <d v="2025-08-18T00:00:00"/>
    <s v="Brent Sprds"/>
    <s v="Hedge"/>
    <n v="-200"/>
    <d v="2025-10-31T00:00:00"/>
    <d v="2025-11-30T00:00:00"/>
    <n v="0.51500000000000001"/>
    <n v="0.64"/>
    <n v="-25"/>
    <n v="-103"/>
    <x v="36"/>
    <s v="Sell"/>
    <n v="-128"/>
    <x v="0"/>
    <x v="2"/>
    <n v="2025"/>
    <s v="Sell"/>
    <x v="0"/>
    <s v="HDO DAP Korea Nov 8-18Brent SprdsHedge-2000.641145"/>
    <x v="0"/>
  </r>
  <r>
    <x v="71"/>
    <d v="2025-08-18T00:00:00"/>
    <s v="Brent Sprds"/>
    <s v="Hedge"/>
    <n v="-200"/>
    <d v="2025-11-30T00:00:00"/>
    <d v="2025-12-31T00:00:00"/>
    <n v="0.51500000000000001"/>
    <n v="0.99"/>
    <n v="-95"/>
    <n v="-103"/>
    <x v="0"/>
    <s v="Sell"/>
    <n v="-198"/>
    <x v="0"/>
    <x v="2"/>
    <n v="2025"/>
    <s v="Sell"/>
    <x v="0"/>
    <s v="HDO DAP Korea Nov 8-18Brent SprdsHedge-2000.991146"/>
    <x v="0"/>
  </r>
  <r>
    <x v="71"/>
    <d v="2025-08-19T00:00:00"/>
    <s v="WTI Sprds"/>
    <s v="Hedge"/>
    <n v="1000"/>
    <d v="2025-09-30T00:00:00"/>
    <d v="2025-10-31T00:00:00"/>
    <n v="0.59"/>
    <n v="0.57999999999999996"/>
    <n v="-10.000000000000009"/>
    <n v="590"/>
    <x v="35"/>
    <s v="Buy"/>
    <n v="580"/>
    <x v="0"/>
    <x v="0"/>
    <n v="2025"/>
    <s v="Buy"/>
    <x v="0"/>
    <s v="HDO DAP Korea Nov 8-18WTI SprdsHedge10000.581147"/>
    <x v="0"/>
  </r>
  <r>
    <x v="71"/>
    <d v="2025-08-19T00:00:00"/>
    <s v="WTI Sprds"/>
    <s v="Hedge"/>
    <n v="641"/>
    <d v="2025-09-30T00:00:00"/>
    <d v="2025-10-31T00:00:00"/>
    <n v="0.59"/>
    <n v="0.57999999999999996"/>
    <n v="-6.4100000000000055"/>
    <n v="378.19"/>
    <x v="35"/>
    <s v="Buy"/>
    <n v="371.78"/>
    <x v="0"/>
    <x v="0"/>
    <n v="2025"/>
    <s v="Buy"/>
    <x v="0"/>
    <s v="HDO DAP Korea Nov 8-18WTI SprdsHedge6410.581148"/>
    <x v="0"/>
  </r>
  <r>
    <x v="71"/>
    <d v="2025-08-20T00:00:00"/>
    <s v="WTI Sprds"/>
    <s v="Hedge"/>
    <n v="262"/>
    <d v="2025-09-30T00:00:00"/>
    <d v="2025-10-31T00:00:00"/>
    <n v="0.56000000000000005"/>
    <n v="0.57999999999999996"/>
    <n v="5.2399999999999753"/>
    <n v="146.72000000000003"/>
    <x v="35"/>
    <s v="Buy"/>
    <n v="151.95999999999998"/>
    <x v="0"/>
    <x v="0"/>
    <n v="2025"/>
    <s v="Buy"/>
    <x v="0"/>
    <s v="HDO DAP Korea Nov 8-18WTI SprdsHedge2620.581149"/>
    <x v="0"/>
  </r>
  <r>
    <x v="0"/>
    <d v="2025-08-20T00:00:00"/>
    <s v="Brent Sprds"/>
    <s v="Hedge"/>
    <n v="-1000"/>
    <d v="2025-10-31T00:00:00"/>
    <d v="2025-11-30T00:00:00"/>
    <n v="0.47499999999999998"/>
    <n v="0.64"/>
    <n v="-165.00000000000003"/>
    <n v="-475"/>
    <x v="36"/>
    <s v="Sell"/>
    <n v="-640"/>
    <x v="0"/>
    <x v="2"/>
    <n v="2025"/>
    <s v="Sell"/>
    <x v="0"/>
    <s v="UnallocatedBrent SprdsHedge-10000.641150"/>
    <x v="0"/>
  </r>
  <r>
    <x v="0"/>
    <d v="2025-08-20T00:00:00"/>
    <s v="Brent Sprds"/>
    <s v="Hedge"/>
    <n v="-1000"/>
    <d v="2025-11-30T00:00:00"/>
    <d v="2025-12-31T00:00:00"/>
    <n v="0.47499999999999998"/>
    <n v="0.99"/>
    <n v="-515"/>
    <n v="-475"/>
    <x v="0"/>
    <s v="Sell"/>
    <n v="-990"/>
    <x v="0"/>
    <x v="2"/>
    <n v="2025"/>
    <s v="Sell"/>
    <x v="0"/>
    <s v="UnallocatedBrent SprdsHedge-10000.991151"/>
    <x v="0"/>
  </r>
  <r>
    <x v="0"/>
    <d v="2025-08-21T00:00:00"/>
    <s v="Brent Sprds"/>
    <s v="Hedge"/>
    <n v="1000"/>
    <d v="2025-10-31T00:00:00"/>
    <d v="2025-11-30T00:00:00"/>
    <n v="0.47499999999999998"/>
    <n v="0.64"/>
    <n v="165.00000000000003"/>
    <n v="475"/>
    <x v="36"/>
    <s v="Buy"/>
    <n v="640"/>
    <x v="0"/>
    <x v="2"/>
    <n v="2025"/>
    <s v="Buy"/>
    <x v="0"/>
    <s v="UnallocatedBrent SprdsHedge10000.641152"/>
    <x v="0"/>
  </r>
  <r>
    <x v="0"/>
    <d v="2025-08-21T00:00:00"/>
    <s v="Brent Sprds"/>
    <s v="Hedge"/>
    <n v="1000"/>
    <d v="2025-11-30T00:00:00"/>
    <d v="2025-12-31T00:00:00"/>
    <n v="0.47499999999999998"/>
    <n v="0.99"/>
    <n v="515"/>
    <n v="475"/>
    <x v="0"/>
    <s v="Buy"/>
    <n v="990"/>
    <x v="0"/>
    <x v="2"/>
    <n v="2025"/>
    <s v="Buy"/>
    <x v="0"/>
    <s v="UnallocatedBrent SprdsHedge10000.991153"/>
    <x v="0"/>
  </r>
  <r>
    <x v="0"/>
    <d v="2025-08-21T00:00:00"/>
    <s v="WTI Sprds"/>
    <s v="Hedge"/>
    <n v="1500"/>
    <d v="2025-10-31T00:00:00"/>
    <d v="2025-11-30T00:00:00"/>
    <n v="0.35"/>
    <n v="0.28000000000000003"/>
    <n v="-104.99999999999993"/>
    <n v="525"/>
    <x v="36"/>
    <s v="Buy"/>
    <n v="420.00000000000006"/>
    <x v="0"/>
    <x v="0"/>
    <n v="2025"/>
    <s v="Buy"/>
    <x v="0"/>
    <s v="UnallocatedWTI SprdsHedge15000.281154"/>
    <x v="0"/>
  </r>
  <r>
    <x v="0"/>
    <d v="2025-08-21T00:00:00"/>
    <s v="WTI Sprds"/>
    <s v="Hedge"/>
    <n v="1500"/>
    <d v="2025-11-30T00:00:00"/>
    <d v="2025-12-31T00:00:00"/>
    <n v="0.35"/>
    <n v="0.5"/>
    <n v="225.00000000000003"/>
    <n v="525"/>
    <x v="0"/>
    <s v="Buy"/>
    <n v="750"/>
    <x v="0"/>
    <x v="0"/>
    <n v="2025"/>
    <s v="Buy"/>
    <x v="0"/>
    <s v="UnallocatedWTI SprdsHedge15000.51155"/>
    <x v="0"/>
  </r>
  <r>
    <x v="0"/>
    <d v="2025-08-21T00:00:00"/>
    <s v="DFL"/>
    <s v="Hedge"/>
    <n v="1700"/>
    <d v="2025-09-30T00:00:00"/>
    <d v="2025-09-30T00:00:00"/>
    <n v="0.70940000000000003"/>
    <n v="0.49"/>
    <n v="-372.98000000000008"/>
    <n v="1205.98"/>
    <x v="43"/>
    <s v="Buy"/>
    <n v="833"/>
    <x v="1"/>
    <x v="1"/>
    <n v="2025"/>
    <s v="Buy"/>
    <x v="0"/>
    <s v="UnallocatedDFLHedge17000.491156"/>
    <x v="0"/>
  </r>
  <r>
    <x v="0"/>
    <d v="2025-08-21T00:00:00"/>
    <s v="Freight-TD25"/>
    <s v="Hedge"/>
    <n v="499.99999999999977"/>
    <d v="2025-09-30T00:00:00"/>
    <d v="2025-09-30T00:00:00"/>
    <n v="166"/>
    <n v="162"/>
    <n v="-39.999999999999986"/>
    <n v="82999.999999999956"/>
    <x v="43"/>
    <s v="Buy"/>
    <n v="80999.999999999956"/>
    <x v="3"/>
    <x v="5"/>
    <n v="2025"/>
    <s v="Buy"/>
    <x v="0"/>
    <s v="UnallocatedFreight-TD25Hedge5001621157"/>
    <x v="0"/>
  </r>
  <r>
    <x v="0"/>
    <d v="2025-08-22T00:00:00"/>
    <s v="Brent Sprds"/>
    <s v="Hedge"/>
    <n v="887"/>
    <d v="2025-10-31T00:00:00"/>
    <d v="2025-11-30T00:00:00"/>
    <n v="0.4965"/>
    <n v="0.64"/>
    <n v="127.28450000000001"/>
    <n v="440.39549999999997"/>
    <x v="36"/>
    <s v="Buy"/>
    <n v="567.68000000000006"/>
    <x v="0"/>
    <x v="2"/>
    <n v="2025"/>
    <s v="Buy"/>
    <x v="0"/>
    <s v="UnallocatedBrent SprdsHedge8870.641158"/>
    <x v="0"/>
  </r>
  <r>
    <x v="0"/>
    <d v="2025-08-22T00:00:00"/>
    <s v="Brent Sprds"/>
    <s v="Hedge"/>
    <n v="887"/>
    <d v="2025-11-30T00:00:00"/>
    <d v="2025-12-31T00:00:00"/>
    <n v="0.4965"/>
    <n v="0.99"/>
    <n v="437.73449999999997"/>
    <n v="440.39549999999997"/>
    <x v="0"/>
    <s v="Buy"/>
    <n v="878.13"/>
    <x v="0"/>
    <x v="2"/>
    <n v="2025"/>
    <s v="Buy"/>
    <x v="0"/>
    <s v="UnallocatedBrent SprdsHedge8870.991159"/>
    <x v="0"/>
  </r>
  <r>
    <x v="0"/>
    <d v="2025-08-26T00:00:00"/>
    <s v="CFD"/>
    <s v="Hedge"/>
    <n v="-200"/>
    <s v="Sep01-Sep05"/>
    <d v="2025-09-30T00:00:00"/>
    <n v="0.4"/>
    <n v="0.41200000000000003"/>
    <n v="-2.4000000000000021"/>
    <n v="-80"/>
    <x v="48"/>
    <s v="Buy"/>
    <n v="397.59999999999997"/>
    <x v="1"/>
    <x v="1"/>
    <n v="2025"/>
    <s v="Sell"/>
    <x v="0"/>
    <s v="UnallocatedCFDHedge-2000.4121160"/>
    <x v="0"/>
  </r>
  <r>
    <x v="0"/>
    <d v="2025-08-26T00:00:00"/>
    <s v="CFD"/>
    <s v="Hedge"/>
    <n v="-200"/>
    <s v="Sep08-Sep12"/>
    <d v="2025-09-30T00:00:00"/>
    <n v="0.4"/>
    <n v="-3.4999999999999996E-2"/>
    <n v="87"/>
    <n v="-80"/>
    <x v="49"/>
    <s v="Buy"/>
    <n v="397.59999999999997"/>
    <x v="1"/>
    <x v="1"/>
    <n v="2025"/>
    <s v="Sell"/>
    <x v="0"/>
    <s v="UnallocatedCFDHedge-200-0.0351161"/>
    <x v="0"/>
  </r>
  <r>
    <x v="0"/>
    <d v="2025-08-26T00:00:00"/>
    <s v="CFD"/>
    <s v="Hedge"/>
    <n v="-200"/>
    <s v="Sep15-Sep19"/>
    <d v="2025-09-30T00:00:00"/>
    <n v="0.4"/>
    <n v="0.221"/>
    <n v="35.800000000000004"/>
    <n v="-80"/>
    <x v="50"/>
    <s v="Buy"/>
    <n v="397.59999999999997"/>
    <x v="1"/>
    <x v="1"/>
    <n v="2025"/>
    <s v="Sell"/>
    <x v="0"/>
    <s v="UnallocatedCFDHedge-2000.2211162"/>
    <x v="0"/>
  </r>
  <r>
    <x v="0"/>
    <d v="2025-08-26T00:00:00"/>
    <s v="DFL"/>
    <s v="Hedge"/>
    <n v="-500"/>
    <d v="2025-09-30T00:00:00"/>
    <d v="2025-09-30T00:00:00"/>
    <n v="0.56999999999999995"/>
    <n v="0.49"/>
    <n v="39.999999999999979"/>
    <n v="-285"/>
    <x v="43"/>
    <s v="Sell"/>
    <n v="-245"/>
    <x v="1"/>
    <x v="1"/>
    <n v="2025"/>
    <s v="Sell"/>
    <x v="0"/>
    <s v="UnallocatedDFLHedge-5000.491163"/>
    <x v="0"/>
  </r>
  <r>
    <x v="74"/>
    <d v="2025-08-26T00:00:00"/>
    <s v="Physical"/>
    <s v="Expo"/>
    <n v="700"/>
    <d v="2025-09-30T00:00:00"/>
    <d v="2025-09-30T00:00:00"/>
    <n v="0.47999999999999954"/>
    <n v="-0.01"/>
    <n v="-342.99999999999966"/>
    <n v="335.99999999999966"/>
    <x v="43"/>
    <s v="Buy"/>
    <n v="-7"/>
    <x v="2"/>
    <x v="4"/>
    <n v="2025"/>
    <s v="Buy"/>
    <x v="1"/>
    <s v="Oct EFP 1PhysicalExpo700-0.011164"/>
    <x v="0"/>
  </r>
  <r>
    <x v="74"/>
    <d v="2025-08-26T00:00:00"/>
    <s v="WTI-Brent"/>
    <s v="Expo"/>
    <n v="-700"/>
    <d v="2025-10-31T00:00:00"/>
    <d v="2025-10-31T00:00:00"/>
    <n v="-3.95"/>
    <n v="-4.1100000000000003"/>
    <n v="112.0000000000001"/>
    <n v="2765"/>
    <x v="46"/>
    <s v="Sell"/>
    <n v="2877"/>
    <x v="1"/>
    <x v="3"/>
    <n v="2025"/>
    <s v="Sell"/>
    <x v="0"/>
    <s v="Oct EFP 1WTI-BrentExpo-700-4.111165"/>
    <x v="0"/>
  </r>
  <r>
    <x v="74"/>
    <d v="2025-08-26T00:00:00"/>
    <s v="Freight-TD25"/>
    <s v="Expo"/>
    <n v="-700"/>
    <d v="2025-09-30T00:00:00"/>
    <d v="2025-09-30T00:00:00"/>
    <n v="166"/>
    <n v="162"/>
    <n v="56"/>
    <n v="-116200"/>
    <x v="43"/>
    <s v="Sell"/>
    <n v="-113400"/>
    <x v="3"/>
    <x v="5"/>
    <n v="2025"/>
    <s v="Sell"/>
    <x v="0"/>
    <s v="Oct EFP 1Freight-TD25Expo-7001621166"/>
    <x v="0"/>
  </r>
  <r>
    <x v="74"/>
    <d v="2025-08-26T00:00:00"/>
    <s v="Freight-TD25"/>
    <s v="Hedge"/>
    <n v="700"/>
    <d v="2025-09-30T00:00:00"/>
    <d v="2025-09-30T00:00:00"/>
    <n v="175"/>
    <n v="162"/>
    <n v="-182"/>
    <n v="122500"/>
    <x v="43"/>
    <s v="Buy"/>
    <n v="113400"/>
    <x v="3"/>
    <x v="5"/>
    <n v="2025"/>
    <s v="Buy"/>
    <x v="0"/>
    <s v="Oct EFP 1Freight-TD25Hedge7001621167"/>
    <x v="0"/>
  </r>
  <r>
    <x v="74"/>
    <d v="2025-08-26T00:00:00"/>
    <s v="Freight-TD7"/>
    <s v="Expo"/>
    <n v="700"/>
    <d v="2025-10-31T00:00:00"/>
    <d v="2025-10-31T00:00:00"/>
    <n v="120"/>
    <n v="145.05000000000001"/>
    <n v="87.67500000000004"/>
    <n v="84000"/>
    <x v="46"/>
    <s v="Buy"/>
    <n v="101535.00000000001"/>
    <x v="3"/>
    <x v="5"/>
    <n v="2025"/>
    <s v="Buy"/>
    <x v="0"/>
    <s v="Oct EFP 1Freight-TD7Expo700145.051168"/>
    <x v="0"/>
  </r>
  <r>
    <x v="74"/>
    <d v="2025-08-26T00:00:00"/>
    <s v="Freight-TD7"/>
    <s v="Hedge"/>
    <n v="-700"/>
    <d v="2025-10-31T00:00:00"/>
    <d v="2025-10-31T00:00:00"/>
    <n v="145.05000000000001"/>
    <n v="145.05000000000001"/>
    <n v="0"/>
    <n v="-101535.00000000001"/>
    <x v="46"/>
    <s v="Sell"/>
    <n v="-101535.00000000001"/>
    <x v="3"/>
    <x v="5"/>
    <n v="2025"/>
    <s v="Sell"/>
    <x v="0"/>
    <s v="Oct EFP 1Freight-TD7Hedge-700145.051169"/>
    <x v="0"/>
  </r>
  <r>
    <x v="74"/>
    <d v="2025-08-26T00:00:00"/>
    <s v="WTI-Brent"/>
    <s v="Hedge"/>
    <n v="105"/>
    <d v="2025-10-31T00:00:00"/>
    <d v="2025-10-31T00:00:00"/>
    <n v="-4.05"/>
    <n v="-4.1100000000000003"/>
    <n v="-6.3000000000000522"/>
    <n v="-425.25"/>
    <x v="46"/>
    <s v="Buy"/>
    <n v="-431.55"/>
    <x v="1"/>
    <x v="3"/>
    <n v="2025"/>
    <s v="Buy"/>
    <x v="0"/>
    <s v="Oct EFP 1WTI-BrentHedge105-4.111170"/>
    <x v="0"/>
  </r>
  <r>
    <x v="0"/>
    <d v="2025-08-27T00:00:00"/>
    <s v="CFD"/>
    <s v="Hedge"/>
    <n v="-100"/>
    <s v="Sep01-Sep05"/>
    <d v="2025-09-30T00:00:00"/>
    <n v="0.23"/>
    <n v="0.41200000000000003"/>
    <n v="4.0000000000000036"/>
    <n v="-80"/>
    <x v="48"/>
    <s v="Buy"/>
    <n v="397.59999999999997"/>
    <x v="1"/>
    <x v="1"/>
    <n v="2025"/>
    <s v="Sell"/>
    <x v="0"/>
    <s v="UnallocatedCFDHedge-1000.4121171"/>
    <x v="0"/>
  </r>
  <r>
    <x v="0"/>
    <d v="2025-08-27T00:00:00"/>
    <s v="DFL"/>
    <s v="Hedge"/>
    <n v="-600"/>
    <d v="2025-09-30T00:00:00"/>
    <d v="2025-09-30T00:00:00"/>
    <n v="0.4"/>
    <n v="0.49"/>
    <n v="54.999999999999964"/>
    <n v="-285"/>
    <x v="43"/>
    <s v="Sell"/>
    <n v="-230"/>
    <x v="1"/>
    <x v="1"/>
    <n v="2025"/>
    <s v="Sell"/>
    <x v="0"/>
    <s v="UnallocatedDFLHedge-6000.491172"/>
    <x v="0"/>
  </r>
  <r>
    <x v="0"/>
    <d v="2025-08-27T00:00:00"/>
    <s v="DFL"/>
    <s v="Hedge"/>
    <n v="-500"/>
    <d v="2025-09-30T00:00:00"/>
    <d v="2025-09-30T00:00:00"/>
    <n v="0.46"/>
    <n v="0.49"/>
    <n v="54.999999999999964"/>
    <n v="-285"/>
    <x v="43"/>
    <s v="Sell"/>
    <n v="-230"/>
    <x v="1"/>
    <x v="1"/>
    <n v="2025"/>
    <s v="Sell"/>
    <x v="0"/>
    <s v="UnallocatedDFLHedge-5000.491173"/>
    <x v="0"/>
  </r>
  <r>
    <x v="0"/>
    <d v="2025-08-27T00:00:00"/>
    <s v="Brent Sprds"/>
    <s v="Hedge"/>
    <n v="-500"/>
    <d v="2025-11-30T00:00:00"/>
    <d v="2025-12-31T00:00:00"/>
    <n v="0.42499999999999999"/>
    <n v="0.99"/>
    <n v="-282.5"/>
    <n v="-212.5"/>
    <x v="0"/>
    <s v="Sell"/>
    <n v="-495"/>
    <x v="0"/>
    <x v="2"/>
    <n v="2025"/>
    <s v="Sell"/>
    <x v="0"/>
    <s v="UnallocatedBrent SprdsHedge-5000.991174"/>
    <x v="0"/>
  </r>
  <r>
    <x v="0"/>
    <d v="2025-08-27T00:00:00"/>
    <s v="Brent Sprds"/>
    <s v="Hedge"/>
    <n v="-500"/>
    <d v="2025-12-31T00:00:00"/>
    <d v="2026-01-31T00:00:00"/>
    <n v="0.42499999999999999"/>
    <n v="0.3"/>
    <n v="62.5"/>
    <n v="-212.5"/>
    <x v="1"/>
    <s v="Sell"/>
    <n v="-150"/>
    <x v="0"/>
    <x v="2"/>
    <n v="2025"/>
    <s v="Sell"/>
    <x v="0"/>
    <s v="UnallocatedBrent SprdsHedge-5000.31175"/>
    <x v="0"/>
  </r>
  <r>
    <x v="0"/>
    <d v="2025-08-21T00:00:00"/>
    <s v="Brent Sprds"/>
    <s v="Hedge"/>
    <n v="997"/>
    <d v="2025-10-31T00:00:00"/>
    <d v="2025-11-30T00:00:00"/>
    <n v="0.64"/>
    <n v="0.64"/>
    <n v="0"/>
    <n v="638.08000000000004"/>
    <x v="36"/>
    <s v="Buy"/>
    <n v="638.08000000000004"/>
    <x v="0"/>
    <x v="2"/>
    <n v="2025"/>
    <s v="Buy"/>
    <x v="0"/>
    <s v="UnallocatedBrent SprdsHedge9970.641176"/>
    <x v="0"/>
  </r>
  <r>
    <x v="74"/>
    <d v="2025-08-28T00:00:00"/>
    <s v="WTI-Brent"/>
    <s v="Hedge"/>
    <n v="590"/>
    <d v="2025-10-31T00:00:00"/>
    <d v="2025-10-31T00:00:00"/>
    <n v="-4.0199999999999996"/>
    <n v="-4.1100000000000003"/>
    <n v="-53.100000000000442"/>
    <n v="-2371.7999999999997"/>
    <x v="46"/>
    <s v="Buy"/>
    <n v="-2424.9"/>
    <x v="1"/>
    <x v="3"/>
    <n v="2025"/>
    <s v="Buy"/>
    <x v="0"/>
    <s v="Oct EFP 1WTI-BrentHedge590-4.111177"/>
    <x v="0"/>
  </r>
  <r>
    <x v="0"/>
    <d v="2025-09-11T00:00:00"/>
    <s v="WTI Sprds"/>
    <s v="Hedge"/>
    <n v="110"/>
    <d v="2025-10-31T00:00:00"/>
    <d v="2025-11-30T00:00:00"/>
    <n v="0.53"/>
    <n v="0.28000000000000003"/>
    <n v="-27.5"/>
    <n v="58.300000000000004"/>
    <x v="36"/>
    <s v="Buy"/>
    <n v="30.800000000000004"/>
    <x v="0"/>
    <x v="0"/>
    <n v="2025"/>
    <s v="Buy"/>
    <x v="0"/>
    <s v="UnallocatedWTI SprdsHedge1100.281178"/>
    <x v="0"/>
  </r>
  <r>
    <x v="0"/>
    <d v="2025-09-11T00:00:00"/>
    <s v="Brent Sprds"/>
    <s v="Hedge"/>
    <n v="-110"/>
    <d v="2025-10-31T00:00:00"/>
    <d v="2025-11-30T00:00:00"/>
    <n v="0.56000000000000005"/>
    <n v="0.64"/>
    <n v="-8.7999999999999954"/>
    <n v="-61.600000000000009"/>
    <x v="36"/>
    <s v="Sell"/>
    <n v="-70.400000000000006"/>
    <x v="0"/>
    <x v="2"/>
    <n v="2025"/>
    <s v="Sell"/>
    <x v="0"/>
    <s v="UnallocatedBrent SprdsHedge-1100.641179"/>
    <x v="0"/>
  </r>
  <r>
    <x v="0"/>
    <d v="2025-08-29T00:00:00"/>
    <s v="CFD"/>
    <s v="Hedge"/>
    <n v="-400"/>
    <s v="Sep01-Sep05"/>
    <d v="2025-09-30T00:00:00"/>
    <n v="0.51"/>
    <n v="0.41200000000000003"/>
    <n v="39.199999999999989"/>
    <n v="-204"/>
    <x v="48"/>
    <s v="Buy"/>
    <n v="397.59999999999997"/>
    <x v="1"/>
    <x v="1"/>
    <n v="2025"/>
    <s v="Sell"/>
    <x v="0"/>
    <s v="UnallocatedCFDHedge-4000.4121180"/>
    <x v="0"/>
  </r>
  <r>
    <x v="0"/>
    <d v="2025-08-29T00:00:00"/>
    <s v="CFD"/>
    <s v="Hedge"/>
    <n v="200"/>
    <s v="Sep08-Sep12"/>
    <d v="2025-09-30T00:00:00"/>
    <n v="0.64"/>
    <n v="-3.4999999999999996E-2"/>
    <n v="-135"/>
    <n v="128"/>
    <x v="49"/>
    <s v="Buy"/>
    <n v="397.59999999999997"/>
    <x v="1"/>
    <x v="1"/>
    <n v="2025"/>
    <s v="Buy"/>
    <x v="0"/>
    <s v="UnallocatedCFDHedge200-0.0351181"/>
    <x v="0"/>
  </r>
  <r>
    <x v="0"/>
    <d v="2025-08-29T00:00:00"/>
    <s v="CFD"/>
    <s v="Hedge"/>
    <n v="200"/>
    <s v="Sep15-Sep19"/>
    <d v="2025-09-30T00:00:00"/>
    <n v="0.72"/>
    <n v="0.221"/>
    <n v="-99.8"/>
    <n v="144"/>
    <x v="50"/>
    <s v="Buy"/>
    <n v="397.59999999999997"/>
    <x v="1"/>
    <x v="1"/>
    <n v="2025"/>
    <s v="Buy"/>
    <x v="0"/>
    <s v="UnallocatedCFDHedge2000.2211182"/>
    <x v="0"/>
  </r>
  <r>
    <x v="74"/>
    <d v="2025-09-02T00:00:00"/>
    <s v="WTI-Brent"/>
    <s v="Hedge"/>
    <n v="250"/>
    <d v="2025-11-30T00:00:00"/>
    <d v="2025-11-30T00:00:00"/>
    <n v="-4.0599999999999996"/>
    <n v="-4.6500000000000004"/>
    <n v="-147.5000000000002"/>
    <n v="-1014.9999999999999"/>
    <x v="47"/>
    <s v="Buy"/>
    <n v="-1162.5"/>
    <x v="1"/>
    <x v="3"/>
    <n v="2025"/>
    <s v="Buy"/>
    <x v="0"/>
    <s v="Oct EFP 1WTI-BrentHedge250-4.651183"/>
    <x v="0"/>
  </r>
  <r>
    <x v="74"/>
    <d v="2025-09-05T00:00:00"/>
    <s v="WTI-Brent"/>
    <s v="Hedge"/>
    <n v="250"/>
    <d v="2025-11-30T00:00:00"/>
    <d v="2025-11-30T00:00:00"/>
    <n v="-4.05"/>
    <n v="-4.6500000000000004"/>
    <n v="-150.00000000000014"/>
    <n v="-1012.5"/>
    <x v="47"/>
    <s v="Buy"/>
    <n v="-1162.5"/>
    <x v="1"/>
    <x v="3"/>
    <n v="2025"/>
    <s v="Buy"/>
    <x v="0"/>
    <s v="Oct EFP 1WTI-BrentHedge250-4.651184"/>
    <x v="0"/>
  </r>
  <r>
    <x v="74"/>
    <d v="2025-09-05T00:00:00"/>
    <s v="WTI-Brent"/>
    <s v="Hedge"/>
    <n v="250"/>
    <d v="2025-11-30T00:00:00"/>
    <d v="2025-11-30T00:00:00"/>
    <n v="-4.07"/>
    <n v="-4.6500000000000004"/>
    <n v="-145.00000000000003"/>
    <n v="-1017.5000000000001"/>
    <x v="47"/>
    <s v="Buy"/>
    <n v="-1162.5"/>
    <x v="1"/>
    <x v="3"/>
    <n v="2025"/>
    <s v="Buy"/>
    <x v="0"/>
    <s v="Oct EFP 1WTI-BrentHedge250-4.651185"/>
    <x v="0"/>
  </r>
  <r>
    <x v="74"/>
    <d v="2025-09-05T00:00:00"/>
    <s v="WTI-Brent"/>
    <s v="Hedge"/>
    <n v="500"/>
    <d v="2025-11-30T00:00:00"/>
    <d v="2025-11-30T00:00:00"/>
    <n v="-4.0999999999999996"/>
    <n v="-4.6500000000000004"/>
    <n v="-275.00000000000034"/>
    <n v="-2050"/>
    <x v="47"/>
    <s v="Buy"/>
    <n v="-2325"/>
    <x v="1"/>
    <x v="3"/>
    <n v="2025"/>
    <s v="Buy"/>
    <x v="0"/>
    <s v="Oct EFP 1WTI-BrentHedge500-4.651186"/>
    <x v="0"/>
  </r>
  <r>
    <x v="74"/>
    <d v="2025-09-05T00:00:00"/>
    <s v="WTI-Brent"/>
    <s v="Hedge"/>
    <n v="500"/>
    <d v="2025-11-30T00:00:00"/>
    <d v="2025-11-30T00:00:00"/>
    <n v="-4.1500000000000004"/>
    <n v="-4.6500000000000004"/>
    <n v="-250"/>
    <n v="-2075"/>
    <x v="47"/>
    <s v="Buy"/>
    <n v="-2325"/>
    <x v="1"/>
    <x v="3"/>
    <n v="2025"/>
    <s v="Buy"/>
    <x v="0"/>
    <s v="Oct EFP 1WTI-BrentHedge500-4.651187"/>
    <x v="0"/>
  </r>
  <r>
    <x v="0"/>
    <d v="2025-09-11T00:00:00"/>
    <s v="Brent Sprds"/>
    <s v="Hedge"/>
    <n v="2000"/>
    <d v="2025-11-30T00:00:00"/>
    <d v="2025-12-31T00:00:00"/>
    <n v="0.41499999999999998"/>
    <n v="0.99"/>
    <n v="1150"/>
    <n v="830"/>
    <x v="0"/>
    <s v="Buy"/>
    <n v="1980"/>
    <x v="0"/>
    <x v="2"/>
    <n v="2025"/>
    <s v="Buy"/>
    <x v="0"/>
    <s v="UnallocatedBrent SprdsHedge20000.991188"/>
    <x v="0"/>
  </r>
  <r>
    <x v="0"/>
    <d v="2025-09-11T00:00:00"/>
    <s v="Brent Sprds"/>
    <s v="Hedge"/>
    <n v="2000"/>
    <d v="2025-12-31T00:00:00"/>
    <d v="2026-01-31T00:00:00"/>
    <n v="0.41499999999999998"/>
    <n v="0.3"/>
    <n v="-229.99999999999997"/>
    <n v="830"/>
    <x v="1"/>
    <s v="Buy"/>
    <n v="600"/>
    <x v="0"/>
    <x v="2"/>
    <n v="2025"/>
    <s v="Buy"/>
    <x v="0"/>
    <s v="UnallocatedBrent SprdsHedge20000.31189"/>
    <x v="0"/>
  </r>
  <r>
    <x v="0"/>
    <d v="2025-09-11T00:00:00"/>
    <s v="WTI Sprds"/>
    <s v="Hedge"/>
    <n v="1000"/>
    <d v="2025-10-31T00:00:00"/>
    <d v="2025-11-30T00:00:00"/>
    <n v="0.31"/>
    <n v="0.28000000000000003"/>
    <n v="-29.999999999999972"/>
    <n v="310"/>
    <x v="36"/>
    <s v="Buy"/>
    <n v="280"/>
    <x v="0"/>
    <x v="0"/>
    <n v="2025"/>
    <s v="Buy"/>
    <x v="0"/>
    <s v="UnallocatedWTI SprdsHedge10000.281190"/>
    <x v="0"/>
  </r>
  <r>
    <x v="75"/>
    <d v="2025-09-12T00:00:00"/>
    <s v="Physical"/>
    <s v="Expo"/>
    <n v="700"/>
    <d v="2025-09-30T00:00:00"/>
    <d v="2025-09-30T00:00:00"/>
    <n v="-1.0000000000000675E-2"/>
    <n v="-0.01"/>
    <n v="4.7236520250848457E-13"/>
    <n v="-7.0000000000004725"/>
    <x v="43"/>
    <s v="Buy"/>
    <n v="-7"/>
    <x v="2"/>
    <x v="4"/>
    <n v="2025"/>
    <s v="Buy"/>
    <x v="1"/>
    <s v="Nov25 EFP 1PhysicalExpo700-0.011191"/>
    <x v="0"/>
  </r>
  <r>
    <x v="75"/>
    <d v="2025-09-12T00:00:00"/>
    <s v="WTI Sprds"/>
    <s v="Expo"/>
    <n v="-700"/>
    <d v="2025-10-31T00:00:00"/>
    <d v="2025-11-30T00:00:00"/>
    <n v="0.27"/>
    <n v="0.28000000000000003"/>
    <n v="-7.0000000000000062"/>
    <n v="-189"/>
    <x v="36"/>
    <s v="Sell"/>
    <n v="-196.00000000000003"/>
    <x v="0"/>
    <x v="0"/>
    <n v="2025"/>
    <s v="Sell"/>
    <x v="0"/>
    <s v="Nov25 EFP 1WTI SprdsExpo-7000.281192"/>
    <x v="0"/>
  </r>
  <r>
    <x v="75"/>
    <d v="2025-09-12T00:00:00"/>
    <s v="WTI-Brent"/>
    <s v="Expo"/>
    <n v="-700"/>
    <d v="2025-11-30T00:00:00"/>
    <d v="2025-11-30T00:00:00"/>
    <n v="-4.57"/>
    <n v="-4.6500000000000004"/>
    <n v="56.00000000000005"/>
    <n v="3199"/>
    <x v="47"/>
    <s v="Sell"/>
    <n v="3255.0000000000005"/>
    <x v="1"/>
    <x v="3"/>
    <n v="2025"/>
    <s v="Sell"/>
    <x v="0"/>
    <s v="Nov25 EFP 1WTI-BrentExpo-700-4.651193"/>
    <x v="0"/>
  </r>
  <r>
    <x v="75"/>
    <d v="2025-09-12T00:00:00"/>
    <s v="Freight-TD25"/>
    <s v="Expo"/>
    <n v="-700"/>
    <d v="2025-10-31T00:00:00"/>
    <d v="2025-10-31T00:00:00"/>
    <n v="190"/>
    <n v="175.15"/>
    <n v="207.89999999999992"/>
    <n v="-133000"/>
    <x v="46"/>
    <s v="Sell"/>
    <n v="-122605"/>
    <x v="3"/>
    <x v="5"/>
    <n v="2025"/>
    <s v="Sell"/>
    <x v="0"/>
    <s v="Nov25 EFP 1Freight-TD25Expo-700175.151194"/>
    <x v="0"/>
  </r>
  <r>
    <x v="75"/>
    <d v="2025-09-12T00:00:00"/>
    <s v="Freight-TD25"/>
    <s v="Hedge"/>
    <n v="700"/>
    <d v="2025-10-31T00:00:00"/>
    <d v="2025-10-31T00:00:00"/>
    <n v="180"/>
    <n v="175.15"/>
    <n v="-101.84999999999988"/>
    <n v="126000"/>
    <x v="46"/>
    <s v="Buy"/>
    <n v="122605"/>
    <x v="3"/>
    <x v="5"/>
    <n v="2025"/>
    <s v="Buy"/>
    <x v="0"/>
    <s v="Nov25 EFP 1Freight-TD25Hedge700175.151195"/>
    <x v="0"/>
  </r>
  <r>
    <x v="75"/>
    <d v="2025-09-12T00:00:00"/>
    <s v="Freight-TD7"/>
    <s v="Expo"/>
    <n v="700"/>
    <d v="2025-11-30T00:00:00"/>
    <d v="2025-11-30T00:00:00"/>
    <n v="125"/>
    <n v="158"/>
    <n v="115.5"/>
    <n v="87500"/>
    <x v="47"/>
    <s v="Buy"/>
    <n v="110600"/>
    <x v="3"/>
    <x v="5"/>
    <n v="2025"/>
    <s v="Buy"/>
    <x v="0"/>
    <s v="Nov25 EFP 1Freight-TD7Expo7001581196"/>
    <x v="0"/>
  </r>
  <r>
    <x v="75"/>
    <d v="2025-09-12T00:00:00"/>
    <s v="Freight-TD7"/>
    <s v="Hedge"/>
    <n v="-700"/>
    <d v="2025-11-30T00:00:00"/>
    <d v="2025-11-30T00:00:00"/>
    <n v="158"/>
    <n v="158"/>
    <n v="0"/>
    <n v="-110600"/>
    <x v="47"/>
    <s v="Sell"/>
    <n v="-110600"/>
    <x v="3"/>
    <x v="5"/>
    <n v="2025"/>
    <s v="Sell"/>
    <x v="0"/>
    <s v="Nov25 EFP 1Freight-TD7Hedge-7001581197"/>
    <x v="0"/>
  </r>
  <r>
    <x v="0"/>
    <d v="2025-09-06T00:00:00"/>
    <s v="CFD"/>
    <s v="Hedge"/>
    <n v="700"/>
    <s v="Sep01-Sep05"/>
    <d v="2025-09-30T00:00:00"/>
    <n v="0.41"/>
    <n v="0.41200000000000003"/>
    <n v="1.4000000000000401"/>
    <n v="287"/>
    <x v="48"/>
    <s v="Buy"/>
    <n v="397.59999999999997"/>
    <x v="1"/>
    <x v="1"/>
    <n v="2025"/>
    <s v="Buy"/>
    <x v="0"/>
    <s v="UnallocatedCFDHedge7000.4121198"/>
    <x v="0"/>
  </r>
  <r>
    <x v="76"/>
    <d v="2025-09-15T00:00:00"/>
    <s v="Physical"/>
    <s v="Expo"/>
    <n v="700"/>
    <d v="2025-09-30T00:00:00"/>
    <d v="2025-09-30T00:00:00"/>
    <n v="0"/>
    <n v="0"/>
    <n v="0"/>
    <n v="0"/>
    <x v="43"/>
    <s v="Buy"/>
    <n v="0"/>
    <x v="2"/>
    <x v="4"/>
    <n v="2025"/>
    <s v="Buy"/>
    <x v="1"/>
    <s v="Trafi FOB Oct 5-10PhysicalExpo70001199"/>
    <x v="0"/>
  </r>
  <r>
    <x v="76"/>
    <d v="2025-09-15T00:00:00"/>
    <s v="WTI Sprds"/>
    <s v="Expo"/>
    <n v="-700"/>
    <d v="2025-10-31T00:00:00"/>
    <d v="2025-11-30T00:00:00"/>
    <n v="0.27"/>
    <n v="0.28000000000000003"/>
    <n v="-7.0000000000000062"/>
    <n v="-189"/>
    <x v="36"/>
    <s v="Sell"/>
    <n v="-196.00000000000003"/>
    <x v="0"/>
    <x v="0"/>
    <n v="2025"/>
    <s v="Sell"/>
    <x v="0"/>
    <s v="Trafi FOB Oct 5-10WTI SprdsExpo-7000.281200"/>
    <x v="0"/>
  </r>
  <r>
    <x v="76"/>
    <d v="2025-09-15T00:00:00"/>
    <s v="WTI-Brent"/>
    <s v="Expo"/>
    <n v="-700"/>
    <d v="2025-12-31T00:00:00"/>
    <d v="2025-12-31T00:00:00"/>
    <n v="-4.28"/>
    <n v="-4.09"/>
    <n v="-133.00000000000028"/>
    <n v="2996"/>
    <x v="51"/>
    <s v="Sell"/>
    <n v="2863"/>
    <x v="1"/>
    <x v="3"/>
    <n v="2025"/>
    <s v="Sell"/>
    <x v="0"/>
    <s v="Trafi FOB Oct 5-10WTI-BrentExpo-700-4.091201"/>
    <x v="0"/>
  </r>
  <r>
    <x v="76"/>
    <d v="2025-09-15T00:00:00"/>
    <s v="WTI Sprds"/>
    <s v="Expo"/>
    <n v="-700"/>
    <d v="2025-11-30T00:00:00"/>
    <d v="2025-12-31T00:00:00"/>
    <n v="0.27"/>
    <n v="0.5"/>
    <n v="-161"/>
    <n v="-189"/>
    <x v="0"/>
    <s v="Sell"/>
    <n v="-350"/>
    <x v="0"/>
    <x v="0"/>
    <n v="2025"/>
    <s v="Sell"/>
    <x v="0"/>
    <s v="Trafi FOB Oct 5-10WTI SprdsExpo-7000.51202"/>
    <x v="0"/>
  </r>
  <r>
    <x v="0"/>
    <d v="2025-09-16T00:00:00"/>
    <s v="WTI Sprds"/>
    <s v="Hedge"/>
    <n v="-772"/>
    <d v="2025-12-31T00:00:00"/>
    <d v="2026-01-31T00:00:00"/>
    <n v="0.18"/>
    <n v="0.19"/>
    <n v="-7.7200000000000069"/>
    <n v="-138.96"/>
    <x v="1"/>
    <s v="Sell"/>
    <n v="-146.68"/>
    <x v="0"/>
    <x v="0"/>
    <n v="2025"/>
    <s v="Sell"/>
    <x v="0"/>
    <s v="UnallocatedWTI SprdsHedge-7720.191203"/>
    <x v="0"/>
  </r>
  <r>
    <x v="0"/>
    <d v="2025-09-16T00:00:00"/>
    <s v="WTI Sprds"/>
    <s v="Hedge"/>
    <n v="-378"/>
    <d v="2025-11-30T00:00:00"/>
    <d v="2025-12-31T00:00:00"/>
    <n v="0.31"/>
    <n v="0.5"/>
    <n v="-71.820000000000007"/>
    <n v="-117.17999999999999"/>
    <x v="0"/>
    <s v="Sell"/>
    <n v="-189"/>
    <x v="0"/>
    <x v="0"/>
    <n v="2025"/>
    <s v="Sell"/>
    <x v="0"/>
    <s v="UnallocatedWTI SprdsHedge-3780.51204"/>
    <x v="0"/>
  </r>
  <r>
    <x v="0"/>
    <d v="2025-09-15T00:00:00"/>
    <s v="Brent Sprds"/>
    <s v="Hedge"/>
    <n v="-1500"/>
    <d v="2025-12-31T00:00:00"/>
    <d v="2026-01-31T00:00:00"/>
    <n v="0.35"/>
    <n v="0.3"/>
    <n v="74.999999999999986"/>
    <n v="-525"/>
    <x v="1"/>
    <s v="Sell"/>
    <n v="-450"/>
    <x v="0"/>
    <x v="2"/>
    <n v="2025"/>
    <s v="Sell"/>
    <x v="0"/>
    <s v="UnallocatedBrent SprdsHedge-15000.31205"/>
    <x v="0"/>
  </r>
  <r>
    <x v="0"/>
    <d v="2025-09-15T00:00:00"/>
    <s v="Brent Sprds"/>
    <s v="Hedge"/>
    <n v="-800"/>
    <d v="2025-11-30T00:00:00"/>
    <d v="2025-12-31T00:00:00"/>
    <n v="0.4"/>
    <n v="0.99"/>
    <n v="-472"/>
    <n v="-320"/>
    <x v="0"/>
    <s v="Sell"/>
    <n v="-792"/>
    <x v="0"/>
    <x v="2"/>
    <n v="2025"/>
    <s v="Sell"/>
    <x v="0"/>
    <s v="UnallocatedBrent SprdsHedge-8000.991206"/>
    <x v="0"/>
  </r>
  <r>
    <x v="0"/>
    <d v="2025-09-16T00:00:00"/>
    <s v="WTI Sprds"/>
    <s v="Hedge"/>
    <n v="549"/>
    <d v="2025-10-31T00:00:00"/>
    <d v="2025-11-30T00:00:00"/>
    <n v="0.28000000000000003"/>
    <n v="0.28000000000000003"/>
    <n v="0"/>
    <n v="153.72000000000003"/>
    <x v="36"/>
    <s v="Buy"/>
    <n v="153.72000000000003"/>
    <x v="0"/>
    <x v="0"/>
    <n v="2025"/>
    <s v="Buy"/>
    <x v="0"/>
    <s v="UnallocatedWTI SprdsHedge5490.281207"/>
    <x v="0"/>
  </r>
  <r>
    <x v="0"/>
    <d v="2025-09-15T00:00:00"/>
    <s v="Brent Sprds"/>
    <s v="Hedge"/>
    <n v="240"/>
    <d v="2025-11-30T00:00:00"/>
    <d v="2025-12-31T00:00:00"/>
    <n v="0.85"/>
    <n v="0.99"/>
    <n v="33.6"/>
    <n v="204"/>
    <x v="0"/>
    <s v="Buy"/>
    <n v="237.6"/>
    <x v="0"/>
    <x v="2"/>
    <n v="2025"/>
    <s v="Buy"/>
    <x v="0"/>
    <s v="UnallocatedBrent SprdsHedge2400.991208"/>
    <x v="0"/>
  </r>
  <r>
    <x v="0"/>
    <d v="2025-09-15T00:00:00"/>
    <s v="WTI-Brent"/>
    <s v="Hedge"/>
    <n v="17"/>
    <d v="2025-11-30T00:00:00"/>
    <d v="2025-11-30T00:00:00"/>
    <n v="-4.5199999999999996"/>
    <n v="-4.6500000000000004"/>
    <n v="-2.2100000000000133"/>
    <n v="-76.839999999999989"/>
    <x v="47"/>
    <s v="Buy"/>
    <n v="-79.050000000000011"/>
    <x v="1"/>
    <x v="3"/>
    <n v="2025"/>
    <s v="Buy"/>
    <x v="0"/>
    <s v="UnallocatedWTI-BrentHedge17-4.651209"/>
    <x v="0"/>
  </r>
  <r>
    <x v="0"/>
    <d v="2025-09-30T00:00:00"/>
    <s v="WTI Sprds"/>
    <s v="Hedge"/>
    <n v="250"/>
    <d v="2025-11-30T00:00:00"/>
    <d v="2025-12-31T00:00:00"/>
    <n v="0.4"/>
    <n v="0.5"/>
    <n v="24.999999999999993"/>
    <n v="100"/>
    <x v="0"/>
    <s v="Buy"/>
    <n v="125"/>
    <x v="0"/>
    <x v="0"/>
    <n v="2025"/>
    <s v="Buy"/>
    <x v="0"/>
    <s v="UnallocatedWTI SprdsHedge2500.51210"/>
    <x v="0"/>
  </r>
  <r>
    <x v="0"/>
    <d v="2025-09-30T00:00:00"/>
    <s v="DFL"/>
    <s v="Hedge"/>
    <n v="-1290"/>
    <d v="2025-09-30T00:00:00"/>
    <d v="2025-09-30T00:00:00"/>
    <n v="0.49"/>
    <n v="0.49"/>
    <n v="0"/>
    <n v="-632.1"/>
    <x v="43"/>
    <s v="Sell"/>
    <n v="-632.1"/>
    <x v="1"/>
    <x v="1"/>
    <n v="2025"/>
    <s v="Sell"/>
    <x v="0"/>
    <s v="UnallocatedDFLHedge-12900.491211"/>
    <x v="0"/>
  </r>
  <r>
    <x v="0"/>
    <d v="2025-09-30T00:00:00"/>
    <s v="Freight-TD25"/>
    <s v="Hedge"/>
    <n v="-500"/>
    <d v="2025-09-30T00:00:00"/>
    <d v="2025-09-30T00:00:00"/>
    <n v="162"/>
    <n v="162"/>
    <n v="0"/>
    <n v="-81000"/>
    <x v="43"/>
    <s v="Sell"/>
    <n v="-81000"/>
    <x v="3"/>
    <x v="5"/>
    <n v="2025"/>
    <s v="Sell"/>
    <x v="0"/>
    <s v="UnallocatedFreight-TD25Hedge-5001621212"/>
    <x v="0"/>
  </r>
  <r>
    <x v="0"/>
    <d v="2025-10-01T00:00:00"/>
    <s v="DFL"/>
    <s v="Hedge"/>
    <n v="210"/>
    <d v="2025-11-30T00:00:00"/>
    <d v="2025-11-30T00:00:00"/>
    <n v="0.499"/>
    <n v="7.0000000000000007E-2"/>
    <n v="-90.09"/>
    <n v="104.79"/>
    <x v="47"/>
    <s v="Buy"/>
    <n v="14.700000000000001"/>
    <x v="1"/>
    <x v="1"/>
    <n v="2025"/>
    <s v="Buy"/>
    <x v="0"/>
    <s v="UnallocatedDFLHedge2100.071213"/>
    <x v="0"/>
  </r>
  <r>
    <x v="0"/>
    <d v="2025-10-02T00:00:00"/>
    <s v="WTI-Brent"/>
    <s v="Hedge"/>
    <n v="272"/>
    <d v="2025-12-31T00:00:00"/>
    <d v="2025-12-31T00:00:00"/>
    <n v="-3.9500000000000028"/>
    <n v="-4.09"/>
    <n v="-38.079999999999188"/>
    <n v="-1074.4000000000008"/>
    <x v="51"/>
    <s v="Buy"/>
    <n v="-1112.48"/>
    <x v="1"/>
    <x v="3"/>
    <n v="2025"/>
    <s v="Buy"/>
    <x v="0"/>
    <s v="UnallocatedWTI-BrentHedge272-4.091214"/>
    <x v="0"/>
  </r>
  <r>
    <x v="0"/>
    <d v="2025-10-02T00:00:00"/>
    <s v="WTI Sprds"/>
    <s v="Hedge"/>
    <n v="272"/>
    <d v="2025-11-30T00:00:00"/>
    <d v="2025-12-31T00:00:00"/>
    <n v="0.32000000000000028"/>
    <n v="0.5"/>
    <n v="48.959999999999923"/>
    <n v="87.040000000000077"/>
    <x v="0"/>
    <s v="Buy"/>
    <n v="136"/>
    <x v="0"/>
    <x v="0"/>
    <n v="2025"/>
    <s v="Buy"/>
    <x v="0"/>
    <s v="UnallocatedWTI SprdsHedge2720.51215"/>
    <x v="0"/>
  </r>
  <r>
    <x v="77"/>
    <d v="2025-10-14T00:00:00"/>
    <s v="Physical"/>
    <s v="Expo"/>
    <n v="2100"/>
    <d v="2025-11-30T00:00:00"/>
    <d v="2025-11-30T00:00:00"/>
    <n v="-2.0699999999999998"/>
    <n v="-2.0499999999999998"/>
    <n v="42.000000000000036"/>
    <n v="-4347"/>
    <x v="47"/>
    <s v="Buy"/>
    <n v="-4305"/>
    <x v="2"/>
    <x v="4"/>
    <n v="2025"/>
    <s v="Buy"/>
    <x v="1"/>
    <s v="BP FOB VLCC Nov 15-20PhysicalExpo2100-2.051216"/>
    <x v="0"/>
  </r>
  <r>
    <x v="77"/>
    <d v="2025-10-14T00:00:00"/>
    <s v="WTI Sprds"/>
    <s v="Expo"/>
    <n v="-2100"/>
    <d v="2025-11-30T00:00:00"/>
    <d v="2025-12-31T00:00:00"/>
    <n v="0.43"/>
    <n v="0.5"/>
    <n v="-147"/>
    <n v="-903"/>
    <x v="0"/>
    <s v="Sell"/>
    <n v="-1050"/>
    <x v="0"/>
    <x v="0"/>
    <n v="2025"/>
    <s v="Sell"/>
    <x v="0"/>
    <s v="BP FOB VLCC Nov 15-20WTI SprdsExpo-21000.51217"/>
    <x v="0"/>
  </r>
  <r>
    <x v="77"/>
    <d v="2025-10-14T00:00:00"/>
    <s v="WTI Sprds"/>
    <s v="Expo"/>
    <n v="-2100"/>
    <d v="2025-12-31T00:00:00"/>
    <d v="2026-01-31T00:00:00"/>
    <n v="0.17"/>
    <n v="0.19"/>
    <n v="-41.999999999999979"/>
    <n v="-357"/>
    <x v="1"/>
    <s v="Sell"/>
    <n v="-399"/>
    <x v="0"/>
    <x v="0"/>
    <n v="2025"/>
    <s v="Sell"/>
    <x v="0"/>
    <s v="BP FOB VLCC Nov 15-20WTI SprdsExpo-21000.191218"/>
    <x v="0"/>
  </r>
  <r>
    <x v="77"/>
    <d v="2025-10-14T00:00:00"/>
    <s v="WTI-Brent"/>
    <s v="Expo"/>
    <n v="-2100"/>
    <d v="2026-01-31T00:00:00"/>
    <d v="2026-01-31T00:00:00"/>
    <n v="-3.96"/>
    <n v="-4.6500000000000004"/>
    <n v="1449.0000000000009"/>
    <n v="8316"/>
    <x v="52"/>
    <s v="Sell"/>
    <n v="9765"/>
    <x v="1"/>
    <x v="3"/>
    <n v="2026"/>
    <s v="Sell"/>
    <x v="0"/>
    <s v="BP FOB VLCC Nov 15-20WTI-BrentExpo-2100-4.651219"/>
    <x v="0"/>
  </r>
  <r>
    <x v="0"/>
    <d v="2025-10-14T00:00:00"/>
    <s v="DFL"/>
    <s v="Hedge"/>
    <n v="-500"/>
    <d v="2025-11-30T00:00:00"/>
    <d v="2025-11-30T00:00:00"/>
    <n v="0.42"/>
    <n v="7.0000000000000007E-2"/>
    <n v="175"/>
    <n v="-210"/>
    <x v="47"/>
    <s v="Sell"/>
    <n v="-35"/>
    <x v="1"/>
    <x v="1"/>
    <n v="2025"/>
    <s v="Sell"/>
    <x v="0"/>
    <s v="UnallocatedDFLHedge-5000.071220"/>
    <x v="0"/>
  </r>
  <r>
    <x v="0"/>
    <d v="2025-10-16T00:00:00"/>
    <s v="WTI Sprds"/>
    <s v="Hedge"/>
    <n v="400"/>
    <d v="2025-11-30T00:00:00"/>
    <d v="2025-12-31T00:00:00"/>
    <n v="0.45"/>
    <n v="0.5"/>
    <n v="19.999999999999996"/>
    <n v="180"/>
    <x v="0"/>
    <s v="Buy"/>
    <n v="200"/>
    <x v="0"/>
    <x v="0"/>
    <n v="2025"/>
    <s v="Buy"/>
    <x v="0"/>
    <s v="UnallocatedWTI SprdsHedge4000.51221"/>
    <x v="0"/>
  </r>
  <r>
    <x v="0"/>
    <d v="2025-10-16T00:00:00"/>
    <s v="WTI Sprds"/>
    <s v="Hedge"/>
    <n v="400"/>
    <d v="2025-11-30T00:00:00"/>
    <d v="2025-12-31T00:00:00"/>
    <n v="0.44"/>
    <n v="0.5"/>
    <n v="24"/>
    <n v="176"/>
    <x v="0"/>
    <s v="Buy"/>
    <n v="200"/>
    <x v="0"/>
    <x v="0"/>
    <n v="2025"/>
    <s v="Buy"/>
    <x v="0"/>
    <s v="UnallocatedWTI SprdsHedge4000.51222"/>
    <x v="0"/>
  </r>
  <r>
    <x v="0"/>
    <d v="2025-10-16T00:00:00"/>
    <s v="WTI Sprds"/>
    <s v="Hedge"/>
    <n v="139"/>
    <d v="2025-11-30T00:00:00"/>
    <d v="2025-12-31T00:00:00"/>
    <n v="0.43"/>
    <n v="0.5"/>
    <n v="9.73"/>
    <n v="59.769999999999996"/>
    <x v="0"/>
    <s v="Buy"/>
    <n v="69.5"/>
    <x v="0"/>
    <x v="0"/>
    <n v="2025"/>
    <s v="Buy"/>
    <x v="0"/>
    <s v="UnallocatedWTI SprdsHedge1390.51223"/>
    <x v="0"/>
  </r>
  <r>
    <x v="77"/>
    <d v="2025-10-16T00:00:00"/>
    <s v="WTI-Brent"/>
    <s v="Hedge"/>
    <n v="82"/>
    <d v="2025-12-31T00:00:00"/>
    <d v="2025-12-31T00:00:00"/>
    <n v="-4.1500000000000004"/>
    <n v="-4.09"/>
    <n v="4.9200000000000408"/>
    <n v="-340.3"/>
    <x v="51"/>
    <s v="Buy"/>
    <n v="-335.38"/>
    <x v="1"/>
    <x v="3"/>
    <n v="2025"/>
    <s v="Buy"/>
    <x v="0"/>
    <s v="BP FOB VLCC Nov 15-20WTI-BrentHedge82-4.091224"/>
    <x v="0"/>
  </r>
  <r>
    <x v="78"/>
    <d v="2025-10-17T00:00:00"/>
    <s v="Physical"/>
    <s v="Expo"/>
    <n v="2100"/>
    <d v="2025-11-30T00:00:00"/>
    <d v="2025-11-30T00:00:00"/>
    <n v="3.8866666666666667"/>
    <n v="3.98"/>
    <n v="195.99999999999986"/>
    <n v="8162"/>
    <x v="47"/>
    <s v="Buy"/>
    <n v="8358"/>
    <x v="2"/>
    <x v="4"/>
    <n v="2025"/>
    <s v="Buy"/>
    <x v="1"/>
    <s v="CPC Taiwan Jan 17-21PhysicalExpo21003.981225"/>
    <x v="1"/>
  </r>
  <r>
    <x v="78"/>
    <d v="2025-10-17T00:00:00"/>
    <s v="WTI Sprds"/>
    <s v="Expo"/>
    <n v="-2075"/>
    <d v="2025-11-30T00:00:00"/>
    <d v="2025-12-31T00:00:00"/>
    <n v="0.43"/>
    <n v="0.5"/>
    <n v="-145.25"/>
    <n v="-892.25"/>
    <x v="0"/>
    <s v="Sell"/>
    <n v="-1037.5"/>
    <x v="0"/>
    <x v="0"/>
    <n v="2025"/>
    <s v="Sell"/>
    <x v="0"/>
    <s v="CPC Taiwan Jan 17-21WTI SprdsExpo-20750.51226"/>
    <x v="1"/>
  </r>
  <r>
    <x v="78"/>
    <d v="2025-10-17T00:00:00"/>
    <s v="WTI Sprds"/>
    <s v="Expo"/>
    <n v="-2100"/>
    <d v="2025-12-31T00:00:00"/>
    <d v="2026-01-31T00:00:00"/>
    <n v="0.04"/>
    <n v="0.19"/>
    <n v="-315"/>
    <n v="-84"/>
    <x v="1"/>
    <s v="Sell"/>
    <n v="-399"/>
    <x v="0"/>
    <x v="0"/>
    <n v="2025"/>
    <s v="Sell"/>
    <x v="0"/>
    <s v="CPC Taiwan Jan 17-21WTI SprdsExpo-21000.191227"/>
    <x v="1"/>
  </r>
  <r>
    <x v="78"/>
    <d v="2025-10-17T00:00:00"/>
    <s v="WTI-Brent"/>
    <s v="Expo"/>
    <n v="-2100"/>
    <d v="2026-01-31T00:00:00"/>
    <d v="2026-01-31T00:00:00"/>
    <n v="-3.95"/>
    <n v="-4.6500000000000004"/>
    <n v="1470.0000000000005"/>
    <n v="8295"/>
    <x v="52"/>
    <s v="Sell"/>
    <n v="9765"/>
    <x v="1"/>
    <x v="3"/>
    <n v="2026"/>
    <s v="Sell"/>
    <x v="0"/>
    <s v="CPC Taiwan Jan 17-21WTI-BrentExpo-2100-4.651228"/>
    <x v="1"/>
  </r>
  <r>
    <x v="78"/>
    <d v="2025-10-17T00:00:00"/>
    <s v="DFL"/>
    <s v="Expo"/>
    <n v="2100"/>
    <d v="2025-12-31T00:00:00"/>
    <d v="2025-12-31T00:00:00"/>
    <n v="0.08"/>
    <n v="0.99"/>
    <n v="1911"/>
    <n v="168"/>
    <x v="51"/>
    <s v="Buy"/>
    <n v="2079"/>
    <x v="1"/>
    <x v="1"/>
    <n v="2025"/>
    <s v="Buy"/>
    <x v="0"/>
    <s v="CPC Taiwan Jan 17-21DFLExpo21000.991229"/>
    <x v="1"/>
  </r>
  <r>
    <x v="78"/>
    <d v="2025-10-17T00:00:00"/>
    <s v="Brent Sprds"/>
    <s v="Expo"/>
    <n v="-2100"/>
    <d v="2026-01-31T00:00:00"/>
    <d v="2026-02-28T00:00:00"/>
    <n v="0.11"/>
    <n v="0.82"/>
    <n v="-1491"/>
    <n v="-231"/>
    <x v="53"/>
    <s v="Sell"/>
    <n v="-1722"/>
    <x v="0"/>
    <x v="2"/>
    <n v="2026"/>
    <s v="Sell"/>
    <x v="0"/>
    <s v="CPC Taiwan Jan 17-21Brent SprdsExpo-21000.821230"/>
    <x v="1"/>
  </r>
  <r>
    <x v="78"/>
    <d v="2025-10-17T00:00:00"/>
    <s v="Freight-TD22"/>
    <s v="Expo"/>
    <n v="-2000"/>
    <d v="2025-11-30T00:00:00"/>
    <d v="2025-11-30T00:00:00"/>
    <n v="12250"/>
    <n v="12250"/>
    <n v="0"/>
    <n v="0"/>
    <x v="47"/>
    <s v="Sell"/>
    <n v="-24500000"/>
    <x v="3"/>
    <x v="5"/>
    <n v="2025"/>
    <s v="Sell"/>
    <x v="0"/>
    <s v="CPC Taiwan Jan 17-21Freight-TD22Expo-2000122501231"/>
    <x v="1"/>
  </r>
  <r>
    <x v="78"/>
    <d v="2025-10-17T00:00:00"/>
    <s v="Freight-TD22"/>
    <s v="Expo"/>
    <n v="2000"/>
    <d v="2025-11-30T00:00:00"/>
    <d v="2025-11-30T00:00:00"/>
    <n v="11700"/>
    <n v="12250"/>
    <n v="550"/>
    <n v="550"/>
    <x v="47"/>
    <s v="Buy"/>
    <n v="24500000"/>
    <x v="3"/>
    <x v="5"/>
    <n v="2025"/>
    <s v="Buy"/>
    <x v="0"/>
    <s v="CPC Taiwan Jan 17-21Freight-TD22Expo2000122501232"/>
    <x v="1"/>
  </r>
  <r>
    <x v="0"/>
    <d v="2025-10-20T00:00:00"/>
    <s v="WTI Sprds"/>
    <s v="Hedge"/>
    <n v="3414"/>
    <d v="2025-11-30T00:00:00"/>
    <d v="2025-12-31T00:00:00"/>
    <n v="0.5"/>
    <n v="0.5"/>
    <n v="0"/>
    <n v="1707"/>
    <x v="0"/>
    <s v="Buy"/>
    <n v="1707"/>
    <x v="0"/>
    <x v="0"/>
    <n v="2025"/>
    <s v="Buy"/>
    <x v="0"/>
    <s v="UnallocatedWTI SprdsHedge34140.51233"/>
    <x v="0"/>
  </r>
  <r>
    <x v="78"/>
    <d v="2025-10-21T00:00:00"/>
    <s v="WTI Sprds"/>
    <s v="Hedge"/>
    <n v="300"/>
    <d v="2025-12-31T00:00:00"/>
    <d v="2026-01-31T00:00:00"/>
    <n v="0.04"/>
    <n v="0.19"/>
    <n v="45"/>
    <n v="12"/>
    <x v="1"/>
    <s v="Buy"/>
    <n v="57"/>
    <x v="0"/>
    <x v="0"/>
    <n v="2025"/>
    <s v="Buy"/>
    <x v="0"/>
    <s v="CPC Taiwan Jan 17-21WTI SprdsHedge3000.191234"/>
    <x v="1"/>
  </r>
  <r>
    <x v="0"/>
    <d v="2025-10-21T00:00:00"/>
    <s v="Brent Sprds"/>
    <s v="Hedge"/>
    <n v="1000"/>
    <d v="2026-01-31T00:00:00"/>
    <d v="2026-02-28T00:00:00"/>
    <n v="0.08"/>
    <n v="0.82"/>
    <n v="740"/>
    <n v="80"/>
    <x v="53"/>
    <s v="Buy"/>
    <n v="820"/>
    <x v="0"/>
    <x v="2"/>
    <n v="2026"/>
    <s v="Buy"/>
    <x v="0"/>
    <s v="UnallocatedBrent SprdsHedge10000.821235"/>
    <x v="0"/>
  </r>
  <r>
    <x v="0"/>
    <d v="2025-10-21T00:00:00"/>
    <s v="WTI Sprds"/>
    <s v="Hedge"/>
    <n v="893"/>
    <d v="2025-12-31T00:00:00"/>
    <d v="2026-01-31T00:00:00"/>
    <n v="4.0000000000000008E-2"/>
    <n v="0.19"/>
    <n v="133.94999999999999"/>
    <n v="35.720000000000006"/>
    <x v="1"/>
    <s v="Buy"/>
    <n v="169.67000000000002"/>
    <x v="0"/>
    <x v="0"/>
    <n v="2025"/>
    <s v="Buy"/>
    <x v="0"/>
    <s v="UnallocatedWTI SprdsHedge8930.191236"/>
    <x v="0"/>
  </r>
  <r>
    <x v="0"/>
    <d v="2025-10-21T00:00:00"/>
    <s v="WTI Sprds"/>
    <s v="Hedge"/>
    <n v="-893"/>
    <d v="2026-01-31T00:00:00"/>
    <d v="2026-02-28T00:00:00"/>
    <n v="-0.06"/>
    <n v="0.15"/>
    <n v="-187.53"/>
    <n v="53.58"/>
    <x v="53"/>
    <s v="Sell"/>
    <n v="-133.94999999999999"/>
    <x v="0"/>
    <x v="0"/>
    <n v="2026"/>
    <s v="Sell"/>
    <x v="0"/>
    <s v="UnallocatedWTI SprdsHedge-8930.151237"/>
    <x v="0"/>
  </r>
  <r>
    <x v="0"/>
    <d v="2025-10-17T00:00:00"/>
    <s v="DFL"/>
    <s v="Hedge"/>
    <n v="500"/>
    <d v="2025-11-30T00:00:00"/>
    <d v="2025-11-30T00:00:00"/>
    <n v="0.4"/>
    <n v="0.03"/>
    <n v="-185"/>
    <n v="200"/>
    <x v="47"/>
    <s v="Buy"/>
    <n v="15"/>
    <x v="1"/>
    <x v="1"/>
    <n v="2025"/>
    <s v="Buy"/>
    <x v="0"/>
    <s v="UnallocatedDFLHedge5000.031238"/>
    <x v="0"/>
  </r>
  <r>
    <x v="0"/>
    <d v="2025-10-17T00:00:00"/>
    <s v="DFL"/>
    <s v="Hedge"/>
    <n v="500"/>
    <d v="2025-11-30T00:00:00"/>
    <d v="2025-11-30T00:00:00"/>
    <n v="0.4"/>
    <n v="0.03"/>
    <n v="-185"/>
    <n v="200"/>
    <x v="47"/>
    <s v="Buy"/>
    <n v="15"/>
    <x v="1"/>
    <x v="1"/>
    <n v="2025"/>
    <s v="Buy"/>
    <x v="0"/>
    <s v="UnallocatedDFLHedge5000.031239"/>
    <x v="0"/>
  </r>
  <r>
    <x v="0"/>
    <d v="2025-10-22T00:00:00"/>
    <s v="WTI Sprds"/>
    <s v="Hedge"/>
    <n v="1000"/>
    <d v="2025-12-31T00:00:00"/>
    <d v="2026-01-31T00:00:00"/>
    <n v="0.16999999999999998"/>
    <n v="0.19"/>
    <n v="20.000000000000018"/>
    <n v="169.99999999999997"/>
    <x v="1"/>
    <s v="Buy"/>
    <n v="190"/>
    <x v="0"/>
    <x v="0"/>
    <n v="2025"/>
    <s v="Buy"/>
    <x v="0"/>
    <s v="UnallocatedWTI SprdsHedge10000.191240"/>
    <x v="0"/>
  </r>
  <r>
    <x v="0"/>
    <d v="2025-10-22T00:00:00"/>
    <s v="WTI Sprds"/>
    <s v="Hedge"/>
    <n v="-1000"/>
    <d v="2026-01-31T00:00:00"/>
    <d v="2026-02-28T00:00:00"/>
    <n v="0.06"/>
    <n v="0.15"/>
    <n v="-90"/>
    <n v="-60"/>
    <x v="53"/>
    <s v="Sell"/>
    <n v="-150"/>
    <x v="0"/>
    <x v="0"/>
    <n v="2026"/>
    <s v="Sell"/>
    <x v="0"/>
    <s v="UnallocatedWTI SprdsHedge-10000.151241"/>
    <x v="0"/>
  </r>
  <r>
    <x v="0"/>
    <d v="2025-10-23T00:00:00"/>
    <s v="Brent Sprds"/>
    <s v="Hedge"/>
    <n v="1000"/>
    <d v="2025-12-31T00:00:00"/>
    <d v="2026-01-31T00:00:00"/>
    <n v="0.69"/>
    <n v="0.3"/>
    <n v="-389.99999999999994"/>
    <n v="690"/>
    <x v="1"/>
    <s v="Buy"/>
    <n v="300"/>
    <x v="0"/>
    <x v="2"/>
    <n v="2025"/>
    <s v="Buy"/>
    <x v="0"/>
    <s v="UnallocatedBrent SprdsHedge10000.31242"/>
    <x v="0"/>
  </r>
  <r>
    <x v="0"/>
    <d v="2025-10-23T00:00:00"/>
    <s v="Brent Sprds"/>
    <s v="Hedge"/>
    <n v="1000"/>
    <d v="2025-12-31T00:00:00"/>
    <d v="2026-01-31T00:00:00"/>
    <n v="0.68"/>
    <n v="0.3"/>
    <n v="-380.00000000000006"/>
    <n v="680"/>
    <x v="1"/>
    <s v="Buy"/>
    <n v="300"/>
    <x v="0"/>
    <x v="2"/>
    <n v="2025"/>
    <s v="Buy"/>
    <x v="0"/>
    <s v="UnallocatedBrent SprdsHedge10000.31243"/>
    <x v="0"/>
  </r>
  <r>
    <x v="0"/>
    <d v="2025-10-27T00:00:00"/>
    <s v="DFL"/>
    <s v="Hedge"/>
    <n v="-301"/>
    <d v="2025-11-30T00:00:00"/>
    <d v="2025-11-30T00:00:00"/>
    <n v="0.88"/>
    <n v="0.03"/>
    <n v="255.85"/>
    <n v="-264.88"/>
    <x v="47"/>
    <s v="Sell"/>
    <n v="-9.0299999999999994"/>
    <x v="1"/>
    <x v="1"/>
    <n v="2025"/>
    <s v="Sell"/>
    <x v="0"/>
    <s v="UnallocatedDFLHedge-3010.031244"/>
    <x v="0"/>
  </r>
  <r>
    <x v="0"/>
    <d v="2025-10-27T00:00:00"/>
    <s v="DFL"/>
    <s v="Hedge"/>
    <n v="301"/>
    <d v="2025-12-31T00:00:00"/>
    <d v="2025-12-31T00:00:00"/>
    <n v="0.77"/>
    <n v="0.99"/>
    <n v="66.22"/>
    <n v="231.77"/>
    <x v="51"/>
    <s v="Buy"/>
    <n v="297.99"/>
    <x v="1"/>
    <x v="1"/>
    <n v="2025"/>
    <s v="Buy"/>
    <x v="0"/>
    <s v="UnallocatedDFLHedge3010.991245"/>
    <x v="0"/>
  </r>
  <r>
    <x v="0"/>
    <d v="2025-10-27T00:00:00"/>
    <s v="WTI Sprds"/>
    <s v="Hedge"/>
    <n v="500"/>
    <d v="2025-12-31T00:00:00"/>
    <d v="2026-01-31T00:00:00"/>
    <n v="0.55000000000000004"/>
    <n v="0.19"/>
    <n v="-180.00000000000003"/>
    <n v="275"/>
    <x v="1"/>
    <s v="Buy"/>
    <n v="95"/>
    <x v="0"/>
    <x v="0"/>
    <n v="2025"/>
    <s v="Buy"/>
    <x v="0"/>
    <s v="UnallocatedWTI SprdsHedge5000.191246"/>
    <x v="0"/>
  </r>
  <r>
    <x v="0"/>
    <d v="2025-10-27T00:00:00"/>
    <s v="WTI Sprds"/>
    <s v="Hedge"/>
    <n v="200"/>
    <d v="2025-12-31T00:00:00"/>
    <d v="2026-01-31T00:00:00"/>
    <n v="0.52"/>
    <n v="0.19"/>
    <n v="-66"/>
    <n v="104"/>
    <x v="1"/>
    <s v="Buy"/>
    <n v="38"/>
    <x v="0"/>
    <x v="0"/>
    <n v="2025"/>
    <s v="Buy"/>
    <x v="0"/>
    <s v="UnallocatedWTI SprdsHedge2000.191247"/>
    <x v="0"/>
  </r>
  <r>
    <x v="0"/>
    <d v="2025-10-28T00:00:00"/>
    <s v="WTI Sprds"/>
    <s v="Hedge"/>
    <n v="1000"/>
    <d v="2025-12-31T00:00:00"/>
    <d v="2026-01-31T00:00:00"/>
    <n v="0.46"/>
    <n v="0.19"/>
    <n v="-270"/>
    <n v="460"/>
    <x v="1"/>
    <s v="Buy"/>
    <n v="190"/>
    <x v="0"/>
    <x v="0"/>
    <n v="2025"/>
    <s v="Buy"/>
    <x v="0"/>
    <s v="UnallocatedWTI SprdsHedge10000.191248"/>
    <x v="0"/>
  </r>
  <r>
    <x v="79"/>
    <d v="2025-10-28T00:00:00"/>
    <s v="Physical"/>
    <s v="Expo"/>
    <n v="700"/>
    <d v="2025-12-31T00:00:00"/>
    <d v="2025-12-31T00:00:00"/>
    <n v="6.999999999999984E-2"/>
    <n v="-0.02"/>
    <n v="-62.999999999999893"/>
    <n v="48.999999999999886"/>
    <x v="51"/>
    <s v="Buy"/>
    <n v="-14"/>
    <x v="2"/>
    <x v="4"/>
    <n v="2025"/>
    <s v="Buy"/>
    <x v="1"/>
    <s v="Dec25 EFP 1PhysicalExpo700-0.021249"/>
    <x v="0"/>
  </r>
  <r>
    <x v="79"/>
    <d v="2025-10-28T00:00:00"/>
    <s v="WTI-Brent"/>
    <s v="Expo"/>
    <n v="-700"/>
    <d v="2025-12-31T00:00:00"/>
    <d v="2025-12-31T00:00:00"/>
    <n v="-4.25"/>
    <n v="-4.09"/>
    <n v="-112.0000000000001"/>
    <n v="2975"/>
    <x v="51"/>
    <s v="Sell"/>
    <n v="2863"/>
    <x v="1"/>
    <x v="3"/>
    <n v="2025"/>
    <s v="Sell"/>
    <x v="0"/>
    <s v="Dec25 EFP 1WTI-BrentExpo-700-4.091250"/>
    <x v="0"/>
  </r>
  <r>
    <x v="79"/>
    <d v="2025-10-28T00:00:00"/>
    <s v="Freight-TD25"/>
    <s v="Expo"/>
    <n v="-700"/>
    <d v="2025-12-31T00:00:00"/>
    <d v="2025-12-31T00:00:00"/>
    <n v="200"/>
    <n v="208.93"/>
    <n v="-125.02000000000011"/>
    <n v="-140000"/>
    <x v="51"/>
    <s v="Sell"/>
    <n v="-146251"/>
    <x v="3"/>
    <x v="5"/>
    <n v="2025"/>
    <s v="Sell"/>
    <x v="0"/>
    <s v="Dec25 EFP 1Freight-TD25Expo-700208.931251"/>
    <x v="0"/>
  </r>
  <r>
    <x v="79"/>
    <d v="2025-11-18T00:00:00"/>
    <s v="Freight-TD25"/>
    <s v="Hedge"/>
    <n v="700"/>
    <d v="2025-12-31T00:00:00"/>
    <d v="2025-12-31T00:00:00"/>
    <n v="185"/>
    <n v="208.93"/>
    <n v="335.0200000000001"/>
    <n v="129500"/>
    <x v="51"/>
    <s v="Buy"/>
    <n v="146251"/>
    <x v="3"/>
    <x v="5"/>
    <n v="2025"/>
    <s v="Buy"/>
    <x v="0"/>
    <s v="Dec25 EFP 1Freight-TD25Hedge700208.931252"/>
    <x v="0"/>
  </r>
  <r>
    <x v="79"/>
    <d v="2025-10-28T00:00:00"/>
    <s v="Freight-TD7"/>
    <s v="Expo"/>
    <n v="700"/>
    <d v="2025-12-31T00:00:00"/>
    <d v="2025-12-31T00:00:00"/>
    <n v="145"/>
    <n v="160"/>
    <n v="52.5"/>
    <n v="101500"/>
    <x v="51"/>
    <s v="Buy"/>
    <n v="112000"/>
    <x v="3"/>
    <x v="5"/>
    <n v="2025"/>
    <s v="Buy"/>
    <x v="0"/>
    <s v="Dec25 EFP 1Freight-TD7Expo7001601253"/>
    <x v="0"/>
  </r>
  <r>
    <x v="79"/>
    <d v="2025-10-28T00:00:00"/>
    <s v="Freight-TD7"/>
    <s v="Expo"/>
    <n v="-700"/>
    <d v="2025-12-31T00:00:00"/>
    <d v="2025-12-31T00:00:00"/>
    <n v="150"/>
    <n v="160"/>
    <n v="-35"/>
    <n v="-105000"/>
    <x v="51"/>
    <s v="Sell"/>
    <n v="-112000"/>
    <x v="3"/>
    <x v="5"/>
    <n v="2025"/>
    <s v="Sell"/>
    <x v="0"/>
    <s v="Dec25 EFP 1Freight-TD7Expo-7001601254"/>
    <x v="0"/>
  </r>
  <r>
    <x v="79"/>
    <d v="2025-10-28T00:00:00"/>
    <s v="WTI-Brent"/>
    <s v="Hedge"/>
    <n v="700"/>
    <d v="2025-12-31T00:00:00"/>
    <d v="2025-12-31T00:00:00"/>
    <n v="-4.26"/>
    <n v="-4.09"/>
    <n v="118.99999999999994"/>
    <n v="-2982"/>
    <x v="51"/>
    <s v="Buy"/>
    <n v="-2863"/>
    <x v="1"/>
    <x v="3"/>
    <n v="2025"/>
    <s v="Buy"/>
    <x v="0"/>
    <s v="Dec25 EFP 1WTI-BrentHedge700-4.091255"/>
    <x v="0"/>
  </r>
  <r>
    <x v="78"/>
    <d v="2025-10-28T00:00:00"/>
    <s v="WTI-Brent"/>
    <s v="Hedge"/>
    <n v="1000"/>
    <d v="2026-01-31T00:00:00"/>
    <d v="2026-01-31T00:00:00"/>
    <n v="-4.05"/>
    <n v="-4.6500000000000004"/>
    <n v="-600.00000000000057"/>
    <n v="-4050"/>
    <x v="52"/>
    <s v="Buy"/>
    <n v="-4650"/>
    <x v="1"/>
    <x v="3"/>
    <n v="2026"/>
    <s v="Buy"/>
    <x v="0"/>
    <s v="CPC Taiwan Jan 17-21WTI-BrentHedge1000-4.651256"/>
    <x v="1"/>
  </r>
  <r>
    <x v="0"/>
    <d v="2025-10-29T00:00:00"/>
    <s v="DFL"/>
    <s v="Hedge"/>
    <n v="-400"/>
    <d v="2025-11-30T00:00:00"/>
    <d v="2025-11-30T00:00:00"/>
    <n v="0.79499999999999993"/>
    <n v="0.03"/>
    <n v="305.99999999999994"/>
    <n v="-318"/>
    <x v="47"/>
    <s v="Sell"/>
    <n v="-12"/>
    <x v="1"/>
    <x v="1"/>
    <n v="2025"/>
    <s v="Sell"/>
    <x v="0"/>
    <s v="UnallocatedDFLHedge-4000.031257"/>
    <x v="0"/>
  </r>
  <r>
    <x v="0"/>
    <d v="2025-10-29T00:00:00"/>
    <s v="DFL"/>
    <s v="Hedge"/>
    <n v="400"/>
    <d v="2025-12-31T00:00:00"/>
    <d v="2025-12-31T00:00:00"/>
    <n v="0.61"/>
    <n v="0.99"/>
    <n v="152"/>
    <n v="244"/>
    <x v="51"/>
    <s v="Buy"/>
    <n v="396"/>
    <x v="1"/>
    <x v="1"/>
    <n v="2025"/>
    <s v="Buy"/>
    <x v="0"/>
    <s v="UnallocatedDFLHedge4000.991258"/>
    <x v="0"/>
  </r>
  <r>
    <x v="0"/>
    <d v="2025-10-29T00:00:00"/>
    <s v="WTI-Brent"/>
    <s v="Hedge"/>
    <n v="346"/>
    <d v="2025-12-31T00:00:00"/>
    <d v="2025-12-31T00:00:00"/>
    <n v="-4.3499999999999996"/>
    <n v="-4.09"/>
    <n v="89.959999999999923"/>
    <n v="-1505.1"/>
    <x v="51"/>
    <s v="Buy"/>
    <n v="-1415.1399999999999"/>
    <x v="1"/>
    <x v="3"/>
    <n v="2025"/>
    <s v="Buy"/>
    <x v="0"/>
    <s v="UnallocatedWTI-BrentHedge346-4.091259"/>
    <x v="0"/>
  </r>
  <r>
    <x v="0"/>
    <d v="2025-10-29T00:00:00"/>
    <s v="WTI-Brent"/>
    <s v="Hedge"/>
    <n v="1000"/>
    <d v="2026-01-31T00:00:00"/>
    <d v="2026-01-31T00:00:00"/>
    <n v="-4.2"/>
    <n v="-4.6500000000000004"/>
    <n v="-450.00000000000017"/>
    <n v="-4200"/>
    <x v="52"/>
    <s v="Buy"/>
    <n v="-4650"/>
    <x v="1"/>
    <x v="3"/>
    <n v="2026"/>
    <s v="Buy"/>
    <x v="0"/>
    <s v="UnallocatedWTI-BrentHedge1000-4.651260"/>
    <x v="0"/>
  </r>
  <r>
    <x v="0"/>
    <d v="2025-10-29T00:00:00"/>
    <s v="WTI Sprds"/>
    <s v="Hedge"/>
    <n v="500"/>
    <d v="2025-12-31T00:00:00"/>
    <d v="2026-01-31T00:00:00"/>
    <n v="0.36"/>
    <n v="0.19"/>
    <n v="-84.999999999999986"/>
    <n v="180"/>
    <x v="1"/>
    <s v="Buy"/>
    <n v="95"/>
    <x v="0"/>
    <x v="0"/>
    <n v="2025"/>
    <s v="Buy"/>
    <x v="0"/>
    <s v="UnallocatedWTI SprdsHedge5000.191261"/>
    <x v="0"/>
  </r>
  <r>
    <x v="0"/>
    <d v="2025-10-29T00:00:00"/>
    <s v="Brent Sprds"/>
    <s v="Hedge"/>
    <n v="-1000"/>
    <d v="2025-12-31T00:00:00"/>
    <d v="2026-01-31T00:00:00"/>
    <n v="0.61"/>
    <n v="0.3"/>
    <n v="310"/>
    <n v="-610"/>
    <x v="1"/>
    <s v="Sell"/>
    <n v="-300"/>
    <x v="0"/>
    <x v="2"/>
    <n v="2025"/>
    <s v="Sell"/>
    <x v="0"/>
    <s v="UnallocatedBrent SprdsHedge-10000.31262"/>
    <x v="0"/>
  </r>
  <r>
    <x v="0"/>
    <d v="2025-10-29T00:00:00"/>
    <s v="Brent Sprds"/>
    <s v="Hedge"/>
    <n v="1000"/>
    <d v="2026-01-31T00:00:00"/>
    <d v="2026-02-28T00:00:00"/>
    <n v="0.46"/>
    <n v="0.82"/>
    <n v="359.99999999999994"/>
    <n v="460"/>
    <x v="53"/>
    <s v="Buy"/>
    <n v="820"/>
    <x v="0"/>
    <x v="2"/>
    <n v="2026"/>
    <s v="Buy"/>
    <x v="0"/>
    <s v="UnallocatedBrent SprdsHedge10000.821263"/>
    <x v="0"/>
  </r>
  <r>
    <x v="80"/>
    <d v="2025-10-30T00:00:00"/>
    <s v="Physical"/>
    <s v="Expo"/>
    <m/>
    <d v="2025-12-31T00:00:00"/>
    <d v="2025-12-31T00:00:00"/>
    <n v="6.999999999999984E-2"/>
    <n v="0.01"/>
    <n v="0"/>
    <n v="0"/>
    <x v="51"/>
    <s v="Buy"/>
    <n v="0"/>
    <x v="2"/>
    <x v="4"/>
    <n v="2025"/>
    <s v="Sell"/>
    <x v="1"/>
    <s v="Dec25 EFP 2PhysicalExpo0.011264"/>
    <x v="0"/>
  </r>
  <r>
    <x v="80"/>
    <d v="2025-10-30T00:00:00"/>
    <s v="WTI-Brent"/>
    <s v="Expo"/>
    <n v="0"/>
    <d v="2025-12-31T00:00:00"/>
    <d v="2025-12-31T00:00:00"/>
    <n v="-4.3899999999999997"/>
    <n v="-4.09"/>
    <n v="0"/>
    <n v="0"/>
    <x v="51"/>
    <s v="Buy"/>
    <n v="0"/>
    <x v="1"/>
    <x v="3"/>
    <n v="2025"/>
    <s v="Sell"/>
    <x v="0"/>
    <s v="Dec25 EFP 2WTI-BrentExpo0-4.091265"/>
    <x v="0"/>
  </r>
  <r>
    <x v="80"/>
    <d v="2025-10-30T00:00:00"/>
    <s v="WTI-Brent"/>
    <s v="Expo"/>
    <n v="0"/>
    <d v="2025-12-31T00:00:00"/>
    <d v="2025-12-31T00:00:00"/>
    <n v="-4.3899999999999997"/>
    <n v="-4.09"/>
    <n v="0"/>
    <n v="0"/>
    <x v="51"/>
    <s v="Buy"/>
    <n v="0"/>
    <x v="1"/>
    <x v="3"/>
    <n v="2025"/>
    <s v="Sell"/>
    <x v="0"/>
    <s v="Dec25 EFP 2WTI-BrentExpo0-4.091266"/>
    <x v="0"/>
  </r>
  <r>
    <x v="80"/>
    <d v="2025-10-30T00:00:00"/>
    <s v="WTI-Brent"/>
    <s v="Expo"/>
    <n v="0"/>
    <d v="2026-01-31T00:00:00"/>
    <d v="2026-01-31T00:00:00"/>
    <n v="-4.0999999999999996"/>
    <n v="-4.6500000000000004"/>
    <n v="0"/>
    <n v="0"/>
    <x v="52"/>
    <s v="Buy"/>
    <n v="0"/>
    <x v="1"/>
    <x v="3"/>
    <n v="2026"/>
    <s v="Sell"/>
    <x v="0"/>
    <s v="Dec25 EFP 2WTI-BrentExpo0-4.651267"/>
    <x v="0"/>
  </r>
  <r>
    <x v="80"/>
    <d v="2025-10-29T00:00:00"/>
    <s v="WTI Sprds"/>
    <s v="Expo"/>
    <n v="0"/>
    <d v="2025-12-31T00:00:00"/>
    <d v="2026-01-31T00:00:00"/>
    <n v="0.37"/>
    <n v="0.19"/>
    <n v="0"/>
    <n v="0"/>
    <x v="1"/>
    <s v="Buy"/>
    <n v="0"/>
    <x v="0"/>
    <x v="0"/>
    <n v="2025"/>
    <s v="Sell"/>
    <x v="0"/>
    <s v="Dec25 EFP 2WTI SprdsExpo00.191268"/>
    <x v="0"/>
  </r>
  <r>
    <x v="80"/>
    <d v="2025-10-29T00:00:00"/>
    <s v="Brent Sprds"/>
    <s v="Expo"/>
    <n v="0"/>
    <d v="2025-12-31T00:00:00"/>
    <d v="2026-01-31T00:00:00"/>
    <n v="0.66"/>
    <n v="0.3"/>
    <n v="0"/>
    <n v="0"/>
    <x v="1"/>
    <s v="Buy"/>
    <n v="0"/>
    <x v="0"/>
    <x v="2"/>
    <n v="2025"/>
    <s v="Sell"/>
    <x v="0"/>
    <s v="Dec25 EFP 2Brent SprdsExpo00.31269"/>
    <x v="0"/>
  </r>
  <r>
    <x v="80"/>
    <d v="2025-10-29T00:00:00"/>
    <s v="Brent Sprds"/>
    <s v="Hedge"/>
    <n v="-700"/>
    <d v="2025-12-31T00:00:00"/>
    <d v="2026-01-31T00:00:00"/>
    <n v="0.66"/>
    <n v="0.3"/>
    <n v="252.00000000000003"/>
    <n v="-462"/>
    <x v="1"/>
    <s v="Sell"/>
    <n v="-210"/>
    <x v="0"/>
    <x v="2"/>
    <n v="2025"/>
    <s v="Sell"/>
    <x v="0"/>
    <s v="Dec25 EFP 2Brent SprdsHedge-7000.31270"/>
    <x v="0"/>
  </r>
  <r>
    <x v="80"/>
    <d v="2025-10-30T00:00:00"/>
    <s v="Freight-TD25"/>
    <s v="Expo"/>
    <m/>
    <d v="2025-12-31T00:00:00"/>
    <d v="2025-12-31T00:00:00"/>
    <n v="200"/>
    <n v="208.93"/>
    <n v="0"/>
    <n v="0"/>
    <x v="51"/>
    <s v="Buy"/>
    <n v="0"/>
    <x v="3"/>
    <x v="5"/>
    <n v="2025"/>
    <s v="Sell"/>
    <x v="0"/>
    <s v="Dec25 EFP 2Freight-TD25Expo208.931271"/>
    <x v="0"/>
  </r>
  <r>
    <x v="80"/>
    <d v="2025-10-30T00:00:00"/>
    <s v="Freight-TD7"/>
    <s v="Expo"/>
    <m/>
    <d v="2025-12-31T00:00:00"/>
    <d v="2025-12-31T00:00:00"/>
    <n v="145"/>
    <n v="160"/>
    <n v="0"/>
    <n v="0"/>
    <x v="51"/>
    <s v="Buy"/>
    <n v="0"/>
    <x v="3"/>
    <x v="5"/>
    <n v="2025"/>
    <s v="Sell"/>
    <x v="0"/>
    <s v="Dec25 EFP 2Freight-TD7Expo1601272"/>
    <x v="0"/>
  </r>
  <r>
    <x v="0"/>
    <d v="2025-10-30T00:00:00"/>
    <s v="Brent Sprds"/>
    <s v="Hedge"/>
    <n v="-1000"/>
    <d v="2025-12-31T00:00:00"/>
    <d v="2026-01-31T00:00:00"/>
    <n v="0.63"/>
    <n v="0.3"/>
    <n v="330"/>
    <n v="-630"/>
    <x v="1"/>
    <s v="Sell"/>
    <n v="-300"/>
    <x v="0"/>
    <x v="2"/>
    <n v="2025"/>
    <s v="Sell"/>
    <x v="0"/>
    <s v="UnallocatedBrent SprdsHedge-10000.31273"/>
    <x v="0"/>
  </r>
  <r>
    <x v="0"/>
    <d v="2025-10-30T00:00:00"/>
    <s v="Brent Sprds"/>
    <s v="Hedge"/>
    <n v="1000"/>
    <d v="2026-01-31T00:00:00"/>
    <d v="2026-02-28T00:00:00"/>
    <n v="0.48"/>
    <n v="0.82"/>
    <n v="339.99999999999994"/>
    <n v="480"/>
    <x v="53"/>
    <s v="Buy"/>
    <n v="820"/>
    <x v="0"/>
    <x v="2"/>
    <n v="2026"/>
    <s v="Buy"/>
    <x v="0"/>
    <s v="UnallocatedBrent SprdsHedge10000.821274"/>
    <x v="0"/>
  </r>
  <r>
    <x v="0"/>
    <d v="2025-10-30T00:00:00"/>
    <s v="Physical"/>
    <s v="Hedge"/>
    <n v="-208"/>
    <d v="2026-01-31T00:00:00"/>
    <d v="2026-01-31T00:00:00"/>
    <n v="67.02"/>
    <n v="65"/>
    <n v="420.15999999999917"/>
    <n v="-13940.16"/>
    <x v="52"/>
    <s v="Sell"/>
    <n v="-13520"/>
    <x v="2"/>
    <x v="4"/>
    <n v="2026"/>
    <s v="Sell"/>
    <x v="1"/>
    <s v="UnallocatedPhysicalHedge-208651275"/>
    <x v="0"/>
  </r>
  <r>
    <x v="79"/>
    <d v="2025-10-31T00:00:00"/>
    <s v="Brent Sprds"/>
    <s v="Hedge"/>
    <n v="700"/>
    <d v="2025-12-31T00:00:00"/>
    <d v="2026-01-31T00:00:00"/>
    <n v="0.65"/>
    <n v="0.3"/>
    <n v="-245.00000000000003"/>
    <n v="455"/>
    <x v="1"/>
    <s v="Buy"/>
    <n v="210"/>
    <x v="0"/>
    <x v="2"/>
    <n v="2025"/>
    <s v="Buy"/>
    <x v="0"/>
    <s v="Dec25 EFP 1Brent SprdsHedge7000.31276"/>
    <x v="0"/>
  </r>
  <r>
    <x v="0"/>
    <d v="2025-10-31T00:00:00"/>
    <s v="DFL"/>
    <s v="Hedge"/>
    <n v="-9"/>
    <d v="2025-11-30T00:00:00"/>
    <d v="2025-11-30T00:00:00"/>
    <n v="0.8"/>
    <n v="0.03"/>
    <n v="6.93"/>
    <n v="-7.2"/>
    <x v="47"/>
    <s v="Sell"/>
    <n v="-0.27"/>
    <x v="1"/>
    <x v="1"/>
    <n v="2025"/>
    <s v="Sell"/>
    <x v="0"/>
    <s v="UnallocatedDFLHedge-90.031277"/>
    <x v="0"/>
  </r>
  <r>
    <x v="0"/>
    <d v="2025-10-31T00:00:00"/>
    <s v="DFL"/>
    <s v="Hedge"/>
    <n v="-1000"/>
    <d v="2025-12-31T00:00:00"/>
    <d v="2025-12-31T00:00:00"/>
    <n v="0.73"/>
    <n v="0.99"/>
    <n v="-260"/>
    <n v="-730"/>
    <x v="51"/>
    <s v="Sell"/>
    <n v="-990"/>
    <x v="1"/>
    <x v="1"/>
    <n v="2025"/>
    <s v="Sell"/>
    <x v="0"/>
    <s v="UnallocatedDFLHedge-10000.991278"/>
    <x v="0"/>
  </r>
  <r>
    <x v="0"/>
    <d v="2025-10-31T00:00:00"/>
    <s v="DFL"/>
    <s v="Hedge"/>
    <n v="-1000"/>
    <d v="2025-12-31T00:00:00"/>
    <d v="2025-12-31T00:00:00"/>
    <n v="0.74"/>
    <n v="0.99"/>
    <n v="-250"/>
    <n v="-740"/>
    <x v="51"/>
    <s v="Sell"/>
    <n v="-990"/>
    <x v="1"/>
    <x v="1"/>
    <n v="2025"/>
    <s v="Sell"/>
    <x v="0"/>
    <s v="UnallocatedDFLHedge-10000.991279"/>
    <x v="0"/>
  </r>
  <r>
    <x v="0"/>
    <d v="2025-10-29T00:00:00"/>
    <s v="WTI Sprds"/>
    <s v="Hedge"/>
    <n v="500"/>
    <d v="2026-01-31T00:00:00"/>
    <d v="2026-02-28T00:00:00"/>
    <n v="0.32"/>
    <n v="0.15"/>
    <n v="-85"/>
    <n v="160"/>
    <x v="53"/>
    <s v="Buy"/>
    <n v="75"/>
    <x v="0"/>
    <x v="0"/>
    <n v="2026"/>
    <s v="Buy"/>
    <x v="0"/>
    <s v="UnallocatedWTI SprdsHedge5000.151280"/>
    <x v="0"/>
  </r>
  <r>
    <x v="0"/>
    <d v="2025-10-29T00:00:00"/>
    <s v="WTI Sprds"/>
    <s v="Hedge"/>
    <n v="300"/>
    <d v="2025-12-31T00:00:00"/>
    <d v="2026-01-31T00:00:00"/>
    <n v="0.29499999999999998"/>
    <n v="0.19"/>
    <n v="-31.499999999999993"/>
    <n v="88.5"/>
    <x v="1"/>
    <s v="Buy"/>
    <n v="57"/>
    <x v="0"/>
    <x v="0"/>
    <n v="2025"/>
    <s v="Buy"/>
    <x v="0"/>
    <s v="UnallocatedWTI SprdsHedge3000.191281"/>
    <x v="0"/>
  </r>
  <r>
    <x v="0"/>
    <d v="2025-10-29T00:00:00"/>
    <s v="WTI Sprds"/>
    <s v="Hedge"/>
    <n v="300"/>
    <d v="2026-01-31T00:00:00"/>
    <d v="2026-02-28T00:00:00"/>
    <n v="0.29499999999999998"/>
    <n v="0.15"/>
    <n v="-43.5"/>
    <n v="88.5"/>
    <x v="53"/>
    <s v="Buy"/>
    <n v="45"/>
    <x v="0"/>
    <x v="0"/>
    <n v="2026"/>
    <s v="Buy"/>
    <x v="0"/>
    <s v="UnallocatedWTI SprdsHedge3000.151282"/>
    <x v="0"/>
  </r>
  <r>
    <x v="0"/>
    <d v="2025-10-31T00:00:00"/>
    <s v="DFL"/>
    <s v="Hedge"/>
    <n v="-400"/>
    <d v="2025-12-31T00:00:00"/>
    <d v="2025-12-31T00:00:00"/>
    <n v="0.625"/>
    <n v="0.99"/>
    <n v="-146"/>
    <n v="-250"/>
    <x v="51"/>
    <s v="Sell"/>
    <n v="-396"/>
    <x v="1"/>
    <x v="1"/>
    <n v="2025"/>
    <s v="Sell"/>
    <x v="0"/>
    <s v="UnallocatedDFLHedge-4000.991283"/>
    <x v="0"/>
  </r>
  <r>
    <x v="0"/>
    <d v="2025-11-05T00:00:00"/>
    <s v="DFL"/>
    <s v="Hedge"/>
    <n v="-401"/>
    <d v="2025-12-31T00:00:00"/>
    <d v="2025-12-31T00:00:00"/>
    <n v="0.46"/>
    <n v="0.99"/>
    <n v="-212.53"/>
    <n v="-184.46"/>
    <x v="51"/>
    <s v="Sell"/>
    <n v="-396.99"/>
    <x v="1"/>
    <x v="1"/>
    <n v="2025"/>
    <s v="Sell"/>
    <x v="0"/>
    <s v="UnallocatedDFLHedge-4010.991284"/>
    <x v="0"/>
  </r>
  <r>
    <x v="0"/>
    <d v="2025-11-05T00:00:00"/>
    <s v="WTI Sprds"/>
    <s v="Hedge"/>
    <n v="-843"/>
    <d v="2025-12-31T00:00:00"/>
    <d v="2026-01-31T00:00:00"/>
    <n v="0.17999999999999972"/>
    <n v="0.19"/>
    <n v="-8.4300000000002413"/>
    <n v="-151.73999999999975"/>
    <x v="1"/>
    <s v="Sell"/>
    <n v="-160.17000000000002"/>
    <x v="0"/>
    <x v="0"/>
    <n v="2025"/>
    <s v="Sell"/>
    <x v="0"/>
    <s v="UnallocatedWTI SprdsHedge-8430.191285"/>
    <x v="0"/>
  </r>
  <r>
    <x v="0"/>
    <d v="2025-11-05T00:00:00"/>
    <s v="WTI Sprds"/>
    <s v="Hedge"/>
    <n v="1093"/>
    <d v="2026-01-31T00:00:00"/>
    <d v="2026-02-28T00:00:00"/>
    <n v="0.14999999999999858"/>
    <n v="0.15"/>
    <n v="1.5471790515420025E-12"/>
    <n v="163.94999999999845"/>
    <x v="53"/>
    <s v="Buy"/>
    <n v="163.95"/>
    <x v="0"/>
    <x v="0"/>
    <n v="2026"/>
    <s v="Buy"/>
    <x v="0"/>
    <s v="UnallocatedWTI SprdsHedge10930.151286"/>
    <x v="0"/>
  </r>
  <r>
    <x v="80"/>
    <d v="2025-11-05T00:00:00"/>
    <s v="WTI-Brent"/>
    <s v="Hedge"/>
    <n v="1200"/>
    <d v="2026-01-31T00:00:00"/>
    <d v="2026-01-31T00:00:00"/>
    <n v="-4.1000000000000014"/>
    <n v="-4.6500000000000004"/>
    <n v="-659.99999999999875"/>
    <n v="-4920.0000000000018"/>
    <x v="52"/>
    <s v="Buy"/>
    <n v="-5580"/>
    <x v="1"/>
    <x v="3"/>
    <n v="2026"/>
    <s v="Buy"/>
    <x v="0"/>
    <s v="Dec25 EFP 2WTI-BrentHedge1200-4.651287"/>
    <x v="0"/>
  </r>
  <r>
    <x v="80"/>
    <d v="2025-11-05T00:00:00"/>
    <s v="Brent Sprds"/>
    <s v="Hedge"/>
    <n v="-900"/>
    <d v="2026-01-31T00:00:00"/>
    <d v="2026-02-28T00:00:00"/>
    <n v="0.35"/>
    <n v="0.82"/>
    <n v="-423"/>
    <n v="-315"/>
    <x v="53"/>
    <s v="Sell"/>
    <n v="-738"/>
    <x v="0"/>
    <x v="2"/>
    <n v="2026"/>
    <s v="Sell"/>
    <x v="0"/>
    <s v="Dec25 EFP 2Brent SprdsHedge-9000.821288"/>
    <x v="0"/>
  </r>
  <r>
    <x v="80"/>
    <d v="2025-11-05T00:00:00"/>
    <s v="WTI-Brent"/>
    <s v="Hedge"/>
    <n v="893"/>
    <d v="2026-01-31T00:00:00"/>
    <d v="2026-01-31T00:00:00"/>
    <n v="-4.1500000000000004"/>
    <n v="-4.6500000000000004"/>
    <n v="-446.5"/>
    <n v="-3705.9500000000003"/>
    <x v="52"/>
    <s v="Buy"/>
    <n v="-4152.4500000000007"/>
    <x v="1"/>
    <x v="3"/>
    <n v="2026"/>
    <s v="Buy"/>
    <x v="0"/>
    <s v="Dec25 EFP 2WTI-BrentHedge893-4.651289"/>
    <x v="0"/>
  </r>
  <r>
    <x v="81"/>
    <d v="2025-11-12T00:00:00"/>
    <s v="Physical"/>
    <s v="Expo"/>
    <n v="2100"/>
    <d v="2025-12-31T00:00:00"/>
    <d v="2025-12-31T00:00:00"/>
    <n v="4.540588235294118"/>
    <n v="4.8099999999999996"/>
    <n v="565.76470588235134"/>
    <n v="9535.2352941176487"/>
    <x v="51"/>
    <s v="Buy"/>
    <n v="10101"/>
    <x v="2"/>
    <x v="4"/>
    <n v="2025"/>
    <s v="Buy"/>
    <x v="1"/>
    <s v="HDO Feb26 5-15PhysicalExpo21004.811290"/>
    <x v="0"/>
  </r>
  <r>
    <x v="81"/>
    <d v="2025-11-12T00:00:00"/>
    <s v="WTI Sprds"/>
    <s v="Expo"/>
    <n v="-2100"/>
    <d v="2025-12-31T00:00:00"/>
    <d v="2026-01-31T00:00:00"/>
    <n v="0.02"/>
    <n v="0.19"/>
    <n v="-357"/>
    <n v="-42"/>
    <x v="1"/>
    <s v="Sell"/>
    <n v="-399"/>
    <x v="0"/>
    <x v="0"/>
    <n v="2025"/>
    <s v="Sell"/>
    <x v="0"/>
    <s v="HDO Feb26 5-15WTI SprdsExpo-21000.191291"/>
    <x v="0"/>
  </r>
  <r>
    <x v="81"/>
    <d v="2025-11-12T00:00:00"/>
    <s v="WTI Sprds"/>
    <s v="Expo"/>
    <n v="-2100"/>
    <d v="2026-01-31T00:00:00"/>
    <d v="2026-02-28T00:00:00"/>
    <n v="0.08"/>
    <n v="0.15"/>
    <n v="-146.99999999999997"/>
    <n v="-168"/>
    <x v="53"/>
    <s v="Sell"/>
    <n v="-315"/>
    <x v="0"/>
    <x v="0"/>
    <n v="2026"/>
    <s v="Sell"/>
    <x v="0"/>
    <s v="HDO Feb26 5-15WTI SprdsExpo-21000.151292"/>
    <x v="0"/>
  </r>
  <r>
    <x v="81"/>
    <d v="2025-11-12T00:00:00"/>
    <s v="WTI-Brent"/>
    <s v="Expo"/>
    <n v="-2100"/>
    <d v="2026-02-28T00:00:00"/>
    <d v="2026-02-28T00:00:00"/>
    <n v="-3.98"/>
    <n v="-3.97"/>
    <n v="-20.999999999999552"/>
    <n v="8358"/>
    <x v="54"/>
    <s v="Sell"/>
    <n v="8337"/>
    <x v="1"/>
    <x v="3"/>
    <n v="2026"/>
    <s v="Sell"/>
    <x v="1"/>
    <s v="HDO Feb26 5-15WTI-BrentExpo-2100-3.971293"/>
    <x v="0"/>
  </r>
  <r>
    <x v="81"/>
    <d v="2025-11-12T00:00:00"/>
    <s v="Brent Sprds"/>
    <s v="Expo"/>
    <n v="-2005"/>
    <d v="2026-02-28T00:00:00"/>
    <d v="2026-03-31T00:00:00"/>
    <n v="0.15"/>
    <n v="0.59"/>
    <n v="-882.19999999999993"/>
    <n v="-300.75"/>
    <x v="55"/>
    <s v="Sell"/>
    <n v="-1182.95"/>
    <x v="0"/>
    <x v="2"/>
    <n v="2026"/>
    <s v="Sell"/>
    <x v="1"/>
    <s v="HDO Feb26 5-15Brent SprdsExpo-20050.591294"/>
    <x v="0"/>
  </r>
  <r>
    <x v="81"/>
    <d v="2025-11-12T00:00:00"/>
    <s v="Brent Sprds"/>
    <s v="Expo"/>
    <n v="-95"/>
    <d v="2026-03-31T00:00:00"/>
    <d v="2026-04-30T00:00:00"/>
    <n v="0.05"/>
    <n v="0.63"/>
    <n v="-55.099999999999994"/>
    <n v="-4.75"/>
    <x v="56"/>
    <s v="Sell"/>
    <n v="-59.85"/>
    <x v="0"/>
    <x v="2"/>
    <n v="2026"/>
    <s v="Sell"/>
    <x v="1"/>
    <s v="HDO Feb26 5-15Brent SprdsExpo-950.631295"/>
    <x v="0"/>
  </r>
  <r>
    <x v="81"/>
    <d v="2025-11-12T00:00:00"/>
    <s v="Freight-TD22"/>
    <s v="Expo"/>
    <n v="-2000"/>
    <d v="2025-12-31T00:00:00"/>
    <d v="2025-12-31T00:00:00"/>
    <n v="13750"/>
    <n v="13750"/>
    <n v="0"/>
    <n v="0"/>
    <x v="51"/>
    <s v="Sell"/>
    <n v="-27500000"/>
    <x v="3"/>
    <x v="5"/>
    <n v="2025"/>
    <s v="Sell"/>
    <x v="0"/>
    <s v="HDO Feb26 5-15Freight-TD22Expo-2000137501296"/>
    <x v="0"/>
  </r>
  <r>
    <x v="81"/>
    <d v="2025-11-12T00:00:00"/>
    <s v="Freight-TD22"/>
    <s v="Expo"/>
    <n v="2000"/>
    <d v="2025-12-31T00:00:00"/>
    <d v="2025-12-31T00:00:00"/>
    <n v="13250"/>
    <n v="13750"/>
    <n v="500"/>
    <n v="500"/>
    <x v="51"/>
    <s v="Buy"/>
    <n v="27500000"/>
    <x v="3"/>
    <x v="5"/>
    <n v="2025"/>
    <s v="Buy"/>
    <x v="0"/>
    <s v="HDO Feb26 5-15Freight-TD22Expo2000137501297"/>
    <x v="0"/>
  </r>
  <r>
    <x v="81"/>
    <d v="2025-11-11T00:00:00"/>
    <s v="WTI Sprds"/>
    <s v="Hedge"/>
    <n v="725"/>
    <d v="2025-12-31T00:00:00"/>
    <d v="2026-01-31T00:00:00"/>
    <n v="4.9999999999997158E-2"/>
    <n v="0.19"/>
    <n v="101.50000000000206"/>
    <n v="36.249999999997939"/>
    <x v="1"/>
    <s v="Buy"/>
    <n v="137.75"/>
    <x v="0"/>
    <x v="0"/>
    <n v="2025"/>
    <s v="Buy"/>
    <x v="0"/>
    <s v="HDO Feb26 5-15WTI SprdsHedge7250.191298"/>
    <x v="0"/>
  </r>
  <r>
    <x v="81"/>
    <d v="2025-11-11T00:00:00"/>
    <s v="WTI Sprds"/>
    <s v="Hedge"/>
    <n v="725"/>
    <d v="2026-01-31T00:00:00"/>
    <d v="2026-02-28T00:00:00"/>
    <n v="0.12000000000000455"/>
    <n v="0.15"/>
    <n v="21.7499999999967"/>
    <n v="87.000000000003297"/>
    <x v="53"/>
    <s v="Buy"/>
    <n v="108.75"/>
    <x v="0"/>
    <x v="0"/>
    <n v="2026"/>
    <s v="Buy"/>
    <x v="0"/>
    <s v="HDO Feb26 5-15WTI SprdsHedge7250.151299"/>
    <x v="0"/>
  </r>
  <r>
    <x v="81"/>
    <d v="2025-11-11T00:00:00"/>
    <s v="WTI-Brent"/>
    <s v="Hedge"/>
    <n v="725"/>
    <d v="2026-02-28T00:00:00"/>
    <d v="2026-02-28T00:00:00"/>
    <n v="-4.0000000000000071"/>
    <n v="-3.97"/>
    <n v="21.750000000005009"/>
    <n v="-2900.000000000005"/>
    <x v="54"/>
    <s v="Buy"/>
    <n v="-2878.25"/>
    <x v="1"/>
    <x v="3"/>
    <n v="2026"/>
    <s v="Buy"/>
    <x v="1"/>
    <s v="HDO Feb26 5-15WTI-BrentHedge725-3.971300"/>
    <x v="0"/>
  </r>
  <r>
    <x v="81"/>
    <d v="2025-11-12T00:00:00"/>
    <s v="WTI Sprds"/>
    <s v="Hedge"/>
    <n v="1400"/>
    <d v="2025-12-31T00:00:00"/>
    <d v="2026-01-31T00:00:00"/>
    <n v="0"/>
    <n v="0.19"/>
    <n v="266"/>
    <n v="0"/>
    <x v="1"/>
    <s v="Buy"/>
    <n v="266"/>
    <x v="0"/>
    <x v="0"/>
    <n v="2025"/>
    <s v="Buy"/>
    <x v="0"/>
    <s v="HDO Feb26 5-15WTI SprdsHedge14000.191301"/>
    <x v="0"/>
  </r>
  <r>
    <x v="81"/>
    <d v="2025-11-12T00:00:00"/>
    <s v="WTI Sprds"/>
    <s v="Hedge"/>
    <n v="1400"/>
    <d v="2026-01-31T00:00:00"/>
    <d v="2026-02-28T00:00:00"/>
    <n v="7.0000000000000284E-2"/>
    <n v="0.15"/>
    <n v="111.99999999999959"/>
    <n v="98.000000000000398"/>
    <x v="53"/>
    <s v="Buy"/>
    <n v="210"/>
    <x v="0"/>
    <x v="0"/>
    <n v="2026"/>
    <s v="Buy"/>
    <x v="0"/>
    <s v="HDO Feb26 5-15WTI SprdsHedge14000.151302"/>
    <x v="0"/>
  </r>
  <r>
    <x v="81"/>
    <d v="2025-11-12T00:00:00"/>
    <s v="WTI-Brent"/>
    <s v="Hedge"/>
    <n v="1400"/>
    <d v="2026-02-28T00:00:00"/>
    <d v="2026-02-28T00:00:00"/>
    <n v="-4.0300000000000011"/>
    <n v="-3.97"/>
    <n v="84.000000000001322"/>
    <n v="-5642.0000000000018"/>
    <x v="54"/>
    <s v="Buy"/>
    <n v="-5558"/>
    <x v="1"/>
    <x v="3"/>
    <n v="2026"/>
    <s v="Buy"/>
    <x v="1"/>
    <s v="HDO Feb26 5-15WTI-BrentHedge1400-3.971303"/>
    <x v="0"/>
  </r>
  <r>
    <x v="0"/>
    <d v="2025-11-12T00:00:00"/>
    <s v="Physical"/>
    <s v="Expo"/>
    <n v="-700"/>
    <d v="2025-12-31T00:00:00"/>
    <d v="2025-12-31T00:00:00"/>
    <n v="-2.8"/>
    <n v="-3"/>
    <n v="140.00000000000011"/>
    <n v="1959.9999999999998"/>
    <x v="51"/>
    <s v="Sell"/>
    <n v="2100"/>
    <x v="2"/>
    <x v="4"/>
    <n v="2025"/>
    <s v="Sell"/>
    <x v="1"/>
    <s v="UnallocatedPhysicalExpo-700-31304"/>
    <x v="0"/>
  </r>
  <r>
    <x v="81"/>
    <d v="2025-11-17T00:00:00"/>
    <s v="Brent Sprds"/>
    <s v="Hedge"/>
    <n v="200"/>
    <d v="2026-02-28T00:00:00"/>
    <d v="2026-03-31T00:00:00"/>
    <n v="0.25"/>
    <n v="0.59"/>
    <n v="68"/>
    <n v="50"/>
    <x v="55"/>
    <s v="Buy"/>
    <n v="118"/>
    <x v="0"/>
    <x v="2"/>
    <n v="2026"/>
    <s v="Buy"/>
    <x v="1"/>
    <s v="HDO Feb26 5-15Brent SprdsHedge2000.591305"/>
    <x v="0"/>
  </r>
  <r>
    <x v="81"/>
    <d v="2025-11-17T00:00:00"/>
    <s v="Brent Sprds"/>
    <s v="Hedge"/>
    <n v="200"/>
    <d v="2026-02-28T00:00:00"/>
    <d v="2026-03-31T00:00:00"/>
    <n v="0.24"/>
    <n v="0.59"/>
    <n v="70"/>
    <n v="48"/>
    <x v="55"/>
    <s v="Buy"/>
    <n v="118"/>
    <x v="0"/>
    <x v="2"/>
    <n v="2026"/>
    <s v="Buy"/>
    <x v="1"/>
    <s v="HDO Feb26 5-15Brent SprdsHedge2000.591306"/>
    <x v="0"/>
  </r>
  <r>
    <x v="42"/>
    <d v="2025-11-18T00:00:00"/>
    <s v="Physical"/>
    <s v="Expo"/>
    <n v="700"/>
    <d v="2025-12-31T00:00:00"/>
    <d v="2025-12-31T00:00:00"/>
    <n v="-2.5499999999999998"/>
    <n v="-2.5"/>
    <n v="34.999999999999872"/>
    <n v="-1784.9999999999998"/>
    <x v="51"/>
    <s v="Buy"/>
    <n v="-1750"/>
    <x v="2"/>
    <x v="4"/>
    <n v="2025"/>
    <s v="Buy"/>
    <x v="1"/>
    <s v="PhysicalExpo700-2.51307"/>
    <x v="2"/>
  </r>
  <r>
    <x v="42"/>
    <d v="2025-11-18T00:00:00"/>
    <s v="WTI Sprds"/>
    <s v="Expo"/>
    <n v="-700"/>
    <d v="2025-12-31T00:00:00"/>
    <d v="2026-01-31T00:00:00"/>
    <n v="0.08"/>
    <n v="0.19"/>
    <n v="-77"/>
    <n v="-56"/>
    <x v="1"/>
    <s v="Sell"/>
    <n v="-133"/>
    <x v="0"/>
    <x v="0"/>
    <n v="2025"/>
    <s v="Sell"/>
    <x v="0"/>
    <s v="WTI SprdsExpo-7000.191308"/>
    <x v="2"/>
  </r>
  <r>
    <x v="42"/>
    <d v="2025-11-18T00:00:00"/>
    <s v="WTI Sprds"/>
    <s v="Expo"/>
    <n v="-700"/>
    <d v="2026-01-31T00:00:00"/>
    <d v="2026-02-28T00:00:00"/>
    <n v="0.22"/>
    <n v="0.15"/>
    <n v="49.000000000000007"/>
    <n v="-154"/>
    <x v="53"/>
    <s v="Sell"/>
    <n v="-105"/>
    <x v="0"/>
    <x v="0"/>
    <n v="2026"/>
    <s v="Sell"/>
    <x v="0"/>
    <s v="WTI SprdsExpo-7000.151309"/>
    <x v="2"/>
  </r>
  <r>
    <x v="42"/>
    <d v="2025-11-18T00:00:00"/>
    <s v="WTI-Brent"/>
    <s v="Expo"/>
    <n v="-700"/>
    <d v="2026-02-28T00:00:00"/>
    <d v="2026-02-28T00:00:00"/>
    <n v="-4"/>
    <n v="-3.97"/>
    <n v="-20.999999999999865"/>
    <n v="2800"/>
    <x v="54"/>
    <s v="Sell"/>
    <n v="2779"/>
    <x v="1"/>
    <x v="3"/>
    <n v="2026"/>
    <s v="Sell"/>
    <x v="1"/>
    <s v="WTI-BrentExpo-700-3.971310"/>
    <x v="2"/>
  </r>
  <r>
    <x v="42"/>
    <d v="2025-11-18T00:00:00"/>
    <s v="WTI Sprds"/>
    <s v="Hedge"/>
    <n v="1000"/>
    <d v="2025-12-31T00:00:00"/>
    <d v="2026-01-31T00:00:00"/>
    <n v="0.13"/>
    <n v="0.19"/>
    <n v="60"/>
    <n v="130"/>
    <x v="1"/>
    <s v="Buy"/>
    <n v="190"/>
    <x v="0"/>
    <x v="0"/>
    <n v="2025"/>
    <s v="Buy"/>
    <x v="0"/>
    <s v="WTI SprdsHedge10000.191311"/>
    <x v="2"/>
  </r>
  <r>
    <x v="42"/>
    <d v="2025-11-18T00:00:00"/>
    <s v="WTI Sprds"/>
    <s v="Hedge"/>
    <n v="-1000"/>
    <d v="2026-01-31T00:00:00"/>
    <d v="2026-02-28T00:00:00"/>
    <n v="0.24"/>
    <n v="0.15"/>
    <n v="90"/>
    <n v="-240"/>
    <x v="53"/>
    <s v="Sell"/>
    <n v="-150"/>
    <x v="0"/>
    <x v="0"/>
    <n v="2026"/>
    <s v="Sell"/>
    <x v="0"/>
    <s v="WTI SprdsHedge-10000.151312"/>
    <x v="2"/>
  </r>
  <r>
    <x v="0"/>
    <d v="2025-11-18T00:00:00"/>
    <s v="DFL"/>
    <s v="Hedge"/>
    <n v="-400"/>
    <d v="2025-12-31T00:00:00"/>
    <d v="2025-12-31T00:00:00"/>
    <n v="0.6"/>
    <n v="0.99"/>
    <n v="-156"/>
    <n v="-240"/>
    <x v="51"/>
    <s v="Sell"/>
    <n v="-396"/>
    <x v="1"/>
    <x v="1"/>
    <n v="2025"/>
    <s v="Sell"/>
    <x v="0"/>
    <s v="UnallocatedDFLHedge-4000.991313"/>
    <x v="0"/>
  </r>
  <r>
    <x v="0"/>
    <d v="2025-11-18T00:00:00"/>
    <s v="DFL"/>
    <s v="Hedge"/>
    <n v="-350"/>
    <d v="2025-12-31T00:00:00"/>
    <d v="2025-12-31T00:00:00"/>
    <n v="0.59"/>
    <n v="0.99"/>
    <n v="-140"/>
    <n v="-206.5"/>
    <x v="51"/>
    <s v="Sell"/>
    <n v="-346.5"/>
    <x v="1"/>
    <x v="1"/>
    <n v="2025"/>
    <s v="Sell"/>
    <x v="0"/>
    <s v="UnallocatedDFLHedge-3500.991314"/>
    <x v="0"/>
  </r>
  <r>
    <x v="42"/>
    <d v="2025-11-18T00:00:00"/>
    <s v="WTI-Brent"/>
    <s v="Hedge"/>
    <n v="350"/>
    <d v="2026-02-28T00:00:00"/>
    <d v="2026-02-28T00:00:00"/>
    <n v="-4.0200000000000005"/>
    <n v="-3.97"/>
    <n v="17.500000000000092"/>
    <n v="-1407.0000000000002"/>
    <x v="54"/>
    <s v="Buy"/>
    <n v="-1389.5"/>
    <x v="1"/>
    <x v="3"/>
    <n v="2026"/>
    <s v="Buy"/>
    <x v="1"/>
    <s v="WTI-BrentHedge350-3.971315"/>
    <x v="2"/>
  </r>
  <r>
    <x v="42"/>
    <d v="2025-11-18T00:00:00"/>
    <s v="WTI-Brent"/>
    <s v="Hedge"/>
    <n v="-350"/>
    <d v="2026-06-30T00:00:00"/>
    <d v="2026-06-30T00:00:00"/>
    <n v="-3.68"/>
    <n v="-3.65"/>
    <n v="-10.500000000000087"/>
    <n v="1288"/>
    <x v="57"/>
    <s v="Sell"/>
    <n v="1277.5"/>
    <x v="1"/>
    <x v="3"/>
    <n v="2026"/>
    <s v="Sell"/>
    <x v="1"/>
    <s v="WTI-BrentHedge-350-3.651316"/>
    <x v="2"/>
  </r>
  <r>
    <x v="42"/>
    <d v="2025-11-19T00:00:00"/>
    <s v="WTI-Brent"/>
    <s v="Hedge"/>
    <n v="500"/>
    <d v="2026-02-28T00:00:00"/>
    <d v="2026-02-28T00:00:00"/>
    <n v="-4"/>
    <n v="-3.97"/>
    <n v="14.999999999999902"/>
    <n v="-2000"/>
    <x v="54"/>
    <s v="Buy"/>
    <n v="-1985"/>
    <x v="1"/>
    <x v="3"/>
    <n v="2026"/>
    <s v="Buy"/>
    <x v="1"/>
    <s v="WTI-BrentHedge500-3.971317"/>
    <x v="2"/>
  </r>
  <r>
    <x v="42"/>
    <d v="2025-11-19T00:00:00"/>
    <s v="WTI-Brent"/>
    <s v="Hedge"/>
    <n v="-500"/>
    <d v="2026-06-30T00:00:00"/>
    <d v="2026-06-30T00:00:00"/>
    <n v="-3.6520000000000001"/>
    <n v="-3.65"/>
    <n v="-1.0000000000001119"/>
    <n v="1826"/>
    <x v="57"/>
    <s v="Sell"/>
    <n v="1825"/>
    <x v="1"/>
    <x v="3"/>
    <n v="2026"/>
    <s v="Sell"/>
    <x v="1"/>
    <s v="WTI-BrentHedge-500-3.651318"/>
    <x v="2"/>
  </r>
  <r>
    <x v="0"/>
    <d v="2025-11-19T00:00:00"/>
    <s v="DFL"/>
    <s v="Hedge"/>
    <n v="-400"/>
    <d v="2025-12-31T00:00:00"/>
    <d v="2025-12-31T00:00:00"/>
    <n v="0.62"/>
    <n v="0.99"/>
    <n v="-148"/>
    <n v="-248"/>
    <x v="51"/>
    <s v="Sell"/>
    <n v="-396"/>
    <x v="1"/>
    <x v="1"/>
    <n v="2025"/>
    <s v="Sell"/>
    <x v="0"/>
    <s v="UnallocatedDFLHedge-4000.991319"/>
    <x v="0"/>
  </r>
  <r>
    <x v="0"/>
    <d v="2025-11-19T00:00:00"/>
    <s v="DFL"/>
    <s v="Hedge"/>
    <n v="-500"/>
    <d v="2025-12-31T00:00:00"/>
    <d v="2025-12-31T00:00:00"/>
    <n v="0.7"/>
    <n v="0.99"/>
    <n v="-145.00000000000003"/>
    <n v="-350"/>
    <x v="51"/>
    <s v="Sell"/>
    <n v="-495"/>
    <x v="1"/>
    <x v="1"/>
    <n v="2025"/>
    <s v="Sell"/>
    <x v="0"/>
    <s v="UnallocatedDFLHedge-5000.991320"/>
    <x v="0"/>
  </r>
  <r>
    <x v="82"/>
    <d v="2025-11-19T00:00:00"/>
    <s v="Physical"/>
    <s v="Expo"/>
    <n v="700"/>
    <d v="2025-12-31T00:00:00"/>
    <d v="2025-12-31T00:00:00"/>
    <n v="1.7800000000000007"/>
    <n v="1.86"/>
    <n v="55.999999999999581"/>
    <n v="1246.0000000000005"/>
    <x v="51"/>
    <s v="Buy"/>
    <n v="1302"/>
    <x v="2"/>
    <x v="4"/>
    <n v="2025"/>
    <s v="Buy"/>
    <x v="1"/>
    <s v="Exxon CIF Rotts Jan 2-6PhysicalExpo7001.861321"/>
    <x v="1"/>
  </r>
  <r>
    <x v="82"/>
    <d v="2025-11-19T00:00:00"/>
    <s v="WTI Sprds"/>
    <s v="Expo"/>
    <n v="-700"/>
    <d v="2025-12-31T00:00:00"/>
    <d v="2026-01-31T00:00:00"/>
    <n v="0.18"/>
    <n v="0.19"/>
    <n v="-7.0000000000000062"/>
    <n v="-126"/>
    <x v="1"/>
    <s v="Sell"/>
    <n v="-133"/>
    <x v="0"/>
    <x v="0"/>
    <n v="2025"/>
    <s v="Sell"/>
    <x v="0"/>
    <s v="Exxon CIF Rotts Jan 2-6WTI SprdsExpo-7000.191322"/>
    <x v="1"/>
  </r>
  <r>
    <x v="82"/>
    <d v="2025-11-19T00:00:00"/>
    <s v="WTI Sprds"/>
    <s v="Expo"/>
    <n v="-700"/>
    <d v="2026-01-31T00:00:00"/>
    <d v="2026-02-28T00:00:00"/>
    <n v="0.27"/>
    <n v="0.15"/>
    <n v="84.000000000000014"/>
    <n v="-189"/>
    <x v="53"/>
    <s v="Sell"/>
    <n v="-105"/>
    <x v="0"/>
    <x v="0"/>
    <n v="2026"/>
    <s v="Sell"/>
    <x v="0"/>
    <s v="Exxon CIF Rotts Jan 2-6WTI SprdsExpo-7000.151323"/>
    <x v="1"/>
  </r>
  <r>
    <x v="82"/>
    <d v="2025-11-19T00:00:00"/>
    <s v="WTI-Brent"/>
    <s v="Expo"/>
    <n v="-700"/>
    <d v="2026-02-28T00:00:00"/>
    <d v="2026-02-28T00:00:00"/>
    <n v="-4.0199999999999996"/>
    <n v="-3.97"/>
    <n v="-34.999999999999567"/>
    <n v="2813.9999999999995"/>
    <x v="54"/>
    <s v="Sell"/>
    <n v="2779"/>
    <x v="1"/>
    <x v="3"/>
    <n v="2026"/>
    <s v="Sell"/>
    <x v="1"/>
    <s v="Exxon CIF Rotts Jan 2-6WTI-BrentExpo-700-3.971324"/>
    <x v="1"/>
  </r>
  <r>
    <x v="82"/>
    <d v="2025-11-19T00:00:00"/>
    <s v="Brent Sprds"/>
    <s v="Expo"/>
    <n v="-700"/>
    <d v="2026-02-28T00:00:00"/>
    <d v="2026-03-31T00:00:00"/>
    <n v="0.33"/>
    <n v="0.59"/>
    <n v="-181.99999999999997"/>
    <n v="-231"/>
    <x v="55"/>
    <s v="Sell"/>
    <n v="-413"/>
    <x v="0"/>
    <x v="2"/>
    <n v="2026"/>
    <s v="Sell"/>
    <x v="1"/>
    <s v="Exxon CIF Rotts Jan 2-6Brent SprdsExpo-7000.591325"/>
    <x v="1"/>
  </r>
  <r>
    <x v="82"/>
    <d v="2025-11-19T00:00:00"/>
    <s v="DFL"/>
    <s v="Expo"/>
    <n v="700"/>
    <d v="2026-01-31T00:00:00"/>
    <d v="2026-01-31T00:00:00"/>
    <n v="0.4"/>
    <n v="1.83"/>
    <n v="1001.0000000000001"/>
    <n v="280"/>
    <x v="52"/>
    <s v="Buy"/>
    <n v="1281"/>
    <x v="1"/>
    <x v="1"/>
    <n v="2026"/>
    <s v="Buy"/>
    <x v="1"/>
    <s v="Exxon CIF Rotts Jan 2-6DFLExpo7001.831326"/>
    <x v="1"/>
  </r>
  <r>
    <x v="82"/>
    <d v="2025-11-19T00:00:00"/>
    <s v="WTI Sprds"/>
    <s v="Hedge"/>
    <n v="700"/>
    <d v="2025-12-31T00:00:00"/>
    <d v="2026-01-31T00:00:00"/>
    <n v="0.19"/>
    <n v="0.19"/>
    <n v="0"/>
    <n v="133"/>
    <x v="1"/>
    <s v="Buy"/>
    <n v="133"/>
    <x v="0"/>
    <x v="0"/>
    <n v="2025"/>
    <s v="Buy"/>
    <x v="0"/>
    <s v="Exxon CIF Rotts Jan 2-6WTI SprdsHedge7000.191327"/>
    <x v="1"/>
  </r>
  <r>
    <x v="0"/>
    <d v="2025-11-19T00:00:00"/>
    <s v="WTI Sprds"/>
    <s v="Expo"/>
    <n v="-1400"/>
    <d v="2025-12-31T00:00:00"/>
    <d v="2026-01-31T00:00:00"/>
    <n v="0.19"/>
    <n v="0.19"/>
    <n v="0"/>
    <n v="-266"/>
    <x v="1"/>
    <s v="Sell"/>
    <n v="-266"/>
    <x v="0"/>
    <x v="0"/>
    <n v="2025"/>
    <s v="Sell"/>
    <x v="0"/>
    <s v="UnallocatedWTI SprdsExpo-14000.191328"/>
    <x v="0"/>
  </r>
  <r>
    <x v="0"/>
    <d v="2025-11-19T00:00:00"/>
    <s v="WTI Sprds"/>
    <s v="Hedge"/>
    <n v="1075"/>
    <d v="2025-12-31T00:00:00"/>
    <d v="2026-01-31T00:00:00"/>
    <n v="0.19"/>
    <n v="0.19"/>
    <n v="0"/>
    <n v="204.25"/>
    <x v="1"/>
    <s v="Buy"/>
    <n v="204.25"/>
    <x v="0"/>
    <x v="0"/>
    <n v="2025"/>
    <s v="Buy"/>
    <x v="0"/>
    <s v="UnallocatedWTI SprdsHedge10750.191329"/>
    <x v="0"/>
  </r>
  <r>
    <x v="0"/>
    <d v="2025-11-19T00:00:00"/>
    <s v="WTI-Brent"/>
    <s v="Hedge"/>
    <n v="107"/>
    <d v="2026-01-31T00:00:00"/>
    <d v="2026-01-31T00:00:00"/>
    <n v="-4.25"/>
    <n v="-4.6500000000000004"/>
    <n v="-42.80000000000004"/>
    <n v="-454.75"/>
    <x v="52"/>
    <s v="Buy"/>
    <n v="-497.55"/>
    <x v="1"/>
    <x v="3"/>
    <n v="2026"/>
    <s v="Buy"/>
    <x v="0"/>
    <s v="UnallocatedWTI-BrentHedge107-4.651330"/>
    <x v="0"/>
  </r>
  <r>
    <x v="79"/>
    <d v="2025-11-20T00:00:00"/>
    <s v="Freight-TD25"/>
    <s v="Expo"/>
    <n v="-700"/>
    <d v="2025-12-31T00:00:00"/>
    <d v="2025-12-31T00:00:00"/>
    <n v="208"/>
    <n v="208.93"/>
    <n v="-13.020000000000095"/>
    <n v="-145600"/>
    <x v="51"/>
    <s v="Sell"/>
    <n v="-146251"/>
    <x v="3"/>
    <x v="5"/>
    <n v="2025"/>
    <s v="Sell"/>
    <x v="0"/>
    <s v="Dec25 EFP 1Freight-TD25Expo-700208.931331"/>
    <x v="0"/>
  </r>
  <r>
    <x v="79"/>
    <d v="2025-11-20T00:00:00"/>
    <s v="Freight-TD25"/>
    <s v="Hedge"/>
    <n v="700"/>
    <d v="2025-12-31T00:00:00"/>
    <d v="2025-12-31T00:00:00"/>
    <n v="205"/>
    <n v="208.93"/>
    <n v="55.020000000000103"/>
    <n v="143500"/>
    <x v="51"/>
    <s v="Buy"/>
    <n v="146251"/>
    <x v="3"/>
    <x v="5"/>
    <n v="2025"/>
    <s v="Buy"/>
    <x v="0"/>
    <s v="Dec25 EFP 1Freight-TD25Hedge700208.931332"/>
    <x v="0"/>
  </r>
  <r>
    <x v="79"/>
    <d v="2025-11-20T00:00:00"/>
    <s v="Freight-TD25"/>
    <s v="Expo"/>
    <n v="-250"/>
    <d v="2025-12-31T00:00:00"/>
    <d v="2025-12-31T00:00:00"/>
    <n v="219"/>
    <n v="208.93"/>
    <n v="50.349999999999966"/>
    <n v="-54750"/>
    <x v="51"/>
    <s v="Sell"/>
    <n v="-52232.5"/>
    <x v="3"/>
    <x v="5"/>
    <n v="2025"/>
    <s v="Sell"/>
    <x v="0"/>
    <s v="Dec25 EFP 1Freight-TD25Expo-250208.931333"/>
    <x v="0"/>
  </r>
  <r>
    <x v="0"/>
    <d v="2025-11-21T00:00:00"/>
    <s v="Brent Sprds"/>
    <s v="Hedge"/>
    <n v="1000"/>
    <d v="2026-02-28T00:00:00"/>
    <d v="2026-03-31T00:00:00"/>
    <n v="0.34"/>
    <n v="0.59"/>
    <n v="249.99999999999994"/>
    <n v="340"/>
    <x v="55"/>
    <s v="Buy"/>
    <n v="590"/>
    <x v="0"/>
    <x v="2"/>
    <n v="2026"/>
    <s v="Buy"/>
    <x v="1"/>
    <s v="UnallocatedBrent SprdsHedge10000.591334"/>
    <x v="0"/>
  </r>
  <r>
    <x v="0"/>
    <d v="2025-11-21T00:00:00"/>
    <s v="WTI Sprds"/>
    <s v="Hedge"/>
    <n v="1000"/>
    <d v="2026-01-31T00:00:00"/>
    <d v="2026-02-28T00:00:00"/>
    <n v="0.25"/>
    <n v="0.15"/>
    <n v="-100"/>
    <n v="250"/>
    <x v="53"/>
    <s v="Buy"/>
    <n v="150"/>
    <x v="0"/>
    <x v="0"/>
    <n v="2026"/>
    <s v="Buy"/>
    <x v="0"/>
    <s v="UnallocatedWTI SprdsHedge10000.151335"/>
    <x v="0"/>
  </r>
  <r>
    <x v="0"/>
    <d v="2025-11-24T00:00:00"/>
    <s v="DFL"/>
    <s v="Hedge"/>
    <n v="1000"/>
    <d v="2025-12-31T00:00:00"/>
    <d v="2025-12-31T00:00:00"/>
    <n v="0.91"/>
    <n v="0.99"/>
    <n v="79.999999999999957"/>
    <n v="910"/>
    <x v="51"/>
    <s v="Buy"/>
    <n v="990"/>
    <x v="1"/>
    <x v="1"/>
    <n v="2025"/>
    <s v="Buy"/>
    <x v="0"/>
    <s v="UnallocatedDFLHedge10000.991336"/>
    <x v="0"/>
  </r>
  <r>
    <x v="0"/>
    <d v="2025-11-24T00:00:00"/>
    <s v="DFL"/>
    <s v="Hedge"/>
    <n v="-1000"/>
    <d v="2026-01-31T00:00:00"/>
    <d v="2026-01-31T00:00:00"/>
    <n v="0.48"/>
    <n v="1.83"/>
    <n v="-1350"/>
    <n v="-480"/>
    <x v="52"/>
    <s v="Sell"/>
    <n v="-1830"/>
    <x v="1"/>
    <x v="1"/>
    <n v="2026"/>
    <s v="Sell"/>
    <x v="1"/>
    <s v="UnallocatedDFLHedge-10001.831337"/>
    <x v="0"/>
  </r>
  <r>
    <x v="0"/>
    <d v="2025-11-24T00:00:00"/>
    <s v="CFD"/>
    <s v="Hedge"/>
    <n v="300"/>
    <s v="Dec22-Dec26"/>
    <d v="2025-12-31T00:00:00"/>
    <n v="0.56499999999999995"/>
    <n v="1.1100000000000001"/>
    <n v="163.50000000000006"/>
    <n v="169.49999999999997"/>
    <x v="51"/>
    <s v="Buy"/>
    <n v="333.00000000000006"/>
    <x v="1"/>
    <x v="1"/>
    <n v="2025"/>
    <s v="Buy"/>
    <x v="0"/>
    <s v="UnallocatedCFDHedge3001.111338"/>
    <x v="0"/>
  </r>
  <r>
    <x v="0"/>
    <d v="2025-11-24T00:00:00"/>
    <s v="DFL"/>
    <s v="Hedge"/>
    <n v="72"/>
    <d v="2025-12-31T00:00:00"/>
    <d v="2025-12-31T00:00:00"/>
    <n v="0.9"/>
    <n v="0.99"/>
    <n v="6.4799999999999978"/>
    <n v="64.8"/>
    <x v="51"/>
    <s v="Buy"/>
    <n v="71.28"/>
    <x v="1"/>
    <x v="1"/>
    <n v="2025"/>
    <s v="Buy"/>
    <x v="0"/>
    <s v="UnallocatedDFLHedge720.991339"/>
    <x v="0"/>
  </r>
  <r>
    <x v="83"/>
    <d v="2025-11-25T00:00:00"/>
    <s v="Physical"/>
    <s v="Expo"/>
    <n v="1349"/>
    <d v="2025-12-31T00:00:00"/>
    <d v="2025-12-31T00:00:00"/>
    <n v="0.75768667642752585"/>
    <n v="0.5"/>
    <n v="-347.61932650073237"/>
    <n v="1022.1193265007324"/>
    <x v="51"/>
    <s v="Buy"/>
    <n v="674.5"/>
    <x v="2"/>
    <x v="4"/>
    <n v="2025"/>
    <s v="Buy"/>
    <x v="1"/>
    <s v="Exxon CIF Rotts VLCC Jan 19-23PhysicalExpo13490.51340"/>
    <x v="1"/>
  </r>
  <r>
    <x v="83"/>
    <d v="2025-11-25T00:00:00"/>
    <s v="Physical"/>
    <s v="Expo"/>
    <n v="700"/>
    <d v="2025-12-31T00:00:00"/>
    <d v="2025-12-31T00:00:00"/>
    <n v="0.86768667642752573"/>
    <n v="0.5"/>
    <n v="-257.38067349926803"/>
    <n v="607.38067349926803"/>
    <x v="51"/>
    <s v="Buy"/>
    <n v="350"/>
    <x v="2"/>
    <x v="4"/>
    <n v="2025"/>
    <s v="Buy"/>
    <x v="1"/>
    <s v="Exxon CIF Rotts VLCC Jan 19-23PhysicalExpo7000.51341"/>
    <x v="1"/>
  </r>
  <r>
    <x v="83"/>
    <d v="2025-11-25T00:00:00"/>
    <s v="WTI Sprds"/>
    <s v="Expo"/>
    <n v="-1365"/>
    <d v="2026-01-31T00:00:00"/>
    <d v="2026-02-28T00:00:00"/>
    <n v="0.21"/>
    <n v="0.15"/>
    <n v="81.899999999999991"/>
    <n v="-286.64999999999998"/>
    <x v="53"/>
    <s v="Sell"/>
    <n v="-204.75"/>
    <x v="0"/>
    <x v="0"/>
    <n v="2026"/>
    <s v="Sell"/>
    <x v="0"/>
    <s v="Exxon CIF Rotts VLCC Jan 19-23WTI SprdsExpo-13650.151342"/>
    <x v="1"/>
  </r>
  <r>
    <x v="83"/>
    <d v="2025-11-25T00:00:00"/>
    <s v="WTI-Brent"/>
    <s v="Expo"/>
    <n v="-1349"/>
    <d v="2026-02-28T00:00:00"/>
    <d v="2026-02-28T00:00:00"/>
    <n v="-4.05"/>
    <n v="-3.97"/>
    <n v="-107.91999999999949"/>
    <n v="5463.45"/>
    <x v="54"/>
    <s v="Sell"/>
    <n v="5355.5300000000007"/>
    <x v="1"/>
    <x v="3"/>
    <n v="2026"/>
    <s v="Sell"/>
    <x v="1"/>
    <s v="Exxon CIF Rotts VLCC Jan 19-23WTI-BrentExpo-1349-3.971343"/>
    <x v="1"/>
  </r>
  <r>
    <x v="83"/>
    <d v="2025-11-25T00:00:00"/>
    <s v="Brent Sprds"/>
    <s v="Expo"/>
    <n v="-2049"/>
    <d v="2026-02-28T00:00:00"/>
    <d v="2026-03-31T00:00:00"/>
    <n v="0.3"/>
    <n v="0.59"/>
    <n v="-594.20999999999992"/>
    <n v="-614.69999999999993"/>
    <x v="55"/>
    <s v="Sell"/>
    <n v="-1208.9099999999999"/>
    <x v="0"/>
    <x v="2"/>
    <n v="2026"/>
    <s v="Sell"/>
    <x v="1"/>
    <s v="Exxon CIF Rotts VLCC Jan 19-23Brent SprdsExpo-20490.591344"/>
    <x v="1"/>
  </r>
  <r>
    <x v="83"/>
    <d v="2025-11-25T00:00:00"/>
    <s v="DFL"/>
    <s v="Expo"/>
    <n v="2049"/>
    <d v="2026-01-31T00:00:00"/>
    <d v="2026-01-31T00:00:00"/>
    <n v="0.45"/>
    <n v="1.83"/>
    <n v="2827.6200000000003"/>
    <n v="922.05000000000007"/>
    <x v="52"/>
    <s v="Buy"/>
    <n v="3749.67"/>
    <x v="1"/>
    <x v="1"/>
    <n v="2026"/>
    <s v="Buy"/>
    <x v="1"/>
    <s v="Exxon CIF Rotts VLCC Jan 19-23DFLExpo20491.831345"/>
    <x v="1"/>
  </r>
  <r>
    <x v="81"/>
    <d v="2025-11-25T00:00:00"/>
    <s v="WTI-Brent"/>
    <s v="Hedge"/>
    <n v="450"/>
    <d v="2026-02-28T00:00:00"/>
    <d v="2026-02-28T00:00:00"/>
    <n v="-4.1067"/>
    <n v="-3.97"/>
    <n v="61.514999999999922"/>
    <n v="-1848.0150000000001"/>
    <x v="54"/>
    <s v="Buy"/>
    <n v="-1786.5"/>
    <x v="1"/>
    <x v="3"/>
    <n v="2026"/>
    <s v="Buy"/>
    <x v="1"/>
    <s v="HDO Feb26 5-15WTI-BrentHedge450-3.971346"/>
    <x v="0"/>
  </r>
  <r>
    <x v="81"/>
    <d v="2025-11-25T00:00:00"/>
    <s v="Brent Sprds"/>
    <s v="Hedge"/>
    <n v="1000"/>
    <d v="2026-02-28T00:00:00"/>
    <d v="2026-03-31T00:00:00"/>
    <n v="0.29799999999999999"/>
    <n v="0.59"/>
    <n v="292"/>
    <n v="298"/>
    <x v="55"/>
    <s v="Buy"/>
    <n v="590"/>
    <x v="0"/>
    <x v="2"/>
    <n v="2026"/>
    <s v="Buy"/>
    <x v="1"/>
    <s v="HDO Feb26 5-15Brent SprdsHedge10000.591347"/>
    <x v="0"/>
  </r>
  <r>
    <x v="81"/>
    <d v="2025-11-25T00:00:00"/>
    <s v="WTI Sprds"/>
    <s v="Hedge"/>
    <n v="1400"/>
    <d v="2026-01-31T00:00:00"/>
    <d v="2026-02-28T00:00:00"/>
    <n v="0.2"/>
    <n v="0.15"/>
    <n v="-70.000000000000028"/>
    <n v="280"/>
    <x v="53"/>
    <s v="Buy"/>
    <n v="210"/>
    <x v="0"/>
    <x v="0"/>
    <n v="2026"/>
    <s v="Buy"/>
    <x v="0"/>
    <s v="HDO Feb26 5-15WTI SprdsHedge14000.151348"/>
    <x v="0"/>
  </r>
  <r>
    <x v="81"/>
    <d v="2025-11-25T00:00:00"/>
    <s v="WTI-Brent"/>
    <s v="Hedge"/>
    <n v="1400"/>
    <d v="2026-02-28T00:00:00"/>
    <d v="2026-02-28T00:00:00"/>
    <n v="-4.05"/>
    <n v="-3.97"/>
    <n v="111.99999999999947"/>
    <n v="-5670"/>
    <x v="54"/>
    <s v="Buy"/>
    <n v="-5558"/>
    <x v="1"/>
    <x v="3"/>
    <n v="2026"/>
    <s v="Buy"/>
    <x v="1"/>
    <s v="HDO Feb26 5-15WTI-BrentHedge1400-3.971349"/>
    <x v="0"/>
  </r>
  <r>
    <x v="0"/>
    <d v="2025-11-25T00:00:00"/>
    <s v="DFL"/>
    <s v="Hedge"/>
    <n v="188"/>
    <d v="2026-04-30T00:00:00"/>
    <d v="2026-04-30T00:00:00"/>
    <n v="0.45"/>
    <n v="0.1"/>
    <n v="-65.8"/>
    <n v="84.600000000000009"/>
    <x v="58"/>
    <s v="Buy"/>
    <n v="18.8"/>
    <x v="1"/>
    <x v="1"/>
    <n v="2026"/>
    <s v="Buy"/>
    <x v="1"/>
    <s v="UnallocatedDFLHedge1880.11350"/>
    <x v="0"/>
  </r>
  <r>
    <x v="0"/>
    <d v="2025-11-25T00:00:00"/>
    <s v="DFL"/>
    <s v="Hedge"/>
    <n v="188"/>
    <d v="2026-05-31T00:00:00"/>
    <d v="2026-05-31T00:00:00"/>
    <n v="0.45"/>
    <n v="0.1"/>
    <n v="-65.8"/>
    <n v="84.600000000000009"/>
    <x v="59"/>
    <s v="Buy"/>
    <n v="18.8"/>
    <x v="1"/>
    <x v="1"/>
    <n v="2026"/>
    <s v="Buy"/>
    <x v="1"/>
    <s v="UnallocatedDFLHedge1880.11351"/>
    <x v="0"/>
  </r>
  <r>
    <x v="0"/>
    <d v="2025-11-25T00:00:00"/>
    <s v="DFL"/>
    <s v="Hedge"/>
    <n v="188"/>
    <d v="2026-06-30T00:00:00"/>
    <d v="2026-06-30T00:00:00"/>
    <n v="0.45"/>
    <n v="0.1"/>
    <n v="-65.8"/>
    <n v="84.600000000000009"/>
    <x v="57"/>
    <s v="Buy"/>
    <n v="18.8"/>
    <x v="1"/>
    <x v="1"/>
    <n v="2026"/>
    <s v="Buy"/>
    <x v="1"/>
    <s v="UnallocatedDFLHedge1880.11352"/>
    <x v="0"/>
  </r>
  <r>
    <x v="0"/>
    <d v="2025-11-25T00:00:00"/>
    <s v="CFD"/>
    <s v="Hedge"/>
    <n v="300"/>
    <s v="Dec15-Dec19"/>
    <d v="2025-12-31T00:00:00"/>
    <n v="0.77"/>
    <n v="1.1000000000000001"/>
    <n v="99.000000000000028"/>
    <n v="231"/>
    <x v="51"/>
    <s v="Buy"/>
    <n v="330"/>
    <x v="1"/>
    <x v="1"/>
    <n v="2025"/>
    <s v="Buy"/>
    <x v="0"/>
    <s v="UnallocatedCFDHedge3001.11353"/>
    <x v="0"/>
  </r>
  <r>
    <x v="0"/>
    <d v="2025-11-25T00:00:00"/>
    <s v="CFD"/>
    <s v="Hedge"/>
    <n v="-300"/>
    <s v="Dec22-Dec26"/>
    <d v="2025-12-31T00:00:00"/>
    <n v="0.53"/>
    <n v="1.1100000000000001"/>
    <n v="-174.00000000000003"/>
    <n v="-159"/>
    <x v="51"/>
    <s v="Sell"/>
    <n v="-333.00000000000006"/>
    <x v="1"/>
    <x v="1"/>
    <n v="2025"/>
    <s v="Sell"/>
    <x v="0"/>
    <s v="UnallocatedCFDHedge-3001.111354"/>
    <x v="0"/>
  </r>
  <r>
    <x v="81"/>
    <d v="2025-11-25T00:00:00"/>
    <s v="WTI Sprds"/>
    <s v="Hedge"/>
    <n v="1000"/>
    <d v="2026-01-31T00:00:00"/>
    <d v="2026-02-28T00:00:00"/>
    <n v="0.25"/>
    <n v="0.15"/>
    <n v="-100"/>
    <n v="250"/>
    <x v="53"/>
    <s v="Buy"/>
    <n v="150"/>
    <x v="0"/>
    <x v="0"/>
    <n v="2026"/>
    <s v="Buy"/>
    <x v="0"/>
    <s v="HDO Feb26 5-15WTI SprdsHedge10000.151355"/>
    <x v="0"/>
  </r>
  <r>
    <x v="83"/>
    <d v="2025-11-25T00:00:00"/>
    <s v="Physical"/>
    <s v="Hedge"/>
    <n v="0"/>
    <d v="2025-12-31T00:00:00"/>
    <d v="2025-12-31T00:00:00"/>
    <n v="0.75768667642752585"/>
    <n v="0.5"/>
    <m/>
    <n v="0"/>
    <x v="51"/>
    <s v="Buy"/>
    <n v="0"/>
    <x v="2"/>
    <x v="4"/>
    <n v="2025"/>
    <s v="Sell"/>
    <x v="1"/>
    <s v="Exxon CIF Rotts VLCC Jan 19-23PhysicalHedge00.51356"/>
    <x v="1"/>
  </r>
  <r>
    <x v="83"/>
    <d v="2025-11-25T00:00:00"/>
    <s v="MEH"/>
    <s v="Hedge"/>
    <n v="0"/>
    <d v="2025-12-31T00:00:00"/>
    <d v="2025-12-31T00:00:00"/>
    <n v="0.75768667642752585"/>
    <n v="0.5"/>
    <m/>
    <n v="0"/>
    <x v="51"/>
    <s v="Buy"/>
    <n v="0"/>
    <x v="1"/>
    <x v="7"/>
    <n v="2025"/>
    <s v="Sell"/>
    <x v="0"/>
    <s v="Exxon CIF Rotts VLCC Jan 19-23MEHHedge00.51357"/>
    <x v="1"/>
  </r>
  <r>
    <x v="84"/>
    <d v="2025-11-26T00:00:00"/>
    <s v="Physical"/>
    <s v="Expo"/>
    <n v="1400"/>
    <d v="2025-12-31T00:00:00"/>
    <d v="2025-12-31T00:00:00"/>
    <n v="-0.30000000000000004"/>
    <n v="-0.01"/>
    <n v="406.00000000000006"/>
    <n v="-420.00000000000006"/>
    <x v="51"/>
    <s v="Buy"/>
    <n v="-14"/>
    <x v="2"/>
    <x v="4"/>
    <n v="2025"/>
    <s v="Buy"/>
    <x v="1"/>
    <s v="January 26 2x EFPPhysicalExpo1400-0.011358"/>
    <x v="0"/>
  </r>
  <r>
    <x v="84"/>
    <d v="2025-11-26T00:00:00"/>
    <s v="WTI-Brent"/>
    <s v="Expo"/>
    <n v="-1400"/>
    <d v="2026-01-31T00:00:00"/>
    <d v="2026-01-31T00:00:00"/>
    <n v="-4.4400000000000004"/>
    <n v="-4.6500000000000004"/>
    <n v="293.99999999999994"/>
    <n v="6216.0000000000009"/>
    <x v="52"/>
    <s v="Sell"/>
    <n v="6510.0000000000009"/>
    <x v="1"/>
    <x v="3"/>
    <n v="2026"/>
    <s v="Sell"/>
    <x v="0"/>
    <s v="January 26 2x EFPWTI-BrentExpo-1400-4.651359"/>
    <x v="0"/>
  </r>
  <r>
    <x v="84"/>
    <d v="2025-10-30T00:00:00"/>
    <s v="Freight-TD25"/>
    <s v="Expo"/>
    <n v="-1400"/>
    <d v="2026-01-31T00:00:00"/>
    <d v="2026-01-31T00:00:00"/>
    <n v="208"/>
    <n v="233.51"/>
    <n v="-714.27999999999986"/>
    <n v="-291200"/>
    <x v="52"/>
    <s v="Sell"/>
    <n v="-326914"/>
    <x v="3"/>
    <x v="5"/>
    <n v="2026"/>
    <s v="Sell"/>
    <x v="1"/>
    <s v="January 26 2x EFPFreight-TD25Expo-1400233.511360"/>
    <x v="0"/>
  </r>
  <r>
    <x v="84"/>
    <d v="2025-12-23T00:00:00"/>
    <s v="Freight-TD25"/>
    <s v="Hedge"/>
    <n v="700"/>
    <d v="2026-01-31T00:00:00"/>
    <d v="2026-01-31T00:00:00"/>
    <n v="215"/>
    <n v="233.51"/>
    <n v="259.13999999999987"/>
    <n v="150500"/>
    <x v="52"/>
    <s v="Buy"/>
    <n v="163457"/>
    <x v="3"/>
    <x v="5"/>
    <n v="2026"/>
    <s v="Buy"/>
    <x v="1"/>
    <s v="January 26 2x EFPFreight-TD25Hedge700233.511361"/>
    <x v="0"/>
  </r>
  <r>
    <x v="84"/>
    <d v="2025-12-23T00:00:00"/>
    <s v="Freight-TD25"/>
    <s v="Hedge"/>
    <n v="700"/>
    <d v="2026-01-31T00:00:00"/>
    <d v="2026-01-31T00:00:00"/>
    <n v="215"/>
    <n v="233.51"/>
    <n v="259.13999999999987"/>
    <n v="150500"/>
    <x v="52"/>
    <s v="Buy"/>
    <n v="163457"/>
    <x v="3"/>
    <x v="5"/>
    <n v="2026"/>
    <s v="Buy"/>
    <x v="1"/>
    <s v="January 26 2x EFPFreight-TD25Hedge700233.511362"/>
    <x v="0"/>
  </r>
  <r>
    <x v="84"/>
    <d v="2025-10-30T00:00:00"/>
    <s v="Freight-TD7"/>
    <s v="Expo"/>
    <n v="1400"/>
    <d v="2026-01-31T00:00:00"/>
    <d v="2026-01-31T00:00:00"/>
    <n v="140"/>
    <n v="148"/>
    <n v="56"/>
    <n v="196000"/>
    <x v="52"/>
    <s v="Buy"/>
    <n v="207200"/>
    <x v="3"/>
    <x v="5"/>
    <n v="2026"/>
    <s v="Buy"/>
    <x v="1"/>
    <s v="January 26 2x EFPFreight-TD7Expo14001481363"/>
    <x v="0"/>
  </r>
  <r>
    <x v="84"/>
    <d v="2025-12-03T00:00:00"/>
    <s v="Freight-TD7"/>
    <s v="Hedge"/>
    <n v="-1400"/>
    <d v="2026-01-31T00:00:00"/>
    <d v="2026-01-31T00:00:00"/>
    <n v="14.23"/>
    <n v="15.451199999999998"/>
    <n v="-195.39199999999965"/>
    <n v="-19922"/>
    <x v="52"/>
    <s v="Sell"/>
    <n v="-21631.679999999997"/>
    <x v="3"/>
    <x v="5"/>
    <n v="2026"/>
    <s v="Sell"/>
    <x v="1"/>
    <s v="January 26 2x EFPFreight-TD7Hedge-140015.45121364"/>
    <x v="0"/>
  </r>
  <r>
    <x v="0"/>
    <d v="2025-11-25T00:00:00"/>
    <s v="DFL"/>
    <s v="Hedge"/>
    <n v="1075"/>
    <d v="2025-12-31T00:00:00"/>
    <d v="2025-12-31T00:00:00"/>
    <n v="0.9"/>
    <n v="0.99"/>
    <n v="96.749999999999972"/>
    <n v="967.5"/>
    <x v="51"/>
    <s v="Buy"/>
    <n v="1064.25"/>
    <x v="1"/>
    <x v="1"/>
    <n v="2025"/>
    <s v="Buy"/>
    <x v="0"/>
    <s v="UnallocatedDFLHedge10750.991365"/>
    <x v="0"/>
  </r>
  <r>
    <x v="0"/>
    <d v="2025-11-25T00:00:00"/>
    <s v="DFL"/>
    <s v="Hedge"/>
    <n v="-1075"/>
    <d v="2026-01-31T00:00:00"/>
    <d v="2026-01-31T00:00:00"/>
    <n v="0.44"/>
    <n v="1.83"/>
    <n v="-1494.2500000000002"/>
    <n v="-473"/>
    <x v="52"/>
    <s v="Sell"/>
    <n v="-1967.25"/>
    <x v="1"/>
    <x v="1"/>
    <n v="2026"/>
    <s v="Sell"/>
    <x v="1"/>
    <s v="UnallocatedDFLHedge-10751.831366"/>
    <x v="0"/>
  </r>
  <r>
    <x v="84"/>
    <d v="2025-11-26T00:00:00"/>
    <s v="WTI-Brent"/>
    <s v="Expo"/>
    <n v="1400"/>
    <d v="2026-01-31T00:00:00"/>
    <d v="2026-01-31T00:00:00"/>
    <n v="-4.4400000000000004"/>
    <n v="-4.6500000000000004"/>
    <n v="-293.99999999999994"/>
    <n v="-6216.0000000000009"/>
    <x v="52"/>
    <s v="Buy"/>
    <n v="-6510.0000000000009"/>
    <x v="1"/>
    <x v="3"/>
    <n v="2026"/>
    <s v="Buy"/>
    <x v="0"/>
    <s v="January 26 2x EFPWTI-BrentExpo1400-4.651367"/>
    <x v="0"/>
  </r>
  <r>
    <x v="0"/>
    <d v="2025-11-26T00:00:00"/>
    <s v="WTI Sprds"/>
    <s v="Hedge"/>
    <n v="335"/>
    <d v="2026-01-31T00:00:00"/>
    <d v="2026-02-28T00:00:00"/>
    <n v="0.23"/>
    <n v="0.15"/>
    <n v="-26.800000000000004"/>
    <n v="77.05"/>
    <x v="53"/>
    <s v="Buy"/>
    <n v="50.25"/>
    <x v="0"/>
    <x v="0"/>
    <n v="2026"/>
    <s v="Buy"/>
    <x v="0"/>
    <s v="UnallocatedWTI SprdsHedge3350.151368"/>
    <x v="0"/>
  </r>
  <r>
    <x v="0"/>
    <d v="2025-11-26T00:00:00"/>
    <s v="WTI Sprds"/>
    <s v="Hedge"/>
    <n v="134"/>
    <d v="2026-02-28T00:00:00"/>
    <d v="2026-03-31T00:00:00"/>
    <n v="0.16"/>
    <n v="0.13"/>
    <n v="-4.0199999999999996"/>
    <n v="21.44"/>
    <x v="55"/>
    <s v="Buy"/>
    <n v="17.420000000000002"/>
    <x v="0"/>
    <x v="0"/>
    <n v="2026"/>
    <s v="Buy"/>
    <x v="1"/>
    <s v="UnallocatedWTI SprdsHedge1340.131369"/>
    <x v="0"/>
  </r>
  <r>
    <x v="0"/>
    <d v="2025-11-28T00:00:00"/>
    <s v="WTI Sprds"/>
    <s v="Hedge"/>
    <n v="335"/>
    <d v="2026-01-31T00:00:00"/>
    <d v="2026-02-28T00:00:00"/>
    <n v="0.26"/>
    <n v="0.15"/>
    <n v="-36.85"/>
    <n v="87.100000000000009"/>
    <x v="53"/>
    <s v="Buy"/>
    <n v="50.25"/>
    <x v="0"/>
    <x v="0"/>
    <n v="2026"/>
    <s v="Buy"/>
    <x v="0"/>
    <s v="UnallocatedWTI SprdsHedge3350.151370"/>
    <x v="0"/>
  </r>
  <r>
    <x v="0"/>
    <d v="2025-11-28T00:00:00"/>
    <s v="WTI Sprds"/>
    <s v="Hedge"/>
    <n v="134"/>
    <d v="2026-02-28T00:00:00"/>
    <d v="2026-03-31T00:00:00"/>
    <n v="0.2"/>
    <n v="0.13"/>
    <n v="-9.3800000000000008"/>
    <n v="26.8"/>
    <x v="55"/>
    <s v="Buy"/>
    <n v="17.420000000000002"/>
    <x v="0"/>
    <x v="0"/>
    <n v="2026"/>
    <s v="Buy"/>
    <x v="1"/>
    <s v="UnallocatedWTI SprdsHedge1340.131371"/>
    <x v="0"/>
  </r>
  <r>
    <x v="0"/>
    <d v="2025-12-01T00:00:00"/>
    <s v="WTI Sprds"/>
    <s v="Hedge"/>
    <n v="335"/>
    <d v="2026-01-31T00:00:00"/>
    <d v="2026-02-28T00:00:00"/>
    <n v="0.25"/>
    <n v="0.15"/>
    <n v="-33.5"/>
    <n v="83.75"/>
    <x v="53"/>
    <s v="Buy"/>
    <n v="50.25"/>
    <x v="0"/>
    <x v="0"/>
    <n v="2026"/>
    <s v="Buy"/>
    <x v="0"/>
    <s v="UnallocatedWTI SprdsHedge3350.151372"/>
    <x v="0"/>
  </r>
  <r>
    <x v="0"/>
    <d v="2025-12-01T00:00:00"/>
    <s v="WTI Sprds"/>
    <s v="Hedge"/>
    <n v="134"/>
    <d v="2026-02-28T00:00:00"/>
    <d v="2026-03-31T00:00:00"/>
    <n v="0.2"/>
    <n v="0.13"/>
    <n v="-9.3800000000000008"/>
    <n v="26.8"/>
    <x v="55"/>
    <s v="Buy"/>
    <n v="17.420000000000002"/>
    <x v="0"/>
    <x v="0"/>
    <n v="2026"/>
    <s v="Buy"/>
    <x v="1"/>
    <s v="UnallocatedWTI SprdsHedge1340.131373"/>
    <x v="0"/>
  </r>
  <r>
    <x v="0"/>
    <d v="2025-12-01T00:00:00"/>
    <s v="Brent Sprds"/>
    <s v="Hedge"/>
    <n v="429"/>
    <d v="2026-02-28T00:00:00"/>
    <d v="2026-03-31T00:00:00"/>
    <n v="0.38"/>
    <n v="0.59"/>
    <n v="90.089999999999989"/>
    <n v="163.02000000000001"/>
    <x v="55"/>
    <s v="Buy"/>
    <n v="253.10999999999999"/>
    <x v="0"/>
    <x v="2"/>
    <n v="2026"/>
    <s v="Buy"/>
    <x v="1"/>
    <s v="UnallocatedBrent SprdsHedge4290.591374"/>
    <x v="0"/>
  </r>
  <r>
    <x v="0"/>
    <d v="2025-12-02T00:00:00"/>
    <s v="CFD"/>
    <s v="Hedge"/>
    <n v="-200"/>
    <s v="Dec15-Dec19"/>
    <d v="2025-12-31T00:00:00"/>
    <n v="0.69499999999999995"/>
    <n v="1.1000000000000001"/>
    <n v="-81.000000000000028"/>
    <n v="-139"/>
    <x v="51"/>
    <s v="Sell"/>
    <n v="-220.00000000000003"/>
    <x v="1"/>
    <x v="1"/>
    <n v="2025"/>
    <s v="Sell"/>
    <x v="0"/>
    <s v="UnallocatedCFDHedge-2001.11375"/>
    <x v="0"/>
  </r>
  <r>
    <x v="0"/>
    <d v="2025-12-02T00:00:00"/>
    <s v="DFL"/>
    <s v="Hedge"/>
    <n v="-400"/>
    <d v="2026-01-31T00:00:00"/>
    <d v="2026-01-31T00:00:00"/>
    <n v="0.45"/>
    <n v="1.83"/>
    <n v="-552"/>
    <n v="-180"/>
    <x v="52"/>
    <s v="Sell"/>
    <n v="-732"/>
    <x v="1"/>
    <x v="1"/>
    <n v="2026"/>
    <s v="Sell"/>
    <x v="1"/>
    <s v="UnallocatedDFLHedge-4001.831376"/>
    <x v="0"/>
  </r>
  <r>
    <x v="0"/>
    <d v="2025-12-02T00:00:00"/>
    <s v="Brent Sprds"/>
    <s v="Hedge"/>
    <n v="200"/>
    <d v="2026-02-28T00:00:00"/>
    <d v="2026-03-31T00:00:00"/>
    <n v="0.39"/>
    <n v="0.59"/>
    <n v="39.999999999999993"/>
    <n v="78"/>
    <x v="55"/>
    <s v="Buy"/>
    <n v="118"/>
    <x v="0"/>
    <x v="2"/>
    <n v="2026"/>
    <s v="Buy"/>
    <x v="1"/>
    <s v="UnallocatedBrent SprdsHedge2000.591377"/>
    <x v="0"/>
  </r>
  <r>
    <x v="0"/>
    <d v="2025-12-02T00:00:00"/>
    <s v="Brent Sprds"/>
    <s v="Hedge"/>
    <n v="200"/>
    <d v="2026-02-28T00:00:00"/>
    <d v="2026-03-31T00:00:00"/>
    <n v="0.38"/>
    <n v="0.59"/>
    <n v="41.999999999999993"/>
    <n v="76"/>
    <x v="55"/>
    <s v="Buy"/>
    <n v="118"/>
    <x v="0"/>
    <x v="2"/>
    <n v="2026"/>
    <s v="Buy"/>
    <x v="1"/>
    <s v="UnallocatedBrent SprdsHedge2000.591378"/>
    <x v="0"/>
  </r>
  <r>
    <x v="0"/>
    <d v="2025-12-02T00:00:00"/>
    <s v="Brent Sprds"/>
    <s v="Hedge"/>
    <n v="200"/>
    <d v="2026-02-28T00:00:00"/>
    <d v="2026-03-31T00:00:00"/>
    <n v="0.37"/>
    <n v="0.59"/>
    <n v="43.999999999999993"/>
    <n v="74"/>
    <x v="55"/>
    <s v="Buy"/>
    <n v="118"/>
    <x v="0"/>
    <x v="2"/>
    <n v="2026"/>
    <s v="Buy"/>
    <x v="1"/>
    <s v="UnallocatedBrent SprdsHedge2000.591379"/>
    <x v="0"/>
  </r>
  <r>
    <x v="0"/>
    <d v="2025-12-02T00:00:00"/>
    <s v="Brent Sprds"/>
    <s v="Hedge"/>
    <n v="200"/>
    <d v="2026-02-28T00:00:00"/>
    <d v="2026-03-31T00:00:00"/>
    <n v="0.36"/>
    <n v="0.59"/>
    <n v="46"/>
    <n v="72"/>
    <x v="55"/>
    <s v="Buy"/>
    <n v="118"/>
    <x v="0"/>
    <x v="2"/>
    <n v="2026"/>
    <s v="Buy"/>
    <x v="1"/>
    <s v="UnallocatedBrent SprdsHedge2000.591380"/>
    <x v="0"/>
  </r>
  <r>
    <x v="0"/>
    <d v="2025-12-02T00:00:00"/>
    <s v="WTI Sprds"/>
    <s v="Hedge"/>
    <n v="335"/>
    <d v="2026-01-31T00:00:00"/>
    <d v="2026-02-28T00:00:00"/>
    <n v="0.26"/>
    <n v="0.15"/>
    <n v="-36.85"/>
    <n v="87.100000000000009"/>
    <x v="53"/>
    <s v="Buy"/>
    <n v="50.25"/>
    <x v="0"/>
    <x v="0"/>
    <n v="2026"/>
    <s v="Buy"/>
    <x v="0"/>
    <s v="UnallocatedWTI SprdsHedge3350.151381"/>
    <x v="0"/>
  </r>
  <r>
    <x v="0"/>
    <d v="2025-12-02T00:00:00"/>
    <s v="WTI Sprds"/>
    <s v="Hedge"/>
    <n v="134"/>
    <d v="2026-02-28T00:00:00"/>
    <d v="2026-03-31T00:00:00"/>
    <n v="0.2"/>
    <n v="0.13"/>
    <n v="-9.3800000000000008"/>
    <n v="26.8"/>
    <x v="55"/>
    <s v="Buy"/>
    <n v="17.420000000000002"/>
    <x v="0"/>
    <x v="0"/>
    <n v="2026"/>
    <s v="Buy"/>
    <x v="1"/>
    <s v="UnallocatedWTI SprdsHedge1340.131382"/>
    <x v="0"/>
  </r>
  <r>
    <x v="85"/>
    <d v="2025-12-09T00:00:00"/>
    <s v="Physical"/>
    <s v="Expo"/>
    <n v="700"/>
    <d v="2025-12-31T00:00:00"/>
    <d v="2025-12-31T00:00:00"/>
    <n v="1.06"/>
    <n v="1.1000000000000001"/>
    <n v="28.000000000000025"/>
    <n v="742"/>
    <x v="51"/>
    <s v="Buy"/>
    <n v="770.00000000000011"/>
    <x v="2"/>
    <x v="4"/>
    <n v="2025"/>
    <s v="Buy"/>
    <x v="1"/>
    <s v="BP FOB Jan26 11-15PhysicalExpo7001.11383"/>
    <x v="0"/>
  </r>
  <r>
    <x v="85"/>
    <d v="2025-12-09T00:00:00"/>
    <s v="WTI Sprds"/>
    <s v="Expo"/>
    <n v="-700"/>
    <d v="2026-01-31T00:00:00"/>
    <d v="2026-02-28T00:00:00"/>
    <n v="0.17"/>
    <n v="0.15"/>
    <n v="14.000000000000012"/>
    <n v="-119.00000000000001"/>
    <x v="53"/>
    <s v="Sell"/>
    <n v="-105"/>
    <x v="0"/>
    <x v="0"/>
    <n v="2026"/>
    <s v="Sell"/>
    <x v="0"/>
    <s v="BP FOB Jan26 11-15WTI SprdsExpo-7000.151384"/>
    <x v="0"/>
  </r>
  <r>
    <x v="85"/>
    <d v="2025-12-09T00:00:00"/>
    <s v="WTI Sprds"/>
    <s v="Expo"/>
    <n v="-233"/>
    <d v="2026-02-28T00:00:00"/>
    <d v="2026-03-31T00:00:00"/>
    <n v="0.12"/>
    <n v="0.13"/>
    <n v="-2.3300000000000018"/>
    <n v="-27.959999999999997"/>
    <x v="55"/>
    <s v="Sell"/>
    <n v="-30.290000000000003"/>
    <x v="0"/>
    <x v="0"/>
    <n v="2026"/>
    <s v="Sell"/>
    <x v="1"/>
    <s v="BP FOB Jan26 11-15WTI SprdsExpo-2330.131385"/>
    <x v="0"/>
  </r>
  <r>
    <x v="0"/>
    <d v="2025-12-09T00:00:00"/>
    <s v="CFD"/>
    <s v="Hedge"/>
    <n v="-200"/>
    <s v="Jan05-Jan09"/>
    <d v="2026-01-31T00:00:00"/>
    <n v="0.52"/>
    <n v="0.97"/>
    <n v="-89.999999999999986"/>
    <n v="-104"/>
    <x v="52"/>
    <s v="Sell"/>
    <n v="-194"/>
    <x v="1"/>
    <x v="1"/>
    <n v="2025"/>
    <s v="Sell"/>
    <x v="1"/>
    <s v="UnallocatedCFDHedge-2000.971386"/>
    <x v="0"/>
  </r>
  <r>
    <x v="0"/>
    <d v="2025-12-09T00:00:00"/>
    <s v="CFD"/>
    <s v="Hedge"/>
    <n v="200"/>
    <s v="Jan19-Jan23"/>
    <d v="2026-01-31T00:00:00"/>
    <n v="0.27"/>
    <n v="0.42"/>
    <n v="29.999999999999993"/>
    <n v="54"/>
    <x v="52"/>
    <s v="Buy"/>
    <n v="84"/>
    <x v="1"/>
    <x v="1"/>
    <n v="2025"/>
    <s v="Buy"/>
    <x v="1"/>
    <s v="UnallocatedCFDHedge2000.421387"/>
    <x v="0"/>
  </r>
  <r>
    <x v="0"/>
    <d v="2025-12-09T00:00:00"/>
    <s v="DFL"/>
    <s v="Hedge"/>
    <n v="-500"/>
    <d v="2025-12-31T00:00:00"/>
    <d v="2025-12-31T00:00:00"/>
    <n v="0.62"/>
    <n v="0.96"/>
    <n v="-169.99999999999997"/>
    <n v="-310"/>
    <x v="51"/>
    <s v="Sell"/>
    <n v="-480"/>
    <x v="1"/>
    <x v="1"/>
    <n v="2025"/>
    <s v="Sell"/>
    <x v="0"/>
    <s v="UnallocatedDFLHedge-5000.961388"/>
    <x v="0"/>
  </r>
  <r>
    <x v="0"/>
    <d v="2025-12-10T00:00:00"/>
    <s v="CFD"/>
    <s v="Hedge"/>
    <n v="-100"/>
    <s v="Dec15-Dec19"/>
    <d v="2025-12-31T00:00:00"/>
    <n v="0.84"/>
    <n v="1.1000000000000001"/>
    <n v="-26.000000000000011"/>
    <n v="-84"/>
    <x v="51"/>
    <s v="Sell"/>
    <n v="-110.00000000000001"/>
    <x v="1"/>
    <x v="1"/>
    <n v="2025"/>
    <s v="Sell"/>
    <x v="0"/>
    <s v="UnallocatedCFDHedge-1001.11389"/>
    <x v="0"/>
  </r>
  <r>
    <x v="86"/>
    <d v="2025-12-11T00:00:00"/>
    <s v="Physical"/>
    <s v="Expo"/>
    <n v="2073"/>
    <d v="2026-01-31T00:00:00"/>
    <d v="2026-01-31T00:00:00"/>
    <n v="5.1426869271587066"/>
    <n v="5.25"/>
    <n v="222.46000000000129"/>
    <n v="10660.789999999999"/>
    <x v="52"/>
    <s v="Buy"/>
    <n v="10883.25"/>
    <x v="2"/>
    <x v="4"/>
    <n v="2026"/>
    <s v="Buy"/>
    <x v="1"/>
    <s v="HDO March26 10-20PhysicalExpo20735.251390"/>
    <x v="1"/>
  </r>
  <r>
    <x v="86"/>
    <d v="2025-12-11T00:00:00"/>
    <s v="WTI Sprds"/>
    <s v="Expo"/>
    <n v="-2073"/>
    <d v="2026-01-31T00:00:00"/>
    <d v="2026-02-28T00:00:00"/>
    <n v="0.16"/>
    <n v="0.15"/>
    <n v="20.730000000000018"/>
    <n v="-331.68"/>
    <x v="53"/>
    <s v="Sell"/>
    <n v="-310.95"/>
    <x v="0"/>
    <x v="0"/>
    <n v="2026"/>
    <s v="Sell"/>
    <x v="0"/>
    <s v="HDO March26 10-20WTI SprdsExpo-20730.151391"/>
    <x v="1"/>
  </r>
  <r>
    <x v="86"/>
    <d v="2025-12-11T00:00:00"/>
    <s v="WTI Sprds"/>
    <s v="Expo"/>
    <n v="-2073"/>
    <d v="2026-02-28T00:00:00"/>
    <d v="2026-03-31T00:00:00"/>
    <n v="0.1"/>
    <n v="0.13"/>
    <n v="-62.19"/>
    <n v="-207.3"/>
    <x v="55"/>
    <s v="Sell"/>
    <n v="-269.49"/>
    <x v="0"/>
    <x v="0"/>
    <n v="2026"/>
    <s v="Sell"/>
    <x v="1"/>
    <s v="HDO March26 10-20WTI SprdsExpo-20730.131392"/>
    <x v="1"/>
  </r>
  <r>
    <x v="86"/>
    <d v="2025-12-11T00:00:00"/>
    <s v="WTI-Brent"/>
    <s v="Expo"/>
    <n v="-2073"/>
    <d v="2026-03-31T00:00:00"/>
    <d v="2026-03-31T00:00:00"/>
    <n v="-3.75"/>
    <n v="-4.47"/>
    <n v="1492.5599999999995"/>
    <n v="7773.75"/>
    <x v="60"/>
    <s v="Sell"/>
    <n v="9266.31"/>
    <x v="1"/>
    <x v="3"/>
    <n v="2026"/>
    <s v="Sell"/>
    <x v="1"/>
    <s v="HDO March26 10-20WTI-BrentExpo-2073-4.471393"/>
    <x v="1"/>
  </r>
  <r>
    <x v="86"/>
    <d v="2025-12-11T00:00:00"/>
    <s v="Brent Sprds"/>
    <s v="Expo"/>
    <n v="-1980"/>
    <d v="2026-03-31T00:00:00"/>
    <d v="2026-04-30T00:00:00"/>
    <n v="0.16"/>
    <n v="0.63"/>
    <n v="-930.59999999999991"/>
    <n v="-316.8"/>
    <x v="56"/>
    <s v="Sell"/>
    <n v="-1247.4000000000001"/>
    <x v="0"/>
    <x v="2"/>
    <n v="2026"/>
    <s v="Sell"/>
    <x v="1"/>
    <s v="HDO March26 10-20Brent SprdsExpo-19800.631394"/>
    <x v="1"/>
  </r>
  <r>
    <x v="86"/>
    <d v="2025-12-11T00:00:00"/>
    <s v="Brent Sprds"/>
    <s v="Expo"/>
    <n v="-93"/>
    <d v="2026-04-30T00:00:00"/>
    <d v="2026-05-31T00:00:00"/>
    <n v="0.05"/>
    <n v="0.37"/>
    <n v="-29.76"/>
    <n v="-4.6500000000000004"/>
    <x v="61"/>
    <s v="Sell"/>
    <n v="-34.409999999999997"/>
    <x v="0"/>
    <x v="2"/>
    <n v="2026"/>
    <s v="Sell"/>
    <x v="1"/>
    <s v="HDO March26 10-20Brent SprdsExpo-930.371395"/>
    <x v="1"/>
  </r>
  <r>
    <x v="86"/>
    <d v="2025-12-11T00:00:00"/>
    <s v="Freight-TD22"/>
    <s v="Expo"/>
    <n v="-2000"/>
    <d v="2026-01-31T00:00:00"/>
    <d v="2026-01-31T00:00:00"/>
    <n v="13750"/>
    <n v="13750"/>
    <n v="0"/>
    <n v="0"/>
    <x v="52"/>
    <s v="Sell"/>
    <n v="-27500000"/>
    <x v="3"/>
    <x v="5"/>
    <n v="2026"/>
    <s v="Sell"/>
    <x v="1"/>
    <s v="HDO March26 10-20Freight-TD22Expo-2000137501396"/>
    <x v="1"/>
  </r>
  <r>
    <x v="86"/>
    <d v="2025-12-11T00:00:00"/>
    <s v="Freight-TD22"/>
    <s v="Hedge"/>
    <n v="2000"/>
    <d v="2026-01-31T00:00:00"/>
    <d v="2026-01-31T00:00:00"/>
    <n v="13300"/>
    <n v="13750"/>
    <n v="450"/>
    <n v="450"/>
    <x v="52"/>
    <s v="Buy"/>
    <n v="27500000"/>
    <x v="3"/>
    <x v="5"/>
    <n v="2026"/>
    <s v="Buy"/>
    <x v="1"/>
    <s v="HDO March26 10-20Freight-TD22Hedge2000137501397"/>
    <x v="1"/>
  </r>
  <r>
    <x v="86"/>
    <d v="2025-12-11T00:00:00"/>
    <s v="WTI Sprds"/>
    <s v="Hedge"/>
    <n v="1024"/>
    <d v="2026-01-31T00:00:00"/>
    <d v="2026-02-28T00:00:00"/>
    <n v="0.16"/>
    <n v="0.15"/>
    <n v="-10.240000000000009"/>
    <n v="163.84"/>
    <x v="53"/>
    <s v="Buy"/>
    <n v="153.6"/>
    <x v="0"/>
    <x v="0"/>
    <n v="2026"/>
    <s v="Buy"/>
    <x v="0"/>
    <s v="HDO March26 10-20WTI SprdsHedge10240.151398"/>
    <x v="1"/>
  </r>
  <r>
    <x v="86"/>
    <d v="2025-12-11T00:00:00"/>
    <s v="WTI Sprds"/>
    <s v="Hedge"/>
    <n v="1024"/>
    <d v="2026-02-28T00:00:00"/>
    <d v="2026-03-31T00:00:00"/>
    <n v="0.1"/>
    <n v="0.13"/>
    <n v="30.72"/>
    <n v="102.4"/>
    <x v="55"/>
    <s v="Buy"/>
    <n v="133.12"/>
    <x v="0"/>
    <x v="0"/>
    <n v="2026"/>
    <s v="Buy"/>
    <x v="1"/>
    <s v="HDO March26 10-20WTI SprdsHedge10240.131399"/>
    <x v="1"/>
  </r>
  <r>
    <x v="86"/>
    <d v="2025-12-11T00:00:00"/>
    <s v="WTI-Brent"/>
    <s v="Hedge"/>
    <n v="1024"/>
    <d v="2026-03-31T00:00:00"/>
    <d v="2026-03-31T00:00:00"/>
    <n v="-3.72"/>
    <n v="-4.47"/>
    <n v="-767.99999999999955"/>
    <n v="-3809.28"/>
    <x v="60"/>
    <s v="Buy"/>
    <n v="-4577.28"/>
    <x v="1"/>
    <x v="3"/>
    <n v="2026"/>
    <s v="Buy"/>
    <x v="1"/>
    <s v="HDO March26 10-20WTI-BrentHedge1024-4.471400"/>
    <x v="1"/>
  </r>
  <r>
    <x v="86"/>
    <d v="2025-12-11T00:00:00"/>
    <s v="WTI-Brent"/>
    <s v="Hedge"/>
    <n v="500"/>
    <d v="2026-03-31T00:00:00"/>
    <d v="2026-03-31T00:00:00"/>
    <n v="-3.71"/>
    <n v="-4.47"/>
    <n v="-379.99999999999989"/>
    <n v="-1855"/>
    <x v="60"/>
    <s v="Buy"/>
    <n v="-2235"/>
    <x v="1"/>
    <x v="3"/>
    <n v="2026"/>
    <s v="Buy"/>
    <x v="1"/>
    <s v="HDO March26 10-20WTI-BrentHedge500-4.471401"/>
    <x v="1"/>
  </r>
  <r>
    <x v="86"/>
    <d v="2025-12-11T00:00:00"/>
    <s v="Brent Sprds"/>
    <s v="Hedge"/>
    <n v="2000"/>
    <d v="2026-03-31T00:00:00"/>
    <d v="2026-04-30T00:00:00"/>
    <n v="0.16"/>
    <n v="0.63"/>
    <n v="940"/>
    <n v="320"/>
    <x v="56"/>
    <s v="Buy"/>
    <n v="1260"/>
    <x v="0"/>
    <x v="2"/>
    <n v="2026"/>
    <s v="Buy"/>
    <x v="1"/>
    <s v="HDO March26 10-20Brent SprdsHedge20000.631402"/>
    <x v="1"/>
  </r>
  <r>
    <x v="86"/>
    <d v="2025-12-11T00:00:00"/>
    <s v="Brent Sprds"/>
    <s v="Hedge"/>
    <n v="1000"/>
    <d v="2026-02-28T00:00:00"/>
    <d v="2026-03-31T00:00:00"/>
    <n v="0.23"/>
    <n v="0.59"/>
    <n v="360"/>
    <n v="230"/>
    <x v="55"/>
    <s v="Buy"/>
    <n v="590"/>
    <x v="0"/>
    <x v="2"/>
    <n v="2026"/>
    <s v="Buy"/>
    <x v="1"/>
    <s v="HDO March26 10-20Brent SprdsHedge10000.591403"/>
    <x v="1"/>
  </r>
  <r>
    <x v="86"/>
    <d v="2025-12-12T00:00:00"/>
    <s v="WTI-Brent"/>
    <s v="Hedge"/>
    <n v="500"/>
    <d v="2026-03-31T00:00:00"/>
    <d v="2026-03-31T00:00:00"/>
    <n v="-3.73"/>
    <n v="-4.47"/>
    <n v="-369.99999999999989"/>
    <n v="-1865"/>
    <x v="60"/>
    <s v="Buy"/>
    <n v="-2235"/>
    <x v="1"/>
    <x v="3"/>
    <n v="2026"/>
    <s v="Buy"/>
    <x v="1"/>
    <s v="HDO March26 10-20WTI-BrentHedge500-4.471404"/>
    <x v="1"/>
  </r>
  <r>
    <x v="0"/>
    <d v="2025-12-15T00:00:00"/>
    <s v="DFL"/>
    <s v="Hedge"/>
    <n v="-375"/>
    <d v="2026-01-31T00:00:00"/>
    <d v="2026-01-31T00:00:00"/>
    <n v="0.33"/>
    <n v="1.83"/>
    <n v="-562.5"/>
    <n v="-123.75"/>
    <x v="52"/>
    <s v="Sell"/>
    <n v="-686.25"/>
    <x v="1"/>
    <x v="1"/>
    <n v="2026"/>
    <s v="Sell"/>
    <x v="1"/>
    <s v="UnallocatedDFLHedge-3751.831405"/>
    <x v="0"/>
  </r>
  <r>
    <x v="86"/>
    <d v="2025-12-16T00:00:00"/>
    <s v="WTI Sprds"/>
    <s v="Hedge"/>
    <n v="230"/>
    <d v="2026-01-31T00:00:00"/>
    <d v="2026-02-28T00:00:00"/>
    <n v="0.14000000000000001"/>
    <n v="0.15"/>
    <n v="2.2999999999999958"/>
    <n v="32.200000000000003"/>
    <x v="53"/>
    <s v="Buy"/>
    <n v="34.5"/>
    <x v="0"/>
    <x v="0"/>
    <n v="2026"/>
    <s v="Buy"/>
    <x v="0"/>
    <s v="HDO March26 10-20WTI SprdsHedge2300.151406"/>
    <x v="1"/>
  </r>
  <r>
    <x v="86"/>
    <d v="2025-12-16T00:00:00"/>
    <s v="WTI Sprds"/>
    <s v="Hedge"/>
    <n v="92"/>
    <d v="2026-02-28T00:00:00"/>
    <d v="2026-03-31T00:00:00"/>
    <n v="0.08"/>
    <n v="0.13"/>
    <n v="4.6000000000000005"/>
    <n v="7.36"/>
    <x v="55"/>
    <s v="Buy"/>
    <n v="11.96"/>
    <x v="0"/>
    <x v="0"/>
    <n v="2026"/>
    <s v="Buy"/>
    <x v="1"/>
    <s v="HDO March26 10-20WTI SprdsHedge920.131407"/>
    <x v="1"/>
  </r>
  <r>
    <x v="86"/>
    <d v="2025-12-17T00:00:00"/>
    <s v="WTI Sprds"/>
    <s v="Hedge"/>
    <n v="230"/>
    <d v="2026-01-31T00:00:00"/>
    <d v="2026-02-28T00:00:00"/>
    <n v="0.14000000000000001"/>
    <n v="0.15"/>
    <n v="2.2999999999999958"/>
    <n v="32.200000000000003"/>
    <x v="53"/>
    <s v="Buy"/>
    <n v="34.5"/>
    <x v="0"/>
    <x v="0"/>
    <n v="2026"/>
    <s v="Buy"/>
    <x v="0"/>
    <s v="HDO March26 10-20WTI SprdsHedge2300.151408"/>
    <x v="1"/>
  </r>
  <r>
    <x v="86"/>
    <d v="2025-12-17T00:00:00"/>
    <s v="WTI Sprds"/>
    <s v="Hedge"/>
    <n v="92"/>
    <d v="2026-02-28T00:00:00"/>
    <d v="2026-03-31T00:00:00"/>
    <n v="0.08"/>
    <n v="0.13"/>
    <n v="4.6000000000000005"/>
    <n v="7.36"/>
    <x v="55"/>
    <s v="Buy"/>
    <n v="11.96"/>
    <x v="0"/>
    <x v="0"/>
    <n v="2026"/>
    <s v="Buy"/>
    <x v="1"/>
    <s v="HDO March26 10-20WTI SprdsHedge920.131409"/>
    <x v="1"/>
  </r>
  <r>
    <x v="86"/>
    <d v="2025-12-18T00:00:00"/>
    <s v="WTI Sprds"/>
    <s v="Hedge"/>
    <n v="289"/>
    <d v="2026-01-31T00:00:00"/>
    <d v="2026-02-28T00:00:00"/>
    <n v="0.14000000000000001"/>
    <n v="0.15"/>
    <n v="2.8899999999999944"/>
    <n v="40.46"/>
    <x v="53"/>
    <s v="Buy"/>
    <n v="43.35"/>
    <x v="0"/>
    <x v="0"/>
    <n v="2026"/>
    <s v="Buy"/>
    <x v="0"/>
    <s v="HDO March26 10-20WTI SprdsHedge2890.151410"/>
    <x v="1"/>
  </r>
  <r>
    <x v="86"/>
    <d v="2025-12-18T00:00:00"/>
    <s v="WTI Sprds"/>
    <s v="Hedge"/>
    <n v="92"/>
    <d v="2026-02-28T00:00:00"/>
    <d v="2026-03-31T00:00:00"/>
    <n v="0.08"/>
    <n v="0.13"/>
    <n v="4.6000000000000005"/>
    <n v="7.36"/>
    <x v="55"/>
    <s v="Buy"/>
    <n v="11.96"/>
    <x v="0"/>
    <x v="0"/>
    <n v="2026"/>
    <s v="Buy"/>
    <x v="1"/>
    <s v="HDO March26 10-20WTI SprdsHedge920.131411"/>
    <x v="1"/>
  </r>
  <r>
    <x v="86"/>
    <d v="2025-12-17T00:00:00"/>
    <s v="WTI-Brent"/>
    <s v="Hedge"/>
    <n v="500"/>
    <d v="2026-06-30T00:00:00"/>
    <d v="2026-06-30T00:00:00"/>
    <n v="-3.45"/>
    <n v="-3.65"/>
    <n v="-99.999999999999872"/>
    <n v="-1725"/>
    <x v="57"/>
    <s v="Buy"/>
    <n v="-1825"/>
    <x v="1"/>
    <x v="3"/>
    <n v="2026"/>
    <s v="Buy"/>
    <x v="1"/>
    <s v="HDO March26 10-20WTI-BrentHedge500-3.651412"/>
    <x v="1"/>
  </r>
  <r>
    <x v="0"/>
    <d v="2025-12-18T00:00:00"/>
    <s v="WTI-Brent"/>
    <s v="Hedge"/>
    <n v="409"/>
    <d v="2026-03-31T00:00:00"/>
    <d v="2026-03-31T00:00:00"/>
    <n v="-3.7"/>
    <n v="-4.47"/>
    <n v="-314.92999999999984"/>
    <n v="-1513.3000000000002"/>
    <x v="60"/>
    <s v="Buy"/>
    <n v="-1828.2299999999998"/>
    <x v="1"/>
    <x v="3"/>
    <n v="2026"/>
    <s v="Buy"/>
    <x v="1"/>
    <s v="UnallocatedWTI-BrentHedge409-4.471413"/>
    <x v="0"/>
  </r>
  <r>
    <x v="0"/>
    <d v="2025-12-18T00:00:00"/>
    <s v="WTI Sprds"/>
    <s v="Hedge"/>
    <n v="1000"/>
    <d v="2026-02-28T00:00:00"/>
    <d v="2026-03-31T00:00:00"/>
    <n v="0.14000000000000001"/>
    <n v="0.13"/>
    <n v="-10.000000000000009"/>
    <n v="140"/>
    <x v="55"/>
    <s v="Buy"/>
    <n v="130"/>
    <x v="0"/>
    <x v="0"/>
    <n v="2026"/>
    <s v="Buy"/>
    <x v="1"/>
    <s v="UnallocatedWTI SprdsHedge10000.131414"/>
    <x v="0"/>
  </r>
  <r>
    <x v="0"/>
    <d v="2025-12-18T00:00:00"/>
    <s v="WTI Sprds"/>
    <s v="Hedge"/>
    <n v="1000"/>
    <d v="2026-03-31T00:00:00"/>
    <d v="2026-04-30T00:00:00"/>
    <n v="7.0000000000000007E-2"/>
    <n v="0.19"/>
    <n v="120"/>
    <n v="70"/>
    <x v="56"/>
    <s v="Buy"/>
    <n v="190"/>
    <x v="0"/>
    <x v="0"/>
    <n v="2026"/>
    <s v="Buy"/>
    <x v="1"/>
    <s v="UnallocatedWTI SprdsHedge10000.191415"/>
    <x v="0"/>
  </r>
  <r>
    <x v="0"/>
    <d v="2025-12-18T00:00:00"/>
    <s v="WTI Sprds"/>
    <s v="Hedge"/>
    <n v="1000"/>
    <d v="2026-04-30T00:00:00"/>
    <d v="2026-05-31T00:00:00"/>
    <n v="0"/>
    <n v="0.14000000000000001"/>
    <n v="140"/>
    <n v="0"/>
    <x v="61"/>
    <s v="Buy"/>
    <n v="140"/>
    <x v="0"/>
    <x v="0"/>
    <n v="2026"/>
    <s v="Buy"/>
    <x v="1"/>
    <s v="UnallocatedWTI SprdsHedge10000.141416"/>
    <x v="0"/>
  </r>
  <r>
    <x v="0"/>
    <d v="2025-12-21T00:00:00"/>
    <s v="Physical"/>
    <s v="Expo"/>
    <m/>
    <d v="2025-12-31T00:00:00"/>
    <d v="2025-12-31T00:00:00"/>
    <m/>
    <m/>
    <n v="-882"/>
    <n v="0"/>
    <x v="51"/>
    <s v="Buy"/>
    <n v="0"/>
    <x v="2"/>
    <x v="4"/>
    <n v="2025"/>
    <s v="Sell"/>
    <x v="1"/>
    <s v="UnallocatedPhysicalExpo1417"/>
    <x v="0"/>
  </r>
  <r>
    <x v="87"/>
    <d v="2025-12-23T00:00:00"/>
    <s v="Physical"/>
    <s v="Expo"/>
    <n v="1400"/>
    <d v="2026-01-31T00:00:00"/>
    <d v="2026-01-31T00:00:00"/>
    <n v="-2.4499999999999997"/>
    <n v="-2.02"/>
    <n v="601.99999999999955"/>
    <n v="-3429.9999999999995"/>
    <x v="52"/>
    <s v="Buy"/>
    <n v="-2828"/>
    <x v="2"/>
    <x v="4"/>
    <n v="2026"/>
    <s v="Buy"/>
    <x v="1"/>
    <s v="Glencore FOB VLCC Jan26-30PhysicalExpo1400-2.021418"/>
    <x v="1"/>
  </r>
  <r>
    <x v="87"/>
    <d v="2025-12-23T00:00:00"/>
    <s v="WTI Sprds"/>
    <s v="Expo"/>
    <n v="-1400"/>
    <d v="2026-02-28T00:00:00"/>
    <d v="2026-03-31T00:00:00"/>
    <n v="0.22"/>
    <n v="0.13"/>
    <n v="126"/>
    <n v="-308"/>
    <x v="55"/>
    <s v="Sell"/>
    <n v="-182"/>
    <x v="0"/>
    <x v="0"/>
    <n v="2026"/>
    <s v="Sell"/>
    <x v="1"/>
    <s v="Glencore FOB VLCC Jan26-30WTI SprdsExpo-14000.131419"/>
    <x v="1"/>
  </r>
  <r>
    <x v="87"/>
    <d v="2025-12-23T00:00:00"/>
    <s v="WTI Sprds"/>
    <s v="Expo"/>
    <n v="-1400"/>
    <d v="2026-03-31T00:00:00"/>
    <d v="2026-04-30T00:00:00"/>
    <n v="0.14000000000000001"/>
    <n v="0.19"/>
    <n v="-69.999999999999986"/>
    <n v="-196.00000000000003"/>
    <x v="56"/>
    <s v="Sell"/>
    <n v="-266"/>
    <x v="0"/>
    <x v="0"/>
    <n v="2026"/>
    <s v="Sell"/>
    <x v="1"/>
    <s v="Glencore FOB VLCC Jan26-30WTI SprdsExpo-14000.191420"/>
    <x v="1"/>
  </r>
  <r>
    <x v="87"/>
    <d v="2025-12-23T00:00:00"/>
    <s v="WTI-Brent"/>
    <s v="Expo"/>
    <n v="-1400"/>
    <d v="2026-04-30T00:00:00"/>
    <d v="2026-04-30T00:00:00"/>
    <n v="-3.55"/>
    <n v="-4.03"/>
    <n v="672.00000000000057"/>
    <n v="4970"/>
    <x v="58"/>
    <s v="Sell"/>
    <n v="5642"/>
    <x v="1"/>
    <x v="3"/>
    <n v="2026"/>
    <s v="Sell"/>
    <x v="1"/>
    <s v="Glencore FOB VLCC Jan26-30WTI-BrentExpo-1400-4.031421"/>
    <x v="1"/>
  </r>
  <r>
    <x v="87"/>
    <d v="2025-12-23T00:00:00"/>
    <s v="WTI-Brent"/>
    <s v="Hedge"/>
    <n v="500"/>
    <d v="2026-03-31T00:00:00"/>
    <d v="2026-03-31T00:00:00"/>
    <n v="-3.73"/>
    <n v="-4.47"/>
    <n v="-369.99999999999989"/>
    <n v="-1865"/>
    <x v="60"/>
    <s v="Buy"/>
    <n v="-2235"/>
    <x v="1"/>
    <x v="3"/>
    <n v="2026"/>
    <s v="Buy"/>
    <x v="1"/>
    <s v="Glencore FOB VLCC Jan26-30WTI-BrentHedge500-4.471422"/>
    <x v="1"/>
  </r>
  <r>
    <x v="87"/>
    <d v="2025-12-23T00:00:00"/>
    <s v="WTI Sprds"/>
    <s v="Hedge"/>
    <n v="87"/>
    <d v="2026-02-28T00:00:00"/>
    <d v="2026-03-31T00:00:00"/>
    <n v="0.25"/>
    <n v="0.13"/>
    <n v="-10.44"/>
    <n v="21.75"/>
    <x v="55"/>
    <s v="Buy"/>
    <n v="11.31"/>
    <x v="0"/>
    <x v="0"/>
    <n v="2026"/>
    <s v="Buy"/>
    <x v="1"/>
    <s v="Glencore FOB VLCC Jan26-30WTI SprdsHedge870.131423"/>
    <x v="1"/>
  </r>
  <r>
    <x v="87"/>
    <d v="2025-12-24T00:00:00"/>
    <s v="WTI Sprds"/>
    <s v="Hedge"/>
    <n v="500"/>
    <d v="2026-02-28T00:00:00"/>
    <d v="2026-03-31T00:00:00"/>
    <n v="0.22"/>
    <n v="0.13"/>
    <n v="-45"/>
    <n v="110"/>
    <x v="55"/>
    <s v="Buy"/>
    <n v="65"/>
    <x v="0"/>
    <x v="0"/>
    <n v="2026"/>
    <s v="Buy"/>
    <x v="1"/>
    <s v="Glencore FOB VLCC Jan26-30WTI SprdsHedge5000.131424"/>
    <x v="1"/>
  </r>
  <r>
    <x v="88"/>
    <d v="2025-12-29T00:00:00"/>
    <s v="Physical"/>
    <s v="Expo"/>
    <n v="700"/>
    <d v="2026-01-31T00:00:00"/>
    <d v="2026-01-31T00:00:00"/>
    <n v="0.17862179999999928"/>
    <n v="0.01"/>
    <n v="-118.03525999999948"/>
    <n v="125.0352599999995"/>
    <x v="52"/>
    <s v="Buy"/>
    <n v="7"/>
    <x v="2"/>
    <x v="4"/>
    <n v="2026"/>
    <s v="Buy"/>
    <x v="1"/>
    <s v="Feb26 EFP 1PhysicalExpo7000.011425"/>
    <x v="1"/>
  </r>
  <r>
    <x v="88"/>
    <d v="2025-12-29T00:00:00"/>
    <s v="WTI-Brent"/>
    <s v="Expo"/>
    <n v="-700"/>
    <d v="2026-02-28T00:00:00"/>
    <d v="2026-02-28T00:00:00"/>
    <n v="-3.83"/>
    <n v="-3.97"/>
    <n v="98.000000000000085"/>
    <n v="2681"/>
    <x v="54"/>
    <s v="Sell"/>
    <n v="2779"/>
    <x v="1"/>
    <x v="3"/>
    <n v="2026"/>
    <s v="Sell"/>
    <x v="1"/>
    <s v="Feb26 EFP 1WTI-BrentExpo-700-3.971426"/>
    <x v="1"/>
  </r>
  <r>
    <x v="88"/>
    <d v="2025-12-29T00:00:00"/>
    <s v="WTI-Brent"/>
    <s v="Hedge"/>
    <n v="700"/>
    <d v="2026-02-28T00:00:00"/>
    <d v="2026-02-28T00:00:00"/>
    <n v="-3.86"/>
    <n v="-3.97"/>
    <n v="-77.000000000000227"/>
    <n v="-2702"/>
    <x v="54"/>
    <s v="Buy"/>
    <n v="-2779"/>
    <x v="1"/>
    <x v="3"/>
    <n v="2026"/>
    <s v="Buy"/>
    <x v="1"/>
    <s v="Feb26 EFP 1WTI-BrentHedge700-3.971427"/>
    <x v="1"/>
  </r>
  <r>
    <x v="88"/>
    <d v="2025-12-29T00:00:00"/>
    <s v="Freight-TD25"/>
    <s v="Expo"/>
    <n v="-700"/>
    <d v="2026-02-28T00:00:00"/>
    <d v="2026-02-28T00:00:00"/>
    <n v="188"/>
    <n v="229.755"/>
    <n v="-584.56999999999994"/>
    <n v="-131600"/>
    <x v="54"/>
    <s v="Sell"/>
    <n v="-160828.5"/>
    <x v="3"/>
    <x v="5"/>
    <n v="2026"/>
    <s v="Sell"/>
    <x v="1"/>
    <s v="Feb26 EFP 1Freight-TD25Expo-700229.7551428"/>
    <x v="1"/>
  </r>
  <r>
    <x v="88"/>
    <d v="2025-12-29T00:00:00"/>
    <s v="Freight-TD7"/>
    <s v="Expo"/>
    <n v="700"/>
    <d v="2026-02-28T00:00:00"/>
    <d v="2026-02-28T00:00:00"/>
    <n v="123"/>
    <n v="135"/>
    <n v="42"/>
    <n v="86100"/>
    <x v="54"/>
    <s v="Buy"/>
    <n v="94500"/>
    <x v="3"/>
    <x v="5"/>
    <n v="2026"/>
    <s v="Buy"/>
    <x v="1"/>
    <s v="Feb26 EFP 1Freight-TD7Expo7001351429"/>
    <x v="1"/>
  </r>
  <r>
    <x v="89"/>
    <d v="2025-12-29T00:00:00"/>
    <s v="Physical"/>
    <s v="Expo"/>
    <n v="700"/>
    <d v="2026-02-28T00:00:00"/>
    <d v="2026-02-28T00:00:00"/>
    <n v="-2.65"/>
    <n v="-2.3199999999999998"/>
    <n v="231.00000000000006"/>
    <n v="-1855"/>
    <x v="54"/>
    <s v="Buy"/>
    <n v="-1624"/>
    <x v="2"/>
    <x v="4"/>
    <n v="2026"/>
    <s v="Buy"/>
    <x v="1"/>
    <s v="Vitol FOB Jan 28-29 EHSCPhysicalExpo700-2.321430"/>
    <x v="1"/>
  </r>
  <r>
    <x v="89"/>
    <d v="2025-12-29T00:00:00"/>
    <s v="MEH"/>
    <s v="Expo"/>
    <m/>
    <d v="2026-02-28T00:00:00"/>
    <d v="2026-02-28T00:00:00"/>
    <n v="0.73"/>
    <n v="1.1499999999999999"/>
    <n v="0"/>
    <n v="0"/>
    <x v="54"/>
    <s v="Buy"/>
    <n v="0"/>
    <x v="1"/>
    <x v="7"/>
    <n v="2026"/>
    <s v="Sell"/>
    <x v="1"/>
    <s v="Vitol FOB Jan 28-29 EHSCMEHExpo1.151431"/>
    <x v="1"/>
  </r>
  <r>
    <x v="89"/>
    <d v="2025-12-29T00:00:00"/>
    <s v="WTI Sprds"/>
    <s v="Expo"/>
    <n v="-700"/>
    <d v="2026-02-28T00:00:00"/>
    <d v="2026-03-31T00:00:00"/>
    <n v="0.24"/>
    <n v="0.13"/>
    <n v="76.999999999999986"/>
    <n v="-168"/>
    <x v="55"/>
    <s v="Sell"/>
    <n v="-91"/>
    <x v="0"/>
    <x v="0"/>
    <n v="2026"/>
    <s v="Sell"/>
    <x v="1"/>
    <s v="Vitol FOB Jan 28-29 EHSCWTI SprdsExpo-7000.131432"/>
    <x v="1"/>
  </r>
  <r>
    <x v="89"/>
    <d v="2025-12-29T00:00:00"/>
    <s v="WTI-Brent"/>
    <s v="Expo"/>
    <n v="-700"/>
    <d v="2026-03-31T00:00:00"/>
    <d v="2026-03-31T00:00:00"/>
    <n v="-3.63"/>
    <n v="-4.47"/>
    <n v="587.99999999999989"/>
    <n v="2541"/>
    <x v="60"/>
    <s v="Sell"/>
    <n v="3129"/>
    <x v="1"/>
    <x v="3"/>
    <n v="2026"/>
    <s v="Sell"/>
    <x v="1"/>
    <s v="Vitol FOB Jan 28-29 EHSCWTI-BrentExpo-700-4.471433"/>
    <x v="1"/>
  </r>
  <r>
    <x v="0"/>
    <d v="2025-12-29T00:00:00"/>
    <s v="CFD"/>
    <s v="Hedge"/>
    <n v="200"/>
    <s v="Jan05-Jan09"/>
    <d v="2026-01-31T00:00:00"/>
    <n v="0.97"/>
    <n v="0.97"/>
    <n v="0"/>
    <n v="194"/>
    <x v="52"/>
    <s v="Buy"/>
    <n v="194"/>
    <x v="1"/>
    <x v="1"/>
    <n v="2026"/>
    <s v="Buy"/>
    <x v="1"/>
    <s v="UnallocatedCFDHedge2000.971434"/>
    <x v="0"/>
  </r>
  <r>
    <x v="0"/>
    <d v="2025-12-29T00:00:00"/>
    <s v="CFD"/>
    <s v="Hedge"/>
    <n v="-200"/>
    <s v="Jan19-Jan23"/>
    <d v="2026-01-31T00:00:00"/>
    <n v="0.42999999999999994"/>
    <n v="0.42"/>
    <n v="1.9999999999999907"/>
    <n v="-85.999999999999986"/>
    <x v="52"/>
    <s v="Sell"/>
    <n v="-84"/>
    <x v="1"/>
    <x v="1"/>
    <n v="2026"/>
    <s v="Sell"/>
    <x v="1"/>
    <s v="UnallocatedCFDHedge-2000.421435"/>
    <x v="0"/>
  </r>
  <r>
    <x v="89"/>
    <d v="2025-12-29T00:00:00"/>
    <s v="WTI Sprds"/>
    <s v="Hedge"/>
    <n v="354"/>
    <d v="2026-02-28T00:00:00"/>
    <d v="2026-03-31T00:00:00"/>
    <n v="0.23"/>
    <n v="0.13"/>
    <n v="-35.4"/>
    <n v="81.42"/>
    <x v="55"/>
    <s v="Buy"/>
    <n v="46.02"/>
    <x v="0"/>
    <x v="0"/>
    <n v="2026"/>
    <s v="Buy"/>
    <x v="1"/>
    <s v="Vitol FOB Jan 28-29 EHSCWTI SprdsHedge3540.131436"/>
    <x v="1"/>
  </r>
  <r>
    <x v="89"/>
    <d v="2025-12-29T00:00:00"/>
    <s v="WTI Sprds"/>
    <s v="Hedge"/>
    <n v="93"/>
    <d v="2026-03-31T00:00:00"/>
    <d v="2026-04-30T00:00:00"/>
    <n v="0.17"/>
    <n v="0.19"/>
    <n v="1.859999999999999"/>
    <n v="15.81"/>
    <x v="56"/>
    <s v="Buy"/>
    <n v="17.670000000000002"/>
    <x v="0"/>
    <x v="0"/>
    <n v="2026"/>
    <s v="Buy"/>
    <x v="1"/>
    <s v="Vitol FOB Jan 28-29 EHSCWTI SprdsHedge930.191437"/>
    <x v="1"/>
  </r>
  <r>
    <x v="89"/>
    <d v="2025-12-30T00:00:00"/>
    <s v="Brent Sprds"/>
    <s v="Hedge"/>
    <n v="125"/>
    <d v="2026-02-28T00:00:00"/>
    <d v="2026-03-31T00:00:00"/>
    <n v="0.4"/>
    <n v="0.59"/>
    <n v="23.749999999999993"/>
    <n v="50"/>
    <x v="55"/>
    <s v="Buy"/>
    <n v="73.75"/>
    <x v="0"/>
    <x v="2"/>
    <n v="2026"/>
    <s v="Buy"/>
    <x v="1"/>
    <s v="Vitol FOB Jan 28-29 EHSCBrent SprdsHedge1250.591438"/>
    <x v="1"/>
  </r>
  <r>
    <x v="89"/>
    <d v="2025-12-30T00:00:00"/>
    <s v="WTI-Brent"/>
    <s v="Hedge"/>
    <n v="24"/>
    <d v="2026-02-28T00:00:00"/>
    <d v="2026-02-28T00:00:00"/>
    <n v="-3.97"/>
    <n v="-3.97"/>
    <n v="0"/>
    <n v="-95.28"/>
    <x v="54"/>
    <s v="Buy"/>
    <n v="-95.28"/>
    <x v="1"/>
    <x v="3"/>
    <n v="2026"/>
    <s v="Buy"/>
    <x v="1"/>
    <s v="Vitol FOB Jan 28-29 EHSCWTI-BrentHedge24-3.971439"/>
    <x v="1"/>
  </r>
  <r>
    <x v="89"/>
    <d v="2025-12-30T00:00:00"/>
    <s v="WTI Sprds"/>
    <s v="Hedge"/>
    <n v="354"/>
    <d v="2026-02-28T00:00:00"/>
    <d v="2026-03-31T00:00:00"/>
    <n v="0.21"/>
    <n v="0.13"/>
    <n v="-28.319999999999997"/>
    <n v="74.34"/>
    <x v="55"/>
    <s v="Buy"/>
    <n v="46.02"/>
    <x v="0"/>
    <x v="0"/>
    <n v="2026"/>
    <s v="Buy"/>
    <x v="1"/>
    <s v="Vitol FOB Jan 28-29 EHSCWTI SprdsHedge3540.131440"/>
    <x v="1"/>
  </r>
  <r>
    <x v="89"/>
    <d v="2025-12-30T00:00:00"/>
    <s v="WTI Sprds"/>
    <s v="Hedge"/>
    <n v="93"/>
    <d v="2026-03-31T00:00:00"/>
    <d v="2026-04-30T00:00:00"/>
    <n v="0.16"/>
    <n v="0.19"/>
    <n v="2.79"/>
    <n v="14.88"/>
    <x v="56"/>
    <s v="Buy"/>
    <n v="17.670000000000002"/>
    <x v="0"/>
    <x v="0"/>
    <n v="2026"/>
    <s v="Buy"/>
    <x v="1"/>
    <s v="Vitol FOB Jan 28-29 EHSCWTI SprdsHedge930.191441"/>
    <x v="1"/>
  </r>
  <r>
    <x v="89"/>
    <d v="2025-12-30T00:00:00"/>
    <s v="MEH"/>
    <s v="Hedge"/>
    <n v="375"/>
    <d v="2026-02-28T00:00:00"/>
    <d v="2026-02-28T00:00:00"/>
    <n v="0.67"/>
    <n v="1.1499999999999999"/>
    <n v="179.99999999999994"/>
    <n v="251.25000000000003"/>
    <x v="54"/>
    <s v="Buy"/>
    <n v="431.24999999999994"/>
    <x v="1"/>
    <x v="7"/>
    <n v="2026"/>
    <s v="Buy"/>
    <x v="1"/>
    <s v="Vitol FOB Jan 28-29 EHSCMEHHedge3751.151442"/>
    <x v="1"/>
  </r>
  <r>
    <x v="89"/>
    <d v="2025-12-30T00:00:00"/>
    <s v="MEH"/>
    <s v="Expo"/>
    <n v="12"/>
    <d v="2026-02-28T00:00:00"/>
    <d v="2026-02-28T00:00:00"/>
    <n v="0.69"/>
    <n v="1.1499999999999999"/>
    <n v="5.52"/>
    <n v="8.2799999999999994"/>
    <x v="54"/>
    <s v="Buy"/>
    <n v="13.799999999999999"/>
    <x v="1"/>
    <x v="7"/>
    <n v="2026"/>
    <s v="Buy"/>
    <x v="1"/>
    <s v="Vitol FOB Jan 28-29 EHSCMEHExpo121.151443"/>
    <x v="1"/>
  </r>
  <r>
    <x v="89"/>
    <d v="2025-12-30T00:00:00"/>
    <s v="WTI-Brent"/>
    <s v="Hedge"/>
    <n v="400"/>
    <d v="2026-04-30T00:00:00"/>
    <d v="2026-04-30T00:00:00"/>
    <n v="-3.42"/>
    <n v="-4.03"/>
    <n v="-244.00000000000011"/>
    <n v="-1368"/>
    <x v="58"/>
    <s v="Buy"/>
    <n v="-1612"/>
    <x v="1"/>
    <x v="3"/>
    <n v="2026"/>
    <s v="Buy"/>
    <x v="1"/>
    <s v="Vitol FOB Jan 28-29 EHSCWTI-BrentHedge400-4.031444"/>
    <x v="1"/>
  </r>
  <r>
    <x v="89"/>
    <d v="2025-12-31T00:00:00"/>
    <s v="WTI Sprds"/>
    <s v="Hedge"/>
    <n v="354"/>
    <d v="2026-02-28T00:00:00"/>
    <d v="2026-03-31T00:00:00"/>
    <n v="0.21"/>
    <n v="0.13"/>
    <n v="-28.319999999999997"/>
    <n v="74.34"/>
    <x v="55"/>
    <s v="Buy"/>
    <n v="46.02"/>
    <x v="0"/>
    <x v="0"/>
    <n v="2026"/>
    <s v="Buy"/>
    <x v="1"/>
    <s v="Vitol FOB Jan 28-29 EHSCWTI SprdsHedge3540.131445"/>
    <x v="1"/>
  </r>
  <r>
    <x v="89"/>
    <d v="2025-12-31T00:00:00"/>
    <s v="WTI Sprds"/>
    <s v="Hedge"/>
    <n v="93"/>
    <d v="2026-03-31T00:00:00"/>
    <d v="2026-04-30T00:00:00"/>
    <n v="0.16"/>
    <n v="0.19"/>
    <n v="2.79"/>
    <n v="14.88"/>
    <x v="56"/>
    <s v="Buy"/>
    <n v="17.670000000000002"/>
    <x v="0"/>
    <x v="0"/>
    <n v="2026"/>
    <s v="Buy"/>
    <x v="1"/>
    <s v="Vitol FOB Jan 28-29 EHSCWTI SprdsHedge930.191446"/>
    <x v="1"/>
  </r>
  <r>
    <x v="79"/>
    <d v="2025-12-31T00:00:00"/>
    <s v="Freight-TD25"/>
    <s v="Expo"/>
    <n v="250"/>
    <d v="2025-12-31T00:00:00"/>
    <d v="2025-12-31T00:00:00"/>
    <n v="208.93"/>
    <n v="208.93"/>
    <n v="0"/>
    <n v="52232.5"/>
    <x v="51"/>
    <s v="Buy"/>
    <n v="52232.5"/>
    <x v="3"/>
    <x v="5"/>
    <n v="2025"/>
    <s v="Buy"/>
    <x v="0"/>
    <s v="Dec25 EFP 1Freight-TD25Expo250208.931447"/>
    <x v="0"/>
  </r>
  <r>
    <x v="0"/>
    <d v="2025-12-31T00:00:00"/>
    <s v="DFL"/>
    <s v="Hedge"/>
    <n v="3"/>
    <d v="2025-12-31T00:00:00"/>
    <d v="2025-12-31T00:00:00"/>
    <n v="0.99"/>
    <n v="0.99"/>
    <n v="0"/>
    <n v="2.9699999999999998"/>
    <x v="51"/>
    <s v="Buy"/>
    <n v="2.9699999999999998"/>
    <x v="1"/>
    <x v="1"/>
    <n v="2025"/>
    <s v="Buy"/>
    <x v="0"/>
    <s v="UnallocatedDFLHedge30.991448"/>
    <x v="0"/>
  </r>
  <r>
    <x v="89"/>
    <d v="2025-12-31T00:00:00"/>
    <s v="MEH"/>
    <s v="Hedge"/>
    <n v="200"/>
    <d v="2026-02-28T00:00:00"/>
    <d v="2026-02-28T00:00:00"/>
    <n v="0.71"/>
    <n v="1.1499999999999999"/>
    <n v="87.999999999999986"/>
    <n v="142"/>
    <x v="54"/>
    <s v="Buy"/>
    <n v="229.99999999999997"/>
    <x v="1"/>
    <x v="7"/>
    <n v="2026"/>
    <s v="Buy"/>
    <x v="1"/>
    <s v="Vitol FOB Jan 28-29 EHSCMEHHedge2001.151449"/>
    <x v="1"/>
  </r>
  <r>
    <x v="29"/>
    <d v="2026-01-02T00:00:00"/>
    <s v="Brent Sprds"/>
    <s v="Hedge"/>
    <m/>
    <d v="2025-12-31T00:00:00"/>
    <d v="2025-12-31T00:00:00"/>
    <m/>
    <m/>
    <n v="-311.44900000002588"/>
    <n v="0"/>
    <x v="51"/>
    <s v="Buy"/>
    <n v="0"/>
    <x v="0"/>
    <x v="2"/>
    <n v="2025"/>
    <s v="Sell"/>
    <x v="0"/>
    <s v="EOY Flattening OutBrent SprdsHedge1450"/>
    <x v="0"/>
  </r>
  <r>
    <x v="29"/>
    <d v="2026-01-02T00:00:00"/>
    <s v="CFD"/>
    <s v="Hedge"/>
    <m/>
    <d v="2025-12-31T00:00:00"/>
    <d v="2025-12-31T00:00:00"/>
    <m/>
    <m/>
    <n v="-47.534000000000027"/>
    <n v="0"/>
    <x v="51"/>
    <s v="Buy"/>
    <n v="0"/>
    <x v="1"/>
    <x v="1"/>
    <n v="2025"/>
    <s v="Sell"/>
    <x v="0"/>
    <s v="EOY Flattening OutCFDHedge1451"/>
    <x v="0"/>
  </r>
  <r>
    <x v="29"/>
    <d v="2026-01-02T00:00:00"/>
    <s v="DFL"/>
    <s v="Hedge"/>
    <m/>
    <d v="2025-12-31T00:00:00"/>
    <d v="2025-12-31T00:00:00"/>
    <m/>
    <m/>
    <n v="-8569.2546979999988"/>
    <n v="0"/>
    <x v="51"/>
    <s v="Buy"/>
    <n v="0"/>
    <x v="1"/>
    <x v="1"/>
    <n v="2025"/>
    <s v="Sell"/>
    <x v="0"/>
    <s v="EOY Flattening OutDFLHedge1452"/>
    <x v="0"/>
  </r>
  <r>
    <x v="29"/>
    <d v="2026-01-02T00:00:00"/>
    <s v="Freight-TD22"/>
    <s v="Hedge"/>
    <m/>
    <d v="2025-12-31T00:00:00"/>
    <d v="2025-12-31T00:00:00"/>
    <m/>
    <m/>
    <n v="-2050"/>
    <n v="0"/>
    <x v="51"/>
    <s v="Buy"/>
    <n v="0"/>
    <x v="3"/>
    <x v="5"/>
    <n v="2025"/>
    <s v="Sell"/>
    <x v="0"/>
    <s v="EOY Flattening OutFreight-TD22Hedge1453"/>
    <x v="0"/>
  </r>
  <r>
    <x v="29"/>
    <d v="2026-01-02T00:00:00"/>
    <s v="Freight-TD25"/>
    <s v="Hedge"/>
    <m/>
    <d v="2025-12-31T00:00:00"/>
    <d v="2025-12-31T00:00:00"/>
    <m/>
    <m/>
    <n v="-1009.8591360891787"/>
    <n v="0"/>
    <x v="51"/>
    <s v="Buy"/>
    <n v="0"/>
    <x v="3"/>
    <x v="5"/>
    <n v="2025"/>
    <s v="Sell"/>
    <x v="0"/>
    <s v="EOY Flattening OutFreight-TD25Hedge1454"/>
    <x v="0"/>
  </r>
  <r>
    <x v="29"/>
    <d v="2026-01-02T00:00:00"/>
    <s v="Freight-TD7"/>
    <s v="Hedge"/>
    <m/>
    <d v="2025-12-31T00:00:00"/>
    <d v="2025-12-31T00:00:00"/>
    <m/>
    <m/>
    <n v="100.91439708939703"/>
    <n v="0"/>
    <x v="51"/>
    <s v="Buy"/>
    <n v="0"/>
    <x v="3"/>
    <x v="5"/>
    <n v="2025"/>
    <s v="Sell"/>
    <x v="0"/>
    <s v="EOY Flattening OutFreight-TD7Hedge1455"/>
    <x v="0"/>
  </r>
  <r>
    <x v="29"/>
    <d v="2026-01-02T00:00:00"/>
    <s v="Legacy 2024"/>
    <s v="Hedge"/>
    <m/>
    <d v="2025-12-31T00:00:00"/>
    <d v="2025-12-31T00:00:00"/>
    <m/>
    <m/>
    <n v="949"/>
    <n v="0"/>
    <x v="51"/>
    <s v="Buy"/>
    <n v="0"/>
    <x v="4"/>
    <x v="6"/>
    <n v="2025"/>
    <s v="Sell"/>
    <x v="0"/>
    <s v="EOY Flattening OutLegacy 2024Hedge1456"/>
    <x v="0"/>
  </r>
  <r>
    <x v="29"/>
    <d v="2026-01-02T00:00:00"/>
    <s v="MEH"/>
    <s v="Hedge"/>
    <m/>
    <d v="2025-12-31T00:00:00"/>
    <d v="2025-12-31T00:00:00"/>
    <m/>
    <m/>
    <n v="-234.36999999999998"/>
    <n v="0"/>
    <x v="51"/>
    <s v="Buy"/>
    <n v="0"/>
    <x v="1"/>
    <x v="7"/>
    <n v="2025"/>
    <s v="Sell"/>
    <x v="0"/>
    <s v="EOY Flattening OutMEHHedge1457"/>
    <x v="0"/>
  </r>
  <r>
    <x v="29"/>
    <d v="2026-01-02T00:00:00"/>
    <s v="Physical"/>
    <s v="Hedge"/>
    <m/>
    <d v="2025-12-31T00:00:00"/>
    <d v="2025-12-31T00:00:00"/>
    <m/>
    <m/>
    <n v="-3312.3642646368235"/>
    <n v="0"/>
    <x v="51"/>
    <s v="Buy"/>
    <n v="0"/>
    <x v="2"/>
    <x v="4"/>
    <n v="2025"/>
    <s v="Sell"/>
    <x v="1"/>
    <s v="EOY Flattening OutPhysicalHedge1458"/>
    <x v="0"/>
  </r>
  <r>
    <x v="29"/>
    <d v="2026-01-02T00:00:00"/>
    <s v="WTI Sprds"/>
    <s v="Hedge"/>
    <m/>
    <d v="2025-12-31T00:00:00"/>
    <d v="2025-12-31T00:00:00"/>
    <m/>
    <m/>
    <n v="-601.40999999993574"/>
    <n v="0"/>
    <x v="51"/>
    <s v="Buy"/>
    <n v="0"/>
    <x v="0"/>
    <x v="0"/>
    <n v="2025"/>
    <s v="Sell"/>
    <x v="0"/>
    <s v="EOY Flattening OutWTI SprdsHedge1459"/>
    <x v="0"/>
  </r>
  <r>
    <x v="29"/>
    <d v="2026-01-02T00:00:00"/>
    <s v="WTI Sprds-Fly"/>
    <s v="Hedge"/>
    <m/>
    <d v="2025-12-31T00:00:00"/>
    <d v="2025-12-31T00:00:00"/>
    <m/>
    <m/>
    <n v="-1478.3600000000131"/>
    <n v="0"/>
    <x v="51"/>
    <s v="Buy"/>
    <n v="0"/>
    <x v="0"/>
    <x v="0"/>
    <n v="2025"/>
    <s v="Sell"/>
    <x v="0"/>
    <s v="EOY Flattening OutWTI Sprds-FlyHedge1460"/>
    <x v="0"/>
  </r>
  <r>
    <x v="29"/>
    <d v="2026-01-02T00:00:00"/>
    <s v="WTI-Brent"/>
    <s v="Hedge"/>
    <m/>
    <d v="2025-12-31T00:00:00"/>
    <d v="2025-12-31T00:00:00"/>
    <m/>
    <m/>
    <n v="-4108.5550000000512"/>
    <n v="0"/>
    <x v="51"/>
    <s v="Buy"/>
    <n v="0"/>
    <x v="1"/>
    <x v="3"/>
    <n v="2025"/>
    <s v="Sell"/>
    <x v="0"/>
    <s v="EOY Flattening OutWTI-BrentHedge146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4">
  <r>
    <x v="0"/>
    <x v="0"/>
    <x v="0"/>
    <x v="0"/>
    <m/>
    <x v="0"/>
    <d v="2025-11-30T00:00:00"/>
    <m/>
    <m/>
    <n v="-196"/>
    <n v="0"/>
    <x v="0"/>
    <s v="Buy"/>
    <n v="0"/>
    <x v="0"/>
    <x v="0"/>
    <n v="2025"/>
    <s v="Sell"/>
    <s v="Active"/>
    <n v="0"/>
    <d v="2025-11-30T00:00:00"/>
    <n v="0"/>
    <n v="0"/>
    <d v="2025-11-30T00:00:00"/>
    <n v="0"/>
  </r>
  <r>
    <x v="1"/>
    <x v="0"/>
    <x v="0"/>
    <x v="0"/>
    <m/>
    <x v="1"/>
    <d v="2025-12-31T00:00:00"/>
    <m/>
    <m/>
    <n v="-222"/>
    <n v="0"/>
    <x v="1"/>
    <s v="Buy"/>
    <n v="0"/>
    <x v="0"/>
    <x v="0"/>
    <n v="2025"/>
    <s v="Sell"/>
    <s v="Active"/>
    <n v="0"/>
    <d v="2025-12-31T00:00:00"/>
    <n v="0"/>
    <n v="0"/>
    <d v="2025-12-31T00:00:00"/>
    <n v="0"/>
  </r>
  <r>
    <x v="2"/>
    <x v="0"/>
    <x v="0"/>
    <x v="0"/>
    <m/>
    <x v="1"/>
    <d v="2025-12-31T00:00:00"/>
    <m/>
    <m/>
    <n v="605"/>
    <n v="0"/>
    <x v="1"/>
    <s v="Buy"/>
    <n v="0"/>
    <x v="0"/>
    <x v="0"/>
    <n v="2025"/>
    <s v="Sell"/>
    <s v="Active"/>
    <n v="0"/>
    <d v="2025-12-31T00:00:00"/>
    <n v="0"/>
    <n v="0"/>
    <d v="2025-12-31T00:00:00"/>
    <n v="0"/>
  </r>
  <r>
    <x v="3"/>
    <x v="0"/>
    <x v="0"/>
    <x v="1"/>
    <m/>
    <x v="2"/>
    <m/>
    <m/>
    <m/>
    <n v="408"/>
    <n v="0"/>
    <x v="2"/>
    <s v="Buy"/>
    <n v="0"/>
    <x v="0"/>
    <x v="1"/>
    <n v="2025"/>
    <s v="Sell"/>
    <s v="Active"/>
    <s v="Brent"/>
    <d v="1899-12-30T00:00:00"/>
    <n v="0"/>
    <s v="Brent"/>
    <d v="1899-12-30T00:00:00"/>
    <n v="0"/>
  </r>
  <r>
    <x v="3"/>
    <x v="0"/>
    <x v="0"/>
    <x v="1"/>
    <m/>
    <x v="2"/>
    <m/>
    <m/>
    <m/>
    <n v="-191"/>
    <n v="0"/>
    <x v="2"/>
    <s v="Buy"/>
    <n v="0"/>
    <x v="0"/>
    <x v="2"/>
    <n v="2025"/>
    <s v="Sell"/>
    <m/>
    <s v="WTI"/>
    <d v="1899-12-30T00:00:00"/>
    <n v="0"/>
    <s v="WTI"/>
    <d v="1899-12-30T00:00:00"/>
    <n v="0"/>
  </r>
  <r>
    <x v="3"/>
    <x v="0"/>
    <x v="0"/>
    <x v="1"/>
    <m/>
    <x v="2"/>
    <m/>
    <m/>
    <m/>
    <n v="428"/>
    <n v="0"/>
    <x v="2"/>
    <s v="Buy"/>
    <n v="0"/>
    <x v="0"/>
    <x v="3"/>
    <n v="2025"/>
    <s v="Sell"/>
    <m/>
    <e v="#N/A"/>
    <d v="1899-12-30T00:00:00"/>
    <n v="0"/>
    <e v="#N/A"/>
    <d v="1899-12-30T00:00:00"/>
    <n v="0"/>
  </r>
  <r>
    <x v="3"/>
    <x v="0"/>
    <x v="0"/>
    <x v="1"/>
    <m/>
    <x v="2"/>
    <m/>
    <m/>
    <m/>
    <n v="386"/>
    <n v="0"/>
    <x v="2"/>
    <s v="Buy"/>
    <n v="0"/>
    <x v="0"/>
    <x v="4"/>
    <n v="2025"/>
    <s v="Sell"/>
    <m/>
    <e v="#N/A"/>
    <d v="1899-12-30T00:00:00"/>
    <n v="0"/>
    <e v="#N/A"/>
    <d v="1899-12-30T00:00:00"/>
    <n v="0"/>
  </r>
  <r>
    <x v="3"/>
    <x v="0"/>
    <x v="0"/>
    <x v="1"/>
    <m/>
    <x v="2"/>
    <m/>
    <m/>
    <m/>
    <n v="-274"/>
    <n v="0"/>
    <x v="2"/>
    <s v="Buy"/>
    <n v="0"/>
    <x v="0"/>
    <x v="5"/>
    <n v="2025"/>
    <s v="Sell"/>
    <m/>
    <n v="0"/>
    <d v="1899-12-30T00:00:00"/>
    <n v="0"/>
    <n v="0"/>
    <d v="1899-12-30T00:00:00"/>
    <n v="0"/>
  </r>
  <r>
    <x v="3"/>
    <x v="0"/>
    <x v="0"/>
    <x v="1"/>
    <m/>
    <x v="2"/>
    <m/>
    <m/>
    <m/>
    <n v="-342"/>
    <n v="0"/>
    <x v="2"/>
    <s v="Buy"/>
    <n v="0"/>
    <x v="0"/>
    <x v="6"/>
    <n v="2025"/>
    <s v="Sell"/>
    <m/>
    <s v="WTI"/>
    <d v="1899-12-30T00:00:00"/>
    <n v="0"/>
    <s v="Brent"/>
    <d v="1899-12-30T00:00:00"/>
    <n v="0"/>
  </r>
  <r>
    <x v="4"/>
    <x v="1"/>
    <x v="1"/>
    <x v="0"/>
    <n v="-2100"/>
    <x v="3"/>
    <d v="2026-01-31T00:00:00"/>
    <n v="-3.96"/>
    <n v="-4.6500000000000004"/>
    <m/>
    <n v="8316"/>
    <x v="3"/>
    <s v="Sell"/>
    <n v="9765"/>
    <x v="1"/>
    <x v="6"/>
    <n v="2026"/>
    <s v="Sell"/>
    <s v="Active"/>
    <s v="WTI"/>
    <d v="2026-01-31T00:00:00"/>
    <n v="-2100"/>
    <s v="Brent"/>
    <d v="2026-01-31T00:00:00"/>
    <n v="2100"/>
  </r>
  <r>
    <x v="0"/>
    <x v="2"/>
    <x v="2"/>
    <x v="0"/>
    <n v="2100"/>
    <x v="0"/>
    <d v="2025-11-30T00:00:00"/>
    <n v="3.8866666666666667"/>
    <n v="3.98"/>
    <n v="195.99999999999986"/>
    <n v="8162"/>
    <x v="0"/>
    <s v="Buy"/>
    <n v="8358"/>
    <x v="2"/>
    <x v="7"/>
    <n v="2025"/>
    <s v="Buy"/>
    <s v="Active"/>
    <n v="0"/>
    <d v="2025-11-30T00:00:00"/>
    <n v="2100"/>
    <n v="0"/>
    <d v="2025-11-30T00:00:00"/>
    <n v="-2100"/>
  </r>
  <r>
    <x v="0"/>
    <x v="2"/>
    <x v="1"/>
    <x v="0"/>
    <n v="-2100"/>
    <x v="3"/>
    <d v="2026-01-31T00:00:00"/>
    <n v="-3.95"/>
    <n v="-4.6500000000000004"/>
    <m/>
    <n v="8295"/>
    <x v="3"/>
    <s v="Sell"/>
    <n v="9765"/>
    <x v="1"/>
    <x v="6"/>
    <n v="2026"/>
    <s v="Sell"/>
    <s v="Active"/>
    <s v="WTI"/>
    <d v="2026-01-31T00:00:00"/>
    <n v="-2100"/>
    <s v="Brent"/>
    <d v="2026-01-31T00:00:00"/>
    <n v="2100"/>
  </r>
  <r>
    <x v="0"/>
    <x v="3"/>
    <x v="1"/>
    <x v="2"/>
    <n v="1000"/>
    <x v="3"/>
    <d v="2026-01-31T00:00:00"/>
    <n v="-4.05"/>
    <n v="-4.6500000000000004"/>
    <m/>
    <n v="-4050"/>
    <x v="3"/>
    <s v="Buy"/>
    <n v="-4650"/>
    <x v="1"/>
    <x v="6"/>
    <n v="2026"/>
    <s v="Buy"/>
    <s v="Active"/>
    <s v="WTI"/>
    <d v="2026-01-31T00:00:00"/>
    <n v="1000"/>
    <s v="Brent"/>
    <d v="2026-01-31T00:00:00"/>
    <n v="-1000"/>
  </r>
  <r>
    <x v="5"/>
    <x v="4"/>
    <x v="1"/>
    <x v="2"/>
    <n v="1000"/>
    <x v="3"/>
    <d v="2026-01-31T00:00:00"/>
    <n v="-4.2"/>
    <n v="-4.6500000000000004"/>
    <m/>
    <n v="-4200"/>
    <x v="3"/>
    <s v="Buy"/>
    <n v="-4650"/>
    <x v="1"/>
    <x v="6"/>
    <n v="2026"/>
    <s v="Buy"/>
    <s v="Active"/>
    <s v="WTI"/>
    <d v="2026-01-31T00:00:00"/>
    <n v="1000"/>
    <s v="Brent"/>
    <d v="2026-01-31T00:00:00"/>
    <n v="-1000"/>
  </r>
  <r>
    <x v="6"/>
    <x v="5"/>
    <x v="1"/>
    <x v="0"/>
    <n v="0"/>
    <x v="3"/>
    <d v="2026-01-31T00:00:00"/>
    <m/>
    <n v="-4.6500000000000004"/>
    <m/>
    <n v="0"/>
    <x v="3"/>
    <s v="Buy"/>
    <n v="0"/>
    <x v="1"/>
    <x v="6"/>
    <n v="2026"/>
    <s v="Sell"/>
    <s v="Active"/>
    <s v="WTI"/>
    <d v="2026-01-31T00:00:00"/>
    <n v="0"/>
    <s v="Brent"/>
    <d v="2026-01-31T00:00:00"/>
    <n v="0"/>
  </r>
  <r>
    <x v="6"/>
    <x v="6"/>
    <x v="1"/>
    <x v="2"/>
    <n v="1200"/>
    <x v="3"/>
    <d v="2026-01-31T00:00:00"/>
    <n v="-4.1000000000000014"/>
    <n v="-4.6500000000000004"/>
    <m/>
    <n v="-4920.0000000000018"/>
    <x v="3"/>
    <s v="Buy"/>
    <n v="-5580"/>
    <x v="1"/>
    <x v="6"/>
    <n v="2026"/>
    <s v="Buy"/>
    <s v="Active"/>
    <s v="WTI"/>
    <d v="2026-01-31T00:00:00"/>
    <n v="1200"/>
    <s v="Brent"/>
    <d v="2026-01-31T00:00:00"/>
    <n v="-1200"/>
  </r>
  <r>
    <x v="6"/>
    <x v="6"/>
    <x v="1"/>
    <x v="2"/>
    <n v="893"/>
    <x v="3"/>
    <d v="2026-01-31T00:00:00"/>
    <n v="-4.1500000000000004"/>
    <n v="-4.6500000000000004"/>
    <m/>
    <n v="-3705.9500000000003"/>
    <x v="3"/>
    <s v="Buy"/>
    <n v="-4152.4500000000007"/>
    <x v="1"/>
    <x v="6"/>
    <n v="2026"/>
    <s v="Buy"/>
    <s v="Active"/>
    <s v="WTI"/>
    <d v="2026-01-31T00:00:00"/>
    <n v="893"/>
    <s v="Brent"/>
    <d v="2026-01-31T00:00:00"/>
    <n v="-893"/>
  </r>
  <r>
    <x v="7"/>
    <x v="7"/>
    <x v="1"/>
    <x v="0"/>
    <n v="-2100"/>
    <x v="4"/>
    <d v="2026-02-28T00:00:00"/>
    <n v="-3.98"/>
    <n v="-3.97"/>
    <n v="-20.999999999999552"/>
    <n v="8358"/>
    <x v="4"/>
    <s v="Sell"/>
    <n v="8337"/>
    <x v="1"/>
    <x v="6"/>
    <n v="2026"/>
    <s v="Sell"/>
    <s v="Active"/>
    <s v="WTI"/>
    <d v="2026-02-28T00:00:00"/>
    <n v="-2100"/>
    <s v="Brent"/>
    <d v="2026-02-28T00:00:00"/>
    <n v="2100"/>
  </r>
  <r>
    <x v="7"/>
    <x v="7"/>
    <x v="3"/>
    <x v="0"/>
    <n v="-2005"/>
    <x v="4"/>
    <d v="2026-03-31T00:00:00"/>
    <n v="0.15"/>
    <n v="0.59"/>
    <n v="-882.19999999999993"/>
    <n v="-300.75"/>
    <x v="5"/>
    <s v="Sell"/>
    <n v="-1182.95"/>
    <x v="3"/>
    <x v="1"/>
    <n v="2026"/>
    <s v="Sell"/>
    <s v="Active"/>
    <s v="Brent"/>
    <d v="2026-02-28T00:00:00"/>
    <n v="-2005"/>
    <s v="Brent"/>
    <d v="2026-03-31T00:00:00"/>
    <n v="2005"/>
  </r>
  <r>
    <x v="7"/>
    <x v="7"/>
    <x v="3"/>
    <x v="0"/>
    <n v="-95"/>
    <x v="5"/>
    <d v="2026-04-30T00:00:00"/>
    <n v="0.05"/>
    <n v="1.37"/>
    <n v="-125.4"/>
    <n v="-4.75"/>
    <x v="6"/>
    <s v="Sell"/>
    <n v="-130.15"/>
    <x v="3"/>
    <x v="1"/>
    <n v="2026"/>
    <s v="Sell"/>
    <s v="Active"/>
    <s v="Brent"/>
    <d v="2026-03-31T00:00:00"/>
    <n v="-95"/>
    <s v="Brent"/>
    <d v="2026-04-30T00:00:00"/>
    <n v="95"/>
  </r>
  <r>
    <x v="7"/>
    <x v="8"/>
    <x v="1"/>
    <x v="2"/>
    <n v="725"/>
    <x v="4"/>
    <d v="2026-02-28T00:00:00"/>
    <n v="-4.0000000000000071"/>
    <n v="-3.97"/>
    <n v="21.750000000005009"/>
    <n v="-2900.000000000005"/>
    <x v="4"/>
    <s v="Buy"/>
    <n v="-2878.25"/>
    <x v="1"/>
    <x v="6"/>
    <n v="2026"/>
    <s v="Buy"/>
    <s v="Active"/>
    <s v="WTI"/>
    <d v="2026-02-28T00:00:00"/>
    <n v="725"/>
    <s v="Brent"/>
    <d v="2026-02-28T00:00:00"/>
    <n v="-725"/>
  </r>
  <r>
    <x v="7"/>
    <x v="7"/>
    <x v="1"/>
    <x v="2"/>
    <n v="1400"/>
    <x v="4"/>
    <d v="2026-02-28T00:00:00"/>
    <n v="-4.0300000000000011"/>
    <n v="-3.97"/>
    <n v="84.000000000001322"/>
    <n v="-5642.0000000000018"/>
    <x v="4"/>
    <s v="Buy"/>
    <n v="-5558"/>
    <x v="1"/>
    <x v="6"/>
    <n v="2026"/>
    <s v="Buy"/>
    <s v="Active"/>
    <s v="WTI"/>
    <d v="2026-02-28T00:00:00"/>
    <n v="1400"/>
    <s v="Brent"/>
    <d v="2026-02-28T00:00:00"/>
    <n v="-1400"/>
  </r>
  <r>
    <x v="7"/>
    <x v="9"/>
    <x v="3"/>
    <x v="2"/>
    <n v="200"/>
    <x v="4"/>
    <d v="2026-03-31T00:00:00"/>
    <n v="0.25"/>
    <n v="0.59"/>
    <n v="68"/>
    <n v="50"/>
    <x v="5"/>
    <s v="Buy"/>
    <n v="118"/>
    <x v="3"/>
    <x v="1"/>
    <n v="2026"/>
    <s v="Buy"/>
    <s v="Active"/>
    <s v="Brent"/>
    <d v="2026-02-28T00:00:00"/>
    <n v="200"/>
    <s v="Brent"/>
    <d v="2026-03-31T00:00:00"/>
    <n v="-200"/>
  </r>
  <r>
    <x v="7"/>
    <x v="9"/>
    <x v="3"/>
    <x v="2"/>
    <n v="200"/>
    <x v="4"/>
    <d v="2026-03-31T00:00:00"/>
    <n v="0.24"/>
    <n v="0.59"/>
    <n v="70"/>
    <n v="48"/>
    <x v="5"/>
    <s v="Buy"/>
    <n v="118"/>
    <x v="3"/>
    <x v="1"/>
    <n v="2026"/>
    <s v="Buy"/>
    <s v="Active"/>
    <s v="Brent"/>
    <d v="2026-02-28T00:00:00"/>
    <n v="200"/>
    <s v="Brent"/>
    <d v="2026-03-31T00:00:00"/>
    <n v="-200"/>
  </r>
  <r>
    <x v="8"/>
    <x v="10"/>
    <x v="1"/>
    <x v="0"/>
    <n v="-700"/>
    <x v="4"/>
    <d v="2026-02-28T00:00:00"/>
    <n v="-4"/>
    <n v="-3.97"/>
    <n v="-20.999999999999865"/>
    <n v="2800"/>
    <x v="4"/>
    <s v="Sell"/>
    <n v="2779"/>
    <x v="1"/>
    <x v="6"/>
    <n v="2026"/>
    <s v="Sell"/>
    <s v="Active"/>
    <s v="WTI"/>
    <d v="2026-02-28T00:00:00"/>
    <n v="-700"/>
    <s v="Brent"/>
    <d v="2026-02-28T00:00:00"/>
    <n v="700"/>
  </r>
  <r>
    <x v="8"/>
    <x v="10"/>
    <x v="1"/>
    <x v="2"/>
    <n v="350"/>
    <x v="4"/>
    <d v="2026-02-28T00:00:00"/>
    <n v="-4.0200000000000005"/>
    <n v="-3.97"/>
    <n v="17.500000000000092"/>
    <n v="-1407.0000000000002"/>
    <x v="4"/>
    <s v="Buy"/>
    <n v="-1389.5"/>
    <x v="1"/>
    <x v="6"/>
    <n v="2026"/>
    <s v="Buy"/>
    <s v="Active"/>
    <s v="WTI"/>
    <d v="2026-02-28T00:00:00"/>
    <n v="350"/>
    <s v="Brent"/>
    <d v="2026-02-28T00:00:00"/>
    <n v="-350"/>
  </r>
  <r>
    <x v="8"/>
    <x v="10"/>
    <x v="1"/>
    <x v="2"/>
    <n v="-350"/>
    <x v="6"/>
    <d v="2026-06-30T00:00:00"/>
    <n v="-3.68"/>
    <n v="-8.94"/>
    <n v="1841"/>
    <n v="1288"/>
    <x v="7"/>
    <s v="Sell"/>
    <n v="3129"/>
    <x v="1"/>
    <x v="6"/>
    <n v="2026"/>
    <s v="Sell"/>
    <s v="Active"/>
    <s v="WTI"/>
    <d v="2026-06-30T00:00:00"/>
    <n v="-350"/>
    <s v="Brent"/>
    <d v="2026-06-30T00:00:00"/>
    <n v="350"/>
  </r>
  <r>
    <x v="8"/>
    <x v="11"/>
    <x v="1"/>
    <x v="2"/>
    <n v="500"/>
    <x v="4"/>
    <d v="2026-02-28T00:00:00"/>
    <n v="-4"/>
    <n v="-3.97"/>
    <n v="14.999999999999902"/>
    <n v="-2000"/>
    <x v="4"/>
    <s v="Buy"/>
    <n v="-1985"/>
    <x v="1"/>
    <x v="6"/>
    <n v="2026"/>
    <s v="Buy"/>
    <s v="Active"/>
    <s v="WTI"/>
    <d v="2026-02-28T00:00:00"/>
    <n v="500"/>
    <s v="Brent"/>
    <d v="2026-02-28T00:00:00"/>
    <n v="-500"/>
  </r>
  <r>
    <x v="8"/>
    <x v="11"/>
    <x v="1"/>
    <x v="2"/>
    <n v="-500"/>
    <x v="6"/>
    <d v="2026-06-30T00:00:00"/>
    <n v="-3.6520000000000001"/>
    <n v="-8.94"/>
    <n v="2643.9999999999995"/>
    <n v="1826"/>
    <x v="7"/>
    <s v="Sell"/>
    <n v="4470"/>
    <x v="1"/>
    <x v="6"/>
    <n v="2026"/>
    <s v="Sell"/>
    <s v="Active"/>
    <s v="WTI"/>
    <d v="2026-06-30T00:00:00"/>
    <n v="-500"/>
    <s v="Brent"/>
    <d v="2026-06-30T00:00:00"/>
    <n v="500"/>
  </r>
  <r>
    <x v="9"/>
    <x v="11"/>
    <x v="2"/>
    <x v="0"/>
    <n v="700"/>
    <x v="1"/>
    <d v="2025-12-31T00:00:00"/>
    <n v="1.7800000000000007"/>
    <n v="1.86"/>
    <n v="55.999999999999581"/>
    <n v="1246.0000000000005"/>
    <x v="1"/>
    <s v="Buy"/>
    <n v="1302"/>
    <x v="2"/>
    <x v="7"/>
    <n v="2025"/>
    <s v="Buy"/>
    <s v="Active"/>
    <n v="0"/>
    <d v="2025-12-31T00:00:00"/>
    <n v="700"/>
    <n v="0"/>
    <d v="2025-12-31T00:00:00"/>
    <n v="-700"/>
  </r>
  <r>
    <x v="9"/>
    <x v="11"/>
    <x v="1"/>
    <x v="0"/>
    <n v="-700"/>
    <x v="4"/>
    <d v="2026-02-28T00:00:00"/>
    <n v="-4.0199999999999996"/>
    <n v="-3.97"/>
    <n v="-34.999999999999567"/>
    <n v="2813.9999999999995"/>
    <x v="4"/>
    <s v="Sell"/>
    <n v="2779"/>
    <x v="1"/>
    <x v="6"/>
    <n v="2026"/>
    <s v="Sell"/>
    <s v="Active"/>
    <s v="WTI"/>
    <d v="2026-02-28T00:00:00"/>
    <n v="-700"/>
    <s v="Brent"/>
    <d v="2026-02-28T00:00:00"/>
    <n v="700"/>
  </r>
  <r>
    <x v="9"/>
    <x v="11"/>
    <x v="3"/>
    <x v="0"/>
    <n v="-700"/>
    <x v="4"/>
    <d v="2026-03-31T00:00:00"/>
    <n v="0.33"/>
    <n v="0.59"/>
    <n v="-181.99999999999997"/>
    <n v="-231"/>
    <x v="5"/>
    <s v="Sell"/>
    <n v="-413"/>
    <x v="3"/>
    <x v="1"/>
    <n v="2026"/>
    <s v="Sell"/>
    <s v="Active"/>
    <s v="Brent"/>
    <d v="2026-02-28T00:00:00"/>
    <n v="-700"/>
    <s v="Brent"/>
    <d v="2026-03-31T00:00:00"/>
    <n v="700"/>
  </r>
  <r>
    <x v="9"/>
    <x v="11"/>
    <x v="3"/>
    <x v="0"/>
    <n v="-33"/>
    <x v="5"/>
    <d v="2026-04-30T00:00:00"/>
    <n v="0.17"/>
    <n v="1.37"/>
    <n v="-39.600000000000009"/>
    <n v="-5.61"/>
    <x v="6"/>
    <s v="Sell"/>
    <n v="-45.21"/>
    <x v="3"/>
    <x v="1"/>
    <n v="2026"/>
    <s v="Sell"/>
    <s v="Active"/>
    <s v="Brent"/>
    <d v="2026-03-31T00:00:00"/>
    <n v="-33"/>
    <s v="Brent"/>
    <d v="2026-04-30T00:00:00"/>
    <n v="33"/>
  </r>
  <r>
    <x v="9"/>
    <x v="11"/>
    <x v="4"/>
    <x v="0"/>
    <n v="700"/>
    <x v="3"/>
    <d v="2026-01-31T00:00:00"/>
    <n v="0.4"/>
    <n v="2.09"/>
    <n v="1183"/>
    <n v="280"/>
    <x v="3"/>
    <s v="Buy"/>
    <n v="1463"/>
    <x v="1"/>
    <x v="4"/>
    <n v="2026"/>
    <s v="Buy"/>
    <s v="Active"/>
    <e v="#N/A"/>
    <d v="2026-01-31T00:00:00"/>
    <n v="700"/>
    <e v="#N/A"/>
    <d v="2026-01-31T00:00:00"/>
    <n v="-700"/>
  </r>
  <r>
    <x v="5"/>
    <x v="11"/>
    <x v="1"/>
    <x v="2"/>
    <n v="107"/>
    <x v="3"/>
    <d v="2026-01-31T00:00:00"/>
    <n v="-4.25"/>
    <n v="-4.6500000000000004"/>
    <m/>
    <n v="-454.75"/>
    <x v="3"/>
    <s v="Buy"/>
    <n v="-497.55"/>
    <x v="1"/>
    <x v="6"/>
    <n v="2026"/>
    <s v="Buy"/>
    <s v="Active"/>
    <s v="WTI"/>
    <d v="2026-01-31T00:00:00"/>
    <n v="107"/>
    <s v="Brent"/>
    <d v="2026-01-31T00:00:00"/>
    <n v="-107"/>
  </r>
  <r>
    <x v="5"/>
    <x v="12"/>
    <x v="3"/>
    <x v="2"/>
    <n v="1000"/>
    <x v="4"/>
    <d v="2026-03-31T00:00:00"/>
    <n v="0.34"/>
    <n v="0.59"/>
    <n v="249.99999999999994"/>
    <n v="340"/>
    <x v="5"/>
    <s v="Buy"/>
    <n v="590"/>
    <x v="3"/>
    <x v="1"/>
    <n v="2026"/>
    <s v="Buy"/>
    <s v="Active"/>
    <s v="Brent"/>
    <d v="2026-02-28T00:00:00"/>
    <n v="1000"/>
    <s v="Brent"/>
    <d v="2026-03-31T00:00:00"/>
    <n v="-1000"/>
  </r>
  <r>
    <x v="5"/>
    <x v="13"/>
    <x v="4"/>
    <x v="2"/>
    <n v="-1000"/>
    <x v="3"/>
    <d v="2026-01-31T00:00:00"/>
    <n v="0.48"/>
    <n v="2.09"/>
    <n v="-1609.9999999999998"/>
    <n v="-480"/>
    <x v="3"/>
    <s v="Sell"/>
    <n v="-2090"/>
    <x v="1"/>
    <x v="4"/>
    <n v="2026"/>
    <s v="Sell"/>
    <s v="Active"/>
    <e v="#N/A"/>
    <d v="2026-01-31T00:00:00"/>
    <n v="-1000"/>
    <e v="#N/A"/>
    <d v="2026-01-31T00:00:00"/>
    <n v="1000"/>
  </r>
  <r>
    <x v="2"/>
    <x v="14"/>
    <x v="2"/>
    <x v="0"/>
    <n v="1349"/>
    <x v="1"/>
    <d v="2025-12-31T00:00:00"/>
    <n v="0.75768667642752585"/>
    <n v="0.5"/>
    <n v="-347.61932650073237"/>
    <n v="1022.1193265007324"/>
    <x v="1"/>
    <s v="Buy"/>
    <n v="674.5"/>
    <x v="2"/>
    <x v="7"/>
    <n v="2025"/>
    <s v="Buy"/>
    <s v="Active"/>
    <n v="0"/>
    <d v="2025-12-31T00:00:00"/>
    <n v="1349"/>
    <n v="0"/>
    <d v="2025-12-31T00:00:00"/>
    <n v="-1349"/>
  </r>
  <r>
    <x v="2"/>
    <x v="14"/>
    <x v="2"/>
    <x v="0"/>
    <n v="700"/>
    <x v="1"/>
    <d v="2025-12-31T00:00:00"/>
    <n v="0.86768667642752573"/>
    <n v="0.5"/>
    <n v="-257.38067349926803"/>
    <n v="607.38067349926803"/>
    <x v="1"/>
    <s v="Buy"/>
    <n v="350"/>
    <x v="2"/>
    <x v="7"/>
    <n v="2025"/>
    <s v="Buy"/>
    <s v="Active"/>
    <n v="0"/>
    <d v="2025-12-31T00:00:00"/>
    <n v="700"/>
    <n v="0"/>
    <d v="2025-12-31T00:00:00"/>
    <n v="-700"/>
  </r>
  <r>
    <x v="2"/>
    <x v="14"/>
    <x v="1"/>
    <x v="0"/>
    <n v="-1349"/>
    <x v="4"/>
    <d v="2026-02-28T00:00:00"/>
    <n v="-4.05"/>
    <n v="-3.97"/>
    <n v="-107.91999999999949"/>
    <n v="5463.45"/>
    <x v="4"/>
    <s v="Sell"/>
    <n v="5355.5300000000007"/>
    <x v="1"/>
    <x v="6"/>
    <n v="2026"/>
    <s v="Sell"/>
    <s v="Active"/>
    <s v="WTI"/>
    <d v="2026-02-28T00:00:00"/>
    <n v="-1349"/>
    <s v="Brent"/>
    <d v="2026-02-28T00:00:00"/>
    <n v="1349"/>
  </r>
  <r>
    <x v="2"/>
    <x v="14"/>
    <x v="3"/>
    <x v="0"/>
    <n v="-2049"/>
    <x v="4"/>
    <d v="2026-03-31T00:00:00"/>
    <n v="0.3"/>
    <n v="0.59"/>
    <n v="-594.20999999999992"/>
    <n v="-614.69999999999993"/>
    <x v="5"/>
    <s v="Sell"/>
    <n v="-1208.9099999999999"/>
    <x v="3"/>
    <x v="1"/>
    <n v="2026"/>
    <s v="Sell"/>
    <s v="Active"/>
    <s v="Brent"/>
    <d v="2026-02-28T00:00:00"/>
    <n v="-2049"/>
    <s v="Brent"/>
    <d v="2026-03-31T00:00:00"/>
    <n v="2049"/>
  </r>
  <r>
    <x v="2"/>
    <x v="14"/>
    <x v="4"/>
    <x v="0"/>
    <n v="2049"/>
    <x v="3"/>
    <d v="2026-01-31T00:00:00"/>
    <n v="0.45"/>
    <n v="2.09"/>
    <n v="3360.3599999999997"/>
    <n v="922.05000000000007"/>
    <x v="3"/>
    <s v="Buy"/>
    <n v="4282.41"/>
    <x v="1"/>
    <x v="4"/>
    <n v="2026"/>
    <s v="Buy"/>
    <s v="Active"/>
    <e v="#N/A"/>
    <d v="2026-01-31T00:00:00"/>
    <n v="2049"/>
    <e v="#N/A"/>
    <d v="2026-01-31T00:00:00"/>
    <n v="-2049"/>
  </r>
  <r>
    <x v="7"/>
    <x v="14"/>
    <x v="1"/>
    <x v="2"/>
    <n v="450"/>
    <x v="4"/>
    <d v="2026-02-28T00:00:00"/>
    <n v="-4.1067"/>
    <n v="-3.97"/>
    <n v="61.514999999999922"/>
    <n v="-1848.0150000000001"/>
    <x v="4"/>
    <s v="Buy"/>
    <n v="-1786.5"/>
    <x v="1"/>
    <x v="6"/>
    <n v="2026"/>
    <s v="Buy"/>
    <s v="Active"/>
    <s v="WTI"/>
    <d v="2026-02-28T00:00:00"/>
    <n v="450"/>
    <s v="Brent"/>
    <d v="2026-02-28T00:00:00"/>
    <n v="-450"/>
  </r>
  <r>
    <x v="7"/>
    <x v="14"/>
    <x v="3"/>
    <x v="2"/>
    <n v="1000"/>
    <x v="4"/>
    <d v="2026-03-31T00:00:00"/>
    <n v="0.29799999999999999"/>
    <n v="0.59"/>
    <n v="292"/>
    <n v="298"/>
    <x v="5"/>
    <s v="Buy"/>
    <n v="590"/>
    <x v="3"/>
    <x v="1"/>
    <n v="2026"/>
    <s v="Buy"/>
    <s v="Active"/>
    <s v="Brent"/>
    <d v="2026-02-28T00:00:00"/>
    <n v="1000"/>
    <s v="Brent"/>
    <d v="2026-03-31T00:00:00"/>
    <n v="-1000"/>
  </r>
  <r>
    <x v="7"/>
    <x v="14"/>
    <x v="1"/>
    <x v="2"/>
    <n v="1400"/>
    <x v="4"/>
    <d v="2026-02-28T00:00:00"/>
    <n v="-4.05"/>
    <n v="-3.97"/>
    <n v="111.99999999999947"/>
    <n v="-5670"/>
    <x v="4"/>
    <s v="Buy"/>
    <n v="-5558"/>
    <x v="1"/>
    <x v="6"/>
    <n v="2026"/>
    <s v="Buy"/>
    <s v="Active"/>
    <s v="WTI"/>
    <d v="2026-02-28T00:00:00"/>
    <n v="1400"/>
    <s v="Brent"/>
    <d v="2026-02-28T00:00:00"/>
    <n v="-1400"/>
  </r>
  <r>
    <x v="5"/>
    <x v="14"/>
    <x v="4"/>
    <x v="2"/>
    <n v="188"/>
    <x v="7"/>
    <d v="2026-04-30T00:00:00"/>
    <n v="0.45"/>
    <n v="17.678750000000008"/>
    <n v="3239.0050000000015"/>
    <n v="84.600000000000009"/>
    <x v="8"/>
    <s v="Buy"/>
    <n v="3323.6050000000014"/>
    <x v="1"/>
    <x v="4"/>
    <n v="2026"/>
    <s v="Buy"/>
    <s v="Active"/>
    <e v="#N/A"/>
    <d v="2026-04-30T00:00:00"/>
    <n v="188"/>
    <e v="#N/A"/>
    <d v="2026-04-30T00:00:00"/>
    <n v="-188"/>
  </r>
  <r>
    <x v="5"/>
    <x v="14"/>
    <x v="4"/>
    <x v="2"/>
    <n v="188"/>
    <x v="8"/>
    <d v="2026-05-31T00:00:00"/>
    <n v="0.45"/>
    <n v="3.68"/>
    <n v="607.24"/>
    <n v="84.600000000000009"/>
    <x v="9"/>
    <s v="Buy"/>
    <n v="691.84"/>
    <x v="1"/>
    <x v="4"/>
    <n v="2026"/>
    <s v="Buy"/>
    <s v="Active"/>
    <e v="#N/A"/>
    <d v="2026-05-31T00:00:00"/>
    <n v="188"/>
    <e v="#N/A"/>
    <d v="2026-05-31T00:00:00"/>
    <n v="-188"/>
  </r>
  <r>
    <x v="5"/>
    <x v="14"/>
    <x v="4"/>
    <x v="2"/>
    <n v="188"/>
    <x v="6"/>
    <d v="2026-06-30T00:00:00"/>
    <n v="0.45"/>
    <n v="2.23"/>
    <n v="334.64"/>
    <n v="84.600000000000009"/>
    <x v="7"/>
    <s v="Buy"/>
    <n v="419.24"/>
    <x v="1"/>
    <x v="4"/>
    <n v="2026"/>
    <s v="Buy"/>
    <s v="Active"/>
    <e v="#N/A"/>
    <d v="2026-06-30T00:00:00"/>
    <n v="188"/>
    <e v="#N/A"/>
    <d v="2026-06-30T00:00:00"/>
    <n v="-188"/>
  </r>
  <r>
    <x v="2"/>
    <x v="14"/>
    <x v="2"/>
    <x v="0"/>
    <n v="0"/>
    <x v="1"/>
    <d v="2025-12-31T00:00:00"/>
    <n v="0.75768667642752585"/>
    <n v="0.5"/>
    <n v="0"/>
    <n v="0"/>
    <x v="1"/>
    <s v="Buy"/>
    <n v="0"/>
    <x v="2"/>
    <x v="7"/>
    <n v="2025"/>
    <s v="Sell"/>
    <s v="Active"/>
    <n v="0"/>
    <d v="2025-12-31T00:00:00"/>
    <n v="0"/>
    <n v="0"/>
    <d v="2025-12-31T00:00:00"/>
    <n v="0"/>
  </r>
  <r>
    <x v="10"/>
    <x v="15"/>
    <x v="1"/>
    <x v="0"/>
    <n v="-1400"/>
    <x v="3"/>
    <d v="2026-01-31T00:00:00"/>
    <n v="-4.4400000000000004"/>
    <n v="-4.6500000000000004"/>
    <m/>
    <n v="6216.0000000000009"/>
    <x v="3"/>
    <s v="Sell"/>
    <n v="6510.0000000000009"/>
    <x v="1"/>
    <x v="6"/>
    <n v="2026"/>
    <s v="Sell"/>
    <s v="Active"/>
    <s v="WTI"/>
    <d v="2026-01-31T00:00:00"/>
    <n v="-1400"/>
    <s v="Brent"/>
    <d v="2026-01-31T00:00:00"/>
    <n v="1400"/>
  </r>
  <r>
    <x v="10"/>
    <x v="5"/>
    <x v="5"/>
    <x v="0"/>
    <n v="-700"/>
    <x v="3"/>
    <d v="2026-01-31T00:00:00"/>
    <n v="208"/>
    <n v="268"/>
    <n v="-901.7399999999999"/>
    <n v="-145600"/>
    <x v="3"/>
    <s v="Sell"/>
    <n v="-187600"/>
    <x v="4"/>
    <x v="3"/>
    <n v="2026"/>
    <s v="Sell"/>
    <s v="Active"/>
    <e v="#N/A"/>
    <d v="2026-01-31T00:00:00"/>
    <n v="-700"/>
    <e v="#N/A"/>
    <d v="2026-01-31T00:00:00"/>
    <n v="700"/>
  </r>
  <r>
    <x v="10"/>
    <x v="5"/>
    <x v="5"/>
    <x v="0"/>
    <n v="-700"/>
    <x v="3"/>
    <d v="2026-01-31T00:00:00"/>
    <n v="208"/>
    <n v="268"/>
    <n v="-901.7399999999999"/>
    <n v="-145600"/>
    <x v="3"/>
    <s v="Sell"/>
    <n v="-187600"/>
    <x v="4"/>
    <x v="3"/>
    <n v="2026"/>
    <s v="Sell"/>
    <s v="Active"/>
    <e v="#N/A"/>
    <d v="2026-01-31T00:00:00"/>
    <n v="-700"/>
    <e v="#N/A"/>
    <d v="2026-01-31T00:00:00"/>
    <n v="700"/>
  </r>
  <r>
    <x v="10"/>
    <x v="16"/>
    <x v="5"/>
    <x v="2"/>
    <n v="700"/>
    <x v="3"/>
    <d v="2026-01-31T00:00:00"/>
    <n v="215"/>
    <n v="268"/>
    <n v="796.53699999999992"/>
    <n v="150500"/>
    <x v="3"/>
    <s v="Buy"/>
    <n v="187600"/>
    <x v="4"/>
    <x v="3"/>
    <n v="2026"/>
    <s v="Buy"/>
    <s v="Active"/>
    <e v="#N/A"/>
    <d v="2026-01-31T00:00:00"/>
    <n v="700"/>
    <e v="#N/A"/>
    <d v="2026-01-31T00:00:00"/>
    <n v="-700"/>
  </r>
  <r>
    <x v="10"/>
    <x v="16"/>
    <x v="5"/>
    <x v="2"/>
    <n v="700"/>
    <x v="3"/>
    <d v="2026-01-31T00:00:00"/>
    <n v="215"/>
    <n v="268"/>
    <n v="796.53699999999992"/>
    <n v="150500"/>
    <x v="3"/>
    <s v="Buy"/>
    <n v="187600"/>
    <x v="4"/>
    <x v="3"/>
    <n v="2026"/>
    <s v="Buy"/>
    <s v="Active"/>
    <e v="#N/A"/>
    <d v="2026-01-31T00:00:00"/>
    <n v="700"/>
    <e v="#N/A"/>
    <d v="2026-01-31T00:00:00"/>
    <n v="-700"/>
  </r>
  <r>
    <x v="10"/>
    <x v="5"/>
    <x v="6"/>
    <x v="0"/>
    <n v="700"/>
    <x v="3"/>
    <d v="2026-01-31T00:00:00"/>
    <n v="140"/>
    <n v="175.25"/>
    <n v="218.21089500000002"/>
    <n v="98000"/>
    <x v="3"/>
    <s v="Buy"/>
    <n v="122675"/>
    <x v="4"/>
    <x v="3"/>
    <n v="2026"/>
    <s v="Buy"/>
    <s v="Active"/>
    <e v="#N/A"/>
    <d v="2026-01-31T00:00:00"/>
    <n v="700"/>
    <e v="#N/A"/>
    <d v="2026-01-31T00:00:00"/>
    <n v="-700"/>
  </r>
  <r>
    <x v="10"/>
    <x v="5"/>
    <x v="6"/>
    <x v="0"/>
    <n v="700"/>
    <x v="3"/>
    <d v="2026-01-31T00:00:00"/>
    <n v="140"/>
    <n v="175.25"/>
    <n v="218.21089500000002"/>
    <n v="98000"/>
    <x v="3"/>
    <s v="Buy"/>
    <n v="122675"/>
    <x v="4"/>
    <x v="3"/>
    <n v="2026"/>
    <s v="Buy"/>
    <s v="Active"/>
    <e v="#N/A"/>
    <d v="2026-01-31T00:00:00"/>
    <n v="700"/>
    <e v="#N/A"/>
    <d v="2026-01-31T00:00:00"/>
    <n v="-700"/>
  </r>
  <r>
    <x v="10"/>
    <x v="17"/>
    <x v="6"/>
    <x v="2"/>
    <n v="-1400"/>
    <x v="3"/>
    <d v="2026-01-31T00:00:00"/>
    <n v="14.23"/>
    <n v="18.296099999999999"/>
    <n v="-650.57599999999979"/>
    <n v="-19922"/>
    <x v="3"/>
    <s v="Sell"/>
    <n v="-25614.539999999997"/>
    <x v="4"/>
    <x v="3"/>
    <n v="2026"/>
    <s v="Sell"/>
    <s v="Active"/>
    <e v="#N/A"/>
    <d v="2026-01-31T00:00:00"/>
    <n v="-1400"/>
    <e v="#N/A"/>
    <d v="2026-01-31T00:00:00"/>
    <n v="1400"/>
  </r>
  <r>
    <x v="5"/>
    <x v="14"/>
    <x v="4"/>
    <x v="2"/>
    <n v="-1075"/>
    <x v="3"/>
    <d v="2026-01-31T00:00:00"/>
    <n v="0.44"/>
    <n v="2.09"/>
    <n v="-1773.75"/>
    <n v="-473"/>
    <x v="3"/>
    <s v="Sell"/>
    <n v="-2246.75"/>
    <x v="1"/>
    <x v="4"/>
    <n v="2026"/>
    <s v="Sell"/>
    <s v="Active"/>
    <e v="#N/A"/>
    <d v="2026-01-31T00:00:00"/>
    <n v="-1075"/>
    <e v="#N/A"/>
    <d v="2026-01-31T00:00:00"/>
    <n v="1075"/>
  </r>
  <r>
    <x v="10"/>
    <x v="15"/>
    <x v="1"/>
    <x v="0"/>
    <n v="1400"/>
    <x v="3"/>
    <d v="2026-01-31T00:00:00"/>
    <n v="-4.4400000000000004"/>
    <n v="-4.6500000000000004"/>
    <m/>
    <n v="-6216.0000000000009"/>
    <x v="3"/>
    <s v="Buy"/>
    <n v="-6510.0000000000009"/>
    <x v="1"/>
    <x v="6"/>
    <n v="2026"/>
    <s v="Buy"/>
    <s v="Active"/>
    <s v="WTI"/>
    <d v="2026-01-31T00:00:00"/>
    <n v="1400"/>
    <s v="Brent"/>
    <d v="2026-01-31T00:00:00"/>
    <n v="-1400"/>
  </r>
  <r>
    <x v="5"/>
    <x v="15"/>
    <x v="7"/>
    <x v="2"/>
    <n v="134"/>
    <x v="4"/>
    <d v="2026-03-31T00:00:00"/>
    <n v="0.16"/>
    <n v="0.1"/>
    <n v="-8.0399999999999991"/>
    <n v="21.44"/>
    <x v="5"/>
    <s v="Buy"/>
    <n v="13.4"/>
    <x v="3"/>
    <x v="2"/>
    <n v="2026"/>
    <s v="Buy"/>
    <s v="Active"/>
    <s v="WTI"/>
    <d v="2026-02-28T00:00:00"/>
    <n v="134"/>
    <s v="WTI"/>
    <d v="2026-03-31T00:00:00"/>
    <n v="-134"/>
  </r>
  <r>
    <x v="5"/>
    <x v="18"/>
    <x v="7"/>
    <x v="2"/>
    <n v="134"/>
    <x v="4"/>
    <d v="2026-03-31T00:00:00"/>
    <n v="0.2"/>
    <n v="0.1"/>
    <n v="-13.4"/>
    <n v="26.8"/>
    <x v="5"/>
    <s v="Buy"/>
    <n v="13.4"/>
    <x v="3"/>
    <x v="2"/>
    <n v="2026"/>
    <s v="Buy"/>
    <s v="Active"/>
    <s v="WTI"/>
    <d v="2026-02-28T00:00:00"/>
    <n v="134"/>
    <s v="WTI"/>
    <d v="2026-03-31T00:00:00"/>
    <n v="-134"/>
  </r>
  <r>
    <x v="5"/>
    <x v="19"/>
    <x v="7"/>
    <x v="2"/>
    <n v="134"/>
    <x v="4"/>
    <d v="2026-03-31T00:00:00"/>
    <n v="0.2"/>
    <n v="0.1"/>
    <n v="-13.4"/>
    <n v="26.8"/>
    <x v="5"/>
    <s v="Buy"/>
    <n v="13.4"/>
    <x v="3"/>
    <x v="2"/>
    <n v="2026"/>
    <s v="Buy"/>
    <s v="Active"/>
    <s v="WTI"/>
    <d v="2026-02-28T00:00:00"/>
    <n v="134"/>
    <s v="WTI"/>
    <d v="2026-03-31T00:00:00"/>
    <n v="-134"/>
  </r>
  <r>
    <x v="5"/>
    <x v="19"/>
    <x v="3"/>
    <x v="2"/>
    <n v="429"/>
    <x v="4"/>
    <d v="2026-03-31T00:00:00"/>
    <n v="0.38"/>
    <n v="0.59"/>
    <n v="90.089999999999989"/>
    <n v="163.02000000000001"/>
    <x v="5"/>
    <s v="Buy"/>
    <n v="253.10999999999999"/>
    <x v="3"/>
    <x v="1"/>
    <n v="2026"/>
    <s v="Buy"/>
    <s v="Active"/>
    <s v="Brent"/>
    <d v="2026-02-28T00:00:00"/>
    <n v="429"/>
    <s v="Brent"/>
    <d v="2026-03-31T00:00:00"/>
    <n v="-429"/>
  </r>
  <r>
    <x v="5"/>
    <x v="20"/>
    <x v="4"/>
    <x v="2"/>
    <n v="-400"/>
    <x v="3"/>
    <d v="2026-01-31T00:00:00"/>
    <n v="0.45"/>
    <n v="2.09"/>
    <n v="-656"/>
    <n v="-180"/>
    <x v="3"/>
    <s v="Sell"/>
    <n v="-836"/>
    <x v="1"/>
    <x v="4"/>
    <n v="2026"/>
    <s v="Sell"/>
    <s v="Active"/>
    <e v="#N/A"/>
    <d v="2026-01-31T00:00:00"/>
    <n v="-400"/>
    <e v="#N/A"/>
    <d v="2026-01-31T00:00:00"/>
    <n v="400"/>
  </r>
  <r>
    <x v="5"/>
    <x v="20"/>
    <x v="3"/>
    <x v="2"/>
    <n v="200"/>
    <x v="4"/>
    <d v="2026-03-31T00:00:00"/>
    <n v="0.39"/>
    <n v="0.59"/>
    <n v="39.999999999999993"/>
    <n v="78"/>
    <x v="5"/>
    <s v="Buy"/>
    <n v="118"/>
    <x v="3"/>
    <x v="1"/>
    <n v="2026"/>
    <s v="Buy"/>
    <s v="Active"/>
    <s v="Brent"/>
    <d v="2026-02-28T00:00:00"/>
    <n v="200"/>
    <s v="Brent"/>
    <d v="2026-03-31T00:00:00"/>
    <n v="-200"/>
  </r>
  <r>
    <x v="5"/>
    <x v="20"/>
    <x v="3"/>
    <x v="2"/>
    <n v="200"/>
    <x v="4"/>
    <d v="2026-03-31T00:00:00"/>
    <n v="0.38"/>
    <n v="0.59"/>
    <n v="41.999999999999993"/>
    <n v="76"/>
    <x v="5"/>
    <s v="Buy"/>
    <n v="118"/>
    <x v="3"/>
    <x v="1"/>
    <n v="2026"/>
    <s v="Buy"/>
    <s v="Active"/>
    <s v="Brent"/>
    <d v="2026-02-28T00:00:00"/>
    <n v="200"/>
    <s v="Brent"/>
    <d v="2026-03-31T00:00:00"/>
    <n v="-200"/>
  </r>
  <r>
    <x v="5"/>
    <x v="20"/>
    <x v="3"/>
    <x v="2"/>
    <n v="200"/>
    <x v="4"/>
    <d v="2026-03-31T00:00:00"/>
    <n v="0.37"/>
    <n v="0.59"/>
    <n v="43.999999999999993"/>
    <n v="74"/>
    <x v="5"/>
    <s v="Buy"/>
    <n v="118"/>
    <x v="3"/>
    <x v="1"/>
    <n v="2026"/>
    <s v="Buy"/>
    <s v="Active"/>
    <s v="Brent"/>
    <d v="2026-02-28T00:00:00"/>
    <n v="200"/>
    <s v="Brent"/>
    <d v="2026-03-31T00:00:00"/>
    <n v="-200"/>
  </r>
  <r>
    <x v="5"/>
    <x v="20"/>
    <x v="3"/>
    <x v="2"/>
    <n v="200"/>
    <x v="4"/>
    <d v="2026-03-31T00:00:00"/>
    <n v="0.36"/>
    <n v="0.59"/>
    <n v="46"/>
    <n v="72"/>
    <x v="5"/>
    <s v="Buy"/>
    <n v="118"/>
    <x v="3"/>
    <x v="1"/>
    <n v="2026"/>
    <s v="Buy"/>
    <s v="Active"/>
    <s v="Brent"/>
    <d v="2026-02-28T00:00:00"/>
    <n v="200"/>
    <s v="Brent"/>
    <d v="2026-03-31T00:00:00"/>
    <n v="-200"/>
  </r>
  <r>
    <x v="5"/>
    <x v="20"/>
    <x v="7"/>
    <x v="2"/>
    <n v="134"/>
    <x v="4"/>
    <d v="2026-03-31T00:00:00"/>
    <n v="0.2"/>
    <n v="0.1"/>
    <n v="-13.4"/>
    <n v="26.8"/>
    <x v="5"/>
    <s v="Buy"/>
    <n v="13.4"/>
    <x v="3"/>
    <x v="2"/>
    <n v="2026"/>
    <s v="Buy"/>
    <s v="Active"/>
    <s v="WTI"/>
    <d v="2026-02-28T00:00:00"/>
    <n v="134"/>
    <s v="WTI"/>
    <d v="2026-03-31T00:00:00"/>
    <n v="-134"/>
  </r>
  <r>
    <x v="11"/>
    <x v="21"/>
    <x v="7"/>
    <x v="0"/>
    <n v="-233"/>
    <x v="4"/>
    <d v="2026-03-31T00:00:00"/>
    <n v="0.12"/>
    <n v="0.1"/>
    <n v="4.6599999999999975"/>
    <n v="-27.959999999999997"/>
    <x v="5"/>
    <s v="Sell"/>
    <n v="-23.3"/>
    <x v="3"/>
    <x v="2"/>
    <n v="2026"/>
    <s v="Sell"/>
    <s v="Active"/>
    <s v="WTI"/>
    <d v="2026-02-28T00:00:00"/>
    <n v="-233"/>
    <s v="WTI"/>
    <d v="2026-03-31T00:00:00"/>
    <n v="233"/>
  </r>
  <r>
    <x v="5"/>
    <x v="21"/>
    <x v="8"/>
    <x v="2"/>
    <n v="-200"/>
    <x v="9"/>
    <d v="2026-01-31T00:00:00"/>
    <n v="0.52"/>
    <n v="1.54"/>
    <n v="-204"/>
    <n v="-104"/>
    <x v="3"/>
    <s v="Sell"/>
    <n v="-308"/>
    <x v="1"/>
    <x v="4"/>
    <n v="2025"/>
    <s v="Sell"/>
    <s v="Active"/>
    <e v="#N/A"/>
    <s v="Jan05-Jan09"/>
    <n v="-200"/>
    <e v="#N/A"/>
    <d v="2026-01-31T00:00:00"/>
    <n v="200"/>
  </r>
  <r>
    <x v="5"/>
    <x v="21"/>
    <x v="8"/>
    <x v="2"/>
    <n v="200"/>
    <x v="10"/>
    <d v="2026-01-31T00:00:00"/>
    <n v="0.24868999999999999"/>
    <n v="2.5"/>
    <n v="450.26200000000006"/>
    <n v="49.738"/>
    <x v="3"/>
    <s v="Buy"/>
    <n v="500"/>
    <x v="1"/>
    <x v="4"/>
    <n v="2025"/>
    <s v="Buy"/>
    <s v="Active"/>
    <e v="#N/A"/>
    <s v="Jan19-Jan23"/>
    <n v="200"/>
    <e v="#N/A"/>
    <d v="2026-01-31T00:00:00"/>
    <n v="-200"/>
  </r>
  <r>
    <x v="1"/>
    <x v="22"/>
    <x v="2"/>
    <x v="0"/>
    <n v="2073"/>
    <x v="3"/>
    <d v="2026-01-31T00:00:00"/>
    <n v="4.8628991799324641"/>
    <n v="5.25"/>
    <n v="802.46000000000186"/>
    <n v="10080.789999999997"/>
    <x v="3"/>
    <s v="Buy"/>
    <n v="10883.25"/>
    <x v="2"/>
    <x v="7"/>
    <n v="2026"/>
    <s v="Buy"/>
    <s v="Active"/>
    <n v="0"/>
    <d v="2026-01-31T00:00:00"/>
    <n v="2073"/>
    <n v="0"/>
    <d v="2026-01-31T00:00:00"/>
    <n v="-2073"/>
  </r>
  <r>
    <x v="1"/>
    <x v="22"/>
    <x v="7"/>
    <x v="0"/>
    <n v="-2073"/>
    <x v="4"/>
    <d v="2026-03-31T00:00:00"/>
    <n v="0.1"/>
    <n v="0.1"/>
    <n v="0"/>
    <n v="-207.3"/>
    <x v="5"/>
    <s v="Sell"/>
    <n v="-207.3"/>
    <x v="3"/>
    <x v="2"/>
    <n v="2026"/>
    <s v="Sell"/>
    <s v="Active"/>
    <s v="WTI"/>
    <d v="2026-02-28T00:00:00"/>
    <n v="-2073"/>
    <s v="WTI"/>
    <d v="2026-03-31T00:00:00"/>
    <n v="2073"/>
  </r>
  <r>
    <x v="1"/>
    <x v="22"/>
    <x v="1"/>
    <x v="0"/>
    <n v="-2073"/>
    <x v="5"/>
    <d v="2026-03-31T00:00:00"/>
    <n v="-3.75"/>
    <n v="-5.48"/>
    <n v="3586.2900000000009"/>
    <n v="7773.75"/>
    <x v="10"/>
    <s v="Sell"/>
    <n v="11360.04"/>
    <x v="1"/>
    <x v="6"/>
    <n v="2026"/>
    <s v="Sell"/>
    <s v="Active"/>
    <s v="WTI"/>
    <d v="2026-03-31T00:00:00"/>
    <n v="-2073"/>
    <s v="Brent"/>
    <d v="2026-03-31T00:00:00"/>
    <n v="2073"/>
  </r>
  <r>
    <x v="1"/>
    <x v="22"/>
    <x v="3"/>
    <x v="0"/>
    <n v="-1980"/>
    <x v="5"/>
    <d v="2026-04-30T00:00:00"/>
    <n v="0.16"/>
    <n v="1.37"/>
    <n v="-2395.8000000000002"/>
    <n v="-316.8"/>
    <x v="6"/>
    <s v="Sell"/>
    <n v="-2712.6000000000004"/>
    <x v="3"/>
    <x v="1"/>
    <n v="2026"/>
    <s v="Sell"/>
    <s v="Active"/>
    <s v="Brent"/>
    <d v="2026-03-31T00:00:00"/>
    <n v="-1980"/>
    <s v="Brent"/>
    <d v="2026-04-30T00:00:00"/>
    <n v="1980"/>
  </r>
  <r>
    <x v="1"/>
    <x v="22"/>
    <x v="3"/>
    <x v="0"/>
    <n v="-93"/>
    <x v="7"/>
    <d v="2026-05-31T00:00:00"/>
    <n v="0.05"/>
    <n v="-0.39"/>
    <n v="40.92"/>
    <n v="-4.6500000000000004"/>
    <x v="11"/>
    <s v="Sell"/>
    <n v="36.270000000000003"/>
    <x v="3"/>
    <x v="1"/>
    <n v="2026"/>
    <s v="Sell"/>
    <s v="Active"/>
    <s v="Brent"/>
    <d v="2026-04-30T00:00:00"/>
    <n v="-93"/>
    <s v="Brent"/>
    <d v="2026-05-31T00:00:00"/>
    <n v="93"/>
  </r>
  <r>
    <x v="1"/>
    <x v="22"/>
    <x v="9"/>
    <x v="0"/>
    <n v="-2000"/>
    <x v="3"/>
    <d v="2026-01-31T00:00:00"/>
    <n v="13750"/>
    <n v="13750"/>
    <n v="0"/>
    <n v="0"/>
    <x v="3"/>
    <s v="Sell"/>
    <n v="-27500000"/>
    <x v="4"/>
    <x v="3"/>
    <n v="2026"/>
    <s v="Sell"/>
    <s v="Active"/>
    <e v="#N/A"/>
    <d v="2026-01-31T00:00:00"/>
    <n v="-2000"/>
    <e v="#N/A"/>
    <d v="2026-01-31T00:00:00"/>
    <n v="2000"/>
  </r>
  <r>
    <x v="1"/>
    <x v="22"/>
    <x v="9"/>
    <x v="2"/>
    <n v="2000"/>
    <x v="3"/>
    <d v="2026-01-31T00:00:00"/>
    <n v="13300"/>
    <n v="13750"/>
    <n v="450"/>
    <n v="450"/>
    <x v="3"/>
    <s v="Buy"/>
    <n v="27500000"/>
    <x v="4"/>
    <x v="3"/>
    <n v="2026"/>
    <s v="Buy"/>
    <s v="Active"/>
    <e v="#N/A"/>
    <d v="2026-01-31T00:00:00"/>
    <n v="2000"/>
    <e v="#N/A"/>
    <d v="2026-01-31T00:00:00"/>
    <n v="-2000"/>
  </r>
  <r>
    <x v="1"/>
    <x v="22"/>
    <x v="7"/>
    <x v="2"/>
    <n v="1024"/>
    <x v="4"/>
    <d v="2026-03-31T00:00:00"/>
    <n v="0.1"/>
    <n v="0.1"/>
    <n v="0"/>
    <n v="102.4"/>
    <x v="5"/>
    <s v="Buy"/>
    <n v="102.4"/>
    <x v="3"/>
    <x v="2"/>
    <n v="2026"/>
    <s v="Buy"/>
    <s v="Active"/>
    <s v="WTI"/>
    <d v="2026-02-28T00:00:00"/>
    <n v="1024"/>
    <s v="WTI"/>
    <d v="2026-03-31T00:00:00"/>
    <n v="-1024"/>
  </r>
  <r>
    <x v="1"/>
    <x v="22"/>
    <x v="1"/>
    <x v="2"/>
    <n v="1024"/>
    <x v="5"/>
    <d v="2026-03-31T00:00:00"/>
    <n v="-3.72"/>
    <n v="-5.48"/>
    <n v="-1802.2400000000002"/>
    <n v="-3809.28"/>
    <x v="10"/>
    <s v="Buy"/>
    <n v="-5611.52"/>
    <x v="1"/>
    <x v="6"/>
    <n v="2026"/>
    <s v="Buy"/>
    <s v="Active"/>
    <s v="WTI"/>
    <d v="2026-03-31T00:00:00"/>
    <n v="1024"/>
    <s v="Brent"/>
    <d v="2026-03-31T00:00:00"/>
    <n v="-1024"/>
  </r>
  <r>
    <x v="1"/>
    <x v="22"/>
    <x v="1"/>
    <x v="2"/>
    <n v="500"/>
    <x v="5"/>
    <d v="2026-03-31T00:00:00"/>
    <n v="-3.71"/>
    <n v="-5.48"/>
    <n v="-885.00000000000023"/>
    <n v="-1855"/>
    <x v="10"/>
    <s v="Buy"/>
    <n v="-2740"/>
    <x v="1"/>
    <x v="6"/>
    <n v="2026"/>
    <s v="Buy"/>
    <s v="Active"/>
    <s v="WTI"/>
    <d v="2026-03-31T00:00:00"/>
    <n v="500"/>
    <s v="Brent"/>
    <d v="2026-03-31T00:00:00"/>
    <n v="-500"/>
  </r>
  <r>
    <x v="1"/>
    <x v="22"/>
    <x v="3"/>
    <x v="2"/>
    <n v="2000"/>
    <x v="5"/>
    <d v="2026-04-30T00:00:00"/>
    <n v="0.16"/>
    <n v="1.37"/>
    <n v="2420.0000000000005"/>
    <n v="320"/>
    <x v="6"/>
    <s v="Buy"/>
    <n v="2740"/>
    <x v="3"/>
    <x v="1"/>
    <n v="2026"/>
    <s v="Buy"/>
    <s v="Active"/>
    <s v="Brent"/>
    <d v="2026-03-31T00:00:00"/>
    <n v="2000"/>
    <s v="Brent"/>
    <d v="2026-04-30T00:00:00"/>
    <n v="-2000"/>
  </r>
  <r>
    <x v="1"/>
    <x v="22"/>
    <x v="3"/>
    <x v="2"/>
    <n v="1000"/>
    <x v="4"/>
    <d v="2026-03-31T00:00:00"/>
    <n v="0.23"/>
    <n v="0.59"/>
    <n v="360"/>
    <n v="230"/>
    <x v="5"/>
    <s v="Buy"/>
    <n v="590"/>
    <x v="3"/>
    <x v="1"/>
    <n v="2026"/>
    <s v="Buy"/>
    <s v="Active"/>
    <s v="Brent"/>
    <d v="2026-02-28T00:00:00"/>
    <n v="1000"/>
    <s v="Brent"/>
    <d v="2026-03-31T00:00:00"/>
    <n v="-1000"/>
  </r>
  <r>
    <x v="1"/>
    <x v="23"/>
    <x v="1"/>
    <x v="2"/>
    <n v="500"/>
    <x v="5"/>
    <d v="2026-03-31T00:00:00"/>
    <n v="-3.73"/>
    <n v="-5.48"/>
    <n v="-875.00000000000023"/>
    <n v="-1865"/>
    <x v="10"/>
    <s v="Buy"/>
    <n v="-2740"/>
    <x v="1"/>
    <x v="6"/>
    <n v="2026"/>
    <s v="Buy"/>
    <s v="Active"/>
    <s v="WTI"/>
    <d v="2026-03-31T00:00:00"/>
    <n v="500"/>
    <s v="Brent"/>
    <d v="2026-03-31T00:00:00"/>
    <n v="-500"/>
  </r>
  <r>
    <x v="5"/>
    <x v="24"/>
    <x v="4"/>
    <x v="2"/>
    <n v="-375"/>
    <x v="3"/>
    <d v="2026-01-31T00:00:00"/>
    <n v="0.33"/>
    <n v="2.09"/>
    <n v="-659.99999999999989"/>
    <n v="-123.75"/>
    <x v="3"/>
    <s v="Sell"/>
    <n v="-783.75"/>
    <x v="1"/>
    <x v="4"/>
    <n v="2026"/>
    <s v="Sell"/>
    <s v="Active"/>
    <e v="#N/A"/>
    <d v="2026-01-31T00:00:00"/>
    <n v="-375"/>
    <e v="#N/A"/>
    <d v="2026-01-31T00:00:00"/>
    <n v="375"/>
  </r>
  <r>
    <x v="1"/>
    <x v="25"/>
    <x v="7"/>
    <x v="2"/>
    <n v="92"/>
    <x v="4"/>
    <d v="2026-03-31T00:00:00"/>
    <n v="0.08"/>
    <n v="0.1"/>
    <n v="1.8400000000000003"/>
    <n v="7.36"/>
    <x v="5"/>
    <s v="Buy"/>
    <n v="9.2000000000000011"/>
    <x v="3"/>
    <x v="2"/>
    <n v="2026"/>
    <s v="Buy"/>
    <s v="Active"/>
    <s v="WTI"/>
    <d v="2026-02-28T00:00:00"/>
    <n v="92"/>
    <s v="WTI"/>
    <d v="2026-03-31T00:00:00"/>
    <n v="-92"/>
  </r>
  <r>
    <x v="1"/>
    <x v="26"/>
    <x v="7"/>
    <x v="2"/>
    <n v="92"/>
    <x v="4"/>
    <d v="2026-03-31T00:00:00"/>
    <n v="0.08"/>
    <n v="0.1"/>
    <n v="1.8400000000000003"/>
    <n v="7.36"/>
    <x v="5"/>
    <s v="Buy"/>
    <n v="9.2000000000000011"/>
    <x v="3"/>
    <x v="2"/>
    <n v="2026"/>
    <s v="Buy"/>
    <s v="Active"/>
    <s v="WTI"/>
    <d v="2026-02-28T00:00:00"/>
    <n v="92"/>
    <s v="WTI"/>
    <d v="2026-03-31T00:00:00"/>
    <n v="-92"/>
  </r>
  <r>
    <x v="1"/>
    <x v="27"/>
    <x v="7"/>
    <x v="2"/>
    <n v="92"/>
    <x v="4"/>
    <d v="2026-03-31T00:00:00"/>
    <n v="0.08"/>
    <n v="0.1"/>
    <n v="1.8400000000000003"/>
    <n v="7.36"/>
    <x v="5"/>
    <s v="Buy"/>
    <n v="9.2000000000000011"/>
    <x v="3"/>
    <x v="2"/>
    <n v="2026"/>
    <s v="Buy"/>
    <s v="Active"/>
    <s v="WTI"/>
    <d v="2026-02-28T00:00:00"/>
    <n v="92"/>
    <s v="WTI"/>
    <d v="2026-03-31T00:00:00"/>
    <n v="-92"/>
  </r>
  <r>
    <x v="1"/>
    <x v="26"/>
    <x v="1"/>
    <x v="2"/>
    <n v="500"/>
    <x v="6"/>
    <d v="2026-06-30T00:00:00"/>
    <n v="-3.45"/>
    <n v="-8.94"/>
    <n v="-2744.9999999999995"/>
    <n v="-1725"/>
    <x v="7"/>
    <s v="Buy"/>
    <n v="-4470"/>
    <x v="1"/>
    <x v="6"/>
    <n v="2026"/>
    <s v="Buy"/>
    <s v="Active"/>
    <s v="WTI"/>
    <d v="2026-06-30T00:00:00"/>
    <n v="500"/>
    <s v="Brent"/>
    <d v="2026-06-30T00:00:00"/>
    <n v="-500"/>
  </r>
  <r>
    <x v="5"/>
    <x v="27"/>
    <x v="1"/>
    <x v="2"/>
    <n v="409"/>
    <x v="5"/>
    <d v="2026-03-31T00:00:00"/>
    <n v="-3.7"/>
    <n v="-5.48"/>
    <n v="-728.0200000000001"/>
    <n v="-1513.3000000000002"/>
    <x v="10"/>
    <s v="Buy"/>
    <n v="-2241.3200000000002"/>
    <x v="1"/>
    <x v="6"/>
    <n v="2026"/>
    <s v="Buy"/>
    <s v="Active"/>
    <s v="WTI"/>
    <d v="2026-03-31T00:00:00"/>
    <n v="409"/>
    <s v="Brent"/>
    <d v="2026-03-31T00:00:00"/>
    <n v="-409"/>
  </r>
  <r>
    <x v="5"/>
    <x v="27"/>
    <x v="7"/>
    <x v="2"/>
    <n v="1000"/>
    <x v="4"/>
    <d v="2026-03-31T00:00:00"/>
    <n v="0.14000000000000001"/>
    <n v="0.1"/>
    <n v="-40.000000000000007"/>
    <n v="140"/>
    <x v="5"/>
    <s v="Buy"/>
    <n v="100"/>
    <x v="3"/>
    <x v="2"/>
    <n v="2026"/>
    <s v="Buy"/>
    <s v="Active"/>
    <s v="WTI"/>
    <d v="2026-02-28T00:00:00"/>
    <n v="1000"/>
    <s v="WTI"/>
    <d v="2026-03-31T00:00:00"/>
    <n v="-1000"/>
  </r>
  <r>
    <x v="5"/>
    <x v="27"/>
    <x v="7"/>
    <x v="2"/>
    <n v="1000"/>
    <x v="5"/>
    <d v="2026-04-30T00:00:00"/>
    <n v="7.0000000000000007E-2"/>
    <n v="0.03"/>
    <n v="-40.000000000000007"/>
    <n v="70"/>
    <x v="6"/>
    <s v="Buy"/>
    <n v="30"/>
    <x v="3"/>
    <x v="2"/>
    <n v="2026"/>
    <s v="Buy"/>
    <s v="Active"/>
    <s v="WTI"/>
    <d v="2026-03-31T00:00:00"/>
    <n v="1000"/>
    <s v="WTI"/>
    <d v="2026-04-30T00:00:00"/>
    <n v="-1000"/>
  </r>
  <r>
    <x v="5"/>
    <x v="27"/>
    <x v="7"/>
    <x v="2"/>
    <n v="1000"/>
    <x v="7"/>
    <d v="2026-05-31T00:00:00"/>
    <n v="0"/>
    <n v="0.59"/>
    <n v="590"/>
    <n v="0"/>
    <x v="11"/>
    <s v="Buy"/>
    <n v="590"/>
    <x v="3"/>
    <x v="2"/>
    <n v="2026"/>
    <s v="Buy"/>
    <s v="Active"/>
    <s v="WTI"/>
    <d v="2026-04-30T00:00:00"/>
    <n v="1000"/>
    <s v="WTI"/>
    <d v="2026-05-31T00:00:00"/>
    <n v="-1000"/>
  </r>
  <r>
    <x v="12"/>
    <x v="16"/>
    <x v="2"/>
    <x v="0"/>
    <n v="1400"/>
    <x v="3"/>
    <d v="2026-01-31T00:00:00"/>
    <n v="-2.4499999999999997"/>
    <n v="-2.02"/>
    <n v="601.99999999999955"/>
    <n v="-3429.9999999999995"/>
    <x v="3"/>
    <s v="Buy"/>
    <n v="-2828"/>
    <x v="2"/>
    <x v="7"/>
    <n v="2026"/>
    <s v="Buy"/>
    <s v="Active"/>
    <n v="0"/>
    <d v="2026-01-31T00:00:00"/>
    <n v="1400"/>
    <n v="0"/>
    <d v="2026-01-31T00:00:00"/>
    <n v="-1400"/>
  </r>
  <r>
    <x v="12"/>
    <x v="16"/>
    <x v="7"/>
    <x v="0"/>
    <n v="-1400"/>
    <x v="4"/>
    <d v="2026-03-31T00:00:00"/>
    <n v="0.22"/>
    <n v="0.1"/>
    <n v="168"/>
    <n v="-308"/>
    <x v="5"/>
    <s v="Sell"/>
    <n v="-140"/>
    <x v="3"/>
    <x v="2"/>
    <n v="2026"/>
    <s v="Sell"/>
    <s v="Active"/>
    <s v="WTI"/>
    <d v="2026-02-28T00:00:00"/>
    <n v="-1400"/>
    <s v="WTI"/>
    <d v="2026-03-31T00:00:00"/>
    <n v="1400"/>
  </r>
  <r>
    <x v="12"/>
    <x v="16"/>
    <x v="7"/>
    <x v="0"/>
    <n v="-1400"/>
    <x v="5"/>
    <d v="2026-04-30T00:00:00"/>
    <n v="0.14000000000000001"/>
    <n v="0.03"/>
    <n v="154.00000000000003"/>
    <n v="-196.00000000000003"/>
    <x v="6"/>
    <s v="Sell"/>
    <n v="-42"/>
    <x v="3"/>
    <x v="2"/>
    <n v="2026"/>
    <s v="Sell"/>
    <s v="Active"/>
    <s v="WTI"/>
    <d v="2026-03-31T00:00:00"/>
    <n v="-1400"/>
    <s v="WTI"/>
    <d v="2026-04-30T00:00:00"/>
    <n v="1400"/>
  </r>
  <r>
    <x v="12"/>
    <x v="16"/>
    <x v="1"/>
    <x v="0"/>
    <n v="-1400"/>
    <x v="7"/>
    <d v="2026-04-30T00:00:00"/>
    <n v="-3.55"/>
    <n v="-5.46"/>
    <n v="2674"/>
    <n v="4970"/>
    <x v="8"/>
    <s v="Sell"/>
    <n v="7644"/>
    <x v="1"/>
    <x v="6"/>
    <n v="2026"/>
    <s v="Sell"/>
    <s v="Active"/>
    <s v="WTI"/>
    <d v="2026-04-30T00:00:00"/>
    <n v="-1400"/>
    <s v="Brent"/>
    <d v="2026-04-30T00:00:00"/>
    <n v="1400"/>
  </r>
  <r>
    <x v="12"/>
    <x v="16"/>
    <x v="1"/>
    <x v="2"/>
    <n v="500"/>
    <x v="5"/>
    <d v="2026-03-31T00:00:00"/>
    <n v="-3.73"/>
    <n v="-5.48"/>
    <n v="-875.00000000000023"/>
    <n v="-1865"/>
    <x v="10"/>
    <s v="Buy"/>
    <n v="-2740"/>
    <x v="1"/>
    <x v="6"/>
    <n v="2026"/>
    <s v="Buy"/>
    <s v="Active"/>
    <s v="WTI"/>
    <d v="2026-03-31T00:00:00"/>
    <n v="500"/>
    <s v="Brent"/>
    <d v="2026-03-31T00:00:00"/>
    <n v="-500"/>
  </r>
  <r>
    <x v="12"/>
    <x v="16"/>
    <x v="7"/>
    <x v="2"/>
    <n v="87"/>
    <x v="4"/>
    <d v="2026-03-31T00:00:00"/>
    <n v="0.25"/>
    <n v="0.1"/>
    <n v="-13.049999999999999"/>
    <n v="21.75"/>
    <x v="5"/>
    <s v="Buy"/>
    <n v="8.7000000000000011"/>
    <x v="3"/>
    <x v="2"/>
    <n v="2026"/>
    <s v="Buy"/>
    <s v="Active"/>
    <s v="WTI"/>
    <d v="2026-02-28T00:00:00"/>
    <n v="87"/>
    <s v="WTI"/>
    <d v="2026-03-31T00:00:00"/>
    <n v="-87"/>
  </r>
  <r>
    <x v="12"/>
    <x v="28"/>
    <x v="7"/>
    <x v="2"/>
    <n v="500"/>
    <x v="4"/>
    <d v="2026-03-31T00:00:00"/>
    <n v="0.22"/>
    <n v="0.1"/>
    <n v="-60"/>
    <n v="110"/>
    <x v="5"/>
    <s v="Buy"/>
    <n v="50"/>
    <x v="3"/>
    <x v="2"/>
    <n v="2026"/>
    <s v="Buy"/>
    <s v="Active"/>
    <s v="WTI"/>
    <d v="2026-02-28T00:00:00"/>
    <n v="500"/>
    <s v="WTI"/>
    <d v="2026-03-31T00:00:00"/>
    <n v="-500"/>
  </r>
  <r>
    <x v="13"/>
    <x v="29"/>
    <x v="2"/>
    <x v="0"/>
    <n v="700"/>
    <x v="3"/>
    <d v="2026-01-31T00:00:00"/>
    <n v="0.17862179999999928"/>
    <n v="0.01"/>
    <n v="-118.03525999999948"/>
    <n v="125.0352599999995"/>
    <x v="3"/>
    <s v="Buy"/>
    <n v="7"/>
    <x v="2"/>
    <x v="7"/>
    <n v="2026"/>
    <s v="Buy"/>
    <s v="Active"/>
    <n v="0"/>
    <d v="2026-01-31T00:00:00"/>
    <n v="700"/>
    <n v="0"/>
    <d v="2026-01-31T00:00:00"/>
    <n v="-700"/>
  </r>
  <r>
    <x v="13"/>
    <x v="29"/>
    <x v="1"/>
    <x v="0"/>
    <n v="-700"/>
    <x v="4"/>
    <d v="2026-02-28T00:00:00"/>
    <n v="-3.83"/>
    <n v="-3.97"/>
    <n v="98.000000000000085"/>
    <n v="2681"/>
    <x v="4"/>
    <s v="Sell"/>
    <n v="2779"/>
    <x v="1"/>
    <x v="6"/>
    <n v="2026"/>
    <s v="Sell"/>
    <s v="Active"/>
    <s v="WTI"/>
    <d v="2026-02-28T00:00:00"/>
    <n v="-700"/>
    <s v="Brent"/>
    <d v="2026-02-28T00:00:00"/>
    <n v="700"/>
  </r>
  <r>
    <x v="13"/>
    <x v="29"/>
    <x v="1"/>
    <x v="2"/>
    <n v="700"/>
    <x v="4"/>
    <d v="2026-02-28T00:00:00"/>
    <n v="-3.86"/>
    <n v="-3.97"/>
    <n v="-77.000000000000227"/>
    <n v="-2702"/>
    <x v="4"/>
    <s v="Buy"/>
    <n v="-2779"/>
    <x v="1"/>
    <x v="6"/>
    <n v="2026"/>
    <s v="Buy"/>
    <s v="Active"/>
    <s v="WTI"/>
    <d v="2026-02-28T00:00:00"/>
    <n v="700"/>
    <s v="Brent"/>
    <d v="2026-02-28T00:00:00"/>
    <n v="-700"/>
  </r>
  <r>
    <x v="13"/>
    <x v="29"/>
    <x v="5"/>
    <x v="0"/>
    <n v="-700"/>
    <x v="4"/>
    <d v="2026-02-28T00:00:00"/>
    <n v="188"/>
    <n v="290"/>
    <n v="-1532.9579999999999"/>
    <n v="-131600"/>
    <x v="4"/>
    <s v="Sell"/>
    <n v="-203000"/>
    <x v="4"/>
    <x v="3"/>
    <n v="2026"/>
    <s v="Sell"/>
    <s v="Active"/>
    <e v="#N/A"/>
    <d v="2026-02-28T00:00:00"/>
    <n v="-700"/>
    <e v="#N/A"/>
    <d v="2026-02-28T00:00:00"/>
    <n v="700"/>
  </r>
  <r>
    <x v="13"/>
    <x v="29"/>
    <x v="5"/>
    <x v="2"/>
    <n v="700"/>
    <x v="4"/>
    <d v="2026-02-28T00:00:00"/>
    <n v="260"/>
    <n v="290"/>
    <n v="450.86999999999995"/>
    <n v="182000"/>
    <x v="4"/>
    <s v="Buy"/>
    <n v="203000"/>
    <x v="4"/>
    <x v="3"/>
    <n v="2026"/>
    <s v="Buy"/>
    <s v="Active"/>
    <e v="#N/A"/>
    <d v="2026-02-28T00:00:00"/>
    <n v="700"/>
    <e v="#N/A"/>
    <d v="2026-02-28T00:00:00"/>
    <n v="-700"/>
  </r>
  <r>
    <x v="13"/>
    <x v="29"/>
    <x v="6"/>
    <x v="0"/>
    <n v="700"/>
    <x v="4"/>
    <d v="2026-02-28T00:00:00"/>
    <n v="123"/>
    <n v="192.5"/>
    <n v="430.23141000000004"/>
    <n v="86100"/>
    <x v="4"/>
    <s v="Buy"/>
    <n v="134750"/>
    <x v="4"/>
    <x v="3"/>
    <n v="2026"/>
    <s v="Buy"/>
    <s v="Active"/>
    <e v="#N/A"/>
    <d v="2026-02-28T00:00:00"/>
    <n v="700"/>
    <e v="#N/A"/>
    <d v="2026-02-28T00:00:00"/>
    <n v="-700"/>
  </r>
  <r>
    <x v="13"/>
    <x v="29"/>
    <x v="6"/>
    <x v="2"/>
    <n v="-700"/>
    <x v="4"/>
    <d v="2026-02-28T00:00:00"/>
    <n v="192.5"/>
    <n v="192.5"/>
    <n v="0"/>
    <n v="-134750"/>
    <x v="4"/>
    <s v="Sell"/>
    <n v="-134750"/>
    <x v="4"/>
    <x v="3"/>
    <n v="2026"/>
    <s v="Sell"/>
    <s v="Active"/>
    <e v="#N/A"/>
    <d v="2026-02-28T00:00:00"/>
    <n v="-700"/>
    <e v="#N/A"/>
    <d v="2026-02-28T00:00:00"/>
    <n v="700"/>
  </r>
  <r>
    <x v="14"/>
    <x v="29"/>
    <x v="2"/>
    <x v="0"/>
    <n v="700"/>
    <x v="4"/>
    <d v="2026-02-28T00:00:00"/>
    <n v="-2.65"/>
    <n v="-2.3199999999999998"/>
    <n v="231.00000000000006"/>
    <n v="-1855"/>
    <x v="4"/>
    <s v="Buy"/>
    <n v="-1624"/>
    <x v="2"/>
    <x v="7"/>
    <n v="2026"/>
    <s v="Buy"/>
    <s v="Active"/>
    <n v="0"/>
    <d v="2026-02-28T00:00:00"/>
    <n v="700"/>
    <n v="0"/>
    <d v="2026-02-28T00:00:00"/>
    <n v="-700"/>
  </r>
  <r>
    <x v="14"/>
    <x v="29"/>
    <x v="10"/>
    <x v="0"/>
    <m/>
    <x v="4"/>
    <d v="2026-02-28T00:00:00"/>
    <n v="0.73"/>
    <n v="1.26"/>
    <n v="0"/>
    <n v="0"/>
    <x v="4"/>
    <s v="Buy"/>
    <n v="0"/>
    <x v="1"/>
    <x v="5"/>
    <n v="2026"/>
    <s v="Sell"/>
    <s v="Active"/>
    <n v="0"/>
    <d v="2026-02-28T00:00:00"/>
    <n v="0"/>
    <n v="0"/>
    <d v="2026-02-28T00:00:00"/>
    <n v="0"/>
  </r>
  <r>
    <x v="14"/>
    <x v="29"/>
    <x v="7"/>
    <x v="0"/>
    <n v="-700"/>
    <x v="4"/>
    <d v="2026-03-31T00:00:00"/>
    <n v="0.24"/>
    <n v="0.1"/>
    <n v="97.999999999999986"/>
    <n v="-168"/>
    <x v="5"/>
    <s v="Sell"/>
    <n v="-70"/>
    <x v="3"/>
    <x v="2"/>
    <n v="2026"/>
    <s v="Sell"/>
    <s v="Active"/>
    <s v="WTI"/>
    <d v="2026-02-28T00:00:00"/>
    <n v="-700"/>
    <s v="WTI"/>
    <d v="2026-03-31T00:00:00"/>
    <n v="700"/>
  </r>
  <r>
    <x v="14"/>
    <x v="29"/>
    <x v="1"/>
    <x v="0"/>
    <n v="-700"/>
    <x v="5"/>
    <d v="2026-03-31T00:00:00"/>
    <n v="-3.63"/>
    <n v="-5.48"/>
    <n v="1295.0000000000005"/>
    <n v="2541"/>
    <x v="10"/>
    <s v="Sell"/>
    <n v="3836.0000000000005"/>
    <x v="1"/>
    <x v="6"/>
    <n v="2026"/>
    <s v="Sell"/>
    <s v="Active"/>
    <s v="WTI"/>
    <d v="2026-03-31T00:00:00"/>
    <n v="-700"/>
    <s v="Brent"/>
    <d v="2026-03-31T00:00:00"/>
    <n v="700"/>
  </r>
  <r>
    <x v="5"/>
    <x v="29"/>
    <x v="8"/>
    <x v="2"/>
    <n v="200"/>
    <x v="9"/>
    <d v="2026-01-31T00:00:00"/>
    <n v="0.97868999999999995"/>
    <n v="1.54"/>
    <n v="112.26200000000001"/>
    <n v="195.738"/>
    <x v="3"/>
    <s v="Buy"/>
    <n v="308"/>
    <x v="1"/>
    <x v="4"/>
    <n v="2026"/>
    <s v="Buy"/>
    <s v="Active"/>
    <e v="#N/A"/>
    <s v="Jan05-Jan09"/>
    <n v="200"/>
    <e v="#N/A"/>
    <d v="2026-01-31T00:00:00"/>
    <n v="-200"/>
  </r>
  <r>
    <x v="5"/>
    <x v="29"/>
    <x v="8"/>
    <x v="2"/>
    <n v="-200"/>
    <x v="10"/>
    <d v="2026-01-31T00:00:00"/>
    <n v="0.43"/>
    <n v="2.5"/>
    <n v="-413.99999999999994"/>
    <n v="-86"/>
    <x v="3"/>
    <s v="Sell"/>
    <n v="-500"/>
    <x v="1"/>
    <x v="4"/>
    <n v="2026"/>
    <s v="Sell"/>
    <s v="Active"/>
    <e v="#N/A"/>
    <s v="Jan19-Jan23"/>
    <n v="-200"/>
    <e v="#N/A"/>
    <d v="2026-01-31T00:00:00"/>
    <n v="200"/>
  </r>
  <r>
    <x v="14"/>
    <x v="29"/>
    <x v="7"/>
    <x v="2"/>
    <n v="354"/>
    <x v="4"/>
    <d v="2026-03-31T00:00:00"/>
    <n v="0.23"/>
    <n v="0.1"/>
    <n v="-46.02"/>
    <n v="81.42"/>
    <x v="5"/>
    <s v="Buy"/>
    <n v="35.4"/>
    <x v="3"/>
    <x v="2"/>
    <n v="2026"/>
    <s v="Buy"/>
    <s v="Active"/>
    <s v="WTI"/>
    <d v="2026-02-28T00:00:00"/>
    <n v="354"/>
    <s v="WTI"/>
    <d v="2026-03-31T00:00:00"/>
    <n v="-354"/>
  </r>
  <r>
    <x v="14"/>
    <x v="29"/>
    <x v="7"/>
    <x v="2"/>
    <n v="93"/>
    <x v="5"/>
    <d v="2026-04-30T00:00:00"/>
    <n v="0.17"/>
    <n v="0.03"/>
    <n v="-13.020000000000001"/>
    <n v="15.81"/>
    <x v="6"/>
    <s v="Buy"/>
    <n v="2.79"/>
    <x v="3"/>
    <x v="2"/>
    <n v="2026"/>
    <s v="Buy"/>
    <s v="Active"/>
    <s v="WTI"/>
    <d v="2026-03-31T00:00:00"/>
    <n v="93"/>
    <s v="WTI"/>
    <d v="2026-04-30T00:00:00"/>
    <n v="-93"/>
  </r>
  <r>
    <x v="14"/>
    <x v="30"/>
    <x v="3"/>
    <x v="2"/>
    <n v="125"/>
    <x v="4"/>
    <d v="2026-03-31T00:00:00"/>
    <n v="0.4"/>
    <n v="0.59"/>
    <n v="23.749999999999993"/>
    <n v="50"/>
    <x v="5"/>
    <s v="Buy"/>
    <n v="73.75"/>
    <x v="3"/>
    <x v="1"/>
    <n v="2026"/>
    <s v="Buy"/>
    <s v="Active"/>
    <s v="Brent"/>
    <d v="2026-02-28T00:00:00"/>
    <n v="125"/>
    <s v="Brent"/>
    <d v="2026-03-31T00:00:00"/>
    <n v="-125"/>
  </r>
  <r>
    <x v="14"/>
    <x v="30"/>
    <x v="1"/>
    <x v="2"/>
    <n v="24"/>
    <x v="4"/>
    <d v="2026-02-28T00:00:00"/>
    <n v="-3.97"/>
    <n v="-3.97"/>
    <n v="0"/>
    <n v="-95.28"/>
    <x v="4"/>
    <s v="Buy"/>
    <n v="-95.28"/>
    <x v="1"/>
    <x v="6"/>
    <n v="2026"/>
    <s v="Buy"/>
    <s v="Active"/>
    <s v="WTI"/>
    <d v="2026-02-28T00:00:00"/>
    <n v="24"/>
    <s v="Brent"/>
    <d v="2026-02-28T00:00:00"/>
    <n v="-24"/>
  </r>
  <r>
    <x v="14"/>
    <x v="30"/>
    <x v="7"/>
    <x v="2"/>
    <n v="354"/>
    <x v="4"/>
    <d v="2026-03-31T00:00:00"/>
    <n v="0.21"/>
    <n v="0.1"/>
    <n v="-38.94"/>
    <n v="74.34"/>
    <x v="5"/>
    <s v="Buy"/>
    <n v="35.4"/>
    <x v="3"/>
    <x v="2"/>
    <n v="2026"/>
    <s v="Buy"/>
    <s v="Active"/>
    <s v="WTI"/>
    <d v="2026-02-28T00:00:00"/>
    <n v="354"/>
    <s v="WTI"/>
    <d v="2026-03-31T00:00:00"/>
    <n v="-354"/>
  </r>
  <r>
    <x v="14"/>
    <x v="30"/>
    <x v="7"/>
    <x v="2"/>
    <n v="93"/>
    <x v="5"/>
    <d v="2026-04-30T00:00:00"/>
    <n v="0.16"/>
    <n v="0.03"/>
    <n v="-12.09"/>
    <n v="14.88"/>
    <x v="6"/>
    <s v="Buy"/>
    <n v="2.79"/>
    <x v="3"/>
    <x v="2"/>
    <n v="2026"/>
    <s v="Buy"/>
    <s v="Active"/>
    <s v="WTI"/>
    <d v="2026-03-31T00:00:00"/>
    <n v="93"/>
    <s v="WTI"/>
    <d v="2026-04-30T00:00:00"/>
    <n v="-93"/>
  </r>
  <r>
    <x v="14"/>
    <x v="30"/>
    <x v="10"/>
    <x v="2"/>
    <n v="375"/>
    <x v="4"/>
    <d v="2026-02-28T00:00:00"/>
    <n v="0.67"/>
    <n v="1.26"/>
    <n v="221.25"/>
    <n v="251.25000000000003"/>
    <x v="4"/>
    <s v="Buy"/>
    <n v="472.5"/>
    <x v="1"/>
    <x v="5"/>
    <n v="2026"/>
    <s v="Buy"/>
    <s v="Active"/>
    <n v="0"/>
    <d v="2026-02-28T00:00:00"/>
    <n v="375"/>
    <n v="0"/>
    <d v="2026-02-28T00:00:00"/>
    <n v="-375"/>
  </r>
  <r>
    <x v="14"/>
    <x v="30"/>
    <x v="10"/>
    <x v="0"/>
    <n v="12"/>
    <x v="4"/>
    <d v="2026-02-28T00:00:00"/>
    <n v="0.69"/>
    <n v="1.26"/>
    <n v="6.8400000000000007"/>
    <n v="8.2799999999999994"/>
    <x v="4"/>
    <s v="Buy"/>
    <n v="15.120000000000001"/>
    <x v="1"/>
    <x v="5"/>
    <n v="2026"/>
    <s v="Buy"/>
    <s v="Active"/>
    <n v="0"/>
    <d v="2026-02-28T00:00:00"/>
    <n v="12"/>
    <n v="0"/>
    <d v="2026-02-28T00:00:00"/>
    <n v="-12"/>
  </r>
  <r>
    <x v="14"/>
    <x v="30"/>
    <x v="1"/>
    <x v="2"/>
    <n v="400"/>
    <x v="7"/>
    <d v="2026-04-30T00:00:00"/>
    <n v="-3.42"/>
    <n v="-5.46"/>
    <n v="-816"/>
    <n v="-1368"/>
    <x v="8"/>
    <s v="Buy"/>
    <n v="-2184"/>
    <x v="1"/>
    <x v="6"/>
    <n v="2026"/>
    <s v="Buy"/>
    <s v="Active"/>
    <s v="WTI"/>
    <d v="2026-04-30T00:00:00"/>
    <n v="400"/>
    <s v="Brent"/>
    <d v="2026-04-30T00:00:00"/>
    <n v="-400"/>
  </r>
  <r>
    <x v="14"/>
    <x v="0"/>
    <x v="7"/>
    <x v="2"/>
    <n v="354"/>
    <x v="4"/>
    <d v="2026-03-31T00:00:00"/>
    <n v="0.21"/>
    <n v="0.1"/>
    <n v="-38.94"/>
    <n v="74.34"/>
    <x v="5"/>
    <s v="Buy"/>
    <n v="35.4"/>
    <x v="3"/>
    <x v="2"/>
    <n v="2026"/>
    <s v="Buy"/>
    <s v="Active"/>
    <s v="WTI"/>
    <d v="2026-02-28T00:00:00"/>
    <n v="354"/>
    <s v="WTI"/>
    <d v="2026-03-31T00:00:00"/>
    <n v="-354"/>
  </r>
  <r>
    <x v="14"/>
    <x v="0"/>
    <x v="7"/>
    <x v="2"/>
    <n v="93"/>
    <x v="5"/>
    <d v="2026-04-30T00:00:00"/>
    <n v="0.16"/>
    <n v="0.03"/>
    <n v="-12.09"/>
    <n v="14.88"/>
    <x v="6"/>
    <s v="Buy"/>
    <n v="2.79"/>
    <x v="3"/>
    <x v="2"/>
    <n v="2026"/>
    <s v="Buy"/>
    <s v="Active"/>
    <s v="WTI"/>
    <d v="2026-03-31T00:00:00"/>
    <n v="93"/>
    <s v="WTI"/>
    <d v="2026-04-30T00:00:00"/>
    <n v="-93"/>
  </r>
  <r>
    <x v="14"/>
    <x v="0"/>
    <x v="10"/>
    <x v="2"/>
    <n v="200"/>
    <x v="4"/>
    <d v="2026-02-28T00:00:00"/>
    <n v="0.71"/>
    <n v="1.26"/>
    <n v="110.00000000000001"/>
    <n v="142"/>
    <x v="4"/>
    <s v="Buy"/>
    <n v="252"/>
    <x v="1"/>
    <x v="5"/>
    <n v="2026"/>
    <s v="Buy"/>
    <s v="Active"/>
    <n v="0"/>
    <d v="2026-02-28T00:00:00"/>
    <n v="200"/>
    <n v="0"/>
    <d v="2026-02-28T00:00:00"/>
    <n v="-200"/>
  </r>
  <r>
    <x v="5"/>
    <x v="31"/>
    <x v="7"/>
    <x v="2"/>
    <n v="-103"/>
    <x v="4"/>
    <d v="2026-03-31T00:00:00"/>
    <n v="0.15"/>
    <n v="0.1"/>
    <n v="5.1499999999999986"/>
    <n v="-15.45"/>
    <x v="5"/>
    <s v="Sell"/>
    <n v="-10.3"/>
    <x v="3"/>
    <x v="2"/>
    <n v="2026"/>
    <s v="Sell"/>
    <s v="Active"/>
    <s v="WTI"/>
    <d v="2026-02-28T00:00:00"/>
    <n v="-103"/>
    <s v="WTI"/>
    <d v="2026-03-31T00:00:00"/>
    <n v="103"/>
  </r>
  <r>
    <x v="15"/>
    <x v="32"/>
    <x v="2"/>
    <x v="0"/>
    <n v="2072"/>
    <x v="3"/>
    <d v="2026-01-31T00:00:00"/>
    <n v="0.83305019305019234"/>
    <n v="1.08"/>
    <n v="511.6800000000016"/>
    <n v="1726.0799999999986"/>
    <x v="3"/>
    <s v="Buy"/>
    <n v="2237.7600000000002"/>
    <x v="2"/>
    <x v="7"/>
    <n v="2026"/>
    <s v="Buy"/>
    <s v="Active"/>
    <n v="0"/>
    <d v="2026-01-31T00:00:00"/>
    <n v="2072"/>
    <n v="0"/>
    <d v="2026-01-31T00:00:00"/>
    <n v="-2072"/>
  </r>
  <r>
    <x v="15"/>
    <x v="32"/>
    <x v="7"/>
    <x v="0"/>
    <n v="-2065"/>
    <x v="4"/>
    <d v="2026-03-31T00:00:00"/>
    <n v="0.13"/>
    <n v="0.1"/>
    <n v="61.949999999999996"/>
    <n v="-268.45"/>
    <x v="5"/>
    <s v="Sell"/>
    <n v="-206.5"/>
    <x v="3"/>
    <x v="2"/>
    <n v="2026"/>
    <s v="Sell"/>
    <s v="Active"/>
    <s v="WTI"/>
    <d v="2026-02-28T00:00:00"/>
    <n v="-2065"/>
    <s v="WTI"/>
    <d v="2026-03-31T00:00:00"/>
    <n v="2065"/>
  </r>
  <r>
    <x v="15"/>
    <x v="32"/>
    <x v="7"/>
    <x v="0"/>
    <n v="-2072"/>
    <x v="5"/>
    <d v="2026-04-30T00:00:00"/>
    <n v="0.13"/>
    <n v="0.03"/>
    <n v="207.20000000000002"/>
    <n v="-269.36"/>
    <x v="6"/>
    <s v="Sell"/>
    <n v="-62.16"/>
    <x v="3"/>
    <x v="2"/>
    <n v="2026"/>
    <s v="Sell"/>
    <s v="Active"/>
    <s v="WTI"/>
    <d v="2026-03-31T00:00:00"/>
    <n v="-2072"/>
    <s v="WTI"/>
    <d v="2026-04-30T00:00:00"/>
    <n v="2072"/>
  </r>
  <r>
    <x v="15"/>
    <x v="32"/>
    <x v="1"/>
    <x v="0"/>
    <n v="-2072"/>
    <x v="7"/>
    <d v="2026-04-30T00:00:00"/>
    <n v="-3.89"/>
    <n v="-5.46"/>
    <n v="3253.0399999999995"/>
    <n v="8060.08"/>
    <x v="8"/>
    <s v="Sell"/>
    <n v="11313.12"/>
    <x v="1"/>
    <x v="6"/>
    <n v="2026"/>
    <s v="Sell"/>
    <s v="Active"/>
    <s v="WTI"/>
    <d v="2026-04-30T00:00:00"/>
    <n v="-2072"/>
    <s v="Brent"/>
    <d v="2026-04-30T00:00:00"/>
    <n v="2072"/>
  </r>
  <r>
    <x v="15"/>
    <x v="32"/>
    <x v="3"/>
    <x v="0"/>
    <n v="-2072"/>
    <x v="7"/>
    <d v="2026-05-31T00:00:00"/>
    <n v="0.26"/>
    <n v="-0.39"/>
    <n v="1346.8"/>
    <n v="-538.72"/>
    <x v="11"/>
    <s v="Sell"/>
    <n v="808.08"/>
    <x v="3"/>
    <x v="1"/>
    <n v="2026"/>
    <s v="Sell"/>
    <s v="Active"/>
    <s v="Brent"/>
    <d v="2026-04-30T00:00:00"/>
    <n v="-2072"/>
    <s v="Brent"/>
    <d v="2026-05-31T00:00:00"/>
    <n v="2072"/>
  </r>
  <r>
    <x v="15"/>
    <x v="32"/>
    <x v="3"/>
    <x v="0"/>
    <n v="-94"/>
    <x v="8"/>
    <d v="2026-06-30T00:00:00"/>
    <n v="0.18"/>
    <n v="14.38"/>
    <n v="-1334.8000000000002"/>
    <n v="-16.919999999999998"/>
    <x v="12"/>
    <s v="Sell"/>
    <n v="-1351.72"/>
    <x v="3"/>
    <x v="1"/>
    <n v="2026"/>
    <s v="Sell"/>
    <s v="Active"/>
    <s v="Brent"/>
    <d v="2026-05-31T00:00:00"/>
    <n v="-94"/>
    <s v="Brent"/>
    <d v="2026-06-30T00:00:00"/>
    <n v="94"/>
  </r>
  <r>
    <x v="5"/>
    <x v="32"/>
    <x v="4"/>
    <x v="0"/>
    <n v="2072"/>
    <x v="5"/>
    <d v="2026-03-31T00:00:00"/>
    <n v="0.31"/>
    <n v="11.45"/>
    <n v="23082.079999999998"/>
    <n v="642.32000000000005"/>
    <x v="10"/>
    <s v="Buy"/>
    <n v="23724.399999999998"/>
    <x v="1"/>
    <x v="4"/>
    <n v="2026"/>
    <s v="Buy"/>
    <s v="Active"/>
    <e v="#N/A"/>
    <d v="2026-03-31T00:00:00"/>
    <n v="2072"/>
    <e v="#N/A"/>
    <d v="2026-03-31T00:00:00"/>
    <n v="-2072"/>
  </r>
  <r>
    <x v="15"/>
    <x v="32"/>
    <x v="9"/>
    <x v="0"/>
    <n v="-2000"/>
    <x v="3"/>
    <d v="2026-01-31T00:00:00"/>
    <n v="4850"/>
    <n v="4850"/>
    <n v="0"/>
    <n v="0"/>
    <x v="3"/>
    <s v="Sell"/>
    <n v="-9700000"/>
    <x v="4"/>
    <x v="3"/>
    <n v="2026"/>
    <s v="Sell"/>
    <s v="Active"/>
    <e v="#N/A"/>
    <d v="2026-01-31T00:00:00"/>
    <n v="-2000"/>
    <e v="#N/A"/>
    <d v="2026-01-31T00:00:00"/>
    <n v="2000"/>
  </r>
  <r>
    <x v="15"/>
    <x v="32"/>
    <x v="9"/>
    <x v="2"/>
    <n v="2000"/>
    <x v="3"/>
    <d v="2026-01-31T00:00:00"/>
    <n v="6500"/>
    <n v="4850"/>
    <n v="-1650"/>
    <n v="-1650"/>
    <x v="3"/>
    <s v="Buy"/>
    <n v="9700000"/>
    <x v="4"/>
    <x v="3"/>
    <n v="2026"/>
    <s v="Buy"/>
    <s v="Active"/>
    <e v="#N/A"/>
    <d v="2026-01-31T00:00:00"/>
    <n v="2000"/>
    <e v="#N/A"/>
    <d v="2026-01-31T00:00:00"/>
    <n v="-2000"/>
  </r>
  <r>
    <x v="14"/>
    <x v="31"/>
    <x v="1"/>
    <x v="2"/>
    <n v="400"/>
    <x v="7"/>
    <d v="2026-04-30T00:00:00"/>
    <n v="-3.45"/>
    <n v="-5.46"/>
    <n v="-803.99999999999989"/>
    <n v="-1380"/>
    <x v="8"/>
    <s v="Buy"/>
    <n v="-2184"/>
    <x v="1"/>
    <x v="6"/>
    <n v="2026"/>
    <s v="Buy"/>
    <s v="Active"/>
    <s v="WTI"/>
    <d v="2026-04-30T00:00:00"/>
    <n v="400"/>
    <s v="Brent"/>
    <d v="2026-04-30T00:00:00"/>
    <n v="-400"/>
  </r>
  <r>
    <x v="14"/>
    <x v="33"/>
    <x v="1"/>
    <x v="2"/>
    <n v="400"/>
    <x v="7"/>
    <d v="2026-04-30T00:00:00"/>
    <n v="-3.49"/>
    <n v="-5.46"/>
    <n v="-787.99999999999989"/>
    <n v="-1396"/>
    <x v="8"/>
    <s v="Buy"/>
    <n v="-2184"/>
    <x v="1"/>
    <x v="6"/>
    <n v="2026"/>
    <s v="Buy"/>
    <s v="Active"/>
    <s v="WTI"/>
    <d v="2026-04-30T00:00:00"/>
    <n v="400"/>
    <s v="Brent"/>
    <d v="2026-04-30T00:00:00"/>
    <n v="-400"/>
  </r>
  <r>
    <x v="12"/>
    <x v="34"/>
    <x v="7"/>
    <x v="2"/>
    <n v="500"/>
    <x v="4"/>
    <d v="2026-03-31T00:00:00"/>
    <n v="0.125"/>
    <n v="0.1"/>
    <n v="-12.499999999999996"/>
    <n v="62.5"/>
    <x v="5"/>
    <s v="Buy"/>
    <n v="50"/>
    <x v="3"/>
    <x v="2"/>
    <n v="2026"/>
    <s v="Buy"/>
    <s v="Active"/>
    <s v="WTI"/>
    <d v="2026-02-28T00:00:00"/>
    <n v="500"/>
    <s v="WTI"/>
    <d v="2026-03-31T00:00:00"/>
    <n v="-500"/>
  </r>
  <r>
    <x v="16"/>
    <x v="34"/>
    <x v="7"/>
    <x v="2"/>
    <n v="500"/>
    <x v="5"/>
    <d v="2026-04-30T00:00:00"/>
    <n v="0.125"/>
    <n v="0.03"/>
    <n v="-47.5"/>
    <n v="62.5"/>
    <x v="6"/>
    <s v="Buy"/>
    <n v="15"/>
    <x v="3"/>
    <x v="2"/>
    <n v="2026"/>
    <s v="Buy"/>
    <s v="Active"/>
    <s v="WTI"/>
    <d v="2026-03-31T00:00:00"/>
    <n v="500"/>
    <s v="WTI"/>
    <d v="2026-04-30T00:00:00"/>
    <n v="-500"/>
  </r>
  <r>
    <x v="15"/>
    <x v="34"/>
    <x v="7"/>
    <x v="2"/>
    <n v="2100"/>
    <x v="4"/>
    <d v="2026-03-31T00:00:00"/>
    <n v="0.18"/>
    <n v="0.1"/>
    <n v="-167.99999999999997"/>
    <n v="378"/>
    <x v="5"/>
    <s v="Buy"/>
    <n v="210"/>
    <x v="3"/>
    <x v="2"/>
    <n v="2026"/>
    <s v="Buy"/>
    <s v="Active"/>
    <s v="WTI"/>
    <d v="2026-02-28T00:00:00"/>
    <n v="2100"/>
    <s v="WTI"/>
    <d v="2026-03-31T00:00:00"/>
    <n v="-2100"/>
  </r>
  <r>
    <x v="15"/>
    <x v="34"/>
    <x v="7"/>
    <x v="2"/>
    <n v="2100"/>
    <x v="5"/>
    <d v="2026-04-30T00:00:00"/>
    <n v="0.15"/>
    <n v="0.03"/>
    <n v="-252"/>
    <n v="315"/>
    <x v="6"/>
    <s v="Buy"/>
    <n v="63"/>
    <x v="3"/>
    <x v="2"/>
    <n v="2026"/>
    <s v="Buy"/>
    <s v="Active"/>
    <s v="WTI"/>
    <d v="2026-03-31T00:00:00"/>
    <n v="2100"/>
    <s v="WTI"/>
    <d v="2026-04-30T00:00:00"/>
    <n v="-2100"/>
  </r>
  <r>
    <x v="15"/>
    <x v="34"/>
    <x v="1"/>
    <x v="2"/>
    <n v="2100"/>
    <x v="7"/>
    <d v="2026-04-30T00:00:00"/>
    <n v="-4"/>
    <n v="-5.46"/>
    <n v="-3066"/>
    <n v="-8400"/>
    <x v="8"/>
    <s v="Buy"/>
    <n v="-11466"/>
    <x v="1"/>
    <x v="6"/>
    <n v="2026"/>
    <s v="Buy"/>
    <s v="Active"/>
    <s v="WTI"/>
    <d v="2026-04-30T00:00:00"/>
    <n v="2100"/>
    <s v="Brent"/>
    <d v="2026-04-30T00:00:00"/>
    <n v="-2100"/>
  </r>
  <r>
    <x v="15"/>
    <x v="34"/>
    <x v="3"/>
    <x v="2"/>
    <n v="2100"/>
    <x v="7"/>
    <d v="2026-05-31T00:00:00"/>
    <n v="0.32"/>
    <n v="-0.39"/>
    <n v="-1491"/>
    <n v="672"/>
    <x v="11"/>
    <s v="Buy"/>
    <n v="-819"/>
    <x v="3"/>
    <x v="1"/>
    <n v="2026"/>
    <s v="Buy"/>
    <s v="Active"/>
    <s v="Brent"/>
    <d v="2026-04-30T00:00:00"/>
    <n v="2100"/>
    <s v="Brent"/>
    <d v="2026-05-31T00:00:00"/>
    <n v="-2100"/>
  </r>
  <r>
    <x v="5"/>
    <x v="35"/>
    <x v="7"/>
    <x v="2"/>
    <n v="-1000"/>
    <x v="4"/>
    <d v="2026-03-31T00:00:00"/>
    <n v="0.18"/>
    <n v="0.1"/>
    <n v="79.999999999999986"/>
    <n v="-180"/>
    <x v="5"/>
    <s v="Sell"/>
    <n v="-100"/>
    <x v="3"/>
    <x v="2"/>
    <n v="2026"/>
    <s v="Sell"/>
    <s v="Active"/>
    <s v="WTI"/>
    <d v="2026-02-28T00:00:00"/>
    <n v="-1000"/>
    <s v="WTI"/>
    <d v="2026-03-31T00:00:00"/>
    <n v="1000"/>
  </r>
  <r>
    <x v="11"/>
    <x v="35"/>
    <x v="7"/>
    <x v="2"/>
    <n v="233"/>
    <x v="4"/>
    <d v="2026-03-31T00:00:00"/>
    <n v="0.18"/>
    <n v="0.1"/>
    <n v="-18.639999999999997"/>
    <n v="41.94"/>
    <x v="5"/>
    <s v="Buy"/>
    <n v="23.3"/>
    <x v="3"/>
    <x v="2"/>
    <n v="2026"/>
    <s v="Buy"/>
    <s v="Active"/>
    <s v="WTI"/>
    <d v="2026-02-28T00:00:00"/>
    <n v="233"/>
    <s v="WTI"/>
    <d v="2026-03-31T00:00:00"/>
    <n v="-233"/>
  </r>
  <r>
    <x v="1"/>
    <x v="35"/>
    <x v="7"/>
    <x v="2"/>
    <n v="767"/>
    <x v="4"/>
    <d v="2026-03-31T00:00:00"/>
    <n v="0.18"/>
    <n v="0.1"/>
    <n v="-61.359999999999992"/>
    <n v="138.06"/>
    <x v="5"/>
    <s v="Buy"/>
    <n v="76.7"/>
    <x v="3"/>
    <x v="2"/>
    <n v="2026"/>
    <s v="Buy"/>
    <s v="Active"/>
    <s v="WTI"/>
    <d v="2026-02-28T00:00:00"/>
    <n v="767"/>
    <s v="WTI"/>
    <d v="2026-03-31T00:00:00"/>
    <n v="-767"/>
  </r>
  <r>
    <x v="15"/>
    <x v="35"/>
    <x v="7"/>
    <x v="2"/>
    <n v="-35"/>
    <x v="4"/>
    <d v="2026-03-31T00:00:00"/>
    <n v="0.18"/>
    <n v="0.1"/>
    <n v="2.7999999999999994"/>
    <n v="-6.3"/>
    <x v="5"/>
    <s v="Sell"/>
    <n v="-3.5"/>
    <x v="3"/>
    <x v="2"/>
    <n v="2026"/>
    <s v="Sell"/>
    <s v="Active"/>
    <s v="WTI"/>
    <d v="2026-02-28T00:00:00"/>
    <n v="-35"/>
    <s v="WTI"/>
    <d v="2026-03-31T00:00:00"/>
    <n v="35"/>
  </r>
  <r>
    <x v="12"/>
    <x v="35"/>
    <x v="7"/>
    <x v="2"/>
    <n v="313"/>
    <x v="4"/>
    <d v="2026-03-31T00:00:00"/>
    <n v="0.18"/>
    <n v="0.1"/>
    <n v="-25.039999999999996"/>
    <n v="56.339999999999996"/>
    <x v="5"/>
    <s v="Buy"/>
    <n v="31.3"/>
    <x v="3"/>
    <x v="2"/>
    <n v="2026"/>
    <s v="Buy"/>
    <s v="Active"/>
    <s v="WTI"/>
    <d v="2026-02-28T00:00:00"/>
    <n v="313"/>
    <s v="WTI"/>
    <d v="2026-03-31T00:00:00"/>
    <n v="-313"/>
  </r>
  <r>
    <x v="1"/>
    <x v="35"/>
    <x v="7"/>
    <x v="2"/>
    <n v="6"/>
    <x v="4"/>
    <d v="2026-03-31T00:00:00"/>
    <n v="0.18"/>
    <n v="0.1"/>
    <n v="-0.47999999999999993"/>
    <n v="1.08"/>
    <x v="5"/>
    <s v="Buy"/>
    <n v="0.60000000000000009"/>
    <x v="3"/>
    <x v="2"/>
    <n v="2026"/>
    <s v="Buy"/>
    <s v="Active"/>
    <s v="WTI"/>
    <d v="2026-02-28T00:00:00"/>
    <n v="6"/>
    <s v="WTI"/>
    <d v="2026-03-31T00:00:00"/>
    <n v="-6"/>
  </r>
  <r>
    <x v="5"/>
    <x v="35"/>
    <x v="7"/>
    <x v="2"/>
    <n v="-284"/>
    <x v="4"/>
    <d v="2026-03-31T00:00:00"/>
    <n v="0.18"/>
    <n v="0.1"/>
    <n v="22.719999999999995"/>
    <n v="-51.12"/>
    <x v="5"/>
    <s v="Sell"/>
    <n v="-28.400000000000002"/>
    <x v="3"/>
    <x v="2"/>
    <n v="2026"/>
    <s v="Sell"/>
    <s v="Active"/>
    <s v="WTI"/>
    <d v="2026-02-28T00:00:00"/>
    <n v="-284"/>
    <s v="WTI"/>
    <d v="2026-03-31T00:00:00"/>
    <n v="284"/>
  </r>
  <r>
    <x v="14"/>
    <x v="35"/>
    <x v="7"/>
    <x v="2"/>
    <n v="-362"/>
    <x v="4"/>
    <d v="2026-03-31T00:00:00"/>
    <n v="0.18"/>
    <n v="0.1"/>
    <n v="28.959999999999997"/>
    <n v="-65.16"/>
    <x v="5"/>
    <s v="Sell"/>
    <n v="-36.200000000000003"/>
    <x v="3"/>
    <x v="2"/>
    <n v="2026"/>
    <s v="Sell"/>
    <s v="Active"/>
    <s v="WTI"/>
    <d v="2026-02-28T00:00:00"/>
    <n v="-362"/>
    <s v="WTI"/>
    <d v="2026-03-31T00:00:00"/>
    <n v="362"/>
  </r>
  <r>
    <x v="5"/>
    <x v="35"/>
    <x v="7"/>
    <x v="2"/>
    <n v="362"/>
    <x v="4"/>
    <d v="2026-03-31T00:00:00"/>
    <n v="0.18"/>
    <n v="0.1"/>
    <n v="-28.959999999999997"/>
    <n v="65.16"/>
    <x v="5"/>
    <s v="Buy"/>
    <n v="36.200000000000003"/>
    <x v="3"/>
    <x v="2"/>
    <n v="2026"/>
    <s v="Buy"/>
    <s v="Active"/>
    <s v="WTI"/>
    <d v="2026-02-28T00:00:00"/>
    <n v="362"/>
    <s v="WTI"/>
    <d v="2026-03-31T00:00:00"/>
    <n v="-362"/>
  </r>
  <r>
    <x v="14"/>
    <x v="36"/>
    <x v="10"/>
    <x v="2"/>
    <n v="-587"/>
    <x v="4"/>
    <d v="2026-02-28T00:00:00"/>
    <n v="1.26"/>
    <n v="1.26"/>
    <n v="0"/>
    <n v="-739.62"/>
    <x v="4"/>
    <s v="Sell"/>
    <n v="-739.62"/>
    <x v="1"/>
    <x v="5"/>
    <n v="2026"/>
    <s v="Sell"/>
    <s v="Active"/>
    <n v="0"/>
    <d v="2026-02-28T00:00:00"/>
    <n v="-587"/>
    <n v="0"/>
    <d v="2026-02-28T00:00:00"/>
    <n v="587"/>
  </r>
  <r>
    <x v="5"/>
    <x v="36"/>
    <x v="7"/>
    <x v="2"/>
    <m/>
    <x v="4"/>
    <d v="2026-03-31T00:00:00"/>
    <n v="0.18"/>
    <n v="0.1"/>
    <n v="0"/>
    <n v="0"/>
    <x v="5"/>
    <s v="Buy"/>
    <n v="0"/>
    <x v="3"/>
    <x v="2"/>
    <n v="2026"/>
    <s v="Sell"/>
    <s v="Active"/>
    <s v="WTI"/>
    <d v="2026-02-28T00:00:00"/>
    <n v="0"/>
    <s v="WTI"/>
    <d v="2026-03-31T00:00:00"/>
    <n v="0"/>
  </r>
  <r>
    <x v="5"/>
    <x v="36"/>
    <x v="7"/>
    <x v="2"/>
    <m/>
    <x v="5"/>
    <d v="2026-04-30T00:00:00"/>
    <n v="0.18"/>
    <n v="0.03"/>
    <n v="0"/>
    <n v="0"/>
    <x v="6"/>
    <s v="Buy"/>
    <n v="0"/>
    <x v="3"/>
    <x v="2"/>
    <n v="2026"/>
    <s v="Sell"/>
    <s v="Active"/>
    <s v="WTI"/>
    <d v="2026-03-31T00:00:00"/>
    <n v="0"/>
    <s v="WTI"/>
    <d v="2026-04-30T00:00:00"/>
    <n v="0"/>
  </r>
  <r>
    <x v="5"/>
    <x v="37"/>
    <x v="7"/>
    <x v="2"/>
    <n v="354"/>
    <x v="4"/>
    <d v="2026-03-31T00:00:00"/>
    <n v="0.22"/>
    <n v="0.1"/>
    <n v="-42.48"/>
    <n v="77.88"/>
    <x v="5"/>
    <s v="Buy"/>
    <n v="35.4"/>
    <x v="3"/>
    <x v="2"/>
    <n v="2026"/>
    <s v="Buy"/>
    <s v="Active"/>
    <s v="WTI"/>
    <d v="2026-02-28T00:00:00"/>
    <n v="354"/>
    <s v="WTI"/>
    <d v="2026-03-31T00:00:00"/>
    <n v="-354"/>
  </r>
  <r>
    <x v="5"/>
    <x v="37"/>
    <x v="7"/>
    <x v="2"/>
    <n v="93"/>
    <x v="5"/>
    <d v="2026-04-30T00:00:00"/>
    <n v="0.28000000000000003"/>
    <n v="0.03"/>
    <n v="-23.25"/>
    <n v="26.040000000000003"/>
    <x v="6"/>
    <s v="Buy"/>
    <n v="2.79"/>
    <x v="3"/>
    <x v="2"/>
    <n v="2026"/>
    <s v="Buy"/>
    <s v="Active"/>
    <s v="WTI"/>
    <d v="2026-03-31T00:00:00"/>
    <n v="93"/>
    <s v="WTI"/>
    <d v="2026-04-30T00:00:00"/>
    <n v="-93"/>
  </r>
  <r>
    <x v="5"/>
    <x v="37"/>
    <x v="7"/>
    <x v="2"/>
    <n v="2100"/>
    <x v="4"/>
    <d v="2026-03-31T00:00:00"/>
    <n v="0.22"/>
    <n v="0.1"/>
    <n v="-252"/>
    <n v="462"/>
    <x v="5"/>
    <s v="Buy"/>
    <n v="210"/>
    <x v="3"/>
    <x v="2"/>
    <n v="2026"/>
    <s v="Buy"/>
    <s v="Active"/>
    <s v="WTI"/>
    <d v="2026-02-28T00:00:00"/>
    <n v="2100"/>
    <s v="WTI"/>
    <d v="2026-03-31T00:00:00"/>
    <n v="-2100"/>
  </r>
  <r>
    <x v="5"/>
    <x v="37"/>
    <x v="7"/>
    <x v="2"/>
    <n v="2100"/>
    <x v="5"/>
    <d v="2026-04-30T00:00:00"/>
    <n v="0.28000000000000003"/>
    <n v="0.03"/>
    <n v="-525"/>
    <n v="588"/>
    <x v="6"/>
    <s v="Buy"/>
    <n v="63"/>
    <x v="3"/>
    <x v="2"/>
    <n v="2026"/>
    <s v="Buy"/>
    <s v="Active"/>
    <s v="WTI"/>
    <d v="2026-03-31T00:00:00"/>
    <n v="2100"/>
    <s v="WTI"/>
    <d v="2026-04-30T00:00:00"/>
    <n v="-2100"/>
  </r>
  <r>
    <x v="5"/>
    <x v="37"/>
    <x v="1"/>
    <x v="2"/>
    <n v="2100"/>
    <x v="7"/>
    <d v="2026-04-30T00:00:00"/>
    <n v="-4.0999999999999996"/>
    <n v="-5.46"/>
    <n v="-2856.0000000000005"/>
    <n v="-8610"/>
    <x v="8"/>
    <s v="Buy"/>
    <n v="-11466"/>
    <x v="1"/>
    <x v="6"/>
    <n v="2026"/>
    <s v="Buy"/>
    <s v="Active"/>
    <s v="WTI"/>
    <d v="2026-04-30T00:00:00"/>
    <n v="2100"/>
    <s v="Brent"/>
    <d v="2026-04-30T00:00:00"/>
    <n v="-2100"/>
  </r>
  <r>
    <x v="5"/>
    <x v="37"/>
    <x v="3"/>
    <x v="2"/>
    <n v="2100"/>
    <x v="7"/>
    <d v="2026-05-31T00:00:00"/>
    <n v="0.46"/>
    <n v="-0.39"/>
    <n v="-1785.0000000000002"/>
    <n v="966"/>
    <x v="11"/>
    <s v="Buy"/>
    <n v="-819"/>
    <x v="3"/>
    <x v="1"/>
    <n v="2026"/>
    <s v="Buy"/>
    <s v="Active"/>
    <s v="Brent"/>
    <d v="2026-04-30T00:00:00"/>
    <n v="2100"/>
    <s v="Brent"/>
    <d v="2026-05-31T00:00:00"/>
    <n v="-2100"/>
  </r>
  <r>
    <x v="5"/>
    <x v="38"/>
    <x v="7"/>
    <x v="2"/>
    <n v="-1000"/>
    <x v="7"/>
    <d v="2026-05-31T00:00:00"/>
    <n v="0.25"/>
    <n v="0.59"/>
    <n v="-339.99999999999994"/>
    <n v="-250"/>
    <x v="11"/>
    <s v="Sell"/>
    <n v="-590"/>
    <x v="3"/>
    <x v="2"/>
    <n v="2026"/>
    <s v="Sell"/>
    <s v="Active"/>
    <s v="WTI"/>
    <d v="2026-04-30T00:00:00"/>
    <n v="-1000"/>
    <s v="WTI"/>
    <d v="2026-05-31T00:00:00"/>
    <n v="1000"/>
  </r>
  <r>
    <x v="5"/>
    <x v="38"/>
    <x v="1"/>
    <x v="2"/>
    <n v="-1000"/>
    <x v="7"/>
    <d v="2026-04-30T00:00:00"/>
    <n v="-4.1500000000000004"/>
    <n v="-5.46"/>
    <n v="1309.9999999999995"/>
    <n v="4150"/>
    <x v="8"/>
    <s v="Sell"/>
    <n v="5460"/>
    <x v="1"/>
    <x v="6"/>
    <n v="2026"/>
    <s v="Sell"/>
    <s v="Active"/>
    <s v="WTI"/>
    <d v="2026-04-30T00:00:00"/>
    <n v="-1000"/>
    <s v="Brent"/>
    <d v="2026-04-30T00:00:00"/>
    <n v="1000"/>
  </r>
  <r>
    <x v="5"/>
    <x v="38"/>
    <x v="1"/>
    <x v="2"/>
    <n v="350"/>
    <x v="6"/>
    <d v="2026-06-30T00:00:00"/>
    <n v="-3.65"/>
    <n v="-8.94"/>
    <n v="-1851.4999999999998"/>
    <n v="-1277.5"/>
    <x v="7"/>
    <s v="Buy"/>
    <n v="-3129"/>
    <x v="1"/>
    <x v="6"/>
    <n v="2026"/>
    <s v="Buy"/>
    <s v="Active"/>
    <s v="WTI"/>
    <d v="2026-06-30T00:00:00"/>
    <n v="350"/>
    <s v="Brent"/>
    <d v="2026-06-30T00:00:00"/>
    <n v="-350"/>
  </r>
  <r>
    <x v="5"/>
    <x v="38"/>
    <x v="3"/>
    <x v="2"/>
    <n v="-1000"/>
    <x v="7"/>
    <d v="2026-05-31T00:00:00"/>
    <n v="0.37"/>
    <n v="-0.39"/>
    <n v="760"/>
    <n v="-370"/>
    <x v="11"/>
    <s v="Sell"/>
    <n v="390"/>
    <x v="3"/>
    <x v="1"/>
    <n v="2026"/>
    <s v="Sell"/>
    <s v="Active"/>
    <s v="Brent"/>
    <d v="2026-04-30T00:00:00"/>
    <n v="-1000"/>
    <s v="Brent"/>
    <d v="2026-05-31T00:00:00"/>
    <n v="1000"/>
  </r>
  <r>
    <x v="5"/>
    <x v="39"/>
    <x v="3"/>
    <x v="2"/>
    <n v="-1000"/>
    <x v="7"/>
    <d v="2026-05-31T00:00:00"/>
    <n v="0.4"/>
    <n v="-0.39"/>
    <n v="790"/>
    <n v="-400"/>
    <x v="11"/>
    <s v="Sell"/>
    <n v="390"/>
    <x v="3"/>
    <x v="1"/>
    <n v="2026"/>
    <s v="Sell"/>
    <s v="Active"/>
    <s v="Brent"/>
    <d v="2026-04-30T00:00:00"/>
    <n v="-1000"/>
    <s v="Brent"/>
    <d v="2026-05-31T00:00:00"/>
    <n v="1000"/>
  </r>
  <r>
    <x v="5"/>
    <x v="39"/>
    <x v="7"/>
    <x v="2"/>
    <n v="-1000"/>
    <x v="4"/>
    <d v="2026-03-31T00:00:00"/>
    <n v="0.12000000000000001"/>
    <n v="0.1"/>
    <n v="20.000000000000004"/>
    <n v="-120.00000000000001"/>
    <x v="5"/>
    <s v="Sell"/>
    <n v="-100"/>
    <x v="3"/>
    <x v="2"/>
    <n v="2026"/>
    <s v="Sell"/>
    <s v="Active"/>
    <s v="WTI"/>
    <d v="2026-02-28T00:00:00"/>
    <n v="-1000"/>
    <s v="WTI"/>
    <d v="2026-03-31T00:00:00"/>
    <n v="1000"/>
  </r>
  <r>
    <x v="5"/>
    <x v="39"/>
    <x v="7"/>
    <x v="2"/>
    <n v="1000"/>
    <x v="5"/>
    <d v="2026-04-30T00:00:00"/>
    <n v="0.17"/>
    <n v="0.03"/>
    <n v="-140"/>
    <n v="170"/>
    <x v="6"/>
    <s v="Buy"/>
    <n v="30"/>
    <x v="3"/>
    <x v="2"/>
    <n v="2026"/>
    <s v="Buy"/>
    <s v="Active"/>
    <s v="WTI"/>
    <d v="2026-03-31T00:00:00"/>
    <n v="1000"/>
    <s v="WTI"/>
    <d v="2026-04-30T00:00:00"/>
    <n v="-1000"/>
  </r>
  <r>
    <x v="5"/>
    <x v="39"/>
    <x v="4"/>
    <x v="2"/>
    <n v="-2000"/>
    <x v="5"/>
    <d v="2026-03-31T00:00:00"/>
    <n v="0.42"/>
    <n v="11.45"/>
    <n v="-22060"/>
    <n v="-840"/>
    <x v="10"/>
    <s v="Sell"/>
    <n v="-22900"/>
    <x v="1"/>
    <x v="4"/>
    <n v="2026"/>
    <s v="Sell"/>
    <s v="Active"/>
    <e v="#N/A"/>
    <d v="2026-03-31T00:00:00"/>
    <n v="-2000"/>
    <e v="#N/A"/>
    <d v="2026-03-31T00:00:00"/>
    <n v="2000"/>
  </r>
  <r>
    <x v="5"/>
    <x v="39"/>
    <x v="4"/>
    <x v="2"/>
    <n v="-450"/>
    <x v="5"/>
    <d v="2026-03-31T00:00:00"/>
    <n v="0.42"/>
    <n v="11.45"/>
    <n v="-4963.5"/>
    <n v="-189"/>
    <x v="10"/>
    <s v="Sell"/>
    <n v="-5152.5"/>
    <x v="1"/>
    <x v="4"/>
    <n v="2026"/>
    <s v="Sell"/>
    <s v="Active"/>
    <e v="#N/A"/>
    <d v="2026-03-31T00:00:00"/>
    <n v="-450"/>
    <e v="#N/A"/>
    <d v="2026-03-31T00:00:00"/>
    <n v="450"/>
  </r>
  <r>
    <x v="5"/>
    <x v="40"/>
    <x v="7"/>
    <x v="2"/>
    <n v="-1965"/>
    <x v="4"/>
    <d v="2026-03-31T00:00:00"/>
    <n v="0.13"/>
    <n v="0.1"/>
    <n v="58.949999999999996"/>
    <n v="-255.45000000000002"/>
    <x v="5"/>
    <s v="Sell"/>
    <n v="-196.5"/>
    <x v="3"/>
    <x v="2"/>
    <n v="2026"/>
    <s v="Sell"/>
    <s v="Active"/>
    <s v="WTI"/>
    <d v="2026-02-28T00:00:00"/>
    <n v="-1965"/>
    <s v="WTI"/>
    <d v="2026-03-31T00:00:00"/>
    <n v="1965"/>
  </r>
  <r>
    <x v="5"/>
    <x v="40"/>
    <x v="7"/>
    <x v="2"/>
    <n v="1965"/>
    <x v="5"/>
    <d v="2026-04-30T00:00:00"/>
    <n v="0.16"/>
    <n v="0.03"/>
    <n v="-255.45000000000002"/>
    <n v="314.40000000000003"/>
    <x v="6"/>
    <s v="Buy"/>
    <n v="58.949999999999996"/>
    <x v="3"/>
    <x v="2"/>
    <n v="2026"/>
    <s v="Buy"/>
    <s v="Active"/>
    <s v="WTI"/>
    <d v="2026-03-31T00:00:00"/>
    <n v="1965"/>
    <s v="WTI"/>
    <d v="2026-04-30T00:00:00"/>
    <n v="-1965"/>
  </r>
  <r>
    <x v="5"/>
    <x v="41"/>
    <x v="4"/>
    <x v="2"/>
    <n v="200"/>
    <x v="5"/>
    <d v="2026-03-31T00:00:00"/>
    <n v="0.5"/>
    <n v="11.45"/>
    <n v="2190"/>
    <n v="100"/>
    <x v="10"/>
    <s v="Buy"/>
    <n v="2290"/>
    <x v="1"/>
    <x v="4"/>
    <n v="2026"/>
    <s v="Buy"/>
    <s v="Active"/>
    <e v="#N/A"/>
    <d v="2026-03-31T00:00:00"/>
    <n v="200"/>
    <e v="#N/A"/>
    <d v="2026-03-31T00:00:00"/>
    <n v="-200"/>
  </r>
  <r>
    <x v="5"/>
    <x v="41"/>
    <x v="3"/>
    <x v="2"/>
    <n v="500"/>
    <x v="5"/>
    <d v="2026-04-30T00:00:00"/>
    <n v="0.7"/>
    <n v="1.37"/>
    <n v="335.00000000000006"/>
    <n v="350"/>
    <x v="6"/>
    <s v="Buy"/>
    <n v="685"/>
    <x v="3"/>
    <x v="1"/>
    <n v="2026"/>
    <s v="Buy"/>
    <s v="Active"/>
    <s v="Brent"/>
    <d v="2026-03-31T00:00:00"/>
    <n v="500"/>
    <s v="Brent"/>
    <d v="2026-04-30T00:00:00"/>
    <n v="-500"/>
  </r>
  <r>
    <x v="5"/>
    <x v="41"/>
    <x v="3"/>
    <x v="2"/>
    <n v="-500"/>
    <x v="7"/>
    <d v="2026-05-31T00:00:00"/>
    <n v="0.4"/>
    <n v="-0.39"/>
    <n v="395"/>
    <n v="-200"/>
    <x v="11"/>
    <s v="Sell"/>
    <n v="195"/>
    <x v="3"/>
    <x v="1"/>
    <n v="2026"/>
    <s v="Sell"/>
    <s v="Active"/>
    <s v="Brent"/>
    <d v="2026-04-30T00:00:00"/>
    <n v="-500"/>
    <s v="Brent"/>
    <d v="2026-05-31T00:00:00"/>
    <n v="500"/>
  </r>
  <r>
    <x v="5"/>
    <x v="41"/>
    <x v="7"/>
    <x v="2"/>
    <n v="500"/>
    <x v="5"/>
    <d v="2026-04-30T00:00:00"/>
    <n v="0.2"/>
    <n v="0.03"/>
    <n v="-85"/>
    <n v="100"/>
    <x v="6"/>
    <s v="Buy"/>
    <n v="15"/>
    <x v="3"/>
    <x v="2"/>
    <n v="2026"/>
    <s v="Buy"/>
    <s v="Active"/>
    <s v="WTI"/>
    <d v="2026-03-31T00:00:00"/>
    <n v="500"/>
    <s v="WTI"/>
    <d v="2026-04-30T00:00:00"/>
    <n v="-500"/>
  </r>
  <r>
    <x v="5"/>
    <x v="41"/>
    <x v="7"/>
    <x v="2"/>
    <n v="500"/>
    <x v="7"/>
    <d v="2026-05-31T00:00:00"/>
    <n v="0.16"/>
    <n v="0.59"/>
    <n v="214.99999999999997"/>
    <n v="80"/>
    <x v="11"/>
    <s v="Buy"/>
    <n v="295"/>
    <x v="3"/>
    <x v="2"/>
    <n v="2026"/>
    <s v="Buy"/>
    <s v="Active"/>
    <s v="WTI"/>
    <d v="2026-04-30T00:00:00"/>
    <n v="500"/>
    <s v="WTI"/>
    <d v="2026-05-31T00:00:00"/>
    <n v="-500"/>
  </r>
  <r>
    <x v="5"/>
    <x v="41"/>
    <x v="3"/>
    <x v="2"/>
    <n v="500"/>
    <x v="5"/>
    <d v="2026-04-30T00:00:00"/>
    <n v="0.55800000000000005"/>
    <n v="1.37"/>
    <n v="406"/>
    <n v="279"/>
    <x v="6"/>
    <s v="Buy"/>
    <n v="685"/>
    <x v="3"/>
    <x v="1"/>
    <n v="2026"/>
    <s v="Buy"/>
    <s v="Active"/>
    <s v="Brent"/>
    <d v="2026-03-31T00:00:00"/>
    <n v="500"/>
    <s v="Brent"/>
    <d v="2026-04-30T00:00:00"/>
    <n v="-500"/>
  </r>
  <r>
    <x v="5"/>
    <x v="41"/>
    <x v="3"/>
    <x v="2"/>
    <n v="-500"/>
    <x v="7"/>
    <d v="2026-05-31T00:00:00"/>
    <n v="0.36"/>
    <n v="-0.39"/>
    <n v="375"/>
    <n v="-180"/>
    <x v="11"/>
    <s v="Sell"/>
    <n v="195"/>
    <x v="3"/>
    <x v="1"/>
    <n v="2026"/>
    <s v="Sell"/>
    <s v="Active"/>
    <s v="Brent"/>
    <d v="2026-04-30T00:00:00"/>
    <n v="-500"/>
    <s v="Brent"/>
    <d v="2026-05-31T00:00:00"/>
    <n v="500"/>
  </r>
  <r>
    <x v="5"/>
    <x v="42"/>
    <x v="7"/>
    <x v="2"/>
    <n v="-2000"/>
    <x v="5"/>
    <d v="2026-04-30T00:00:00"/>
    <n v="0.23"/>
    <n v="0.03"/>
    <n v="400"/>
    <n v="-460"/>
    <x v="6"/>
    <s v="Sell"/>
    <n v="-60"/>
    <x v="3"/>
    <x v="2"/>
    <n v="2026"/>
    <s v="Sell"/>
    <s v="Active"/>
    <s v="WTI"/>
    <d v="2026-03-31T00:00:00"/>
    <n v="-2000"/>
    <s v="WTI"/>
    <d v="2026-04-30T00:00:00"/>
    <n v="2000"/>
  </r>
  <r>
    <x v="5"/>
    <x v="42"/>
    <x v="8"/>
    <x v="2"/>
    <n v="-300"/>
    <x v="11"/>
    <d v="2026-02-28T00:00:00"/>
    <n v="1.32131"/>
    <n v="2.516"/>
    <n v="-358.40699999999998"/>
    <n v="-396.39299999999997"/>
    <x v="4"/>
    <s v="Sell"/>
    <n v="-754.8"/>
    <x v="1"/>
    <x v="4"/>
    <n v="2026"/>
    <s v="Sell"/>
    <s v="Active"/>
    <e v="#N/A"/>
    <s v="Feb02-Feb06"/>
    <n v="-300"/>
    <e v="#N/A"/>
    <d v="2026-02-28T00:00:00"/>
    <n v="300"/>
  </r>
  <r>
    <x v="5"/>
    <x v="42"/>
    <x v="8"/>
    <x v="2"/>
    <n v="-300"/>
    <x v="12"/>
    <d v="2026-02-28T00:00:00"/>
    <n v="0.80130999999999997"/>
    <n v="2.74"/>
    <n v="-581.60700000000008"/>
    <n v="-240.393"/>
    <x v="4"/>
    <s v="Sell"/>
    <n v="-822.00000000000011"/>
    <x v="1"/>
    <x v="4"/>
    <n v="2026"/>
    <s v="Sell"/>
    <s v="Active"/>
    <e v="#N/A"/>
    <s v="Feb09-Feb13"/>
    <n v="-300"/>
    <e v="#N/A"/>
    <d v="2026-02-28T00:00:00"/>
    <n v="300"/>
  </r>
  <r>
    <x v="5"/>
    <x v="42"/>
    <x v="4"/>
    <x v="2"/>
    <n v="-400"/>
    <x v="4"/>
    <d v="2026-02-28T00:00:00"/>
    <n v="0.84"/>
    <n v="1.76"/>
    <n v="-368"/>
    <n v="-336"/>
    <x v="4"/>
    <s v="Sell"/>
    <n v="-704"/>
    <x v="1"/>
    <x v="4"/>
    <n v="2026"/>
    <s v="Sell"/>
    <s v="Active"/>
    <e v="#N/A"/>
    <d v="2026-02-28T00:00:00"/>
    <n v="-400"/>
    <e v="#N/A"/>
    <d v="2026-02-28T00:00:00"/>
    <n v="400"/>
  </r>
  <r>
    <x v="5"/>
    <x v="43"/>
    <x v="7"/>
    <x v="2"/>
    <n v="-2564"/>
    <x v="5"/>
    <d v="2026-04-30T00:00:00"/>
    <n v="0.19220000000000001"/>
    <n v="0.03"/>
    <n v="415.88080000000002"/>
    <n v="-492.80080000000004"/>
    <x v="6"/>
    <s v="Sell"/>
    <n v="-76.92"/>
    <x v="3"/>
    <x v="2"/>
    <n v="2026"/>
    <s v="Sell"/>
    <s v="Active"/>
    <s v="WTI"/>
    <d v="2026-03-31T00:00:00"/>
    <n v="-2564"/>
    <s v="WTI"/>
    <d v="2026-04-30T00:00:00"/>
    <n v="2564"/>
  </r>
  <r>
    <x v="5"/>
    <x v="44"/>
    <x v="8"/>
    <x v="2"/>
    <n v="300"/>
    <x v="11"/>
    <d v="2026-02-28T00:00:00"/>
    <n v="2.14"/>
    <n v="2.516"/>
    <n v="112.79999999999997"/>
    <n v="642"/>
    <x v="4"/>
    <s v="Buy"/>
    <n v="754.8"/>
    <x v="1"/>
    <x v="4"/>
    <n v="2026"/>
    <s v="Buy"/>
    <s v="Active"/>
    <e v="#N/A"/>
    <s v="Feb02-Feb06"/>
    <n v="300"/>
    <e v="#N/A"/>
    <d v="2026-02-28T00:00:00"/>
    <n v="-300"/>
  </r>
  <r>
    <x v="5"/>
    <x v="44"/>
    <x v="8"/>
    <x v="2"/>
    <n v="-300"/>
    <x v="12"/>
    <d v="2026-02-28T00:00:00"/>
    <n v="1.4374000000000002"/>
    <n v="2.74"/>
    <n v="-390.78"/>
    <n v="-431.22000000000008"/>
    <x v="4"/>
    <s v="Sell"/>
    <n v="-822.00000000000011"/>
    <x v="1"/>
    <x v="4"/>
    <n v="2026"/>
    <s v="Sell"/>
    <s v="Active"/>
    <e v="#N/A"/>
    <s v="Feb09-Feb13"/>
    <n v="-300"/>
    <e v="#N/A"/>
    <d v="2026-02-28T00:00:00"/>
    <n v="300"/>
  </r>
  <r>
    <x v="5"/>
    <x v="44"/>
    <x v="8"/>
    <x v="2"/>
    <n v="1000"/>
    <x v="11"/>
    <d v="2026-02-28T00:00:00"/>
    <n v="2.1"/>
    <n v="2.516"/>
    <n v="415.99999999999994"/>
    <n v="2100"/>
    <x v="4"/>
    <s v="Buy"/>
    <n v="2516"/>
    <x v="1"/>
    <x v="4"/>
    <n v="2026"/>
    <s v="Buy"/>
    <s v="Active"/>
    <e v="#N/A"/>
    <s v="Feb02-Feb06"/>
    <n v="1000"/>
    <e v="#N/A"/>
    <d v="2026-02-28T00:00:00"/>
    <n v="-1000"/>
  </r>
  <r>
    <x v="5"/>
    <x v="44"/>
    <x v="8"/>
    <x v="2"/>
    <n v="-1000"/>
    <x v="12"/>
    <d v="2026-02-28T00:00:00"/>
    <n v="1.36"/>
    <n v="2.74"/>
    <n v="-1380.0000000000002"/>
    <n v="-1360"/>
    <x v="4"/>
    <s v="Sell"/>
    <n v="-2740"/>
    <x v="1"/>
    <x v="4"/>
    <n v="2026"/>
    <s v="Sell"/>
    <s v="Active"/>
    <e v="#N/A"/>
    <s v="Feb09-Feb13"/>
    <n v="-1000"/>
    <e v="#N/A"/>
    <d v="2026-02-28T00:00:00"/>
    <n v="1000"/>
  </r>
  <r>
    <x v="5"/>
    <x v="44"/>
    <x v="4"/>
    <x v="2"/>
    <n v="205"/>
    <x v="4"/>
    <d v="2026-02-28T00:00:00"/>
    <n v="1.2490000000000001"/>
    <n v="1.76"/>
    <n v="104.75499999999998"/>
    <n v="256.04500000000002"/>
    <x v="4"/>
    <s v="Buy"/>
    <n v="360.8"/>
    <x v="1"/>
    <x v="4"/>
    <n v="2026"/>
    <s v="Buy"/>
    <s v="Active"/>
    <e v="#N/A"/>
    <d v="2026-02-28T00:00:00"/>
    <n v="205"/>
    <e v="#N/A"/>
    <d v="2026-02-28T00:00:00"/>
    <n v="-205"/>
  </r>
  <r>
    <x v="5"/>
    <x v="44"/>
    <x v="1"/>
    <x v="2"/>
    <n v="-500"/>
    <x v="7"/>
    <d v="2026-04-30T00:00:00"/>
    <n v="-4.25"/>
    <n v="-5.46"/>
    <n v="605"/>
    <n v="2125"/>
    <x v="8"/>
    <s v="Sell"/>
    <n v="2730"/>
    <x v="1"/>
    <x v="6"/>
    <n v="2026"/>
    <s v="Sell"/>
    <s v="Active"/>
    <s v="WTI"/>
    <d v="2026-04-30T00:00:00"/>
    <n v="-500"/>
    <s v="Brent"/>
    <d v="2026-04-30T00:00:00"/>
    <n v="500"/>
  </r>
  <r>
    <x v="5"/>
    <x v="44"/>
    <x v="3"/>
    <x v="2"/>
    <n v="500"/>
    <x v="5"/>
    <d v="2026-04-30T00:00:00"/>
    <n v="0.87"/>
    <n v="1.37"/>
    <n v="250.00000000000006"/>
    <n v="435"/>
    <x v="6"/>
    <s v="Buy"/>
    <n v="685"/>
    <x v="3"/>
    <x v="1"/>
    <n v="2026"/>
    <s v="Buy"/>
    <s v="Active"/>
    <s v="Brent"/>
    <d v="2026-03-31T00:00:00"/>
    <n v="500"/>
    <s v="Brent"/>
    <d v="2026-04-30T00:00:00"/>
    <n v="-500"/>
  </r>
  <r>
    <x v="5"/>
    <x v="44"/>
    <x v="3"/>
    <x v="2"/>
    <n v="-500"/>
    <x v="7"/>
    <d v="2026-05-31T00:00:00"/>
    <n v="0.52"/>
    <n v="-0.39"/>
    <n v="455"/>
    <n v="-260"/>
    <x v="11"/>
    <s v="Sell"/>
    <n v="195"/>
    <x v="3"/>
    <x v="1"/>
    <n v="2026"/>
    <s v="Sell"/>
    <s v="Active"/>
    <s v="Brent"/>
    <d v="2026-04-30T00:00:00"/>
    <n v="-500"/>
    <s v="Brent"/>
    <d v="2026-05-31T00:00:00"/>
    <n v="500"/>
  </r>
  <r>
    <x v="5"/>
    <x v="44"/>
    <x v="3"/>
    <x v="2"/>
    <n v="1500"/>
    <x v="5"/>
    <d v="2026-04-30T00:00:00"/>
    <n v="0.8600000000000001"/>
    <n v="1.37"/>
    <n v="765"/>
    <n v="1290.0000000000002"/>
    <x v="6"/>
    <s v="Buy"/>
    <n v="2055"/>
    <x v="3"/>
    <x v="1"/>
    <n v="2026"/>
    <s v="Buy"/>
    <s v="Active"/>
    <s v="Brent"/>
    <d v="2026-03-31T00:00:00"/>
    <n v="1500"/>
    <s v="Brent"/>
    <d v="2026-04-30T00:00:00"/>
    <n v="-1500"/>
  </r>
  <r>
    <x v="5"/>
    <x v="44"/>
    <x v="3"/>
    <x v="2"/>
    <n v="-1500"/>
    <x v="7"/>
    <d v="2026-05-31T00:00:00"/>
    <n v="0.52"/>
    <n v="-0.39"/>
    <n v="1365"/>
    <n v="-780"/>
    <x v="11"/>
    <s v="Sell"/>
    <n v="585"/>
    <x v="3"/>
    <x v="1"/>
    <n v="2026"/>
    <s v="Sell"/>
    <s v="Active"/>
    <s v="Brent"/>
    <d v="2026-04-30T00:00:00"/>
    <n v="-1500"/>
    <s v="Brent"/>
    <d v="2026-05-31T00:00:00"/>
    <n v="1500"/>
  </r>
  <r>
    <x v="5"/>
    <x v="44"/>
    <x v="3"/>
    <x v="2"/>
    <n v="500"/>
    <x v="5"/>
    <d v="2026-04-30T00:00:00"/>
    <n v="0.83000000000000007"/>
    <n v="1.37"/>
    <n v="270"/>
    <n v="415.00000000000006"/>
    <x v="6"/>
    <s v="Buy"/>
    <n v="685"/>
    <x v="3"/>
    <x v="1"/>
    <n v="2026"/>
    <s v="Buy"/>
    <s v="Active"/>
    <s v="Brent"/>
    <d v="2026-03-31T00:00:00"/>
    <n v="500"/>
    <s v="Brent"/>
    <d v="2026-04-30T00:00:00"/>
    <n v="-500"/>
  </r>
  <r>
    <x v="5"/>
    <x v="44"/>
    <x v="3"/>
    <x v="2"/>
    <n v="-500"/>
    <x v="7"/>
    <d v="2026-05-31T00:00:00"/>
    <n v="0.52"/>
    <n v="-0.39"/>
    <n v="455"/>
    <n v="-260"/>
    <x v="11"/>
    <s v="Sell"/>
    <n v="195"/>
    <x v="3"/>
    <x v="1"/>
    <n v="2026"/>
    <s v="Sell"/>
    <s v="Active"/>
    <s v="Brent"/>
    <d v="2026-04-30T00:00:00"/>
    <n v="-500"/>
    <s v="Brent"/>
    <d v="2026-05-31T00:00:00"/>
    <n v="500"/>
  </r>
  <r>
    <x v="5"/>
    <x v="44"/>
    <x v="4"/>
    <x v="2"/>
    <n v="-200"/>
    <x v="5"/>
    <d v="2026-03-31T00:00:00"/>
    <n v="0.56999999999999995"/>
    <n v="11.45"/>
    <n v="-2176"/>
    <n v="-113.99999999999999"/>
    <x v="10"/>
    <s v="Sell"/>
    <n v="-2290"/>
    <x v="1"/>
    <x v="4"/>
    <n v="2026"/>
    <s v="Sell"/>
    <s v="Active"/>
    <e v="#N/A"/>
    <d v="2026-03-31T00:00:00"/>
    <n v="-200"/>
    <e v="#N/A"/>
    <d v="2026-03-31T00:00:00"/>
    <n v="200"/>
  </r>
  <r>
    <x v="17"/>
    <x v="32"/>
    <x v="2"/>
    <x v="0"/>
    <n v="700"/>
    <x v="4"/>
    <d v="2026-02-28T00:00:00"/>
    <n v="-2.96"/>
    <n v="-2.92"/>
    <n v="28.000000000000025"/>
    <n v="-2072"/>
    <x v="4"/>
    <s v="Buy"/>
    <n v="-2044"/>
    <x v="2"/>
    <x v="7"/>
    <n v="2026"/>
    <s v="Buy"/>
    <s v="Active"/>
    <n v="0"/>
    <d v="2026-02-28T00:00:00"/>
    <n v="700"/>
    <n v="0"/>
    <d v="2026-02-28T00:00:00"/>
    <n v="-700"/>
  </r>
  <r>
    <x v="17"/>
    <x v="43"/>
    <x v="7"/>
    <x v="0"/>
    <n v="-700"/>
    <x v="5"/>
    <d v="2026-04-30T00:00:00"/>
    <n v="0.24"/>
    <n v="0.03"/>
    <n v="147"/>
    <n v="-168"/>
    <x v="6"/>
    <s v="Sell"/>
    <n v="-21"/>
    <x v="3"/>
    <x v="2"/>
    <n v="2026"/>
    <s v="Sell"/>
    <s v="Active"/>
    <s v="WTI"/>
    <d v="2026-03-31T00:00:00"/>
    <n v="-700"/>
    <s v="WTI"/>
    <d v="2026-04-30T00:00:00"/>
    <n v="700"/>
  </r>
  <r>
    <x v="17"/>
    <x v="43"/>
    <x v="1"/>
    <x v="0"/>
    <n v="-700"/>
    <x v="7"/>
    <d v="2026-04-30T00:00:00"/>
    <n v="-4.3"/>
    <n v="-5.46"/>
    <n v="812.00000000000011"/>
    <n v="3010"/>
    <x v="8"/>
    <s v="Sell"/>
    <n v="3822"/>
    <x v="1"/>
    <x v="6"/>
    <n v="2026"/>
    <s v="Sell"/>
    <s v="Active"/>
    <s v="WTI"/>
    <d v="2026-04-30T00:00:00"/>
    <n v="-700"/>
    <s v="Brent"/>
    <d v="2026-04-30T00:00:00"/>
    <n v="700"/>
  </r>
  <r>
    <x v="5"/>
    <x v="45"/>
    <x v="8"/>
    <x v="2"/>
    <n v="600"/>
    <x v="12"/>
    <d v="2026-04-30T00:00:00"/>
    <n v="1.7813099999999999"/>
    <n v="2.74"/>
    <n v="575.21400000000017"/>
    <n v="1068.7860000000001"/>
    <x v="4"/>
    <s v="Buy"/>
    <n v="1644.0000000000002"/>
    <x v="1"/>
    <x v="4"/>
    <n v="2026"/>
    <s v="Buy"/>
    <s v="Active"/>
    <e v="#N/A"/>
    <s v="Feb09-Feb13"/>
    <n v="600"/>
    <e v="#N/A"/>
    <d v="2026-04-30T00:00:00"/>
    <n v="-600"/>
  </r>
  <r>
    <x v="18"/>
    <x v="45"/>
    <x v="2"/>
    <x v="0"/>
    <n v="700"/>
    <x v="5"/>
    <d v="2026-03-31T00:00:00"/>
    <n v="-2.2399999999999998"/>
    <n v="-2.2200000000000002"/>
    <n v="13.999999999999702"/>
    <n v="-1567.9999999999998"/>
    <x v="10"/>
    <s v="Buy"/>
    <n v="-1554.0000000000002"/>
    <x v="2"/>
    <x v="7"/>
    <n v="2026"/>
    <s v="Buy"/>
    <s v="Active"/>
    <n v="0"/>
    <d v="2026-03-31T00:00:00"/>
    <n v="700"/>
    <n v="0"/>
    <d v="2026-03-31T00:00:00"/>
    <n v="-700"/>
  </r>
  <r>
    <x v="18"/>
    <x v="45"/>
    <x v="7"/>
    <x v="0"/>
    <n v="-700"/>
    <x v="5"/>
    <d v="2026-04-30T00:00:00"/>
    <n v="0.28999999999999998"/>
    <n v="0.03"/>
    <n v="182"/>
    <n v="-203"/>
    <x v="6"/>
    <s v="Sell"/>
    <n v="-21"/>
    <x v="3"/>
    <x v="2"/>
    <n v="2026"/>
    <s v="Sell"/>
    <s v="Active"/>
    <s v="WTI"/>
    <d v="2026-03-31T00:00:00"/>
    <n v="-700"/>
    <s v="WTI"/>
    <d v="2026-04-30T00:00:00"/>
    <n v="700"/>
  </r>
  <r>
    <x v="18"/>
    <x v="45"/>
    <x v="7"/>
    <x v="0"/>
    <n v="-700"/>
    <x v="7"/>
    <d v="2026-05-31T00:00:00"/>
    <n v="0.26"/>
    <n v="0.59"/>
    <n v="-230.99999999999997"/>
    <n v="-182"/>
    <x v="11"/>
    <s v="Sell"/>
    <n v="-413"/>
    <x v="3"/>
    <x v="2"/>
    <n v="2026"/>
    <s v="Sell"/>
    <s v="Active"/>
    <s v="WTI"/>
    <d v="2026-04-30T00:00:00"/>
    <n v="-700"/>
    <s v="WTI"/>
    <d v="2026-05-31T00:00:00"/>
    <n v="700"/>
  </r>
  <r>
    <x v="18"/>
    <x v="45"/>
    <x v="1"/>
    <x v="0"/>
    <n v="-700"/>
    <x v="8"/>
    <d v="2026-05-31T00:00:00"/>
    <n v="-4.09"/>
    <n v="-16.97"/>
    <n v="9016"/>
    <n v="2863"/>
    <x v="9"/>
    <s v="Sell"/>
    <n v="11879"/>
    <x v="1"/>
    <x v="6"/>
    <n v="2026"/>
    <s v="Sell"/>
    <s v="Active"/>
    <s v="WTI"/>
    <d v="2026-05-31T00:00:00"/>
    <n v="-700"/>
    <s v="Brent"/>
    <d v="2026-05-31T00:00:00"/>
    <n v="700"/>
  </r>
  <r>
    <x v="19"/>
    <x v="45"/>
    <x v="2"/>
    <x v="0"/>
    <n v="700"/>
    <x v="4"/>
    <d v="2026-02-28T00:00:00"/>
    <n v="-2.2757142857142862"/>
    <n v="-2.25"/>
    <n v="18.000000000000369"/>
    <n v="-1593.0000000000005"/>
    <x v="4"/>
    <s v="Buy"/>
    <n v="-1575"/>
    <x v="2"/>
    <x v="7"/>
    <n v="2026"/>
    <s v="Buy"/>
    <s v="Active"/>
    <n v="0"/>
    <d v="2026-02-28T00:00:00"/>
    <n v="700"/>
    <n v="0"/>
    <d v="2026-02-28T00:00:00"/>
    <n v="-700"/>
  </r>
  <r>
    <x v="19"/>
    <x v="45"/>
    <x v="7"/>
    <x v="0"/>
    <n v="-700"/>
    <x v="5"/>
    <d v="2026-04-30T00:00:00"/>
    <n v="0.35"/>
    <n v="0.03"/>
    <n v="223.99999999999997"/>
    <n v="-244.99999999999997"/>
    <x v="6"/>
    <s v="Sell"/>
    <n v="-21"/>
    <x v="3"/>
    <x v="2"/>
    <n v="2026"/>
    <s v="Sell"/>
    <s v="Active"/>
    <s v="WTI"/>
    <d v="2026-03-31T00:00:00"/>
    <n v="-700"/>
    <s v="WTI"/>
    <d v="2026-04-30T00:00:00"/>
    <n v="700"/>
  </r>
  <r>
    <x v="19"/>
    <x v="45"/>
    <x v="1"/>
    <x v="0"/>
    <n v="-700"/>
    <x v="7"/>
    <d v="2026-04-30T00:00:00"/>
    <n v="-4.49"/>
    <n v="-5.46"/>
    <n v="678.99999999999977"/>
    <n v="3143"/>
    <x v="8"/>
    <s v="Sell"/>
    <n v="3822"/>
    <x v="1"/>
    <x v="6"/>
    <n v="2026"/>
    <s v="Sell"/>
    <s v="Active"/>
    <s v="WTI"/>
    <d v="2026-04-30T00:00:00"/>
    <n v="-700"/>
    <s v="Brent"/>
    <d v="2026-04-30T00:00:00"/>
    <n v="700"/>
  </r>
  <r>
    <x v="5"/>
    <x v="45"/>
    <x v="1"/>
    <x v="2"/>
    <n v="160"/>
    <x v="5"/>
    <d v="2026-03-31T00:00:00"/>
    <n v="-5.05"/>
    <n v="-5.48"/>
    <n v="-68.800000000000097"/>
    <n v="-808"/>
    <x v="10"/>
    <s v="Buy"/>
    <n v="-876.80000000000007"/>
    <x v="1"/>
    <x v="6"/>
    <n v="2026"/>
    <s v="Buy"/>
    <s v="Active"/>
    <s v="WTI"/>
    <d v="2026-03-31T00:00:00"/>
    <n v="160"/>
    <s v="Brent"/>
    <d v="2026-03-31T00:00:00"/>
    <n v="-160"/>
  </r>
  <r>
    <x v="5"/>
    <x v="45"/>
    <x v="1"/>
    <x v="2"/>
    <n v="-160"/>
    <x v="7"/>
    <d v="2026-04-30T00:00:00"/>
    <n v="-4.45"/>
    <n v="-5.46"/>
    <n v="161.59999999999997"/>
    <n v="712"/>
    <x v="8"/>
    <s v="Sell"/>
    <n v="873.6"/>
    <x v="1"/>
    <x v="6"/>
    <n v="2026"/>
    <s v="Sell"/>
    <s v="Active"/>
    <s v="WTI"/>
    <d v="2026-04-30T00:00:00"/>
    <n v="-160"/>
    <s v="Brent"/>
    <d v="2026-04-30T00:00:00"/>
    <n v="160"/>
  </r>
  <r>
    <x v="5"/>
    <x v="46"/>
    <x v="1"/>
    <x v="2"/>
    <n v="-320"/>
    <x v="5"/>
    <d v="2026-03-31T00:00:00"/>
    <n v="-5.16"/>
    <n v="-5.48"/>
    <n v="102.40000000000009"/>
    <n v="1651.2"/>
    <x v="10"/>
    <s v="Sell"/>
    <n v="1753.6000000000001"/>
    <x v="1"/>
    <x v="6"/>
    <n v="2026"/>
    <s v="Sell"/>
    <s v="Active"/>
    <s v="WTI"/>
    <d v="2026-03-31T00:00:00"/>
    <n v="-320"/>
    <s v="Brent"/>
    <d v="2026-03-31T00:00:00"/>
    <n v="320"/>
  </r>
  <r>
    <x v="5"/>
    <x v="45"/>
    <x v="7"/>
    <x v="2"/>
    <n v="-1000"/>
    <x v="5"/>
    <d v="2026-04-30T00:00:00"/>
    <n v="0.28000000000000003"/>
    <n v="0.03"/>
    <n v="250"/>
    <n v="-280"/>
    <x v="6"/>
    <s v="Sell"/>
    <n v="-30"/>
    <x v="3"/>
    <x v="2"/>
    <n v="2026"/>
    <s v="Sell"/>
    <s v="Active"/>
    <s v="WTI"/>
    <d v="2026-03-31T00:00:00"/>
    <n v="-1000"/>
    <s v="WTI"/>
    <d v="2026-04-30T00:00:00"/>
    <n v="1000"/>
  </r>
  <r>
    <x v="5"/>
    <x v="46"/>
    <x v="1"/>
    <x v="2"/>
    <n v="320"/>
    <x v="7"/>
    <d v="2026-04-30T00:00:00"/>
    <n v="-4.4400000000000004"/>
    <n v="-5.46"/>
    <n v="-326.39999999999986"/>
    <n v="-1420.8000000000002"/>
    <x v="8"/>
    <s v="Buy"/>
    <n v="-1747.2"/>
    <x v="1"/>
    <x v="6"/>
    <n v="2026"/>
    <s v="Buy"/>
    <s v="Active"/>
    <s v="WTI"/>
    <d v="2026-04-30T00:00:00"/>
    <n v="320"/>
    <s v="Brent"/>
    <d v="2026-04-30T00:00:00"/>
    <n v="-320"/>
  </r>
  <r>
    <x v="5"/>
    <x v="46"/>
    <x v="7"/>
    <x v="2"/>
    <n v="-500"/>
    <x v="5"/>
    <d v="2026-04-30T00:00:00"/>
    <n v="0.35"/>
    <n v="0.03"/>
    <n v="159.99999999999997"/>
    <n v="-175"/>
    <x v="6"/>
    <s v="Sell"/>
    <n v="-15"/>
    <x v="3"/>
    <x v="2"/>
    <n v="2026"/>
    <s v="Sell"/>
    <s v="Active"/>
    <s v="WTI"/>
    <d v="2026-03-31T00:00:00"/>
    <n v="-500"/>
    <s v="WTI"/>
    <d v="2026-04-30T00:00:00"/>
    <n v="500"/>
  </r>
  <r>
    <x v="5"/>
    <x v="46"/>
    <x v="7"/>
    <x v="2"/>
    <n v="-500"/>
    <x v="5"/>
    <d v="2026-04-30T00:00:00"/>
    <n v="0.35"/>
    <n v="0.03"/>
    <n v="159.99999999999997"/>
    <n v="-175"/>
    <x v="6"/>
    <s v="Sell"/>
    <n v="-15"/>
    <x v="3"/>
    <x v="2"/>
    <n v="2026"/>
    <s v="Sell"/>
    <s v="Active"/>
    <s v="WTI"/>
    <d v="2026-03-31T00:00:00"/>
    <n v="-500"/>
    <s v="WTI"/>
    <d v="2026-04-30T00:00:00"/>
    <n v="500"/>
  </r>
  <r>
    <x v="5"/>
    <x v="46"/>
    <x v="7"/>
    <x v="2"/>
    <n v="-500"/>
    <x v="7"/>
    <d v="2026-05-31T00:00:00"/>
    <n v="0.3"/>
    <n v="0.59"/>
    <n v="-145"/>
    <n v="-150"/>
    <x v="11"/>
    <s v="Sell"/>
    <n v="-295"/>
    <x v="3"/>
    <x v="2"/>
    <n v="2026"/>
    <s v="Sell"/>
    <s v="Active"/>
    <s v="WTI"/>
    <d v="2026-04-30T00:00:00"/>
    <n v="-500"/>
    <s v="WTI"/>
    <d v="2026-05-31T00:00:00"/>
    <n v="500"/>
  </r>
  <r>
    <x v="5"/>
    <x v="46"/>
    <x v="7"/>
    <x v="2"/>
    <n v="233"/>
    <x v="5"/>
    <d v="2026-04-30T00:00:00"/>
    <n v="0.3"/>
    <n v="0.03"/>
    <n v="-62.910000000000004"/>
    <n v="69.899999999999991"/>
    <x v="6"/>
    <s v="Buy"/>
    <n v="6.9899999999999993"/>
    <x v="3"/>
    <x v="2"/>
    <n v="2026"/>
    <s v="Buy"/>
    <s v="Active"/>
    <s v="WTI"/>
    <d v="2026-03-31T00:00:00"/>
    <n v="233"/>
    <s v="WTI"/>
    <d v="2026-04-30T00:00:00"/>
    <n v="-233"/>
  </r>
  <r>
    <x v="5"/>
    <x v="46"/>
    <x v="7"/>
    <x v="2"/>
    <n v="79"/>
    <x v="7"/>
    <d v="2026-05-31T00:00:00"/>
    <n v="0.32"/>
    <n v="0.59"/>
    <n v="21.33"/>
    <n v="25.28"/>
    <x v="11"/>
    <s v="Buy"/>
    <n v="46.61"/>
    <x v="3"/>
    <x v="2"/>
    <n v="2026"/>
    <s v="Buy"/>
    <s v="Active"/>
    <s v="WTI"/>
    <d v="2026-04-30T00:00:00"/>
    <n v="79"/>
    <s v="WTI"/>
    <d v="2026-05-31T00:00:00"/>
    <n v="-79"/>
  </r>
  <r>
    <x v="5"/>
    <x v="46"/>
    <x v="4"/>
    <x v="2"/>
    <n v="-200"/>
    <x v="5"/>
    <d v="2026-03-31T00:00:00"/>
    <n v="0.79"/>
    <n v="11.45"/>
    <n v="-2132"/>
    <n v="-158"/>
    <x v="10"/>
    <s v="Sell"/>
    <n v="-2290"/>
    <x v="1"/>
    <x v="4"/>
    <n v="2026"/>
    <s v="Sell"/>
    <s v="Active"/>
    <e v="#N/A"/>
    <d v="2026-03-31T00:00:00"/>
    <n v="-200"/>
    <e v="#N/A"/>
    <d v="2026-03-31T00:00:00"/>
    <n v="200"/>
  </r>
  <r>
    <x v="5"/>
    <x v="46"/>
    <x v="4"/>
    <x v="2"/>
    <n v="-157"/>
    <x v="5"/>
    <d v="2026-03-31T00:00:00"/>
    <n v="0.8"/>
    <n v="11.45"/>
    <n v="-1672.0499999999997"/>
    <n v="-125.60000000000001"/>
    <x v="10"/>
    <s v="Sell"/>
    <n v="-1797.6499999999999"/>
    <x v="1"/>
    <x v="4"/>
    <n v="2026"/>
    <s v="Sell"/>
    <s v="Active"/>
    <e v="#N/A"/>
    <d v="2026-03-31T00:00:00"/>
    <n v="-157"/>
    <e v="#N/A"/>
    <d v="2026-03-31T00:00:00"/>
    <n v="157"/>
  </r>
  <r>
    <x v="5"/>
    <x v="46"/>
    <x v="1"/>
    <x v="2"/>
    <n v="350"/>
    <x v="8"/>
    <d v="2026-05-31T00:00:00"/>
    <n v="-4.1399999999999997"/>
    <n v="-16.97"/>
    <n v="-4490.4999999999991"/>
    <n v="-1449"/>
    <x v="9"/>
    <s v="Buy"/>
    <n v="-5939.5"/>
    <x v="1"/>
    <x v="6"/>
    <n v="2026"/>
    <s v="Buy"/>
    <s v="Active"/>
    <s v="WTI"/>
    <d v="2026-05-31T00:00:00"/>
    <n v="350"/>
    <s v="Brent"/>
    <d v="2026-05-31T00:00:00"/>
    <n v="-350"/>
  </r>
  <r>
    <x v="5"/>
    <x v="46"/>
    <x v="3"/>
    <x v="2"/>
    <n v="-1243"/>
    <x v="5"/>
    <d v="2026-04-30T00:00:00"/>
    <n v="1.0274000000000001"/>
    <n v="1.37"/>
    <n v="-425.85180000000003"/>
    <n v="-1277.0582000000002"/>
    <x v="6"/>
    <s v="Sell"/>
    <n v="-1702.91"/>
    <x v="3"/>
    <x v="1"/>
    <n v="2026"/>
    <s v="Sell"/>
    <s v="Active"/>
    <s v="Brent"/>
    <d v="2026-03-31T00:00:00"/>
    <n v="-1243"/>
    <s v="Brent"/>
    <d v="2026-04-30T00:00:00"/>
    <n v="1243"/>
  </r>
  <r>
    <x v="5"/>
    <x v="46"/>
    <x v="3"/>
    <x v="2"/>
    <n v="1243"/>
    <x v="7"/>
    <d v="2026-05-31T00:00:00"/>
    <n v="0.63"/>
    <n v="-0.39"/>
    <n v="-1267.8600000000001"/>
    <n v="783.09"/>
    <x v="11"/>
    <s v="Buy"/>
    <n v="-484.77000000000004"/>
    <x v="3"/>
    <x v="1"/>
    <n v="2026"/>
    <s v="Buy"/>
    <s v="Active"/>
    <s v="Brent"/>
    <d v="2026-04-30T00:00:00"/>
    <n v="1243"/>
    <s v="Brent"/>
    <d v="2026-05-31T00:00:00"/>
    <n v="-1243"/>
  </r>
  <r>
    <x v="5"/>
    <x v="47"/>
    <x v="8"/>
    <x v="2"/>
    <n v="100"/>
    <x v="12"/>
    <d v="2026-05-31T00:00:00"/>
    <n v="2.1"/>
    <n v="2.74"/>
    <n v="64.000000000000014"/>
    <n v="210"/>
    <x v="4"/>
    <s v="Buy"/>
    <n v="274"/>
    <x v="1"/>
    <x v="4"/>
    <n v="2026"/>
    <s v="Buy"/>
    <s v="Active"/>
    <e v="#N/A"/>
    <s v="Feb09-Feb13"/>
    <n v="100"/>
    <e v="#N/A"/>
    <d v="2026-05-31T00:00:00"/>
    <n v="-100"/>
  </r>
  <r>
    <x v="5"/>
    <x v="47"/>
    <x v="8"/>
    <x v="2"/>
    <n v="400"/>
    <x v="12"/>
    <d v="2026-05-31T00:00:00"/>
    <n v="2.15"/>
    <n v="2.74"/>
    <n v="236.00000000000011"/>
    <n v="860"/>
    <x v="4"/>
    <s v="Buy"/>
    <n v="1096"/>
    <x v="1"/>
    <x v="4"/>
    <n v="2026"/>
    <s v="Buy"/>
    <s v="Active"/>
    <e v="#N/A"/>
    <s v="Feb09-Feb13"/>
    <n v="400"/>
    <e v="#N/A"/>
    <d v="2026-05-31T00:00:00"/>
    <n v="-400"/>
  </r>
  <r>
    <x v="5"/>
    <x v="47"/>
    <x v="4"/>
    <x v="2"/>
    <n v="200"/>
    <x v="7"/>
    <d v="2026-04-30T00:00:00"/>
    <n v="0.52"/>
    <n v="17.678750000000008"/>
    <n v="3431.7500000000018"/>
    <n v="104"/>
    <x v="8"/>
    <s v="Buy"/>
    <n v="3535.7500000000018"/>
    <x v="1"/>
    <x v="4"/>
    <n v="2026"/>
    <s v="Buy"/>
    <s v="Active"/>
    <e v="#N/A"/>
    <d v="2026-04-30T00:00:00"/>
    <n v="200"/>
    <e v="#N/A"/>
    <d v="2026-04-30T00:00:00"/>
    <n v="-200"/>
  </r>
  <r>
    <x v="5"/>
    <x v="47"/>
    <x v="4"/>
    <x v="2"/>
    <n v="200"/>
    <x v="8"/>
    <d v="2026-05-31T00:00:00"/>
    <n v="0.52"/>
    <n v="3.68"/>
    <n v="632"/>
    <n v="104"/>
    <x v="9"/>
    <s v="Buy"/>
    <n v="736"/>
    <x v="1"/>
    <x v="4"/>
    <n v="2026"/>
    <s v="Buy"/>
    <s v="Active"/>
    <e v="#N/A"/>
    <d v="2026-05-31T00:00:00"/>
    <n v="200"/>
    <e v="#N/A"/>
    <d v="2026-05-31T00:00:00"/>
    <n v="-200"/>
  </r>
  <r>
    <x v="5"/>
    <x v="47"/>
    <x v="4"/>
    <x v="2"/>
    <n v="200"/>
    <x v="6"/>
    <d v="2026-06-30T00:00:00"/>
    <n v="0.52"/>
    <n v="2.23"/>
    <n v="342"/>
    <n v="104"/>
    <x v="7"/>
    <s v="Buy"/>
    <n v="446"/>
    <x v="1"/>
    <x v="4"/>
    <n v="2026"/>
    <s v="Buy"/>
    <s v="Active"/>
    <e v="#N/A"/>
    <d v="2026-06-30T00:00:00"/>
    <n v="200"/>
    <e v="#N/A"/>
    <d v="2026-06-30T00:00:00"/>
    <n v="-200"/>
  </r>
  <r>
    <x v="5"/>
    <x v="47"/>
    <x v="4"/>
    <x v="2"/>
    <n v="200"/>
    <x v="13"/>
    <d v="2026-07-31T00:00:00"/>
    <n v="0.52"/>
    <n v="2.62"/>
    <n v="420"/>
    <n v="104"/>
    <x v="13"/>
    <s v="Buy"/>
    <n v="524"/>
    <x v="1"/>
    <x v="4"/>
    <n v="2026"/>
    <s v="Buy"/>
    <s v="Active"/>
    <e v="#N/A"/>
    <d v="2026-07-31T00:00:00"/>
    <n v="200"/>
    <e v="#N/A"/>
    <d v="2026-07-31T00:00:00"/>
    <n v="-200"/>
  </r>
  <r>
    <x v="5"/>
    <x v="47"/>
    <x v="4"/>
    <x v="2"/>
    <n v="200"/>
    <x v="14"/>
    <d v="2026-08-31T00:00:00"/>
    <n v="0.52"/>
    <n v="2.62"/>
    <n v="420"/>
    <n v="104"/>
    <x v="14"/>
    <s v="Buy"/>
    <n v="524"/>
    <x v="1"/>
    <x v="4"/>
    <n v="2026"/>
    <s v="Buy"/>
    <s v="Active"/>
    <e v="#N/A"/>
    <d v="2026-08-31T00:00:00"/>
    <n v="200"/>
    <e v="#N/A"/>
    <d v="2026-08-31T00:00:00"/>
    <n v="-200"/>
  </r>
  <r>
    <x v="5"/>
    <x v="47"/>
    <x v="4"/>
    <x v="2"/>
    <n v="200"/>
    <x v="15"/>
    <d v="2026-09-30T00:00:00"/>
    <n v="0.52"/>
    <n v="2.62"/>
    <n v="420"/>
    <n v="104"/>
    <x v="15"/>
    <s v="Buy"/>
    <n v="524"/>
    <x v="1"/>
    <x v="4"/>
    <n v="2026"/>
    <s v="Buy"/>
    <s v="Active"/>
    <e v="#N/A"/>
    <d v="2026-09-30T00:00:00"/>
    <n v="200"/>
    <e v="#N/A"/>
    <d v="2026-09-30T00:00:00"/>
    <n v="-200"/>
  </r>
  <r>
    <x v="5"/>
    <x v="47"/>
    <x v="1"/>
    <x v="2"/>
    <n v="100"/>
    <x v="7"/>
    <d v="2026-04-30T00:00:00"/>
    <n v="-4.49"/>
    <n v="-5.46"/>
    <n v="-96.999999999999972"/>
    <n v="-449"/>
    <x v="8"/>
    <s v="Buy"/>
    <n v="-546"/>
    <x v="1"/>
    <x v="6"/>
    <n v="2026"/>
    <s v="Buy"/>
    <s v="Active"/>
    <s v="WTI"/>
    <d v="2026-04-30T00:00:00"/>
    <n v="100"/>
    <s v="Brent"/>
    <d v="2026-04-30T00:00:00"/>
    <n v="-100"/>
  </r>
  <r>
    <x v="5"/>
    <x v="47"/>
    <x v="1"/>
    <x v="2"/>
    <n v="100"/>
    <x v="7"/>
    <d v="2026-04-30T00:00:00"/>
    <n v="-4.5199999999999996"/>
    <n v="-5.46"/>
    <n v="-94.000000000000043"/>
    <n v="-451.99999999999994"/>
    <x v="8"/>
    <s v="Buy"/>
    <n v="-546"/>
    <x v="1"/>
    <x v="6"/>
    <n v="2026"/>
    <s v="Buy"/>
    <s v="Active"/>
    <s v="WTI"/>
    <d v="2026-04-30T00:00:00"/>
    <n v="100"/>
    <s v="Brent"/>
    <d v="2026-04-30T00:00:00"/>
    <n v="-100"/>
  </r>
  <r>
    <x v="5"/>
    <x v="47"/>
    <x v="1"/>
    <x v="2"/>
    <n v="100"/>
    <x v="7"/>
    <d v="2026-04-30T00:00:00"/>
    <n v="-4.55"/>
    <n v="-5.46"/>
    <n v="-91.000000000000014"/>
    <n v="-455"/>
    <x v="8"/>
    <s v="Buy"/>
    <n v="-546"/>
    <x v="1"/>
    <x v="6"/>
    <n v="2026"/>
    <s v="Buy"/>
    <s v="Active"/>
    <s v="WTI"/>
    <d v="2026-04-30T00:00:00"/>
    <n v="100"/>
    <s v="Brent"/>
    <d v="2026-04-30T00:00:00"/>
    <n v="-100"/>
  </r>
  <r>
    <x v="5"/>
    <x v="47"/>
    <x v="3"/>
    <x v="2"/>
    <n v="-1123"/>
    <x v="5"/>
    <d v="2026-04-30T00:00:00"/>
    <n v="1.03"/>
    <n v="1.37"/>
    <n v="-381.82000000000011"/>
    <n v="-1156.69"/>
    <x v="6"/>
    <s v="Sell"/>
    <n v="-1538.5100000000002"/>
    <x v="3"/>
    <x v="1"/>
    <n v="2026"/>
    <s v="Sell"/>
    <s v="Active"/>
    <s v="Brent"/>
    <d v="2026-03-31T00:00:00"/>
    <n v="-1123"/>
    <s v="Brent"/>
    <d v="2026-04-30T00:00:00"/>
    <n v="1123"/>
  </r>
  <r>
    <x v="5"/>
    <x v="47"/>
    <x v="3"/>
    <x v="2"/>
    <n v="1123"/>
    <x v="7"/>
    <d v="2026-05-31T00:00:00"/>
    <n v="0.63"/>
    <n v="-0.39"/>
    <n v="-1145.46"/>
    <n v="707.49"/>
    <x v="11"/>
    <s v="Buy"/>
    <n v="-437.97"/>
    <x v="3"/>
    <x v="1"/>
    <n v="2026"/>
    <s v="Buy"/>
    <s v="Active"/>
    <s v="Brent"/>
    <d v="2026-04-30T00:00:00"/>
    <n v="1123"/>
    <s v="Brent"/>
    <d v="2026-05-31T00:00:00"/>
    <n v="-1123"/>
  </r>
  <r>
    <x v="5"/>
    <x v="47"/>
    <x v="3"/>
    <x v="2"/>
    <n v="-400"/>
    <x v="5"/>
    <d v="2026-04-30T00:00:00"/>
    <n v="1.03"/>
    <n v="1.37"/>
    <n v="-136.00000000000003"/>
    <n v="-412"/>
    <x v="6"/>
    <s v="Sell"/>
    <n v="-548"/>
    <x v="3"/>
    <x v="1"/>
    <n v="2026"/>
    <s v="Sell"/>
    <s v="Active"/>
    <s v="Brent"/>
    <d v="2026-03-31T00:00:00"/>
    <n v="-400"/>
    <s v="Brent"/>
    <d v="2026-04-30T00:00:00"/>
    <n v="400"/>
  </r>
  <r>
    <x v="5"/>
    <x v="47"/>
    <x v="3"/>
    <x v="2"/>
    <n v="400"/>
    <x v="7"/>
    <d v="2026-05-31T00:00:00"/>
    <n v="0.63"/>
    <n v="-0.39"/>
    <n v="-408"/>
    <n v="252"/>
    <x v="11"/>
    <s v="Buy"/>
    <n v="-156"/>
    <x v="3"/>
    <x v="1"/>
    <n v="2026"/>
    <s v="Buy"/>
    <s v="Active"/>
    <s v="Brent"/>
    <d v="2026-04-30T00:00:00"/>
    <n v="400"/>
    <s v="Brent"/>
    <d v="2026-05-31T00:00:00"/>
    <n v="-400"/>
  </r>
  <r>
    <x v="5"/>
    <x v="47"/>
    <x v="3"/>
    <x v="2"/>
    <n v="-400"/>
    <x v="5"/>
    <d v="2026-04-30T00:00:00"/>
    <n v="1.04"/>
    <n v="1.37"/>
    <n v="-132.00000000000003"/>
    <n v="-416"/>
    <x v="6"/>
    <s v="Sell"/>
    <n v="-548"/>
    <x v="3"/>
    <x v="1"/>
    <n v="2026"/>
    <s v="Sell"/>
    <s v="Active"/>
    <s v="Brent"/>
    <d v="2026-03-31T00:00:00"/>
    <n v="-400"/>
    <s v="Brent"/>
    <d v="2026-04-30T00:00:00"/>
    <n v="400"/>
  </r>
  <r>
    <x v="5"/>
    <x v="47"/>
    <x v="3"/>
    <x v="2"/>
    <n v="400"/>
    <x v="7"/>
    <d v="2026-05-31T00:00:00"/>
    <n v="0.63"/>
    <n v="-0.39"/>
    <n v="-408"/>
    <n v="252"/>
    <x v="11"/>
    <s v="Buy"/>
    <n v="-156"/>
    <x v="3"/>
    <x v="1"/>
    <n v="2026"/>
    <s v="Buy"/>
    <s v="Active"/>
    <s v="Brent"/>
    <d v="2026-04-30T00:00:00"/>
    <n v="400"/>
    <s v="Brent"/>
    <d v="2026-05-31T00:00:00"/>
    <n v="-400"/>
  </r>
  <r>
    <x v="5"/>
    <x v="47"/>
    <x v="3"/>
    <x v="2"/>
    <n v="-117"/>
    <x v="5"/>
    <d v="2026-04-30T00:00:00"/>
    <n v="1.05"/>
    <n v="1.37"/>
    <n v="-37.440000000000005"/>
    <n v="-122.85000000000001"/>
    <x v="6"/>
    <s v="Sell"/>
    <n v="-160.29000000000002"/>
    <x v="3"/>
    <x v="1"/>
    <n v="2026"/>
    <s v="Sell"/>
    <s v="Active"/>
    <s v="Brent"/>
    <d v="2026-03-31T00:00:00"/>
    <n v="-117"/>
    <s v="Brent"/>
    <d v="2026-04-30T00:00:00"/>
    <n v="117"/>
  </r>
  <r>
    <x v="5"/>
    <x v="47"/>
    <x v="3"/>
    <x v="2"/>
    <n v="117"/>
    <x v="7"/>
    <d v="2026-05-31T00:00:00"/>
    <n v="0.63"/>
    <n v="-0.39"/>
    <n v="-119.34"/>
    <n v="73.709999999999994"/>
    <x v="11"/>
    <s v="Buy"/>
    <n v="-45.63"/>
    <x v="3"/>
    <x v="1"/>
    <n v="2026"/>
    <s v="Buy"/>
    <s v="Active"/>
    <s v="Brent"/>
    <d v="2026-04-30T00:00:00"/>
    <n v="117"/>
    <s v="Brent"/>
    <d v="2026-05-31T00:00:00"/>
    <n v="-117"/>
  </r>
  <r>
    <x v="5"/>
    <x v="47"/>
    <x v="3"/>
    <x v="2"/>
    <n v="-109"/>
    <x v="5"/>
    <d v="2026-04-30T00:00:00"/>
    <n v="1.37"/>
    <n v="1.37"/>
    <n v="0"/>
    <n v="-149.33000000000001"/>
    <x v="6"/>
    <s v="Sell"/>
    <n v="-149.33000000000001"/>
    <x v="3"/>
    <x v="1"/>
    <n v="2026"/>
    <s v="Sell"/>
    <s v="Active"/>
    <s v="Brent"/>
    <d v="2026-03-31T00:00:00"/>
    <n v="-109"/>
    <s v="Brent"/>
    <d v="2026-04-30T00:00:00"/>
    <n v="109"/>
  </r>
  <r>
    <x v="5"/>
    <x v="47"/>
    <x v="4"/>
    <x v="2"/>
    <n v="200"/>
    <x v="4"/>
    <d v="2026-02-28T00:00:00"/>
    <n v="1.65"/>
    <n v="1.76"/>
    <n v="22.000000000000021"/>
    <n v="330"/>
    <x v="4"/>
    <s v="Buy"/>
    <n v="352"/>
    <x v="1"/>
    <x v="4"/>
    <n v="2026"/>
    <s v="Buy"/>
    <s v="Active"/>
    <e v="#N/A"/>
    <d v="2026-02-28T00:00:00"/>
    <n v="200"/>
    <e v="#N/A"/>
    <d v="2026-02-28T00:00:00"/>
    <n v="-200"/>
  </r>
  <r>
    <x v="5"/>
    <x v="47"/>
    <x v="4"/>
    <x v="2"/>
    <n v="-100"/>
    <x v="5"/>
    <d v="2026-03-31T00:00:00"/>
    <n v="0.92"/>
    <n v="11.45"/>
    <n v="-1053"/>
    <n v="-92"/>
    <x v="10"/>
    <s v="Sell"/>
    <n v="-1145"/>
    <x v="1"/>
    <x v="4"/>
    <n v="2026"/>
    <s v="Sell"/>
    <s v="Active"/>
    <e v="#N/A"/>
    <d v="2026-03-31T00:00:00"/>
    <n v="-100"/>
    <e v="#N/A"/>
    <d v="2026-03-31T00:00:00"/>
    <n v="100"/>
  </r>
  <r>
    <x v="5"/>
    <x v="47"/>
    <x v="3"/>
    <x v="2"/>
    <n v="1000"/>
    <x v="8"/>
    <d v="2026-06-30T00:00:00"/>
    <n v="0.56999999999999995"/>
    <n v="14.38"/>
    <n v="13810"/>
    <n v="570"/>
    <x v="12"/>
    <s v="Buy"/>
    <n v="14380"/>
    <x v="3"/>
    <x v="1"/>
    <n v="2026"/>
    <s v="Buy"/>
    <s v="Active"/>
    <s v="Brent"/>
    <d v="2026-05-31T00:00:00"/>
    <n v="1000"/>
    <s v="Brent"/>
    <d v="2026-06-30T00:00:00"/>
    <n v="-1000"/>
  </r>
  <r>
    <x v="5"/>
    <x v="47"/>
    <x v="7"/>
    <x v="2"/>
    <n v="221"/>
    <x v="5"/>
    <d v="2026-04-30T00:00:00"/>
    <n v="0.41"/>
    <n v="0.03"/>
    <n v="-83.98"/>
    <n v="90.61"/>
    <x v="6"/>
    <s v="Buy"/>
    <n v="6.63"/>
    <x v="3"/>
    <x v="2"/>
    <n v="2026"/>
    <s v="Buy"/>
    <s v="Active"/>
    <s v="WTI"/>
    <d v="2026-03-31T00:00:00"/>
    <n v="221"/>
    <s v="WTI"/>
    <d v="2026-04-30T00:00:00"/>
    <n v="-221"/>
  </r>
  <r>
    <x v="5"/>
    <x v="47"/>
    <x v="7"/>
    <x v="2"/>
    <n v="70"/>
    <x v="7"/>
    <d v="2026-05-31T00:00:00"/>
    <n v="0.41"/>
    <n v="0.59"/>
    <n v="12.6"/>
    <n v="28.7"/>
    <x v="11"/>
    <s v="Buy"/>
    <n v="41.3"/>
    <x v="3"/>
    <x v="2"/>
    <n v="2026"/>
    <s v="Buy"/>
    <s v="Active"/>
    <s v="WTI"/>
    <d v="2026-04-30T00:00:00"/>
    <n v="70"/>
    <s v="WTI"/>
    <d v="2026-05-31T00:00:00"/>
    <n v="-70"/>
  </r>
  <r>
    <x v="5"/>
    <x v="48"/>
    <x v="7"/>
    <x v="2"/>
    <n v="221"/>
    <x v="5"/>
    <d v="2026-04-30T00:00:00"/>
    <n v="0.47"/>
    <n v="0.03"/>
    <n v="-97.24"/>
    <n v="103.86999999999999"/>
    <x v="6"/>
    <s v="Buy"/>
    <n v="6.63"/>
    <x v="3"/>
    <x v="2"/>
    <n v="2026"/>
    <s v="Buy"/>
    <s v="Active"/>
    <s v="WTI"/>
    <d v="2026-03-31T00:00:00"/>
    <n v="221"/>
    <s v="WTI"/>
    <d v="2026-04-30T00:00:00"/>
    <n v="-221"/>
  </r>
  <r>
    <x v="5"/>
    <x v="48"/>
    <x v="7"/>
    <x v="2"/>
    <n v="70"/>
    <x v="7"/>
    <d v="2026-05-31T00:00:00"/>
    <n v="0.42"/>
    <n v="0.59"/>
    <n v="11.899999999999999"/>
    <n v="29.4"/>
    <x v="11"/>
    <s v="Buy"/>
    <n v="41.3"/>
    <x v="3"/>
    <x v="2"/>
    <n v="2026"/>
    <s v="Buy"/>
    <s v="Active"/>
    <s v="WTI"/>
    <d v="2026-04-30T00:00:00"/>
    <n v="70"/>
    <s v="WTI"/>
    <d v="2026-05-31T00:00:00"/>
    <n v="-70"/>
  </r>
  <r>
    <x v="5"/>
    <x v="48"/>
    <x v="3"/>
    <x v="2"/>
    <n v="200"/>
    <x v="7"/>
    <d v="2026-05-31T00:00:00"/>
    <n v="0.71"/>
    <n v="-0.39"/>
    <n v="-220.00000000000003"/>
    <n v="142"/>
    <x v="11"/>
    <s v="Buy"/>
    <n v="-78"/>
    <x v="3"/>
    <x v="1"/>
    <n v="2026"/>
    <s v="Buy"/>
    <s v="Active"/>
    <s v="Brent"/>
    <d v="2026-04-30T00:00:00"/>
    <n v="200"/>
    <s v="Brent"/>
    <d v="2026-05-31T00:00:00"/>
    <n v="-200"/>
  </r>
  <r>
    <x v="5"/>
    <x v="48"/>
    <x v="4"/>
    <x v="2"/>
    <n v="101"/>
    <x v="3"/>
    <d v="2026-01-31T00:00:00"/>
    <n v="2.09"/>
    <n v="2.09"/>
    <n v="0"/>
    <n v="211.08999999999997"/>
    <x v="3"/>
    <s v="Buy"/>
    <n v="211.08999999999997"/>
    <x v="1"/>
    <x v="4"/>
    <n v="2026"/>
    <s v="Buy"/>
    <s v="Active"/>
    <e v="#N/A"/>
    <d v="2026-01-31T00:00:00"/>
    <n v="101"/>
    <e v="#N/A"/>
    <d v="2026-01-31T00:00:00"/>
    <n v="-101"/>
  </r>
  <r>
    <x v="20"/>
    <x v="49"/>
    <x v="2"/>
    <x v="0"/>
    <n v="2130"/>
    <x v="5"/>
    <d v="2026-03-31T00:00:00"/>
    <n v="6.3077998585118022"/>
    <n v="6.68"/>
    <n v="792.78630136986055"/>
    <n v="13435.613698630139"/>
    <x v="10"/>
    <s v="Buy"/>
    <n v="14228.4"/>
    <x v="2"/>
    <x v="7"/>
    <n v="2026"/>
    <s v="Buy"/>
    <s v="Active"/>
    <n v="0"/>
    <d v="2026-03-31T00:00:00"/>
    <n v="2130"/>
    <n v="0"/>
    <d v="2026-03-31T00:00:00"/>
    <n v="-2130"/>
  </r>
  <r>
    <x v="20"/>
    <x v="49"/>
    <x v="2"/>
    <x v="0"/>
    <m/>
    <x v="5"/>
    <d v="2026-03-31T00:00:00"/>
    <n v="6.3152380952380955"/>
    <n v="6.38"/>
    <n v="0"/>
    <n v="0"/>
    <x v="10"/>
    <s v="Buy"/>
    <n v="0"/>
    <x v="2"/>
    <x v="7"/>
    <n v="2026"/>
    <s v="Sell"/>
    <s v="Active"/>
    <n v="0"/>
    <d v="2026-03-31T00:00:00"/>
    <n v="0"/>
    <n v="0"/>
    <d v="2026-03-31T00:00:00"/>
    <n v="0"/>
  </r>
  <r>
    <x v="20"/>
    <x v="49"/>
    <x v="7"/>
    <x v="0"/>
    <n v="-2100"/>
    <x v="5"/>
    <d v="2026-04-30T00:00:00"/>
    <n v="0.43"/>
    <n v="0.03"/>
    <n v="840"/>
    <n v="-903"/>
    <x v="6"/>
    <s v="Sell"/>
    <n v="-63"/>
    <x v="3"/>
    <x v="2"/>
    <n v="2026"/>
    <s v="Sell"/>
    <s v="Active"/>
    <s v="WTI"/>
    <d v="2026-03-31T00:00:00"/>
    <n v="-2100"/>
    <s v="WTI"/>
    <d v="2026-04-30T00:00:00"/>
    <n v="2100"/>
  </r>
  <r>
    <x v="20"/>
    <x v="49"/>
    <x v="7"/>
    <x v="0"/>
    <n v="-2130"/>
    <x v="7"/>
    <d v="2026-05-31T00:00:00"/>
    <n v="0.37"/>
    <n v="0.59"/>
    <n v="-468.59999999999997"/>
    <n v="-788.1"/>
    <x v="11"/>
    <s v="Sell"/>
    <n v="-1256.7"/>
    <x v="3"/>
    <x v="2"/>
    <n v="2026"/>
    <s v="Sell"/>
    <s v="Active"/>
    <s v="WTI"/>
    <d v="2026-04-30T00:00:00"/>
    <n v="-2130"/>
    <s v="WTI"/>
    <d v="2026-05-31T00:00:00"/>
    <n v="2130"/>
  </r>
  <r>
    <x v="20"/>
    <x v="49"/>
    <x v="1"/>
    <x v="0"/>
    <n v="-2130"/>
    <x v="8"/>
    <d v="2026-05-31T00:00:00"/>
    <n v="-4.25"/>
    <n v="-16.97"/>
    <n v="27093.599999999999"/>
    <n v="9052.5"/>
    <x v="9"/>
    <s v="Sell"/>
    <n v="36146.1"/>
    <x v="1"/>
    <x v="6"/>
    <n v="2026"/>
    <s v="Sell"/>
    <s v="Active"/>
    <s v="WTI"/>
    <d v="2026-05-31T00:00:00"/>
    <n v="-2130"/>
    <s v="Brent"/>
    <d v="2026-05-31T00:00:00"/>
    <n v="2130"/>
  </r>
  <r>
    <x v="20"/>
    <x v="49"/>
    <x v="3"/>
    <x v="0"/>
    <n v="-2023"/>
    <x v="8"/>
    <d v="2026-06-30T00:00:00"/>
    <n v="0.56999999999999995"/>
    <n v="14.38"/>
    <n v="-27937.63"/>
    <n v="-1153.1099999999999"/>
    <x v="12"/>
    <s v="Sell"/>
    <n v="-29090.74"/>
    <x v="3"/>
    <x v="1"/>
    <n v="2026"/>
    <s v="Sell"/>
    <s v="Active"/>
    <s v="Brent"/>
    <d v="2026-05-31T00:00:00"/>
    <n v="-2023"/>
    <s v="Brent"/>
    <d v="2026-06-30T00:00:00"/>
    <n v="2023"/>
  </r>
  <r>
    <x v="20"/>
    <x v="49"/>
    <x v="3"/>
    <x v="0"/>
    <n v="-107"/>
    <x v="6"/>
    <d v="2026-07-31T00:00:00"/>
    <n v="0.43"/>
    <n v="3.61"/>
    <n v="-340.26"/>
    <n v="-46.01"/>
    <x v="16"/>
    <s v="Sell"/>
    <n v="-386.27"/>
    <x v="3"/>
    <x v="1"/>
    <n v="2026"/>
    <s v="Sell"/>
    <s v="Active"/>
    <s v="Brent"/>
    <d v="2026-06-30T00:00:00"/>
    <n v="-107"/>
    <s v="Brent"/>
    <d v="2026-07-31T00:00:00"/>
    <n v="107"/>
  </r>
  <r>
    <x v="20"/>
    <x v="49"/>
    <x v="9"/>
    <x v="0"/>
    <n v="-2000"/>
    <x v="5"/>
    <d v="2026-03-31T00:00:00"/>
    <n v="14500"/>
    <n v="14500"/>
    <n v="0"/>
    <n v="0"/>
    <x v="10"/>
    <s v="Sell"/>
    <n v="-29000000"/>
    <x v="4"/>
    <x v="3"/>
    <n v="2026"/>
    <s v="Sell"/>
    <s v="Active"/>
    <e v="#N/A"/>
    <d v="2026-03-31T00:00:00"/>
    <n v="-2000"/>
    <e v="#N/A"/>
    <d v="2026-03-31T00:00:00"/>
    <n v="2000"/>
  </r>
  <r>
    <x v="20"/>
    <x v="49"/>
    <x v="9"/>
    <x v="2"/>
    <n v="2000"/>
    <x v="5"/>
    <d v="2026-03-31T00:00:00"/>
    <n v="13500"/>
    <n v="14500"/>
    <n v="1000"/>
    <n v="1000"/>
    <x v="10"/>
    <s v="Buy"/>
    <n v="29000000"/>
    <x v="4"/>
    <x v="3"/>
    <n v="2026"/>
    <s v="Buy"/>
    <s v="Active"/>
    <e v="#N/A"/>
    <d v="2026-03-31T00:00:00"/>
    <n v="2000"/>
    <e v="#N/A"/>
    <d v="2026-03-31T00:00:00"/>
    <n v="-2000"/>
  </r>
  <r>
    <x v="20"/>
    <x v="49"/>
    <x v="7"/>
    <x v="2"/>
    <n v="1000"/>
    <x v="5"/>
    <d v="2026-04-30T00:00:00"/>
    <n v="0.41"/>
    <n v="0.03"/>
    <n v="-380"/>
    <n v="410"/>
    <x v="6"/>
    <s v="Buy"/>
    <n v="30"/>
    <x v="3"/>
    <x v="2"/>
    <n v="2026"/>
    <s v="Buy"/>
    <s v="Active"/>
    <s v="WTI"/>
    <d v="2026-03-31T00:00:00"/>
    <n v="1000"/>
    <s v="WTI"/>
    <d v="2026-04-30T00:00:00"/>
    <n v="-1000"/>
  </r>
  <r>
    <x v="20"/>
    <x v="49"/>
    <x v="7"/>
    <x v="2"/>
    <n v="1000"/>
    <x v="7"/>
    <d v="2026-05-31T00:00:00"/>
    <n v="0.37"/>
    <n v="0.59"/>
    <n v="219.99999999999997"/>
    <n v="370"/>
    <x v="11"/>
    <s v="Buy"/>
    <n v="590"/>
    <x v="3"/>
    <x v="2"/>
    <n v="2026"/>
    <s v="Buy"/>
    <s v="Active"/>
    <s v="WTI"/>
    <d v="2026-04-30T00:00:00"/>
    <n v="1000"/>
    <s v="WTI"/>
    <d v="2026-05-31T00:00:00"/>
    <n v="-1000"/>
  </r>
  <r>
    <x v="20"/>
    <x v="49"/>
    <x v="1"/>
    <x v="2"/>
    <n v="1000"/>
    <x v="8"/>
    <d v="2026-05-31T00:00:00"/>
    <n v="-4.28"/>
    <n v="-16.97"/>
    <n v="-12689.999999999998"/>
    <n v="-4280"/>
    <x v="9"/>
    <s v="Buy"/>
    <n v="-16970"/>
    <x v="1"/>
    <x v="6"/>
    <n v="2026"/>
    <s v="Buy"/>
    <s v="Active"/>
    <s v="WTI"/>
    <d v="2026-05-31T00:00:00"/>
    <n v="1000"/>
    <s v="Brent"/>
    <d v="2026-05-31T00:00:00"/>
    <n v="-1000"/>
  </r>
  <r>
    <x v="5"/>
    <x v="49"/>
    <x v="4"/>
    <x v="2"/>
    <n v="-100"/>
    <x v="5"/>
    <d v="2026-03-31T00:00:00"/>
    <n v="0.77"/>
    <n v="11.45"/>
    <n v="-1068"/>
    <n v="-77"/>
    <x v="10"/>
    <s v="Sell"/>
    <n v="-1145"/>
    <x v="1"/>
    <x v="4"/>
    <n v="2026"/>
    <s v="Sell"/>
    <s v="Active"/>
    <e v="#N/A"/>
    <d v="2026-03-31T00:00:00"/>
    <n v="-100"/>
    <e v="#N/A"/>
    <d v="2026-03-31T00:00:00"/>
    <n v="100"/>
  </r>
  <r>
    <x v="21"/>
    <x v="49"/>
    <x v="2"/>
    <x v="0"/>
    <n v="700"/>
    <x v="4"/>
    <d v="2026-02-28T00:00:00"/>
    <n v="-2.6100000000000003"/>
    <n v="-2.5499999999999998"/>
    <n v="42.000000000000348"/>
    <n v="-1827.0000000000002"/>
    <x v="4"/>
    <s v="Buy"/>
    <n v="-1784.9999999999998"/>
    <x v="2"/>
    <x v="7"/>
    <n v="2026"/>
    <s v="Buy"/>
    <s v="Active"/>
    <n v="0"/>
    <d v="2026-02-28T00:00:00"/>
    <n v="700"/>
    <n v="0"/>
    <d v="2026-02-28T00:00:00"/>
    <n v="-700"/>
  </r>
  <r>
    <x v="21"/>
    <x v="49"/>
    <x v="7"/>
    <x v="0"/>
    <n v="-700"/>
    <x v="5"/>
    <d v="2026-04-30T00:00:00"/>
    <n v="0.42"/>
    <n v="0.03"/>
    <n v="273"/>
    <n v="-294"/>
    <x v="6"/>
    <s v="Sell"/>
    <n v="-21"/>
    <x v="3"/>
    <x v="2"/>
    <n v="2026"/>
    <s v="Sell"/>
    <s v="Active"/>
    <s v="WTI"/>
    <d v="2026-03-31T00:00:00"/>
    <n v="-700"/>
    <s v="WTI"/>
    <d v="2026-04-30T00:00:00"/>
    <n v="700"/>
  </r>
  <r>
    <x v="21"/>
    <x v="49"/>
    <x v="1"/>
    <x v="0"/>
    <n v="-700"/>
    <x v="7"/>
    <d v="2026-04-30T00:00:00"/>
    <n v="-4.58"/>
    <n v="-5.46"/>
    <n v="615.99999999999989"/>
    <n v="3206"/>
    <x v="8"/>
    <s v="Sell"/>
    <n v="3822"/>
    <x v="1"/>
    <x v="6"/>
    <n v="2026"/>
    <s v="Sell"/>
    <s v="Active"/>
    <s v="WTI"/>
    <d v="2026-04-30T00:00:00"/>
    <n v="-700"/>
    <s v="Brent"/>
    <d v="2026-04-30T00:00:00"/>
    <n v="700"/>
  </r>
  <r>
    <x v="5"/>
    <x v="49"/>
    <x v="7"/>
    <x v="2"/>
    <n v="221"/>
    <x v="5"/>
    <d v="2026-04-30T00:00:00"/>
    <n v="0.42"/>
    <n v="0.03"/>
    <n v="-86.19"/>
    <n v="92.82"/>
    <x v="6"/>
    <s v="Buy"/>
    <n v="6.63"/>
    <x v="3"/>
    <x v="2"/>
    <n v="2026"/>
    <s v="Buy"/>
    <s v="Active"/>
    <s v="WTI"/>
    <d v="2026-03-31T00:00:00"/>
    <n v="221"/>
    <s v="WTI"/>
    <d v="2026-04-30T00:00:00"/>
    <n v="-221"/>
  </r>
  <r>
    <x v="5"/>
    <x v="49"/>
    <x v="7"/>
    <x v="2"/>
    <n v="70"/>
    <x v="7"/>
    <d v="2026-05-31T00:00:00"/>
    <n v="0.38"/>
    <n v="0.59"/>
    <n v="14.699999999999998"/>
    <n v="26.6"/>
    <x v="11"/>
    <s v="Buy"/>
    <n v="41.3"/>
    <x v="3"/>
    <x v="2"/>
    <n v="2026"/>
    <s v="Buy"/>
    <s v="Active"/>
    <s v="WTI"/>
    <d v="2026-04-30T00:00:00"/>
    <n v="70"/>
    <s v="WTI"/>
    <d v="2026-05-31T00:00:00"/>
    <n v="-70"/>
  </r>
  <r>
    <x v="5"/>
    <x v="50"/>
    <x v="8"/>
    <x v="2"/>
    <n v="400"/>
    <x v="12"/>
    <d v="2026-04-30T00:00:00"/>
    <n v="2.73"/>
    <n v="2.74"/>
    <n v="4.0000000000000924"/>
    <n v="1092"/>
    <x v="4"/>
    <s v="Buy"/>
    <n v="1096"/>
    <x v="1"/>
    <x v="4"/>
    <n v="2026"/>
    <s v="Buy"/>
    <s v="Active"/>
    <e v="#N/A"/>
    <s v="Feb09-Feb13"/>
    <n v="400"/>
    <e v="#N/A"/>
    <d v="2026-04-30T00:00:00"/>
    <n v="-400"/>
  </r>
  <r>
    <x v="5"/>
    <x v="50"/>
    <x v="4"/>
    <x v="2"/>
    <n v="-400"/>
    <x v="5"/>
    <d v="2026-03-31T00:00:00"/>
    <n v="0.89"/>
    <n v="11.45"/>
    <n v="-4223.9999999999991"/>
    <n v="-356"/>
    <x v="10"/>
    <s v="Sell"/>
    <n v="-4580"/>
    <x v="1"/>
    <x v="4"/>
    <n v="2026"/>
    <s v="Sell"/>
    <s v="Active"/>
    <e v="#N/A"/>
    <d v="2026-03-31T00:00:00"/>
    <n v="-400"/>
    <e v="#N/A"/>
    <d v="2026-03-31T00:00:00"/>
    <n v="400"/>
  </r>
  <r>
    <x v="5"/>
    <x v="50"/>
    <x v="8"/>
    <x v="2"/>
    <n v="0"/>
    <x v="12"/>
    <d v="2026-05-31T00:00:00"/>
    <n v="2.73"/>
    <n v="2.74"/>
    <n v="61.800000000000068"/>
    <n v="0"/>
    <x v="4"/>
    <s v="Buy"/>
    <n v="0"/>
    <x v="1"/>
    <x v="4"/>
    <n v="2026"/>
    <s v="Sell"/>
    <s v="Active"/>
    <e v="#N/A"/>
    <s v="Feb09-Feb13"/>
    <n v="0"/>
    <e v="#N/A"/>
    <d v="2026-05-31T00:00:00"/>
    <n v="0"/>
  </r>
  <r>
    <x v="20"/>
    <x v="50"/>
    <x v="7"/>
    <x v="2"/>
    <n v="1000"/>
    <x v="5"/>
    <d v="2026-04-30T00:00:00"/>
    <n v="0.41"/>
    <n v="0.03"/>
    <n v="-380"/>
    <n v="410"/>
    <x v="6"/>
    <s v="Buy"/>
    <n v="30"/>
    <x v="3"/>
    <x v="2"/>
    <n v="2026"/>
    <s v="Buy"/>
    <s v="Active"/>
    <s v="WTI"/>
    <d v="2026-03-31T00:00:00"/>
    <n v="1000"/>
    <s v="WTI"/>
    <d v="2026-04-30T00:00:00"/>
    <n v="-1000"/>
  </r>
  <r>
    <x v="20"/>
    <x v="50"/>
    <x v="7"/>
    <x v="2"/>
    <n v="1000"/>
    <x v="7"/>
    <d v="2026-05-31T00:00:00"/>
    <n v="0.37"/>
    <n v="0.59"/>
    <n v="219.99999999999997"/>
    <n v="370"/>
    <x v="11"/>
    <s v="Buy"/>
    <n v="590"/>
    <x v="3"/>
    <x v="2"/>
    <n v="2026"/>
    <s v="Buy"/>
    <s v="Active"/>
    <s v="WTI"/>
    <d v="2026-04-30T00:00:00"/>
    <n v="1000"/>
    <s v="WTI"/>
    <d v="2026-05-31T00:00:00"/>
    <n v="-1000"/>
  </r>
  <r>
    <x v="20"/>
    <x v="50"/>
    <x v="1"/>
    <x v="2"/>
    <n v="1000"/>
    <x v="8"/>
    <d v="2026-05-31T00:00:00"/>
    <n v="-4.1950000000000003"/>
    <n v="-16.97"/>
    <n v="-12774.999999999998"/>
    <n v="-4195"/>
    <x v="9"/>
    <s v="Buy"/>
    <n v="-16970"/>
    <x v="1"/>
    <x v="6"/>
    <n v="2026"/>
    <s v="Buy"/>
    <s v="Active"/>
    <s v="WTI"/>
    <d v="2026-05-31T00:00:00"/>
    <n v="1000"/>
    <s v="Brent"/>
    <d v="2026-05-31T00:00:00"/>
    <n v="-1000"/>
  </r>
  <r>
    <x v="20"/>
    <x v="50"/>
    <x v="7"/>
    <x v="2"/>
    <n v="400"/>
    <x v="5"/>
    <d v="2026-04-30T00:00:00"/>
    <n v="0.41"/>
    <n v="0.03"/>
    <n v="-152"/>
    <n v="164"/>
    <x v="6"/>
    <s v="Buy"/>
    <n v="12"/>
    <x v="3"/>
    <x v="2"/>
    <n v="2026"/>
    <s v="Buy"/>
    <s v="Active"/>
    <s v="WTI"/>
    <d v="2026-03-31T00:00:00"/>
    <n v="400"/>
    <s v="WTI"/>
    <d v="2026-04-30T00:00:00"/>
    <n v="-400"/>
  </r>
  <r>
    <x v="20"/>
    <x v="50"/>
    <x v="7"/>
    <x v="2"/>
    <n v="400"/>
    <x v="7"/>
    <d v="2026-05-31T00:00:00"/>
    <n v="0.37"/>
    <n v="0.59"/>
    <n v="87.999999999999986"/>
    <n v="148"/>
    <x v="11"/>
    <s v="Buy"/>
    <n v="236"/>
    <x v="3"/>
    <x v="2"/>
    <n v="2026"/>
    <s v="Buy"/>
    <s v="Active"/>
    <s v="WTI"/>
    <d v="2026-04-30T00:00:00"/>
    <n v="400"/>
    <s v="WTI"/>
    <d v="2026-05-31T00:00:00"/>
    <n v="-400"/>
  </r>
  <r>
    <x v="20"/>
    <x v="50"/>
    <x v="1"/>
    <x v="2"/>
    <n v="400"/>
    <x v="8"/>
    <d v="2026-05-31T00:00:00"/>
    <n v="-4.24"/>
    <n v="-16.97"/>
    <n v="-5091.9999999999991"/>
    <n v="-1696"/>
    <x v="9"/>
    <s v="Buy"/>
    <n v="-6788"/>
    <x v="1"/>
    <x v="6"/>
    <n v="2026"/>
    <s v="Buy"/>
    <s v="Active"/>
    <s v="WTI"/>
    <d v="2026-05-31T00:00:00"/>
    <n v="400"/>
    <s v="Brent"/>
    <d v="2026-05-31T00:00:00"/>
    <n v="-400"/>
  </r>
  <r>
    <x v="20"/>
    <x v="50"/>
    <x v="7"/>
    <x v="2"/>
    <n v="166"/>
    <x v="5"/>
    <d v="2026-04-30T00:00:00"/>
    <n v="0.41"/>
    <n v="0.03"/>
    <n v="-63.08"/>
    <n v="68.06"/>
    <x v="6"/>
    <s v="Buy"/>
    <n v="4.9799999999999995"/>
    <x v="3"/>
    <x v="2"/>
    <n v="2026"/>
    <s v="Buy"/>
    <s v="Active"/>
    <s v="WTI"/>
    <d v="2026-03-31T00:00:00"/>
    <n v="166"/>
    <s v="WTI"/>
    <d v="2026-04-30T00:00:00"/>
    <n v="-166"/>
  </r>
  <r>
    <x v="20"/>
    <x v="50"/>
    <x v="7"/>
    <x v="2"/>
    <n v="166"/>
    <x v="7"/>
    <d v="2026-05-31T00:00:00"/>
    <n v="0.37"/>
    <n v="0.59"/>
    <n v="36.519999999999996"/>
    <n v="61.42"/>
    <x v="11"/>
    <s v="Buy"/>
    <n v="97.94"/>
    <x v="3"/>
    <x v="2"/>
    <n v="2026"/>
    <s v="Buy"/>
    <s v="Active"/>
    <s v="WTI"/>
    <d v="2026-04-30T00:00:00"/>
    <n v="166"/>
    <s v="WTI"/>
    <d v="2026-05-31T00:00:00"/>
    <n v="-166"/>
  </r>
  <r>
    <x v="20"/>
    <x v="50"/>
    <x v="1"/>
    <x v="2"/>
    <n v="166"/>
    <x v="8"/>
    <d v="2026-05-31T00:00:00"/>
    <n v="-4.25"/>
    <n v="-16.97"/>
    <n v="-2111.52"/>
    <n v="-705.5"/>
    <x v="9"/>
    <s v="Buy"/>
    <n v="-2817.02"/>
    <x v="1"/>
    <x v="6"/>
    <n v="2026"/>
    <s v="Buy"/>
    <s v="Active"/>
    <s v="WTI"/>
    <d v="2026-05-31T00:00:00"/>
    <n v="166"/>
    <s v="Brent"/>
    <d v="2026-05-31T00:00:00"/>
    <n v="-166"/>
  </r>
  <r>
    <x v="21"/>
    <x v="50"/>
    <x v="7"/>
    <x v="2"/>
    <n v="221"/>
    <x v="5"/>
    <d v="2026-04-30T00:00:00"/>
    <n v="0.38"/>
    <n v="0.03"/>
    <n v="-77.349999999999994"/>
    <n v="83.98"/>
    <x v="6"/>
    <s v="Buy"/>
    <n v="6.63"/>
    <x v="3"/>
    <x v="2"/>
    <n v="2026"/>
    <s v="Buy"/>
    <s v="Active"/>
    <s v="WTI"/>
    <d v="2026-03-31T00:00:00"/>
    <n v="221"/>
    <s v="WTI"/>
    <d v="2026-04-30T00:00:00"/>
    <n v="-221"/>
  </r>
  <r>
    <x v="20"/>
    <x v="50"/>
    <x v="7"/>
    <x v="2"/>
    <n v="70"/>
    <x v="7"/>
    <d v="2026-05-31T00:00:00"/>
    <n v="0.35"/>
    <n v="0.59"/>
    <n v="16.8"/>
    <n v="24.5"/>
    <x v="11"/>
    <s v="Buy"/>
    <n v="41.3"/>
    <x v="3"/>
    <x v="2"/>
    <n v="2026"/>
    <s v="Buy"/>
    <s v="Active"/>
    <s v="WTI"/>
    <d v="2026-04-30T00:00:00"/>
    <n v="70"/>
    <s v="WTI"/>
    <d v="2026-05-31T00:00:00"/>
    <n v="-70"/>
  </r>
  <r>
    <x v="20"/>
    <x v="50"/>
    <x v="3"/>
    <x v="2"/>
    <n v="1000"/>
    <x v="8"/>
    <d v="2026-06-30T00:00:00"/>
    <n v="0.55000000000000004"/>
    <n v="14.38"/>
    <n v="13830"/>
    <n v="550"/>
    <x v="12"/>
    <s v="Buy"/>
    <n v="14380"/>
    <x v="3"/>
    <x v="1"/>
    <n v="2026"/>
    <s v="Buy"/>
    <s v="Active"/>
    <s v="Brent"/>
    <d v="2026-05-31T00:00:00"/>
    <n v="1000"/>
    <s v="Brent"/>
    <d v="2026-06-30T00:00:00"/>
    <n v="-1000"/>
  </r>
  <r>
    <x v="5"/>
    <x v="51"/>
    <x v="1"/>
    <x v="2"/>
    <n v="340"/>
    <x v="8"/>
    <d v="2026-05-31T00:00:00"/>
    <n v="-4.29"/>
    <n v="-16.97"/>
    <n v="-4311.2"/>
    <n v="-1458.6"/>
    <x v="9"/>
    <s v="Buy"/>
    <n v="-5769.7999999999993"/>
    <x v="1"/>
    <x v="6"/>
    <n v="2026"/>
    <s v="Buy"/>
    <s v="Active"/>
    <s v="WTI"/>
    <d v="2026-05-31T00:00:00"/>
    <n v="340"/>
    <s v="Brent"/>
    <d v="2026-05-31T00:00:00"/>
    <n v="-340"/>
  </r>
  <r>
    <x v="5"/>
    <x v="51"/>
    <x v="8"/>
    <x v="2"/>
    <n v="100"/>
    <x v="12"/>
    <d v="2026-05-31T00:00:00"/>
    <n v="2.65"/>
    <n v="2.74"/>
    <n v="61.800000000000068"/>
    <n v="265"/>
    <x v="4"/>
    <s v="Buy"/>
    <n v="274"/>
    <x v="1"/>
    <x v="4"/>
    <n v="2026"/>
    <s v="Buy"/>
    <s v="Active"/>
    <e v="#N/A"/>
    <s v="Feb09-Feb13"/>
    <n v="100"/>
    <e v="#N/A"/>
    <d v="2026-05-31T00:00:00"/>
    <n v="-100"/>
  </r>
  <r>
    <x v="21"/>
    <x v="51"/>
    <x v="7"/>
    <x v="2"/>
    <n v="268"/>
    <x v="5"/>
    <d v="2026-04-30T00:00:00"/>
    <n v="0.39"/>
    <n v="0.03"/>
    <n v="-96.47999999999999"/>
    <n v="104.52000000000001"/>
    <x v="6"/>
    <s v="Buy"/>
    <n v="8.0399999999999991"/>
    <x v="3"/>
    <x v="2"/>
    <n v="2026"/>
    <s v="Buy"/>
    <s v="Active"/>
    <s v="WTI"/>
    <d v="2026-03-31T00:00:00"/>
    <n v="268"/>
    <s v="WTI"/>
    <d v="2026-04-30T00:00:00"/>
    <n v="-268"/>
  </r>
  <r>
    <x v="20"/>
    <x v="51"/>
    <x v="7"/>
    <x v="2"/>
    <n v="85"/>
    <x v="7"/>
    <d v="2026-05-31T00:00:00"/>
    <n v="0.39"/>
    <n v="0.59"/>
    <n v="16.999999999999996"/>
    <n v="33.15"/>
    <x v="11"/>
    <s v="Buy"/>
    <n v="50.15"/>
    <x v="3"/>
    <x v="2"/>
    <n v="2026"/>
    <s v="Buy"/>
    <s v="Active"/>
    <s v="WTI"/>
    <d v="2026-04-30T00:00:00"/>
    <n v="85"/>
    <s v="WTI"/>
    <d v="2026-05-31T00:00:00"/>
    <n v="-85"/>
  </r>
  <r>
    <x v="5"/>
    <x v="51"/>
    <x v="7"/>
    <x v="2"/>
    <n v="216"/>
    <x v="5"/>
    <d v="2026-04-30T00:00:00"/>
    <n v="0.39"/>
    <n v="0.03"/>
    <n v="-77.759999999999991"/>
    <n v="84.240000000000009"/>
    <x v="6"/>
    <s v="Buy"/>
    <n v="6.4799999999999995"/>
    <x v="3"/>
    <x v="2"/>
    <n v="2026"/>
    <s v="Buy"/>
    <s v="Active"/>
    <s v="WTI"/>
    <d v="2026-03-31T00:00:00"/>
    <n v="216"/>
    <s v="WTI"/>
    <d v="2026-04-30T00:00:00"/>
    <n v="-216"/>
  </r>
  <r>
    <x v="5"/>
    <x v="51"/>
    <x v="1"/>
    <x v="2"/>
    <n v="216"/>
    <x v="7"/>
    <d v="2026-04-30T00:00:00"/>
    <n v="-4.6399999999999997"/>
    <n v="-5.46"/>
    <n v="-177.12000000000006"/>
    <n v="-1002.2399999999999"/>
    <x v="8"/>
    <s v="Buy"/>
    <n v="-1179.3599999999999"/>
    <x v="1"/>
    <x v="6"/>
    <n v="2026"/>
    <s v="Buy"/>
    <s v="Active"/>
    <s v="WTI"/>
    <d v="2026-04-30T00:00:00"/>
    <n v="216"/>
    <s v="Brent"/>
    <d v="2026-04-30T00:00:00"/>
    <n v="-216"/>
  </r>
  <r>
    <x v="21"/>
    <x v="52"/>
    <x v="7"/>
    <x v="2"/>
    <n v="268"/>
    <x v="5"/>
    <d v="2026-04-30T00:00:00"/>
    <n v="0.28000000000000003"/>
    <n v="0.03"/>
    <n v="-67"/>
    <n v="75.040000000000006"/>
    <x v="6"/>
    <s v="Buy"/>
    <n v="8.0399999999999991"/>
    <x v="3"/>
    <x v="2"/>
    <n v="2026"/>
    <s v="Buy"/>
    <s v="Active"/>
    <s v="WTI"/>
    <d v="2026-03-31T00:00:00"/>
    <n v="268"/>
    <s v="WTI"/>
    <d v="2026-04-30T00:00:00"/>
    <n v="-268"/>
  </r>
  <r>
    <x v="20"/>
    <x v="52"/>
    <x v="7"/>
    <x v="2"/>
    <n v="85"/>
    <x v="7"/>
    <d v="2026-05-31T00:00:00"/>
    <n v="0.28000000000000003"/>
    <n v="0.59"/>
    <n v="26.349999999999994"/>
    <n v="23.8"/>
    <x v="11"/>
    <s v="Buy"/>
    <n v="50.15"/>
    <x v="3"/>
    <x v="2"/>
    <n v="2026"/>
    <s v="Buy"/>
    <s v="Active"/>
    <s v="WTI"/>
    <d v="2026-04-30T00:00:00"/>
    <n v="85"/>
    <s v="WTI"/>
    <d v="2026-05-31T00:00:00"/>
    <n v="-85"/>
  </r>
  <r>
    <x v="21"/>
    <x v="52"/>
    <x v="7"/>
    <x v="2"/>
    <n v="500"/>
    <x v="5"/>
    <d v="2026-04-30T00:00:00"/>
    <n v="0.3"/>
    <n v="0.03"/>
    <n v="-135"/>
    <n v="150"/>
    <x v="6"/>
    <s v="Buy"/>
    <n v="15"/>
    <x v="3"/>
    <x v="2"/>
    <n v="2026"/>
    <s v="Buy"/>
    <s v="Active"/>
    <s v="WTI"/>
    <d v="2026-03-31T00:00:00"/>
    <n v="500"/>
    <s v="WTI"/>
    <d v="2026-04-30T00:00:00"/>
    <n v="-500"/>
  </r>
  <r>
    <x v="20"/>
    <x v="52"/>
    <x v="7"/>
    <x v="2"/>
    <n v="500"/>
    <x v="7"/>
    <d v="2026-05-31T00:00:00"/>
    <n v="0.3"/>
    <n v="0.59"/>
    <n v="145"/>
    <n v="150"/>
    <x v="11"/>
    <s v="Buy"/>
    <n v="295"/>
    <x v="3"/>
    <x v="2"/>
    <n v="2026"/>
    <s v="Buy"/>
    <s v="Active"/>
    <s v="WTI"/>
    <d v="2026-04-30T00:00:00"/>
    <n v="500"/>
    <s v="WTI"/>
    <d v="2026-05-31T00:00:00"/>
    <n v="-500"/>
  </r>
  <r>
    <x v="5"/>
    <x v="53"/>
    <x v="1"/>
    <x v="2"/>
    <n v="540"/>
    <x v="7"/>
    <d v="2026-04-30T00:00:00"/>
    <n v="-4.6900000000000004"/>
    <n v="-5.46"/>
    <n v="-415.79999999999978"/>
    <n v="-2532.6000000000004"/>
    <x v="8"/>
    <s v="Buy"/>
    <n v="-2948.4"/>
    <x v="1"/>
    <x v="6"/>
    <n v="2026"/>
    <s v="Buy"/>
    <s v="Active"/>
    <s v="WTI"/>
    <d v="2026-04-30T00:00:00"/>
    <n v="540"/>
    <s v="Brent"/>
    <d v="2026-04-30T00:00:00"/>
    <n v="-540"/>
  </r>
  <r>
    <x v="5"/>
    <x v="53"/>
    <x v="8"/>
    <x v="2"/>
    <n v="-1000"/>
    <x v="11"/>
    <d v="2026-04-30T00:00:00"/>
    <n v="2.516"/>
    <n v="2.516"/>
    <n v="0"/>
    <n v="-2516"/>
    <x v="4"/>
    <s v="Sell"/>
    <n v="-2516"/>
    <x v="1"/>
    <x v="4"/>
    <n v="2026"/>
    <s v="Sell"/>
    <s v="Active"/>
    <e v="#N/A"/>
    <s v="Feb02-Feb06"/>
    <n v="-1000"/>
    <e v="#N/A"/>
    <d v="2026-04-30T00:00:00"/>
    <n v="1000"/>
  </r>
  <r>
    <x v="5"/>
    <x v="54"/>
    <x v="4"/>
    <x v="2"/>
    <n v="1335"/>
    <x v="5"/>
    <d v="2026-03-31T00:00:00"/>
    <n v="0.875"/>
    <n v="11.45"/>
    <n v="14117.624999999998"/>
    <n v="1168.125"/>
    <x v="10"/>
    <s v="Buy"/>
    <n v="15285.749999999998"/>
    <x v="1"/>
    <x v="4"/>
    <n v="2026"/>
    <s v="Buy"/>
    <s v="Active"/>
    <e v="#N/A"/>
    <d v="2026-03-31T00:00:00"/>
    <n v="1335"/>
    <e v="#N/A"/>
    <d v="2026-03-31T00:00:00"/>
    <n v="-1335"/>
  </r>
  <r>
    <x v="5"/>
    <x v="55"/>
    <x v="7"/>
    <x v="2"/>
    <n v="560"/>
    <x v="5"/>
    <d v="2026-04-30T00:00:00"/>
    <n v="0.03"/>
    <n v="0.03"/>
    <n v="0"/>
    <n v="16.8"/>
    <x v="6"/>
    <s v="Buy"/>
    <n v="16.8"/>
    <x v="3"/>
    <x v="2"/>
    <n v="2026"/>
    <s v="Buy"/>
    <s v="Active"/>
    <s v="WTI"/>
    <d v="2026-03-31T00:00:00"/>
    <n v="560"/>
    <s v="WTI"/>
    <d v="2026-04-30T00:00:00"/>
    <n v="-560"/>
  </r>
  <r>
    <x v="5"/>
    <x v="56"/>
    <x v="7"/>
    <x v="2"/>
    <n v="-96"/>
    <x v="5"/>
    <d v="2026-04-30T00:00:00"/>
    <n v="0.27"/>
    <n v="0.03"/>
    <n v="23.040000000000003"/>
    <n v="-25.92"/>
    <x v="6"/>
    <s v="Sell"/>
    <n v="-2.88"/>
    <x v="3"/>
    <x v="2"/>
    <n v="2026"/>
    <s v="Sell"/>
    <s v="Active"/>
    <s v="WTI"/>
    <d v="2026-03-31T00:00:00"/>
    <n v="-96"/>
    <s v="WTI"/>
    <d v="2026-04-30T00:00:00"/>
    <n v="96"/>
  </r>
  <r>
    <x v="5"/>
    <x v="57"/>
    <x v="7"/>
    <x v="2"/>
    <n v="300"/>
    <x v="7"/>
    <d v="2026-05-31T00:00:00"/>
    <n v="0.2"/>
    <n v="0.59"/>
    <n v="116.99999999999999"/>
    <n v="60"/>
    <x v="11"/>
    <s v="Buy"/>
    <n v="177"/>
    <x v="3"/>
    <x v="2"/>
    <n v="2026"/>
    <s v="Buy"/>
    <s v="Active"/>
    <s v="WTI"/>
    <d v="2026-04-30T00:00:00"/>
    <n v="300"/>
    <s v="WTI"/>
    <d v="2026-05-31T00:00:00"/>
    <n v="-300"/>
  </r>
  <r>
    <x v="5"/>
    <x v="57"/>
    <x v="5"/>
    <x v="2"/>
    <n v="25"/>
    <x v="5"/>
    <d v="2026-03-31T00:00:00"/>
    <n v="55.256300000000003"/>
    <n v="97.696500000000015"/>
    <n v="1061.0050000000003"/>
    <n v="1381.4075"/>
    <x v="10"/>
    <s v="Buy"/>
    <n v="2442.4125000000004"/>
    <x v="4"/>
    <x v="3"/>
    <n v="2026"/>
    <s v="Buy"/>
    <s v="Active"/>
    <e v="#N/A"/>
    <d v="2026-03-31T00:00:00"/>
    <n v="25"/>
    <e v="#N/A"/>
    <d v="2026-03-31T00:00:00"/>
    <n v="-25"/>
  </r>
  <r>
    <x v="5"/>
    <x v="58"/>
    <x v="1"/>
    <x v="2"/>
    <n v="400"/>
    <x v="6"/>
    <d v="2026-06-30T00:00:00"/>
    <n v="-5.0199999999999996"/>
    <n v="-8.94"/>
    <n v="-1568"/>
    <n v="-2007.9999999999998"/>
    <x v="7"/>
    <s v="Buy"/>
    <n v="-3576"/>
    <x v="1"/>
    <x v="6"/>
    <n v="2026"/>
    <s v="Buy"/>
    <s v="Active"/>
    <s v="WTI"/>
    <d v="2026-06-30T00:00:00"/>
    <n v="400"/>
    <s v="Brent"/>
    <d v="2026-06-30T00:00:00"/>
    <n v="-400"/>
  </r>
  <r>
    <x v="22"/>
    <x v="58"/>
    <x v="2"/>
    <x v="0"/>
    <n v="700"/>
    <x v="3"/>
    <d v="2026-01-31T00:00:00"/>
    <n v="-0.1147146428571425"/>
    <n v="-0.02"/>
    <n v="66.30024999999975"/>
    <n v="-80.30024999999975"/>
    <x v="3"/>
    <s v="Buy"/>
    <n v="-14"/>
    <x v="2"/>
    <x v="7"/>
    <n v="2026"/>
    <s v="Buy"/>
    <s v="Active"/>
    <n v="0"/>
    <d v="2026-01-31T00:00:00"/>
    <n v="700"/>
    <n v="0"/>
    <d v="2026-01-31T00:00:00"/>
    <n v="-700"/>
  </r>
  <r>
    <x v="22"/>
    <x v="58"/>
    <x v="1"/>
    <x v="0"/>
    <n v="-700"/>
    <x v="7"/>
    <d v="2026-04-30T00:00:00"/>
    <n v="-5.4"/>
    <n v="-5.46"/>
    <n v="41.99999999999973"/>
    <n v="3780.0000000000005"/>
    <x v="8"/>
    <s v="Sell"/>
    <n v="3822"/>
    <x v="1"/>
    <x v="6"/>
    <n v="2026"/>
    <s v="Sell"/>
    <s v="Active"/>
    <s v="WTI"/>
    <d v="2026-04-30T00:00:00"/>
    <n v="-700"/>
    <s v="Brent"/>
    <d v="2026-04-30T00:00:00"/>
    <n v="700"/>
  </r>
  <r>
    <x v="22"/>
    <x v="58"/>
    <x v="5"/>
    <x v="0"/>
    <n v="-700"/>
    <x v="5"/>
    <d v="2026-04-30T00:00:00"/>
    <n v="263"/>
    <n v="471.25"/>
    <n v="-3129.7892499999998"/>
    <n v="-184100"/>
    <x v="10"/>
    <s v="Sell"/>
    <n v="-329875"/>
    <x v="4"/>
    <x v="3"/>
    <n v="2026"/>
    <s v="Sell"/>
    <s v="Active"/>
    <e v="#N/A"/>
    <d v="2026-03-31T00:00:00"/>
    <n v="-700"/>
    <e v="#N/A"/>
    <d v="2026-04-30T00:00:00"/>
    <n v="700"/>
  </r>
  <r>
    <x v="22"/>
    <x v="58"/>
    <x v="5"/>
    <x v="2"/>
    <n v="700"/>
    <x v="5"/>
    <d v="2026-04-30T00:00:00"/>
    <n v="350"/>
    <n v="471.25"/>
    <n v="1822.2662499999997"/>
    <n v="245000"/>
    <x v="10"/>
    <s v="Buy"/>
    <n v="329875"/>
    <x v="4"/>
    <x v="3"/>
    <n v="2026"/>
    <s v="Buy"/>
    <s v="Active"/>
    <e v="#N/A"/>
    <d v="2026-03-31T00:00:00"/>
    <n v="700"/>
    <e v="#N/A"/>
    <d v="2026-04-30T00:00:00"/>
    <n v="-700"/>
  </r>
  <r>
    <x v="22"/>
    <x v="58"/>
    <x v="6"/>
    <x v="0"/>
    <n v="700"/>
    <x v="7"/>
    <d v="2026-04-30T00:00:00"/>
    <n v="155"/>
    <n v="313.25"/>
    <n v="994.71993750000013"/>
    <n v="108500"/>
    <x v="8"/>
    <s v="Buy"/>
    <n v="219275"/>
    <x v="4"/>
    <x v="3"/>
    <n v="2026"/>
    <s v="Buy"/>
    <s v="Active"/>
    <e v="#N/A"/>
    <d v="2026-04-30T00:00:00"/>
    <n v="700"/>
    <e v="#N/A"/>
    <d v="2026-04-30T00:00:00"/>
    <n v="-700"/>
  </r>
  <r>
    <x v="5"/>
    <x v="59"/>
    <x v="1"/>
    <x v="2"/>
    <n v="456"/>
    <x v="7"/>
    <d v="2026-04-30T00:00:00"/>
    <n v="-5.54"/>
    <n v="-5.46"/>
    <n v="36.480000000000032"/>
    <n v="-2526.2400000000002"/>
    <x v="8"/>
    <s v="Buy"/>
    <n v="-2489.7599999999998"/>
    <x v="1"/>
    <x v="6"/>
    <n v="2026"/>
    <s v="Buy"/>
    <s v="Active"/>
    <s v="WTI"/>
    <d v="2026-04-30T00:00:00"/>
    <n v="456"/>
    <s v="Brent"/>
    <d v="2026-04-30T00:00:00"/>
    <n v="-456"/>
  </r>
  <r>
    <x v="5"/>
    <x v="59"/>
    <x v="1"/>
    <x v="2"/>
    <n v="-456"/>
    <x v="8"/>
    <d v="2026-05-31T00:00:00"/>
    <n v="-5.73"/>
    <n v="-16.97"/>
    <n v="5125.4399999999996"/>
    <n v="2612.88"/>
    <x v="9"/>
    <s v="Sell"/>
    <n v="7738.32"/>
    <x v="1"/>
    <x v="6"/>
    <n v="2026"/>
    <s v="Sell"/>
    <s v="Active"/>
    <s v="WTI"/>
    <d v="2026-05-31T00:00:00"/>
    <n v="-456"/>
    <s v="Brent"/>
    <d v="2026-05-31T00:00:00"/>
    <n v="456"/>
  </r>
  <r>
    <x v="22"/>
    <x v="59"/>
    <x v="1"/>
    <x v="2"/>
    <n v="700"/>
    <x v="7"/>
    <d v="2026-04-30T00:00:00"/>
    <n v="-5.54"/>
    <n v="-5.46"/>
    <n v="56.00000000000005"/>
    <n v="-3878"/>
    <x v="8"/>
    <s v="Buy"/>
    <n v="-3822"/>
    <x v="1"/>
    <x v="6"/>
    <n v="2026"/>
    <s v="Buy"/>
    <s v="Active"/>
    <s v="WTI"/>
    <d v="2026-04-30T00:00:00"/>
    <n v="700"/>
    <s v="Brent"/>
    <d v="2026-04-30T00:00:00"/>
    <n v="-700"/>
  </r>
  <r>
    <x v="5"/>
    <x v="59"/>
    <x v="3"/>
    <x v="2"/>
    <n v="-18"/>
    <x v="7"/>
    <d v="2026-05-31T00:00:00"/>
    <n v="-0.09"/>
    <n v="-0.39"/>
    <n v="5.4"/>
    <n v="1.6199999999999999"/>
    <x v="11"/>
    <s v="Sell"/>
    <n v="7.0200000000000005"/>
    <x v="3"/>
    <x v="1"/>
    <n v="2026"/>
    <s v="Sell"/>
    <s v="Active"/>
    <s v="Brent"/>
    <d v="2026-04-30T00:00:00"/>
    <n v="-18"/>
    <s v="Brent"/>
    <d v="2026-05-31T00:00:00"/>
    <n v="18"/>
  </r>
  <r>
    <x v="5"/>
    <x v="59"/>
    <x v="7"/>
    <x v="2"/>
    <n v="531"/>
    <x v="7"/>
    <d v="2026-05-31T00:00:00"/>
    <n v="0.1"/>
    <n v="0.59"/>
    <n v="260.19"/>
    <n v="53.1"/>
    <x v="11"/>
    <s v="Buy"/>
    <n v="313.28999999999996"/>
    <x v="3"/>
    <x v="2"/>
    <n v="2026"/>
    <s v="Buy"/>
    <s v="Active"/>
    <s v="WTI"/>
    <d v="2026-04-30T00:00:00"/>
    <n v="531"/>
    <s v="WTI"/>
    <d v="2026-05-31T00:00:00"/>
    <n v="-531"/>
  </r>
  <r>
    <x v="5"/>
    <x v="59"/>
    <x v="7"/>
    <x v="2"/>
    <n v="531"/>
    <x v="8"/>
    <d v="2026-06-30T00:00:00"/>
    <n v="0.25"/>
    <n v="2.19"/>
    <n v="1030.1399999999999"/>
    <n v="132.75"/>
    <x v="12"/>
    <s v="Buy"/>
    <n v="1162.8899999999999"/>
    <x v="3"/>
    <x v="2"/>
    <n v="2026"/>
    <s v="Buy"/>
    <s v="Active"/>
    <s v="WTI"/>
    <d v="2026-05-31T00:00:00"/>
    <n v="531"/>
    <s v="WTI"/>
    <d v="2026-06-30T00:00:00"/>
    <n v="-531"/>
  </r>
  <r>
    <x v="23"/>
    <x v="60"/>
    <x v="2"/>
    <x v="0"/>
    <n v="2079"/>
    <x v="5"/>
    <d v="2026-03-31T00:00:00"/>
    <n v="6.0920189995189986"/>
    <n v="6.09"/>
    <n v="-4.1974999999984099"/>
    <n v="12665.307499999999"/>
    <x v="10"/>
    <s v="Buy"/>
    <n v="12661.11"/>
    <x v="2"/>
    <x v="7"/>
    <n v="2026"/>
    <s v="Buy"/>
    <s v="Active"/>
    <n v="0"/>
    <d v="2026-03-31T00:00:00"/>
    <n v="2079"/>
    <n v="0"/>
    <d v="2026-03-31T00:00:00"/>
    <n v="-2079"/>
  </r>
  <r>
    <x v="23"/>
    <x v="60"/>
    <x v="7"/>
    <x v="0"/>
    <n v="-2079"/>
    <x v="7"/>
    <d v="2026-05-31T00:00:00"/>
    <n v="0.16"/>
    <n v="0.59"/>
    <n v="-893.96999999999991"/>
    <n v="-332.64"/>
    <x v="11"/>
    <s v="Sell"/>
    <n v="-1226.6099999999999"/>
    <x v="3"/>
    <x v="2"/>
    <n v="2026"/>
    <s v="Sell"/>
    <s v="Active"/>
    <s v="WTI"/>
    <d v="2026-04-30T00:00:00"/>
    <n v="-2079"/>
    <s v="WTI"/>
    <d v="2026-05-31T00:00:00"/>
    <n v="2079"/>
  </r>
  <r>
    <x v="23"/>
    <x v="60"/>
    <x v="7"/>
    <x v="0"/>
    <n v="-2079"/>
    <x v="8"/>
    <d v="2026-06-30T00:00:00"/>
    <n v="0.39"/>
    <n v="2.19"/>
    <n v="-3742.2"/>
    <n v="-810.81000000000006"/>
    <x v="12"/>
    <s v="Sell"/>
    <n v="-4553.01"/>
    <x v="3"/>
    <x v="2"/>
    <n v="2026"/>
    <s v="Sell"/>
    <s v="Active"/>
    <s v="WTI"/>
    <d v="2026-05-31T00:00:00"/>
    <n v="-2079"/>
    <s v="WTI"/>
    <d v="2026-06-30T00:00:00"/>
    <n v="2079"/>
  </r>
  <r>
    <x v="23"/>
    <x v="60"/>
    <x v="1"/>
    <x v="0"/>
    <n v="-2079"/>
    <x v="6"/>
    <d v="2026-06-30T00:00:00"/>
    <n v="-5.8"/>
    <n v="-8.94"/>
    <n v="6528.0599999999995"/>
    <n v="12058.199999999999"/>
    <x v="7"/>
    <s v="Sell"/>
    <n v="18586.259999999998"/>
    <x v="1"/>
    <x v="6"/>
    <n v="2026"/>
    <s v="Sell"/>
    <s v="Active"/>
    <s v="WTI"/>
    <d v="2026-06-30T00:00:00"/>
    <n v="-2079"/>
    <s v="Brent"/>
    <d v="2026-06-30T00:00:00"/>
    <n v="2079"/>
  </r>
  <r>
    <x v="23"/>
    <x v="60"/>
    <x v="3"/>
    <x v="0"/>
    <n v="-1970"/>
    <x v="6"/>
    <d v="2026-07-31T00:00:00"/>
    <n v="0.71"/>
    <n v="3.61"/>
    <n v="-5713"/>
    <n v="-1398.6999999999998"/>
    <x v="16"/>
    <s v="Sell"/>
    <n v="-7111.7"/>
    <x v="3"/>
    <x v="1"/>
    <n v="2026"/>
    <s v="Sell"/>
    <s v="Active"/>
    <s v="Brent"/>
    <d v="2026-06-30T00:00:00"/>
    <n v="-1970"/>
    <s v="Brent"/>
    <d v="2026-07-31T00:00:00"/>
    <n v="1970"/>
  </r>
  <r>
    <x v="23"/>
    <x v="60"/>
    <x v="3"/>
    <x v="0"/>
    <n v="-109"/>
    <x v="13"/>
    <d v="2026-08-31T00:00:00"/>
    <n v="0.76"/>
    <n v="0.93"/>
    <n v="-18.530000000000005"/>
    <n v="-82.84"/>
    <x v="17"/>
    <s v="Sell"/>
    <n v="-101.37"/>
    <x v="3"/>
    <x v="1"/>
    <n v="2026"/>
    <s v="Sell"/>
    <s v="Active"/>
    <s v="Brent"/>
    <d v="2026-07-31T00:00:00"/>
    <n v="-109"/>
    <s v="Brent"/>
    <d v="2026-08-31T00:00:00"/>
    <n v="109"/>
  </r>
  <r>
    <x v="23"/>
    <x v="60"/>
    <x v="9"/>
    <x v="0"/>
    <n v="-2000"/>
    <x v="5"/>
    <d v="2026-03-31T00:00:00"/>
    <n v="16650"/>
    <n v="16650"/>
    <n v="0"/>
    <n v="0"/>
    <x v="10"/>
    <s v="Sell"/>
    <n v="-33300000"/>
    <x v="4"/>
    <x v="3"/>
    <n v="2026"/>
    <s v="Sell"/>
    <s v="Active"/>
    <e v="#N/A"/>
    <d v="2026-03-31T00:00:00"/>
    <n v="-2000"/>
    <e v="#N/A"/>
    <d v="2026-03-31T00:00:00"/>
    <n v="2000"/>
  </r>
  <r>
    <x v="23"/>
    <x v="60"/>
    <x v="9"/>
    <x v="2"/>
    <n v="2000"/>
    <x v="5"/>
    <d v="2026-03-31T00:00:00"/>
    <n v="14150"/>
    <n v="16650"/>
    <n v="2500"/>
    <n v="2500"/>
    <x v="10"/>
    <s v="Buy"/>
    <n v="33300000"/>
    <x v="4"/>
    <x v="3"/>
    <n v="2026"/>
    <s v="Buy"/>
    <s v="Active"/>
    <e v="#N/A"/>
    <d v="2026-03-31T00:00:00"/>
    <n v="2000"/>
    <e v="#N/A"/>
    <d v="2026-03-31T00:00:00"/>
    <n v="-2000"/>
  </r>
  <r>
    <x v="24"/>
    <x v="60"/>
    <x v="2"/>
    <x v="0"/>
    <n v="1900"/>
    <x v="7"/>
    <d v="2026-04-30T00:00:00"/>
    <n v="-1.4880000000000004"/>
    <n v="-0.94874999999999987"/>
    <n v="1024.575000000001"/>
    <n v="-2827.2000000000007"/>
    <x v="8"/>
    <s v="Buy"/>
    <n v="-1802.6249999999998"/>
    <x v="2"/>
    <x v="7"/>
    <n v="2026"/>
    <s v="Buy"/>
    <s v="Active"/>
    <n v="0"/>
    <d v="2026-04-30T00:00:00"/>
    <n v="1900"/>
    <n v="0"/>
    <d v="2026-04-30T00:00:00"/>
    <n v="-1900"/>
  </r>
  <r>
    <x v="24"/>
    <x v="60"/>
    <x v="7"/>
    <x v="0"/>
    <n v="-1900"/>
    <x v="7"/>
    <d v="2026-05-31T00:00:00"/>
    <n v="0.16"/>
    <n v="0.59"/>
    <n v="-816.99999999999989"/>
    <n v="-304"/>
    <x v="11"/>
    <s v="Sell"/>
    <n v="-1121"/>
    <x v="3"/>
    <x v="2"/>
    <n v="2026"/>
    <s v="Sell"/>
    <s v="Active"/>
    <s v="WTI"/>
    <d v="2026-04-30T00:00:00"/>
    <n v="-1900"/>
    <s v="WTI"/>
    <d v="2026-05-31T00:00:00"/>
    <n v="1900"/>
  </r>
  <r>
    <x v="24"/>
    <x v="60"/>
    <x v="7"/>
    <x v="0"/>
    <n v="-1900"/>
    <x v="8"/>
    <d v="2026-06-30T00:00:00"/>
    <n v="0.39"/>
    <n v="2.19"/>
    <n v="-3419.9999999999995"/>
    <n v="-741"/>
    <x v="12"/>
    <s v="Sell"/>
    <n v="-4161"/>
    <x v="3"/>
    <x v="2"/>
    <n v="2026"/>
    <s v="Sell"/>
    <s v="Active"/>
    <s v="WTI"/>
    <d v="2026-05-31T00:00:00"/>
    <n v="-1900"/>
    <s v="WTI"/>
    <d v="2026-06-30T00:00:00"/>
    <n v="1900"/>
  </r>
  <r>
    <x v="24"/>
    <x v="60"/>
    <x v="1"/>
    <x v="0"/>
    <n v="-1900"/>
    <x v="6"/>
    <d v="2026-06-30T00:00:00"/>
    <n v="-5.8"/>
    <n v="-8.94"/>
    <n v="5965.9999999999991"/>
    <n v="11020"/>
    <x v="7"/>
    <s v="Sell"/>
    <n v="16986"/>
    <x v="1"/>
    <x v="6"/>
    <n v="2026"/>
    <s v="Sell"/>
    <s v="Active"/>
    <s v="WTI"/>
    <d v="2026-06-30T00:00:00"/>
    <n v="-1900"/>
    <s v="Brent"/>
    <d v="2026-06-30T00:00:00"/>
    <n v="1900"/>
  </r>
  <r>
    <x v="24"/>
    <x v="60"/>
    <x v="3"/>
    <x v="0"/>
    <n v="-1800"/>
    <x v="6"/>
    <d v="2026-07-31T00:00:00"/>
    <n v="0.7"/>
    <n v="3.61"/>
    <n v="-5238"/>
    <n v="-1260"/>
    <x v="16"/>
    <s v="Sell"/>
    <n v="-6498"/>
    <x v="3"/>
    <x v="1"/>
    <n v="2026"/>
    <s v="Sell"/>
    <s v="Active"/>
    <s v="Brent"/>
    <d v="2026-06-30T00:00:00"/>
    <n v="-1800"/>
    <s v="Brent"/>
    <d v="2026-07-31T00:00:00"/>
    <n v="1800"/>
  </r>
  <r>
    <x v="24"/>
    <x v="60"/>
    <x v="3"/>
    <x v="0"/>
    <n v="-100.22499999999999"/>
    <x v="13"/>
    <d v="2026-08-31T00:00:00"/>
    <n v="0.75"/>
    <n v="0.93"/>
    <n v="-18.040500000000005"/>
    <n v="-75.168749999999989"/>
    <x v="17"/>
    <s v="Sell"/>
    <n v="-93.209249999999997"/>
    <x v="3"/>
    <x v="1"/>
    <n v="2026"/>
    <s v="Sell"/>
    <s v="Active"/>
    <s v="Brent"/>
    <d v="2026-07-31T00:00:00"/>
    <n v="-100.22499999999999"/>
    <s v="Brent"/>
    <d v="2026-08-31T00:00:00"/>
    <n v="100.22499999999999"/>
  </r>
  <r>
    <x v="24"/>
    <x v="60"/>
    <x v="7"/>
    <x v="2"/>
    <n v="2000"/>
    <x v="7"/>
    <d v="2026-05-31T00:00:00"/>
    <n v="0.16"/>
    <n v="0.59"/>
    <n v="859.99999999999989"/>
    <n v="320"/>
    <x v="11"/>
    <s v="Buy"/>
    <n v="1180"/>
    <x v="3"/>
    <x v="2"/>
    <n v="2026"/>
    <s v="Buy"/>
    <s v="Active"/>
    <s v="WTI"/>
    <d v="2026-04-30T00:00:00"/>
    <n v="2000"/>
    <s v="WTI"/>
    <d v="2026-05-31T00:00:00"/>
    <n v="-2000"/>
  </r>
  <r>
    <x v="24"/>
    <x v="60"/>
    <x v="7"/>
    <x v="2"/>
    <n v="2000"/>
    <x v="8"/>
    <d v="2026-06-30T00:00:00"/>
    <n v="0.39"/>
    <n v="2.19"/>
    <n v="3599.9999999999995"/>
    <n v="780"/>
    <x v="12"/>
    <s v="Buy"/>
    <n v="4380"/>
    <x v="3"/>
    <x v="2"/>
    <n v="2026"/>
    <s v="Buy"/>
    <s v="Active"/>
    <s v="WTI"/>
    <d v="2026-05-31T00:00:00"/>
    <n v="2000"/>
    <s v="WTI"/>
    <d v="2026-06-30T00:00:00"/>
    <n v="-2000"/>
  </r>
  <r>
    <x v="24"/>
    <x v="60"/>
    <x v="1"/>
    <x v="2"/>
    <n v="2000"/>
    <x v="6"/>
    <d v="2026-06-30T00:00:00"/>
    <n v="-5.8"/>
    <n v="-8.94"/>
    <n v="-6279.9999999999991"/>
    <n v="-11600"/>
    <x v="7"/>
    <s v="Buy"/>
    <n v="-17880"/>
    <x v="1"/>
    <x v="6"/>
    <n v="2026"/>
    <s v="Buy"/>
    <s v="Active"/>
    <s v="WTI"/>
    <d v="2026-06-30T00:00:00"/>
    <n v="2000"/>
    <s v="Brent"/>
    <d v="2026-06-30T00:00:00"/>
    <n v="-2000"/>
  </r>
  <r>
    <x v="24"/>
    <x v="60"/>
    <x v="3"/>
    <x v="2"/>
    <n v="2000"/>
    <x v="6"/>
    <d v="2026-07-31T00:00:00"/>
    <n v="0.7"/>
    <n v="3.61"/>
    <n v="5820"/>
    <n v="1400"/>
    <x v="16"/>
    <s v="Buy"/>
    <n v="7220"/>
    <x v="3"/>
    <x v="1"/>
    <n v="2026"/>
    <s v="Buy"/>
    <s v="Active"/>
    <s v="Brent"/>
    <d v="2026-06-30T00:00:00"/>
    <n v="2000"/>
    <s v="Brent"/>
    <d v="2026-07-31T00:00:00"/>
    <n v="-2000"/>
  </r>
  <r>
    <x v="23"/>
    <x v="60"/>
    <x v="7"/>
    <x v="2"/>
    <n v="500"/>
    <x v="8"/>
    <d v="2026-06-30T00:00:00"/>
    <n v="0.35"/>
    <n v="2.19"/>
    <n v="919.99999999999989"/>
    <n v="175"/>
    <x v="12"/>
    <s v="Buy"/>
    <n v="1095"/>
    <x v="3"/>
    <x v="2"/>
    <n v="2026"/>
    <s v="Buy"/>
    <s v="Active"/>
    <s v="WTI"/>
    <d v="2026-05-31T00:00:00"/>
    <n v="500"/>
    <s v="WTI"/>
    <d v="2026-06-30T00:00:00"/>
    <n v="-500"/>
  </r>
  <r>
    <x v="23"/>
    <x v="60"/>
    <x v="1"/>
    <x v="2"/>
    <n v="500"/>
    <x v="6"/>
    <d v="2026-06-30T00:00:00"/>
    <n v="-5.7"/>
    <n v="-8.94"/>
    <n v="-1619.9999999999998"/>
    <n v="-2850"/>
    <x v="7"/>
    <s v="Buy"/>
    <n v="-4470"/>
    <x v="1"/>
    <x v="6"/>
    <n v="2026"/>
    <s v="Buy"/>
    <s v="Active"/>
    <s v="WTI"/>
    <d v="2026-06-30T00:00:00"/>
    <n v="500"/>
    <s v="Brent"/>
    <d v="2026-06-30T00:00:00"/>
    <n v="-500"/>
  </r>
  <r>
    <x v="23"/>
    <x v="60"/>
    <x v="7"/>
    <x v="2"/>
    <n v="500"/>
    <x v="8"/>
    <d v="2026-06-30T00:00:00"/>
    <n v="0.34"/>
    <n v="2.19"/>
    <n v="924.99999999999989"/>
    <n v="170"/>
    <x v="12"/>
    <s v="Buy"/>
    <n v="1095"/>
    <x v="3"/>
    <x v="2"/>
    <n v="2026"/>
    <s v="Buy"/>
    <s v="Active"/>
    <s v="WTI"/>
    <d v="2026-05-31T00:00:00"/>
    <n v="500"/>
    <s v="WTI"/>
    <d v="2026-06-30T00:00:00"/>
    <n v="-500"/>
  </r>
  <r>
    <x v="23"/>
    <x v="60"/>
    <x v="1"/>
    <x v="2"/>
    <n v="500"/>
    <x v="6"/>
    <d v="2026-06-30T00:00:00"/>
    <n v="-5.7"/>
    <n v="-8.94"/>
    <n v="-1619.9999999999998"/>
    <n v="-2850"/>
    <x v="7"/>
    <s v="Buy"/>
    <n v="-4470"/>
    <x v="1"/>
    <x v="6"/>
    <n v="2026"/>
    <s v="Buy"/>
    <s v="Active"/>
    <s v="WTI"/>
    <d v="2026-06-30T00:00:00"/>
    <n v="500"/>
    <s v="Brent"/>
    <d v="2026-06-30T00:00:00"/>
    <n v="-500"/>
  </r>
  <r>
    <x v="23"/>
    <x v="60"/>
    <x v="7"/>
    <x v="2"/>
    <n v="500"/>
    <x v="8"/>
    <d v="2026-06-30T00:00:00"/>
    <n v="0.31"/>
    <n v="2.19"/>
    <n v="940"/>
    <n v="155"/>
    <x v="12"/>
    <s v="Buy"/>
    <n v="1095"/>
    <x v="3"/>
    <x v="2"/>
    <n v="2026"/>
    <s v="Buy"/>
    <s v="Active"/>
    <s v="WTI"/>
    <d v="2026-05-31T00:00:00"/>
    <n v="500"/>
    <s v="WTI"/>
    <d v="2026-06-30T00:00:00"/>
    <n v="-500"/>
  </r>
  <r>
    <x v="23"/>
    <x v="60"/>
    <x v="1"/>
    <x v="2"/>
    <n v="500"/>
    <x v="6"/>
    <d v="2026-06-30T00:00:00"/>
    <n v="-5.7"/>
    <n v="-8.94"/>
    <n v="-1619.9999999999998"/>
    <n v="-2850"/>
    <x v="7"/>
    <s v="Buy"/>
    <n v="-4470"/>
    <x v="1"/>
    <x v="6"/>
    <n v="2026"/>
    <s v="Buy"/>
    <s v="Active"/>
    <s v="WTI"/>
    <d v="2026-06-30T00:00:00"/>
    <n v="500"/>
    <s v="Brent"/>
    <d v="2026-06-30T00:00:00"/>
    <n v="-500"/>
  </r>
  <r>
    <x v="24"/>
    <x v="60"/>
    <x v="3"/>
    <x v="2"/>
    <n v="1000"/>
    <x v="6"/>
    <d v="2026-07-31T00:00:00"/>
    <n v="0.66"/>
    <n v="3.61"/>
    <n v="2949.9999999999995"/>
    <n v="660"/>
    <x v="16"/>
    <s v="Buy"/>
    <n v="3610"/>
    <x v="3"/>
    <x v="1"/>
    <n v="2026"/>
    <s v="Buy"/>
    <s v="Active"/>
    <s v="Brent"/>
    <d v="2026-06-30T00:00:00"/>
    <n v="1000"/>
    <s v="Brent"/>
    <d v="2026-07-31T00:00:00"/>
    <n v="-1000"/>
  </r>
  <r>
    <x v="24"/>
    <x v="60"/>
    <x v="3"/>
    <x v="2"/>
    <n v="1000"/>
    <x v="6"/>
    <d v="2026-07-31T00:00:00"/>
    <n v="0.68"/>
    <n v="3.61"/>
    <n v="2929.9999999999995"/>
    <n v="680"/>
    <x v="16"/>
    <s v="Buy"/>
    <n v="3610"/>
    <x v="3"/>
    <x v="1"/>
    <n v="2026"/>
    <s v="Buy"/>
    <s v="Active"/>
    <s v="Brent"/>
    <d v="2026-06-30T00:00:00"/>
    <n v="1000"/>
    <s v="Brent"/>
    <d v="2026-07-31T00:00:00"/>
    <n v="-1000"/>
  </r>
  <r>
    <x v="5"/>
    <x v="60"/>
    <x v="7"/>
    <x v="2"/>
    <n v="186"/>
    <x v="7"/>
    <d v="2026-05-31T00:00:00"/>
    <n v="0.13300000000000001"/>
    <n v="0.59"/>
    <n v="85.001999999999995"/>
    <n v="24.738"/>
    <x v="11"/>
    <s v="Buy"/>
    <n v="109.74"/>
    <x v="3"/>
    <x v="2"/>
    <n v="2026"/>
    <s v="Buy"/>
    <s v="Active"/>
    <s v="WTI"/>
    <d v="2026-04-30T00:00:00"/>
    <n v="186"/>
    <s v="WTI"/>
    <d v="2026-05-31T00:00:00"/>
    <n v="-186"/>
  </r>
  <r>
    <x v="5"/>
    <x v="60"/>
    <x v="7"/>
    <x v="2"/>
    <n v="62"/>
    <x v="8"/>
    <d v="2026-06-30T00:00:00"/>
    <n v="0.33"/>
    <n v="2.19"/>
    <n v="115.32"/>
    <n v="20.46"/>
    <x v="12"/>
    <s v="Buy"/>
    <n v="135.78"/>
    <x v="3"/>
    <x v="2"/>
    <n v="2026"/>
    <s v="Buy"/>
    <s v="Active"/>
    <s v="WTI"/>
    <d v="2026-05-31T00:00:00"/>
    <n v="62"/>
    <s v="WTI"/>
    <d v="2026-06-30T00:00:00"/>
    <n v="-62"/>
  </r>
  <r>
    <x v="5"/>
    <x v="60"/>
    <x v="4"/>
    <x v="2"/>
    <n v="-5"/>
    <x v="4"/>
    <d v="2026-02-28T00:00:00"/>
    <n v="1.76"/>
    <n v="1.76"/>
    <n v="0"/>
    <n v="-8.8000000000000007"/>
    <x v="4"/>
    <s v="Sell"/>
    <n v="-8.8000000000000007"/>
    <x v="1"/>
    <x v="4"/>
    <n v="2026"/>
    <s v="Sell"/>
    <s v="Active"/>
    <e v="#N/A"/>
    <d v="2026-02-28T00:00:00"/>
    <n v="-5"/>
    <e v="#N/A"/>
    <d v="2026-02-28T00:00:00"/>
    <n v="5"/>
  </r>
  <r>
    <x v="5"/>
    <x v="61"/>
    <x v="7"/>
    <x v="2"/>
    <n v="100"/>
    <x v="7"/>
    <d v="2026-05-31T00:00:00"/>
    <n v="0.3"/>
    <n v="0.59"/>
    <n v="28.999999999999996"/>
    <n v="30"/>
    <x v="11"/>
    <s v="Buy"/>
    <n v="59"/>
    <x v="3"/>
    <x v="2"/>
    <n v="2026"/>
    <s v="Buy"/>
    <s v="Active"/>
    <s v="WTI"/>
    <d v="2026-04-30T00:00:00"/>
    <n v="100"/>
    <s v="WTI"/>
    <d v="2026-05-31T00:00:00"/>
    <n v="-100"/>
  </r>
  <r>
    <x v="5"/>
    <x v="61"/>
    <x v="4"/>
    <x v="2"/>
    <n v="-100"/>
    <x v="13"/>
    <d v="2026-07-31T00:00:00"/>
    <n v="1.17"/>
    <n v="2.62"/>
    <n v="-145.00000000000003"/>
    <n v="-117"/>
    <x v="13"/>
    <s v="Sell"/>
    <n v="-262"/>
    <x v="1"/>
    <x v="4"/>
    <n v="2026"/>
    <s v="Sell"/>
    <s v="Active"/>
    <e v="#N/A"/>
    <d v="2026-07-31T00:00:00"/>
    <n v="-100"/>
    <e v="#N/A"/>
    <d v="2026-07-31T00:00:00"/>
    <n v="100"/>
  </r>
  <r>
    <x v="5"/>
    <x v="61"/>
    <x v="4"/>
    <x v="2"/>
    <n v="-100"/>
    <x v="14"/>
    <d v="2026-08-31T00:00:00"/>
    <n v="1.17"/>
    <n v="2.62"/>
    <n v="-145.00000000000003"/>
    <n v="-117"/>
    <x v="14"/>
    <s v="Sell"/>
    <n v="-262"/>
    <x v="1"/>
    <x v="4"/>
    <n v="2026"/>
    <s v="Sell"/>
    <s v="Active"/>
    <e v="#N/A"/>
    <d v="2026-08-31T00:00:00"/>
    <n v="-100"/>
    <e v="#N/A"/>
    <d v="2026-08-31T00:00:00"/>
    <n v="100"/>
  </r>
  <r>
    <x v="5"/>
    <x v="61"/>
    <x v="4"/>
    <x v="2"/>
    <n v="-100"/>
    <x v="15"/>
    <d v="2026-09-30T00:00:00"/>
    <n v="1.17"/>
    <n v="2.62"/>
    <n v="-145.00000000000003"/>
    <n v="-117"/>
    <x v="15"/>
    <s v="Sell"/>
    <n v="-262"/>
    <x v="1"/>
    <x v="4"/>
    <n v="2026"/>
    <s v="Sell"/>
    <s v="Active"/>
    <e v="#N/A"/>
    <d v="2026-09-30T00:00:00"/>
    <n v="-100"/>
    <e v="#N/A"/>
    <d v="2026-09-30T00:00:00"/>
    <n v="100"/>
  </r>
  <r>
    <x v="5"/>
    <x v="61"/>
    <x v="7"/>
    <x v="2"/>
    <n v="186"/>
    <x v="7"/>
    <d v="2026-05-31T00:00:00"/>
    <n v="0.51"/>
    <n v="0.59"/>
    <n v="14.879999999999992"/>
    <n v="94.86"/>
    <x v="11"/>
    <s v="Buy"/>
    <n v="109.74"/>
    <x v="3"/>
    <x v="2"/>
    <n v="2026"/>
    <s v="Buy"/>
    <s v="Active"/>
    <s v="WTI"/>
    <d v="2026-04-30T00:00:00"/>
    <n v="186"/>
    <s v="WTI"/>
    <d v="2026-05-31T00:00:00"/>
    <n v="-186"/>
  </r>
  <r>
    <x v="5"/>
    <x v="61"/>
    <x v="7"/>
    <x v="2"/>
    <n v="62"/>
    <x v="8"/>
    <d v="2026-06-30T00:00:00"/>
    <n v="0.95"/>
    <n v="2.19"/>
    <n v="76.88"/>
    <n v="58.9"/>
    <x v="12"/>
    <s v="Buy"/>
    <n v="135.78"/>
    <x v="3"/>
    <x v="2"/>
    <n v="2026"/>
    <s v="Buy"/>
    <s v="Active"/>
    <s v="WTI"/>
    <d v="2026-05-31T00:00:00"/>
    <n v="62"/>
    <s v="WTI"/>
    <d v="2026-06-30T00:00:00"/>
    <n v="-62"/>
  </r>
  <r>
    <x v="5"/>
    <x v="62"/>
    <x v="3"/>
    <x v="2"/>
    <n v="122"/>
    <x v="8"/>
    <d v="2026-06-30T00:00:00"/>
    <n v="3.22"/>
    <n v="14.38"/>
    <n v="1361.52"/>
    <n v="392.84000000000003"/>
    <x v="12"/>
    <s v="Buy"/>
    <n v="1754.3600000000001"/>
    <x v="3"/>
    <x v="1"/>
    <n v="2026"/>
    <s v="Buy"/>
    <s v="Active"/>
    <s v="Brent"/>
    <d v="2026-05-31T00:00:00"/>
    <n v="122"/>
    <s v="Brent"/>
    <d v="2026-06-30T00:00:00"/>
    <n v="-122"/>
  </r>
  <r>
    <x v="5"/>
    <x v="62"/>
    <x v="4"/>
    <x v="2"/>
    <n v="-388"/>
    <x v="7"/>
    <d v="2026-04-30T00:00:00"/>
    <n v="2.83"/>
    <n v="17.678750000000008"/>
    <n v="-5761.3150000000032"/>
    <n v="-1098.04"/>
    <x v="8"/>
    <s v="Sell"/>
    <n v="-6859.3550000000032"/>
    <x v="1"/>
    <x v="4"/>
    <n v="2026"/>
    <s v="Sell"/>
    <s v="Active"/>
    <e v="#N/A"/>
    <d v="2026-04-30T00:00:00"/>
    <n v="-388"/>
    <e v="#N/A"/>
    <d v="2026-04-30T00:00:00"/>
    <n v="388"/>
  </r>
  <r>
    <x v="5"/>
    <x v="62"/>
    <x v="4"/>
    <x v="2"/>
    <n v="-388"/>
    <x v="8"/>
    <d v="2026-05-31T00:00:00"/>
    <n v="2.83"/>
    <n v="3.68"/>
    <n v="-329.8"/>
    <n v="-1098.04"/>
    <x v="9"/>
    <s v="Sell"/>
    <n v="-1427.8400000000001"/>
    <x v="1"/>
    <x v="4"/>
    <n v="2026"/>
    <s v="Sell"/>
    <s v="Active"/>
    <e v="#N/A"/>
    <d v="2026-05-31T00:00:00"/>
    <n v="-388"/>
    <e v="#N/A"/>
    <d v="2026-05-31T00:00:00"/>
    <n v="388"/>
  </r>
  <r>
    <x v="5"/>
    <x v="62"/>
    <x v="4"/>
    <x v="2"/>
    <n v="-388"/>
    <x v="6"/>
    <d v="2026-06-30T00:00:00"/>
    <n v="2.83"/>
    <n v="2.23"/>
    <n v="232.80000000000004"/>
    <n v="-1098.04"/>
    <x v="7"/>
    <s v="Sell"/>
    <n v="-865.24"/>
    <x v="1"/>
    <x v="4"/>
    <n v="2026"/>
    <s v="Sell"/>
    <s v="Active"/>
    <e v="#N/A"/>
    <d v="2026-06-30T00:00:00"/>
    <n v="-388"/>
    <e v="#N/A"/>
    <d v="2026-06-30T00:00:00"/>
    <n v="388"/>
  </r>
  <r>
    <x v="5"/>
    <x v="63"/>
    <x v="1"/>
    <x v="2"/>
    <n v="200"/>
    <x v="13"/>
    <d v="2026-07-31T00:00:00"/>
    <n v="-5.38"/>
    <n v="-4.6900000000000004"/>
    <n v="137.99999999999989"/>
    <n v="-1076"/>
    <x v="13"/>
    <s v="Buy"/>
    <n v="-938.00000000000011"/>
    <x v="1"/>
    <x v="6"/>
    <n v="2026"/>
    <s v="Buy"/>
    <s v="Active"/>
    <s v="WTI"/>
    <d v="2026-07-31T00:00:00"/>
    <n v="200"/>
    <s v="Brent"/>
    <d v="2026-07-31T00:00:00"/>
    <n v="-200"/>
  </r>
  <r>
    <x v="25"/>
    <x v="63"/>
    <x v="5"/>
    <x v="2"/>
    <n v="20"/>
    <x v="8"/>
    <d v="2026-05-31T00:00:00"/>
    <n v="59.878500000000003"/>
    <n v="55.781550000000003"/>
    <n v="-81.938999999999993"/>
    <n v="1197.5700000000002"/>
    <x v="9"/>
    <s v="Buy"/>
    <n v="1115.6310000000001"/>
    <x v="4"/>
    <x v="3"/>
    <n v="2026"/>
    <s v="Buy"/>
    <s v="Active"/>
    <e v="#N/A"/>
    <d v="2026-05-31T00:00:00"/>
    <n v="20"/>
    <e v="#N/A"/>
    <d v="2026-05-31T00:00:00"/>
    <n v="-20"/>
  </r>
  <r>
    <x v="5"/>
    <x v="64"/>
    <x v="7"/>
    <x v="2"/>
    <n v="186"/>
    <x v="7"/>
    <d v="2026-05-31T00:00:00"/>
    <n v="2.37"/>
    <n v="0.59"/>
    <n v="-331.08000000000004"/>
    <n v="440.82"/>
    <x v="11"/>
    <s v="Buy"/>
    <n v="109.74"/>
    <x v="3"/>
    <x v="2"/>
    <n v="2026"/>
    <s v="Buy"/>
    <s v="Active"/>
    <s v="WTI"/>
    <d v="2026-04-30T00:00:00"/>
    <n v="186"/>
    <s v="WTI"/>
    <d v="2026-05-31T00:00:00"/>
    <n v="-186"/>
  </r>
  <r>
    <x v="5"/>
    <x v="64"/>
    <x v="7"/>
    <x v="2"/>
    <n v="62"/>
    <x v="8"/>
    <d v="2026-06-30T00:00:00"/>
    <n v="3.12"/>
    <n v="2.19"/>
    <n v="-57.660000000000011"/>
    <n v="193.44"/>
    <x v="12"/>
    <s v="Buy"/>
    <n v="135.78"/>
    <x v="3"/>
    <x v="2"/>
    <n v="2026"/>
    <s v="Buy"/>
    <s v="Active"/>
    <s v="WTI"/>
    <d v="2026-05-31T00:00:00"/>
    <n v="62"/>
    <s v="WTI"/>
    <d v="2026-06-30T00:00:00"/>
    <n v="-62"/>
  </r>
  <r>
    <x v="23"/>
    <x v="60"/>
    <x v="9"/>
    <x v="0"/>
    <n v="-2000"/>
    <x v="7"/>
    <d v="2026-04-30T00:00:00"/>
    <n v="17500"/>
    <n v="17500"/>
    <n v="0"/>
    <n v="0"/>
    <x v="8"/>
    <s v="Sell"/>
    <n v="-35000000"/>
    <x v="4"/>
    <x v="3"/>
    <n v="2026"/>
    <s v="Sell"/>
    <s v="Active"/>
    <e v="#N/A"/>
    <d v="2026-04-30T00:00:00"/>
    <n v="-2000"/>
    <e v="#N/A"/>
    <d v="2026-04-30T00:00:00"/>
    <n v="2000"/>
  </r>
  <r>
    <x v="23"/>
    <x v="60"/>
    <x v="9"/>
    <x v="2"/>
    <n v="2000"/>
    <x v="7"/>
    <d v="2026-04-30T00:00:00"/>
    <n v="8825"/>
    <n v="17500"/>
    <n v="8675"/>
    <n v="8675"/>
    <x v="8"/>
    <s v="Buy"/>
    <n v="35000000"/>
    <x v="4"/>
    <x v="3"/>
    <n v="2026"/>
    <s v="Buy"/>
    <s v="Active"/>
    <e v="#N/A"/>
    <d v="2026-04-30T00:00:00"/>
    <n v="2000"/>
    <e v="#N/A"/>
    <d v="2026-04-30T00:00:00"/>
    <n v="-2000"/>
  </r>
  <r>
    <x v="5"/>
    <x v="65"/>
    <x v="7"/>
    <x v="2"/>
    <n v="-181"/>
    <x v="7"/>
    <d v="2026-05-31T00:00:00"/>
    <n v="3.38"/>
    <n v="0.59"/>
    <n v="504.99"/>
    <n v="-611.78"/>
    <x v="11"/>
    <s v="Sell"/>
    <n v="-106.78999999999999"/>
    <x v="3"/>
    <x v="2"/>
    <n v="2026"/>
    <s v="Sell"/>
    <s v="Active"/>
    <s v="WTI"/>
    <d v="2026-04-30T00:00:00"/>
    <n v="-181"/>
    <s v="WTI"/>
    <d v="2026-05-31T00:00:00"/>
    <n v="181"/>
  </r>
  <r>
    <x v="5"/>
    <x v="65"/>
    <x v="7"/>
    <x v="2"/>
    <n v="-62"/>
    <x v="8"/>
    <d v="2026-06-30T00:00:00"/>
    <n v="5.33"/>
    <n v="2.19"/>
    <n v="194.68"/>
    <n v="-330.46"/>
    <x v="12"/>
    <s v="Sell"/>
    <n v="-135.78"/>
    <x v="3"/>
    <x v="2"/>
    <n v="2026"/>
    <s v="Sell"/>
    <s v="Active"/>
    <s v="WTI"/>
    <d v="2026-05-31T00:00:00"/>
    <n v="-62"/>
    <s v="WTI"/>
    <d v="2026-06-30T00:00:00"/>
    <n v="62"/>
  </r>
  <r>
    <x v="5"/>
    <x v="65"/>
    <x v="4"/>
    <x v="2"/>
    <n v="450"/>
    <x v="5"/>
    <d v="2026-03-31T00:00:00"/>
    <n v="3.33"/>
    <n v="4.659722222222225"/>
    <n v="598.37500000000125"/>
    <n v="1498.5"/>
    <x v="10"/>
    <s v="Buy"/>
    <n v="2096.8750000000014"/>
    <x v="1"/>
    <x v="4"/>
    <n v="2026"/>
    <s v="Buy"/>
    <s v="Active"/>
    <e v="#N/A"/>
    <d v="2026-03-31T00:00:00"/>
    <n v="450"/>
    <e v="#N/A"/>
    <d v="2026-03-31T00:00:00"/>
    <n v="-450"/>
  </r>
  <r>
    <x v="24"/>
    <x v="66"/>
    <x v="7"/>
    <x v="2"/>
    <n v="-100"/>
    <x v="7"/>
    <d v="2026-05-31T00:00:00"/>
    <n v="4.2850000000000001"/>
    <n v="0.59"/>
    <n v="369.5"/>
    <n v="-428.5"/>
    <x v="11"/>
    <s v="Sell"/>
    <n v="-59"/>
    <x v="3"/>
    <x v="2"/>
    <n v="2026"/>
    <s v="Sell"/>
    <s v="Active"/>
    <s v="WTI"/>
    <d v="2026-04-30T00:00:00"/>
    <n v="-100"/>
    <s v="WTI"/>
    <d v="2026-05-31T00:00:00"/>
    <n v="100"/>
  </r>
  <r>
    <x v="24"/>
    <x v="66"/>
    <x v="7"/>
    <x v="2"/>
    <n v="-100"/>
    <x v="8"/>
    <d v="2026-06-30T00:00:00"/>
    <n v="6.4350000000000005"/>
    <n v="2.19"/>
    <n v="424.50000000000011"/>
    <n v="-643.5"/>
    <x v="12"/>
    <s v="Sell"/>
    <n v="-219"/>
    <x v="3"/>
    <x v="2"/>
    <n v="2026"/>
    <s v="Sell"/>
    <s v="Active"/>
    <s v="WTI"/>
    <d v="2026-05-31T00:00:00"/>
    <n v="-100"/>
    <s v="WTI"/>
    <d v="2026-06-30T00:00:00"/>
    <n v="100"/>
  </r>
  <r>
    <x v="24"/>
    <x v="66"/>
    <x v="1"/>
    <x v="2"/>
    <n v="-100"/>
    <x v="6"/>
    <d v="2026-06-30T00:00:00"/>
    <n v="-6.2049999999999992"/>
    <n v="-8.94"/>
    <n v="273.50000000000006"/>
    <n v="620.49999999999989"/>
    <x v="7"/>
    <s v="Sell"/>
    <n v="894"/>
    <x v="1"/>
    <x v="6"/>
    <n v="2026"/>
    <s v="Sell"/>
    <s v="Active"/>
    <s v="WTI"/>
    <d v="2026-06-30T00:00:00"/>
    <n v="-100"/>
    <s v="Brent"/>
    <d v="2026-06-30T00:00:00"/>
    <n v="100"/>
  </r>
  <r>
    <x v="24"/>
    <x v="66"/>
    <x v="3"/>
    <x v="2"/>
    <n v="-100"/>
    <x v="6"/>
    <d v="2026-07-31T00:00:00"/>
    <n v="5.6450000000000005"/>
    <n v="3.61"/>
    <n v="203.50000000000006"/>
    <n v="-564.5"/>
    <x v="16"/>
    <s v="Sell"/>
    <n v="-361"/>
    <x v="3"/>
    <x v="1"/>
    <n v="2026"/>
    <s v="Sell"/>
    <s v="Active"/>
    <s v="Brent"/>
    <d v="2026-06-30T00:00:00"/>
    <n v="-100"/>
    <s v="Brent"/>
    <d v="2026-07-31T00:00:00"/>
    <n v="100"/>
  </r>
  <r>
    <x v="24"/>
    <x v="66"/>
    <x v="3"/>
    <x v="2"/>
    <n v="100"/>
    <x v="13"/>
    <d v="2026-08-31T00:00:00"/>
    <n v="4.3825000000000003"/>
    <n v="0.93"/>
    <n v="-345.25"/>
    <n v="438.25"/>
    <x v="17"/>
    <s v="Buy"/>
    <n v="93"/>
    <x v="3"/>
    <x v="1"/>
    <n v="2026"/>
    <s v="Buy"/>
    <s v="Active"/>
    <s v="Brent"/>
    <d v="2026-07-31T00:00:00"/>
    <n v="100"/>
    <s v="Brent"/>
    <d v="2026-08-31T00:00:00"/>
    <n v="-100"/>
  </r>
  <r>
    <x v="5"/>
    <x v="65"/>
    <x v="4"/>
    <x v="2"/>
    <n v="-100"/>
    <x v="13"/>
    <d v="2026-07-31T00:00:00"/>
    <n v="3.25"/>
    <n v="2.62"/>
    <n v="62.999999999999986"/>
    <n v="-325"/>
    <x v="13"/>
    <s v="Sell"/>
    <n v="-262"/>
    <x v="1"/>
    <x v="4"/>
    <n v="2026"/>
    <s v="Sell"/>
    <s v="Active"/>
    <e v="#N/A"/>
    <d v="2026-07-31T00:00:00"/>
    <n v="-100"/>
    <e v="#N/A"/>
    <d v="2026-07-31T00:00:00"/>
    <n v="100"/>
  </r>
  <r>
    <x v="5"/>
    <x v="65"/>
    <x v="4"/>
    <x v="2"/>
    <n v="-100"/>
    <x v="14"/>
    <d v="2026-08-31T00:00:00"/>
    <n v="3.25"/>
    <n v="2.62"/>
    <n v="62.999999999999986"/>
    <n v="-325"/>
    <x v="14"/>
    <s v="Sell"/>
    <n v="-262"/>
    <x v="1"/>
    <x v="4"/>
    <n v="2026"/>
    <s v="Sell"/>
    <s v="Active"/>
    <e v="#N/A"/>
    <d v="2026-08-31T00:00:00"/>
    <n v="-100"/>
    <e v="#N/A"/>
    <d v="2026-08-31T00:00:00"/>
    <n v="100"/>
  </r>
  <r>
    <x v="5"/>
    <x v="65"/>
    <x v="4"/>
    <x v="2"/>
    <n v="-100"/>
    <x v="15"/>
    <d v="2026-09-30T00:00:00"/>
    <n v="3.25"/>
    <n v="2.62"/>
    <n v="62.999999999999986"/>
    <n v="-325"/>
    <x v="15"/>
    <s v="Sell"/>
    <n v="-262"/>
    <x v="1"/>
    <x v="4"/>
    <n v="2026"/>
    <s v="Sell"/>
    <s v="Active"/>
    <e v="#N/A"/>
    <d v="2026-09-30T00:00:00"/>
    <n v="-100"/>
    <e v="#N/A"/>
    <d v="2026-09-30T00:00:00"/>
    <n v="100"/>
  </r>
  <r>
    <x v="24"/>
    <x v="67"/>
    <x v="7"/>
    <x v="2"/>
    <n v="186"/>
    <x v="7"/>
    <d v="2026-05-31T00:00:00"/>
    <n v="1.35"/>
    <n v="0.59"/>
    <n v="-141.36000000000001"/>
    <n v="251.10000000000002"/>
    <x v="11"/>
    <s v="Buy"/>
    <n v="109.74"/>
    <x v="3"/>
    <x v="2"/>
    <n v="2026"/>
    <s v="Buy"/>
    <s v="Active"/>
    <s v="WTI"/>
    <d v="2026-04-30T00:00:00"/>
    <n v="186"/>
    <s v="WTI"/>
    <d v="2026-05-31T00:00:00"/>
    <n v="-186"/>
  </r>
  <r>
    <x v="24"/>
    <x v="67"/>
    <x v="7"/>
    <x v="2"/>
    <n v="62"/>
    <x v="8"/>
    <d v="2026-06-30T00:00:00"/>
    <n v="2.66"/>
    <n v="2.19"/>
    <n v="-29.140000000000011"/>
    <n v="164.92000000000002"/>
    <x v="12"/>
    <s v="Buy"/>
    <n v="135.78"/>
    <x v="3"/>
    <x v="2"/>
    <n v="2026"/>
    <s v="Buy"/>
    <s v="Active"/>
    <s v="WTI"/>
    <d v="2026-05-31T00:00:00"/>
    <n v="62"/>
    <s v="WTI"/>
    <d v="2026-06-30T00:00:00"/>
    <n v="-62"/>
  </r>
  <r>
    <x v="24"/>
    <x v="67"/>
    <x v="7"/>
    <x v="2"/>
    <n v="71"/>
    <x v="7"/>
    <d v="2026-05-31T00:00:00"/>
    <n v="1.875"/>
    <n v="0.59"/>
    <n v="-91.235000000000014"/>
    <n v="133.125"/>
    <x v="11"/>
    <s v="Buy"/>
    <n v="41.89"/>
    <x v="3"/>
    <x v="2"/>
    <n v="2026"/>
    <s v="Buy"/>
    <s v="Active"/>
    <s v="WTI"/>
    <d v="2026-04-30T00:00:00"/>
    <n v="71"/>
    <s v="WTI"/>
    <d v="2026-05-31T00:00:00"/>
    <n v="-71"/>
  </r>
  <r>
    <x v="24"/>
    <x v="67"/>
    <x v="7"/>
    <x v="2"/>
    <n v="71"/>
    <x v="8"/>
    <d v="2026-06-30T00:00:00"/>
    <n v="1.875"/>
    <n v="2.19"/>
    <n v="22.364999999999995"/>
    <n v="133.125"/>
    <x v="12"/>
    <s v="Buy"/>
    <n v="155.49"/>
    <x v="3"/>
    <x v="2"/>
    <n v="2026"/>
    <s v="Buy"/>
    <s v="Active"/>
    <s v="WTI"/>
    <d v="2026-05-31T00:00:00"/>
    <n v="71"/>
    <s v="WTI"/>
    <d v="2026-06-30T00:00:00"/>
    <n v="-71"/>
  </r>
  <r>
    <x v="5"/>
    <x v="67"/>
    <x v="4"/>
    <x v="2"/>
    <n v="-132"/>
    <x v="5"/>
    <d v="2026-03-31T00:00:00"/>
    <n v="1"/>
    <n v="4.8475000000000028"/>
    <n v="-507.87000000000035"/>
    <n v="-132"/>
    <x v="10"/>
    <s v="Sell"/>
    <n v="-639.87000000000035"/>
    <x v="1"/>
    <x v="4"/>
    <n v="2026"/>
    <s v="Sell"/>
    <s v="Active"/>
    <e v="#N/A"/>
    <d v="2026-03-31T00:00:00"/>
    <n v="-132"/>
    <e v="#N/A"/>
    <d v="2026-03-31T00:00:00"/>
    <n v="132"/>
  </r>
  <r>
    <x v="25"/>
    <x v="67"/>
    <x v="5"/>
    <x v="2"/>
    <n v="15"/>
    <x v="7"/>
    <d v="2026-04-30T00:00:00"/>
    <n v="42.545299999999997"/>
    <n v="100.32275000000001"/>
    <n v="866.66175000000021"/>
    <n v="638.17949999999996"/>
    <x v="8"/>
    <s v="Buy"/>
    <n v="1504.8412500000002"/>
    <x v="4"/>
    <x v="3"/>
    <n v="2026"/>
    <s v="Buy"/>
    <s v="Active"/>
    <e v="#N/A"/>
    <d v="2026-04-30T00:00:00"/>
    <n v="15"/>
    <e v="#N/A"/>
    <d v="2026-04-30T00:00:00"/>
    <n v="-15"/>
  </r>
  <r>
    <x v="25"/>
    <x v="68"/>
    <x v="5"/>
    <x v="2"/>
    <n v="20"/>
    <x v="13"/>
    <d v="2026-07-31T00:00:00"/>
    <n v="37.737000000000002"/>
    <n v="62.189600000000006"/>
    <n v="489.05200000000008"/>
    <n v="754.74"/>
    <x v="13"/>
    <s v="Buy"/>
    <n v="1243.7920000000001"/>
    <x v="4"/>
    <x v="3"/>
    <n v="2026"/>
    <s v="Buy"/>
    <s v="Active"/>
    <e v="#N/A"/>
    <d v="2026-07-31T00:00:00"/>
    <n v="20"/>
    <e v="#N/A"/>
    <d v="2026-07-31T00:00:00"/>
    <n v="-20"/>
  </r>
  <r>
    <x v="25"/>
    <x v="68"/>
    <x v="5"/>
    <x v="2"/>
    <n v="20"/>
    <x v="14"/>
    <d v="2026-08-31T00:00:00"/>
    <n v="37.737000000000002"/>
    <n v="66.70675"/>
    <n v="579.39499999999998"/>
    <n v="754.74"/>
    <x v="14"/>
    <s v="Buy"/>
    <n v="1334.135"/>
    <x v="4"/>
    <x v="3"/>
    <n v="2026"/>
    <s v="Buy"/>
    <s v="Active"/>
    <e v="#N/A"/>
    <d v="2026-08-31T00:00:00"/>
    <n v="20"/>
    <e v="#N/A"/>
    <d v="2026-08-31T00:00:00"/>
    <n v="-20"/>
  </r>
  <r>
    <x v="25"/>
    <x v="68"/>
    <x v="5"/>
    <x v="2"/>
    <n v="20"/>
    <x v="15"/>
    <d v="2026-09-30T00:00:00"/>
    <n v="37.737000000000002"/>
    <n v="62.189600000000006"/>
    <n v="489.05200000000008"/>
    <n v="754.74"/>
    <x v="15"/>
    <s v="Buy"/>
    <n v="1243.7920000000001"/>
    <x v="4"/>
    <x v="3"/>
    <n v="2026"/>
    <s v="Buy"/>
    <s v="Active"/>
    <e v="#N/A"/>
    <d v="2026-09-30T00:00:00"/>
    <n v="20"/>
    <e v="#N/A"/>
    <d v="2026-09-30T00:00:00"/>
    <n v="-20"/>
  </r>
  <r>
    <x v="5"/>
    <x v="69"/>
    <x v="7"/>
    <x v="2"/>
    <n v="186"/>
    <x v="7"/>
    <d v="2026-05-31T00:00:00"/>
    <n v="1.3"/>
    <n v="0.59"/>
    <n v="-132.06"/>
    <n v="241.8"/>
    <x v="11"/>
    <s v="Buy"/>
    <n v="109.74"/>
    <x v="3"/>
    <x v="2"/>
    <n v="2026"/>
    <s v="Buy"/>
    <s v="Active"/>
    <s v="WTI"/>
    <d v="2026-04-30T00:00:00"/>
    <n v="186"/>
    <s v="WTI"/>
    <d v="2026-05-31T00:00:00"/>
    <n v="-186"/>
  </r>
  <r>
    <x v="5"/>
    <x v="69"/>
    <x v="7"/>
    <x v="2"/>
    <n v="62"/>
    <x v="8"/>
    <d v="2026-06-30T00:00:00"/>
    <n v="3.95"/>
    <n v="2.19"/>
    <n v="-109.12000000000002"/>
    <n v="244.9"/>
    <x v="12"/>
    <s v="Buy"/>
    <n v="135.78"/>
    <x v="3"/>
    <x v="2"/>
    <n v="2026"/>
    <s v="Buy"/>
    <s v="Active"/>
    <s v="WTI"/>
    <d v="2026-05-31T00:00:00"/>
    <n v="62"/>
    <s v="WTI"/>
    <d v="2026-06-30T00:00:00"/>
    <n v="-62"/>
  </r>
  <r>
    <x v="5"/>
    <x v="70"/>
    <x v="7"/>
    <x v="2"/>
    <n v="-250"/>
    <x v="7"/>
    <d v="2026-05-31T00:00:00"/>
    <n v="2"/>
    <n v="0.59"/>
    <n v="352.50000000000006"/>
    <n v="-500"/>
    <x v="11"/>
    <s v="Sell"/>
    <n v="-147.5"/>
    <x v="3"/>
    <x v="2"/>
    <n v="2026"/>
    <s v="Sell"/>
    <s v="Active"/>
    <s v="WTI"/>
    <d v="2026-04-30T00:00:00"/>
    <n v="-250"/>
    <s v="WTI"/>
    <d v="2026-05-31T00:00:00"/>
    <n v="250"/>
  </r>
  <r>
    <x v="5"/>
    <x v="70"/>
    <x v="7"/>
    <x v="2"/>
    <n v="-250"/>
    <x v="8"/>
    <d v="2026-06-30T00:00:00"/>
    <n v="4.3600000000000003"/>
    <n v="2.19"/>
    <n v="542.50000000000011"/>
    <n v="-1090"/>
    <x v="12"/>
    <s v="Sell"/>
    <n v="-547.5"/>
    <x v="3"/>
    <x v="2"/>
    <n v="2026"/>
    <s v="Sell"/>
    <s v="Active"/>
    <s v="WTI"/>
    <d v="2026-05-31T00:00:00"/>
    <n v="-250"/>
    <s v="WTI"/>
    <d v="2026-06-30T00:00:00"/>
    <n v="250"/>
  </r>
  <r>
    <x v="5"/>
    <x v="70"/>
    <x v="7"/>
    <x v="2"/>
    <n v="-66"/>
    <x v="7"/>
    <d v="2026-05-31T00:00:00"/>
    <n v="1.87"/>
    <n v="0.59"/>
    <n v="84.480000000000018"/>
    <n v="-123.42"/>
    <x v="11"/>
    <s v="Sell"/>
    <n v="-38.94"/>
    <x v="3"/>
    <x v="2"/>
    <n v="2026"/>
    <s v="Sell"/>
    <s v="Active"/>
    <s v="WTI"/>
    <d v="2026-04-30T00:00:00"/>
    <m/>
    <s v="WTI"/>
    <d v="2026-05-31T00:00:00"/>
    <m/>
  </r>
  <r>
    <x v="5"/>
    <x v="70"/>
    <x v="1"/>
    <x v="2"/>
    <n v="-66"/>
    <x v="8"/>
    <d v="2026-05-31T00:00:00"/>
    <n v="-6.3"/>
    <n v="-16.97"/>
    <n v="704.21999999999991"/>
    <n v="415.8"/>
    <x v="9"/>
    <s v="Sell"/>
    <n v="1120.02"/>
    <x v="1"/>
    <x v="6"/>
    <n v="2026"/>
    <s v="Sell"/>
    <s v="Active"/>
    <s v="WTI"/>
    <d v="2026-05-31T00:00:00"/>
    <m/>
    <s v="Brent"/>
    <d v="2026-05-31T00:00:00"/>
    <m/>
  </r>
  <r>
    <x v="26"/>
    <x v="71"/>
    <x v="2"/>
    <x v="0"/>
    <n v="0"/>
    <x v="7"/>
    <d v="2026-04-30T00:00:00"/>
    <n v="3.63"/>
    <n v="3.43"/>
    <n v="-139.9999999999998"/>
    <n v="0"/>
    <x v="8"/>
    <s v="Buy"/>
    <n v="0"/>
    <x v="2"/>
    <x v="7"/>
    <n v="2026"/>
    <s v="Sell"/>
    <s v="Active"/>
    <n v="0"/>
    <d v="2026-04-30T00:00:00"/>
    <n v="0"/>
    <n v="0"/>
    <d v="2026-04-30T00:00:00"/>
    <n v="0"/>
  </r>
  <r>
    <x v="26"/>
    <x v="71"/>
    <x v="7"/>
    <x v="0"/>
    <n v="-700"/>
    <x v="7"/>
    <d v="2026-05-31T00:00:00"/>
    <n v="1.1299999999999999"/>
    <n v="0.59"/>
    <n v="377.99999999999994"/>
    <n v="-790.99999999999989"/>
    <x v="11"/>
    <s v="Sell"/>
    <n v="-413"/>
    <x v="3"/>
    <x v="2"/>
    <n v="2026"/>
    <s v="Sell"/>
    <s v="Active"/>
    <s v="WTI"/>
    <d v="2026-04-30T00:00:00"/>
    <n v="-700"/>
    <s v="WTI"/>
    <d v="2026-05-31T00:00:00"/>
    <n v="700"/>
  </r>
  <r>
    <x v="26"/>
    <x v="71"/>
    <x v="1"/>
    <x v="0"/>
    <n v="0"/>
    <x v="8"/>
    <d v="2026-05-31T00:00:00"/>
    <n v="-7.87"/>
    <n v="-16.97"/>
    <n v="0"/>
    <n v="0"/>
    <x v="9"/>
    <s v="Buy"/>
    <n v="0"/>
    <x v="1"/>
    <x v="6"/>
    <n v="2026"/>
    <s v="Sell"/>
    <s v="Active"/>
    <s v="WTI"/>
    <d v="2026-05-31T00:00:00"/>
    <n v="0"/>
    <s v="Brent"/>
    <d v="2026-05-31T00:00:00"/>
    <n v="0"/>
  </r>
  <r>
    <x v="26"/>
    <x v="71"/>
    <x v="7"/>
    <x v="2"/>
    <n v="700"/>
    <x v="7"/>
    <d v="2026-05-31T00:00:00"/>
    <n v="1.05"/>
    <n v="0.59"/>
    <n v="-322.00000000000006"/>
    <n v="735"/>
    <x v="11"/>
    <s v="Buy"/>
    <n v="413"/>
    <x v="3"/>
    <x v="2"/>
    <n v="2026"/>
    <s v="Buy"/>
    <s v="Active"/>
    <s v="WTI"/>
    <d v="2026-04-30T00:00:00"/>
    <n v="700"/>
    <s v="WTI"/>
    <d v="2026-05-31T00:00:00"/>
    <n v="-700"/>
  </r>
  <r>
    <x v="26"/>
    <x v="71"/>
    <x v="1"/>
    <x v="2"/>
    <n v="700"/>
    <x v="8"/>
    <d v="2026-05-31T00:00:00"/>
    <n v="-7.87"/>
    <n v="-16.97"/>
    <n v="-6369.9999999999982"/>
    <n v="-5509"/>
    <x v="9"/>
    <s v="Buy"/>
    <n v="-11879"/>
    <x v="1"/>
    <x v="6"/>
    <n v="2026"/>
    <s v="Buy"/>
    <s v="Active"/>
    <s v="WTI"/>
    <d v="2026-05-31T00:00:00"/>
    <n v="700"/>
    <s v="Brent"/>
    <d v="2026-05-31T00:00:00"/>
    <n v="-700"/>
  </r>
  <r>
    <x v="26"/>
    <x v="71"/>
    <x v="5"/>
    <x v="0"/>
    <n v="0"/>
    <x v="7"/>
    <d v="2026-04-30T00:00:00"/>
    <n v="265"/>
    <n v="649.25"/>
    <n v="0"/>
    <n v="0"/>
    <x v="9"/>
    <s v="Buy"/>
    <n v="0"/>
    <x v="4"/>
    <x v="3"/>
    <n v="2026"/>
    <s v="Sell"/>
    <s v="Active"/>
    <e v="#N/A"/>
    <d v="2026-04-30T00:00:00"/>
    <n v="0"/>
    <e v="#N/A"/>
    <d v="2026-04-30T00:00:00"/>
    <n v="0"/>
  </r>
  <r>
    <x v="26"/>
    <x v="71"/>
    <x v="1"/>
    <x v="2"/>
    <n v="0"/>
    <x v="7"/>
    <d v="2026-04-30T00:00:00"/>
    <n v="649.25"/>
    <n v="265"/>
    <n v="5941.3379999999997"/>
    <n v="0"/>
    <x v="9"/>
    <s v="Buy"/>
    <n v="0"/>
    <x v="1"/>
    <x v="6"/>
    <n v="2026"/>
    <s v="Sell"/>
    <s v="Active"/>
    <s v="WTI"/>
    <d v="2026-04-30T00:00:00"/>
    <n v="0"/>
    <s v="Brent"/>
    <d v="2026-04-30T00:00:00"/>
    <n v="0"/>
  </r>
  <r>
    <x v="26"/>
    <x v="71"/>
    <x v="6"/>
    <x v="0"/>
    <n v="0"/>
    <x v="8"/>
    <d v="2026-05-31T00:00:00"/>
    <n v="155"/>
    <n v="188.5"/>
    <n v="0"/>
    <n v="0"/>
    <x v="9"/>
    <s v="Buy"/>
    <n v="0"/>
    <x v="4"/>
    <x v="3"/>
    <n v="2026"/>
    <s v="Sell"/>
    <s v="Active"/>
    <e v="#N/A"/>
    <d v="2026-05-31T00:00:00"/>
    <n v="0"/>
    <e v="#N/A"/>
    <d v="2026-05-31T00:00:00"/>
    <n v="0"/>
  </r>
  <r>
    <x v="27"/>
    <x v="71"/>
    <x v="2"/>
    <x v="0"/>
    <n v="0"/>
    <x v="7"/>
    <d v="2026-04-30T00:00:00"/>
    <n v="-411.82602928571424"/>
    <n v="0"/>
    <n v="0"/>
    <n v="0"/>
    <x v="8"/>
    <s v="Buy"/>
    <n v="0"/>
    <x v="2"/>
    <x v="7"/>
    <n v="2026"/>
    <s v="Sell"/>
    <s v="Active"/>
    <n v="0"/>
    <d v="2026-04-30T00:00:00"/>
    <n v="0"/>
    <n v="0"/>
    <d v="2026-04-30T00:00:00"/>
    <n v="0"/>
  </r>
  <r>
    <x v="25"/>
    <x v="71"/>
    <x v="1"/>
    <x v="0"/>
    <n v="0"/>
    <x v="8"/>
    <d v="2026-05-31T00:00:00"/>
    <n v="-7.87"/>
    <n v="-16.97"/>
    <n v="0"/>
    <n v="0"/>
    <x v="9"/>
    <s v="Buy"/>
    <n v="0"/>
    <x v="1"/>
    <x v="6"/>
    <n v="2026"/>
    <s v="Sell"/>
    <s v="Active"/>
    <s v="WTI"/>
    <d v="2026-05-31T00:00:00"/>
    <n v="0"/>
    <s v="Brent"/>
    <d v="2026-05-31T00:00:00"/>
    <n v="0"/>
  </r>
  <r>
    <x v="5"/>
    <x v="71"/>
    <x v="1"/>
    <x v="2"/>
    <n v="301"/>
    <x v="8"/>
    <d v="2026-05-31T00:00:00"/>
    <n v="-7.87"/>
    <n v="-16.97"/>
    <n v="-2739.0999999999995"/>
    <n v="-2368.87"/>
    <x v="9"/>
    <s v="Buy"/>
    <n v="-5107.9699999999993"/>
    <x v="1"/>
    <x v="6"/>
    <n v="2026"/>
    <s v="Buy"/>
    <s v="Active"/>
    <s v="WTI"/>
    <d v="2026-05-31T00:00:00"/>
    <n v="301"/>
    <s v="Brent"/>
    <d v="2026-05-31T00:00:00"/>
    <n v="-301"/>
  </r>
  <r>
    <x v="25"/>
    <x v="71"/>
    <x v="6"/>
    <x v="0"/>
    <n v="0"/>
    <x v="8"/>
    <d v="2026-05-31T00:00:00"/>
    <n v="155"/>
    <n v="188.5"/>
    <n v="0"/>
    <n v="0"/>
    <x v="9"/>
    <s v="Buy"/>
    <n v="0"/>
    <x v="4"/>
    <x v="3"/>
    <n v="2026"/>
    <s v="Sell"/>
    <s v="Active"/>
    <e v="#N/A"/>
    <d v="2026-05-31T00:00:00"/>
    <n v="0"/>
    <e v="#N/A"/>
    <d v="2026-05-31T00:00:00"/>
    <n v="0"/>
  </r>
  <r>
    <x v="25"/>
    <x v="71"/>
    <x v="5"/>
    <x v="0"/>
    <n v="0"/>
    <x v="7"/>
    <d v="2026-05-31T00:00:00"/>
    <n v="255"/>
    <n v="371.5"/>
    <n v="0"/>
    <n v="0"/>
    <x v="9"/>
    <s v="Buy"/>
    <n v="0"/>
    <x v="4"/>
    <x v="3"/>
    <n v="2026"/>
    <s v="Sell"/>
    <s v="Active"/>
    <e v="#N/A"/>
    <d v="2026-04-30T00:00:00"/>
    <n v="0"/>
    <e v="#N/A"/>
    <d v="2026-05-31T00:00:00"/>
    <n v="0"/>
  </r>
  <r>
    <x v="25"/>
    <x v="72"/>
    <x v="1"/>
    <x v="2"/>
    <n v="399"/>
    <x v="8"/>
    <d v="2026-05-31T00:00:00"/>
    <n v="-7.89"/>
    <n v="-16.97"/>
    <n v="-3622.9199999999992"/>
    <n v="-3148.1099999999997"/>
    <x v="9"/>
    <s v="Buy"/>
    <n v="-6771.03"/>
    <x v="1"/>
    <x v="6"/>
    <n v="2026"/>
    <s v="Buy"/>
    <s v="Active"/>
    <s v="WTI"/>
    <d v="2026-05-31T00:00:00"/>
    <n v="399"/>
    <s v="Brent"/>
    <d v="2026-05-31T00:00:00"/>
    <n v="-399"/>
  </r>
  <r>
    <x v="5"/>
    <x v="72"/>
    <x v="1"/>
    <x v="2"/>
    <n v="395"/>
    <x v="8"/>
    <d v="2026-05-31T00:00:00"/>
    <n v="-7.8"/>
    <n v="-16.97"/>
    <n v="-3622.1499999999992"/>
    <n v="-3081"/>
    <x v="9"/>
    <s v="Buy"/>
    <n v="-6703.15"/>
    <x v="1"/>
    <x v="6"/>
    <n v="2026"/>
    <s v="Buy"/>
    <s v="Active"/>
    <s v="WTI"/>
    <d v="2026-05-31T00:00:00"/>
    <n v="395"/>
    <s v="Brent"/>
    <d v="2026-05-31T00:00:00"/>
    <n v="-395"/>
  </r>
  <r>
    <x v="5"/>
    <x v="71"/>
    <x v="7"/>
    <x v="2"/>
    <n v="108"/>
    <x v="7"/>
    <d v="2026-05-31T00:00:00"/>
    <n v="1.04"/>
    <n v="0.59"/>
    <n v="-48.600000000000009"/>
    <n v="112.32000000000001"/>
    <x v="11"/>
    <s v="Buy"/>
    <n v="63.72"/>
    <x v="3"/>
    <x v="2"/>
    <n v="2026"/>
    <s v="Buy"/>
    <s v="Active"/>
    <s v="WTI"/>
    <d v="2026-04-30T00:00:00"/>
    <n v="108"/>
    <s v="WTI"/>
    <d v="2026-05-31T00:00:00"/>
    <n v="-108"/>
  </r>
  <r>
    <x v="5"/>
    <x v="71"/>
    <x v="7"/>
    <x v="2"/>
    <n v="36"/>
    <x v="8"/>
    <d v="2026-06-30T00:00:00"/>
    <n v="3.92"/>
    <n v="2.19"/>
    <n v="-62.28"/>
    <n v="141.12"/>
    <x v="12"/>
    <s v="Buy"/>
    <n v="78.84"/>
    <x v="3"/>
    <x v="2"/>
    <n v="2026"/>
    <s v="Buy"/>
    <s v="Active"/>
    <s v="WTI"/>
    <d v="2026-05-31T00:00:00"/>
    <n v="36"/>
    <s v="WTI"/>
    <d v="2026-06-30T00:00:00"/>
    <n v="-36"/>
  </r>
  <r>
    <x v="28"/>
    <x v="72"/>
    <x v="2"/>
    <x v="0"/>
    <n v="2065"/>
    <x v="7"/>
    <d v="2026-04-30T00:00:00"/>
    <n v="11.12704479418886"/>
    <n v="11.13"/>
    <n v="6.1025000000053709"/>
    <n v="22977.347499999996"/>
    <x v="8"/>
    <s v="Buy"/>
    <n v="22983.45"/>
    <x v="2"/>
    <x v="7"/>
    <n v="2026"/>
    <s v="Buy"/>
    <s v="Active"/>
    <n v="0"/>
    <d v="2026-04-30T00:00:00"/>
    <n v="2065"/>
    <n v="0"/>
    <d v="2026-04-30T00:00:00"/>
    <n v="-2065"/>
  </r>
  <r>
    <x v="28"/>
    <x v="72"/>
    <x v="7"/>
    <x v="0"/>
    <n v="-2100"/>
    <x v="7"/>
    <d v="2026-05-31T00:00:00"/>
    <n v="1"/>
    <n v="0.59"/>
    <n v="861.00000000000011"/>
    <n v="-2100"/>
    <x v="11"/>
    <s v="Sell"/>
    <n v="-1239"/>
    <x v="3"/>
    <x v="2"/>
    <n v="2026"/>
    <s v="Sell"/>
    <s v="Active"/>
    <s v="WTI"/>
    <d v="2026-04-30T00:00:00"/>
    <n v="-2100"/>
    <s v="WTI"/>
    <d v="2026-05-31T00:00:00"/>
    <n v="2100"/>
  </r>
  <r>
    <x v="28"/>
    <x v="72"/>
    <x v="7"/>
    <x v="0"/>
    <n v="-2065"/>
    <x v="8"/>
    <d v="2026-06-30T00:00:00"/>
    <n v="3.75"/>
    <n v="2.19"/>
    <n v="3221.4"/>
    <n v="-7743.75"/>
    <x v="12"/>
    <s v="Sell"/>
    <n v="-4522.3499999999995"/>
    <x v="3"/>
    <x v="2"/>
    <n v="2026"/>
    <s v="Sell"/>
    <s v="Active"/>
    <s v="WTI"/>
    <d v="2026-05-31T00:00:00"/>
    <n v="-2065"/>
    <s v="WTI"/>
    <d v="2026-06-30T00:00:00"/>
    <n v="2065"/>
  </r>
  <r>
    <x v="28"/>
    <x v="72"/>
    <x v="1"/>
    <x v="0"/>
    <n v="-2065"/>
    <x v="6"/>
    <d v="2026-06-30T00:00:00"/>
    <n v="-7.25"/>
    <n v="-8.94"/>
    <n v="3489.849999999999"/>
    <n v="14971.25"/>
    <x v="7"/>
    <s v="Sell"/>
    <n v="18461.099999999999"/>
    <x v="1"/>
    <x v="6"/>
    <n v="2026"/>
    <s v="Sell"/>
    <s v="Active"/>
    <s v="WTI"/>
    <d v="2026-06-30T00:00:00"/>
    <n v="-2065"/>
    <s v="Brent"/>
    <d v="2026-06-30T00:00:00"/>
    <n v="2065"/>
  </r>
  <r>
    <x v="28"/>
    <x v="72"/>
    <x v="3"/>
    <x v="0"/>
    <n v="-1956"/>
    <x v="6"/>
    <d v="2026-07-31T00:00:00"/>
    <n v="4.28"/>
    <n v="3.61"/>
    <n v="1310.5200000000007"/>
    <n v="-8371.68"/>
    <x v="16"/>
    <s v="Sell"/>
    <n v="-7061.16"/>
    <x v="3"/>
    <x v="1"/>
    <n v="2026"/>
    <s v="Sell"/>
    <s v="Active"/>
    <s v="Brent"/>
    <d v="2026-06-30T00:00:00"/>
    <n v="-1956"/>
    <s v="Brent"/>
    <d v="2026-07-31T00:00:00"/>
    <n v="1956"/>
  </r>
  <r>
    <x v="28"/>
    <x v="72"/>
    <x v="3"/>
    <x v="0"/>
    <n v="-108.92874999999999"/>
    <x v="13"/>
    <d v="2026-08-31T00:00:00"/>
    <n v="3.72"/>
    <n v="0.93"/>
    <n v="303.91121249999998"/>
    <n v="-405.21494999999999"/>
    <x v="17"/>
    <s v="Sell"/>
    <n v="-101.3037375"/>
    <x v="3"/>
    <x v="1"/>
    <n v="2026"/>
    <s v="Sell"/>
    <s v="Active"/>
    <s v="Brent"/>
    <d v="2026-07-31T00:00:00"/>
    <n v="-108.92874999999999"/>
    <s v="Brent"/>
    <d v="2026-08-31T00:00:00"/>
    <n v="108.92874999999999"/>
  </r>
  <r>
    <x v="28"/>
    <x v="72"/>
    <x v="9"/>
    <x v="0"/>
    <n v="-2000"/>
    <x v="5"/>
    <d v="2026-03-31T00:00:00"/>
    <n v="20650"/>
    <n v="20650"/>
    <n v="0"/>
    <n v="0"/>
    <x v="10"/>
    <s v="Sell"/>
    <n v="-41300000"/>
    <x v="4"/>
    <x v="3"/>
    <n v="2026"/>
    <s v="Sell"/>
    <s v="Active"/>
    <e v="#N/A"/>
    <d v="2026-03-31T00:00:00"/>
    <n v="-2000"/>
    <e v="#N/A"/>
    <d v="2026-03-31T00:00:00"/>
    <n v="2000"/>
  </r>
  <r>
    <x v="28"/>
    <x v="72"/>
    <x v="9"/>
    <x v="2"/>
    <n v="2000"/>
    <x v="5"/>
    <d v="2026-03-31T00:00:00"/>
    <n v="18750"/>
    <n v="20650"/>
    <n v="1900"/>
    <n v="1900"/>
    <x v="10"/>
    <s v="Buy"/>
    <n v="41300000"/>
    <x v="4"/>
    <x v="3"/>
    <n v="2026"/>
    <s v="Buy"/>
    <s v="Active"/>
    <e v="#N/A"/>
    <d v="2026-03-31T00:00:00"/>
    <n v="2000"/>
    <e v="#N/A"/>
    <d v="2026-03-31T00:00:00"/>
    <n v="-2000"/>
  </r>
  <r>
    <x v="28"/>
    <x v="72"/>
    <x v="4"/>
    <x v="0"/>
    <n v="2065"/>
    <x v="8"/>
    <d v="2026-05-31T00:00:00"/>
    <n v="4.1500000000000004"/>
    <n v="3.68"/>
    <n v="-970.55000000000041"/>
    <n v="8569.75"/>
    <x v="9"/>
    <s v="Buy"/>
    <n v="7599.2000000000007"/>
    <x v="1"/>
    <x v="4"/>
    <n v="2026"/>
    <s v="Buy"/>
    <s v="Active"/>
    <e v="#N/A"/>
    <d v="2026-05-31T00:00:00"/>
    <n v="2065"/>
    <e v="#N/A"/>
    <d v="2026-05-31T00:00:00"/>
    <n v="-2065"/>
  </r>
  <r>
    <x v="28"/>
    <x v="72"/>
    <x v="7"/>
    <x v="2"/>
    <n v="1500"/>
    <x v="7"/>
    <d v="2026-05-31T00:00:00"/>
    <n v="0.65"/>
    <n v="0.59"/>
    <n v="-90.000000000000085"/>
    <n v="975"/>
    <x v="11"/>
    <s v="Buy"/>
    <n v="885"/>
    <x v="3"/>
    <x v="2"/>
    <n v="2026"/>
    <s v="Buy"/>
    <s v="Active"/>
    <s v="WTI"/>
    <d v="2026-04-30T00:00:00"/>
    <n v="1500"/>
    <s v="WTI"/>
    <d v="2026-05-31T00:00:00"/>
    <n v="-1500"/>
  </r>
  <r>
    <x v="28"/>
    <x v="72"/>
    <x v="7"/>
    <x v="2"/>
    <n v="1500"/>
    <x v="8"/>
    <d v="2026-06-30T00:00:00"/>
    <n v="3.89"/>
    <n v="2.19"/>
    <n v="-2550.0000000000005"/>
    <n v="5835"/>
    <x v="12"/>
    <s v="Buy"/>
    <n v="3285"/>
    <x v="3"/>
    <x v="2"/>
    <n v="2026"/>
    <s v="Buy"/>
    <s v="Active"/>
    <s v="WTI"/>
    <d v="2026-05-31T00:00:00"/>
    <n v="1500"/>
    <s v="WTI"/>
    <d v="2026-06-30T00:00:00"/>
    <n v="-1500"/>
  </r>
  <r>
    <x v="28"/>
    <x v="72"/>
    <x v="1"/>
    <x v="2"/>
    <n v="1500"/>
    <x v="6"/>
    <d v="2026-06-30T00:00:00"/>
    <n v="-7.8"/>
    <n v="-8.94"/>
    <n v="-1709.9999999999995"/>
    <n v="-11700"/>
    <x v="7"/>
    <s v="Buy"/>
    <n v="-13410"/>
    <x v="1"/>
    <x v="6"/>
    <n v="2026"/>
    <s v="Buy"/>
    <s v="Active"/>
    <s v="WTI"/>
    <d v="2026-06-30T00:00:00"/>
    <n v="1500"/>
    <s v="Brent"/>
    <d v="2026-06-30T00:00:00"/>
    <n v="-1500"/>
  </r>
  <r>
    <x v="28"/>
    <x v="72"/>
    <x v="7"/>
    <x v="2"/>
    <n v="600"/>
    <x v="7"/>
    <d v="2026-05-31T00:00:00"/>
    <n v="0.68"/>
    <n v="0.59"/>
    <n v="-54.00000000000005"/>
    <n v="408.00000000000006"/>
    <x v="11"/>
    <s v="Buy"/>
    <n v="354"/>
    <x v="3"/>
    <x v="2"/>
    <n v="2026"/>
    <s v="Buy"/>
    <s v="Active"/>
    <s v="WTI"/>
    <d v="2026-04-30T00:00:00"/>
    <n v="600"/>
    <s v="WTI"/>
    <d v="2026-05-31T00:00:00"/>
    <n v="-600"/>
  </r>
  <r>
    <x v="28"/>
    <x v="72"/>
    <x v="7"/>
    <x v="2"/>
    <n v="600"/>
    <x v="8"/>
    <d v="2026-06-30T00:00:00"/>
    <n v="3.89"/>
    <n v="2.19"/>
    <n v="-1020.0000000000001"/>
    <n v="2334"/>
    <x v="12"/>
    <s v="Buy"/>
    <n v="1314"/>
    <x v="3"/>
    <x v="2"/>
    <n v="2026"/>
    <s v="Buy"/>
    <s v="Active"/>
    <s v="WTI"/>
    <d v="2026-05-31T00:00:00"/>
    <n v="600"/>
    <s v="WTI"/>
    <d v="2026-06-30T00:00:00"/>
    <n v="-600"/>
  </r>
  <r>
    <x v="28"/>
    <x v="72"/>
    <x v="1"/>
    <x v="2"/>
    <n v="600"/>
    <x v="6"/>
    <d v="2026-06-30T00:00:00"/>
    <n v="-7.75"/>
    <n v="-8.94"/>
    <n v="-713.99999999999966"/>
    <n v="-4650"/>
    <x v="7"/>
    <s v="Buy"/>
    <n v="-5364"/>
    <x v="1"/>
    <x v="6"/>
    <n v="2026"/>
    <s v="Buy"/>
    <s v="Active"/>
    <s v="WTI"/>
    <d v="2026-06-30T00:00:00"/>
    <n v="600"/>
    <s v="Brent"/>
    <d v="2026-06-30T00:00:00"/>
    <n v="-600"/>
  </r>
  <r>
    <x v="28"/>
    <x v="72"/>
    <x v="3"/>
    <x v="2"/>
    <n v="1000"/>
    <x v="6"/>
    <d v="2026-07-31T00:00:00"/>
    <n v="4.25"/>
    <n v="3.61"/>
    <n v="-640.00000000000011"/>
    <n v="4250"/>
    <x v="16"/>
    <s v="Buy"/>
    <n v="3610"/>
    <x v="3"/>
    <x v="1"/>
    <n v="2026"/>
    <s v="Buy"/>
    <s v="Active"/>
    <s v="Brent"/>
    <d v="2026-06-30T00:00:00"/>
    <n v="1000"/>
    <s v="Brent"/>
    <d v="2026-07-31T00:00:00"/>
    <n v="-1000"/>
  </r>
  <r>
    <x v="28"/>
    <x v="72"/>
    <x v="4"/>
    <x v="2"/>
    <n v="-1000"/>
    <x v="8"/>
    <d v="2026-05-31T00:00:00"/>
    <n v="4.0999999999999996"/>
    <n v="3.68"/>
    <n v="419.99999999999949"/>
    <n v="-4100"/>
    <x v="9"/>
    <s v="Sell"/>
    <n v="-3680"/>
    <x v="1"/>
    <x v="4"/>
    <n v="2026"/>
    <s v="Sell"/>
    <s v="Active"/>
    <e v="#N/A"/>
    <d v="2026-05-31T00:00:00"/>
    <n v="-1000"/>
    <e v="#N/A"/>
    <d v="2026-05-31T00:00:00"/>
    <n v="1000"/>
  </r>
  <r>
    <x v="5"/>
    <x v="72"/>
    <x v="7"/>
    <x v="2"/>
    <n v="108"/>
    <x v="7"/>
    <d v="2026-05-31T00:00:00"/>
    <n v="0.68"/>
    <n v="0.59"/>
    <n v="-9.7200000000000095"/>
    <n v="73.440000000000012"/>
    <x v="11"/>
    <s v="Buy"/>
    <n v="63.72"/>
    <x v="3"/>
    <x v="2"/>
    <n v="2026"/>
    <s v="Buy"/>
    <s v="Active"/>
    <s v="WTI"/>
    <d v="2026-04-30T00:00:00"/>
    <n v="108"/>
    <s v="WTI"/>
    <d v="2026-05-31T00:00:00"/>
    <n v="-108"/>
  </r>
  <r>
    <x v="5"/>
    <x v="72"/>
    <x v="7"/>
    <x v="2"/>
    <n v="36"/>
    <x v="8"/>
    <d v="2026-06-30T00:00:00"/>
    <n v="3.89"/>
    <n v="2.19"/>
    <n v="-61.2"/>
    <n v="140.04"/>
    <x v="12"/>
    <s v="Buy"/>
    <n v="78.84"/>
    <x v="3"/>
    <x v="2"/>
    <n v="2026"/>
    <s v="Buy"/>
    <s v="Active"/>
    <s v="WTI"/>
    <d v="2026-05-31T00:00:00"/>
    <n v="36"/>
    <s v="WTI"/>
    <d v="2026-06-30T00:00:00"/>
    <n v="-36"/>
  </r>
  <r>
    <x v="5"/>
    <x v="72"/>
    <x v="7"/>
    <x v="2"/>
    <n v="81"/>
    <x v="7"/>
    <d v="2026-05-31T00:00:00"/>
    <n v="0.68"/>
    <n v="0.59"/>
    <n v="-7.2900000000000063"/>
    <n v="55.080000000000005"/>
    <x v="11"/>
    <s v="Buy"/>
    <n v="47.79"/>
    <x v="3"/>
    <x v="2"/>
    <n v="2026"/>
    <s v="Buy"/>
    <s v="Active"/>
    <s v="WTI"/>
    <d v="2026-04-30T00:00:00"/>
    <n v="81"/>
    <s v="WTI"/>
    <d v="2026-05-31T00:00:00"/>
    <n v="-81"/>
  </r>
  <r>
    <x v="5"/>
    <x v="72"/>
    <x v="7"/>
    <x v="2"/>
    <n v="81"/>
    <x v="8"/>
    <d v="2026-06-30T00:00:00"/>
    <n v="3.52"/>
    <n v="2.19"/>
    <n v="-107.73"/>
    <n v="285.12"/>
    <x v="12"/>
    <s v="Buy"/>
    <n v="177.39"/>
    <x v="3"/>
    <x v="2"/>
    <n v="2026"/>
    <s v="Buy"/>
    <s v="Active"/>
    <s v="WTI"/>
    <d v="2026-05-31T00:00:00"/>
    <n v="81"/>
    <s v="WTI"/>
    <d v="2026-06-30T00:00:00"/>
    <n v="-81"/>
  </r>
  <r>
    <x v="5"/>
    <x v="73"/>
    <x v="1"/>
    <x v="2"/>
    <n v="300"/>
    <x v="8"/>
    <d v="2026-05-31T00:00:00"/>
    <n v="-11.92"/>
    <n v="-16.97"/>
    <n v="-1514.9999999999998"/>
    <n v="-3576"/>
    <x v="9"/>
    <s v="Buy"/>
    <n v="-5091"/>
    <x v="1"/>
    <x v="6"/>
    <n v="2026"/>
    <s v="Buy"/>
    <s v="Active"/>
    <s v="WTI"/>
    <d v="2026-05-31T00:00:00"/>
    <n v="300"/>
    <s v="Brent"/>
    <d v="2026-05-31T00:00:00"/>
    <n v="-300"/>
  </r>
  <r>
    <x v="5"/>
    <x v="73"/>
    <x v="1"/>
    <x v="2"/>
    <n v="-300"/>
    <x v="6"/>
    <d v="2026-06-30T00:00:00"/>
    <n v="-10.49"/>
    <n v="-8.94"/>
    <n v="-465.00000000000023"/>
    <n v="3147"/>
    <x v="7"/>
    <s v="Sell"/>
    <n v="2682"/>
    <x v="1"/>
    <x v="6"/>
    <n v="2026"/>
    <s v="Sell"/>
    <s v="Active"/>
    <s v="WTI"/>
    <d v="2026-06-30T00:00:00"/>
    <n v="-300"/>
    <s v="Brent"/>
    <d v="2026-06-30T00:00:00"/>
    <n v="300"/>
  </r>
  <r>
    <x v="25"/>
    <x v="73"/>
    <x v="5"/>
    <x v="2"/>
    <n v="25"/>
    <x v="8"/>
    <d v="2026-05-31T00:00:00"/>
    <n v="58.828000000000003"/>
    <n v="55.781550000000003"/>
    <n v="-76.161249999999995"/>
    <n v="1470.7"/>
    <x v="9"/>
    <s v="Buy"/>
    <n v="1394.5387500000002"/>
    <x v="4"/>
    <x v="3"/>
    <n v="2026"/>
    <s v="Buy"/>
    <s v="Active"/>
    <e v="#N/A"/>
    <d v="2026-05-31T00:00:00"/>
    <n v="25"/>
    <e v="#N/A"/>
    <d v="2026-05-31T00:00:00"/>
    <n v="-25"/>
  </r>
  <r>
    <x v="28"/>
    <x v="73"/>
    <x v="4"/>
    <x v="2"/>
    <n v="400"/>
    <x v="7"/>
    <d v="2026-04-30T00:00:00"/>
    <n v="5.88"/>
    <n v="17.678750000000008"/>
    <n v="4719.5000000000036"/>
    <n v="2352"/>
    <x v="8"/>
    <s v="Buy"/>
    <n v="7071.5000000000036"/>
    <x v="1"/>
    <x v="4"/>
    <n v="2026"/>
    <s v="Buy"/>
    <s v="Active"/>
    <e v="#N/A"/>
    <d v="2026-04-30T00:00:00"/>
    <n v="400"/>
    <e v="#N/A"/>
    <d v="2026-04-30T00:00:00"/>
    <n v="-400"/>
  </r>
  <r>
    <x v="28"/>
    <x v="73"/>
    <x v="3"/>
    <x v="2"/>
    <n v="400"/>
    <x v="6"/>
    <d v="2026-07-31T00:00:00"/>
    <n v="4.87"/>
    <n v="3.61"/>
    <n v="-504.00000000000011"/>
    <n v="1948"/>
    <x v="16"/>
    <s v="Buy"/>
    <n v="1444"/>
    <x v="3"/>
    <x v="1"/>
    <n v="2026"/>
    <s v="Buy"/>
    <s v="Active"/>
    <s v="Brent"/>
    <d v="2026-06-30T00:00:00"/>
    <n v="400"/>
    <s v="Brent"/>
    <d v="2026-07-31T00:00:00"/>
    <n v="-400"/>
  </r>
  <r>
    <x v="5"/>
    <x v="72"/>
    <x v="3"/>
    <x v="2"/>
    <n v="-179"/>
    <x v="6"/>
    <d v="2026-07-31T00:00:00"/>
    <n v="4.76"/>
    <n v="3.61"/>
    <n v="205.85"/>
    <n v="-852.04"/>
    <x v="16"/>
    <s v="Sell"/>
    <n v="-646.18999999999994"/>
    <x v="3"/>
    <x v="1"/>
    <n v="2026"/>
    <s v="Sell"/>
    <s v="Active"/>
    <s v="Brent"/>
    <d v="2026-06-30T00:00:00"/>
    <n v="-179"/>
    <s v="Brent"/>
    <d v="2026-07-31T00:00:00"/>
    <n v="179"/>
  </r>
  <r>
    <x v="5"/>
    <x v="73"/>
    <x v="1"/>
    <x v="2"/>
    <n v="-300"/>
    <x v="8"/>
    <d v="2026-05-31T00:00:00"/>
    <n v="-15.53"/>
    <n v="-16.97"/>
    <n v="431.99999999999983"/>
    <n v="4659"/>
    <x v="9"/>
    <s v="Sell"/>
    <n v="5091"/>
    <x v="1"/>
    <x v="6"/>
    <n v="2026"/>
    <s v="Sell"/>
    <s v="Active"/>
    <s v="WTI"/>
    <d v="2026-05-31T00:00:00"/>
    <n v="-300"/>
    <s v="Brent"/>
    <d v="2026-05-31T00:00:00"/>
    <n v="300"/>
  </r>
  <r>
    <x v="5"/>
    <x v="73"/>
    <x v="1"/>
    <x v="2"/>
    <n v="-242"/>
    <x v="8"/>
    <d v="2026-05-31T00:00:00"/>
    <n v="-12.81"/>
    <n v="-16.97"/>
    <n v="1006.7199999999996"/>
    <n v="3100.02"/>
    <x v="9"/>
    <s v="Sell"/>
    <n v="4106.74"/>
    <x v="1"/>
    <x v="6"/>
    <n v="2026"/>
    <s v="Sell"/>
    <s v="Active"/>
    <s v="WTI"/>
    <d v="2026-05-31T00:00:00"/>
    <n v="-242"/>
    <s v="Brent"/>
    <d v="2026-05-31T00:00:00"/>
    <n v="242"/>
  </r>
  <r>
    <x v="5"/>
    <x v="72"/>
    <x v="7"/>
    <x v="2"/>
    <n v="-418"/>
    <x v="7"/>
    <d v="2026-05-31T00:00:00"/>
    <n v="0.97"/>
    <n v="0.59"/>
    <n v="158.84"/>
    <n v="-405.46"/>
    <x v="11"/>
    <s v="Sell"/>
    <n v="-246.61999999999998"/>
    <x v="3"/>
    <x v="2"/>
    <n v="2026"/>
    <s v="Sell"/>
    <s v="Active"/>
    <s v="WTI"/>
    <d v="2026-04-30T00:00:00"/>
    <n v="-418"/>
    <s v="WTI"/>
    <d v="2026-05-31T00:00:00"/>
    <n v="418"/>
  </r>
  <r>
    <x v="28"/>
    <x v="74"/>
    <x v="3"/>
    <x v="2"/>
    <n v="1000"/>
    <x v="6"/>
    <d v="2026-07-31T00:00:00"/>
    <n v="5.69"/>
    <n v="3.61"/>
    <n v="-2080.0000000000005"/>
    <n v="5690"/>
    <x v="16"/>
    <s v="Buy"/>
    <n v="3610"/>
    <x v="3"/>
    <x v="1"/>
    <n v="2026"/>
    <s v="Buy"/>
    <s v="Active"/>
    <s v="Brent"/>
    <d v="2026-06-30T00:00:00"/>
    <n v="1000"/>
    <s v="Brent"/>
    <d v="2026-07-31T00:00:00"/>
    <n v="-1000"/>
  </r>
  <r>
    <x v="29"/>
    <x v="73"/>
    <x v="2"/>
    <x v="0"/>
    <n v="2000"/>
    <x v="7"/>
    <d v="2026-04-30T00:00:00"/>
    <n v="16.45"/>
    <n v="16.675000000000001"/>
    <n v="450.00000000000284"/>
    <n v="32900"/>
    <x v="8"/>
    <s v="Buy"/>
    <n v="33350"/>
    <x v="2"/>
    <x v="7"/>
    <n v="2026"/>
    <s v="Buy"/>
    <s v="Active"/>
    <n v="0"/>
    <d v="2026-04-30T00:00:00"/>
    <n v="2000"/>
    <n v="0"/>
    <d v="2026-04-30T00:00:00"/>
    <n v="-2000"/>
  </r>
  <r>
    <x v="29"/>
    <x v="73"/>
    <x v="2"/>
    <x v="2"/>
    <n v="-2000"/>
    <x v="7"/>
    <d v="2026-04-30T00:00:00"/>
    <n v="16.675000000000001"/>
    <n v="16.675000000000001"/>
    <n v="0"/>
    <n v="-33350"/>
    <x v="8"/>
    <s v="Sell"/>
    <n v="-33350"/>
    <x v="2"/>
    <x v="7"/>
    <n v="2026"/>
    <s v="Sell"/>
    <s v="Active"/>
    <n v="0"/>
    <d v="2026-04-30T00:00:00"/>
    <n v="-2000"/>
    <n v="0"/>
    <d v="2026-04-30T00:00:00"/>
    <n v="2000"/>
  </r>
  <r>
    <x v="5"/>
    <x v="75"/>
    <x v="4"/>
    <x v="2"/>
    <n v="500"/>
    <x v="7"/>
    <d v="2026-04-30T00:00:00"/>
    <n v="5.65"/>
    <n v="17.678750000000008"/>
    <n v="6014.3750000000036"/>
    <n v="2825"/>
    <x v="8"/>
    <s v="Buy"/>
    <n v="8839.3750000000036"/>
    <x v="1"/>
    <x v="4"/>
    <n v="2026"/>
    <s v="Buy"/>
    <s v="Active"/>
    <e v="#N/A"/>
    <d v="2026-04-30T00:00:00"/>
    <n v="500"/>
    <e v="#N/A"/>
    <d v="2026-04-30T00:00:00"/>
    <n v="-500"/>
  </r>
  <r>
    <x v="5"/>
    <x v="75"/>
    <x v="4"/>
    <x v="2"/>
    <n v="-1000"/>
    <x v="8"/>
    <d v="2026-05-31T00:00:00"/>
    <n v="4.3"/>
    <n v="3.68"/>
    <n v="619.99999999999966"/>
    <n v="-4300"/>
    <x v="9"/>
    <s v="Sell"/>
    <n v="-3680"/>
    <x v="1"/>
    <x v="4"/>
    <n v="2026"/>
    <s v="Sell"/>
    <s v="Active"/>
    <e v="#N/A"/>
    <d v="2026-05-31T00:00:00"/>
    <n v="-1000"/>
    <e v="#N/A"/>
    <d v="2026-05-31T00:00:00"/>
    <n v="1000"/>
  </r>
  <r>
    <x v="5"/>
    <x v="75"/>
    <x v="3"/>
    <x v="2"/>
    <n v="-460"/>
    <x v="6"/>
    <d v="2026-07-31T00:00:00"/>
    <n v="4.51"/>
    <n v="3.61"/>
    <n v="413.99999999999994"/>
    <n v="-2074.6"/>
    <x v="16"/>
    <s v="Sell"/>
    <n v="-1660.6"/>
    <x v="3"/>
    <x v="1"/>
    <n v="2026"/>
    <s v="Sell"/>
    <s v="Active"/>
    <s v="Brent"/>
    <d v="2026-06-30T00:00:00"/>
    <n v="-460"/>
    <s v="Brent"/>
    <d v="2026-07-31T00:00:00"/>
    <n v="460"/>
  </r>
  <r>
    <x v="5"/>
    <x v="75"/>
    <x v="3"/>
    <x v="2"/>
    <n v="-20"/>
    <x v="6"/>
    <d v="2026-07-31T00:00:00"/>
    <n v="4.5"/>
    <n v="3.61"/>
    <n v="17.800000000000004"/>
    <n v="-90"/>
    <x v="16"/>
    <s v="Sell"/>
    <n v="-72.2"/>
    <x v="3"/>
    <x v="1"/>
    <n v="2026"/>
    <s v="Sell"/>
    <s v="Active"/>
    <s v="Brent"/>
    <d v="2026-06-30T00:00:00"/>
    <n v="-20"/>
    <s v="Brent"/>
    <d v="2026-07-31T00:00:00"/>
    <n v="20"/>
  </r>
  <r>
    <x v="5"/>
    <x v="75"/>
    <x v="7"/>
    <x v="2"/>
    <n v="-174"/>
    <x v="6"/>
    <d v="2026-07-31T00:00:00"/>
    <n v="3.17"/>
    <n v="4.28"/>
    <n v="-193.14000000000004"/>
    <n v="-551.58000000000004"/>
    <x v="16"/>
    <s v="Sell"/>
    <n v="-744.72"/>
    <x v="3"/>
    <x v="2"/>
    <n v="2026"/>
    <s v="Sell"/>
    <s v="Active"/>
    <s v="WTI"/>
    <d v="2026-06-30T00:00:00"/>
    <n v="-174"/>
    <s v="WTI"/>
    <d v="2026-07-31T00:00:00"/>
    <n v="174"/>
  </r>
  <r>
    <x v="5"/>
    <x v="75"/>
    <x v="3"/>
    <x v="2"/>
    <n v="221"/>
    <x v="13"/>
    <d v="2026-08-31T00:00:00"/>
    <n v="4.09"/>
    <n v="0.93"/>
    <n v="-698.3599999999999"/>
    <n v="903.89"/>
    <x v="17"/>
    <s v="Buy"/>
    <n v="205.53"/>
    <x v="3"/>
    <x v="1"/>
    <n v="2026"/>
    <s v="Buy"/>
    <s v="Active"/>
    <s v="Brent"/>
    <d v="2026-07-31T00:00:00"/>
    <n v="221"/>
    <s v="Brent"/>
    <d v="2026-08-31T00:00:00"/>
    <n v="-221"/>
  </r>
  <r>
    <x v="5"/>
    <x v="75"/>
    <x v="1"/>
    <x v="2"/>
    <n v="479"/>
    <x v="6"/>
    <d v="2026-06-30T00:00:00"/>
    <n v="-10.55"/>
    <n v="-8.94"/>
    <n v="771.19000000000062"/>
    <n v="-5053.4500000000007"/>
    <x v="7"/>
    <s v="Buy"/>
    <n v="-4282.2599999999993"/>
    <x v="1"/>
    <x v="6"/>
    <n v="2026"/>
    <s v="Buy"/>
    <s v="Active"/>
    <s v="WTI"/>
    <d v="2026-06-30T00:00:00"/>
    <n v="479"/>
    <s v="Brent"/>
    <d v="2026-06-30T00:00:00"/>
    <n v="-479"/>
  </r>
  <r>
    <x v="5"/>
    <x v="75"/>
    <x v="1"/>
    <x v="2"/>
    <n v="-200"/>
    <x v="13"/>
    <d v="2026-07-31T00:00:00"/>
    <n v="-9.19"/>
    <n v="-4.6900000000000004"/>
    <n v="-899.99999999999977"/>
    <n v="1838"/>
    <x v="13"/>
    <s v="Sell"/>
    <n v="938.00000000000011"/>
    <x v="1"/>
    <x v="6"/>
    <n v="2026"/>
    <s v="Sell"/>
    <s v="Active"/>
    <s v="WTI"/>
    <d v="2026-07-31T00:00:00"/>
    <n v="-200"/>
    <s v="Brent"/>
    <d v="2026-07-31T00:00:00"/>
    <n v="200"/>
  </r>
  <r>
    <x v="25"/>
    <x v="76"/>
    <x v="1"/>
    <x v="2"/>
    <n v="-700"/>
    <x v="8"/>
    <d v="2026-05-31T00:00:00"/>
    <n v="-11.81"/>
    <n v="-16.97"/>
    <n v="3611.9999999999986"/>
    <n v="8267"/>
    <x v="9"/>
    <s v="Sell"/>
    <n v="11879"/>
    <x v="1"/>
    <x v="6"/>
    <n v="2026"/>
    <s v="Sell"/>
    <s v="Active"/>
    <s v="WTI"/>
    <d v="2026-05-31T00:00:00"/>
    <n v="-700"/>
    <s v="Brent"/>
    <d v="2026-05-31T00:00:00"/>
    <n v="700"/>
  </r>
  <r>
    <x v="5"/>
    <x v="76"/>
    <x v="3"/>
    <x v="2"/>
    <n v="200"/>
    <x v="6"/>
    <d v="2026-07-31T00:00:00"/>
    <n v="4.45"/>
    <n v="3.61"/>
    <n v="-168.00000000000006"/>
    <n v="890"/>
    <x v="16"/>
    <s v="Buy"/>
    <n v="722"/>
    <x v="3"/>
    <x v="1"/>
    <n v="2026"/>
    <s v="Buy"/>
    <s v="Active"/>
    <s v="Brent"/>
    <d v="2026-06-30T00:00:00"/>
    <n v="200"/>
    <s v="Brent"/>
    <d v="2026-07-31T00:00:00"/>
    <n v="-200"/>
  </r>
  <r>
    <x v="5"/>
    <x v="76"/>
    <x v="4"/>
    <x v="2"/>
    <n v="150"/>
    <x v="6"/>
    <d v="2026-06-30T00:00:00"/>
    <n v="4.05"/>
    <n v="2.23"/>
    <n v="-273"/>
    <n v="607.5"/>
    <x v="7"/>
    <s v="Buy"/>
    <n v="334.5"/>
    <x v="1"/>
    <x v="4"/>
    <n v="2026"/>
    <s v="Buy"/>
    <s v="Active"/>
    <e v="#N/A"/>
    <d v="2026-06-30T00:00:00"/>
    <n v="150"/>
    <e v="#N/A"/>
    <d v="2026-06-30T00:00:00"/>
    <n v="-150"/>
  </r>
  <r>
    <x v="25"/>
    <x v="76"/>
    <x v="10"/>
    <x v="2"/>
    <n v="700"/>
    <x v="8"/>
    <d v="2026-05-31T00:00:00"/>
    <n v="2.8"/>
    <n v="7.1"/>
    <n v="3010"/>
    <n v="1959.9999999999998"/>
    <x v="9"/>
    <s v="Buy"/>
    <n v="4970"/>
    <x v="1"/>
    <x v="5"/>
    <n v="2026"/>
    <s v="Buy"/>
    <s v="Active"/>
    <n v="0"/>
    <d v="2026-05-31T00:00:00"/>
    <n v="700"/>
    <n v="0"/>
    <d v="2026-05-31T00:00:00"/>
    <n v="-700"/>
  </r>
  <r>
    <x v="26"/>
    <x v="77"/>
    <x v="1"/>
    <x v="2"/>
    <n v="-700"/>
    <x v="8"/>
    <d v="2026-05-31T00:00:00"/>
    <n v="-11.9"/>
    <n v="-16.97"/>
    <n v="3548.9999999999991"/>
    <n v="8330"/>
    <x v="9"/>
    <s v="Sell"/>
    <n v="11879"/>
    <x v="1"/>
    <x v="6"/>
    <n v="2026"/>
    <s v="Sell"/>
    <s v="Active"/>
    <s v="WTI"/>
    <d v="2026-05-31T00:00:00"/>
    <n v="-700"/>
    <s v="Brent"/>
    <d v="2026-05-31T00:00:00"/>
    <n v="700"/>
  </r>
  <r>
    <x v="5"/>
    <x v="77"/>
    <x v="7"/>
    <x v="2"/>
    <n v="86"/>
    <x v="8"/>
    <d v="2026-06-30T00:00:00"/>
    <n v="2.54"/>
    <n v="2.19"/>
    <n v="-30.100000000000009"/>
    <n v="218.44"/>
    <x v="12"/>
    <s v="Buy"/>
    <n v="188.34"/>
    <x v="3"/>
    <x v="2"/>
    <n v="2026"/>
    <s v="Buy"/>
    <s v="Active"/>
    <s v="WTI"/>
    <d v="2026-05-31T00:00:00"/>
    <n v="86"/>
    <s v="WTI"/>
    <d v="2026-06-30T00:00:00"/>
    <n v="-86"/>
  </r>
  <r>
    <x v="5"/>
    <x v="77"/>
    <x v="4"/>
    <x v="2"/>
    <n v="-100"/>
    <x v="8"/>
    <d v="2026-05-31T00:00:00"/>
    <n v="4.1500000000000004"/>
    <n v="3.68"/>
    <n v="47.000000000000021"/>
    <n v="-415.00000000000006"/>
    <x v="9"/>
    <s v="Sell"/>
    <n v="-368"/>
    <x v="1"/>
    <x v="4"/>
    <n v="2026"/>
    <s v="Sell"/>
    <s v="Active"/>
    <e v="#N/A"/>
    <d v="2026-05-31T00:00:00"/>
    <n v="-100"/>
    <e v="#N/A"/>
    <d v="2026-05-31T00:00:00"/>
    <n v="100"/>
  </r>
  <r>
    <x v="5"/>
    <x v="78"/>
    <x v="7"/>
    <x v="2"/>
    <n v="214"/>
    <x v="8"/>
    <d v="2026-06-30T00:00:00"/>
    <n v="3.33"/>
    <n v="2.19"/>
    <n v="-243.96000000000004"/>
    <n v="712.62"/>
    <x v="12"/>
    <s v="Buy"/>
    <n v="468.65999999999997"/>
    <x v="3"/>
    <x v="2"/>
    <n v="2026"/>
    <s v="Buy"/>
    <s v="Active"/>
    <s v="WTI"/>
    <d v="2026-05-31T00:00:00"/>
    <n v="214"/>
    <s v="WTI"/>
    <d v="2026-06-30T00:00:00"/>
    <n v="-214"/>
  </r>
  <r>
    <x v="5"/>
    <x v="78"/>
    <x v="7"/>
    <x v="2"/>
    <n v="75"/>
    <x v="6"/>
    <d v="2026-07-31T00:00:00"/>
    <n v="3.15"/>
    <n v="4.28"/>
    <n v="84.750000000000028"/>
    <n v="236.25"/>
    <x v="16"/>
    <s v="Buy"/>
    <n v="321"/>
    <x v="3"/>
    <x v="2"/>
    <n v="2026"/>
    <s v="Buy"/>
    <s v="Active"/>
    <s v="WTI"/>
    <d v="2026-06-30T00:00:00"/>
    <n v="75"/>
    <s v="WTI"/>
    <d v="2026-07-31T00:00:00"/>
    <n v="-75"/>
  </r>
  <r>
    <x v="25"/>
    <x v="78"/>
    <x v="5"/>
    <x v="2"/>
    <n v="-15"/>
    <x v="7"/>
    <d v="2026-04-30T00:00:00"/>
    <n v="150.22149999999999"/>
    <n v="100.32275000000001"/>
    <n v="748.4812499999997"/>
    <n v="-2253.3224999999998"/>
    <x v="8"/>
    <s v="Sell"/>
    <n v="-1504.8412500000002"/>
    <x v="4"/>
    <x v="3"/>
    <n v="2026"/>
    <s v="Sell"/>
    <s v="Active"/>
    <e v="#N/A"/>
    <d v="2026-04-30T00:00:00"/>
    <n v="-15"/>
    <e v="#N/A"/>
    <d v="2026-04-30T00:00:00"/>
    <n v="15"/>
  </r>
  <r>
    <x v="25"/>
    <x v="78"/>
    <x v="5"/>
    <x v="2"/>
    <n v="-15"/>
    <x v="8"/>
    <d v="2026-05-31T00:00:00"/>
    <n v="100.848"/>
    <n v="55.781550000000003"/>
    <n v="675.99674999999991"/>
    <n v="-1512.72"/>
    <x v="9"/>
    <s v="Sell"/>
    <n v="-836.72325000000001"/>
    <x v="4"/>
    <x v="3"/>
    <n v="2026"/>
    <s v="Sell"/>
    <s v="Active"/>
    <e v="#N/A"/>
    <d v="2026-05-31T00:00:00"/>
    <n v="-15"/>
    <e v="#N/A"/>
    <d v="2026-05-31T00:00:00"/>
    <n v="15"/>
  </r>
  <r>
    <x v="30"/>
    <x v="79"/>
    <x v="2"/>
    <x v="0"/>
    <n v="2065"/>
    <x v="7"/>
    <d v="2026-04-30T00:00:00"/>
    <n v="22.373438256658595"/>
    <n v="23.979999999999997"/>
    <n v="3317.5499999999947"/>
    <n v="46201.15"/>
    <x v="8"/>
    <s v="Buy"/>
    <n v="49518.7"/>
    <x v="2"/>
    <x v="7"/>
    <n v="2026"/>
    <s v="Buy"/>
    <s v="Active"/>
    <n v="0"/>
    <d v="2026-04-30T00:00:00"/>
    <n v="2065"/>
    <n v="0"/>
    <d v="2026-04-30T00:00:00"/>
    <n v="-2065"/>
  </r>
  <r>
    <x v="30"/>
    <x v="79"/>
    <x v="7"/>
    <x v="0"/>
    <n v="-2065"/>
    <x v="8"/>
    <d v="2026-06-30T00:00:00"/>
    <n v="4.78"/>
    <n v="2.19"/>
    <n v="5348.35"/>
    <n v="-9870.7000000000007"/>
    <x v="12"/>
    <s v="Sell"/>
    <n v="-4522.3499999999995"/>
    <x v="3"/>
    <x v="2"/>
    <n v="2026"/>
    <s v="Sell"/>
    <s v="Active"/>
    <s v="WTI"/>
    <d v="2026-05-31T00:00:00"/>
    <n v="-2065"/>
    <s v="WTI"/>
    <d v="2026-06-30T00:00:00"/>
    <n v="2065"/>
  </r>
  <r>
    <x v="30"/>
    <x v="79"/>
    <x v="7"/>
    <x v="0"/>
    <n v="-2065"/>
    <x v="6"/>
    <d v="2026-07-31T00:00:00"/>
    <n v="3.589999999999999"/>
    <n v="4.28"/>
    <n v="-1424.8500000000026"/>
    <n v="-7413.3499999999976"/>
    <x v="16"/>
    <s v="Sell"/>
    <n v="-8838.2000000000007"/>
    <x v="3"/>
    <x v="2"/>
    <n v="2026"/>
    <s v="Sell"/>
    <s v="Active"/>
    <s v="WTI"/>
    <d v="2026-06-30T00:00:00"/>
    <n v="-2065"/>
    <s v="WTI"/>
    <d v="2026-07-31T00:00:00"/>
    <n v="2065"/>
  </r>
  <r>
    <x v="30"/>
    <x v="79"/>
    <x v="1"/>
    <x v="0"/>
    <n v="-2065"/>
    <x v="13"/>
    <d v="2026-07-31T00:00:00"/>
    <n v="-8.25"/>
    <n v="-4.6900000000000004"/>
    <n v="-7351.4"/>
    <n v="17036.25"/>
    <x v="13"/>
    <s v="Sell"/>
    <n v="9684.85"/>
    <x v="1"/>
    <x v="6"/>
    <n v="2026"/>
    <s v="Sell"/>
    <s v="Active"/>
    <s v="WTI"/>
    <d v="2026-07-31T00:00:00"/>
    <n v="-2065"/>
    <s v="Brent"/>
    <d v="2026-07-31T00:00:00"/>
    <n v="2065"/>
  </r>
  <r>
    <x v="30"/>
    <x v="79"/>
    <x v="3"/>
    <x v="0"/>
    <n v="-1971"/>
    <x v="13"/>
    <d v="2026-08-31T00:00:00"/>
    <n v="4.6500000000000004"/>
    <n v="0.93"/>
    <n v="7332.1200000000008"/>
    <n v="-9165.1500000000015"/>
    <x v="17"/>
    <s v="Sell"/>
    <n v="-1833.0300000000002"/>
    <x v="3"/>
    <x v="1"/>
    <n v="2026"/>
    <s v="Sell"/>
    <s v="Active"/>
    <s v="Brent"/>
    <d v="2026-07-31T00:00:00"/>
    <n v="-1971"/>
    <s v="Brent"/>
    <d v="2026-08-31T00:00:00"/>
    <n v="1971"/>
  </r>
  <r>
    <x v="30"/>
    <x v="79"/>
    <x v="3"/>
    <x v="0"/>
    <n v="-94"/>
    <x v="14"/>
    <d v="2026-09-30T00:00:00"/>
    <n v="2.85"/>
    <n v="-0.03"/>
    <n v="270.71999999999997"/>
    <n v="-267.90000000000003"/>
    <x v="18"/>
    <s v="Sell"/>
    <n v="2.82"/>
    <x v="3"/>
    <x v="1"/>
    <n v="2026"/>
    <s v="Sell"/>
    <s v="Active"/>
    <s v="Brent"/>
    <d v="2026-08-31T00:00:00"/>
    <n v="-94"/>
    <s v="Brent"/>
    <d v="2026-09-30T00:00:00"/>
    <n v="94"/>
  </r>
  <r>
    <x v="30"/>
    <x v="79"/>
    <x v="9"/>
    <x v="0"/>
    <n v="-2000"/>
    <x v="8"/>
    <d v="2026-05-31T00:00:00"/>
    <n v="25000"/>
    <n v="25000"/>
    <n v="0"/>
    <n v="0"/>
    <x v="9"/>
    <s v="Sell"/>
    <n v="-50000000"/>
    <x v="4"/>
    <x v="3"/>
    <n v="2026"/>
    <s v="Sell"/>
    <s v="Active"/>
    <e v="#N/A"/>
    <d v="2026-05-31T00:00:00"/>
    <n v="-2000"/>
    <e v="#N/A"/>
    <d v="2026-05-31T00:00:00"/>
    <n v="2000"/>
  </r>
  <r>
    <x v="30"/>
    <x v="79"/>
    <x v="9"/>
    <x v="2"/>
    <n v="2000"/>
    <x v="8"/>
    <d v="2026-05-31T00:00:00"/>
    <n v="21000"/>
    <n v="25000"/>
    <n v="4000"/>
    <n v="4000"/>
    <x v="9"/>
    <s v="Buy"/>
    <n v="50000000"/>
    <x v="4"/>
    <x v="3"/>
    <n v="2026"/>
    <s v="Buy"/>
    <s v="Active"/>
    <e v="#N/A"/>
    <d v="2026-05-31T00:00:00"/>
    <n v="2000"/>
    <e v="#N/A"/>
    <d v="2026-05-31T00:00:00"/>
    <n v="-2000"/>
  </r>
  <r>
    <x v="30"/>
    <x v="79"/>
    <x v="7"/>
    <x v="2"/>
    <n v="2100"/>
    <x v="8"/>
    <d v="2026-06-30T00:00:00"/>
    <n v="5.56"/>
    <n v="2.19"/>
    <n v="-7076.9999999999991"/>
    <n v="11676"/>
    <x v="12"/>
    <s v="Buy"/>
    <n v="4599"/>
    <x v="3"/>
    <x v="2"/>
    <n v="2026"/>
    <s v="Buy"/>
    <s v="Active"/>
    <s v="WTI"/>
    <d v="2026-05-31T00:00:00"/>
    <n v="2100"/>
    <s v="WTI"/>
    <d v="2026-06-30T00:00:00"/>
    <n v="-2100"/>
  </r>
  <r>
    <x v="30"/>
    <x v="79"/>
    <x v="7"/>
    <x v="2"/>
    <n v="2100"/>
    <x v="6"/>
    <d v="2026-07-31T00:00:00"/>
    <n v="4.2400000000000011"/>
    <n v="4.28"/>
    <n v="83.999999999998209"/>
    <n v="8904.0000000000018"/>
    <x v="16"/>
    <s v="Buy"/>
    <n v="8988"/>
    <x v="3"/>
    <x v="2"/>
    <n v="2026"/>
    <s v="Buy"/>
    <s v="Active"/>
    <s v="WTI"/>
    <d v="2026-06-30T00:00:00"/>
    <n v="2100"/>
    <s v="WTI"/>
    <d v="2026-07-31T00:00:00"/>
    <n v="-2100"/>
  </r>
  <r>
    <x v="30"/>
    <x v="79"/>
    <x v="3"/>
    <x v="2"/>
    <n v="300"/>
    <x v="13"/>
    <d v="2026-08-31T00:00:00"/>
    <n v="4.5999999999999996"/>
    <n v="0.93"/>
    <n v="-1100.9999999999998"/>
    <n v="1380"/>
    <x v="17"/>
    <s v="Buy"/>
    <n v="279"/>
    <x v="3"/>
    <x v="1"/>
    <n v="2026"/>
    <s v="Buy"/>
    <s v="Active"/>
    <s v="Brent"/>
    <d v="2026-07-31T00:00:00"/>
    <n v="300"/>
    <s v="Brent"/>
    <d v="2026-08-31T00:00:00"/>
    <n v="-300"/>
  </r>
  <r>
    <x v="30"/>
    <x v="79"/>
    <x v="3"/>
    <x v="2"/>
    <n v="700"/>
    <x v="13"/>
    <d v="2026-08-31T00:00:00"/>
    <n v="4.7"/>
    <n v="0.93"/>
    <n v="-2639"/>
    <n v="3290"/>
    <x v="17"/>
    <s v="Buy"/>
    <n v="651"/>
    <x v="3"/>
    <x v="1"/>
    <n v="2026"/>
    <s v="Buy"/>
    <s v="Active"/>
    <s v="Brent"/>
    <d v="2026-07-31T00:00:00"/>
    <n v="700"/>
    <s v="Brent"/>
    <d v="2026-08-31T00:00:00"/>
    <n v="-700"/>
  </r>
  <r>
    <x v="30"/>
    <x v="79"/>
    <x v="3"/>
    <x v="2"/>
    <n v="1100"/>
    <x v="13"/>
    <d v="2026-08-31T00:00:00"/>
    <n v="4.92"/>
    <n v="0.93"/>
    <n v="-4389"/>
    <n v="5412"/>
    <x v="17"/>
    <s v="Buy"/>
    <n v="1023"/>
    <x v="3"/>
    <x v="1"/>
    <n v="2026"/>
    <s v="Buy"/>
    <s v="Active"/>
    <s v="Brent"/>
    <d v="2026-07-31T00:00:00"/>
    <n v="1100"/>
    <s v="Brent"/>
    <d v="2026-08-31T00:00:00"/>
    <n v="-1100"/>
  </r>
  <r>
    <x v="30"/>
    <x v="79"/>
    <x v="1"/>
    <x v="2"/>
    <n v="-57"/>
    <x v="8"/>
    <d v="2026-05-31T00:00:00"/>
    <n v="-12.93"/>
    <n v="-16.97"/>
    <n v="230.27999999999994"/>
    <n v="737.01"/>
    <x v="9"/>
    <s v="Sell"/>
    <n v="967.29"/>
    <x v="1"/>
    <x v="6"/>
    <n v="2026"/>
    <s v="Sell"/>
    <s v="Active"/>
    <s v="WTI"/>
    <d v="2026-05-31T00:00:00"/>
    <n v="-57"/>
    <s v="Brent"/>
    <d v="2026-05-31T00:00:00"/>
    <n v="57"/>
  </r>
  <r>
    <x v="30"/>
    <x v="79"/>
    <x v="3"/>
    <x v="2"/>
    <n v="-5"/>
    <x v="8"/>
    <d v="2026-06-30T00:00:00"/>
    <n v="7.25"/>
    <n v="14.38"/>
    <n v="-35.650000000000006"/>
    <n v="-36.25"/>
    <x v="12"/>
    <s v="Sell"/>
    <n v="-71.900000000000006"/>
    <x v="3"/>
    <x v="1"/>
    <n v="2026"/>
    <s v="Sell"/>
    <s v="Active"/>
    <s v="Brent"/>
    <d v="2026-05-31T00:00:00"/>
    <n v="-5"/>
    <s v="Brent"/>
    <d v="2026-06-30T00:00:00"/>
    <n v="5"/>
  </r>
  <r>
    <x v="30"/>
    <x v="79"/>
    <x v="7"/>
    <x v="2"/>
    <n v="214"/>
    <x v="8"/>
    <d v="2026-06-30T00:00:00"/>
    <n v="5.45"/>
    <n v="2.19"/>
    <n v="-697.6400000000001"/>
    <n v="1166.3"/>
    <x v="12"/>
    <s v="Buy"/>
    <n v="468.65999999999997"/>
    <x v="3"/>
    <x v="2"/>
    <n v="2026"/>
    <s v="Buy"/>
    <s v="Active"/>
    <s v="WTI"/>
    <d v="2026-05-31T00:00:00"/>
    <n v="214"/>
    <s v="WTI"/>
    <d v="2026-06-30T00:00:00"/>
    <n v="-214"/>
  </r>
  <r>
    <x v="30"/>
    <x v="79"/>
    <x v="7"/>
    <x v="2"/>
    <n v="75"/>
    <x v="6"/>
    <d v="2026-07-31T00:00:00"/>
    <n v="4.66"/>
    <n v="4.28"/>
    <n v="-28.499999999999993"/>
    <n v="349.5"/>
    <x v="16"/>
    <s v="Buy"/>
    <n v="321"/>
    <x v="3"/>
    <x v="2"/>
    <n v="2026"/>
    <s v="Buy"/>
    <s v="Active"/>
    <s v="WTI"/>
    <d v="2026-06-30T00:00:00"/>
    <n v="75"/>
    <s v="WTI"/>
    <d v="2026-07-31T00:00:00"/>
    <n v="-75"/>
  </r>
  <r>
    <x v="5"/>
    <x v="79"/>
    <x v="3"/>
    <x v="0"/>
    <n v="-117"/>
    <x v="6"/>
    <d v="2026-07-31T00:00:00"/>
    <n v="4.18"/>
    <n v="3.61"/>
    <n v="66.689999999999984"/>
    <n v="-489.05999999999995"/>
    <x v="16"/>
    <s v="Sell"/>
    <n v="-422.37"/>
    <x v="3"/>
    <x v="1"/>
    <n v="2026"/>
    <s v="Sell"/>
    <s v="Active"/>
    <s v="Brent"/>
    <d v="2026-06-30T00:00:00"/>
    <n v="-117"/>
    <s v="Brent"/>
    <d v="2026-07-31T00:00:00"/>
    <n v="117"/>
  </r>
  <r>
    <x v="5"/>
    <x v="80"/>
    <x v="4"/>
    <x v="2"/>
    <n v="-200"/>
    <x v="7"/>
    <d v="2026-04-30T00:00:00"/>
    <n v="10.4"/>
    <n v="17.678750000000008"/>
    <n v="-1455.7500000000016"/>
    <n v="-2080"/>
    <x v="8"/>
    <s v="Sell"/>
    <n v="-3535.7500000000018"/>
    <x v="1"/>
    <x v="4"/>
    <n v="2026"/>
    <s v="Sell"/>
    <s v="Active"/>
    <e v="#N/A"/>
    <d v="2026-04-30T00:00:00"/>
    <n v="-200"/>
    <e v="#N/A"/>
    <d v="2026-04-30T00:00:00"/>
    <n v="200"/>
  </r>
  <r>
    <x v="5"/>
    <x v="80"/>
    <x v="4"/>
    <x v="2"/>
    <n v="-100"/>
    <x v="7"/>
    <d v="2026-04-30T00:00:00"/>
    <n v="10.75"/>
    <n v="17.678750000000008"/>
    <n v="-692.8750000000008"/>
    <n v="-1075"/>
    <x v="8"/>
    <s v="Sell"/>
    <n v="-1767.8750000000009"/>
    <x v="1"/>
    <x v="4"/>
    <n v="2026"/>
    <s v="Sell"/>
    <s v="Active"/>
    <e v="#N/A"/>
    <d v="2026-04-30T00:00:00"/>
    <n v="-100"/>
    <e v="#N/A"/>
    <d v="2026-04-30T00:00:00"/>
    <n v="100"/>
  </r>
  <r>
    <x v="30"/>
    <x v="81"/>
    <x v="7"/>
    <x v="2"/>
    <n v="177"/>
    <x v="8"/>
    <d v="2026-06-30T00:00:00"/>
    <n v="8.2200000000000006"/>
    <n v="2.19"/>
    <n v="-1067.3100000000002"/>
    <n v="1454.94"/>
    <x v="12"/>
    <s v="Buy"/>
    <n v="387.63"/>
    <x v="3"/>
    <x v="2"/>
    <n v="2026"/>
    <s v="Buy"/>
    <s v="Active"/>
    <s v="WTI"/>
    <d v="2026-05-31T00:00:00"/>
    <n v="177"/>
    <s v="WTI"/>
    <d v="2026-06-30T00:00:00"/>
    <n v="-177"/>
  </r>
  <r>
    <x v="30"/>
    <x v="81"/>
    <x v="7"/>
    <x v="2"/>
    <n v="62"/>
    <x v="6"/>
    <d v="2026-07-31T00:00:00"/>
    <n v="6.63"/>
    <n v="4.28"/>
    <n v="-145.69999999999999"/>
    <n v="411.06"/>
    <x v="16"/>
    <s v="Buy"/>
    <n v="265.36"/>
    <x v="3"/>
    <x v="2"/>
    <n v="2026"/>
    <s v="Buy"/>
    <s v="Active"/>
    <s v="WTI"/>
    <d v="2026-06-30T00:00:00"/>
    <n v="62"/>
    <s v="WTI"/>
    <d v="2026-07-31T00:00:00"/>
    <n v="-62"/>
  </r>
  <r>
    <x v="5"/>
    <x v="81"/>
    <x v="4"/>
    <x v="2"/>
    <n v="-318"/>
    <x v="5"/>
    <d v="2026-03-31T00:00:00"/>
    <n v="11.45"/>
    <n v="11.45"/>
    <n v="0"/>
    <n v="-3641.1"/>
    <x v="10"/>
    <s v="Sell"/>
    <n v="-3641.1"/>
    <x v="1"/>
    <x v="4"/>
    <n v="2026"/>
    <s v="Sell"/>
    <s v="Active"/>
    <e v="#N/A"/>
    <d v="2026-03-31T00:00:00"/>
    <n v="-318"/>
    <e v="#N/A"/>
    <d v="2026-03-31T00:00:00"/>
    <n v="318"/>
  </r>
  <r>
    <x v="25"/>
    <x v="81"/>
    <x v="5"/>
    <x v="2"/>
    <n v="-25"/>
    <x v="5"/>
    <d v="2026-03-31T00:00:00"/>
    <n v="97.7"/>
    <n v="97.696500000000015"/>
    <n v="8.7499999999707256E-2"/>
    <n v="-2442.5"/>
    <x v="10"/>
    <s v="Sell"/>
    <n v="-2442.4125000000004"/>
    <x v="4"/>
    <x v="3"/>
    <n v="2026"/>
    <s v="Sell"/>
    <s v="Active"/>
    <e v="#N/A"/>
    <d v="2026-03-31T00:00:00"/>
    <n v="-25"/>
    <e v="#N/A"/>
    <d v="2026-03-31T00:00:00"/>
    <n v="25"/>
  </r>
  <r>
    <x v="30"/>
    <x v="82"/>
    <x v="1"/>
    <x v="2"/>
    <n v="115"/>
    <x v="13"/>
    <d v="2026-07-31T00:00:00"/>
    <n v="-9.4"/>
    <n v="-4.6900000000000004"/>
    <n v="541.65"/>
    <n v="-1081"/>
    <x v="13"/>
    <s v="Buy"/>
    <n v="-539.35"/>
    <x v="1"/>
    <x v="6"/>
    <n v="2026"/>
    <s v="Buy"/>
    <s v="Active"/>
    <s v="WTI"/>
    <d v="2026-07-31T00:00:00"/>
    <n v="115"/>
    <s v="Brent"/>
    <d v="2026-07-31T00:00:00"/>
    <n v="-115"/>
  </r>
  <r>
    <x v="5"/>
    <x v="83"/>
    <x v="7"/>
    <x v="2"/>
    <n v="-500"/>
    <x v="8"/>
    <d v="2026-06-30T00:00:00"/>
    <n v="14.45"/>
    <n v="2.19"/>
    <n v="6130"/>
    <n v="-7225"/>
    <x v="12"/>
    <s v="Sell"/>
    <n v="-1095"/>
    <x v="3"/>
    <x v="2"/>
    <n v="2026"/>
    <s v="Sell"/>
    <s v="Active"/>
    <s v="WTI"/>
    <d v="2026-05-31T00:00:00"/>
    <n v="-500"/>
    <s v="WTI"/>
    <d v="2026-06-30T00:00:00"/>
    <n v="500"/>
  </r>
  <r>
    <x v="5"/>
    <x v="83"/>
    <x v="7"/>
    <x v="2"/>
    <n v="-400"/>
    <x v="8"/>
    <d v="2026-06-30T00:00:00"/>
    <n v="13.5"/>
    <n v="2.19"/>
    <n v="4524"/>
    <n v="-5400"/>
    <x v="12"/>
    <s v="Sell"/>
    <n v="-876"/>
    <x v="3"/>
    <x v="2"/>
    <n v="2026"/>
    <s v="Sell"/>
    <s v="Active"/>
    <s v="WTI"/>
    <d v="2026-05-31T00:00:00"/>
    <n v="-400"/>
    <s v="WTI"/>
    <d v="2026-06-30T00:00:00"/>
    <n v="400"/>
  </r>
  <r>
    <x v="30"/>
    <x v="83"/>
    <x v="1"/>
    <x v="2"/>
    <n v="1950"/>
    <x v="13"/>
    <d v="2026-07-31T00:00:00"/>
    <n v="-10.050000000000001"/>
    <n v="-4.6900000000000004"/>
    <n v="10452"/>
    <n v="-19597.5"/>
    <x v="13"/>
    <s v="Buy"/>
    <n v="-9145.5"/>
    <x v="1"/>
    <x v="6"/>
    <n v="2026"/>
    <s v="Buy"/>
    <s v="Active"/>
    <s v="WTI"/>
    <d v="2026-07-31T00:00:00"/>
    <n v="1950"/>
    <s v="Brent"/>
    <d v="2026-07-31T00:00:00"/>
    <n v="-1950"/>
  </r>
  <r>
    <x v="25"/>
    <x v="84"/>
    <x v="10"/>
    <x v="2"/>
    <n v="-700"/>
    <x v="8"/>
    <d v="2026-05-31T00:00:00"/>
    <n v="7.1"/>
    <n v="7.1"/>
    <n v="0"/>
    <n v="-4970"/>
    <x v="9"/>
    <s v="Sell"/>
    <n v="-4970"/>
    <x v="1"/>
    <x v="5"/>
    <n v="2026"/>
    <s v="Sell"/>
    <s v="Active"/>
    <n v="0"/>
    <d v="2026-05-31T00:00:00"/>
    <n v="-700"/>
    <n v="0"/>
    <d v="2026-05-31T00:00:00"/>
    <n v="700"/>
  </r>
  <r>
    <x v="5"/>
    <x v="85"/>
    <x v="7"/>
    <x v="2"/>
    <n v="200"/>
    <x v="8"/>
    <d v="2026-06-30T00:00:00"/>
    <n v="13.7"/>
    <n v="2.19"/>
    <n v="-2302"/>
    <n v="2740"/>
    <x v="12"/>
    <s v="Buy"/>
    <n v="438"/>
    <x v="3"/>
    <x v="2"/>
    <n v="2026"/>
    <s v="Buy"/>
    <s v="Active"/>
    <s v="WTI"/>
    <d v="2026-05-31T00:00:00"/>
    <n v="200"/>
    <s v="WTI"/>
    <d v="2026-06-30T00:00:00"/>
    <n v="-200"/>
  </r>
  <r>
    <x v="5"/>
    <x v="85"/>
    <x v="7"/>
    <x v="2"/>
    <n v="103"/>
    <x v="8"/>
    <d v="2026-06-30T00:00:00"/>
    <n v="13.57"/>
    <n v="2.19"/>
    <n v="-1172.1400000000001"/>
    <n v="1397.71"/>
    <x v="12"/>
    <s v="Buy"/>
    <n v="225.57"/>
    <x v="3"/>
    <x v="2"/>
    <n v="2026"/>
    <s v="Buy"/>
    <s v="Active"/>
    <s v="WTI"/>
    <d v="2026-05-31T00:00:00"/>
    <n v="103"/>
    <s v="WTI"/>
    <d v="2026-06-30T00:00:00"/>
    <n v="-103"/>
  </r>
  <r>
    <x v="5"/>
    <x v="85"/>
    <x v="7"/>
    <x v="2"/>
    <n v="36"/>
    <x v="6"/>
    <d v="2026-07-31T00:00:00"/>
    <n v="8.5299999999999994"/>
    <n v="4.28"/>
    <n v="-152.99999999999997"/>
    <n v="307.08"/>
    <x v="16"/>
    <s v="Buy"/>
    <n v="154.08000000000001"/>
    <x v="3"/>
    <x v="2"/>
    <n v="2026"/>
    <s v="Buy"/>
    <s v="Active"/>
    <s v="WTI"/>
    <d v="2026-06-30T00:00:00"/>
    <n v="36"/>
    <s v="WTI"/>
    <d v="2026-07-31T00:00:00"/>
    <n v="-36"/>
  </r>
  <r>
    <x v="5"/>
    <x v="86"/>
    <x v="7"/>
    <x v="2"/>
    <n v="284"/>
    <x v="8"/>
    <d v="2026-06-30T00:00:00"/>
    <n v="6.66"/>
    <n v="2.19"/>
    <n v="-1269.4800000000002"/>
    <n v="1891.44"/>
    <x v="12"/>
    <s v="Buy"/>
    <n v="621.96"/>
    <x v="3"/>
    <x v="2"/>
    <n v="2026"/>
    <s v="Buy"/>
    <s v="Active"/>
    <s v="WTI"/>
    <d v="2026-05-31T00:00:00"/>
    <n v="284"/>
    <s v="WTI"/>
    <d v="2026-06-30T00:00:00"/>
    <n v="-284"/>
  </r>
  <r>
    <x v="5"/>
    <x v="86"/>
    <x v="7"/>
    <x v="2"/>
    <n v="29"/>
    <x v="6"/>
    <d v="2026-07-31T00:00:00"/>
    <n v="3.86"/>
    <n v="4.28"/>
    <n v="12.18000000000001"/>
    <n v="111.94"/>
    <x v="16"/>
    <s v="Buy"/>
    <n v="124.12"/>
    <x v="3"/>
    <x v="2"/>
    <n v="2026"/>
    <s v="Buy"/>
    <s v="Active"/>
    <s v="WTI"/>
    <d v="2026-06-30T00:00:00"/>
    <n v="29"/>
    <s v="WTI"/>
    <d v="2026-07-31T00:00:00"/>
    <n v="-29"/>
  </r>
  <r>
    <x v="30"/>
    <x v="87"/>
    <x v="1"/>
    <x v="2"/>
    <n v="-200"/>
    <x v="13"/>
    <d v="2026-07-31T00:00:00"/>
    <n v="-6.39"/>
    <n v="-4.6900000000000004"/>
    <n v="-339.99999999999989"/>
    <n v="1278"/>
    <x v="13"/>
    <s v="Sell"/>
    <n v="938.00000000000011"/>
    <x v="1"/>
    <x v="6"/>
    <n v="2026"/>
    <s v="Sell"/>
    <s v="Active"/>
    <s v="WTI"/>
    <d v="2026-07-31T00:00:00"/>
    <n v="-200"/>
    <s v="Brent"/>
    <d v="2026-07-31T00:00:00"/>
    <n v="200"/>
  </r>
  <r>
    <x v="5"/>
    <x v="87"/>
    <x v="7"/>
    <x v="2"/>
    <n v="84"/>
    <x v="8"/>
    <d v="2026-06-30T00:00:00"/>
    <n v="6.66"/>
    <n v="2.19"/>
    <n v="-375.48000000000008"/>
    <n v="559.44000000000005"/>
    <x v="12"/>
    <s v="Buy"/>
    <n v="183.96"/>
    <x v="3"/>
    <x v="2"/>
    <n v="2026"/>
    <s v="Buy"/>
    <s v="Active"/>
    <s v="WTI"/>
    <d v="2026-05-31T00:00:00"/>
    <n v="84"/>
    <s v="WTI"/>
    <d v="2026-06-30T00:00:00"/>
    <n v="-84"/>
  </r>
  <r>
    <x v="5"/>
    <x v="87"/>
    <x v="7"/>
    <x v="2"/>
    <n v="29"/>
    <x v="6"/>
    <d v="2026-07-31T00:00:00"/>
    <n v="3.86"/>
    <n v="4.28"/>
    <n v="12.18000000000001"/>
    <n v="111.94"/>
    <x v="16"/>
    <s v="Buy"/>
    <n v="124.12"/>
    <x v="3"/>
    <x v="2"/>
    <n v="2026"/>
    <s v="Buy"/>
    <s v="Active"/>
    <s v="WTI"/>
    <d v="2026-06-30T00:00:00"/>
    <n v="29"/>
    <s v="WTI"/>
    <d v="2026-07-31T00:00:00"/>
    <n v="-29"/>
  </r>
  <r>
    <x v="5"/>
    <x v="87"/>
    <x v="7"/>
    <x v="2"/>
    <n v="-16"/>
    <x v="8"/>
    <d v="2026-06-30T00:00:00"/>
    <n v="9.59"/>
    <n v="2.19"/>
    <n v="118.4"/>
    <n v="-153.44"/>
    <x v="12"/>
    <s v="Sell"/>
    <n v="-35.04"/>
    <x v="3"/>
    <x v="2"/>
    <n v="2026"/>
    <s v="Sell"/>
    <s v="Active"/>
    <s v="WTI"/>
    <d v="2026-05-31T00:00:00"/>
    <n v="-16"/>
    <s v="WTI"/>
    <d v="2026-06-30T00:00:00"/>
    <n v="16"/>
  </r>
  <r>
    <x v="5"/>
    <x v="87"/>
    <x v="7"/>
    <x v="2"/>
    <n v="-200"/>
    <x v="8"/>
    <d v="2026-06-30T00:00:00"/>
    <n v="9.65"/>
    <n v="2.19"/>
    <n v="1492.0000000000002"/>
    <n v="-1930"/>
    <x v="12"/>
    <s v="Sell"/>
    <n v="-438"/>
    <x v="3"/>
    <x v="2"/>
    <n v="2026"/>
    <s v="Sell"/>
    <s v="Active"/>
    <s v="WTI"/>
    <d v="2026-05-31T00:00:00"/>
    <n v="-200"/>
    <s v="WTI"/>
    <d v="2026-06-30T00:00:00"/>
    <n v="200"/>
  </r>
  <r>
    <x v="5"/>
    <x v="88"/>
    <x v="4"/>
    <x v="2"/>
    <n v="-250"/>
    <x v="7"/>
    <d v="2026-04-30T00:00:00"/>
    <n v="20.149999999999999"/>
    <n v="13.428000000000006"/>
    <n v="1680.4999999999982"/>
    <n v="-5037.5"/>
    <x v="8"/>
    <s v="Sell"/>
    <n v="-3357.0000000000014"/>
    <x v="1"/>
    <x v="4"/>
    <n v="2026"/>
    <s v="Sell"/>
    <s v="Active"/>
    <e v="#N/A"/>
    <d v="2026-04-30T00:00:00"/>
    <n v="-250"/>
    <e v="#N/A"/>
    <d v="2026-04-30T00:00:00"/>
    <n v="250"/>
  </r>
  <r>
    <x v="30"/>
    <x v="89"/>
    <x v="1"/>
    <x v="2"/>
    <n v="200"/>
    <x v="13"/>
    <d v="2026-07-31T00:00:00"/>
    <n v="-5.75"/>
    <n v="-4.6900000000000004"/>
    <n v="211.99999999999991"/>
    <n v="-1150"/>
    <x v="13"/>
    <s v="Buy"/>
    <n v="-938.00000000000011"/>
    <x v="1"/>
    <x v="6"/>
    <n v="2026"/>
    <s v="Buy"/>
    <s v="Active"/>
    <s v="WTI"/>
    <d v="2026-07-31T00:00:00"/>
    <n v="200"/>
    <s v="Brent"/>
    <d v="2026-07-31T00:00:00"/>
    <n v="-200"/>
  </r>
  <r>
    <x v="5"/>
    <x v="90"/>
    <x v="7"/>
    <x v="2"/>
    <n v="-450"/>
    <x v="8"/>
    <d v="2026-06-30T00:00:00"/>
    <n v="3.24"/>
    <n v="2.19"/>
    <n v="472.50000000000011"/>
    <n v="-1458"/>
    <x v="12"/>
    <s v="Sell"/>
    <n v="-985.5"/>
    <x v="3"/>
    <x v="2"/>
    <n v="2026"/>
    <s v="Sell"/>
    <s v="Active"/>
    <s v="WTI"/>
    <d v="2026-05-31T00:00:00"/>
    <n v="-450"/>
    <s v="WTI"/>
    <d v="2026-06-30T00:00:00"/>
    <n v="450"/>
  </r>
  <r>
    <x v="5"/>
    <x v="90"/>
    <x v="7"/>
    <x v="2"/>
    <n v="450"/>
    <x v="6"/>
    <d v="2026-07-31T00:00:00"/>
    <n v="3.53"/>
    <n v="4.28"/>
    <n v="337.50000000000023"/>
    <n v="1588.5"/>
    <x v="16"/>
    <s v="Buy"/>
    <n v="1926"/>
    <x v="3"/>
    <x v="2"/>
    <n v="2026"/>
    <s v="Buy"/>
    <s v="Active"/>
    <s v="WTI"/>
    <d v="2026-06-30T00:00:00"/>
    <n v="450"/>
    <s v="WTI"/>
    <d v="2026-07-31T00:00:00"/>
    <n v="-450"/>
  </r>
  <r>
    <x v="5"/>
    <x v="91"/>
    <x v="7"/>
    <x v="2"/>
    <n v="-600"/>
    <x v="6"/>
    <d v="2026-07-31T00:00:00"/>
    <n v="2.16"/>
    <n v="4.28"/>
    <n v="-1272"/>
    <n v="-1296"/>
    <x v="16"/>
    <s v="Sell"/>
    <n v="-2568"/>
    <x v="3"/>
    <x v="2"/>
    <n v="2026"/>
    <s v="Sell"/>
    <s v="Active"/>
    <s v="WTI"/>
    <d v="2026-06-30T00:00:00"/>
    <n v="-600"/>
    <s v="WTI"/>
    <d v="2026-07-31T00:00:00"/>
    <n v="600"/>
  </r>
  <r>
    <x v="5"/>
    <x v="92"/>
    <x v="7"/>
    <x v="2"/>
    <n v="-40"/>
    <x v="8"/>
    <d v="2026-06-30T00:00:00"/>
    <n v="2.19"/>
    <n v="2.19"/>
    <n v="0"/>
    <n v="-87.6"/>
    <x v="12"/>
    <s v="Sell"/>
    <n v="-87.6"/>
    <x v="3"/>
    <x v="2"/>
    <n v="2026"/>
    <s v="Sell"/>
    <s v="Active"/>
    <s v="WTI"/>
    <d v="2026-05-31T00:00:00"/>
    <n v="-40"/>
    <s v="WTI"/>
    <d v="2026-06-30T00:00:00"/>
    <n v="40"/>
  </r>
  <r>
    <x v="31"/>
    <x v="93"/>
    <x v="2"/>
    <x v="0"/>
    <n v="2139"/>
    <x v="8"/>
    <d v="2026-05-31T00:00:00"/>
    <n v="26.890467508181395"/>
    <n v="28.33"/>
    <n v="3079.1599999999926"/>
    <n v="57518.710000000006"/>
    <x v="9"/>
    <s v="Buy"/>
    <n v="60597.869999999995"/>
    <x v="2"/>
    <x v="7"/>
    <n v="2026"/>
    <s v="Buy"/>
    <s v="Active"/>
    <n v="0"/>
    <d v="2026-05-31T00:00:00"/>
    <n v="2139"/>
    <n v="0"/>
    <d v="2026-05-31T00:00:00"/>
    <n v="-2139"/>
  </r>
  <r>
    <x v="31"/>
    <x v="93"/>
    <x v="7"/>
    <x v="0"/>
    <n v="-2100"/>
    <x v="6"/>
    <d v="2026-07-31T00:00:00"/>
    <n v="4.58"/>
    <n v="4.28"/>
    <n v="629.99999999999966"/>
    <n v="-9618"/>
    <x v="16"/>
    <s v="Sell"/>
    <n v="-8988"/>
    <x v="3"/>
    <x v="2"/>
    <n v="2026"/>
    <s v="Sell"/>
    <s v="Active"/>
    <s v="WTI"/>
    <d v="2026-06-30T00:00:00"/>
    <n v="-2100"/>
    <s v="WTI"/>
    <d v="2026-07-31T00:00:00"/>
    <n v="2100"/>
  </r>
  <r>
    <x v="31"/>
    <x v="93"/>
    <x v="7"/>
    <x v="0"/>
    <n v="-2139"/>
    <x v="13"/>
    <d v="2026-08-31T00:00:00"/>
    <n v="3.95"/>
    <n v="0.75"/>
    <n v="6844.8"/>
    <n v="-8449.0500000000011"/>
    <x v="17"/>
    <s v="Sell"/>
    <n v="-1604.25"/>
    <x v="3"/>
    <x v="2"/>
    <n v="2026"/>
    <s v="Sell"/>
    <s v="Active"/>
    <s v="WTI"/>
    <d v="2026-07-31T00:00:00"/>
    <n v="-2139"/>
    <s v="WTI"/>
    <d v="2026-08-31T00:00:00"/>
    <n v="2139"/>
  </r>
  <r>
    <x v="31"/>
    <x v="93"/>
    <x v="7"/>
    <x v="0"/>
    <n v="-778.16820000000007"/>
    <x v="14"/>
    <d v="2026-09-30T00:00:00"/>
    <n v="2.92"/>
    <n v="0.75"/>
    <n v="1688.624994"/>
    <n v="-2272.2511440000003"/>
    <x v="18"/>
    <s v="Sell"/>
    <n v="-583.62615000000005"/>
    <x v="3"/>
    <x v="2"/>
    <n v="2026"/>
    <s v="Sell"/>
    <s v="Active"/>
    <s v="WTI"/>
    <d v="2026-08-31T00:00:00"/>
    <n v="-778.16820000000007"/>
    <s v="WTI"/>
    <d v="2026-09-30T00:00:00"/>
    <n v="778.16820000000007"/>
  </r>
  <r>
    <x v="31"/>
    <x v="93"/>
    <x v="7"/>
    <x v="2"/>
    <n v="2100"/>
    <x v="6"/>
    <d v="2026-07-31T00:00:00"/>
    <n v="4.58"/>
    <n v="4.28"/>
    <n v="-629.99999999999966"/>
    <n v="9618"/>
    <x v="16"/>
    <s v="Buy"/>
    <n v="8988"/>
    <x v="3"/>
    <x v="2"/>
    <n v="2026"/>
    <s v="Buy"/>
    <s v="Active"/>
    <s v="WTI"/>
    <d v="2026-06-30T00:00:00"/>
    <n v="2100"/>
    <s v="WTI"/>
    <d v="2026-07-31T00:00:00"/>
    <n v="-2100"/>
  </r>
  <r>
    <x v="31"/>
    <x v="93"/>
    <x v="7"/>
    <x v="2"/>
    <n v="2100"/>
    <x v="13"/>
    <d v="2026-08-31T00:00:00"/>
    <n v="3.95"/>
    <n v="0.75"/>
    <n v="-6720"/>
    <n v="8295"/>
    <x v="17"/>
    <s v="Buy"/>
    <n v="1575"/>
    <x v="3"/>
    <x v="2"/>
    <n v="2026"/>
    <s v="Buy"/>
    <s v="Active"/>
    <s v="WTI"/>
    <d v="2026-07-31T00:00:00"/>
    <n v="2100"/>
    <s v="WTI"/>
    <d v="2026-08-31T00:00:00"/>
    <n v="-2100"/>
  </r>
  <r>
    <x v="31"/>
    <x v="93"/>
    <x v="7"/>
    <x v="2"/>
    <n v="764"/>
    <x v="14"/>
    <d v="2026-09-30T00:00:00"/>
    <n v="2.92"/>
    <n v="0.75"/>
    <n v="-1657.8799999999999"/>
    <n v="2230.88"/>
    <x v="18"/>
    <s v="Buy"/>
    <n v="573"/>
    <x v="3"/>
    <x v="2"/>
    <n v="2026"/>
    <s v="Buy"/>
    <s v="Active"/>
    <s v="WTI"/>
    <d v="2026-08-31T00:00:00"/>
    <n v="764"/>
    <s v="WTI"/>
    <d v="2026-09-30T00:00:00"/>
    <n v="-764"/>
  </r>
  <r>
    <x v="5"/>
    <x v="94"/>
    <x v="3"/>
    <x v="2"/>
    <n v="100"/>
    <x v="6"/>
    <d v="2026-07-31T00:00:00"/>
    <n v="5.35"/>
    <n v="3.61"/>
    <n v="-173.99999999999997"/>
    <n v="535"/>
    <x v="16"/>
    <s v="Buy"/>
    <n v="361"/>
    <x v="3"/>
    <x v="1"/>
    <n v="2026"/>
    <s v="Buy"/>
    <s v="Active"/>
    <s v="Brent"/>
    <d v="2026-06-30T00:00:00"/>
    <n v="100"/>
    <s v="Brent"/>
    <d v="2026-07-31T00:00:00"/>
    <n v="-100"/>
  </r>
  <r>
    <x v="32"/>
    <x v="95"/>
    <x v="2"/>
    <x v="0"/>
    <n v="700"/>
    <x v="6"/>
    <d v="2026-06-30T00:00:00"/>
    <n v="-0.28060000000000063"/>
    <n v="0.03"/>
    <n v="217.42000000000047"/>
    <n v="-196.42000000000044"/>
    <x v="7"/>
    <s v="Buy"/>
    <n v="21"/>
    <x v="2"/>
    <x v="7"/>
    <n v="2026"/>
    <s v="Buy"/>
    <s v="Active"/>
    <n v="0"/>
    <d v="2026-06-30T00:00:00"/>
    <n v="700"/>
    <n v="0"/>
    <d v="2026-06-30T00:00:00"/>
    <n v="-700"/>
  </r>
  <r>
    <x v="32"/>
    <x v="95"/>
    <x v="1"/>
    <x v="0"/>
    <n v="-700"/>
    <x v="6"/>
    <d v="2026-05-31T00:00:00"/>
    <n v="-11.33"/>
    <n v="-8.94"/>
    <n v="-1673.0000000000005"/>
    <n v="7931"/>
    <x v="19"/>
    <s v="Sell"/>
    <n v="6258"/>
    <x v="1"/>
    <x v="6"/>
    <n v="2026"/>
    <s v="Sell"/>
    <s v="Active"/>
    <s v="WTI"/>
    <d v="2026-06-30T00:00:00"/>
    <n v="-700"/>
    <s v="Brent"/>
    <d v="2026-05-31T00:00:00"/>
    <n v="700"/>
  </r>
  <r>
    <x v="32"/>
    <x v="95"/>
    <x v="1"/>
    <x v="2"/>
    <n v="700"/>
    <x v="6"/>
    <d v="2026-05-31T00:00:00"/>
    <n v="-11.33"/>
    <n v="-8.94"/>
    <n v="1673.0000000000005"/>
    <n v="-7931"/>
    <x v="19"/>
    <s v="Buy"/>
    <n v="-6258"/>
    <x v="1"/>
    <x v="6"/>
    <n v="2026"/>
    <s v="Buy"/>
    <s v="Active"/>
    <s v="WTI"/>
    <d v="2026-06-30T00:00:00"/>
    <n v="700"/>
    <s v="Brent"/>
    <d v="2026-05-31T00:00:00"/>
    <n v="-700"/>
  </r>
  <r>
    <x v="32"/>
    <x v="95"/>
    <x v="5"/>
    <x v="0"/>
    <n v="-700"/>
    <x v="8"/>
    <d v="2026-06-30T00:00:00"/>
    <n v="387.5"/>
    <n v="233.75"/>
    <n v="2310.7087499999998"/>
    <n v="-271250"/>
    <x v="9"/>
    <s v="Sell"/>
    <n v="-163625"/>
    <x v="4"/>
    <x v="3"/>
    <n v="2026"/>
    <s v="Sell"/>
    <s v="Active"/>
    <e v="#N/A"/>
    <d v="2026-05-31T00:00:00"/>
    <n v="-700"/>
    <e v="#N/A"/>
    <d v="2026-06-30T00:00:00"/>
    <n v="700"/>
  </r>
  <r>
    <x v="32"/>
    <x v="95"/>
    <x v="5"/>
    <x v="2"/>
    <n v="700"/>
    <x v="8"/>
    <d v="2026-06-30T00:00:00"/>
    <n v="242.5"/>
    <n v="233.75"/>
    <n v="-131.50374999999997"/>
    <n v="169750"/>
    <x v="9"/>
    <s v="Buy"/>
    <n v="163625"/>
    <x v="4"/>
    <x v="3"/>
    <n v="2026"/>
    <s v="Buy"/>
    <s v="Active"/>
    <e v="#N/A"/>
    <d v="2026-05-31T00:00:00"/>
    <n v="700"/>
    <e v="#N/A"/>
    <d v="2026-06-30T00:00:00"/>
    <n v="-700"/>
  </r>
  <r>
    <x v="32"/>
    <x v="95"/>
    <x v="6"/>
    <x v="0"/>
    <n v="700"/>
    <x v="6"/>
    <d v="2026-06-30T00:00:00"/>
    <n v="210"/>
    <n v="146.75"/>
    <n v="-397.57368750000001"/>
    <n v="147000"/>
    <x v="7"/>
    <s v="Buy"/>
    <n v="102725"/>
    <x v="4"/>
    <x v="3"/>
    <n v="2026"/>
    <s v="Buy"/>
    <s v="Active"/>
    <e v="#N/A"/>
    <d v="2026-06-30T00:00:00"/>
    <n v="700"/>
    <e v="#N/A"/>
    <d v="2026-06-30T00:00:00"/>
    <n v="-700"/>
  </r>
  <r>
    <x v="33"/>
    <x v="95"/>
    <x v="2"/>
    <x v="0"/>
    <n v="700"/>
    <x v="6"/>
    <d v="2026-06-30T00:00:00"/>
    <n v="-0.28060000000000063"/>
    <n v="0.03"/>
    <n v="217.42000000000047"/>
    <n v="-196.42000000000044"/>
    <x v="7"/>
    <s v="Buy"/>
    <n v="21"/>
    <x v="2"/>
    <x v="7"/>
    <n v="2026"/>
    <s v="Buy"/>
    <s v="Active"/>
    <n v="0"/>
    <d v="2026-06-30T00:00:00"/>
    <n v="700"/>
    <n v="0"/>
    <d v="2026-06-30T00:00:00"/>
    <n v="-700"/>
  </r>
  <r>
    <x v="33"/>
    <x v="95"/>
    <x v="1"/>
    <x v="0"/>
    <n v="-700"/>
    <x v="6"/>
    <d v="2026-05-31T00:00:00"/>
    <n v="-11.33"/>
    <n v="-8.94"/>
    <n v="-1673.0000000000005"/>
    <n v="7931"/>
    <x v="19"/>
    <s v="Sell"/>
    <n v="6258"/>
    <x v="1"/>
    <x v="6"/>
    <n v="2026"/>
    <s v="Sell"/>
    <s v="Active"/>
    <s v="WTI"/>
    <d v="2026-06-30T00:00:00"/>
    <n v="-700"/>
    <s v="Brent"/>
    <d v="2026-05-31T00:00:00"/>
    <n v="700"/>
  </r>
  <r>
    <x v="33"/>
    <x v="95"/>
    <x v="1"/>
    <x v="2"/>
    <n v="700"/>
    <x v="6"/>
    <d v="2026-05-31T00:00:00"/>
    <n v="-11.33"/>
    <n v="-8.94"/>
    <n v="1673.0000000000005"/>
    <n v="-7931"/>
    <x v="19"/>
    <s v="Buy"/>
    <n v="-6258"/>
    <x v="1"/>
    <x v="6"/>
    <n v="2026"/>
    <s v="Buy"/>
    <s v="Active"/>
    <s v="WTI"/>
    <d v="2026-06-30T00:00:00"/>
    <n v="700"/>
    <s v="Brent"/>
    <d v="2026-05-31T00:00:00"/>
    <n v="-700"/>
  </r>
  <r>
    <x v="33"/>
    <x v="95"/>
    <x v="5"/>
    <x v="0"/>
    <n v="-700"/>
    <x v="8"/>
    <d v="2026-06-30T00:00:00"/>
    <n v="387.5"/>
    <n v="233.75"/>
    <n v="2310.7087499999998"/>
    <n v="-271250"/>
    <x v="9"/>
    <s v="Sell"/>
    <n v="-163625"/>
    <x v="4"/>
    <x v="3"/>
    <n v="2026"/>
    <s v="Sell"/>
    <s v="Active"/>
    <e v="#N/A"/>
    <d v="2026-05-31T00:00:00"/>
    <n v="-700"/>
    <e v="#N/A"/>
    <d v="2026-06-30T00:00:00"/>
    <n v="700"/>
  </r>
  <r>
    <x v="32"/>
    <x v="95"/>
    <x v="5"/>
    <x v="2"/>
    <n v="700"/>
    <x v="8"/>
    <d v="2026-06-30T00:00:00"/>
    <n v="225"/>
    <n v="233.75"/>
    <n v="131.50374999999997"/>
    <n v="157500"/>
    <x v="9"/>
    <s v="Buy"/>
    <n v="163625"/>
    <x v="4"/>
    <x v="3"/>
    <n v="2026"/>
    <s v="Buy"/>
    <s v="Active"/>
    <e v="#N/A"/>
    <d v="2026-05-31T00:00:00"/>
    <n v="700"/>
    <e v="#N/A"/>
    <d v="2026-06-30T00:00:00"/>
    <n v="-700"/>
  </r>
  <r>
    <x v="33"/>
    <x v="95"/>
    <x v="6"/>
    <x v="0"/>
    <n v="700"/>
    <x v="6"/>
    <d v="2026-06-30T00:00:00"/>
    <n v="210"/>
    <n v="146.75"/>
    <n v="-397.57368750000001"/>
    <n v="147000"/>
    <x v="7"/>
    <s v="Buy"/>
    <n v="102725"/>
    <x v="4"/>
    <x v="3"/>
    <n v="2026"/>
    <s v="Buy"/>
    <s v="Active"/>
    <e v="#N/A"/>
    <d v="2026-06-30T00:00:00"/>
    <n v="700"/>
    <e v="#N/A"/>
    <d v="2026-06-30T00:00:00"/>
    <n v="-700"/>
  </r>
  <r>
    <x v="28"/>
    <x v="96"/>
    <x v="4"/>
    <x v="2"/>
    <n v="15"/>
    <x v="8"/>
    <d v="2026-05-31T00:00:00"/>
    <n v="8.85"/>
    <n v="3.68"/>
    <n v="-77.55"/>
    <n v="132.75"/>
    <x v="9"/>
    <s v="Buy"/>
    <n v="55.2"/>
    <x v="1"/>
    <x v="4"/>
    <n v="2026"/>
    <s v="Buy"/>
    <s v="Active"/>
    <e v="#N/A"/>
    <d v="2026-05-31T00:00:00"/>
    <n v="15"/>
    <e v="#N/A"/>
    <d v="2026-05-31T00:00:00"/>
    <n v="-15"/>
  </r>
  <r>
    <x v="5"/>
    <x v="96"/>
    <x v="3"/>
    <x v="2"/>
    <n v="9"/>
    <x v="6"/>
    <d v="2026-07-31T00:00:00"/>
    <n v="7.59"/>
    <n v="3.61"/>
    <n v="-35.82"/>
    <n v="68.31"/>
    <x v="16"/>
    <s v="Buy"/>
    <n v="32.49"/>
    <x v="3"/>
    <x v="1"/>
    <n v="2026"/>
    <s v="Buy"/>
    <s v="Active"/>
    <s v="Brent"/>
    <d v="2026-06-30T00:00:00"/>
    <n v="9"/>
    <s v="Brent"/>
    <d v="2026-07-31T00:00:00"/>
    <n v="-9"/>
  </r>
  <r>
    <x v="32"/>
    <x v="96"/>
    <x v="1"/>
    <x v="2"/>
    <n v="-35"/>
    <x v="6"/>
    <d v="2026-06-30T00:00:00"/>
    <n v="-11.15"/>
    <n v="-8.94"/>
    <n v="-77.350000000000023"/>
    <n v="390.25"/>
    <x v="7"/>
    <s v="Sell"/>
    <n v="312.89999999999998"/>
    <x v="1"/>
    <x v="6"/>
    <n v="2026"/>
    <s v="Sell"/>
    <s v="Active"/>
    <s v="WTI"/>
    <d v="2026-06-30T00:00:00"/>
    <n v="-35"/>
    <s v="Brent"/>
    <d v="2026-06-30T00:00:00"/>
    <n v="35"/>
  </r>
  <r>
    <x v="5"/>
    <x v="97"/>
    <x v="4"/>
    <x v="2"/>
    <n v="250"/>
    <x v="7"/>
    <d v="2026-04-30T00:00:00"/>
    <n v="13.43"/>
    <n v="13.428000000000006"/>
    <n v="-0.49999999999839062"/>
    <n v="3357.5"/>
    <x v="8"/>
    <s v="Buy"/>
    <n v="3357.0000000000014"/>
    <x v="1"/>
    <x v="4"/>
    <n v="2026"/>
    <s v="Buy"/>
    <s v="Active"/>
    <e v="#N/A"/>
    <d v="2026-04-30T00:00:00"/>
    <n v="250"/>
    <e v="#N/A"/>
    <d v="2026-04-30T00:00:00"/>
    <n v="-250"/>
  </r>
  <r>
    <x v="5"/>
    <x v="80"/>
    <x v="4"/>
    <x v="2"/>
    <n v="-600"/>
    <x v="7"/>
    <d v="2026-04-30T00:00:00"/>
    <n v="17.678750000000008"/>
    <n v="17.678750000000008"/>
    <n v="0"/>
    <n v="-10607.250000000005"/>
    <x v="8"/>
    <s v="Sell"/>
    <n v="-10607.250000000005"/>
    <x v="1"/>
    <x v="4"/>
    <n v="2026"/>
    <s v="Sell"/>
    <s v="Active"/>
    <e v="#N/A"/>
    <d v="2026-04-30T00:00:00"/>
    <n v="-600"/>
    <e v="#N/A"/>
    <d v="2026-04-30T00:00:00"/>
    <n v="600"/>
  </r>
  <r>
    <x v="22"/>
    <x v="58"/>
    <x v="6"/>
    <x v="2"/>
    <n v="-700"/>
    <x v="7"/>
    <d v="2026-04-30T00:00:00"/>
    <n v="313.25"/>
    <n v="313.25"/>
    <n v="0"/>
    <n v="-219275"/>
    <x v="8"/>
    <s v="Sell"/>
    <n v="-219275"/>
    <x v="4"/>
    <x v="3"/>
    <n v="2026"/>
    <s v="Sell"/>
    <s v="Active"/>
    <e v="#N/A"/>
    <d v="2026-04-30T00:00:00"/>
    <n v="-700"/>
    <e v="#N/A"/>
    <d v="2026-04-30T00:00:00"/>
    <n v="700"/>
  </r>
  <r>
    <x v="34"/>
    <x v="98"/>
    <x v="2"/>
    <x v="0"/>
    <n v="700"/>
    <x v="6"/>
    <d v="2026-06-30T00:00:00"/>
    <n v="1.2999999999999972"/>
    <n v="1.55"/>
    <n v="175.00000000000202"/>
    <n v="909.99999999999795"/>
    <x v="7"/>
    <s v="Buy"/>
    <n v="1085"/>
    <x v="2"/>
    <x v="7"/>
    <n v="2026"/>
    <s v="Buy"/>
    <s v="Active"/>
    <n v="0"/>
    <d v="2026-06-30T00:00:00"/>
    <n v="700"/>
    <n v="0"/>
    <d v="2026-06-30T00:00:00"/>
    <n v="-700"/>
  </r>
  <r>
    <x v="34"/>
    <x v="98"/>
    <x v="7"/>
    <x v="0"/>
    <n v="-700"/>
    <x v="6"/>
    <d v="2026-07-31T00:00:00"/>
    <n v="3.86"/>
    <n v="4.28"/>
    <n v="-294.00000000000028"/>
    <n v="-2702"/>
    <x v="16"/>
    <s v="Sell"/>
    <n v="-2996"/>
    <x v="3"/>
    <x v="2"/>
    <n v="2026"/>
    <s v="Sell"/>
    <s v="Active"/>
    <s v="WTI"/>
    <d v="2026-06-30T00:00:00"/>
    <n v="-700"/>
    <s v="WTI"/>
    <d v="2026-07-31T00:00:00"/>
    <n v="700"/>
  </r>
  <r>
    <x v="34"/>
    <x v="98"/>
    <x v="7"/>
    <x v="0"/>
    <n v="-700"/>
    <x v="13"/>
    <d v="2026-08-31T00:00:00"/>
    <n v="4.3899999999999997"/>
    <n v="0.75"/>
    <n v="2548"/>
    <n v="-3073"/>
    <x v="17"/>
    <s v="Sell"/>
    <n v="-525"/>
    <x v="3"/>
    <x v="2"/>
    <n v="2026"/>
    <s v="Sell"/>
    <s v="Active"/>
    <s v="WTI"/>
    <d v="2026-07-31T00:00:00"/>
    <n v="-700"/>
    <s v="WTI"/>
    <d v="2026-08-31T00:00:00"/>
    <n v="700"/>
  </r>
  <r>
    <x v="34"/>
    <x v="98"/>
    <x v="1"/>
    <x v="0"/>
    <n v="-700"/>
    <x v="14"/>
    <d v="2026-08-31T00:00:00"/>
    <n v="-11.55"/>
    <n v="-3.42"/>
    <n v="-5691.0000000000009"/>
    <n v="8085.0000000000009"/>
    <x v="14"/>
    <s v="Sell"/>
    <n v="2394"/>
    <x v="1"/>
    <x v="6"/>
    <n v="2026"/>
    <s v="Sell"/>
    <s v="Active"/>
    <s v="WTI"/>
    <d v="2026-08-31T00:00:00"/>
    <n v="-700"/>
    <s v="Brent"/>
    <d v="2026-08-31T00:00:00"/>
    <n v="700"/>
  </r>
  <r>
    <x v="34"/>
    <x v="99"/>
    <x v="7"/>
    <x v="2"/>
    <n v="211"/>
    <x v="6"/>
    <d v="2026-07-31T00:00:00"/>
    <n v="3.74"/>
    <n v="4.28"/>
    <n v="113.94000000000001"/>
    <n v="789.1400000000001"/>
    <x v="16"/>
    <s v="Buy"/>
    <n v="903.08"/>
    <x v="3"/>
    <x v="2"/>
    <n v="2026"/>
    <s v="Buy"/>
    <s v="Active"/>
    <s v="WTI"/>
    <d v="2026-06-30T00:00:00"/>
    <n v="211"/>
    <s v="WTI"/>
    <d v="2026-07-31T00:00:00"/>
    <n v="-211"/>
  </r>
  <r>
    <x v="34"/>
    <x v="99"/>
    <x v="7"/>
    <x v="2"/>
    <n v="60"/>
    <x v="13"/>
    <d v="2026-08-31T00:00:00"/>
    <n v="3.74"/>
    <n v="0.75"/>
    <n v="-179.4"/>
    <n v="224.4"/>
    <x v="17"/>
    <s v="Buy"/>
    <n v="45"/>
    <x v="3"/>
    <x v="2"/>
    <n v="2026"/>
    <s v="Buy"/>
    <s v="Active"/>
    <s v="WTI"/>
    <d v="2026-07-31T00:00:00"/>
    <n v="60"/>
    <s v="WTI"/>
    <d v="2026-08-31T00:00:00"/>
    <n v="-60"/>
  </r>
  <r>
    <x v="34"/>
    <x v="99"/>
    <x v="7"/>
    <x v="2"/>
    <n v="500"/>
    <x v="6"/>
    <d v="2026-07-31T00:00:00"/>
    <n v="3.74"/>
    <n v="4.28"/>
    <n v="270"/>
    <n v="1870"/>
    <x v="16"/>
    <s v="Buy"/>
    <n v="2140"/>
    <x v="3"/>
    <x v="2"/>
    <n v="2026"/>
    <s v="Buy"/>
    <s v="Active"/>
    <s v="WTI"/>
    <d v="2026-06-30T00:00:00"/>
    <n v="500"/>
    <s v="WTI"/>
    <d v="2026-07-31T00:00:00"/>
    <n v="-500"/>
  </r>
  <r>
    <x v="34"/>
    <x v="99"/>
    <x v="7"/>
    <x v="2"/>
    <n v="500"/>
    <x v="13"/>
    <d v="2026-08-31T00:00:00"/>
    <n v="3.74"/>
    <n v="0.75"/>
    <n v="-1495"/>
    <n v="1870"/>
    <x v="17"/>
    <s v="Buy"/>
    <n v="375"/>
    <x v="3"/>
    <x v="2"/>
    <n v="2026"/>
    <s v="Buy"/>
    <s v="Active"/>
    <s v="WTI"/>
    <d v="2026-07-31T00:00:00"/>
    <n v="500"/>
    <s v="WTI"/>
    <d v="2026-08-31T00:00:00"/>
    <n v="-500"/>
  </r>
  <r>
    <x v="34"/>
    <x v="99"/>
    <x v="1"/>
    <x v="2"/>
    <n v="-310"/>
    <x v="14"/>
    <d v="2026-08-31T00:00:00"/>
    <n v="-8.75"/>
    <n v="-3.42"/>
    <n v="-1652.3"/>
    <n v="2712.5"/>
    <x v="14"/>
    <s v="Sell"/>
    <n v="1060.2"/>
    <x v="1"/>
    <x v="6"/>
    <n v="2026"/>
    <s v="Sell"/>
    <s v="Active"/>
    <s v="WTI"/>
    <d v="2026-08-31T00:00:00"/>
    <n v="-310"/>
    <s v="Brent"/>
    <d v="2026-08-31T00:00:00"/>
    <n v="310"/>
  </r>
  <r>
    <x v="34"/>
    <x v="99"/>
    <x v="1"/>
    <x v="2"/>
    <n v="110"/>
    <x v="14"/>
    <d v="2026-08-31T00:00:00"/>
    <n v="-9.24"/>
    <n v="-3.42"/>
    <n v="640.20000000000005"/>
    <n v="-1016.4"/>
    <x v="14"/>
    <s v="Buy"/>
    <n v="-376.2"/>
    <x v="1"/>
    <x v="6"/>
    <n v="2026"/>
    <s v="Buy"/>
    <s v="Active"/>
    <s v="WTI"/>
    <d v="2026-08-31T00:00:00"/>
    <n v="110"/>
    <s v="Brent"/>
    <d v="2026-08-31T00:00:00"/>
    <n v="-110"/>
  </r>
  <r>
    <x v="34"/>
    <x v="99"/>
    <x v="1"/>
    <x v="2"/>
    <n v="200"/>
    <x v="14"/>
    <d v="2026-08-31T00:00:00"/>
    <n v="-9.0500000000000007"/>
    <n v="-3.42"/>
    <n v="1126.0000000000002"/>
    <n v="-1810.0000000000002"/>
    <x v="14"/>
    <s v="Buy"/>
    <n v="-684"/>
    <x v="1"/>
    <x v="6"/>
    <n v="2026"/>
    <s v="Buy"/>
    <s v="Active"/>
    <s v="WTI"/>
    <d v="2026-08-31T00:00:00"/>
    <n v="200"/>
    <s v="Brent"/>
    <d v="2026-08-31T00:00:00"/>
    <n v="-200"/>
  </r>
  <r>
    <x v="5"/>
    <x v="99"/>
    <x v="3"/>
    <x v="2"/>
    <n v="100"/>
    <x v="13"/>
    <d v="2026-08-31T00:00:00"/>
    <n v="3.7"/>
    <n v="0.93"/>
    <n v="-277"/>
    <n v="370"/>
    <x v="17"/>
    <s v="Buy"/>
    <n v="93"/>
    <x v="3"/>
    <x v="1"/>
    <n v="2026"/>
    <s v="Buy"/>
    <s v="Active"/>
    <s v="Brent"/>
    <d v="2026-07-31T00:00:00"/>
    <n v="100"/>
    <s v="Brent"/>
    <d v="2026-08-31T00:00:00"/>
    <n v="-100"/>
  </r>
  <r>
    <x v="5"/>
    <x v="99"/>
    <x v="3"/>
    <x v="2"/>
    <n v="100"/>
    <x v="13"/>
    <d v="2026-08-31T00:00:00"/>
    <n v="3.66"/>
    <n v="0.93"/>
    <n v="-273"/>
    <n v="366"/>
    <x v="17"/>
    <s v="Buy"/>
    <n v="93"/>
    <x v="3"/>
    <x v="1"/>
    <n v="2026"/>
    <s v="Buy"/>
    <s v="Active"/>
    <s v="Brent"/>
    <d v="2026-07-31T00:00:00"/>
    <n v="100"/>
    <s v="Brent"/>
    <d v="2026-08-31T00:00:00"/>
    <n v="-100"/>
  </r>
  <r>
    <x v="34"/>
    <x v="100"/>
    <x v="7"/>
    <x v="2"/>
    <n v="211"/>
    <x v="6"/>
    <d v="2026-07-31T00:00:00"/>
    <n v="3.63"/>
    <n v="4.28"/>
    <n v="137.15000000000006"/>
    <n v="765.93"/>
    <x v="16"/>
    <s v="Buy"/>
    <n v="903.08"/>
    <x v="3"/>
    <x v="2"/>
    <n v="2026"/>
    <s v="Buy"/>
    <s v="Active"/>
    <s v="WTI"/>
    <d v="2026-06-30T00:00:00"/>
    <n v="211"/>
    <s v="WTI"/>
    <d v="2026-07-31T00:00:00"/>
    <n v="-211"/>
  </r>
  <r>
    <x v="34"/>
    <x v="100"/>
    <x v="7"/>
    <x v="2"/>
    <n v="60"/>
    <x v="13"/>
    <d v="2026-08-31T00:00:00"/>
    <n v="3.64"/>
    <n v="0.75"/>
    <n v="-173.4"/>
    <n v="218.4"/>
    <x v="17"/>
    <s v="Buy"/>
    <n v="45"/>
    <x v="3"/>
    <x v="2"/>
    <n v="2026"/>
    <s v="Buy"/>
    <s v="Active"/>
    <s v="WTI"/>
    <d v="2026-07-31T00:00:00"/>
    <n v="60"/>
    <s v="WTI"/>
    <d v="2026-08-31T00:00:00"/>
    <n v="-60"/>
  </r>
  <r>
    <x v="34"/>
    <x v="100"/>
    <x v="1"/>
    <x v="2"/>
    <n v="10"/>
    <x v="14"/>
    <d v="2026-08-31T00:00:00"/>
    <n v="-9.65"/>
    <n v="-3.42"/>
    <n v="62.300000000000004"/>
    <n v="-96.5"/>
    <x v="14"/>
    <s v="Buy"/>
    <n v="-34.200000000000003"/>
    <x v="1"/>
    <x v="6"/>
    <n v="2026"/>
    <s v="Buy"/>
    <s v="Active"/>
    <s v="WTI"/>
    <d v="2026-08-31T00:00:00"/>
    <n v="10"/>
    <s v="Brent"/>
    <d v="2026-08-31T00:00:00"/>
    <n v="-10"/>
  </r>
  <r>
    <x v="34"/>
    <x v="100"/>
    <x v="1"/>
    <x v="2"/>
    <n v="150"/>
    <x v="14"/>
    <d v="2026-08-31T00:00:00"/>
    <n v="-9.56"/>
    <n v="-3.42"/>
    <n v="921.00000000000011"/>
    <n v="-1434"/>
    <x v="14"/>
    <s v="Buy"/>
    <n v="-513"/>
    <x v="1"/>
    <x v="6"/>
    <n v="2026"/>
    <s v="Buy"/>
    <s v="Active"/>
    <s v="WTI"/>
    <d v="2026-08-31T00:00:00"/>
    <n v="150"/>
    <s v="Brent"/>
    <d v="2026-08-31T00:00:00"/>
    <n v="-150"/>
  </r>
  <r>
    <x v="5"/>
    <x v="101"/>
    <x v="3"/>
    <x v="2"/>
    <n v="-100"/>
    <x v="13"/>
    <d v="2026-08-31T00:00:00"/>
    <n v="3.89"/>
    <n v="0.93"/>
    <n v="296"/>
    <n v="-389"/>
    <x v="17"/>
    <s v="Sell"/>
    <n v="-93"/>
    <x v="3"/>
    <x v="1"/>
    <n v="2026"/>
    <s v="Sell"/>
    <s v="Active"/>
    <s v="Brent"/>
    <d v="2026-07-31T00:00:00"/>
    <n v="-100"/>
    <s v="Brent"/>
    <d v="2026-08-31T00:00:00"/>
    <n v="100"/>
  </r>
  <r>
    <x v="35"/>
    <x v="102"/>
    <x v="2"/>
    <x v="0"/>
    <n v="2124"/>
    <x v="6"/>
    <d v="2026-06-30T00:00:00"/>
    <n v="15.352335216572504"/>
    <n v="15.67"/>
    <n v="674.72000000000139"/>
    <n v="32608.359999999997"/>
    <x v="7"/>
    <s v="Buy"/>
    <n v="33283.08"/>
    <x v="2"/>
    <x v="7"/>
    <n v="2026"/>
    <s v="Buy"/>
    <s v="Active"/>
    <n v="0"/>
    <d v="2026-06-30T00:00:00"/>
    <n v="2124"/>
    <n v="0"/>
    <d v="2026-06-30T00:00:00"/>
    <n v="-2124"/>
  </r>
  <r>
    <x v="35"/>
    <x v="102"/>
    <x v="7"/>
    <x v="0"/>
    <n v="-2100"/>
    <x v="6"/>
    <d v="2026-07-31T00:00:00"/>
    <n v="3.56"/>
    <n v="4.28"/>
    <n v="-1512.0000000000005"/>
    <n v="-7476"/>
    <x v="16"/>
    <s v="Sell"/>
    <n v="-8988"/>
    <x v="3"/>
    <x v="2"/>
    <n v="2026"/>
    <s v="Sell"/>
    <s v="Active"/>
    <s v="WTI"/>
    <d v="2026-06-30T00:00:00"/>
    <n v="-2100"/>
    <s v="WTI"/>
    <d v="2026-07-31T00:00:00"/>
    <n v="2100"/>
  </r>
  <r>
    <x v="35"/>
    <x v="102"/>
    <x v="7"/>
    <x v="0"/>
    <n v="-2124"/>
    <x v="13"/>
    <d v="2026-08-31T00:00:00"/>
    <n v="4.1500000000000004"/>
    <n v="0.75"/>
    <n v="7221.6"/>
    <n v="-8814.6"/>
    <x v="17"/>
    <s v="Sell"/>
    <n v="-1593"/>
    <x v="3"/>
    <x v="2"/>
    <n v="2026"/>
    <s v="Sell"/>
    <s v="Active"/>
    <s v="WTI"/>
    <d v="2026-07-31T00:00:00"/>
    <n v="-2124"/>
    <s v="WTI"/>
    <d v="2026-08-31T00:00:00"/>
    <n v="2124"/>
  </r>
  <r>
    <x v="35"/>
    <x v="102"/>
    <x v="1"/>
    <x v="0"/>
    <n v="-2124"/>
    <x v="14"/>
    <d v="2026-08-31T00:00:00"/>
    <n v="-9.51"/>
    <n v="-3.42"/>
    <n v="-12935.16"/>
    <n v="20199.239999999998"/>
    <x v="14"/>
    <s v="Sell"/>
    <n v="7264.08"/>
    <x v="1"/>
    <x v="6"/>
    <n v="2026"/>
    <s v="Sell"/>
    <s v="Active"/>
    <s v="WTI"/>
    <d v="2026-08-31T00:00:00"/>
    <n v="-2124"/>
    <s v="Brent"/>
    <d v="2026-08-31T00:00:00"/>
    <n v="2124"/>
  </r>
  <r>
    <x v="35"/>
    <x v="102"/>
    <x v="3"/>
    <x v="0"/>
    <n v="-2124"/>
    <x v="14"/>
    <d v="2026-09-30T00:00:00"/>
    <n v="3.87"/>
    <n v="-0.03"/>
    <n v="8283.6"/>
    <n v="-8219.880000000001"/>
    <x v="18"/>
    <s v="Sell"/>
    <n v="63.72"/>
    <x v="3"/>
    <x v="1"/>
    <n v="2026"/>
    <s v="Sell"/>
    <s v="Active"/>
    <s v="Brent"/>
    <d v="2026-08-31T00:00:00"/>
    <n v="-2124"/>
    <s v="Brent"/>
    <d v="2026-09-30T00:00:00"/>
    <n v="2124"/>
  </r>
  <r>
    <x v="35"/>
    <x v="102"/>
    <x v="3"/>
    <x v="0"/>
    <m/>
    <x v="15"/>
    <d v="2026-10-31T00:00:00"/>
    <n v="3.32"/>
    <n v="2.19"/>
    <n v="0"/>
    <n v="0"/>
    <x v="20"/>
    <s v="Buy"/>
    <n v="0"/>
    <x v="3"/>
    <x v="1"/>
    <n v="2026"/>
    <s v="Sell"/>
    <s v="Active"/>
    <s v="Brent"/>
    <d v="2026-09-30T00:00:00"/>
    <n v="0"/>
    <s v="Brent"/>
    <d v="2026-10-31T00:00:00"/>
    <n v="0"/>
  </r>
  <r>
    <x v="35"/>
    <x v="102"/>
    <x v="7"/>
    <x v="2"/>
    <n v="2100"/>
    <x v="6"/>
    <d v="2026-07-31T00:00:00"/>
    <n v="3.67"/>
    <n v="4.28"/>
    <n v="1281.0000000000007"/>
    <n v="7707"/>
    <x v="16"/>
    <s v="Buy"/>
    <n v="8988"/>
    <x v="3"/>
    <x v="2"/>
    <n v="2026"/>
    <s v="Buy"/>
    <s v="Active"/>
    <s v="WTI"/>
    <d v="2026-06-30T00:00:00"/>
    <n v="2100"/>
    <s v="WTI"/>
    <d v="2026-07-31T00:00:00"/>
    <n v="-2100"/>
  </r>
  <r>
    <x v="35"/>
    <x v="102"/>
    <x v="7"/>
    <x v="2"/>
    <n v="2100"/>
    <x v="13"/>
    <d v="2026-08-31T00:00:00"/>
    <n v="4.12"/>
    <n v="0.75"/>
    <n v="-7077"/>
    <n v="8652"/>
    <x v="17"/>
    <s v="Buy"/>
    <n v="1575"/>
    <x v="3"/>
    <x v="2"/>
    <n v="2026"/>
    <s v="Buy"/>
    <s v="Active"/>
    <s v="WTI"/>
    <d v="2026-07-31T00:00:00"/>
    <n v="2100"/>
    <s v="WTI"/>
    <d v="2026-08-31T00:00:00"/>
    <n v="-2100"/>
  </r>
  <r>
    <x v="35"/>
    <x v="102"/>
    <x v="1"/>
    <x v="2"/>
    <n v="2100"/>
    <x v="14"/>
    <d v="2026-08-31T00:00:00"/>
    <n v="-9.44"/>
    <n v="-3.42"/>
    <n v="12642"/>
    <n v="-19824"/>
    <x v="14"/>
    <s v="Buy"/>
    <n v="-7182"/>
    <x v="1"/>
    <x v="6"/>
    <n v="2026"/>
    <s v="Buy"/>
    <s v="Active"/>
    <s v="WTI"/>
    <d v="2026-08-31T00:00:00"/>
    <n v="2100"/>
    <s v="Brent"/>
    <d v="2026-08-31T00:00:00"/>
    <n v="-2100"/>
  </r>
  <r>
    <x v="35"/>
    <x v="102"/>
    <x v="3"/>
    <x v="2"/>
    <n v="2100"/>
    <x v="14"/>
    <d v="2026-09-30T00:00:00"/>
    <n v="3.8"/>
    <n v="-0.03"/>
    <n v="-8042.9999999999991"/>
    <n v="7980"/>
    <x v="18"/>
    <s v="Buy"/>
    <n v="-63"/>
    <x v="3"/>
    <x v="1"/>
    <n v="2026"/>
    <s v="Buy"/>
    <s v="Active"/>
    <s v="Brent"/>
    <d v="2026-08-31T00:00:00"/>
    <n v="2100"/>
    <s v="Brent"/>
    <d v="2026-09-30T00:00:00"/>
    <n v="-2100"/>
  </r>
  <r>
    <x v="5"/>
    <x v="103"/>
    <x v="4"/>
    <x v="2"/>
    <n v="350"/>
    <x v="6"/>
    <d v="2026-06-30T00:00:00"/>
    <n v="5.69"/>
    <n v="2.23"/>
    <n v="-1211.0000000000002"/>
    <n v="1991.5000000000002"/>
    <x v="7"/>
    <s v="Buy"/>
    <n v="780.5"/>
    <x v="1"/>
    <x v="4"/>
    <n v="2026"/>
    <s v="Buy"/>
    <s v="Active"/>
    <e v="#N/A"/>
    <d v="2026-06-30T00:00:00"/>
    <n v="350"/>
    <e v="#N/A"/>
    <d v="2026-06-30T00:00:00"/>
    <n v="-350"/>
  </r>
  <r>
    <x v="5"/>
    <x v="104"/>
    <x v="7"/>
    <x v="2"/>
    <n v="-239"/>
    <x v="6"/>
    <d v="2026-07-31T00:00:00"/>
    <n v="4.28"/>
    <n v="4.28"/>
    <n v="0"/>
    <n v="-1022.9200000000001"/>
    <x v="16"/>
    <s v="Sell"/>
    <n v="-1022.9200000000001"/>
    <x v="3"/>
    <x v="2"/>
    <n v="2026"/>
    <s v="Sell"/>
    <s v="Active"/>
    <s v="WTI"/>
    <d v="2026-06-30T00:00:00"/>
    <n v="-239"/>
    <s v="WTI"/>
    <d v="2026-07-31T00:00:00"/>
    <n v="239"/>
  </r>
  <r>
    <x v="5"/>
    <x v="104"/>
    <x v="7"/>
    <x v="2"/>
    <n v="1000"/>
    <x v="13"/>
    <d v="2026-08-31T00:00:00"/>
    <n v="4.91"/>
    <n v="0.75"/>
    <n v="-4160"/>
    <n v="4910"/>
    <x v="17"/>
    <s v="Buy"/>
    <n v="750"/>
    <x v="3"/>
    <x v="2"/>
    <n v="2026"/>
    <s v="Buy"/>
    <s v="Active"/>
    <s v="WTI"/>
    <d v="2026-07-31T00:00:00"/>
    <n v="1000"/>
    <s v="WTI"/>
    <d v="2026-08-31T00:00:00"/>
    <n v="-1000"/>
  </r>
  <r>
    <x v="5"/>
    <x v="104"/>
    <x v="7"/>
    <x v="2"/>
    <n v="1000"/>
    <x v="14"/>
    <d v="2026-09-30T00:00:00"/>
    <n v="4.68"/>
    <n v="0.75"/>
    <n v="-3929.9999999999995"/>
    <n v="4680"/>
    <x v="18"/>
    <s v="Buy"/>
    <n v="750"/>
    <x v="3"/>
    <x v="2"/>
    <n v="2026"/>
    <s v="Buy"/>
    <s v="Active"/>
    <s v="WTI"/>
    <d v="2026-08-31T00:00:00"/>
    <n v="1000"/>
    <s v="WTI"/>
    <d v="2026-09-30T00:00:00"/>
    <n v="-1000"/>
  </r>
  <r>
    <x v="5"/>
    <x v="105"/>
    <x v="7"/>
    <x v="2"/>
    <n v="-1000"/>
    <x v="13"/>
    <d v="2026-08-31T00:00:00"/>
    <n v="5.0199999999999996"/>
    <n v="0.75"/>
    <n v="4270"/>
    <n v="-5020"/>
    <x v="17"/>
    <s v="Sell"/>
    <n v="-750"/>
    <x v="3"/>
    <x v="2"/>
    <n v="2026"/>
    <s v="Sell"/>
    <s v="Active"/>
    <s v="WTI"/>
    <d v="2026-07-31T00:00:00"/>
    <n v="-1000"/>
    <s v="WTI"/>
    <d v="2026-08-31T00:00:00"/>
    <n v="1000"/>
  </r>
  <r>
    <x v="5"/>
    <x v="105"/>
    <x v="7"/>
    <x v="2"/>
    <n v="-1000"/>
    <x v="14"/>
    <d v="2026-09-30T00:00:00"/>
    <n v="4.71"/>
    <n v="0.75"/>
    <n v="3960"/>
    <n v="-4710"/>
    <x v="18"/>
    <s v="Sell"/>
    <n v="-750"/>
    <x v="3"/>
    <x v="2"/>
    <n v="2026"/>
    <s v="Sell"/>
    <s v="Active"/>
    <s v="WTI"/>
    <d v="2026-08-31T00:00:00"/>
    <n v="-1000"/>
    <s v="WTI"/>
    <d v="2026-09-30T00:00:00"/>
    <n v="1000"/>
  </r>
  <r>
    <x v="34"/>
    <x v="105"/>
    <x v="1"/>
    <x v="2"/>
    <n v="540"/>
    <x v="14"/>
    <d v="2026-08-31T00:00:00"/>
    <n v="-7.58"/>
    <n v="-3.42"/>
    <n v="2246.4"/>
    <n v="-4093.2"/>
    <x v="14"/>
    <s v="Buy"/>
    <n v="-1846.8"/>
    <x v="1"/>
    <x v="6"/>
    <n v="2026"/>
    <s v="Buy"/>
    <s v="Active"/>
    <s v="WTI"/>
    <d v="2026-08-31T00:00:00"/>
    <n v="540"/>
    <s v="Brent"/>
    <d v="2026-08-31T00:00:00"/>
    <n v="-540"/>
  </r>
  <r>
    <x v="36"/>
    <x v="106"/>
    <x v="2"/>
    <x v="0"/>
    <n v="1422"/>
    <x v="6"/>
    <d v="2026-06-30T00:00:00"/>
    <n v="13.755494816211119"/>
    <n v="14.34"/>
    <n v="831.16637134778887"/>
    <n v="19560.313628652209"/>
    <x v="7"/>
    <s v="Buy"/>
    <n v="20391.48"/>
    <x v="2"/>
    <x v="7"/>
    <n v="2026"/>
    <s v="Buy"/>
    <s v="Active"/>
    <n v="0"/>
    <d v="2026-06-30T00:00:00"/>
    <n v="1422"/>
    <n v="0"/>
    <d v="2026-06-30T00:00:00"/>
    <n v="-1422"/>
  </r>
  <r>
    <x v="37"/>
    <x v="106"/>
    <x v="2"/>
    <x v="0"/>
    <n v="700"/>
    <x v="6"/>
    <d v="2026-06-30T00:00:00"/>
    <n v="14.71549481621112"/>
    <n v="14.34"/>
    <n v="-262.84637134778387"/>
    <n v="10300.846371347783"/>
    <x v="7"/>
    <s v="Buy"/>
    <n v="10038"/>
    <x v="2"/>
    <x v="7"/>
    <n v="2026"/>
    <s v="Buy"/>
    <s v="Active"/>
    <n v="0"/>
    <d v="2026-06-30T00:00:00"/>
    <n v="700"/>
    <n v="0"/>
    <d v="2026-06-30T00:00:00"/>
    <n v="-700"/>
  </r>
  <r>
    <x v="36"/>
    <x v="106"/>
    <x v="7"/>
    <x v="0"/>
    <n v="-1422"/>
    <x v="13"/>
    <d v="2026-08-31T00:00:00"/>
    <n v="4.2"/>
    <n v="0.75"/>
    <n v="4905.9000000000005"/>
    <n v="-5972.4000000000005"/>
    <x v="17"/>
    <s v="Sell"/>
    <n v="-1066.5"/>
    <x v="3"/>
    <x v="2"/>
    <n v="2026"/>
    <s v="Sell"/>
    <s v="Active"/>
    <s v="WTI"/>
    <d v="2026-07-31T00:00:00"/>
    <n v="-1422"/>
    <s v="WTI"/>
    <d v="2026-08-31T00:00:00"/>
    <n v="1422"/>
  </r>
  <r>
    <x v="36"/>
    <x v="106"/>
    <x v="1"/>
    <x v="0"/>
    <n v="-1422"/>
    <x v="14"/>
    <d v="2026-08-31T00:00:00"/>
    <n v="-6.69"/>
    <n v="-3.42"/>
    <n v="-4649.9400000000005"/>
    <n v="9513.18"/>
    <x v="14"/>
    <s v="Sell"/>
    <n v="4863.24"/>
    <x v="1"/>
    <x v="6"/>
    <n v="2026"/>
    <s v="Sell"/>
    <s v="Active"/>
    <s v="WTI"/>
    <d v="2026-08-31T00:00:00"/>
    <n v="-1422"/>
    <s v="Brent"/>
    <d v="2026-08-31T00:00:00"/>
    <n v="1422"/>
  </r>
  <r>
    <x v="36"/>
    <x v="106"/>
    <x v="3"/>
    <x v="0"/>
    <n v="-2122"/>
    <x v="14"/>
    <d v="2026-09-30T00:00:00"/>
    <n v="4.12"/>
    <n v="-0.03"/>
    <n v="8806.3000000000011"/>
    <n v="-8742.64"/>
    <x v="18"/>
    <s v="Sell"/>
    <n v="63.66"/>
    <x v="3"/>
    <x v="1"/>
    <n v="2026"/>
    <s v="Sell"/>
    <s v="Active"/>
    <s v="Brent"/>
    <d v="2026-08-31T00:00:00"/>
    <n v="-2122"/>
    <s v="Brent"/>
    <d v="2026-09-30T00:00:00"/>
    <n v="2122"/>
  </r>
  <r>
    <x v="36"/>
    <x v="106"/>
    <x v="3"/>
    <x v="0"/>
    <m/>
    <x v="15"/>
    <d v="2026-10-31T00:00:00"/>
    <n v="3.27"/>
    <n v="2.19"/>
    <n v="0"/>
    <n v="0"/>
    <x v="20"/>
    <s v="Buy"/>
    <n v="0"/>
    <x v="3"/>
    <x v="1"/>
    <n v="2026"/>
    <s v="Sell"/>
    <s v="Active"/>
    <s v="Brent"/>
    <d v="2026-09-30T00:00:00"/>
    <n v="0"/>
    <s v="Brent"/>
    <d v="2026-10-31T00:00:00"/>
    <n v="0"/>
  </r>
  <r>
    <x v="36"/>
    <x v="106"/>
    <x v="7"/>
    <x v="2"/>
    <n v="1400"/>
    <x v="13"/>
    <d v="2026-08-31T00:00:00"/>
    <n v="3.45"/>
    <n v="0.75"/>
    <n v="-3780.0000000000005"/>
    <n v="4830"/>
    <x v="17"/>
    <s v="Buy"/>
    <n v="1050"/>
    <x v="3"/>
    <x v="2"/>
    <n v="2026"/>
    <s v="Buy"/>
    <s v="Active"/>
    <s v="WTI"/>
    <d v="2026-07-31T00:00:00"/>
    <n v="1400"/>
    <s v="WTI"/>
    <d v="2026-08-31T00:00:00"/>
    <n v="-1400"/>
  </r>
  <r>
    <x v="36"/>
    <x v="106"/>
    <x v="1"/>
    <x v="2"/>
    <n v="1400"/>
    <x v="14"/>
    <d v="2026-08-31T00:00:00"/>
    <n v="-6.6"/>
    <n v="-3.42"/>
    <n v="4452"/>
    <n v="-9240"/>
    <x v="14"/>
    <s v="Buy"/>
    <n v="-4788"/>
    <x v="1"/>
    <x v="6"/>
    <n v="2026"/>
    <s v="Buy"/>
    <s v="Active"/>
    <s v="WTI"/>
    <d v="2026-08-31T00:00:00"/>
    <n v="1400"/>
    <s v="Brent"/>
    <d v="2026-08-31T00:00:00"/>
    <n v="-1400"/>
  </r>
  <r>
    <x v="36"/>
    <x v="106"/>
    <x v="3"/>
    <x v="2"/>
    <n v="1400"/>
    <x v="14"/>
    <d v="2026-09-30T00:00:00"/>
    <n v="3.5"/>
    <n v="-0.03"/>
    <n v="-4942"/>
    <n v="4900"/>
    <x v="18"/>
    <s v="Buy"/>
    <n v="-42"/>
    <x v="3"/>
    <x v="1"/>
    <n v="2026"/>
    <s v="Buy"/>
    <s v="Active"/>
    <s v="Brent"/>
    <d v="2026-08-31T00:00:00"/>
    <n v="1400"/>
    <s v="Brent"/>
    <d v="2026-09-30T00:00:00"/>
    <n v="-1400"/>
  </r>
  <r>
    <x v="36"/>
    <x v="106"/>
    <x v="9"/>
    <x v="0"/>
    <n v="-2000"/>
    <x v="8"/>
    <d v="2026-05-31T00:00:00"/>
    <n v="17800"/>
    <n v="17800"/>
    <n v="0"/>
    <n v="0"/>
    <x v="9"/>
    <s v="Sell"/>
    <n v="-35600000"/>
    <x v="4"/>
    <x v="3"/>
    <n v="2026"/>
    <s v="Sell"/>
    <s v="Active"/>
    <e v="#N/A"/>
    <d v="2026-05-31T00:00:00"/>
    <n v="-2000"/>
    <e v="#N/A"/>
    <d v="2026-05-31T00:00:00"/>
    <n v="2000"/>
  </r>
  <r>
    <x v="36"/>
    <x v="106"/>
    <x v="9"/>
    <x v="2"/>
    <n v="2000"/>
    <x v="8"/>
    <d v="2026-05-31T00:00:00"/>
    <n v="17300"/>
    <n v="17800"/>
    <n v="500"/>
    <n v="500"/>
    <x v="9"/>
    <s v="Buy"/>
    <n v="35600000"/>
    <x v="4"/>
    <x v="3"/>
    <n v="2026"/>
    <s v="Buy"/>
    <s v="Active"/>
    <e v="#N/A"/>
    <d v="2026-05-31T00:00:00"/>
    <n v="2000"/>
    <e v="#N/A"/>
    <d v="2026-05-31T00:00:00"/>
    <n v="-2000"/>
  </r>
  <r>
    <x v="36"/>
    <x v="106"/>
    <x v="3"/>
    <x v="2"/>
    <n v="-232"/>
    <x v="13"/>
    <d v="2026-08-31T00:00:00"/>
    <n v="3.08"/>
    <n v="0.93"/>
    <n v="498.79999999999995"/>
    <n v="17296.919999999998"/>
    <x v="17"/>
    <s v="Sell"/>
    <n v="-215.76000000000002"/>
    <x v="3"/>
    <x v="1"/>
    <n v="2026"/>
    <s v="Sell"/>
    <s v="Active"/>
    <s v="Brent"/>
    <d v="2026-07-31T00:00:00"/>
    <n v="-232"/>
    <s v="Brent"/>
    <d v="2026-08-31T00:00:00"/>
    <n v="232"/>
  </r>
  <r>
    <x v="36"/>
    <x v="107"/>
    <x v="3"/>
    <x v="2"/>
    <n v="594"/>
    <x v="14"/>
    <d v="2026-09-30T00:00:00"/>
    <n v="3.645"/>
    <n v="-0.03"/>
    <n v="-2182.9499999999998"/>
    <n v="-0.56499999999999995"/>
    <x v="18"/>
    <s v="Buy"/>
    <n v="-17.82"/>
    <x v="3"/>
    <x v="1"/>
    <n v="2026"/>
    <s v="Buy"/>
    <s v="Active"/>
    <s v="Brent"/>
    <d v="2026-08-31T00:00:00"/>
    <n v="594"/>
    <s v="Brent"/>
    <d v="2026-09-30T00:00:00"/>
    <n v="-594"/>
  </r>
  <r>
    <x v="5"/>
    <x v="107"/>
    <x v="3"/>
    <x v="2"/>
    <n v="182"/>
    <x v="15"/>
    <d v="2026-10-31T00:00:00"/>
    <n v="3.38"/>
    <n v="2.19"/>
    <n v="-216.57999999999998"/>
    <n v="0.26500000000000012"/>
    <x v="20"/>
    <s v="Buy"/>
    <n v="398.58"/>
    <x v="3"/>
    <x v="1"/>
    <n v="2026"/>
    <s v="Buy"/>
    <s v="Active"/>
    <s v="Brent"/>
    <d v="2026-09-30T00:00:00"/>
    <n v="182"/>
    <s v="Brent"/>
    <d v="2026-10-31T00:00:00"/>
    <n v="-182"/>
  </r>
  <r>
    <x v="5"/>
    <x v="107"/>
    <x v="4"/>
    <x v="2"/>
    <n v="-250"/>
    <x v="6"/>
    <d v="2026-06-30T00:00:00"/>
    <n v="3.85"/>
    <n v="2.23"/>
    <n v="405"/>
    <n v="-0.4700000000000002"/>
    <x v="7"/>
    <s v="Sell"/>
    <n v="-557.5"/>
    <x v="1"/>
    <x v="4"/>
    <n v="2026"/>
    <s v="Sell"/>
    <s v="Active"/>
    <e v="#N/A"/>
    <d v="2026-06-30T00:00:00"/>
    <n v="-250"/>
    <e v="#N/A"/>
    <d v="2026-06-30T00:00:00"/>
    <n v="250"/>
  </r>
  <r>
    <x v="36"/>
    <x v="108"/>
    <x v="7"/>
    <x v="2"/>
    <n v="139"/>
    <x v="13"/>
    <d v="2026-08-31T00:00:00"/>
    <n v="2.06"/>
    <n v="0.75"/>
    <n v="-182.09"/>
    <n v="1.79"/>
    <x v="17"/>
    <s v="Buy"/>
    <n v="104.25"/>
    <x v="3"/>
    <x v="2"/>
    <n v="2026"/>
    <s v="Buy"/>
    <s v="Active"/>
    <s v="WTI"/>
    <d v="2026-07-31T00:00:00"/>
    <n v="139"/>
    <s v="WTI"/>
    <d v="2026-08-31T00:00:00"/>
    <n v="-139"/>
  </r>
  <r>
    <x v="36"/>
    <x v="108"/>
    <x v="7"/>
    <x v="2"/>
    <n v="14"/>
    <x v="14"/>
    <d v="2026-09-30T00:00:00"/>
    <n v="2.11"/>
    <n v="0.75"/>
    <n v="-19.04"/>
    <n v="-4.9999999999999822E-2"/>
    <x v="18"/>
    <s v="Buy"/>
    <n v="10.5"/>
    <x v="3"/>
    <x v="2"/>
    <n v="2026"/>
    <s v="Buy"/>
    <s v="Active"/>
    <s v="WTI"/>
    <d v="2026-08-31T00:00:00"/>
    <n v="14"/>
    <s v="WTI"/>
    <d v="2026-09-30T00:00:00"/>
    <n v="-14"/>
  </r>
  <r>
    <x v="36"/>
    <x v="108"/>
    <x v="3"/>
    <x v="2"/>
    <n v="220"/>
    <x v="14"/>
    <d v="2026-09-30T00:00:00"/>
    <n v="2.0099999999999998"/>
    <n v="-0.03"/>
    <n v="-448.7999999999999"/>
    <n v="0.10000000000000009"/>
    <x v="18"/>
    <s v="Buy"/>
    <n v="-6.6"/>
    <x v="3"/>
    <x v="1"/>
    <n v="2026"/>
    <s v="Buy"/>
    <s v="Active"/>
    <s v="Brent"/>
    <d v="2026-08-31T00:00:00"/>
    <n v="220"/>
    <s v="Brent"/>
    <d v="2026-09-30T00:00:00"/>
    <n v="-220"/>
  </r>
  <r>
    <x v="36"/>
    <x v="108"/>
    <x v="1"/>
    <x v="2"/>
    <n v="20"/>
    <x v="14"/>
    <d v="2026-08-31T00:00:00"/>
    <n v="-5.82"/>
    <n v="-3.42"/>
    <n v="48.000000000000007"/>
    <n v="7.83"/>
    <x v="14"/>
    <s v="Buy"/>
    <n v="-68.400000000000006"/>
    <x v="1"/>
    <x v="6"/>
    <n v="2026"/>
    <s v="Buy"/>
    <s v="Active"/>
    <s v="WTI"/>
    <d v="2026-08-31T00:00:00"/>
    <n v="20"/>
    <s v="Brent"/>
    <d v="2026-08-31T00:00:00"/>
    <n v="-20"/>
  </r>
  <r>
    <x v="5"/>
    <x v="108"/>
    <x v="4"/>
    <x v="2"/>
    <n v="-250"/>
    <x v="6"/>
    <d v="2026-06-30T00:00:00"/>
    <n v="2.23"/>
    <n v="2.23"/>
    <n v="0"/>
    <n v="-8.0500000000000007"/>
    <x v="7"/>
    <s v="Sell"/>
    <n v="-557.5"/>
    <x v="1"/>
    <x v="4"/>
    <n v="2026"/>
    <s v="Sell"/>
    <s v="Active"/>
    <e v="#N/A"/>
    <d v="2026-06-30T00:00:00"/>
    <n v="-250"/>
    <e v="#N/A"/>
    <d v="2026-06-30T00:00:00"/>
    <n v="250"/>
  </r>
  <r>
    <x v="25"/>
    <x v="109"/>
    <x v="5"/>
    <x v="2"/>
    <n v="-30"/>
    <x v="8"/>
    <d v="2026-05-31T00:00:00"/>
    <n v="55.78"/>
    <n v="55.78"/>
    <n v="0"/>
    <n v="-53.550000000000004"/>
    <x v="9"/>
    <s v="Sell"/>
    <n v="-1673.4"/>
    <x v="4"/>
    <x v="3"/>
    <n v="2026"/>
    <s v="Sell"/>
    <s v="Active"/>
    <e v="#N/A"/>
    <d v="2026-05-31T00:00:00"/>
    <n v="-30"/>
    <e v="#N/A"/>
    <d v="2026-05-31T00:00:00"/>
    <n v="30"/>
  </r>
  <r>
    <x v="5"/>
    <x v="108"/>
    <x v="4"/>
    <x v="2"/>
    <n v="20"/>
    <x v="8"/>
    <d v="2026-05-31T00:00:00"/>
    <n v="3.68"/>
    <n v="3.68"/>
    <n v="0"/>
    <n v="52.1"/>
    <x v="9"/>
    <s v="Buy"/>
    <n v="73.600000000000009"/>
    <x v="1"/>
    <x v="4"/>
    <n v="2026"/>
    <s v="Buy"/>
    <s v="Active"/>
    <e v="#N/A"/>
    <d v="2026-05-31T00:00:00"/>
    <n v="20"/>
    <e v="#N/A"/>
    <d v="2026-05-31T00:00:00"/>
    <n v="-20"/>
  </r>
  <r>
    <x v="36"/>
    <x v="110"/>
    <x v="7"/>
    <x v="2"/>
    <n v="26"/>
    <x v="13"/>
    <d v="2026-08-31T00:00:00"/>
    <n v="0.75"/>
    <n v="0.75"/>
    <n v="0"/>
    <n v="2.93"/>
    <x v="17"/>
    <s v="Buy"/>
    <n v="19.5"/>
    <x v="3"/>
    <x v="2"/>
    <n v="2026"/>
    <s v="Buy"/>
    <s v="Active"/>
    <s v="WTI"/>
    <d v="2026-07-31T00:00:00"/>
    <n v="26"/>
    <s v="WTI"/>
    <d v="2026-08-31T00:00:00"/>
    <n v="-26"/>
  </r>
  <r>
    <x v="25"/>
    <x v="111"/>
    <x v="5"/>
    <x v="2"/>
    <n v="-10"/>
    <x v="13"/>
    <d v="2026-07-31T00:00:00"/>
    <n v="43.070500000000003"/>
    <n v="62.189600000000006"/>
    <n v="-191.19100000000003"/>
    <n v="-430.70500000000004"/>
    <x v="13"/>
    <s v="Sell"/>
    <n v="-621.89600000000007"/>
    <x v="4"/>
    <x v="3"/>
    <n v="2026"/>
    <s v="Sell"/>
    <s v="Active"/>
    <e v="#N/A"/>
    <d v="2026-07-31T00:00:00"/>
    <n v="-10"/>
    <e v="#N/A"/>
    <d v="2026-07-31T00:00:00"/>
    <n v="10"/>
  </r>
  <r>
    <x v="25"/>
    <x v="111"/>
    <x v="5"/>
    <x v="2"/>
    <n v="-10"/>
    <x v="14"/>
    <d v="2026-08-31T00:00:00"/>
    <n v="43.070500000000003"/>
    <n v="66.70675"/>
    <n v="-236.36249999999995"/>
    <n v="-430.70500000000004"/>
    <x v="14"/>
    <s v="Sell"/>
    <n v="-667.0675"/>
    <x v="4"/>
    <x v="3"/>
    <n v="2026"/>
    <s v="Sell"/>
    <s v="Active"/>
    <e v="#N/A"/>
    <d v="2026-08-31T00:00:00"/>
    <n v="-10"/>
    <e v="#N/A"/>
    <d v="2026-08-31T00:00:00"/>
    <n v="10"/>
  </r>
  <r>
    <x v="25"/>
    <x v="111"/>
    <x v="5"/>
    <x v="2"/>
    <n v="-10"/>
    <x v="15"/>
    <d v="2026-09-30T00:00:00"/>
    <n v="43.070500000000003"/>
    <n v="62.189600000000006"/>
    <n v="-191.19100000000003"/>
    <n v="-430.70500000000004"/>
    <x v="15"/>
    <s v="Sell"/>
    <n v="-621.89600000000007"/>
    <x v="4"/>
    <x v="3"/>
    <n v="2026"/>
    <s v="Sell"/>
    <s v="Active"/>
    <e v="#N/A"/>
    <d v="2026-09-30T00:00:00"/>
    <n v="-10"/>
    <e v="#N/A"/>
    <d v="2026-09-30T00:00:00"/>
    <n v="10"/>
  </r>
  <r>
    <x v="5"/>
    <x v="112"/>
    <x v="1"/>
    <x v="2"/>
    <n v="26"/>
    <x v="14"/>
    <d v="2026-08-31T00:00:00"/>
    <n v="-2.4"/>
    <n v="-3.42"/>
    <n v="-26.52"/>
    <n v="45.470500000000001"/>
    <x v="14"/>
    <s v="Buy"/>
    <n v="-88.92"/>
    <x v="1"/>
    <x v="6"/>
    <n v="2026"/>
    <s v="Buy"/>
    <s v="Active"/>
    <s v="WTI"/>
    <d v="2026-08-31T00:00:00"/>
    <n v="26"/>
    <s v="Brent"/>
    <d v="2026-08-31T00:00:00"/>
    <n v="-26"/>
  </r>
  <r>
    <x v="5"/>
    <x v="108"/>
    <x v="3"/>
    <x v="2"/>
    <n v="26"/>
    <x v="14"/>
    <d v="2026-09-30T00:00:00"/>
    <n v="-0.76"/>
    <n v="-0.03"/>
    <n v="18.98"/>
    <n v="-1.64"/>
    <x v="18"/>
    <s v="Buy"/>
    <n v="-0.78"/>
    <x v="3"/>
    <x v="1"/>
    <n v="2026"/>
    <s v="Buy"/>
    <s v="Active"/>
    <s v="Brent"/>
    <d v="2026-08-31T00:00:00"/>
    <n v="26"/>
    <s v="Brent"/>
    <d v="2026-09-30T00:00:00"/>
    <n v="-26"/>
  </r>
  <r>
    <x v="33"/>
    <x v="113"/>
    <x v="6"/>
    <x v="0"/>
    <n v="-1400"/>
    <x v="6"/>
    <d v="2026-06-30T00:00:00"/>
    <n v="147"/>
    <n v="146.75"/>
    <n v="0"/>
    <n v="-205800"/>
    <x v="7"/>
    <s v="Sell"/>
    <n v="-205450"/>
    <x v="4"/>
    <x v="3"/>
    <n v="2026"/>
    <s v="Sell"/>
    <s v="Active"/>
    <e v="#N/A"/>
    <d v="2026-06-30T00:00:00"/>
    <n v="-1400"/>
    <e v="#N/A"/>
    <d v="2026-06-30T00:00:00"/>
    <n v="1400"/>
  </r>
  <r>
    <x v="25"/>
    <x v="114"/>
    <x v="5"/>
    <x v="2"/>
    <n v="-10"/>
    <x v="14"/>
    <d v="2026-08-31T00:00:00"/>
    <n v="69.332999999999998"/>
    <n v="66.70675"/>
    <n v="26.262499999999989"/>
    <n v="-693.32999999999993"/>
    <x v="14"/>
    <s v="Sell"/>
    <n v="-667.0675"/>
    <x v="4"/>
    <x v="3"/>
    <n v="2026"/>
    <s v="Sell"/>
    <s v="Active"/>
    <e v="#N/A"/>
    <d v="2026-08-31T00:00:00"/>
    <n v="-10"/>
    <e v="#N/A"/>
    <d v="2026-08-31T00:00:00"/>
    <n v="10"/>
  </r>
  <r>
    <x v="25"/>
    <x v="114"/>
    <x v="5"/>
    <x v="2"/>
    <n v="-10"/>
    <x v="15"/>
    <d v="2026-09-30T00:00:00"/>
    <n v="56.726999999999997"/>
    <n v="62.189600000000006"/>
    <n v="-54.62600000000009"/>
    <n v="-567.27"/>
    <x v="15"/>
    <s v="Sell"/>
    <n v="-621.89600000000007"/>
    <x v="4"/>
    <x v="3"/>
    <n v="2026"/>
    <s v="Sell"/>
    <s v="Active"/>
    <e v="#N/A"/>
    <d v="2026-09-30T00:00:00"/>
    <n v="-10"/>
    <e v="#N/A"/>
    <d v="2026-09-30T00:00:00"/>
    <n v="10"/>
  </r>
  <r>
    <x v="5"/>
    <x v="114"/>
    <x v="3"/>
    <x v="2"/>
    <n v="-182"/>
    <x v="15"/>
    <d v="2026-10-31T00:00:00"/>
    <n v="2.15"/>
    <n v="2.19"/>
    <n v="-7.2800000000000065"/>
    <n v="54.576999999999998"/>
    <x v="20"/>
    <s v="Sell"/>
    <n v="-398.58"/>
    <x v="3"/>
    <x v="1"/>
    <n v="2026"/>
    <s v="Sell"/>
    <s v="Active"/>
    <s v="Brent"/>
    <d v="2026-09-30T00:00:00"/>
    <n v="-182"/>
    <s v="Brent"/>
    <d v="2026-10-31T00:00:00"/>
    <n v="182"/>
  </r>
  <r>
    <x v="25"/>
    <x v="115"/>
    <x v="5"/>
    <x v="2"/>
    <n v="-10"/>
    <x v="13"/>
    <d v="2026-07-31T00:00:00"/>
    <n v="62.19"/>
    <n v="62.189600000000006"/>
    <n v="3.9999999999196234E-3"/>
    <n v="-621.9"/>
    <x v="13"/>
    <s v="Sell"/>
    <n v="-621.89600000000007"/>
    <x v="4"/>
    <x v="3"/>
    <n v="2026"/>
    <s v="Sell"/>
    <s v="Active"/>
    <e v="#N/A"/>
    <d v="2026-07-31T00:00:00"/>
    <n v="-10"/>
    <e v="#N/A"/>
    <d v="2026-07-31T00:00:0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464AA-E000-4A33-A37D-BA4B5DF8D2C1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Instrument">
  <location ref="R19:U26" firstHeaderRow="1" firstDataRow="2" firstDataCol="1" rowPageCount="1" colPageCount="1"/>
  <pivotFields count="27">
    <pivotField showAll="0"/>
    <pivotField showAll="0"/>
    <pivotField axis="axisCol" showAll="0">
      <items count="13">
        <item x="4"/>
        <item h="1" sd="0" x="8"/>
        <item x="1"/>
        <item sd="0" x="9"/>
        <item x="5"/>
        <item sd="0" x="6"/>
        <item h="1" x="10"/>
        <item sd="0" x="2"/>
        <item sd="0" x="7"/>
        <item sd="0" x="3"/>
        <item h="1" m="1" x="11"/>
        <item h="1" x="0"/>
        <item t="default" sd="0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9">
        <item sd="0" m="1" x="32"/>
        <item sd="0" m="1" x="35"/>
        <item sd="0" m="1" x="28"/>
        <item sd="0" x="5"/>
        <item sd="0" x="6"/>
        <item sd="0" x="0"/>
        <item sd="0" x="1"/>
        <item sd="0" m="1" x="30"/>
        <item h="1" sd="0" x="3"/>
        <item h="1" sd="0" x="4"/>
        <item sd="0" m="1" x="26"/>
        <item sd="0" m="1" x="29"/>
        <item sd="0" m="1" x="34"/>
        <item h="1" sd="0" x="10"/>
        <item h="1" sd="0" x="8"/>
        <item sd="0" x="9"/>
        <item sd="0" m="1" x="31"/>
        <item sd="0" m="1" x="33"/>
        <item sd="0" m="1" x="27"/>
        <item sd="0" m="1" x="36"/>
        <item sd="0" x="11"/>
        <item sd="0" x="7"/>
        <item sd="0" x="12"/>
        <item sd="0" x="2"/>
        <item sd="0" m="1" x="37"/>
        <item sd="0" m="1" x="25"/>
        <item sd="0" x="13"/>
        <item sd="0" x="14"/>
        <item sd="0" x="15"/>
        <item x="16"/>
        <item x="17"/>
        <item h="1" m="1" x="24"/>
        <item h="1" x="18"/>
        <item h="1" x="19"/>
        <item h="1" x="20"/>
        <item h="1" m="1" x="21"/>
        <item h="1" m="1" x="22"/>
        <item h="1" m="1" x="23"/>
        <item t="default" sd="0"/>
      </items>
    </pivotField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m="1"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numFmtId="171" showAll="0"/>
    <pivotField showAll="0"/>
    <pivotField numFmtId="167" showAll="0"/>
    <pivotField numFmtId="171" showAll="0"/>
    <pivotField dragToRow="0" dragToCol="0" dragToPage="0" showAll="0" defaultSubtotal="0"/>
    <pivotField dragToRow="0" dragToCol="0" dragToPage="0" showAll="0" defaultSubtotal="0"/>
  </pivotFields>
  <rowFields count="2">
    <field x="11"/>
    <field x="3"/>
  </rowFields>
  <rowItems count="6">
    <i>
      <x v="15"/>
    </i>
    <i>
      <x v="21"/>
    </i>
    <i>
      <x v="26"/>
    </i>
    <i>
      <x v="27"/>
    </i>
    <i>
      <x v="28"/>
    </i>
    <i t="grand">
      <x/>
    </i>
  </rowItems>
  <colFields count="1">
    <field x="2"/>
  </colFields>
  <colItems count="3">
    <i>
      <x/>
    </i>
    <i>
      <x v="2"/>
    </i>
    <i t="grand">
      <x/>
    </i>
  </colItems>
  <pageFields count="1">
    <pageField fld="14" hier="-1"/>
  </pageFields>
  <dataFields count="1">
    <dataField name="Swaps" fld="4" baseField="5" baseItem="3" numFmtId="171"/>
  </dataFields>
  <formats count="23">
    <format dxfId="357">
      <pivotArea type="all" dataOnly="0" outline="0" fieldPosition="0"/>
    </format>
    <format dxfId="356">
      <pivotArea outline="0" collapsedLevelsAreSubtotals="1" fieldPosition="0"/>
    </format>
    <format dxfId="355">
      <pivotArea type="origin" dataOnly="0" labelOnly="1" outline="0" fieldPosition="0"/>
    </format>
    <format dxfId="354">
      <pivotArea field="11" type="button" dataOnly="0" labelOnly="1" outline="0" axis="axisRow" fieldPosition="0"/>
    </format>
    <format dxfId="353">
      <pivotArea type="topRight" dataOnly="0" labelOnly="1" outline="0" fieldPosition="0"/>
    </format>
    <format dxfId="352">
      <pivotArea field="14" type="button" dataOnly="0" labelOnly="1" outline="0" axis="axisPage" fieldPosition="0"/>
    </format>
    <format dxfId="351">
      <pivotArea dataOnly="0" labelOnly="1" grandRow="1" outline="0" fieldPosition="0"/>
    </format>
    <format dxfId="350">
      <pivotArea dataOnly="0" labelOnly="1" fieldPosition="0">
        <references count="1">
          <reference field="11" count="2">
            <x v="3"/>
            <x v="4"/>
          </reference>
        </references>
      </pivotArea>
    </format>
    <format dxfId="349">
      <pivotArea dataOnly="0" labelOnly="1" grandCol="1" outline="0" fieldPosition="0"/>
    </format>
    <format dxfId="348">
      <pivotArea field="11" grandCol="1" outline="0" collapsedLevelsAreSubtotals="1" axis="axisRow" fieldPosition="0">
        <references count="1">
          <reference field="11" count="1" selected="0">
            <x v="5"/>
          </reference>
        </references>
      </pivotArea>
    </format>
    <format dxfId="347">
      <pivotArea outline="0" fieldPosition="0">
        <references count="1">
          <reference field="4294967294" count="1">
            <x v="0"/>
          </reference>
        </references>
      </pivotArea>
    </format>
    <format dxfId="346">
      <pivotArea grandRow="1" grandCol="1" outline="0" collapsedLevelsAreSubtotals="1" fieldPosition="0"/>
    </format>
    <format dxfId="345">
      <pivotArea field="11" grandCol="1" collapsedLevelsAreSubtotals="1" axis="axisRow" fieldPosition="0">
        <references count="2">
          <reference field="2" count="1" selected="0">
            <x v="0"/>
          </reference>
          <reference field="11" count="1">
            <x v="6"/>
          </reference>
        </references>
      </pivotArea>
    </format>
    <format dxfId="344">
      <pivotArea field="11" grandCol="1" outline="0" collapsedLevelsAreSubtotals="1" axis="axisRow" fieldPosition="0">
        <references count="1">
          <reference field="11" count="5" selected="0">
            <x v="8"/>
            <x v="9"/>
            <x v="14"/>
            <x v="15"/>
            <x v="21"/>
          </reference>
        </references>
      </pivotArea>
    </format>
    <format dxfId="343">
      <pivotArea field="11" grandCol="1" collapsedLevelsAreSubtotals="1" axis="axisRow" fieldPosition="0">
        <references count="2">
          <reference field="2" count="1" selected="0">
            <x v="5"/>
          </reference>
          <reference field="11" count="1">
            <x v="8"/>
          </reference>
        </references>
      </pivotArea>
    </format>
    <format dxfId="342">
      <pivotArea field="11" grandCol="1" collapsedLevelsAreSubtotals="1" axis="axisRow" fieldPosition="0">
        <references count="2">
          <reference field="2" count="1" selected="0">
            <x v="0"/>
          </reference>
          <reference field="11" count="1">
            <x v="8"/>
          </reference>
        </references>
      </pivotArea>
    </format>
    <format dxfId="341">
      <pivotArea field="11" grandCol="1" collapsedLevelsAreSubtotals="1" axis="axisRow" fieldPosition="0">
        <references count="2">
          <reference field="2" count="1" selected="0">
            <x v="0"/>
          </reference>
          <reference field="11" count="1">
            <x v="14"/>
          </reference>
        </references>
      </pivotArea>
    </format>
    <format dxfId="340">
      <pivotArea field="11" grandCol="1" collapsedLevelsAreSubtotals="1" axis="axisRow" fieldPosition="0">
        <references count="2">
          <reference field="2" count="1" selected="0">
            <x v="0"/>
          </reference>
          <reference field="11" count="1">
            <x v="15"/>
          </reference>
        </references>
      </pivotArea>
    </format>
    <format dxfId="339">
      <pivotArea field="11" grandCol="1" collapsedLevelsAreSubtotals="1" axis="axisRow" fieldPosition="0">
        <references count="2">
          <reference field="2" count="1" selected="0">
            <x v="0"/>
          </reference>
          <reference field="11" count="1">
            <x v="21"/>
          </reference>
        </references>
      </pivotArea>
    </format>
    <format dxfId="338">
      <pivotArea field="2" grandRow="1" outline="0" collapsedLevelsAreSubtotals="1" axis="axisCol" fieldPosition="0">
        <references count="1">
          <reference field="2" count="1" selected="0">
            <x v="1"/>
          </reference>
        </references>
      </pivotArea>
    </format>
    <format dxfId="337">
      <pivotArea field="2" grandRow="1" outline="0" collapsedLevelsAreSubtotals="1" axis="axisCol" fieldPosition="0">
        <references count="1">
          <reference field="2" count="1" selected="0">
            <x v="0"/>
          </reference>
        </references>
      </pivotArea>
    </format>
    <format dxfId="336">
      <pivotArea field="2" grandRow="1" outline="0" collapsedLevelsAreSubtotals="1" axis="axisCol" fieldPosition="0">
        <references count="1">
          <reference field="2" count="1" selected="0">
            <x v="2"/>
          </reference>
        </references>
      </pivotArea>
    </format>
    <format dxfId="335">
      <pivotArea field="11" grandCol="1" collapsedLevelsAreSubtotals="1" axis="axisRow" fieldPosition="0">
        <references count="1">
          <reference field="11" count="1">
            <x v="9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97BE6-BC7A-4B7F-B6E9-E7EA99289EBD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Instrument">
  <location ref="R31:V38" firstHeaderRow="1" firstDataRow="2" firstDataCol="1" rowPageCount="1" colPageCount="1"/>
  <pivotFields count="27">
    <pivotField showAll="0"/>
    <pivotField showAll="0"/>
    <pivotField axis="axisCol" showAll="0">
      <items count="13">
        <item sd="0" x="8"/>
        <item x="4"/>
        <item x="1"/>
        <item sd="0" x="9"/>
        <item x="5"/>
        <item sd="0" x="6"/>
        <item x="10"/>
        <item sd="0" x="2"/>
        <item sd="0" x="7"/>
        <item sd="0" x="3"/>
        <item m="1" x="11"/>
        <item x="0"/>
        <item t="default" sd="0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9">
        <item sd="0" m="1" x="32"/>
        <item sd="0" m="1" x="35"/>
        <item sd="0" m="1" x="28"/>
        <item sd="0" x="5"/>
        <item sd="0" x="6"/>
        <item sd="0" x="0"/>
        <item sd="0" x="1"/>
        <item sd="0" m="1" x="30"/>
        <item h="1" sd="0" x="3"/>
        <item h="1" sd="0" x="4"/>
        <item sd="0" m="1" x="26"/>
        <item sd="0" m="1" x="29"/>
        <item sd="0" m="1" x="34"/>
        <item h="1" sd="0" x="10"/>
        <item h="1" sd="0" x="8"/>
        <item sd="0" x="9"/>
        <item sd="0" m="1" x="31"/>
        <item sd="0" m="1" x="33"/>
        <item sd="0" m="1" x="27"/>
        <item sd="0" m="1" x="36"/>
        <item x="11"/>
        <item sd="0" x="7"/>
        <item x="12"/>
        <item x="2"/>
        <item m="1" x="37"/>
        <item m="1" x="25"/>
        <item sd="0" x="13"/>
        <item sd="0" x="14"/>
        <item sd="0" x="15"/>
        <item x="16"/>
        <item h="1" x="17"/>
        <item h="1" m="1" x="24"/>
        <item h="1" x="18"/>
        <item h="1" x="19"/>
        <item h="1" x="20"/>
        <item h="1" m="1" x="21"/>
        <item h="1" m="1" x="22"/>
        <item h="1" m="1" x="23"/>
        <item t="default" sd="0"/>
      </items>
    </pivotField>
    <pivotField showAll="0"/>
    <pivotField showAll="0"/>
    <pivotField axis="axisPage" multipleItemSelectionAllowed="1" showAll="0">
      <items count="7">
        <item h="1" x="3"/>
        <item h="1" x="1"/>
        <item x="4"/>
        <item h="1" x="2"/>
        <item h="1" m="1"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numFmtId="171" showAll="0"/>
    <pivotField showAll="0"/>
    <pivotField numFmtId="167" showAll="0"/>
    <pivotField numFmtId="171" showAll="0"/>
    <pivotField dragToRow="0" dragToCol="0" dragToPage="0" showAll="0" defaultSubtotal="0"/>
    <pivotField dragToRow="0" dragToCol="0" dragToPage="0" showAll="0" defaultSubtotal="0"/>
  </pivotFields>
  <rowFields count="2">
    <field x="11"/>
    <field x="3"/>
  </rowFields>
  <rowItems count="6">
    <i>
      <x v="15"/>
    </i>
    <i>
      <x v="21"/>
    </i>
    <i>
      <x v="26"/>
    </i>
    <i>
      <x v="27"/>
    </i>
    <i>
      <x v="28"/>
    </i>
    <i t="grand">
      <x/>
    </i>
  </rowItems>
  <colFields count="1">
    <field x="2"/>
  </colFields>
  <colItems count="4">
    <i>
      <x v="3"/>
    </i>
    <i>
      <x v="4"/>
    </i>
    <i>
      <x v="5"/>
    </i>
    <i t="grand">
      <x/>
    </i>
  </colItems>
  <pageFields count="1">
    <pageField fld="14" hier="-1"/>
  </pageFields>
  <dataFields count="1">
    <dataField name="Freight" fld="4" baseField="5" baseItem="3" numFmtId="171"/>
  </dataFields>
  <formats count="23">
    <format dxfId="380">
      <pivotArea type="all" dataOnly="0" outline="0" fieldPosition="0"/>
    </format>
    <format dxfId="379">
      <pivotArea outline="0" collapsedLevelsAreSubtotals="1" fieldPosition="0"/>
    </format>
    <format dxfId="378">
      <pivotArea type="origin" dataOnly="0" labelOnly="1" outline="0" fieldPosition="0"/>
    </format>
    <format dxfId="377">
      <pivotArea field="11" type="button" dataOnly="0" labelOnly="1" outline="0" axis="axisRow" fieldPosition="0"/>
    </format>
    <format dxfId="376">
      <pivotArea type="topRight" dataOnly="0" labelOnly="1" outline="0" fieldPosition="0"/>
    </format>
    <format dxfId="375">
      <pivotArea field="14" type="button" dataOnly="0" labelOnly="1" outline="0" axis="axisPage" fieldPosition="0"/>
    </format>
    <format dxfId="374">
      <pivotArea dataOnly="0" labelOnly="1" grandRow="1" outline="0" fieldPosition="0"/>
    </format>
    <format dxfId="373">
      <pivotArea dataOnly="0" labelOnly="1" fieldPosition="0">
        <references count="1">
          <reference field="11" count="2">
            <x v="3"/>
            <x v="4"/>
          </reference>
        </references>
      </pivotArea>
    </format>
    <format dxfId="372">
      <pivotArea dataOnly="0" labelOnly="1" grandCol="1" outline="0" fieldPosition="0"/>
    </format>
    <format dxfId="371">
      <pivotArea field="11" grandCol="1" outline="0" collapsedLevelsAreSubtotals="1" axis="axisRow" fieldPosition="0">
        <references count="1">
          <reference field="11" count="1" selected="0">
            <x v="5"/>
          </reference>
        </references>
      </pivotArea>
    </format>
    <format dxfId="370">
      <pivotArea outline="0" fieldPosition="0">
        <references count="1">
          <reference field="4294967294" count="1">
            <x v="0"/>
          </reference>
        </references>
      </pivotArea>
    </format>
    <format dxfId="369">
      <pivotArea grandRow="1" grandCol="1" outline="0" collapsedLevelsAreSubtotals="1" fieldPosition="0"/>
    </format>
    <format dxfId="368">
      <pivotArea field="11" grandCol="1" collapsedLevelsAreSubtotals="1" axis="axisRow" fieldPosition="0">
        <references count="2">
          <reference field="2" count="1" selected="0">
            <x v="1"/>
          </reference>
          <reference field="11" count="1">
            <x v="6"/>
          </reference>
        </references>
      </pivotArea>
    </format>
    <format dxfId="367">
      <pivotArea field="11" grandCol="1" outline="0" collapsedLevelsAreSubtotals="1" axis="axisRow" fieldPosition="0">
        <references count="1">
          <reference field="11" count="5" selected="0">
            <x v="8"/>
            <x v="9"/>
            <x v="14"/>
            <x v="15"/>
            <x v="21"/>
          </reference>
        </references>
      </pivotArea>
    </format>
    <format dxfId="366">
      <pivotArea field="11" grandCol="1" collapsedLevelsAreSubtotals="1" axis="axisRow" fieldPosition="0">
        <references count="2">
          <reference field="2" count="1" selected="0">
            <x v="5"/>
          </reference>
          <reference field="11" count="1">
            <x v="8"/>
          </reference>
        </references>
      </pivotArea>
    </format>
    <format dxfId="365">
      <pivotArea field="11" grandCol="1" collapsedLevelsAreSubtotals="1" axis="axisRow" fieldPosition="0">
        <references count="2">
          <reference field="2" count="1" selected="0">
            <x v="1"/>
          </reference>
          <reference field="11" count="1">
            <x v="8"/>
          </reference>
        </references>
      </pivotArea>
    </format>
    <format dxfId="364">
      <pivotArea field="11" grandCol="1" collapsedLevelsAreSubtotals="1" axis="axisRow" fieldPosition="0">
        <references count="2">
          <reference field="2" count="1" selected="0">
            <x v="1"/>
          </reference>
          <reference field="11" count="1">
            <x v="14"/>
          </reference>
        </references>
      </pivotArea>
    </format>
    <format dxfId="363">
      <pivotArea field="11" grandCol="1" collapsedLevelsAreSubtotals="1" axis="axisRow" fieldPosition="0">
        <references count="2">
          <reference field="2" count="1" selected="0">
            <x v="1"/>
          </reference>
          <reference field="11" count="1">
            <x v="15"/>
          </reference>
        </references>
      </pivotArea>
    </format>
    <format dxfId="362">
      <pivotArea field="11" grandCol="1" collapsedLevelsAreSubtotals="1" axis="axisRow" fieldPosition="0">
        <references count="2">
          <reference field="2" count="1" selected="0">
            <x v="1"/>
          </reference>
          <reference field="11" count="1">
            <x v="21"/>
          </reference>
        </references>
      </pivotArea>
    </format>
    <format dxfId="361">
      <pivotArea field="2" grandRow="1" outline="0" collapsedLevelsAreSubtotals="1" axis="axisCol" fieldPosition="0">
        <references count="1">
          <reference field="2" count="1" selected="0">
            <x v="3"/>
          </reference>
        </references>
      </pivotArea>
    </format>
    <format dxfId="360">
      <pivotArea field="2" grandRow="1" outline="0" collapsedLevelsAreSubtotals="1" axis="axisCol" fieldPosition="0">
        <references count="1">
          <reference field="2" count="1" selected="0">
            <x v="5"/>
          </reference>
        </references>
      </pivotArea>
    </format>
    <format dxfId="359">
      <pivotArea field="11" grandCol="1" collapsedLevelsAreSubtotals="1" axis="axisRow" fieldPosition="0">
        <references count="1">
          <reference field="11" count="1">
            <x v="9"/>
          </reference>
        </references>
      </pivotArea>
    </format>
    <format dxfId="358">
      <pivotArea field="2" grandRow="1" outline="0" collapsedLevelsAreSubtotals="1" axis="axisCol" fieldPosition="0">
        <references count="1">
          <reference field="2" count="1" selected="0">
            <x v="4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003E7-2BCF-4B9B-88A5-AAF754C4B44A}" name="PivotTable1" cacheId="13" applyNumberFormats="0" applyBorderFormats="0" applyFontFormats="0" applyPatternFormats="0" applyAlignmentFormats="0" applyWidthHeightFormats="1" dataCaption="Values" grandTotalCaption="2026 YTD" updatedVersion="8" minRefreshableVersion="3" useAutoFormatting="1" itemPrintTitles="1" createdVersion="8" indent="0" outline="1" outlineData="1" multipleFieldFilters="0" rowHeaderCaption="Instrument">
  <location ref="O8:P17" firstHeaderRow="1" firstDataRow="1" firstDataCol="1"/>
  <pivotFields count="27">
    <pivotField showAll="0"/>
    <pivotField showAll="0"/>
    <pivotField axis="axisRow" showAll="0">
      <items count="13">
        <item x="3"/>
        <item x="8"/>
        <item x="4"/>
        <item x="9"/>
        <item x="5"/>
        <item x="6"/>
        <item x="0"/>
        <item x="10"/>
        <item x="2"/>
        <item x="7"/>
        <item x="1"/>
        <item m="1" x="1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sd="0" x="2"/>
        <item sd="0" x="1"/>
        <item sd="0" x="6"/>
        <item sd="0" x="4"/>
        <item sd="0" x="3"/>
        <item sd="0" x="5"/>
        <item sd="0" x="7"/>
        <item h="1" sd="0" m="1" x="8"/>
        <item sd="0" x="0"/>
        <item t="default" sd="0"/>
      </items>
    </pivotField>
    <pivotField showAll="0"/>
    <pivotField showAll="0"/>
    <pivotField multipleItemSelectionAllowed="1" showAll="0"/>
    <pivotField showAll="0"/>
    <pivotField showAll="0"/>
    <pivotField numFmtId="171" showAll="0"/>
    <pivotField showAll="0"/>
    <pivotField numFmtId="167" showAll="0"/>
    <pivotField numFmtId="171" showAll="0"/>
    <pivotField dragToRow="0" dragToCol="0" dragToPage="0" showAll="0" defaultSubtotal="0"/>
    <pivotField dragToRow="0" dragToCol="0" dragToPage="0" showAll="0" defaultSubtotal="0"/>
  </pivotFields>
  <rowFields count="2">
    <field x="15"/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dataFields count="1">
    <dataField name="PnL ($k)" fld="9" baseField="18" baseItem="0" numFmtId="6"/>
  </dataFields>
  <formats count="13">
    <format dxfId="393">
      <pivotArea grandRow="1" outline="0" collapsedLevelsAreSubtotals="1" fieldPosition="0"/>
    </format>
    <format dxfId="392">
      <pivotArea outline="0" collapsedLevelsAreSubtotals="1" fieldPosition="0"/>
    </format>
    <format dxfId="391">
      <pivotArea dataOnly="0" labelOnly="1" outline="0" axis="axisValues" fieldPosition="0"/>
    </format>
    <format dxfId="390">
      <pivotArea collapsedLevelsAreSubtotals="1" fieldPosition="0">
        <references count="1">
          <reference field="15" count="1">
            <x v="0"/>
          </reference>
        </references>
      </pivotArea>
    </format>
    <format dxfId="389">
      <pivotArea collapsedLevelsAreSubtotals="1" fieldPosition="0">
        <references count="1">
          <reference field="15" count="1">
            <x v="1"/>
          </reference>
        </references>
      </pivotArea>
    </format>
    <format dxfId="388">
      <pivotArea collapsedLevelsAreSubtotals="1" fieldPosition="0">
        <references count="1">
          <reference field="15" count="1">
            <x v="2"/>
          </reference>
        </references>
      </pivotArea>
    </format>
    <format dxfId="387">
      <pivotArea collapsedLevelsAreSubtotals="1" fieldPosition="0">
        <references count="1">
          <reference field="15" count="1">
            <x v="3"/>
          </reference>
        </references>
      </pivotArea>
    </format>
    <format dxfId="386">
      <pivotArea collapsedLevelsAreSubtotals="1" fieldPosition="0">
        <references count="1">
          <reference field="15" count="1">
            <x v="4"/>
          </reference>
        </references>
      </pivotArea>
    </format>
    <format dxfId="385">
      <pivotArea collapsedLevelsAreSubtotals="1" fieldPosition="0">
        <references count="1">
          <reference field="15" count="1">
            <x v="5"/>
          </reference>
        </references>
      </pivotArea>
    </format>
    <format dxfId="384">
      <pivotArea collapsedLevelsAreSubtotals="1" fieldPosition="0">
        <references count="1">
          <reference field="15" count="1">
            <x v="6"/>
          </reference>
        </references>
      </pivotArea>
    </format>
    <format dxfId="383">
      <pivotArea collapsedLevelsAreSubtotals="1" fieldPosition="0">
        <references count="1">
          <reference field="15" count="1">
            <x v="8"/>
          </reference>
        </references>
      </pivotArea>
    </format>
    <format dxfId="382">
      <pivotArea dataOnly="0" labelOnly="1" fieldPosition="0">
        <references count="1">
          <reference field="15" count="0"/>
        </references>
      </pivotArea>
    </format>
    <format dxfId="381">
      <pivotArea dataOnly="0" labelOnly="1" grandRow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C9126-4DD1-4356-A50A-498B7A92146D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Instrument">
  <location ref="AM8:AQ16" firstHeaderRow="1" firstDataRow="3" firstDataCol="1" rowPageCount="1" colPageCount="1"/>
  <pivotFields count="27">
    <pivotField showAll="0"/>
    <pivotField showAll="0"/>
    <pivotField axis="axisCol" showAll="0">
      <items count="13">
        <item h="1" x="8"/>
        <item h="1" x="4"/>
        <item h="1" x="9"/>
        <item h="1" x="5"/>
        <item h="1" x="6"/>
        <item h="1" x="10"/>
        <item h="1" x="2"/>
        <item h="1" x="3"/>
        <item x="1"/>
        <item h="1" x="7"/>
        <item h="1" m="1" x="11"/>
        <item h="1" x="0"/>
        <item t="default"/>
      </items>
    </pivotField>
    <pivotField axis="axisPage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9">
        <item m="1" x="32"/>
        <item m="1" x="35"/>
        <item m="1" x="28"/>
        <item x="5"/>
        <item x="6"/>
        <item x="0"/>
        <item x="1"/>
        <item m="1" x="30"/>
        <item h="1" x="3"/>
        <item h="1" x="4"/>
        <item m="1" x="26"/>
        <item m="1" x="29"/>
        <item m="1" x="34"/>
        <item h="1" x="10"/>
        <item h="1" x="8"/>
        <item x="9"/>
        <item x="7"/>
        <item m="1" x="31"/>
        <item m="1" x="33"/>
        <item m="1" x="27"/>
        <item m="1" x="36"/>
        <item x="11"/>
        <item x="12"/>
        <item x="2"/>
        <item m="1" x="37"/>
        <item m="1" x="25"/>
        <item x="13"/>
        <item x="14"/>
        <item x="15"/>
        <item x="16"/>
        <item x="17"/>
        <item h="1" m="1" x="24"/>
        <item h="1" x="18"/>
        <item h="1" x="19"/>
        <item h="1" x="20"/>
        <item h="1" m="1" x="21"/>
        <item h="1" m="1" x="22"/>
        <item h="1" m="1" x="23"/>
        <item t="default"/>
      </items>
    </pivotField>
    <pivotField showAll="0"/>
    <pivotField showAll="0"/>
    <pivotField axis="axisRow" multipleItemSelectionAllowed="1" showAll="0">
      <items count="7">
        <item x="3"/>
        <item x="1"/>
        <item h="1" x="4"/>
        <item h="1" x="2"/>
        <item h="1" m="1"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numFmtId="171" showAll="0"/>
    <pivotField showAll="0"/>
    <pivotField numFmtId="167" showAll="0"/>
    <pivotField numFmtId="171" showAll="0"/>
    <pivotField dataField="1" dragToRow="0" dragToCol="0" dragToPage="0" showAll="0" defaultSubtotal="0"/>
    <pivotField dragToRow="0" dragToCol="0" dragToPage="0" showAll="0" defaultSubtotal="0"/>
  </pivotFields>
  <rowFields count="2">
    <field x="14"/>
    <field x="11"/>
  </rowFields>
  <rowItems count="6">
    <i>
      <x v="1"/>
    </i>
    <i r="1">
      <x v="15"/>
    </i>
    <i r="1">
      <x v="16"/>
    </i>
    <i r="1">
      <x v="26"/>
    </i>
    <i r="1">
      <x v="27"/>
    </i>
    <i t="grand">
      <x/>
    </i>
  </rowItems>
  <colFields count="2">
    <field x="2"/>
    <field x="-2"/>
  </colFields>
  <colItems count="4">
    <i>
      <x v="8"/>
      <x/>
    </i>
    <i r="1" i="1">
      <x v="1"/>
    </i>
    <i t="grand">
      <x/>
    </i>
    <i t="grand" i="1">
      <x/>
    </i>
  </colItems>
  <pageFields count="1">
    <pageField fld="3" item="1" hier="-1"/>
  </pageFields>
  <dataFields count="2">
    <dataField name="Spreads" fld="4" baseField="18" baseItem="10" numFmtId="171"/>
    <dataField name="Sum of Average Price" fld="25" baseField="11" baseItem="26" numFmtId="8"/>
  </dataFields>
  <formats count="17">
    <format dxfId="410">
      <pivotArea type="all" dataOnly="0" outline="0" fieldPosition="0"/>
    </format>
    <format dxfId="409">
      <pivotArea outline="0" collapsedLevelsAreSubtotals="1" fieldPosition="0"/>
    </format>
    <format dxfId="408">
      <pivotArea type="origin" dataOnly="0" labelOnly="1" outline="0" fieldPosition="0"/>
    </format>
    <format dxfId="407">
      <pivotArea field="11" type="button" dataOnly="0" labelOnly="1" outline="0" axis="axisRow" fieldPosition="1"/>
    </format>
    <format dxfId="406">
      <pivotArea type="topRight" dataOnly="0" labelOnly="1" outline="0" fieldPosition="0"/>
    </format>
    <format dxfId="405">
      <pivotArea field="14" type="button" dataOnly="0" labelOnly="1" outline="0" axis="axisRow" fieldPosition="0"/>
    </format>
    <format dxfId="404">
      <pivotArea dataOnly="0" labelOnly="1" fieldPosition="0">
        <references count="1">
          <reference field="14" count="0"/>
        </references>
      </pivotArea>
    </format>
    <format dxfId="403">
      <pivotArea dataOnly="0" labelOnly="1" grandRow="1" outline="0" fieldPosition="0"/>
    </format>
    <format dxfId="402">
      <pivotArea dataOnly="0" labelOnly="1" fieldPosition="0">
        <references count="1">
          <reference field="11" count="2">
            <x v="3"/>
            <x v="4"/>
          </reference>
        </references>
      </pivotArea>
    </format>
    <format dxfId="401">
      <pivotArea dataOnly="0" labelOnly="1" grandCol="1" outline="0" fieldPosition="0"/>
    </format>
    <format dxfId="400">
      <pivotArea outline="0" fieldPosition="0">
        <references count="1">
          <reference field="4294967294" count="1">
            <x v="0"/>
          </reference>
        </references>
      </pivotArea>
    </format>
    <format dxfId="399">
      <pivotArea outline="0" collapsedLevelsAreSubtotals="1" fieldPosition="0"/>
    </format>
    <format dxfId="398">
      <pivotArea dataOnly="0" labelOnly="1" grandRow="1" outline="0" fieldPosition="0"/>
    </format>
    <format dxfId="397">
      <pivotArea grandRow="1" grandCol="1" outline="0" collapsedLevelsAreSubtotals="1" fieldPosition="0"/>
    </format>
    <format dxfId="396">
      <pivotArea field="2" grandRow="1" outline="0" collapsedLevelsAreSubtotals="1" axis="axisCol" fieldPosition="0">
        <references count="1">
          <reference field="2" count="1" selected="0">
            <x v="9"/>
          </reference>
        </references>
      </pivotArea>
    </format>
    <format dxfId="395">
      <pivotArea field="2" grandRow="1" outline="0" collapsedLevelsAreSubtotals="1" axis="axisCol" fieldPosition="0">
        <references count="1">
          <reference field="2" count="1" selected="0">
            <x v="7"/>
          </reference>
        </references>
      </pivotArea>
    </format>
    <format dxfId="39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823F1-D3E2-40C0-8943-6443EB88B2C2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Instrument">
  <location ref="AD10:AF15" firstHeaderRow="1" firstDataRow="2" firstDataCol="1" rowPageCount="1" colPageCount="1"/>
  <pivotFields count="27">
    <pivotField showAll="0"/>
    <pivotField axis="axisPage" multipleItemSelectionAllowed="1" showAll="0">
      <items count="117">
        <item h="1" x="1"/>
        <item h="1" x="2"/>
        <item h="1" x="3"/>
        <item h="1" x="4"/>
        <item h="1" x="5"/>
        <item h="1" x="6"/>
        <item h="1" x="8"/>
        <item h="1" x="7"/>
        <item h="1" x="9"/>
        <item h="1" x="10"/>
        <item h="1" x="11"/>
        <item h="1" x="12"/>
        <item h="1" x="13"/>
        <item h="1" x="14"/>
        <item h="1" x="15"/>
        <item h="1" x="18"/>
        <item h="1" x="19"/>
        <item h="1" x="20"/>
        <item h="1" x="17"/>
        <item h="1" x="21"/>
        <item h="1" x="22"/>
        <item h="1" x="23"/>
        <item h="1" x="24"/>
        <item h="1" x="25"/>
        <item h="1" x="26"/>
        <item h="1" x="27"/>
        <item h="1" x="16"/>
        <item h="1" x="28"/>
        <item h="1" x="29"/>
        <item h="1" x="30"/>
        <item h="1" x="0"/>
        <item h="1" x="31"/>
        <item h="1" x="33"/>
        <item h="1" x="32"/>
        <item h="1" x="34"/>
        <item h="1" x="35"/>
        <item h="1" x="36"/>
        <item h="1" x="37"/>
        <item h="1" x="38"/>
        <item h="1" x="39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40"/>
        <item h="1" x="54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55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t="default"/>
      </items>
    </pivotField>
    <pivotField axis="axisCol" showAll="0">
      <items count="13">
        <item x="4"/>
        <item x="1"/>
        <item sd="0" x="7"/>
        <item sd="0" x="8"/>
        <item sd="0" x="9"/>
        <item x="5"/>
        <item sd="0" x="6"/>
        <item h="1" x="10"/>
        <item sd="0" x="2"/>
        <item sd="0" x="3"/>
        <item h="1" m="1" x="11"/>
        <item h="1" x="0"/>
        <item t="default" sd="0"/>
      </items>
    </pivotField>
    <pivotField axis="axisRow" showAll="0" defaultSubtotal="0">
      <items count="3">
        <item sd="0" x="0"/>
        <item x="2"/>
        <item x="1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9">
        <item sd="0" m="1" x="32"/>
        <item sd="0" m="1" x="35"/>
        <item sd="0" m="1" x="28"/>
        <item sd="0" x="5"/>
        <item sd="0" x="6"/>
        <item sd="0" x="0"/>
        <item sd="0" x="1"/>
        <item sd="0" m="1" x="30"/>
        <item sd="0" x="3"/>
        <item sd="0" x="4"/>
        <item sd="0" m="1" x="26"/>
        <item sd="0" m="1" x="29"/>
        <item sd="0" m="1" x="34"/>
        <item sd="0" x="10"/>
        <item sd="0" x="8"/>
        <item sd="0" x="9"/>
        <item sd="0" m="1" x="31"/>
        <item sd="0" m="1" x="33"/>
        <item sd="0" m="1" x="27"/>
        <item sd="0" m="1" x="36"/>
        <item sd="0" x="11"/>
        <item sd="0" x="7"/>
        <item sd="0" x="12"/>
        <item sd="0" x="2"/>
        <item sd="0" m="1" x="37"/>
        <item sd="0" m="1" x="25"/>
        <item sd="0" x="13"/>
        <item sd="0" x="14"/>
        <item sd="0" x="15"/>
        <item x="16"/>
        <item x="17"/>
        <item m="1" x="24"/>
        <item x="18"/>
        <item x="19"/>
        <item x="20"/>
        <item m="1" x="21"/>
        <item m="1" x="22"/>
        <item m="1" x="23"/>
        <item t="default" sd="0"/>
      </items>
    </pivotField>
    <pivotField showAll="0"/>
    <pivotField showAll="0"/>
    <pivotField axis="axisRow" multipleItemSelectionAllowed="1" showAll="0">
      <items count="7">
        <item x="3"/>
        <item x="1"/>
        <item x="4"/>
        <item x="2"/>
        <item m="1"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71" showAll="0"/>
    <pivotField showAll="0"/>
    <pivotField numFmtId="167" showAll="0"/>
    <pivotField numFmtId="171" showAll="0"/>
    <pivotField dragToRow="0" dragToCol="0" dragToPage="0" showAll="0" defaultSubtotal="0"/>
    <pivotField dragToRow="0" dragToCol="0" dragToPage="0" showAll="0" defaultSubtotal="0"/>
  </pivotFields>
  <rowFields count="3">
    <field x="3"/>
    <field x="14"/>
    <field x="11"/>
  </rowFields>
  <rowItems count="4">
    <i>
      <x v="1"/>
    </i>
    <i r="1">
      <x v="1"/>
    </i>
    <i r="2">
      <x v="14"/>
    </i>
    <i t="grand">
      <x/>
    </i>
  </rowItems>
  <colFields count="1">
    <field x="2"/>
  </colFields>
  <colItems count="2">
    <i>
      <x/>
    </i>
    <i t="grand">
      <x/>
    </i>
  </colItems>
  <pageFields count="1">
    <pageField fld="1" hier="-1"/>
  </pageFields>
  <dataFields count="1">
    <dataField name="Swaps" fld="4" baseField="5" baseItem="3" numFmtId="171"/>
  </dataFields>
  <formats count="26">
    <format dxfId="436">
      <pivotArea type="all" dataOnly="0" outline="0" fieldPosition="0"/>
    </format>
    <format dxfId="435">
      <pivotArea outline="0" collapsedLevelsAreSubtotals="1" fieldPosition="0"/>
    </format>
    <format dxfId="434">
      <pivotArea type="origin" dataOnly="0" labelOnly="1" outline="0" fieldPosition="0"/>
    </format>
    <format dxfId="433">
      <pivotArea field="11" type="button" dataOnly="0" labelOnly="1" outline="0" axis="axisRow" fieldPosition="2"/>
    </format>
    <format dxfId="432">
      <pivotArea type="topRight" dataOnly="0" labelOnly="1" outline="0" fieldPosition="0"/>
    </format>
    <format dxfId="431">
      <pivotArea field="14" type="button" dataOnly="0" labelOnly="1" outline="0" axis="axisRow" fieldPosition="1"/>
    </format>
    <format dxfId="430">
      <pivotArea dataOnly="0" labelOnly="1" grandRow="1" outline="0" fieldPosition="0"/>
    </format>
    <format dxfId="429">
      <pivotArea dataOnly="0" labelOnly="1" fieldPosition="0">
        <references count="1">
          <reference field="11" count="2">
            <x v="3"/>
            <x v="4"/>
          </reference>
        </references>
      </pivotArea>
    </format>
    <format dxfId="428">
      <pivotArea dataOnly="0" labelOnly="1" grandCol="1" outline="0" fieldPosition="0"/>
    </format>
    <format dxfId="427">
      <pivotArea field="11" grandCol="1" outline="0" collapsedLevelsAreSubtotals="1" axis="axisRow" fieldPosition="2">
        <references count="1">
          <reference field="11" count="1" selected="0">
            <x v="5"/>
          </reference>
        </references>
      </pivotArea>
    </format>
    <format dxfId="426">
      <pivotArea outline="0" fieldPosition="0">
        <references count="1">
          <reference field="4294967294" count="1">
            <x v="0"/>
          </reference>
        </references>
      </pivotArea>
    </format>
    <format dxfId="425">
      <pivotArea grandRow="1" grandCol="1" outline="0" collapsedLevelsAreSubtotals="1" fieldPosition="0"/>
    </format>
    <format dxfId="424">
      <pivotArea field="11" grandCol="1" collapsedLevelsAreSubtotals="1" axis="axisRow" fieldPosition="2">
        <references count="2">
          <reference field="2" count="1" selected="0">
            <x v="0"/>
          </reference>
          <reference field="11" count="1">
            <x v="6"/>
          </reference>
        </references>
      </pivotArea>
    </format>
    <format dxfId="423">
      <pivotArea field="11" grandCol="1" outline="0" collapsedLevelsAreSubtotals="1" axis="axisRow" fieldPosition="2">
        <references count="1">
          <reference field="11" count="5" selected="0">
            <x v="8"/>
            <x v="9"/>
            <x v="14"/>
            <x v="15"/>
            <x v="21"/>
          </reference>
        </references>
      </pivotArea>
    </format>
    <format dxfId="422">
      <pivotArea field="11" grandCol="1" collapsedLevelsAreSubtotals="1" axis="axisRow" fieldPosition="2">
        <references count="2">
          <reference field="2" count="1" selected="0">
            <x v="6"/>
          </reference>
          <reference field="11" count="1">
            <x v="8"/>
          </reference>
        </references>
      </pivotArea>
    </format>
    <format dxfId="421">
      <pivotArea field="11" grandCol="1" collapsedLevelsAreSubtotals="1" axis="axisRow" fieldPosition="2">
        <references count="2">
          <reference field="2" count="1" selected="0">
            <x v="0"/>
          </reference>
          <reference field="11" count="1">
            <x v="8"/>
          </reference>
        </references>
      </pivotArea>
    </format>
    <format dxfId="420">
      <pivotArea field="11" grandCol="1" collapsedLevelsAreSubtotals="1" axis="axisRow" fieldPosition="2">
        <references count="2">
          <reference field="2" count="1" selected="0">
            <x v="0"/>
          </reference>
          <reference field="11" count="1">
            <x v="14"/>
          </reference>
        </references>
      </pivotArea>
    </format>
    <format dxfId="419">
      <pivotArea field="11" grandCol="1" collapsedLevelsAreSubtotals="1" axis="axisRow" fieldPosition="2">
        <references count="2">
          <reference field="2" count="1" selected="0">
            <x v="0"/>
          </reference>
          <reference field="11" count="1">
            <x v="15"/>
          </reference>
        </references>
      </pivotArea>
    </format>
    <format dxfId="418">
      <pivotArea field="11" grandCol="1" collapsedLevelsAreSubtotals="1" axis="axisRow" fieldPosition="2">
        <references count="2">
          <reference field="2" count="1" selected="0">
            <x v="0"/>
          </reference>
          <reference field="11" count="1">
            <x v="21"/>
          </reference>
        </references>
      </pivotArea>
    </format>
    <format dxfId="417">
      <pivotArea field="2" grandRow="1" outline="0" collapsedLevelsAreSubtotals="1" axis="axisCol" fieldPosition="0">
        <references count="1">
          <reference field="2" count="1" selected="0">
            <x v="3"/>
          </reference>
        </references>
      </pivotArea>
    </format>
    <format dxfId="416">
      <pivotArea field="2" grandRow="1" outline="0" collapsedLevelsAreSubtotals="1" axis="axisCol" fieldPosition="0">
        <references count="1">
          <reference field="2" count="1" selected="0">
            <x v="0"/>
          </reference>
        </references>
      </pivotArea>
    </format>
    <format dxfId="415">
      <pivotArea field="2" grandRow="1" outline="0" collapsedLevelsAreSubtotals="1" axis="axisCol" fieldPosition="0">
        <references count="1">
          <reference field="2" count="1" selected="0">
            <x v="1"/>
          </reference>
        </references>
      </pivotArea>
    </format>
    <format dxfId="414">
      <pivotArea field="11" grandCol="1" collapsedLevelsAreSubtotals="1" axis="axisRow" fieldPosition="2">
        <references count="1">
          <reference field="11" count="1">
            <x v="9"/>
          </reference>
        </references>
      </pivotArea>
    </format>
    <format dxfId="413">
      <pivotArea field="2" grandRow="1" outline="0" collapsedLevelsAreSubtotals="1" axis="axisCol" fieldPosition="0">
        <references count="1">
          <reference field="2" count="1" selected="0">
            <x v="2"/>
          </reference>
        </references>
      </pivotArea>
    </format>
    <format dxfId="412">
      <pivotArea field="2" grandRow="1" outline="0" collapsedLevelsAreSubtotals="1" axis="axisCol" fieldPosition="0">
        <references count="1">
          <reference field="2" count="1" selected="0">
            <x v="5"/>
          </reference>
        </references>
      </pivotArea>
    </format>
    <format dxfId="411">
      <pivotArea field="2" grandRow="1" outline="0" collapsedLevelsAreSubtotals="1" axis="axisCol" fieldPosition="0">
        <references count="1">
          <reference field="2" count="3" selected="0">
            <x v="4"/>
            <x v="8"/>
            <x v="9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7868B-D169-4C87-A25C-659A385C716C}" name="PivotTable8" cacheId="13" applyNumberFormats="0" applyBorderFormats="0" applyFontFormats="0" applyPatternFormats="0" applyAlignmentFormats="0" applyWidthHeightFormats="1" dataCaption="Values" grandTotalCaption="2026 YTD" updatedVersion="8" minRefreshableVersion="3" useAutoFormatting="1" itemPrintTitles="1" createdVersion="8" indent="0" outline="1" outlineData="1" multipleFieldFilters="0" rowHeaderCaption="Instrument">
  <location ref="B24:C33" firstHeaderRow="1" firstDataRow="1" firstDataCol="1" rowPageCount="1" colPageCount="1"/>
  <pivotFields count="27">
    <pivotField axis="axisPage" multipleItemSelectionAllowed="1" showAll="0">
      <items count="39">
        <item h="1" x="22"/>
        <item h="1" x="29"/>
        <item h="1" x="11"/>
        <item h="1" x="4"/>
        <item h="1" x="0"/>
        <item h="1" x="28"/>
        <item h="1" x="15"/>
        <item h="1" x="6"/>
        <item h="1" x="9"/>
        <item h="1" x="2"/>
        <item h="1" x="13"/>
        <item h="1" x="12"/>
        <item h="1" x="16"/>
        <item h="1" x="23"/>
        <item h="1" x="17"/>
        <item h="1" x="21"/>
        <item h="1" x="7"/>
        <item h="1" x="24"/>
        <item h="1" x="1"/>
        <item h="1" x="20"/>
        <item h="1" x="10"/>
        <item h="1" x="3"/>
        <item x="26"/>
        <item h="1" x="25"/>
        <item h="1" x="27"/>
        <item h="1" x="18"/>
        <item h="1" x="5"/>
        <item h="1" x="19"/>
        <item h="1" x="14"/>
        <item h="1" x="8"/>
        <item h="1" x="30"/>
        <item h="1" x="31"/>
        <item h="1" x="32"/>
        <item h="1" x="33"/>
        <item h="1" x="34"/>
        <item h="1" x="35"/>
        <item h="1" x="36"/>
        <item h="1" x="37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sd="0" x="2"/>
        <item sd="0" x="1"/>
        <item sd="0" x="6"/>
        <item sd="0" x="4"/>
        <item sd="0" x="3"/>
        <item sd="0" x="5"/>
        <item sd="0" x="7"/>
        <item sd="0" m="1" x="8"/>
        <item sd="0" x="0"/>
        <item t="default" sd="0"/>
      </items>
    </pivotField>
    <pivotField showAll="0"/>
    <pivotField showAll="0"/>
    <pivotField multipleItemSelectionAllowed="1" showAll="0"/>
    <pivotField showAll="0"/>
    <pivotField showAll="0"/>
    <pivotField numFmtId="171" showAll="0"/>
    <pivotField showAll="0"/>
    <pivotField numFmtId="167" showAll="0"/>
    <pivotField numFmtId="171" showAll="0"/>
    <pivotField dragToRow="0" dragToCol="0" dragToPage="0" showAll="0" defaultSubtotal="0"/>
    <pivotField dragToRow="0" dragToCol="0" dragToPage="0" showAll="0" defaultSubtotal="0"/>
  </pivotFields>
  <rowFields count="2">
    <field x="3"/>
    <field x="15"/>
  </rowFields>
  <rowItems count="9">
    <i>
      <x/>
    </i>
    <i r="1">
      <x/>
    </i>
    <i r="1">
      <x v="2"/>
    </i>
    <i r="1">
      <x v="4"/>
    </i>
    <i r="1">
      <x v="6"/>
    </i>
    <i>
      <x v="1"/>
    </i>
    <i r="1">
      <x/>
    </i>
    <i r="1">
      <x v="2"/>
    </i>
    <i t="grand">
      <x/>
    </i>
  </rowItems>
  <colItems count="1">
    <i/>
  </colItems>
  <pageFields count="1">
    <pageField fld="0" hier="-1"/>
  </pageFields>
  <dataFields count="1">
    <dataField name="PnL ($k)" fld="9" baseField="18" baseItem="0" numFmtId="6"/>
  </dataFields>
  <formats count="13">
    <format dxfId="449">
      <pivotArea grandRow="1" outline="0" collapsedLevelsAreSubtotals="1" fieldPosition="0"/>
    </format>
    <format dxfId="448">
      <pivotArea outline="0" collapsedLevelsAreSubtotals="1" fieldPosition="0"/>
    </format>
    <format dxfId="447">
      <pivotArea dataOnly="0" labelOnly="1" outline="0" axis="axisValues" fieldPosition="0"/>
    </format>
    <format dxfId="446">
      <pivotArea collapsedLevelsAreSubtotals="1" fieldPosition="0">
        <references count="1">
          <reference field="15" count="1">
            <x v="0"/>
          </reference>
        </references>
      </pivotArea>
    </format>
    <format dxfId="445">
      <pivotArea collapsedLevelsAreSubtotals="1" fieldPosition="0">
        <references count="1">
          <reference field="15" count="1">
            <x v="1"/>
          </reference>
        </references>
      </pivotArea>
    </format>
    <format dxfId="444">
      <pivotArea collapsedLevelsAreSubtotals="1" fieldPosition="0">
        <references count="1">
          <reference field="15" count="1">
            <x v="2"/>
          </reference>
        </references>
      </pivotArea>
    </format>
    <format dxfId="443">
      <pivotArea collapsedLevelsAreSubtotals="1" fieldPosition="0">
        <references count="1">
          <reference field="15" count="1">
            <x v="3"/>
          </reference>
        </references>
      </pivotArea>
    </format>
    <format dxfId="442">
      <pivotArea collapsedLevelsAreSubtotals="1" fieldPosition="0">
        <references count="1">
          <reference field="15" count="1">
            <x v="4"/>
          </reference>
        </references>
      </pivotArea>
    </format>
    <format dxfId="441">
      <pivotArea collapsedLevelsAreSubtotals="1" fieldPosition="0">
        <references count="1">
          <reference field="15" count="1">
            <x v="5"/>
          </reference>
        </references>
      </pivotArea>
    </format>
    <format dxfId="440">
      <pivotArea collapsedLevelsAreSubtotals="1" fieldPosition="0">
        <references count="1">
          <reference field="15" count="1">
            <x v="6"/>
          </reference>
        </references>
      </pivotArea>
    </format>
    <format dxfId="439">
      <pivotArea collapsedLevelsAreSubtotals="1" fieldPosition="0">
        <references count="1">
          <reference field="15" count="1">
            <x v="8"/>
          </reference>
        </references>
      </pivotArea>
    </format>
    <format dxfId="438">
      <pivotArea dataOnly="0" labelOnly="1" fieldPosition="0">
        <references count="1">
          <reference field="15" count="0"/>
        </references>
      </pivotArea>
    </format>
    <format dxfId="437">
      <pivotArea dataOnly="0" labelOnly="1" grandRow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26BC4-C0B5-4B3B-9FBF-F73FF43AA00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Instrument">
  <location ref="R7:U13" firstHeaderRow="1" firstDataRow="2" firstDataCol="1"/>
  <pivotFields count="27">
    <pivotField showAll="0"/>
    <pivotField showAll="0"/>
    <pivotField axis="axisCol" showAll="0">
      <items count="13">
        <item x="8"/>
        <item x="4"/>
        <item x="9"/>
        <item x="5"/>
        <item x="6"/>
        <item x="10"/>
        <item x="2"/>
        <item x="3"/>
        <item x="1"/>
        <item x="7"/>
        <item m="1" x="1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9">
        <item m="1" x="32"/>
        <item m="1" x="35"/>
        <item m="1" x="28"/>
        <item h="1" x="5"/>
        <item h="1" x="6"/>
        <item x="0"/>
        <item x="1"/>
        <item m="1" x="30"/>
        <item x="3"/>
        <item x="4"/>
        <item m="1" x="26"/>
        <item m="1" x="29"/>
        <item m="1" x="34"/>
        <item x="7"/>
        <item m="1" x="31"/>
        <item m="1" x="33"/>
        <item m="1" x="27"/>
        <item m="1" x="36"/>
        <item x="8"/>
        <item x="9"/>
        <item x="10"/>
        <item h="1" x="11"/>
        <item h="1" x="12"/>
        <item h="1" x="2"/>
        <item m="1" x="37"/>
        <item h="1" m="1" x="25"/>
        <item h="1" x="13"/>
        <item h="1" x="14"/>
        <item h="1" x="15"/>
        <item h="1" x="16"/>
        <item x="17"/>
        <item h="1" m="1" x="24"/>
        <item x="18"/>
        <item h="1" x="19"/>
        <item x="20"/>
        <item h="1" m="1" x="21"/>
        <item h="1" m="1" x="22"/>
        <item h="1" m="1" x="23"/>
        <item t="default"/>
      </items>
    </pivotField>
    <pivotField showAll="0"/>
    <pivotField showAll="0"/>
    <pivotField axis="axisRow" multipleItemSelectionAllowed="1" showAll="0">
      <items count="7">
        <item x="3"/>
        <item h="1" x="1"/>
        <item h="1" x="4"/>
        <item h="1" x="2"/>
        <item h="1" m="1"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numFmtId="171" showAll="0"/>
    <pivotField showAll="0"/>
    <pivotField numFmtId="167" showAll="0"/>
    <pivotField numFmtId="171" showAll="0"/>
    <pivotField dragToRow="0" dragToCol="0" dragToPage="0" showAll="0" defaultSubtotal="0"/>
    <pivotField dragToRow="0" dragToCol="0" dragToPage="0" showAll="0" defaultSubtotal="0"/>
  </pivotFields>
  <rowFields count="2">
    <field x="14"/>
    <field x="11"/>
  </rowFields>
  <rowItems count="5">
    <i>
      <x/>
    </i>
    <i r="1">
      <x v="30"/>
    </i>
    <i r="1">
      <x v="32"/>
    </i>
    <i r="1">
      <x v="34"/>
    </i>
    <i t="grand">
      <x/>
    </i>
  </rowItems>
  <colFields count="1">
    <field x="2"/>
  </colFields>
  <colItems count="3">
    <i>
      <x v="7"/>
    </i>
    <i>
      <x v="9"/>
    </i>
    <i t="grand">
      <x/>
    </i>
  </colItems>
  <dataFields count="1">
    <dataField name="Spreads" fld="4" baseField="18" baseItem="10" numFmtId="171"/>
  </dataFields>
  <formats count="16">
    <format dxfId="465">
      <pivotArea type="all" dataOnly="0" outline="0" fieldPosition="0"/>
    </format>
    <format dxfId="464">
      <pivotArea outline="0" collapsedLevelsAreSubtotals="1" fieldPosition="0"/>
    </format>
    <format dxfId="463">
      <pivotArea type="origin" dataOnly="0" labelOnly="1" outline="0" fieldPosition="0"/>
    </format>
    <format dxfId="462">
      <pivotArea field="11" type="button" dataOnly="0" labelOnly="1" outline="0" axis="axisRow" fieldPosition="1"/>
    </format>
    <format dxfId="461">
      <pivotArea type="topRight" dataOnly="0" labelOnly="1" outline="0" fieldPosition="0"/>
    </format>
    <format dxfId="460">
      <pivotArea field="14" type="button" dataOnly="0" labelOnly="1" outline="0" axis="axisRow" fieldPosition="0"/>
    </format>
    <format dxfId="459">
      <pivotArea dataOnly="0" labelOnly="1" fieldPosition="0">
        <references count="1">
          <reference field="14" count="0"/>
        </references>
      </pivotArea>
    </format>
    <format dxfId="458">
      <pivotArea dataOnly="0" labelOnly="1" grandRow="1" outline="0" fieldPosition="0"/>
    </format>
    <format dxfId="457">
      <pivotArea dataOnly="0" labelOnly="1" fieldPosition="0">
        <references count="1">
          <reference field="11" count="2">
            <x v="3"/>
            <x v="4"/>
          </reference>
        </references>
      </pivotArea>
    </format>
    <format dxfId="456">
      <pivotArea dataOnly="0" labelOnly="1" grandCol="1" outline="0" fieldPosition="0"/>
    </format>
    <format dxfId="455">
      <pivotArea outline="0" fieldPosition="0">
        <references count="1">
          <reference field="4294967294" count="1">
            <x v="0"/>
          </reference>
        </references>
      </pivotArea>
    </format>
    <format dxfId="454">
      <pivotArea outline="0" collapsedLevelsAreSubtotals="1" fieldPosition="0"/>
    </format>
    <format dxfId="453">
      <pivotArea dataOnly="0" labelOnly="1" grandRow="1" outline="0" fieldPosition="0"/>
    </format>
    <format dxfId="452">
      <pivotArea grandRow="1" grandCol="1" outline="0" collapsedLevelsAreSubtotals="1" fieldPosition="0"/>
    </format>
    <format dxfId="451">
      <pivotArea field="2" grandRow="1" outline="0" collapsedLevelsAreSubtotals="1" axis="axisCol" fieldPosition="0">
        <references count="1">
          <reference field="2" count="1" selected="0">
            <x v="9"/>
          </reference>
        </references>
      </pivotArea>
    </format>
    <format dxfId="450">
      <pivotArea field="2" grandRow="1" outline="0" collapsedLevelsAreSubtotals="1" axis="axisCol" fieldPosition="0">
        <references count="1">
          <reference field="2" count="1" selected="0">
            <x v="7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2AA29-7D87-4695-BB1B-B8A527EE851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20:Z27" firstHeaderRow="1" firstDataRow="2" firstDataCol="1" rowPageCount="1" colPageCount="1"/>
  <pivotFields count="27">
    <pivotField showAll="0"/>
    <pivotField showAll="0"/>
    <pivotField axis="axisRow" showAll="0">
      <items count="13">
        <item x="8"/>
        <item h="1" x="4"/>
        <item h="1" x="1"/>
        <item h="1" sd="0" x="9"/>
        <item h="1" x="5"/>
        <item h="1" sd="0" x="6"/>
        <item h="1" sd="0" x="10"/>
        <item h="1" sd="0" x="2"/>
        <item h="1" sd="0" x="7"/>
        <item h="1" sd="0" x="3"/>
        <item h="1" m="1" x="11"/>
        <item h="1" x="0"/>
        <item t="default" sd="0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axis="axisRow" showAll="0">
      <items count="28">
        <item sd="0" x="9"/>
        <item sd="0" x="10"/>
        <item sd="0" m="1" x="16"/>
        <item sd="0" m="1" x="17"/>
        <item sd="0" m="1" x="18"/>
        <item sd="0" m="1" x="19"/>
        <item sd="0" m="1" x="20"/>
        <item sd="0" m="1" x="21"/>
        <item sd="0" m="1" x="22"/>
        <item sd="0" m="1" x="23"/>
        <item sd="0" m="1" x="24"/>
        <item sd="0" m="1" x="25"/>
        <item sd="0" m="1" x="26"/>
        <item sd="0" x="0"/>
        <item sd="0" x="1"/>
        <item sd="0" x="3"/>
        <item sd="0" x="4"/>
        <item sd="0" x="5"/>
        <item sd="0" x="7"/>
        <item sd="0" x="8"/>
        <item sd="0" x="6"/>
        <item x="2"/>
        <item sd="0" x="11"/>
        <item sd="0" x="12"/>
        <item x="13"/>
        <item x="14"/>
        <item x="15"/>
        <item t="default" sd="0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9">
        <item h="1" sd="0" m="1" x="32"/>
        <item h="1" sd="0" m="1" x="35"/>
        <item h="1" sd="0" m="1" x="28"/>
        <item h="1" sd="0" x="5"/>
        <item h="1" sd="0" x="6"/>
        <item h="1" sd="0" x="0"/>
        <item sd="0" x="1"/>
        <item h="1" sd="0" m="1" x="30"/>
        <item x="3"/>
        <item sd="0" x="4"/>
        <item h="1" sd="0" m="1" x="26"/>
        <item h="1" sd="0" m="1" x="29"/>
        <item h="1" sd="0" m="1" x="34"/>
        <item sd="0" x="8"/>
        <item sd="0" x="9"/>
        <item h="1" sd="0" m="1" x="31"/>
        <item h="1" sd="0" m="1" x="33"/>
        <item h="1" sd="0" m="1" x="27"/>
        <item h="1" sd="0" m="1" x="36"/>
        <item sd="0" x="10"/>
        <item x="11"/>
        <item sd="0" x="7"/>
        <item h="1" x="12"/>
        <item h="1" x="2"/>
        <item h="1" m="1" x="37"/>
        <item h="1" m="1" x="25"/>
        <item h="1" x="13"/>
        <item h="1" x="14"/>
        <item h="1" x="15"/>
        <item h="1" x="16"/>
        <item h="1" x="17"/>
        <item h="1" m="1" x="24"/>
        <item h="1" x="18"/>
        <item h="1" x="19"/>
        <item h="1" x="20"/>
        <item h="1" m="1" x="21"/>
        <item h="1" m="1" x="22"/>
        <item h="1" m="1" x="23"/>
        <item t="default" sd="0"/>
      </items>
    </pivotField>
    <pivotField showAll="0"/>
    <pivotField showAll="0"/>
    <pivotField multipleItemSelectionAllowed="1" showAll="0">
      <items count="7">
        <item h="1" x="3"/>
        <item x="1"/>
        <item x="4"/>
        <item h="1" x="2"/>
        <item h="1" m="1" x="5"/>
        <item h="1" x="0"/>
        <item t="default"/>
      </items>
    </pivotField>
    <pivotField axis="axisCol" showAll="0">
      <items count="10">
        <item sd="0" x="2"/>
        <item x="4"/>
        <item sd="0" x="6"/>
        <item x="3"/>
        <item h="1" sd="0" x="5"/>
        <item sd="0" x="7"/>
        <item n="Brent Sprds2" sd="0" x="1"/>
        <item h="1" m="1" x="8"/>
        <item h="1" x="0"/>
        <item t="default" sd="0"/>
      </items>
    </pivotField>
    <pivotField showAll="0"/>
    <pivotField showAll="0"/>
    <pivotField showAll="0"/>
    <pivotField showAll="0"/>
    <pivotField showAll="0"/>
    <pivotField numFmtId="171" showAll="0"/>
    <pivotField showAll="0"/>
    <pivotField numFmtId="167" showAll="0"/>
    <pivotField numFmtId="171" showAll="0"/>
    <pivotField dragToRow="0" dragToCol="0" dragToPage="0" showAll="0" defaultSubtotal="0"/>
    <pivotField dragToRow="0" dragToCol="0" dragToPage="0" showAll="0" defaultSubtotal="0"/>
  </pivotFields>
  <rowFields count="3">
    <field x="2"/>
    <field x="5"/>
    <field x="3"/>
  </rowFields>
  <rowItems count="6">
    <i>
      <x/>
    </i>
    <i r="1">
      <x/>
    </i>
    <i r="1">
      <x v="1"/>
    </i>
    <i r="1">
      <x v="22"/>
    </i>
    <i r="1">
      <x v="23"/>
    </i>
    <i t="grand">
      <x/>
    </i>
  </rowItems>
  <colFields count="1">
    <field x="15"/>
  </colFields>
  <colItems count="2">
    <i>
      <x v="1"/>
    </i>
    <i t="grand">
      <x/>
    </i>
  </colItems>
  <pageFields count="1">
    <pageField fld="11" hier="-1"/>
  </pageFields>
  <dataFields count="1">
    <dataField name="Sum of Quantity" fld="4" baseField="5" baseItem="3" numFmtId="171"/>
  </dataFields>
  <formats count="15">
    <format dxfId="480">
      <pivotArea type="all" dataOnly="0" outline="0" fieldPosition="0"/>
    </format>
    <format dxfId="479">
      <pivotArea outline="0" collapsedLevelsAreSubtotals="1" fieldPosition="0"/>
    </format>
    <format dxfId="478">
      <pivotArea type="origin" dataOnly="0" labelOnly="1" outline="0" fieldPosition="0"/>
    </format>
    <format dxfId="477">
      <pivotArea field="11" type="button" dataOnly="0" labelOnly="1" outline="0" axis="axisPage" fieldPosition="0"/>
    </format>
    <format dxfId="476">
      <pivotArea type="topRight" dataOnly="0" labelOnly="1" outline="0" fieldPosition="0"/>
    </format>
    <format dxfId="475">
      <pivotArea field="14" type="button" dataOnly="0" labelOnly="1" outline="0"/>
    </format>
    <format dxfId="474">
      <pivotArea dataOnly="0" labelOnly="1" grandRow="1" outline="0" fieldPosition="0"/>
    </format>
    <format dxfId="473">
      <pivotArea dataOnly="0" labelOnly="1" grandCol="1" outline="0" fieldPosition="0"/>
    </format>
    <format dxfId="472">
      <pivotArea outline="0" fieldPosition="0">
        <references count="1">
          <reference field="4294967294" count="1">
            <x v="0"/>
          </reference>
        </references>
      </pivotArea>
    </format>
    <format dxfId="471">
      <pivotArea grandRow="1" grandCol="1" outline="0" collapsedLevelsAreSubtotals="1" fieldPosition="0"/>
    </format>
    <format dxfId="470">
      <pivotArea dataOnly="0" labelOnly="1" fieldPosition="0">
        <references count="1">
          <reference field="15" count="3">
            <x v="1"/>
            <x v="2"/>
            <x v="3"/>
          </reference>
        </references>
      </pivotArea>
    </format>
    <format dxfId="469">
      <pivotArea dataOnly="0" labelOnly="1" fieldPosition="0">
        <references count="2">
          <reference field="2" count="2">
            <x v="0"/>
            <x v="1"/>
          </reference>
          <reference field="15" count="1" selected="0">
            <x v="1"/>
          </reference>
        </references>
      </pivotArea>
    </format>
    <format dxfId="468">
      <pivotArea dataOnly="0" labelOnly="1" fieldPosition="0">
        <references count="2">
          <reference field="2" count="3">
            <x v="3"/>
            <x v="4"/>
            <x v="5"/>
          </reference>
          <reference field="15" count="1" selected="0">
            <x v="3"/>
          </reference>
        </references>
      </pivotArea>
    </format>
    <format dxfId="467">
      <pivotArea dataOnly="0" labelOnly="1" fieldPosition="0">
        <references count="3">
          <reference field="2" count="1" selected="0">
            <x v="1"/>
          </reference>
          <reference field="3" count="2">
            <x v="0"/>
            <x v="1"/>
          </reference>
          <reference field="15" count="1" selected="0">
            <x v="1"/>
          </reference>
        </references>
      </pivotArea>
    </format>
    <format dxfId="466">
      <pivotArea field="15" grandRow="1" outline="0" collapsedLevelsAreSubtotals="1" axis="axisCol" fieldPosition="0">
        <references count="1">
          <reference field="15" count="1" selected="0"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1214E-6872-4BB4-819C-31F9FD2C7AB6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:L12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63">
        <item x="21"/>
        <item x="58"/>
        <item x="15"/>
        <item x="2"/>
        <item x="3"/>
        <item x="38"/>
        <item x="34"/>
        <item x="4"/>
        <item x="5"/>
        <item x="17"/>
        <item x="51"/>
        <item x="11"/>
        <item x="1"/>
        <item x="19"/>
        <item x="54"/>
        <item x="13"/>
        <item x="55"/>
        <item x="45"/>
        <item x="28"/>
        <item x="25"/>
        <item x="18"/>
        <item x="52"/>
        <item x="27"/>
        <item x="12"/>
        <item x="53"/>
        <item x="29"/>
        <item x="32"/>
        <item x="33"/>
        <item x="30"/>
        <item x="57"/>
        <item x="31"/>
        <item x="41"/>
        <item x="42"/>
        <item x="44"/>
        <item x="20"/>
        <item x="60"/>
        <item x="14"/>
        <item x="56"/>
        <item x="6"/>
        <item x="7"/>
        <item x="22"/>
        <item x="59"/>
        <item x="16"/>
        <item x="37"/>
        <item x="39"/>
        <item x="8"/>
        <item x="9"/>
        <item x="40"/>
        <item x="24"/>
        <item x="47"/>
        <item x="10"/>
        <item x="0"/>
        <item x="23"/>
        <item x="46"/>
        <item x="36"/>
        <item x="43"/>
        <item x="26"/>
        <item x="35"/>
        <item x="48"/>
        <item x="49"/>
        <item x="50"/>
        <item x="61"/>
        <item t="default"/>
      </items>
    </pivotField>
    <pivotField showAll="0"/>
    <pivotField showAll="0"/>
    <pivotField axis="axisRow" showAll="0">
      <items count="6">
        <item h="1" x="3"/>
        <item x="0"/>
        <item h="1" x="4"/>
        <item h="1" sd="0" x="2"/>
        <item h="1" x="1"/>
        <item t="default"/>
      </items>
    </pivotField>
    <pivotField axis="axisRow" showAll="0">
      <items count="9">
        <item sd="0" x="2"/>
        <item sd="0" x="1"/>
        <item sd="0" x="5"/>
        <item sd="0" x="6"/>
        <item sd="0" x="7"/>
        <item sd="0" x="4"/>
        <item sd="0" x="0"/>
        <item sd="0" x="3"/>
        <item t="default" sd="0"/>
      </items>
    </pivotField>
    <pivotField showAll="0"/>
    <pivotField showAll="0"/>
    <pivotField axis="axisRow" multipleItemSelectionAllowed="1" showAll="0">
      <items count="3">
        <item x="1"/>
        <item h="1" sd="0" x="0"/>
        <item t="default"/>
      </items>
    </pivotField>
    <pivotField axis="axisRow" showAll="0">
      <items count="1461">
        <item x="1122"/>
        <item x="1124"/>
        <item x="1123"/>
        <item x="1131"/>
        <item x="1132"/>
        <item x="1133"/>
        <item x="1134"/>
        <item x="1135"/>
        <item x="1139"/>
        <item x="1125"/>
        <item x="1142"/>
        <item x="1006"/>
        <item x="1007"/>
        <item x="1004"/>
        <item x="1005"/>
        <item x="1010"/>
        <item x="1011"/>
        <item x="1008"/>
        <item x="1009"/>
        <item x="1014"/>
        <item x="1015"/>
        <item x="1012"/>
        <item x="1013"/>
        <item x="863"/>
        <item x="868"/>
        <item x="887"/>
        <item x="897"/>
        <item x="890"/>
        <item x="864"/>
        <item x="865"/>
        <item x="860"/>
        <item x="861"/>
        <item x="867"/>
        <item x="866"/>
        <item x="862"/>
        <item x="1077"/>
        <item x="1079"/>
        <item x="1078"/>
        <item x="1081"/>
        <item x="1083"/>
        <item x="1082"/>
        <item x="1381"/>
        <item x="1383"/>
        <item x="1382"/>
        <item x="902"/>
        <item x="903"/>
        <item x="904"/>
        <item x="1127"/>
        <item x="1129"/>
        <item x="1128"/>
        <item x="1130"/>
        <item x="1214"/>
        <item x="1216"/>
        <item x="1215"/>
        <item x="1217"/>
        <item x="1222"/>
        <item x="339"/>
        <item x="338"/>
        <item x="67"/>
        <item x="62"/>
        <item x="340"/>
        <item x="334"/>
        <item x="335"/>
        <item x="336"/>
        <item x="32"/>
        <item x="337"/>
        <item x="91"/>
        <item x="983"/>
        <item x="1098"/>
        <item x="353"/>
        <item x="113"/>
        <item x="354"/>
        <item x="350"/>
        <item x="351"/>
        <item x="33"/>
        <item x="352"/>
        <item x="92"/>
        <item x="757"/>
        <item x="758"/>
        <item x="768"/>
        <item x="776"/>
        <item x="769"/>
        <item x="765"/>
        <item x="764"/>
        <item x="767"/>
        <item x="763"/>
        <item x="778"/>
        <item x="754"/>
        <item x="755"/>
        <item x="753"/>
        <item x="761"/>
        <item x="756"/>
        <item x="766"/>
        <item x="759"/>
        <item x="760"/>
        <item x="873"/>
        <item x="1046"/>
        <item x="891"/>
        <item x="885"/>
        <item x="895"/>
        <item x="884"/>
        <item x="896"/>
        <item x="874"/>
        <item x="875"/>
        <item x="869"/>
        <item x="871"/>
        <item x="870"/>
        <item x="893"/>
        <item x="892"/>
        <item x="872"/>
        <item x="451"/>
        <item x="483"/>
        <item x="68"/>
        <item x="63"/>
        <item x="496"/>
        <item x="452"/>
        <item x="459"/>
        <item x="453"/>
        <item x="446"/>
        <item x="447"/>
        <item x="448"/>
        <item x="449"/>
        <item x="39"/>
        <item x="450"/>
        <item x="457"/>
        <item x="268"/>
        <item x="254"/>
        <item x="56"/>
        <item x="51"/>
        <item x="264"/>
        <item x="255"/>
        <item x="114"/>
        <item x="250"/>
        <item x="251"/>
        <item x="252"/>
        <item x="249"/>
        <item x="262"/>
        <item x="24"/>
        <item x="253"/>
        <item x="82"/>
        <item x="263"/>
        <item x="1228"/>
        <item x="1227"/>
        <item x="1229"/>
        <item x="1230"/>
        <item x="1223"/>
        <item x="1224"/>
        <item x="1225"/>
        <item x="1232"/>
        <item x="1226"/>
        <item x="1254"/>
        <item x="172"/>
        <item x="52"/>
        <item x="173"/>
        <item x="109"/>
        <item x="174"/>
        <item x="175"/>
        <item x="176"/>
        <item x="182"/>
        <item x="18"/>
        <item x="178"/>
        <item x="183"/>
        <item x="75"/>
        <item x="308"/>
        <item x="64"/>
        <item x="309"/>
        <item x="119"/>
        <item x="325"/>
        <item x="303"/>
        <item x="304"/>
        <item x="306"/>
        <item x="305"/>
        <item x="34"/>
        <item x="25"/>
        <item x="307"/>
        <item x="93"/>
        <item x="1092"/>
        <item x="1093"/>
        <item x="1101"/>
        <item x="1126"/>
        <item x="1109"/>
        <item x="1108"/>
        <item x="1094"/>
        <item x="1095"/>
        <item x="1089"/>
        <item x="1090"/>
        <item x="1103"/>
        <item x="1104"/>
        <item x="1105"/>
        <item x="1106"/>
        <item x="1107"/>
        <item x="1091"/>
        <item x="123"/>
        <item x="53"/>
        <item x="126"/>
        <item x="110"/>
        <item x="184"/>
        <item x="187"/>
        <item x="153"/>
        <item x="197"/>
        <item x="198"/>
        <item x="236"/>
        <item x="185"/>
        <item x="188"/>
        <item x="154"/>
        <item x="244"/>
        <item x="245"/>
        <item x="177"/>
        <item x="71"/>
        <item x="76"/>
        <item x="199"/>
        <item x="200"/>
        <item x="186"/>
        <item x="189"/>
        <item x="190"/>
        <item x="155"/>
        <item x="201"/>
        <item x="202"/>
        <item x="77"/>
        <item x="1274"/>
        <item x="1331"/>
        <item x="1445"/>
        <item x="1249"/>
        <item x="1329"/>
        <item x="1250"/>
        <item x="1330"/>
        <item x="1251"/>
        <item x="1252"/>
        <item x="1247"/>
        <item x="1248"/>
        <item x="1253"/>
        <item x="1267"/>
        <item x="1268"/>
        <item x="1286"/>
        <item x="1269"/>
        <item x="1270"/>
        <item x="1262"/>
        <item x="1266"/>
        <item x="1263"/>
        <item x="1264"/>
        <item x="1265"/>
        <item x="1285"/>
        <item x="1287"/>
        <item x="659"/>
        <item x="986"/>
        <item x="988"/>
        <item x="987"/>
        <item x="989"/>
        <item x="362"/>
        <item x="379"/>
        <item x="1448"/>
        <item x="1449"/>
        <item x="111"/>
        <item x="364"/>
        <item x="1450"/>
        <item x="370"/>
        <item x="378"/>
        <item x="1451"/>
        <item x="368"/>
        <item x="1452"/>
        <item x="369"/>
        <item x="1453"/>
        <item x="366"/>
        <item x="371"/>
        <item x="1454"/>
        <item x="1455"/>
        <item x="365"/>
        <item x="372"/>
        <item x="373"/>
        <item x="374"/>
        <item x="375"/>
        <item x="376"/>
        <item x="377"/>
        <item x="1456"/>
        <item x="367"/>
        <item x="1458"/>
        <item x="361"/>
        <item x="380"/>
        <item x="1457"/>
        <item x="363"/>
        <item x="1459"/>
        <item x="961"/>
        <item x="963"/>
        <item x="962"/>
        <item x="979"/>
        <item x="978"/>
        <item x="980"/>
        <item x="981"/>
        <item x="982"/>
        <item x="966"/>
        <item x="965"/>
        <item x="964"/>
        <item x="967"/>
        <item x="243"/>
        <item x="240"/>
        <item x="241"/>
        <item x="246"/>
        <item x="247"/>
        <item x="242"/>
        <item x="248"/>
        <item x="579"/>
        <item x="609"/>
        <item x="580"/>
        <item x="591"/>
        <item x="572"/>
        <item x="573"/>
        <item x="576"/>
        <item x="577"/>
        <item x="586"/>
        <item x="587"/>
        <item x="575"/>
        <item x="44"/>
        <item x="574"/>
        <item x="589"/>
        <item x="592"/>
        <item x="46"/>
        <item x="590"/>
        <item x="593"/>
        <item x="581"/>
        <item x="583"/>
        <item x="582"/>
        <item x="584"/>
        <item x="578"/>
        <item x="588"/>
        <item x="585"/>
        <item x="237"/>
        <item x="212"/>
        <item x="213"/>
        <item x="57"/>
        <item x="65"/>
        <item x="218"/>
        <item x="214"/>
        <item x="120"/>
        <item x="207"/>
        <item x="208"/>
        <item x="209"/>
        <item x="210"/>
        <item x="215"/>
        <item x="216"/>
        <item x="19"/>
        <item x="26"/>
        <item x="211"/>
        <item x="217"/>
        <item x="83"/>
        <item x="838"/>
        <item x="847"/>
        <item x="846"/>
        <item x="839"/>
        <item x="840"/>
        <item x="835"/>
        <item x="836"/>
        <item x="837"/>
        <item x="651"/>
        <item x="648"/>
        <item x="649"/>
        <item x="650"/>
        <item x="645"/>
        <item x="646"/>
        <item x="647"/>
        <item x="1323"/>
        <item x="1324"/>
        <item x="1319"/>
        <item x="1321"/>
        <item x="1320"/>
        <item x="1325"/>
        <item x="1322"/>
        <item x="734"/>
        <item x="735"/>
        <item x="731"/>
        <item x="732"/>
        <item x="733"/>
        <item x="739"/>
        <item x="751"/>
        <item x="740"/>
        <item x="752"/>
        <item x="736"/>
        <item x="737"/>
        <item x="738"/>
        <item x="750"/>
        <item x="1342"/>
        <item x="1343"/>
        <item x="1355"/>
        <item x="1338"/>
        <item x="1339"/>
        <item x="1354"/>
        <item x="1340"/>
        <item x="1341"/>
        <item x="311"/>
        <item x="312"/>
        <item x="310"/>
        <item x="313"/>
        <item x="332"/>
        <item x="314"/>
        <item x="84"/>
        <item x="316"/>
        <item x="317"/>
        <item x="315"/>
        <item x="318"/>
        <item x="27"/>
        <item x="319"/>
        <item x="85"/>
        <item x="321"/>
        <item x="322"/>
        <item x="323"/>
        <item x="320"/>
        <item x="324"/>
        <item x="86"/>
        <item x="342"/>
        <item x="343"/>
        <item x="344"/>
        <item x="341"/>
        <item x="345"/>
        <item x="98"/>
        <item x="347"/>
        <item x="346"/>
        <item x="1426"/>
        <item x="1427"/>
        <item x="1423"/>
        <item x="1424"/>
        <item x="1425"/>
        <item x="565"/>
        <item x="568"/>
        <item x="569"/>
        <item x="566"/>
        <item x="567"/>
        <item x="570"/>
        <item x="192"/>
        <item x="195"/>
        <item x="194"/>
        <item x="78"/>
        <item x="660"/>
        <item x="634"/>
        <item x="635"/>
        <item x="631"/>
        <item x="632"/>
        <item x="633"/>
        <item x="1416"/>
        <item x="1417"/>
        <item x="1418"/>
        <item x="1422"/>
        <item x="1421"/>
        <item x="1419"/>
        <item x="1420"/>
        <item x="1052"/>
        <item x="1055"/>
        <item x="1058"/>
        <item x="1057"/>
        <item x="1053"/>
        <item x="1054"/>
        <item x="1047"/>
        <item x="1048"/>
        <item x="1050"/>
        <item x="1049"/>
        <item x="1059"/>
        <item x="1051"/>
        <item x="1080"/>
        <item x="1056"/>
        <item x="1060"/>
        <item x="1068"/>
        <item x="1069"/>
        <item x="1070"/>
        <item x="1071"/>
        <item x="1072"/>
        <item x="1073"/>
        <item x="238"/>
        <item x="233"/>
        <item x="234"/>
        <item x="239"/>
        <item x="20"/>
        <item x="235"/>
        <item x="87"/>
        <item x="498"/>
        <item x="499"/>
        <item x="500"/>
        <item x="40"/>
        <item x="503"/>
        <item x="502"/>
        <item x="501"/>
        <item x="788"/>
        <item x="790"/>
        <item x="801"/>
        <item x="785"/>
        <item x="787"/>
        <item x="793"/>
        <item x="786"/>
        <item x="413"/>
        <item x="417"/>
        <item x="69"/>
        <item x="407"/>
        <item x="408"/>
        <item x="409"/>
        <item x="411"/>
        <item x="410"/>
        <item x="415"/>
        <item x="414"/>
        <item x="41"/>
        <item x="35"/>
        <item x="412"/>
        <item x="416"/>
        <item x="96"/>
        <item x="955"/>
        <item x="956"/>
        <item x="957"/>
        <item x="951"/>
        <item x="953"/>
        <item x="952"/>
        <item x="959"/>
        <item x="958"/>
        <item x="954"/>
        <item x="960"/>
        <item x="1115"/>
        <item x="1143"/>
        <item x="1144"/>
        <item x="1136"/>
        <item x="1137"/>
        <item x="1116"/>
        <item x="1117"/>
        <item x="1110"/>
        <item x="1111"/>
        <item x="1113"/>
        <item x="1112"/>
        <item x="1138"/>
        <item x="1145"/>
        <item x="1119"/>
        <item x="1118"/>
        <item x="1147"/>
        <item x="1146"/>
        <item x="1114"/>
        <item x="1120"/>
        <item x="1121"/>
        <item x="224"/>
        <item x="58"/>
        <item x="219"/>
        <item x="220"/>
        <item x="221"/>
        <item x="222"/>
        <item x="227"/>
        <item x="226"/>
        <item x="21"/>
        <item x="28"/>
        <item x="223"/>
        <item x="228"/>
        <item x="88"/>
        <item x="1292"/>
        <item x="1293"/>
        <item x="1345"/>
        <item x="1303"/>
        <item x="1304"/>
        <item x="1294"/>
        <item x="1295"/>
        <item x="1288"/>
        <item x="1290"/>
        <item x="1289"/>
        <item x="1353"/>
        <item x="1300"/>
        <item x="1346"/>
        <item x="1299"/>
        <item x="1297"/>
        <item x="1296"/>
        <item x="1291"/>
        <item x="1301"/>
        <item x="1347"/>
        <item x="1344"/>
        <item x="1298"/>
        <item x="606"/>
        <item x="599"/>
        <item x="600"/>
        <item x="601"/>
        <item x="602"/>
        <item x="603"/>
        <item x="604"/>
        <item x="605"/>
        <item x="611"/>
        <item x="610"/>
        <item x="608"/>
        <item x="607"/>
        <item x="612"/>
        <item x="1392"/>
        <item x="1393"/>
        <item x="1401"/>
        <item x="1400"/>
        <item x="1394"/>
        <item x="1395"/>
        <item x="1388"/>
        <item x="1390"/>
        <item x="1389"/>
        <item x="1397"/>
        <item x="1396"/>
        <item x="1404"/>
        <item x="1406"/>
        <item x="1408"/>
        <item x="1405"/>
        <item x="1407"/>
        <item x="1409"/>
        <item x="1391"/>
        <item x="1398"/>
        <item x="1410"/>
        <item x="1399"/>
        <item x="1402"/>
        <item x="516"/>
        <item x="515"/>
        <item x="644"/>
        <item x="520"/>
        <item x="508"/>
        <item x="509"/>
        <item x="521"/>
        <item x="564"/>
        <item x="510"/>
        <item x="511"/>
        <item x="512"/>
        <item x="513"/>
        <item x="517"/>
        <item x="518"/>
        <item x="514"/>
        <item x="519"/>
        <item x="675"/>
        <item x="670"/>
        <item x="680"/>
        <item x="671"/>
        <item x="673"/>
        <item x="672"/>
        <item x="678"/>
        <item x="679"/>
        <item x="676"/>
        <item x="677"/>
        <item x="674"/>
        <item x="143"/>
        <item x="142"/>
        <item x="59"/>
        <item x="54"/>
        <item x="144"/>
        <item x="115"/>
        <item x="149"/>
        <item x="145"/>
        <item x="147"/>
        <item x="146"/>
        <item x="159"/>
        <item x="158"/>
        <item x="22"/>
        <item x="13"/>
        <item x="148"/>
        <item x="79"/>
        <item x="156"/>
        <item x="161"/>
        <item x="122"/>
        <item x="279"/>
        <item x="48"/>
        <item x="60"/>
        <item x="125"/>
        <item x="280"/>
        <item x="105"/>
        <item x="150"/>
        <item x="168"/>
        <item x="116"/>
        <item x="132"/>
        <item x="276"/>
        <item x="128"/>
        <item x="277"/>
        <item x="29"/>
        <item x="282"/>
        <item x="36"/>
        <item x="281"/>
        <item x="14"/>
        <item x="130"/>
        <item x="278"/>
        <item x="72"/>
        <item x="89"/>
        <item x="1358"/>
        <item x="1359"/>
        <item x="1360"/>
        <item x="1361"/>
        <item x="1362"/>
        <item x="1356"/>
        <item x="1357"/>
        <item x="1365"/>
        <item x="799"/>
        <item x="800"/>
        <item x="1102"/>
        <item x="802"/>
        <item x="796"/>
        <item x="798"/>
        <item x="797"/>
        <item x="806"/>
        <item x="807"/>
        <item x="803"/>
        <item x="805"/>
        <item x="816"/>
        <item x="817"/>
        <item x="804"/>
        <item x="811"/>
        <item x="812"/>
        <item x="808"/>
        <item x="810"/>
        <item x="815"/>
        <item x="809"/>
        <item x="429"/>
        <item x="430"/>
        <item x="431"/>
        <item x="423"/>
        <item x="427"/>
        <item x="425"/>
        <item x="432"/>
        <item x="433"/>
        <item x="424"/>
        <item x="428"/>
        <item x="426"/>
        <item x="301"/>
        <item x="117"/>
        <item x="302"/>
        <item x="297"/>
        <item x="299"/>
        <item x="298"/>
        <item x="37"/>
        <item x="30"/>
        <item x="300"/>
        <item x="94"/>
        <item x="559"/>
        <item x="560"/>
        <item x="571"/>
        <item x="561"/>
        <item x="562"/>
        <item x="553"/>
        <item x="554"/>
        <item x="557"/>
        <item x="555"/>
        <item x="556"/>
        <item x="558"/>
        <item x="124"/>
        <item x="49"/>
        <item x="127"/>
        <item x="106"/>
        <item x="133"/>
        <item x="129"/>
        <item x="15"/>
        <item x="131"/>
        <item x="73"/>
        <item x="135"/>
        <item x="107"/>
        <item x="136"/>
        <item x="137"/>
        <item x="138"/>
        <item x="140"/>
        <item x="139"/>
        <item x="163"/>
        <item x="162"/>
        <item x="23"/>
        <item x="16"/>
        <item x="141"/>
        <item x="167"/>
        <item x="80"/>
        <item x="152"/>
        <item x="1192"/>
        <item x="1193"/>
        <item x="1194"/>
        <item x="1195"/>
        <item x="1189"/>
        <item x="1190"/>
        <item x="1191"/>
        <item x="102"/>
        <item x="151"/>
        <item x="1164"/>
        <item x="1165"/>
        <item x="1166"/>
        <item x="1167"/>
        <item x="1162"/>
        <item x="1163"/>
        <item x="1168"/>
        <item x="1181"/>
        <item x="1182"/>
        <item x="1183"/>
        <item x="1184"/>
        <item x="1185"/>
        <item x="1175"/>
        <item x="655"/>
        <item x="1305"/>
        <item x="851"/>
        <item x="886"/>
        <item x="883"/>
        <item x="881"/>
        <item x="880"/>
        <item x="889"/>
        <item x="852"/>
        <item x="853"/>
        <item x="848"/>
        <item x="849"/>
        <item x="850"/>
        <item x="730"/>
        <item x="729"/>
        <item x="762"/>
        <item x="777"/>
        <item x="723"/>
        <item x="725"/>
        <item x="724"/>
        <item x="727"/>
        <item x="726"/>
        <item x="728"/>
        <item x="857"/>
        <item x="888"/>
        <item x="898"/>
        <item x="10"/>
        <item x="901"/>
        <item x="882"/>
        <item x="789"/>
        <item x="858"/>
        <item x="859"/>
        <item x="854"/>
        <item x="855"/>
        <item x="856"/>
        <item x="828"/>
        <item x="830"/>
        <item x="829"/>
        <item x="928"/>
        <item x="825"/>
        <item x="826"/>
        <item x="827"/>
        <item x="636"/>
        <item x="637"/>
        <item x="638"/>
        <item x="1019"/>
        <item x="1020"/>
        <item x="1038"/>
        <item x="1036"/>
        <item x="1035"/>
        <item x="1042"/>
        <item x="1021"/>
        <item x="1197"/>
        <item x="1198"/>
        <item x="1200"/>
        <item x="1199"/>
        <item x="548"/>
        <item x="204"/>
        <item x="641"/>
        <item x="613"/>
        <item x="900"/>
        <item x="913"/>
        <item x="1240"/>
        <item x="1241"/>
        <item x="1260"/>
        <item x="1271"/>
        <item x="1332"/>
        <item x="1148"/>
        <item x="1150"/>
        <item x="1233"/>
        <item x="1261"/>
        <item x="1272"/>
        <item x="1016"/>
        <item x="1149"/>
        <item x="1151"/>
        <item x="261"/>
        <item x="1177"/>
        <item x="355"/>
        <item x="230"/>
        <item x="1034"/>
        <item x="1203"/>
        <item x="273"/>
        <item x="274"/>
        <item x="833"/>
        <item x="694"/>
        <item x="695"/>
        <item x="1375"/>
        <item x="1376"/>
        <item x="1377"/>
        <item x="1378"/>
        <item x="1187"/>
        <item x="406"/>
        <item x="547"/>
        <item x="1186"/>
        <item x="404"/>
        <item x="225"/>
        <item x="717"/>
        <item x="693"/>
        <item x="773"/>
        <item x="1206"/>
        <item x="691"/>
        <item x="692"/>
        <item x="390"/>
        <item x="50"/>
        <item x="822"/>
        <item x="821"/>
        <item x="917"/>
        <item x="70"/>
        <item x="1040"/>
        <item x="61"/>
        <item x="1372"/>
        <item x="55"/>
        <item x="391"/>
        <item x="1173"/>
        <item x="232"/>
        <item x="290"/>
        <item x="291"/>
        <item x="995"/>
        <item x="993"/>
        <item x="994"/>
        <item x="1172"/>
        <item x="231"/>
        <item x="664"/>
        <item x="665"/>
        <item x="666"/>
        <item x="667"/>
        <item x="668"/>
        <item x="669"/>
        <item x="722"/>
        <item x="820"/>
        <item x="819"/>
        <item x="66"/>
        <item x="1033"/>
        <item x="1204"/>
        <item x="1156"/>
        <item x="1157"/>
        <item x="1174"/>
        <item x="1037"/>
        <item x="1169"/>
        <item x="381"/>
        <item x="382"/>
        <item x="1387"/>
        <item x="909"/>
        <item x="910"/>
        <item x="11"/>
        <item x="1159"/>
        <item x="1179"/>
        <item x="270"/>
        <item x="813"/>
        <item x="7"/>
        <item x="1160"/>
        <item x="1180"/>
        <item x="461"/>
        <item x="462"/>
        <item x="463"/>
        <item x="464"/>
        <item x="465"/>
        <item x="1158"/>
        <item x="1385"/>
        <item x="1433"/>
        <item x="823"/>
        <item x="841"/>
        <item x="844"/>
        <item x="9"/>
        <item x="550"/>
        <item x="1384"/>
        <item x="1432"/>
        <item x="1373"/>
        <item x="8"/>
        <item x="549"/>
        <item x="842"/>
        <item x="908"/>
        <item x="970"/>
        <item x="976"/>
        <item x="784"/>
        <item x="401"/>
        <item x="1336"/>
        <item x="1352"/>
        <item x="1351"/>
        <item x="1178"/>
        <item x="831"/>
        <item x="269"/>
        <item x="6"/>
        <item x="782"/>
        <item x="818"/>
        <item x="845"/>
        <item x="771"/>
        <item x="824"/>
        <item x="783"/>
        <item x="293"/>
        <item x="326"/>
        <item x="294"/>
        <item x="327"/>
        <item x="654"/>
        <item x="5"/>
        <item x="4"/>
        <item x="653"/>
        <item x="398"/>
        <item x="1196"/>
        <item x="977"/>
        <item x="103"/>
        <item x="104"/>
        <item x="170"/>
        <item x="171"/>
        <item x="643"/>
        <item x="296"/>
        <item x="181"/>
        <item x="295"/>
        <item x="1276"/>
        <item x="1277"/>
        <item x="1334"/>
        <item x="180"/>
        <item x="1335"/>
        <item x="467"/>
        <item x="969"/>
        <item x="1363"/>
        <item x="1364"/>
        <item x="1209"/>
        <item x="357"/>
        <item x="356"/>
        <item x="466"/>
        <item x="418"/>
        <item x="1154"/>
        <item x="1348"/>
        <item x="1349"/>
        <item x="1350"/>
        <item x="471"/>
        <item x="196"/>
        <item x="968"/>
        <item x="1211"/>
        <item x="552"/>
        <item x="108"/>
        <item x="843"/>
        <item x="661"/>
        <item x="1446"/>
        <item x="360"/>
        <item x="392"/>
        <item x="455"/>
        <item x="359"/>
        <item x="179"/>
        <item x="393"/>
        <item x="419"/>
        <item x="434"/>
        <item x="1242"/>
        <item x="1243"/>
        <item x="791"/>
        <item x="206"/>
        <item x="1312"/>
        <item x="121"/>
        <item x="1403"/>
        <item x="1255"/>
        <item x="383"/>
        <item x="1256"/>
        <item x="1281"/>
        <item x="1311"/>
        <item x="1317"/>
        <item x="169"/>
        <item x="205"/>
        <item x="384"/>
        <item x="1374"/>
        <item x="1282"/>
        <item x="112"/>
        <item x="1236"/>
        <item x="1237"/>
        <item x="1218"/>
        <item x="640"/>
        <item x="792"/>
        <item x="814"/>
        <item x="832"/>
        <item x="399"/>
        <item x="481"/>
        <item x="1161"/>
        <item x="1171"/>
        <item x="328"/>
        <item x="1386"/>
        <item x="1318"/>
        <item x="400"/>
        <item x="639"/>
        <item x="927"/>
        <item x="349"/>
        <item x="472"/>
        <item x="1170"/>
        <item x="348"/>
        <item x="460"/>
        <item x="118"/>
        <item x="907"/>
        <item x="394"/>
        <item x="456"/>
        <item x="396"/>
        <item x="1337"/>
        <item x="292"/>
        <item x="711"/>
        <item x="395"/>
        <item x="397"/>
        <item x="1275"/>
        <item x="705"/>
        <item x="1155"/>
        <item x="1210"/>
        <item x="652"/>
        <item x="563"/>
        <item x="544"/>
        <item x="742"/>
        <item x="743"/>
        <item x="441"/>
        <item x="1415"/>
        <item x="1302"/>
        <item x="1273"/>
        <item x="1326"/>
        <item x="229"/>
        <item x="1086"/>
        <item x="437"/>
        <item x="439"/>
        <item x="1088"/>
        <item x="438"/>
        <item x="440"/>
        <item x="1065"/>
        <item x="1067"/>
        <item x="1075"/>
        <item x="1087"/>
        <item x="663"/>
        <item x="713"/>
        <item x="1064"/>
        <item x="1066"/>
        <item x="1074"/>
        <item x="662"/>
        <item x="712"/>
        <item x="3"/>
        <item x="1"/>
        <item x="1097"/>
        <item x="1096"/>
        <item x="531"/>
        <item x="533"/>
        <item x="532"/>
        <item x="534"/>
        <item x="527"/>
        <item x="528"/>
        <item x="522"/>
        <item x="523"/>
        <item x="1141"/>
        <item x="1140"/>
        <item x="435"/>
        <item x="491"/>
        <item x="436"/>
        <item x="492"/>
        <item x="1001"/>
        <item x="877"/>
        <item x="1000"/>
        <item x="876"/>
        <item x="505"/>
        <item x="507"/>
        <item x="710"/>
        <item x="706"/>
        <item x="916"/>
        <item x="1412"/>
        <item x="1414"/>
        <item x="1239"/>
        <item x="1333"/>
        <item x="191"/>
        <item x="1238"/>
        <item x="1246"/>
        <item x="1413"/>
        <item x="1188"/>
        <item x="686"/>
        <item x="689"/>
        <item x="682"/>
        <item x="696"/>
        <item x="704"/>
        <item x="715"/>
        <item x="687"/>
        <item x="690"/>
        <item x="685"/>
        <item x="688"/>
        <item x="703"/>
        <item x="714"/>
        <item x="1085"/>
        <item x="684"/>
        <item x="698"/>
        <item x="906"/>
        <item x="912"/>
        <item x="683"/>
        <item x="697"/>
        <item x="905"/>
        <item x="911"/>
        <item x="1327"/>
        <item x="1284"/>
        <item x="1176"/>
        <item x="2"/>
        <item x="0"/>
        <item x="488"/>
        <item x="681"/>
        <item x="629"/>
        <item x="1367"/>
        <item x="1369"/>
        <item x="1371"/>
        <item x="1380"/>
        <item x="1221"/>
        <item x="975"/>
        <item x="17"/>
        <item x="1152"/>
        <item x="272"/>
        <item x="1153"/>
        <item x="719"/>
        <item x="271"/>
        <item x="718"/>
        <item x="974"/>
        <item x="973"/>
        <item x="628"/>
        <item x="165"/>
        <item x="748"/>
        <item x="487"/>
        <item x="991"/>
        <item x="990"/>
        <item x="1245"/>
        <item x="494"/>
        <item x="402"/>
        <item x="157"/>
        <item x="700"/>
        <item x="702"/>
        <item x="716"/>
        <item x="745"/>
        <item x="699"/>
        <item x="701"/>
        <item x="741"/>
        <item x="744"/>
        <item x="948"/>
        <item x="1061"/>
        <item x="630"/>
        <item x="386"/>
        <item x="388"/>
        <item x="473"/>
        <item x="474"/>
        <item x="615"/>
        <item x="616"/>
        <item x="617"/>
        <item x="618"/>
        <item x="619"/>
        <item x="620"/>
        <item x="627"/>
        <item x="385"/>
        <item x="387"/>
        <item x="1208"/>
        <item x="943"/>
        <item x="1213"/>
        <item x="445"/>
        <item x="1280"/>
        <item x="485"/>
        <item x="486"/>
        <item x="489"/>
        <item x="490"/>
        <item x="1279"/>
        <item x="834"/>
        <item x="947"/>
        <item x="949"/>
        <item x="950"/>
        <item x="45"/>
        <item x="1366"/>
        <item x="1368"/>
        <item x="1370"/>
        <item x="1379"/>
        <item x="1231"/>
        <item x="476"/>
        <item x="477"/>
        <item x="482"/>
        <item x="930"/>
        <item x="932"/>
        <item x="934"/>
        <item x="936"/>
        <item x="938"/>
        <item x="940"/>
        <item x="942"/>
        <item x="929"/>
        <item x="931"/>
        <item x="933"/>
        <item x="935"/>
        <item x="937"/>
        <item x="939"/>
        <item x="941"/>
        <item x="42"/>
        <item x="1202"/>
        <item x="626"/>
        <item x="1219"/>
        <item x="1220"/>
        <item x="922"/>
        <item x="924"/>
        <item x="926"/>
        <item x="921"/>
        <item x="923"/>
        <item x="925"/>
        <item x="12"/>
        <item x="31"/>
        <item x="38"/>
        <item x="545"/>
        <item x="1278"/>
        <item x="468"/>
        <item x="1244"/>
        <item x="1259"/>
        <item x="469"/>
        <item x="529"/>
        <item x="546"/>
        <item x="625"/>
        <item x="287"/>
        <item x="289"/>
        <item x="709"/>
        <item x="721"/>
        <item x="795"/>
        <item x="283"/>
        <item x="286"/>
        <item x="288"/>
        <item x="1018"/>
        <item x="47"/>
        <item x="530"/>
        <item x="720"/>
        <item x="999"/>
        <item x="1003"/>
        <item x="1017"/>
        <item x="920"/>
        <item x="972"/>
        <item x="998"/>
        <item x="919"/>
        <item x="945"/>
        <item x="971"/>
        <item x="1205"/>
        <item x="1084"/>
        <item x="166"/>
        <item x="543"/>
        <item x="333"/>
        <item x="1062"/>
        <item x="285"/>
        <item x="284"/>
        <item x="1201"/>
        <item x="164"/>
        <item x="1283"/>
        <item x="1235"/>
        <item x="1234"/>
        <item x="749"/>
        <item x="504"/>
        <item x="506"/>
        <item x="997"/>
        <item x="747"/>
        <item x="746"/>
        <item x="358"/>
        <item x="642"/>
        <item x="1029"/>
        <item x="996"/>
        <item x="275"/>
        <item x="1258"/>
        <item x="193"/>
        <item x="454"/>
        <item x="478"/>
        <item x="479"/>
        <item x="1328"/>
        <item x="1039"/>
        <item x="484"/>
        <item x="1043"/>
        <item x="443"/>
        <item x="444"/>
        <item x="1207"/>
        <item x="525"/>
        <item x="331"/>
        <item x="551"/>
        <item x="915"/>
        <item x="899"/>
        <item x="914"/>
        <item x="992"/>
        <item x="458"/>
        <item x="879"/>
        <item x="794"/>
        <item x="878"/>
        <item x="160"/>
        <item x="330"/>
        <item x="403"/>
        <item x="1022"/>
        <item x="614"/>
        <item x="480"/>
        <item x="258"/>
        <item x="259"/>
        <item x="260"/>
        <item x="1027"/>
        <item x="1028"/>
        <item x="772"/>
        <item x="770"/>
        <item x="894"/>
        <item x="475"/>
        <item x="495"/>
        <item x="497"/>
        <item x="538"/>
        <item x="594"/>
        <item x="595"/>
        <item x="596"/>
        <item x="597"/>
        <item x="598"/>
        <item x="389"/>
        <item x="421"/>
        <item x="422"/>
        <item x="621"/>
        <item x="622"/>
        <item x="623"/>
        <item x="624"/>
        <item x="708"/>
        <item x="74"/>
        <item x="1212"/>
        <item x="442"/>
        <item x="1030"/>
        <item x="101"/>
        <item x="1063"/>
        <item x="405"/>
        <item x="420"/>
        <item x="256"/>
        <item x="257"/>
        <item x="265"/>
        <item x="266"/>
        <item x="81"/>
        <item x="267"/>
        <item x="1257"/>
        <item x="329"/>
        <item x="1031"/>
        <item x="1032"/>
        <item x="1411"/>
        <item x="1099"/>
        <item x="1100"/>
        <item x="90"/>
        <item x="775"/>
        <item x="779"/>
        <item x="780"/>
        <item x="781"/>
        <item x="946"/>
        <item x="774"/>
        <item x="470"/>
        <item x="493"/>
        <item x="1041"/>
        <item x="1044"/>
        <item x="1076"/>
        <item x="918"/>
        <item x="1045"/>
        <item x="707"/>
        <item x="526"/>
        <item x="535"/>
        <item x="536"/>
        <item x="537"/>
        <item x="203"/>
        <item x="1023"/>
        <item x="95"/>
        <item x="97"/>
        <item x="99"/>
        <item x="1002"/>
        <item x="524"/>
        <item x="1436"/>
        <item x="1429"/>
        <item x="1441"/>
        <item x="1447"/>
        <item x="1440"/>
        <item x="1428"/>
        <item x="1430"/>
        <item x="1434"/>
        <item x="1438"/>
        <item x="1443"/>
        <item x="1435"/>
        <item x="1439"/>
        <item x="1444"/>
        <item x="1431"/>
        <item x="1437"/>
        <item x="1442"/>
        <item x="1024"/>
        <item x="1025"/>
        <item x="1026"/>
        <item x="944"/>
        <item x="539"/>
        <item x="540"/>
        <item x="541"/>
        <item x="43"/>
        <item x="542"/>
        <item x="100"/>
        <item x="657"/>
        <item x="656"/>
        <item x="1307"/>
        <item x="1306"/>
        <item x="1310"/>
        <item x="1309"/>
        <item x="658"/>
        <item x="1308"/>
        <item x="985"/>
        <item x="1314"/>
        <item x="1313"/>
        <item x="984"/>
        <item x="1316"/>
        <item x="1315"/>
        <item x="134"/>
        <item t="default"/>
      </items>
    </pivotField>
  </pivotFields>
  <rowFields count="4">
    <field x="18"/>
    <field x="14"/>
    <field x="15"/>
    <field x="19"/>
  </rowFields>
  <rowItems count="5">
    <i>
      <x/>
    </i>
    <i r="1">
      <x v="1"/>
    </i>
    <i r="2">
      <x/>
    </i>
    <i r="2">
      <x v="6"/>
    </i>
    <i t="grand">
      <x/>
    </i>
  </rowItems>
  <colFields count="1">
    <field x="11"/>
  </colFields>
  <colItems count="4">
    <i>
      <x v="16"/>
    </i>
    <i>
      <x v="37"/>
    </i>
    <i>
      <x v="61"/>
    </i>
    <i t="grand">
      <x/>
    </i>
  </colItems>
  <dataFields count="1">
    <dataField name="Sum of PnL" fld="9" baseField="19" baseItem="667" numFmtId="3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5826B-8003-4FB8-A1FC-A92C3AB048E8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Instrument">
  <location ref="AG46:AN103" firstHeaderRow="1" firstDataRow="2" firstDataCol="1"/>
  <pivotFields count="27">
    <pivotField showAll="0"/>
    <pivotField showAll="0"/>
    <pivotField axis="axisCol" showAll="0">
      <items count="13">
        <item x="8"/>
        <item x="4"/>
        <item x="9"/>
        <item x="5"/>
        <item x="6"/>
        <item x="10"/>
        <item x="2"/>
        <item x="3"/>
        <item x="1"/>
        <item x="7"/>
        <item m="1" x="1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9">
        <item m="1" x="32"/>
        <item m="1" x="35"/>
        <item m="1" x="28"/>
        <item x="5"/>
        <item x="6"/>
        <item x="0"/>
        <item x="1"/>
        <item m="1" x="30"/>
        <item x="3"/>
        <item x="4"/>
        <item m="1" x="26"/>
        <item m="1" x="29"/>
        <item m="1" x="34"/>
        <item x="10"/>
        <item x="8"/>
        <item x="9"/>
        <item x="7"/>
        <item m="1" x="31"/>
        <item m="1" x="33"/>
        <item m="1" x="27"/>
        <item m="1" x="36"/>
        <item x="11"/>
        <item x="12"/>
        <item x="2"/>
        <item m="1" x="37"/>
        <item m="1" x="25"/>
        <item x="13"/>
        <item x="14"/>
        <item x="15"/>
        <item x="16"/>
        <item x="17"/>
        <item m="1" x="24"/>
        <item x="18"/>
        <item x="19"/>
        <item x="20"/>
        <item m="1" x="21"/>
        <item m="1" x="22"/>
        <item m="1" x="23"/>
        <item t="default"/>
      </items>
    </pivotField>
    <pivotField showAll="0"/>
    <pivotField showAll="0"/>
    <pivotField axis="axisRow" multipleItemSelectionAllowed="1" showAll="0">
      <items count="7">
        <item x="3"/>
        <item x="1"/>
        <item h="1" x="4"/>
        <item h="1" x="2"/>
        <item h="1" m="1"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numFmtId="171" showAll="0"/>
    <pivotField showAll="0"/>
    <pivotField numFmtId="167" showAll="0"/>
    <pivotField numFmtId="171" showAll="0"/>
    <pivotField dragToRow="0" dragToCol="0" dragToPage="0" showAll="0" defaultSubtotal="0"/>
    <pivotField dragToRow="0" dragToCol="0" dragToPage="0" showAll="0" defaultSubtotal="0"/>
  </pivotFields>
  <rowFields count="3">
    <field x="14"/>
    <field x="11"/>
    <field x="3"/>
  </rowFields>
  <rowItems count="56">
    <i>
      <x/>
    </i>
    <i r="1">
      <x v="3"/>
    </i>
    <i r="2">
      <x/>
    </i>
    <i r="2">
      <x v="1"/>
    </i>
    <i r="1">
      <x v="4"/>
    </i>
    <i r="2">
      <x/>
    </i>
    <i r="2">
      <x v="1"/>
    </i>
    <i r="1">
      <x v="21"/>
    </i>
    <i r="2">
      <x/>
    </i>
    <i r="2">
      <x v="1"/>
    </i>
    <i r="1">
      <x v="22"/>
    </i>
    <i r="2">
      <x/>
    </i>
    <i r="2">
      <x v="1"/>
    </i>
    <i r="1">
      <x v="29"/>
    </i>
    <i r="2">
      <x/>
    </i>
    <i r="2">
      <x v="1"/>
    </i>
    <i r="1">
      <x v="30"/>
    </i>
    <i r="2">
      <x/>
    </i>
    <i r="2">
      <x v="1"/>
    </i>
    <i r="1">
      <x v="32"/>
    </i>
    <i r="2">
      <x/>
    </i>
    <i r="2">
      <x v="1"/>
    </i>
    <i r="1">
      <x v="34"/>
    </i>
    <i r="2">
      <x/>
    </i>
    <i r="2">
      <x v="1"/>
    </i>
    <i>
      <x v="1"/>
    </i>
    <i r="1">
      <x v="8"/>
    </i>
    <i r="2">
      <x/>
    </i>
    <i r="2">
      <x v="1"/>
    </i>
    <i r="1">
      <x v="9"/>
    </i>
    <i r="2">
      <x/>
    </i>
    <i r="2">
      <x v="1"/>
    </i>
    <i r="1">
      <x v="13"/>
    </i>
    <i r="2">
      <x/>
    </i>
    <i r="2">
      <x v="1"/>
    </i>
    <i r="1">
      <x v="14"/>
    </i>
    <i r="2">
      <x/>
    </i>
    <i r="2">
      <x v="1"/>
    </i>
    <i r="1">
      <x v="15"/>
    </i>
    <i r="2">
      <x/>
    </i>
    <i r="2">
      <x v="1"/>
    </i>
    <i r="1">
      <x v="16"/>
    </i>
    <i r="2">
      <x/>
    </i>
    <i r="2">
      <x v="1"/>
    </i>
    <i r="1">
      <x v="26"/>
    </i>
    <i r="2">
      <x/>
    </i>
    <i r="2">
      <x v="1"/>
    </i>
    <i r="1">
      <x v="27"/>
    </i>
    <i r="2">
      <x/>
    </i>
    <i r="2">
      <x v="1"/>
    </i>
    <i r="1">
      <x v="28"/>
    </i>
    <i r="2">
      <x v="1"/>
    </i>
    <i r="1">
      <x v="33"/>
    </i>
    <i r="2">
      <x/>
    </i>
    <i r="2">
      <x v="1"/>
    </i>
    <i t="grand">
      <x/>
    </i>
  </rowItems>
  <colFields count="1">
    <field x="2"/>
  </colFields>
  <colItems count="7">
    <i>
      <x/>
    </i>
    <i>
      <x v="1"/>
    </i>
    <i>
      <x v="5"/>
    </i>
    <i>
      <x v="7"/>
    </i>
    <i>
      <x v="8"/>
    </i>
    <i>
      <x v="9"/>
    </i>
    <i t="grand">
      <x/>
    </i>
  </colItems>
  <dataFields count="1">
    <dataField name="Spreads" fld="4" baseField="18" baseItem="10" numFmtId="171"/>
  </dataFields>
  <formats count="16">
    <format dxfId="273">
      <pivotArea type="all" dataOnly="0" outline="0" fieldPosition="0"/>
    </format>
    <format dxfId="272">
      <pivotArea outline="0" collapsedLevelsAreSubtotals="1" fieldPosition="0"/>
    </format>
    <format dxfId="271">
      <pivotArea type="origin" dataOnly="0" labelOnly="1" outline="0" fieldPosition="0"/>
    </format>
    <format dxfId="270">
      <pivotArea field="11" type="button" dataOnly="0" labelOnly="1" outline="0" axis="axisRow" fieldPosition="1"/>
    </format>
    <format dxfId="269">
      <pivotArea type="topRight" dataOnly="0" labelOnly="1" outline="0" fieldPosition="0"/>
    </format>
    <format dxfId="268">
      <pivotArea field="14" type="button" dataOnly="0" labelOnly="1" outline="0" axis="axisRow" fieldPosition="0"/>
    </format>
    <format dxfId="267">
      <pivotArea dataOnly="0" labelOnly="1" fieldPosition="0">
        <references count="1">
          <reference field="14" count="0"/>
        </references>
      </pivotArea>
    </format>
    <format dxfId="266">
      <pivotArea dataOnly="0" labelOnly="1" grandRow="1" outline="0" fieldPosition="0"/>
    </format>
    <format dxfId="265">
      <pivotArea dataOnly="0" labelOnly="1" fieldPosition="0">
        <references count="1">
          <reference field="11" count="2">
            <x v="3"/>
            <x v="4"/>
          </reference>
        </references>
      </pivotArea>
    </format>
    <format dxfId="264">
      <pivotArea dataOnly="0" labelOnly="1" grandCol="1" outline="0" fieldPosition="0"/>
    </format>
    <format dxfId="263">
      <pivotArea outline="0" fieldPosition="0">
        <references count="1">
          <reference field="4294967294" count="1">
            <x v="0"/>
          </reference>
        </references>
      </pivotArea>
    </format>
    <format dxfId="262">
      <pivotArea outline="0" collapsedLevelsAreSubtotals="1" fieldPosition="0"/>
    </format>
    <format dxfId="261">
      <pivotArea dataOnly="0" labelOnly="1" grandRow="1" outline="0" fieldPosition="0"/>
    </format>
    <format dxfId="260">
      <pivotArea grandRow="1" grandCol="1" outline="0" collapsedLevelsAreSubtotals="1" fieldPosition="0"/>
    </format>
    <format dxfId="259">
      <pivotArea field="2" grandRow="1" outline="0" collapsedLevelsAreSubtotals="1" axis="axisCol" fieldPosition="0">
        <references count="1">
          <reference field="2" count="1" selected="0">
            <x v="9"/>
          </reference>
        </references>
      </pivotArea>
    </format>
    <format dxfId="258">
      <pivotArea field="2" grandRow="1" outline="0" collapsedLevelsAreSubtotals="1" axis="axisCol" fieldPosition="0">
        <references count="1">
          <reference field="2" count="1" selected="0">
            <x v="7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9B159-BE46-4BC6-9E9D-9C2CE0D79E4F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Instrument">
  <location ref="AG24:AQ43" firstHeaderRow="1" firstDataRow="2" firstDataCol="1"/>
  <pivotFields count="27">
    <pivotField showAll="0"/>
    <pivotField showAll="0"/>
    <pivotField axis="axisRow" showAll="0">
      <items count="13">
        <item h="1" sd="0" x="8"/>
        <item x="4"/>
        <item x="1"/>
        <item sd="0" x="9"/>
        <item x="5"/>
        <item sd="0" x="6"/>
        <item x="10"/>
        <item sd="0" x="2"/>
        <item x="7"/>
        <item x="3"/>
        <item h="1" m="1" x="11"/>
        <item h="1" x="0"/>
        <item t="default" sd="0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9">
        <item h="1" sd="0" m="1" x="32"/>
        <item h="1" sd="0" m="1" x="35"/>
        <item h="1" sd="0" m="1" x="28"/>
        <item h="1" sd="0" x="5"/>
        <item sd="0" x="6"/>
        <item h="1" sd="0" x="0"/>
        <item h="1" sd="0" x="1"/>
        <item h="1" sd="0" m="1" x="30"/>
        <item x="11"/>
        <item x="12"/>
        <item sd="0" x="3"/>
        <item x="4"/>
        <item h="1" sd="0" m="1" x="26"/>
        <item h="1" sd="0" m="1" x="29"/>
        <item h="1" sd="0" m="1" x="34"/>
        <item sd="0" x="10"/>
        <item sd="0" x="8"/>
        <item sd="0" x="9"/>
        <item h="1" sd="0" m="1" x="31"/>
        <item h="1" sd="0" m="1" x="33"/>
        <item h="1" sd="0" m="1" x="27"/>
        <item h="1" sd="0" m="1" x="36"/>
        <item sd="0" x="7"/>
        <item h="1" x="2"/>
        <item h="1" m="1" x="37"/>
        <item h="1" m="1" x="25"/>
        <item h="1" x="13"/>
        <item h="1" x="14"/>
        <item h="1" x="15"/>
        <item h="1" x="16"/>
        <item h="1" x="17"/>
        <item h="1" m="1" x="24"/>
        <item h="1" x="18"/>
        <item h="1" x="19"/>
        <item h="1" x="20"/>
        <item h="1" m="1" x="21"/>
        <item h="1" m="1" x="22"/>
        <item h="1" m="1" x="23"/>
        <item t="default" sd="0"/>
      </items>
    </pivotField>
    <pivotField showAll="0"/>
    <pivotField showAll="0"/>
    <pivotField axis="axisRow" multipleItemSelectionAllowed="1" showAll="0">
      <items count="7">
        <item x="3"/>
        <item x="1"/>
        <item h="1" x="4"/>
        <item h="1" x="2"/>
        <item h="1" m="1"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numFmtId="171" showAll="0"/>
    <pivotField showAll="0"/>
    <pivotField numFmtId="167" showAll="0"/>
    <pivotField numFmtId="171" showAll="0"/>
    <pivotField dataField="1" dragToRow="0" dragToCol="0" dragToPage="0" showAll="0" defaultSubtotal="0"/>
    <pivotField dragToRow="0" dragToCol="0" dragToPage="0" showAll="0" defaultSubtotal="0"/>
  </pivotFields>
  <rowFields count="3">
    <field x="14"/>
    <field x="2"/>
    <field x="3"/>
  </rowFields>
  <rowItems count="18">
    <i>
      <x/>
    </i>
    <i r="1">
      <x v="8"/>
    </i>
    <i r="2">
      <x/>
    </i>
    <i r="2">
      <x v="1"/>
    </i>
    <i r="1">
      <x v="9"/>
    </i>
    <i r="2">
      <x/>
    </i>
    <i r="2">
      <x v="1"/>
    </i>
    <i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6"/>
    </i>
    <i r="2">
      <x/>
    </i>
    <i r="2">
      <x v="1"/>
    </i>
    <i t="grand">
      <x/>
    </i>
  </rowItems>
  <colFields count="1">
    <field x="11"/>
  </colFields>
  <colItems count="10">
    <i>
      <x v="4"/>
    </i>
    <i>
      <x v="8"/>
    </i>
    <i>
      <x v="9"/>
    </i>
    <i>
      <x v="10"/>
    </i>
    <i>
      <x v="11"/>
    </i>
    <i>
      <x v="15"/>
    </i>
    <i>
      <x v="16"/>
    </i>
    <i>
      <x v="17"/>
    </i>
    <i>
      <x v="22"/>
    </i>
    <i t="grand">
      <x/>
    </i>
  </colItems>
  <dataFields count="1">
    <dataField name="Sum of Average Price" fld="25" baseField="11" baseItem="9" numFmtId="43"/>
  </dataFields>
  <formats count="29">
    <format dxfId="302">
      <pivotArea type="all" dataOnly="0" outline="0" fieldPosition="0"/>
    </format>
    <format dxfId="301">
      <pivotArea outline="0" collapsedLevelsAreSubtotals="1" fieldPosition="0"/>
    </format>
    <format dxfId="300">
      <pivotArea type="origin" dataOnly="0" labelOnly="1" outline="0" fieldPosition="0"/>
    </format>
    <format dxfId="299">
      <pivotArea field="11" type="button" dataOnly="0" labelOnly="1" outline="0" axis="axisCol" fieldPosition="0"/>
    </format>
    <format dxfId="298">
      <pivotArea type="topRight" dataOnly="0" labelOnly="1" outline="0" fieldPosition="0"/>
    </format>
    <format dxfId="297">
      <pivotArea field="14" type="button" dataOnly="0" labelOnly="1" outline="0" axis="axisRow" fieldPosition="0"/>
    </format>
    <format dxfId="296">
      <pivotArea dataOnly="0" labelOnly="1" grandRow="1" outline="0" fieldPosition="0"/>
    </format>
    <format dxfId="295">
      <pivotArea dataOnly="0" labelOnly="1" fieldPosition="0">
        <references count="1">
          <reference field="11" count="2">
            <x v="3"/>
            <x v="4"/>
          </reference>
        </references>
      </pivotArea>
    </format>
    <format dxfId="294">
      <pivotArea dataOnly="0" labelOnly="1" grandCol="1" outline="0" fieldPosition="0"/>
    </format>
    <format dxfId="293">
      <pivotArea field="11" grandRow="1" outline="0" collapsedLevelsAreSubtotals="1" axis="axisCol" fieldPosition="0">
        <references count="1">
          <reference field="11" count="1" selected="0">
            <x v="5"/>
          </reference>
        </references>
      </pivotArea>
    </format>
    <format dxfId="292">
      <pivotArea grandRow="1" grandCol="1" outline="0" collapsedLevelsAreSubtotals="1" fieldPosition="0"/>
    </format>
    <format dxfId="291">
      <pivotArea field="11" grandRow="1" collapsedLevelsAreSubtotals="1" axis="axisCol" fieldPosition="0">
        <references count="2">
          <reference field="2" count="1" selected="0">
            <x v="1"/>
          </reference>
          <reference field="11" count="1">
            <x v="6"/>
          </reference>
        </references>
      </pivotArea>
    </format>
    <format dxfId="290">
      <pivotArea field="11" grandRow="1" outline="0" collapsedLevelsAreSubtotals="1" axis="axisCol" fieldPosition="0">
        <references count="1">
          <reference field="11" count="5" selected="0">
            <x v="10"/>
            <x v="11"/>
            <x v="16"/>
            <x v="17"/>
            <x v="22"/>
          </reference>
        </references>
      </pivotArea>
    </format>
    <format dxfId="289">
      <pivotArea field="11" grandRow="1" collapsedLevelsAreSubtotals="1" axis="axisCol" fieldPosition="0">
        <references count="2">
          <reference field="2" count="1" selected="0">
            <x v="5"/>
          </reference>
          <reference field="11" count="1">
            <x v="10"/>
          </reference>
        </references>
      </pivotArea>
    </format>
    <format dxfId="288">
      <pivotArea field="11" grandRow="1" collapsedLevelsAreSubtotals="1" axis="axisCol" fieldPosition="0">
        <references count="2">
          <reference field="2" count="1" selected="0">
            <x v="1"/>
          </reference>
          <reference field="11" count="1">
            <x v="10"/>
          </reference>
        </references>
      </pivotArea>
    </format>
    <format dxfId="287">
      <pivotArea field="11" grandRow="1" collapsedLevelsAreSubtotals="1" axis="axisCol" fieldPosition="0">
        <references count="2">
          <reference field="2" count="1" selected="0">
            <x v="1"/>
          </reference>
          <reference field="11" count="1">
            <x v="16"/>
          </reference>
        </references>
      </pivotArea>
    </format>
    <format dxfId="286">
      <pivotArea field="11" grandRow="1" collapsedLevelsAreSubtotals="1" axis="axisCol" fieldPosition="0">
        <references count="2">
          <reference field="2" count="1" selected="0">
            <x v="1"/>
          </reference>
          <reference field="11" count="1">
            <x v="17"/>
          </reference>
        </references>
      </pivotArea>
    </format>
    <format dxfId="285">
      <pivotArea field="11" grandRow="1" collapsedLevelsAreSubtotals="1" axis="axisCol" fieldPosition="0">
        <references count="2">
          <reference field="2" count="1" selected="0">
            <x v="1"/>
          </reference>
          <reference field="11" count="1">
            <x v="22"/>
          </reference>
        </references>
      </pivotArea>
    </format>
    <format dxfId="284">
      <pivotArea field="2" grandCol="1" outline="0" collapsedLevelsAreSubtotals="1" axis="axisRow" fieldPosition="1">
        <references count="1">
          <reference field="2" count="1" selected="0">
            <x v="0"/>
          </reference>
        </references>
      </pivotArea>
    </format>
    <format dxfId="283">
      <pivotArea field="2" grandCol="1" outline="0" collapsedLevelsAreSubtotals="1" axis="axisRow" fieldPosition="1">
        <references count="1">
          <reference field="2" count="1" selected="0">
            <x v="1"/>
          </reference>
        </references>
      </pivotArea>
    </format>
    <format dxfId="282">
      <pivotArea field="2" grandCol="1" outline="0" collapsedLevelsAreSubtotals="1" axis="axisRow" fieldPosition="1">
        <references count="1">
          <reference field="2" count="1" selected="0">
            <x v="2"/>
          </reference>
        </references>
      </pivotArea>
    </format>
    <format dxfId="281">
      <pivotArea field="11" grandRow="1" collapsedLevelsAreSubtotals="1" axis="axisCol" fieldPosition="0">
        <references count="1">
          <reference field="11" count="1">
            <x v="11"/>
          </reference>
        </references>
      </pivotArea>
    </format>
    <format dxfId="280">
      <pivotArea collapsedLevelsAreSubtotals="1" fieldPosition="0">
        <references count="3">
          <reference field="2" count="1" selected="0">
            <x v="1"/>
          </reference>
          <reference field="3" count="0"/>
          <reference field="11" count="1" selected="0">
            <x v="10"/>
          </reference>
        </references>
      </pivotArea>
    </format>
    <format dxfId="279">
      <pivotArea field="2" grandCol="1" collapsedLevelsAreSubtotals="1" axis="axisRow" fieldPosition="1">
        <references count="1">
          <reference field="2" count="1">
            <x v="1"/>
          </reference>
        </references>
      </pivotArea>
    </format>
    <format dxfId="278">
      <pivotArea outline="0" collapsedLevelsAreSubtotals="1" fieldPosition="0"/>
    </format>
    <format dxfId="277">
      <pivotArea dataOnly="0" labelOnly="1" fieldPosition="0">
        <references count="1">
          <reference field="11" count="6">
            <x v="10"/>
            <x v="11"/>
            <x v="15"/>
            <x v="16"/>
            <x v="17"/>
            <x v="22"/>
          </reference>
        </references>
      </pivotArea>
    </format>
    <format dxfId="276">
      <pivotArea dataOnly="0" labelOnly="1" grandCol="1" outline="0" fieldPosition="0"/>
    </format>
    <format dxfId="275">
      <pivotArea field="11" grandRow="1" outline="0" collapsedLevelsAreSubtotals="1" axis="axisCol" fieldPosition="0">
        <references count="1">
          <reference field="11" count="4" selected="0">
            <x v="10"/>
            <x v="11"/>
            <x v="15"/>
            <x v="16"/>
          </reference>
        </references>
      </pivotArea>
    </format>
    <format dxfId="274">
      <pivotArea field="2" grandCol="1" collapsedLevelsAreSubtotals="1" axis="axisRow" fieldPosition="1">
        <references count="1">
          <reference field="2" count="1"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466D8-D170-4630-B470-83DA25CF781A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Instrument">
  <location ref="AL7:AO22" firstHeaderRow="1" firstDataRow="2" firstDataCol="1"/>
  <pivotFields count="27">
    <pivotField showAll="0"/>
    <pivotField showAll="0"/>
    <pivotField axis="axisCol" showAll="0">
      <items count="13">
        <item x="8"/>
        <item x="4"/>
        <item x="9"/>
        <item x="5"/>
        <item x="6"/>
        <item x="10"/>
        <item x="2"/>
        <item x="3"/>
        <item x="1"/>
        <item x="7"/>
        <item m="1" x="1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9">
        <item h="1" m="1" x="32"/>
        <item h="1" m="1" x="35"/>
        <item h="1" m="1" x="28"/>
        <item x="5"/>
        <item x="6"/>
        <item x="0"/>
        <item h="1" x="1"/>
        <item h="1" m="1" x="30"/>
        <item x="3"/>
        <item x="4"/>
        <item h="1" m="1" x="26"/>
        <item h="1" m="1" x="29"/>
        <item h="1" m="1" x="34"/>
        <item x="7"/>
        <item h="1" m="1" x="31"/>
        <item h="1" m="1" x="33"/>
        <item h="1" m="1" x="27"/>
        <item h="1" m="1" x="36"/>
        <item h="1" x="8"/>
        <item h="1" x="9"/>
        <item h="1" x="10"/>
        <item x="11"/>
        <item x="12"/>
        <item h="1" x="2"/>
        <item h="1" m="1" x="37"/>
        <item h="1" m="1" x="25"/>
        <item h="1" x="13"/>
        <item h="1" x="14"/>
        <item h="1" x="15"/>
        <item h="1" x="16"/>
        <item h="1" x="17"/>
        <item h="1" m="1" x="24"/>
        <item h="1" x="18"/>
        <item h="1" x="19"/>
        <item h="1" x="20"/>
        <item h="1" m="1" x="21"/>
        <item h="1" m="1" x="22"/>
        <item h="1" m="1" x="23"/>
        <item t="default"/>
      </items>
    </pivotField>
    <pivotField showAll="0"/>
    <pivotField showAll="0"/>
    <pivotField axis="axisRow" multipleItemSelectionAllowed="1" showAll="0">
      <items count="7">
        <item x="3"/>
        <item h="1" x="1"/>
        <item h="1" x="4"/>
        <item h="1" x="2"/>
        <item h="1" m="1"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numFmtId="171" showAll="0"/>
    <pivotField showAll="0"/>
    <pivotField numFmtId="167" showAll="0"/>
    <pivotField numFmtId="171" showAll="0"/>
    <pivotField dragToRow="0" dragToCol="0" dragToPage="0" showAll="0" defaultSubtotal="0"/>
    <pivotField dragToRow="0" dragToCol="0" dragToPage="0" showAll="0" defaultSubtotal="0"/>
  </pivotFields>
  <rowFields count="3">
    <field x="14"/>
    <field x="11"/>
    <field x="3"/>
  </rowFields>
  <rowItems count="14">
    <i>
      <x/>
    </i>
    <i r="1">
      <x v="3"/>
    </i>
    <i r="2">
      <x/>
    </i>
    <i r="2">
      <x v="1"/>
    </i>
    <i r="1">
      <x v="4"/>
    </i>
    <i r="2">
      <x/>
    </i>
    <i r="2">
      <x v="1"/>
    </i>
    <i r="1">
      <x v="21"/>
    </i>
    <i r="2">
      <x/>
    </i>
    <i r="2">
      <x v="1"/>
    </i>
    <i r="1">
      <x v="22"/>
    </i>
    <i r="2">
      <x/>
    </i>
    <i r="2">
      <x v="1"/>
    </i>
    <i t="grand">
      <x/>
    </i>
  </rowItems>
  <colFields count="1">
    <field x="2"/>
  </colFields>
  <colItems count="3">
    <i>
      <x v="7"/>
    </i>
    <i>
      <x v="9"/>
    </i>
    <i t="grand">
      <x/>
    </i>
  </colItems>
  <dataFields count="1">
    <dataField name="Spreads" fld="4" baseField="18" baseItem="10" numFmtId="171"/>
  </dataFields>
  <formats count="16"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1" type="button" dataOnly="0" labelOnly="1" outline="0" axis="axisRow" fieldPosition="1"/>
    </format>
    <format dxfId="314">
      <pivotArea type="topRight" dataOnly="0" labelOnly="1" outline="0" fieldPosition="0"/>
    </format>
    <format dxfId="313">
      <pivotArea field="14" type="button" dataOnly="0" labelOnly="1" outline="0" axis="axisRow" fieldPosition="0"/>
    </format>
    <format dxfId="312">
      <pivotArea dataOnly="0" labelOnly="1" fieldPosition="0">
        <references count="1">
          <reference field="14" count="0"/>
        </references>
      </pivotArea>
    </format>
    <format dxfId="311">
      <pivotArea dataOnly="0" labelOnly="1" grandRow="1" outline="0" fieldPosition="0"/>
    </format>
    <format dxfId="310">
      <pivotArea dataOnly="0" labelOnly="1" fieldPosition="0">
        <references count="1">
          <reference field="11" count="2">
            <x v="3"/>
            <x v="4"/>
          </reference>
        </references>
      </pivotArea>
    </format>
    <format dxfId="309">
      <pivotArea dataOnly="0" labelOnly="1" grandCol="1" outline="0" fieldPosition="0"/>
    </format>
    <format dxfId="308">
      <pivotArea outline="0" fieldPosition="0">
        <references count="1">
          <reference field="4294967294" count="1">
            <x v="0"/>
          </reference>
        </references>
      </pivotArea>
    </format>
    <format dxfId="307">
      <pivotArea outline="0" collapsedLevelsAreSubtotals="1" fieldPosition="0"/>
    </format>
    <format dxfId="306">
      <pivotArea dataOnly="0" labelOnly="1" grandRow="1" outline="0" fieldPosition="0"/>
    </format>
    <format dxfId="305">
      <pivotArea grandRow="1" grandCol="1" outline="0" collapsedLevelsAreSubtotals="1" fieldPosition="0"/>
    </format>
    <format dxfId="304">
      <pivotArea field="2" grandRow="1" outline="0" collapsedLevelsAreSubtotals="1" axis="axisCol" fieldPosition="0">
        <references count="1">
          <reference field="2" count="1" selected="0">
            <x v="9"/>
          </reference>
        </references>
      </pivotArea>
    </format>
    <format dxfId="303">
      <pivotArea field="2" grandRow="1" outline="0" collapsedLevelsAreSubtotals="1" axis="axisCol" fieldPosition="0">
        <references count="1">
          <reference field="2" count="1" selected="0">
            <x v="7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68092-61B6-4954-A481-BD52D1623ABE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AC18" firstHeaderRow="1" firstDataRow="2" firstDataCol="1" rowPageCount="1" colPageCount="1"/>
  <pivotFields count="21">
    <pivotField axis="axisRow" showAll="0">
      <items count="91">
        <item x="72"/>
        <item x="62"/>
        <item x="63"/>
        <item x="64"/>
        <item x="55"/>
        <item x="68"/>
        <item x="85"/>
        <item x="57"/>
        <item x="73"/>
        <item x="77"/>
        <item x="14"/>
        <item x="70"/>
        <item x="15"/>
        <item x="47"/>
        <item x="56"/>
        <item x="17"/>
        <item x="10"/>
        <item x="78"/>
        <item x="6"/>
        <item x="11"/>
        <item x="69"/>
        <item x="21"/>
        <item x="31"/>
        <item x="22"/>
        <item x="23"/>
        <item x="79"/>
        <item x="80"/>
        <item x="61"/>
        <item x="29"/>
        <item x="60"/>
        <item x="32"/>
        <item x="20"/>
        <item x="7"/>
        <item x="53"/>
        <item x="41"/>
        <item x="82"/>
        <item x="45"/>
        <item x="46"/>
        <item x="83"/>
        <item x="25"/>
        <item x="12"/>
        <item x="26"/>
        <item x="27"/>
        <item x="88"/>
        <item x="37"/>
        <item x="24"/>
        <item x="39"/>
        <item x="87"/>
        <item x="67"/>
        <item x="8"/>
        <item x="18"/>
        <item x="48"/>
        <item x="16"/>
        <item x="59"/>
        <item x="71"/>
        <item x="9"/>
        <item x="81"/>
        <item x="38"/>
        <item x="86"/>
        <item x="35"/>
        <item x="43"/>
        <item x="2"/>
        <item x="3"/>
        <item x="84"/>
        <item x="49"/>
        <item x="50"/>
        <item x="51"/>
        <item x="33"/>
        <item x="34"/>
        <item x="13"/>
        <item x="36"/>
        <item x="4"/>
        <item x="5"/>
        <item x="75"/>
        <item x="28"/>
        <item x="74"/>
        <item x="54"/>
        <item x="30"/>
        <item x="44"/>
        <item x="1"/>
        <item x="52"/>
        <item x="40"/>
        <item x="65"/>
        <item x="76"/>
        <item x="0"/>
        <item x="89"/>
        <item x="66"/>
        <item x="58"/>
        <item x="19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63">
        <item x="21"/>
        <item x="52"/>
        <item x="54"/>
        <item x="60"/>
        <item x="58"/>
        <item x="15"/>
        <item x="2"/>
        <item x="3"/>
        <item x="38"/>
        <item x="34"/>
        <item x="4"/>
        <item x="5"/>
        <item x="17"/>
        <item x="51"/>
        <item x="11"/>
        <item x="1"/>
        <item x="19"/>
        <item x="13"/>
        <item x="55"/>
        <item x="45"/>
        <item x="28"/>
        <item x="25"/>
        <item x="18"/>
        <item x="27"/>
        <item x="12"/>
        <item x="53"/>
        <item x="29"/>
        <item x="32"/>
        <item x="33"/>
        <item x="30"/>
        <item x="59"/>
        <item x="57"/>
        <item x="31"/>
        <item x="41"/>
        <item x="42"/>
        <item x="44"/>
        <item x="20"/>
        <item x="14"/>
        <item x="56"/>
        <item x="6"/>
        <item x="7"/>
        <item x="22"/>
        <item x="16"/>
        <item x="37"/>
        <item x="39"/>
        <item x="8"/>
        <item x="9"/>
        <item x="40"/>
        <item x="24"/>
        <item x="47"/>
        <item x="10"/>
        <item x="0"/>
        <item x="23"/>
        <item x="46"/>
        <item x="36"/>
        <item x="43"/>
        <item x="26"/>
        <item x="35"/>
        <item x="48"/>
        <item x="49"/>
        <item x="50"/>
        <item x="61"/>
        <item t="default"/>
      </items>
    </pivotField>
    <pivotField showAll="0"/>
    <pivotField showAll="0"/>
    <pivotField axis="axisRow" showAll="0">
      <items count="6">
        <item h="1" x="3"/>
        <item h="1" x="0"/>
        <item x="4"/>
        <item x="2"/>
        <item h="1" x="1"/>
        <item t="default"/>
      </items>
    </pivotField>
    <pivotField axis="axisRow" showAll="0">
      <items count="9">
        <item sd="0" x="2"/>
        <item sd="0" x="1"/>
        <item sd="0" x="5"/>
        <item sd="0" x="6"/>
        <item sd="0" x="7"/>
        <item x="4"/>
        <item sd="0" x="0"/>
        <item sd="0" x="3"/>
        <item t="default" sd="0"/>
      </items>
    </pivotField>
    <pivotField showAll="0"/>
    <pivotField showAll="0"/>
    <pivotField axis="axisRow" multipleItemSelectionAllowed="1" showAll="0">
      <items count="3">
        <item x="1"/>
        <item sd="0" x="0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</pivotFields>
  <rowFields count="4">
    <field x="18"/>
    <field x="14"/>
    <field x="15"/>
    <field x="0"/>
  </rowFields>
  <rowItems count="11">
    <i>
      <x/>
    </i>
    <i r="1">
      <x v="3"/>
    </i>
    <i r="2">
      <x v="5"/>
    </i>
    <i r="3">
      <x v="17"/>
    </i>
    <i r="3">
      <x v="35"/>
    </i>
    <i r="3">
      <x v="38"/>
    </i>
    <i r="3">
      <x v="43"/>
    </i>
    <i r="3">
      <x v="47"/>
    </i>
    <i r="3">
      <x v="58"/>
    </i>
    <i r="3">
      <x v="85"/>
    </i>
    <i t="grand">
      <x/>
    </i>
  </rowItems>
  <colFields count="1">
    <field x="11"/>
  </colFields>
  <colItems count="5">
    <i>
      <x v="1"/>
    </i>
    <i>
      <x v="2"/>
    </i>
    <i>
      <x v="13"/>
    </i>
    <i>
      <x v="49"/>
    </i>
    <i t="grand">
      <x/>
    </i>
  </colItems>
  <pageFields count="1">
    <pageField fld="20" item="1" hier="-1"/>
  </pageFields>
  <dataFields count="1">
    <dataField name="Sum of PnL" fld="9" baseField="19" baseItem="667" numFmtId="3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3972E-1D7E-4E24-84CB-B3224C6D8154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6:V14" firstHeaderRow="1" firstDataRow="2" firstDataCol="1" rowPageCount="1" colPageCount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63">
        <item x="21"/>
        <item x="52"/>
        <item x="54"/>
        <item x="60"/>
        <item x="58"/>
        <item x="15"/>
        <item x="2"/>
        <item x="3"/>
        <item x="38"/>
        <item x="34"/>
        <item x="4"/>
        <item x="5"/>
        <item x="17"/>
        <item x="51"/>
        <item x="11"/>
        <item x="1"/>
        <item x="19"/>
        <item x="13"/>
        <item x="55"/>
        <item x="45"/>
        <item x="28"/>
        <item x="25"/>
        <item x="18"/>
        <item x="27"/>
        <item x="12"/>
        <item x="53"/>
        <item x="29"/>
        <item x="32"/>
        <item x="33"/>
        <item x="30"/>
        <item x="59"/>
        <item x="57"/>
        <item x="31"/>
        <item x="41"/>
        <item x="42"/>
        <item x="44"/>
        <item x="20"/>
        <item x="14"/>
        <item x="56"/>
        <item x="6"/>
        <item x="7"/>
        <item x="22"/>
        <item x="16"/>
        <item x="37"/>
        <item x="39"/>
        <item x="8"/>
        <item x="9"/>
        <item x="40"/>
        <item x="24"/>
        <item x="47"/>
        <item x="10"/>
        <item x="0"/>
        <item x="23"/>
        <item x="46"/>
        <item x="36"/>
        <item x="43"/>
        <item x="26"/>
        <item x="35"/>
        <item x="48"/>
        <item x="49"/>
        <item x="50"/>
        <item x="61"/>
        <item t="default"/>
      </items>
    </pivotField>
    <pivotField showAll="0"/>
    <pivotField showAll="0"/>
    <pivotField axis="axisRow" showAll="0">
      <items count="6">
        <item x="3"/>
        <item h="1" x="0"/>
        <item h="1" x="4"/>
        <item h="1" sd="0" x="2"/>
        <item x="1"/>
        <item t="default"/>
      </items>
    </pivotField>
    <pivotField axis="axisRow" showAll="0">
      <items count="9">
        <item sd="0" x="2"/>
        <item sd="0" x="1"/>
        <item sd="0" x="5"/>
        <item sd="0" x="6"/>
        <item sd="0" x="7"/>
        <item sd="0" x="4"/>
        <item sd="0" x="0"/>
        <item sd="0" x="3"/>
        <item t="default" sd="0"/>
      </items>
    </pivotField>
    <pivotField showAll="0"/>
    <pivotField showAll="0"/>
    <pivotField axis="axisPage" multipleItemSelectionAllowed="1" showAll="0">
      <items count="3">
        <item x="1"/>
        <item h="1" sd="0" x="0"/>
        <item t="default"/>
      </items>
    </pivotField>
    <pivotField axis="axisRow" showAll="0">
      <items count="1461">
        <item x="1122"/>
        <item x="1124"/>
        <item x="1123"/>
        <item x="1131"/>
        <item x="1132"/>
        <item x="1133"/>
        <item x="1134"/>
        <item x="1135"/>
        <item x="1139"/>
        <item x="1125"/>
        <item x="1142"/>
        <item x="1006"/>
        <item x="1007"/>
        <item x="1004"/>
        <item x="1005"/>
        <item x="1010"/>
        <item x="1011"/>
        <item x="1008"/>
        <item x="1009"/>
        <item x="1014"/>
        <item x="1015"/>
        <item x="1012"/>
        <item x="1013"/>
        <item x="863"/>
        <item x="868"/>
        <item x="887"/>
        <item x="897"/>
        <item x="890"/>
        <item x="864"/>
        <item x="865"/>
        <item x="860"/>
        <item x="861"/>
        <item x="867"/>
        <item x="866"/>
        <item x="862"/>
        <item x="1077"/>
        <item x="1079"/>
        <item x="1078"/>
        <item x="1081"/>
        <item x="1083"/>
        <item x="1082"/>
        <item x="1381"/>
        <item x="1383"/>
        <item x="1382"/>
        <item x="902"/>
        <item x="903"/>
        <item x="904"/>
        <item x="1127"/>
        <item x="1129"/>
        <item x="1128"/>
        <item x="1130"/>
        <item x="1214"/>
        <item x="1216"/>
        <item x="1215"/>
        <item x="1217"/>
        <item x="1222"/>
        <item x="339"/>
        <item x="338"/>
        <item x="67"/>
        <item x="62"/>
        <item x="340"/>
        <item x="334"/>
        <item x="335"/>
        <item x="336"/>
        <item x="32"/>
        <item x="337"/>
        <item x="91"/>
        <item x="983"/>
        <item x="1098"/>
        <item x="353"/>
        <item x="113"/>
        <item x="354"/>
        <item x="350"/>
        <item x="351"/>
        <item x="33"/>
        <item x="352"/>
        <item x="92"/>
        <item x="757"/>
        <item x="758"/>
        <item x="768"/>
        <item x="776"/>
        <item x="769"/>
        <item x="765"/>
        <item x="764"/>
        <item x="767"/>
        <item x="763"/>
        <item x="778"/>
        <item x="754"/>
        <item x="755"/>
        <item x="753"/>
        <item x="761"/>
        <item x="756"/>
        <item x="766"/>
        <item x="759"/>
        <item x="760"/>
        <item x="873"/>
        <item x="1046"/>
        <item x="891"/>
        <item x="885"/>
        <item x="895"/>
        <item x="884"/>
        <item x="896"/>
        <item x="874"/>
        <item x="875"/>
        <item x="869"/>
        <item x="871"/>
        <item x="870"/>
        <item x="893"/>
        <item x="892"/>
        <item x="872"/>
        <item x="451"/>
        <item x="483"/>
        <item x="68"/>
        <item x="63"/>
        <item x="496"/>
        <item x="452"/>
        <item x="459"/>
        <item x="453"/>
        <item x="446"/>
        <item x="447"/>
        <item x="448"/>
        <item x="449"/>
        <item x="39"/>
        <item x="450"/>
        <item x="457"/>
        <item x="268"/>
        <item x="254"/>
        <item x="56"/>
        <item x="51"/>
        <item x="264"/>
        <item x="255"/>
        <item x="114"/>
        <item x="250"/>
        <item x="251"/>
        <item x="252"/>
        <item x="249"/>
        <item x="262"/>
        <item x="24"/>
        <item x="253"/>
        <item x="82"/>
        <item x="263"/>
        <item x="1228"/>
        <item x="1227"/>
        <item x="1229"/>
        <item x="1230"/>
        <item x="1223"/>
        <item x="1224"/>
        <item x="1225"/>
        <item x="1232"/>
        <item x="1226"/>
        <item x="1254"/>
        <item x="172"/>
        <item x="52"/>
        <item x="173"/>
        <item x="109"/>
        <item x="174"/>
        <item x="175"/>
        <item x="176"/>
        <item x="182"/>
        <item x="18"/>
        <item x="178"/>
        <item x="183"/>
        <item x="75"/>
        <item x="308"/>
        <item x="64"/>
        <item x="309"/>
        <item x="119"/>
        <item x="325"/>
        <item x="303"/>
        <item x="304"/>
        <item x="306"/>
        <item x="305"/>
        <item x="34"/>
        <item x="25"/>
        <item x="307"/>
        <item x="93"/>
        <item x="1092"/>
        <item x="1093"/>
        <item x="1101"/>
        <item x="1126"/>
        <item x="1109"/>
        <item x="1108"/>
        <item x="1094"/>
        <item x="1095"/>
        <item x="1089"/>
        <item x="1090"/>
        <item x="1103"/>
        <item x="1104"/>
        <item x="1105"/>
        <item x="1106"/>
        <item x="1107"/>
        <item x="1091"/>
        <item x="123"/>
        <item x="53"/>
        <item x="126"/>
        <item x="110"/>
        <item x="184"/>
        <item x="187"/>
        <item x="153"/>
        <item x="197"/>
        <item x="198"/>
        <item x="236"/>
        <item x="185"/>
        <item x="188"/>
        <item x="154"/>
        <item x="244"/>
        <item x="245"/>
        <item x="177"/>
        <item x="71"/>
        <item x="76"/>
        <item x="199"/>
        <item x="200"/>
        <item x="186"/>
        <item x="189"/>
        <item x="190"/>
        <item x="155"/>
        <item x="201"/>
        <item x="202"/>
        <item x="77"/>
        <item x="1274"/>
        <item x="1331"/>
        <item x="1445"/>
        <item x="1249"/>
        <item x="1329"/>
        <item x="1250"/>
        <item x="1330"/>
        <item x="1251"/>
        <item x="1252"/>
        <item x="1247"/>
        <item x="1248"/>
        <item x="1253"/>
        <item x="1267"/>
        <item x="1268"/>
        <item x="1286"/>
        <item x="1269"/>
        <item x="1270"/>
        <item x="1262"/>
        <item x="1266"/>
        <item x="1263"/>
        <item x="1264"/>
        <item x="1265"/>
        <item x="1285"/>
        <item x="1287"/>
        <item x="659"/>
        <item x="986"/>
        <item x="988"/>
        <item x="987"/>
        <item x="989"/>
        <item x="362"/>
        <item x="379"/>
        <item x="1448"/>
        <item x="1449"/>
        <item x="111"/>
        <item x="364"/>
        <item x="1450"/>
        <item x="370"/>
        <item x="378"/>
        <item x="1451"/>
        <item x="368"/>
        <item x="1452"/>
        <item x="369"/>
        <item x="1453"/>
        <item x="366"/>
        <item x="371"/>
        <item x="1454"/>
        <item x="1455"/>
        <item x="365"/>
        <item x="372"/>
        <item x="373"/>
        <item x="374"/>
        <item x="375"/>
        <item x="376"/>
        <item x="377"/>
        <item x="1456"/>
        <item x="367"/>
        <item x="1458"/>
        <item x="361"/>
        <item x="380"/>
        <item x="1457"/>
        <item x="363"/>
        <item x="1459"/>
        <item x="961"/>
        <item x="963"/>
        <item x="962"/>
        <item x="979"/>
        <item x="978"/>
        <item x="980"/>
        <item x="981"/>
        <item x="982"/>
        <item x="966"/>
        <item x="965"/>
        <item x="964"/>
        <item x="967"/>
        <item x="243"/>
        <item x="240"/>
        <item x="241"/>
        <item x="246"/>
        <item x="247"/>
        <item x="242"/>
        <item x="248"/>
        <item x="579"/>
        <item x="609"/>
        <item x="580"/>
        <item x="591"/>
        <item x="572"/>
        <item x="573"/>
        <item x="576"/>
        <item x="577"/>
        <item x="586"/>
        <item x="587"/>
        <item x="575"/>
        <item x="44"/>
        <item x="574"/>
        <item x="589"/>
        <item x="592"/>
        <item x="46"/>
        <item x="590"/>
        <item x="593"/>
        <item x="581"/>
        <item x="583"/>
        <item x="582"/>
        <item x="584"/>
        <item x="578"/>
        <item x="588"/>
        <item x="585"/>
        <item x="237"/>
        <item x="212"/>
        <item x="213"/>
        <item x="57"/>
        <item x="65"/>
        <item x="218"/>
        <item x="214"/>
        <item x="120"/>
        <item x="207"/>
        <item x="208"/>
        <item x="209"/>
        <item x="210"/>
        <item x="215"/>
        <item x="216"/>
        <item x="19"/>
        <item x="26"/>
        <item x="211"/>
        <item x="217"/>
        <item x="83"/>
        <item x="838"/>
        <item x="847"/>
        <item x="846"/>
        <item x="839"/>
        <item x="840"/>
        <item x="835"/>
        <item x="836"/>
        <item x="837"/>
        <item x="651"/>
        <item x="648"/>
        <item x="649"/>
        <item x="650"/>
        <item x="645"/>
        <item x="646"/>
        <item x="647"/>
        <item x="1323"/>
        <item x="1324"/>
        <item x="1319"/>
        <item x="1321"/>
        <item x="1320"/>
        <item x="1325"/>
        <item x="1322"/>
        <item x="734"/>
        <item x="735"/>
        <item x="731"/>
        <item x="732"/>
        <item x="733"/>
        <item x="739"/>
        <item x="751"/>
        <item x="740"/>
        <item x="752"/>
        <item x="736"/>
        <item x="737"/>
        <item x="738"/>
        <item x="750"/>
        <item x="1342"/>
        <item x="1343"/>
        <item x="1355"/>
        <item x="1338"/>
        <item x="1339"/>
        <item x="1354"/>
        <item x="1340"/>
        <item x="1341"/>
        <item x="311"/>
        <item x="312"/>
        <item x="310"/>
        <item x="313"/>
        <item x="332"/>
        <item x="314"/>
        <item x="84"/>
        <item x="316"/>
        <item x="317"/>
        <item x="315"/>
        <item x="318"/>
        <item x="27"/>
        <item x="319"/>
        <item x="85"/>
        <item x="321"/>
        <item x="322"/>
        <item x="323"/>
        <item x="320"/>
        <item x="324"/>
        <item x="86"/>
        <item x="342"/>
        <item x="343"/>
        <item x="344"/>
        <item x="341"/>
        <item x="345"/>
        <item x="98"/>
        <item x="347"/>
        <item x="346"/>
        <item x="1426"/>
        <item x="1427"/>
        <item x="1423"/>
        <item x="1424"/>
        <item x="1425"/>
        <item x="565"/>
        <item x="568"/>
        <item x="569"/>
        <item x="566"/>
        <item x="567"/>
        <item x="570"/>
        <item x="192"/>
        <item x="195"/>
        <item x="194"/>
        <item x="78"/>
        <item x="660"/>
        <item x="634"/>
        <item x="635"/>
        <item x="631"/>
        <item x="632"/>
        <item x="633"/>
        <item x="1416"/>
        <item x="1417"/>
        <item x="1418"/>
        <item x="1422"/>
        <item x="1421"/>
        <item x="1419"/>
        <item x="1420"/>
        <item x="1052"/>
        <item x="1055"/>
        <item x="1058"/>
        <item x="1057"/>
        <item x="1053"/>
        <item x="1054"/>
        <item x="1047"/>
        <item x="1048"/>
        <item x="1050"/>
        <item x="1049"/>
        <item x="1059"/>
        <item x="1051"/>
        <item x="1080"/>
        <item x="1056"/>
        <item x="1060"/>
        <item x="1068"/>
        <item x="1069"/>
        <item x="1070"/>
        <item x="1071"/>
        <item x="1072"/>
        <item x="1073"/>
        <item x="238"/>
        <item x="233"/>
        <item x="234"/>
        <item x="239"/>
        <item x="20"/>
        <item x="235"/>
        <item x="87"/>
        <item x="498"/>
        <item x="499"/>
        <item x="500"/>
        <item x="40"/>
        <item x="503"/>
        <item x="502"/>
        <item x="501"/>
        <item x="788"/>
        <item x="790"/>
        <item x="801"/>
        <item x="785"/>
        <item x="787"/>
        <item x="793"/>
        <item x="786"/>
        <item x="413"/>
        <item x="417"/>
        <item x="69"/>
        <item x="407"/>
        <item x="408"/>
        <item x="409"/>
        <item x="411"/>
        <item x="410"/>
        <item x="415"/>
        <item x="414"/>
        <item x="41"/>
        <item x="35"/>
        <item x="412"/>
        <item x="416"/>
        <item x="96"/>
        <item x="955"/>
        <item x="956"/>
        <item x="957"/>
        <item x="951"/>
        <item x="953"/>
        <item x="952"/>
        <item x="959"/>
        <item x="958"/>
        <item x="954"/>
        <item x="960"/>
        <item x="1115"/>
        <item x="1143"/>
        <item x="1144"/>
        <item x="1136"/>
        <item x="1137"/>
        <item x="1116"/>
        <item x="1117"/>
        <item x="1110"/>
        <item x="1111"/>
        <item x="1113"/>
        <item x="1112"/>
        <item x="1138"/>
        <item x="1145"/>
        <item x="1119"/>
        <item x="1118"/>
        <item x="1147"/>
        <item x="1146"/>
        <item x="1114"/>
        <item x="1120"/>
        <item x="1121"/>
        <item x="224"/>
        <item x="58"/>
        <item x="219"/>
        <item x="220"/>
        <item x="221"/>
        <item x="222"/>
        <item x="227"/>
        <item x="226"/>
        <item x="21"/>
        <item x="28"/>
        <item x="223"/>
        <item x="228"/>
        <item x="88"/>
        <item x="1292"/>
        <item x="1293"/>
        <item x="1345"/>
        <item x="1303"/>
        <item x="1304"/>
        <item x="1294"/>
        <item x="1295"/>
        <item x="1288"/>
        <item x="1290"/>
        <item x="1289"/>
        <item x="1353"/>
        <item x="1300"/>
        <item x="1346"/>
        <item x="1299"/>
        <item x="1297"/>
        <item x="1296"/>
        <item x="1291"/>
        <item x="1301"/>
        <item x="1347"/>
        <item x="1344"/>
        <item x="1298"/>
        <item x="606"/>
        <item x="599"/>
        <item x="600"/>
        <item x="601"/>
        <item x="602"/>
        <item x="603"/>
        <item x="604"/>
        <item x="605"/>
        <item x="611"/>
        <item x="610"/>
        <item x="608"/>
        <item x="607"/>
        <item x="612"/>
        <item x="1392"/>
        <item x="1393"/>
        <item x="1401"/>
        <item x="1400"/>
        <item x="1394"/>
        <item x="1395"/>
        <item x="1388"/>
        <item x="1390"/>
        <item x="1389"/>
        <item x="1397"/>
        <item x="1396"/>
        <item x="1404"/>
        <item x="1406"/>
        <item x="1408"/>
        <item x="1405"/>
        <item x="1407"/>
        <item x="1409"/>
        <item x="1391"/>
        <item x="1398"/>
        <item x="1410"/>
        <item x="1399"/>
        <item x="1402"/>
        <item x="516"/>
        <item x="515"/>
        <item x="644"/>
        <item x="520"/>
        <item x="508"/>
        <item x="509"/>
        <item x="521"/>
        <item x="564"/>
        <item x="510"/>
        <item x="511"/>
        <item x="512"/>
        <item x="513"/>
        <item x="517"/>
        <item x="518"/>
        <item x="514"/>
        <item x="519"/>
        <item x="675"/>
        <item x="670"/>
        <item x="680"/>
        <item x="671"/>
        <item x="673"/>
        <item x="672"/>
        <item x="678"/>
        <item x="679"/>
        <item x="676"/>
        <item x="677"/>
        <item x="674"/>
        <item x="143"/>
        <item x="142"/>
        <item x="59"/>
        <item x="54"/>
        <item x="144"/>
        <item x="115"/>
        <item x="149"/>
        <item x="145"/>
        <item x="147"/>
        <item x="146"/>
        <item x="159"/>
        <item x="158"/>
        <item x="22"/>
        <item x="13"/>
        <item x="148"/>
        <item x="79"/>
        <item x="156"/>
        <item x="161"/>
        <item x="122"/>
        <item x="279"/>
        <item x="48"/>
        <item x="60"/>
        <item x="125"/>
        <item x="280"/>
        <item x="105"/>
        <item x="150"/>
        <item x="168"/>
        <item x="116"/>
        <item x="132"/>
        <item x="276"/>
        <item x="128"/>
        <item x="277"/>
        <item x="29"/>
        <item x="282"/>
        <item x="36"/>
        <item x="281"/>
        <item x="14"/>
        <item x="130"/>
        <item x="278"/>
        <item x="72"/>
        <item x="89"/>
        <item x="1358"/>
        <item x="1359"/>
        <item x="1360"/>
        <item x="1361"/>
        <item x="1362"/>
        <item x="1356"/>
        <item x="1357"/>
        <item x="1365"/>
        <item x="799"/>
        <item x="800"/>
        <item x="1102"/>
        <item x="802"/>
        <item x="796"/>
        <item x="798"/>
        <item x="797"/>
        <item x="806"/>
        <item x="807"/>
        <item x="803"/>
        <item x="805"/>
        <item x="816"/>
        <item x="817"/>
        <item x="804"/>
        <item x="811"/>
        <item x="812"/>
        <item x="808"/>
        <item x="810"/>
        <item x="815"/>
        <item x="809"/>
        <item x="429"/>
        <item x="430"/>
        <item x="431"/>
        <item x="423"/>
        <item x="427"/>
        <item x="425"/>
        <item x="432"/>
        <item x="433"/>
        <item x="424"/>
        <item x="428"/>
        <item x="426"/>
        <item x="301"/>
        <item x="117"/>
        <item x="302"/>
        <item x="297"/>
        <item x="299"/>
        <item x="298"/>
        <item x="37"/>
        <item x="30"/>
        <item x="300"/>
        <item x="94"/>
        <item x="559"/>
        <item x="560"/>
        <item x="571"/>
        <item x="561"/>
        <item x="562"/>
        <item x="553"/>
        <item x="554"/>
        <item x="557"/>
        <item x="555"/>
        <item x="556"/>
        <item x="558"/>
        <item x="124"/>
        <item x="49"/>
        <item x="127"/>
        <item x="106"/>
        <item x="133"/>
        <item x="129"/>
        <item x="15"/>
        <item x="131"/>
        <item x="73"/>
        <item x="135"/>
        <item x="107"/>
        <item x="136"/>
        <item x="137"/>
        <item x="138"/>
        <item x="140"/>
        <item x="139"/>
        <item x="163"/>
        <item x="162"/>
        <item x="23"/>
        <item x="16"/>
        <item x="141"/>
        <item x="167"/>
        <item x="80"/>
        <item x="152"/>
        <item x="1192"/>
        <item x="1193"/>
        <item x="1194"/>
        <item x="1195"/>
        <item x="1189"/>
        <item x="1190"/>
        <item x="1191"/>
        <item x="102"/>
        <item x="151"/>
        <item x="1164"/>
        <item x="1165"/>
        <item x="1166"/>
        <item x="1167"/>
        <item x="1162"/>
        <item x="1163"/>
        <item x="1168"/>
        <item x="1181"/>
        <item x="1182"/>
        <item x="1183"/>
        <item x="1184"/>
        <item x="1185"/>
        <item x="1175"/>
        <item x="655"/>
        <item x="1305"/>
        <item x="851"/>
        <item x="886"/>
        <item x="883"/>
        <item x="881"/>
        <item x="880"/>
        <item x="889"/>
        <item x="852"/>
        <item x="853"/>
        <item x="848"/>
        <item x="849"/>
        <item x="850"/>
        <item x="730"/>
        <item x="729"/>
        <item x="762"/>
        <item x="777"/>
        <item x="723"/>
        <item x="725"/>
        <item x="724"/>
        <item x="727"/>
        <item x="726"/>
        <item x="728"/>
        <item x="857"/>
        <item x="888"/>
        <item x="898"/>
        <item x="10"/>
        <item x="901"/>
        <item x="882"/>
        <item x="789"/>
        <item x="858"/>
        <item x="859"/>
        <item x="854"/>
        <item x="855"/>
        <item x="856"/>
        <item x="828"/>
        <item x="830"/>
        <item x="829"/>
        <item x="928"/>
        <item x="825"/>
        <item x="826"/>
        <item x="827"/>
        <item x="636"/>
        <item x="637"/>
        <item x="638"/>
        <item x="1019"/>
        <item x="1020"/>
        <item x="1038"/>
        <item x="1036"/>
        <item x="1035"/>
        <item x="1042"/>
        <item x="1021"/>
        <item x="1197"/>
        <item x="1198"/>
        <item x="1200"/>
        <item x="1199"/>
        <item x="548"/>
        <item x="204"/>
        <item x="641"/>
        <item x="613"/>
        <item x="900"/>
        <item x="913"/>
        <item x="1240"/>
        <item x="1241"/>
        <item x="1260"/>
        <item x="1271"/>
        <item x="1332"/>
        <item x="1148"/>
        <item x="1150"/>
        <item x="1233"/>
        <item x="1261"/>
        <item x="1272"/>
        <item x="1016"/>
        <item x="1149"/>
        <item x="1151"/>
        <item x="261"/>
        <item x="1177"/>
        <item x="355"/>
        <item x="230"/>
        <item x="1034"/>
        <item x="1203"/>
        <item x="273"/>
        <item x="274"/>
        <item x="833"/>
        <item x="694"/>
        <item x="695"/>
        <item x="1375"/>
        <item x="1376"/>
        <item x="1377"/>
        <item x="1378"/>
        <item x="1187"/>
        <item x="406"/>
        <item x="547"/>
        <item x="1186"/>
        <item x="404"/>
        <item x="225"/>
        <item x="717"/>
        <item x="693"/>
        <item x="773"/>
        <item x="1206"/>
        <item x="691"/>
        <item x="692"/>
        <item x="390"/>
        <item x="50"/>
        <item x="822"/>
        <item x="821"/>
        <item x="917"/>
        <item x="70"/>
        <item x="1040"/>
        <item x="61"/>
        <item x="1372"/>
        <item x="55"/>
        <item x="391"/>
        <item x="1173"/>
        <item x="232"/>
        <item x="290"/>
        <item x="291"/>
        <item x="995"/>
        <item x="993"/>
        <item x="994"/>
        <item x="1172"/>
        <item x="231"/>
        <item x="664"/>
        <item x="665"/>
        <item x="666"/>
        <item x="667"/>
        <item x="668"/>
        <item x="669"/>
        <item x="722"/>
        <item x="820"/>
        <item x="819"/>
        <item x="66"/>
        <item x="1033"/>
        <item x="1204"/>
        <item x="1156"/>
        <item x="1157"/>
        <item x="1174"/>
        <item x="1037"/>
        <item x="1169"/>
        <item x="381"/>
        <item x="382"/>
        <item x="1387"/>
        <item x="909"/>
        <item x="910"/>
        <item x="11"/>
        <item x="1159"/>
        <item x="1179"/>
        <item x="270"/>
        <item x="813"/>
        <item x="7"/>
        <item x="1160"/>
        <item x="1180"/>
        <item x="461"/>
        <item x="462"/>
        <item x="463"/>
        <item x="464"/>
        <item x="465"/>
        <item x="1158"/>
        <item x="1385"/>
        <item x="1433"/>
        <item x="823"/>
        <item x="841"/>
        <item x="844"/>
        <item x="9"/>
        <item x="550"/>
        <item x="1384"/>
        <item x="1432"/>
        <item x="1373"/>
        <item x="8"/>
        <item x="549"/>
        <item x="842"/>
        <item x="908"/>
        <item x="970"/>
        <item x="976"/>
        <item x="784"/>
        <item x="401"/>
        <item x="1336"/>
        <item x="1352"/>
        <item x="1351"/>
        <item x="1178"/>
        <item x="831"/>
        <item x="269"/>
        <item x="6"/>
        <item x="782"/>
        <item x="818"/>
        <item x="845"/>
        <item x="771"/>
        <item x="824"/>
        <item x="783"/>
        <item x="293"/>
        <item x="326"/>
        <item x="294"/>
        <item x="327"/>
        <item x="654"/>
        <item x="5"/>
        <item x="4"/>
        <item x="653"/>
        <item x="398"/>
        <item x="1196"/>
        <item x="977"/>
        <item x="103"/>
        <item x="104"/>
        <item x="170"/>
        <item x="171"/>
        <item x="643"/>
        <item x="296"/>
        <item x="181"/>
        <item x="295"/>
        <item x="1276"/>
        <item x="1277"/>
        <item x="1334"/>
        <item x="180"/>
        <item x="1335"/>
        <item x="467"/>
        <item x="969"/>
        <item x="1363"/>
        <item x="1364"/>
        <item x="1209"/>
        <item x="357"/>
        <item x="356"/>
        <item x="466"/>
        <item x="418"/>
        <item x="1154"/>
        <item x="1348"/>
        <item x="1349"/>
        <item x="1350"/>
        <item x="471"/>
        <item x="196"/>
        <item x="968"/>
        <item x="1211"/>
        <item x="552"/>
        <item x="108"/>
        <item x="843"/>
        <item x="661"/>
        <item x="1446"/>
        <item x="360"/>
        <item x="392"/>
        <item x="455"/>
        <item x="359"/>
        <item x="179"/>
        <item x="393"/>
        <item x="419"/>
        <item x="434"/>
        <item x="1242"/>
        <item x="1243"/>
        <item x="791"/>
        <item x="206"/>
        <item x="1312"/>
        <item x="121"/>
        <item x="1403"/>
        <item x="1255"/>
        <item x="383"/>
        <item x="1256"/>
        <item x="1281"/>
        <item x="1311"/>
        <item x="1317"/>
        <item x="169"/>
        <item x="205"/>
        <item x="384"/>
        <item x="1374"/>
        <item x="1282"/>
        <item x="112"/>
        <item x="1236"/>
        <item x="1237"/>
        <item x="1218"/>
        <item x="640"/>
        <item x="792"/>
        <item x="814"/>
        <item x="832"/>
        <item x="399"/>
        <item x="481"/>
        <item x="1161"/>
        <item x="1171"/>
        <item x="328"/>
        <item x="1386"/>
        <item x="1318"/>
        <item x="400"/>
        <item x="639"/>
        <item x="927"/>
        <item x="349"/>
        <item x="472"/>
        <item x="1170"/>
        <item x="348"/>
        <item x="460"/>
        <item x="118"/>
        <item x="907"/>
        <item x="394"/>
        <item x="456"/>
        <item x="396"/>
        <item x="1337"/>
        <item x="292"/>
        <item x="711"/>
        <item x="395"/>
        <item x="397"/>
        <item x="1275"/>
        <item x="705"/>
        <item x="1155"/>
        <item x="1210"/>
        <item x="652"/>
        <item x="563"/>
        <item x="544"/>
        <item x="742"/>
        <item x="743"/>
        <item x="441"/>
        <item x="1415"/>
        <item x="1302"/>
        <item x="1273"/>
        <item x="1326"/>
        <item x="229"/>
        <item x="1086"/>
        <item x="437"/>
        <item x="439"/>
        <item x="1088"/>
        <item x="438"/>
        <item x="440"/>
        <item x="1065"/>
        <item x="1067"/>
        <item x="1075"/>
        <item x="1087"/>
        <item x="663"/>
        <item x="713"/>
        <item x="1064"/>
        <item x="1066"/>
        <item x="1074"/>
        <item x="662"/>
        <item x="712"/>
        <item x="3"/>
        <item x="1"/>
        <item x="1097"/>
        <item x="1096"/>
        <item x="531"/>
        <item x="533"/>
        <item x="532"/>
        <item x="534"/>
        <item x="527"/>
        <item x="528"/>
        <item x="522"/>
        <item x="523"/>
        <item x="1141"/>
        <item x="1140"/>
        <item x="435"/>
        <item x="491"/>
        <item x="436"/>
        <item x="492"/>
        <item x="1001"/>
        <item x="877"/>
        <item x="1000"/>
        <item x="876"/>
        <item x="505"/>
        <item x="507"/>
        <item x="710"/>
        <item x="706"/>
        <item x="916"/>
        <item x="1412"/>
        <item x="1414"/>
        <item x="1239"/>
        <item x="1333"/>
        <item x="191"/>
        <item x="1238"/>
        <item x="1246"/>
        <item x="1413"/>
        <item x="1188"/>
        <item x="686"/>
        <item x="689"/>
        <item x="682"/>
        <item x="696"/>
        <item x="704"/>
        <item x="715"/>
        <item x="687"/>
        <item x="690"/>
        <item x="685"/>
        <item x="688"/>
        <item x="703"/>
        <item x="714"/>
        <item x="1085"/>
        <item x="684"/>
        <item x="698"/>
        <item x="906"/>
        <item x="912"/>
        <item x="683"/>
        <item x="697"/>
        <item x="905"/>
        <item x="911"/>
        <item x="1327"/>
        <item x="1284"/>
        <item x="1176"/>
        <item x="2"/>
        <item x="0"/>
        <item x="488"/>
        <item x="681"/>
        <item x="629"/>
        <item x="1367"/>
        <item x="1369"/>
        <item x="1371"/>
        <item x="1380"/>
        <item x="1221"/>
        <item x="975"/>
        <item x="17"/>
        <item x="1152"/>
        <item x="272"/>
        <item x="1153"/>
        <item x="719"/>
        <item x="271"/>
        <item x="718"/>
        <item x="974"/>
        <item x="973"/>
        <item x="628"/>
        <item x="165"/>
        <item x="748"/>
        <item x="487"/>
        <item x="991"/>
        <item x="990"/>
        <item x="1245"/>
        <item x="494"/>
        <item x="402"/>
        <item x="157"/>
        <item x="700"/>
        <item x="702"/>
        <item x="716"/>
        <item x="745"/>
        <item x="699"/>
        <item x="701"/>
        <item x="741"/>
        <item x="744"/>
        <item x="948"/>
        <item x="1061"/>
        <item x="630"/>
        <item x="386"/>
        <item x="388"/>
        <item x="473"/>
        <item x="474"/>
        <item x="615"/>
        <item x="616"/>
        <item x="617"/>
        <item x="618"/>
        <item x="619"/>
        <item x="620"/>
        <item x="627"/>
        <item x="385"/>
        <item x="387"/>
        <item x="1208"/>
        <item x="943"/>
        <item x="1213"/>
        <item x="445"/>
        <item x="1280"/>
        <item x="485"/>
        <item x="486"/>
        <item x="489"/>
        <item x="490"/>
        <item x="1279"/>
        <item x="834"/>
        <item x="947"/>
        <item x="949"/>
        <item x="950"/>
        <item x="45"/>
        <item x="1366"/>
        <item x="1368"/>
        <item x="1370"/>
        <item x="1379"/>
        <item x="1231"/>
        <item x="476"/>
        <item x="477"/>
        <item x="482"/>
        <item x="930"/>
        <item x="932"/>
        <item x="934"/>
        <item x="936"/>
        <item x="938"/>
        <item x="940"/>
        <item x="942"/>
        <item x="929"/>
        <item x="931"/>
        <item x="933"/>
        <item x="935"/>
        <item x="937"/>
        <item x="939"/>
        <item x="941"/>
        <item x="42"/>
        <item x="1202"/>
        <item x="626"/>
        <item x="1219"/>
        <item x="1220"/>
        <item x="922"/>
        <item x="924"/>
        <item x="926"/>
        <item x="921"/>
        <item x="923"/>
        <item x="925"/>
        <item x="12"/>
        <item x="31"/>
        <item x="38"/>
        <item x="545"/>
        <item x="1278"/>
        <item x="468"/>
        <item x="1244"/>
        <item x="1259"/>
        <item x="469"/>
        <item x="529"/>
        <item x="546"/>
        <item x="625"/>
        <item x="287"/>
        <item x="289"/>
        <item x="709"/>
        <item x="721"/>
        <item x="795"/>
        <item x="283"/>
        <item x="286"/>
        <item x="288"/>
        <item x="1018"/>
        <item x="47"/>
        <item x="530"/>
        <item x="720"/>
        <item x="999"/>
        <item x="1003"/>
        <item x="1017"/>
        <item x="920"/>
        <item x="972"/>
        <item x="998"/>
        <item x="919"/>
        <item x="945"/>
        <item x="971"/>
        <item x="1205"/>
        <item x="1084"/>
        <item x="166"/>
        <item x="543"/>
        <item x="333"/>
        <item x="1062"/>
        <item x="285"/>
        <item x="284"/>
        <item x="1201"/>
        <item x="164"/>
        <item x="1283"/>
        <item x="1235"/>
        <item x="1234"/>
        <item x="749"/>
        <item x="504"/>
        <item x="506"/>
        <item x="997"/>
        <item x="747"/>
        <item x="746"/>
        <item x="358"/>
        <item x="642"/>
        <item x="1029"/>
        <item x="996"/>
        <item x="275"/>
        <item x="1258"/>
        <item x="193"/>
        <item x="454"/>
        <item x="478"/>
        <item x="479"/>
        <item x="1328"/>
        <item x="1039"/>
        <item x="484"/>
        <item x="1043"/>
        <item x="443"/>
        <item x="444"/>
        <item x="1207"/>
        <item x="525"/>
        <item x="331"/>
        <item x="551"/>
        <item x="915"/>
        <item x="899"/>
        <item x="914"/>
        <item x="992"/>
        <item x="458"/>
        <item x="879"/>
        <item x="794"/>
        <item x="878"/>
        <item x="160"/>
        <item x="330"/>
        <item x="403"/>
        <item x="1022"/>
        <item x="614"/>
        <item x="480"/>
        <item x="258"/>
        <item x="259"/>
        <item x="260"/>
        <item x="1027"/>
        <item x="1028"/>
        <item x="772"/>
        <item x="770"/>
        <item x="894"/>
        <item x="475"/>
        <item x="495"/>
        <item x="497"/>
        <item x="538"/>
        <item x="594"/>
        <item x="595"/>
        <item x="596"/>
        <item x="597"/>
        <item x="598"/>
        <item x="389"/>
        <item x="421"/>
        <item x="422"/>
        <item x="621"/>
        <item x="622"/>
        <item x="623"/>
        <item x="624"/>
        <item x="708"/>
        <item x="74"/>
        <item x="1212"/>
        <item x="442"/>
        <item x="1030"/>
        <item x="101"/>
        <item x="1063"/>
        <item x="405"/>
        <item x="420"/>
        <item x="256"/>
        <item x="257"/>
        <item x="265"/>
        <item x="266"/>
        <item x="81"/>
        <item x="267"/>
        <item x="1257"/>
        <item x="329"/>
        <item x="1031"/>
        <item x="1032"/>
        <item x="1411"/>
        <item x="1099"/>
        <item x="1100"/>
        <item x="90"/>
        <item x="775"/>
        <item x="779"/>
        <item x="780"/>
        <item x="781"/>
        <item x="946"/>
        <item x="774"/>
        <item x="470"/>
        <item x="493"/>
        <item x="1041"/>
        <item x="1044"/>
        <item x="1076"/>
        <item x="918"/>
        <item x="1045"/>
        <item x="707"/>
        <item x="526"/>
        <item x="535"/>
        <item x="536"/>
        <item x="537"/>
        <item x="203"/>
        <item x="1023"/>
        <item x="95"/>
        <item x="97"/>
        <item x="99"/>
        <item x="1002"/>
        <item x="524"/>
        <item x="1436"/>
        <item x="1429"/>
        <item x="1441"/>
        <item x="1447"/>
        <item x="1440"/>
        <item x="1428"/>
        <item x="1430"/>
        <item x="1434"/>
        <item x="1438"/>
        <item x="1443"/>
        <item x="1435"/>
        <item x="1439"/>
        <item x="1444"/>
        <item x="1431"/>
        <item x="1437"/>
        <item x="1442"/>
        <item x="1024"/>
        <item x="1025"/>
        <item x="1026"/>
        <item x="944"/>
        <item x="539"/>
        <item x="540"/>
        <item x="541"/>
        <item x="43"/>
        <item x="542"/>
        <item x="100"/>
        <item x="657"/>
        <item x="656"/>
        <item x="1307"/>
        <item x="1306"/>
        <item x="1310"/>
        <item x="1309"/>
        <item x="658"/>
        <item x="1308"/>
        <item x="985"/>
        <item x="1314"/>
        <item x="1313"/>
        <item x="984"/>
        <item x="1316"/>
        <item x="1315"/>
        <item x="134"/>
        <item t="default"/>
      </items>
    </pivotField>
  </pivotFields>
  <rowFields count="3">
    <field x="14"/>
    <field x="15"/>
    <field x="19"/>
  </rowFields>
  <rowItems count="7">
    <i>
      <x/>
    </i>
    <i r="1">
      <x v="2"/>
    </i>
    <i>
      <x v="4"/>
    </i>
    <i r="1">
      <x v="1"/>
    </i>
    <i r="1">
      <x v="4"/>
    </i>
    <i r="1">
      <x v="7"/>
    </i>
    <i t="grand">
      <x/>
    </i>
  </rowItems>
  <colFields count="1">
    <field x="11"/>
  </colFields>
  <colItems count="7">
    <i>
      <x v="1"/>
    </i>
    <i>
      <x v="2"/>
    </i>
    <i>
      <x v="3"/>
    </i>
    <i>
      <x v="4"/>
    </i>
    <i>
      <x v="30"/>
    </i>
    <i>
      <x v="31"/>
    </i>
    <i t="grand">
      <x/>
    </i>
  </colItems>
  <pageFields count="1">
    <pageField fld="18" hier="-1"/>
  </pageFields>
  <dataFields count="1">
    <dataField name="Sum of PnL" fld="9" baseField="19" baseItem="667" numFmtId="3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02A86-67AD-4121-8889-F81CD8378931}" name="PivotTable1" cacheId="13" applyNumberFormats="0" applyBorderFormats="0" applyFontFormats="0" applyPatternFormats="0" applyAlignmentFormats="0" applyWidthHeightFormats="1" dataCaption="Values" grandTotalCaption="2026 YTD" updatedVersion="8" minRefreshableVersion="3" useAutoFormatting="1" itemPrintTitles="1" createdVersion="8" indent="0" outline="1" outlineData="1" multipleFieldFilters="0" rowHeaderCaption="Instrument">
  <location ref="R104:AB107" firstHeaderRow="1" firstDataRow="2" firstDataCol="1"/>
  <pivotFields count="27">
    <pivotField showAll="0"/>
    <pivotField showAll="0"/>
    <pivotField axis="axisRow" showAll="0">
      <items count="13">
        <item x="3"/>
        <item x="8"/>
        <item x="4"/>
        <item x="9"/>
        <item x="5"/>
        <item x="6"/>
        <item x="0"/>
        <item x="10"/>
        <item x="2"/>
        <item x="7"/>
        <item x="1"/>
        <item m="1" x="11"/>
        <item t="default"/>
      </items>
    </pivotField>
    <pivotField showAll="0"/>
    <pivotField showAll="0"/>
    <pivotField axis="axisCol" showAll="0">
      <items count="28">
        <item x="11"/>
        <item x="12"/>
        <item x="9"/>
        <item x="10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x="0"/>
        <item x="1"/>
        <item x="3"/>
        <item x="4"/>
        <item x="5"/>
        <item x="7"/>
        <item x="8"/>
        <item x="6"/>
        <item x="13"/>
        <item x="14"/>
        <item x="15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h="1" sd="0" x="2"/>
        <item h="1" sd="0" x="1"/>
        <item sd="0" x="6"/>
        <item h="1" sd="0" x="4"/>
        <item h="1" sd="0" x="3"/>
        <item h="1" sd="0" x="5"/>
        <item h="1" sd="0" x="7"/>
        <item h="1" sd="0" m="1" x="8"/>
        <item h="1" sd="0" x="0"/>
        <item t="default" sd="0"/>
      </items>
    </pivotField>
    <pivotField showAll="0"/>
    <pivotField showAll="0"/>
    <pivotField multipleItemSelectionAllowed="1" showAll="0"/>
    <pivotField showAll="0"/>
    <pivotField showAll="0"/>
    <pivotField numFmtId="171" showAll="0"/>
    <pivotField showAll="0"/>
    <pivotField numFmtId="167" showAll="0"/>
    <pivotField numFmtId="171" showAll="0"/>
    <pivotField dragToRow="0" dragToCol="0" dragToPage="0" showAll="0" defaultSubtotal="0"/>
    <pivotField dragToRow="0" dragToCol="0" dragToPage="0" showAll="0" defaultSubtotal="0"/>
  </pivotFields>
  <rowFields count="2">
    <field x="15"/>
    <field x="2"/>
  </rowFields>
  <rowItems count="2">
    <i>
      <x v="2"/>
    </i>
    <i t="grand">
      <x/>
    </i>
  </rowItems>
  <colFields count="1">
    <field x="5"/>
  </colFields>
  <colItems count="10"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 t="grand">
      <x/>
    </i>
  </colItems>
  <dataFields count="1">
    <dataField name="PnL ($k)" fld="9" baseField="18" baseItem="0" numFmtId="6"/>
  </dataFields>
  <formats count="13">
    <format dxfId="257">
      <pivotArea grandRow="1" outline="0" collapsedLevelsAreSubtotals="1" fieldPosition="0"/>
    </format>
    <format dxfId="256">
      <pivotArea outline="0" collapsedLevelsAreSubtotals="1" fieldPosition="0"/>
    </format>
    <format dxfId="255">
      <pivotArea dataOnly="0" labelOnly="1" outline="0" axis="axisValues" fieldPosition="0"/>
    </format>
    <format dxfId="254">
      <pivotArea collapsedLevelsAreSubtotals="1" fieldPosition="0">
        <references count="1">
          <reference field="15" count="1">
            <x v="0"/>
          </reference>
        </references>
      </pivotArea>
    </format>
    <format dxfId="253">
      <pivotArea collapsedLevelsAreSubtotals="1" fieldPosition="0">
        <references count="1">
          <reference field="15" count="1">
            <x v="1"/>
          </reference>
        </references>
      </pivotArea>
    </format>
    <format dxfId="252">
      <pivotArea collapsedLevelsAreSubtotals="1" fieldPosition="0">
        <references count="1">
          <reference field="15" count="1">
            <x v="2"/>
          </reference>
        </references>
      </pivotArea>
    </format>
    <format dxfId="251">
      <pivotArea collapsedLevelsAreSubtotals="1" fieldPosition="0">
        <references count="1">
          <reference field="15" count="1">
            <x v="3"/>
          </reference>
        </references>
      </pivotArea>
    </format>
    <format dxfId="250">
      <pivotArea collapsedLevelsAreSubtotals="1" fieldPosition="0">
        <references count="1">
          <reference field="15" count="1">
            <x v="4"/>
          </reference>
        </references>
      </pivotArea>
    </format>
    <format dxfId="249">
      <pivotArea collapsedLevelsAreSubtotals="1" fieldPosition="0">
        <references count="1">
          <reference field="15" count="1">
            <x v="5"/>
          </reference>
        </references>
      </pivotArea>
    </format>
    <format dxfId="248">
      <pivotArea collapsedLevelsAreSubtotals="1" fieldPosition="0">
        <references count="1">
          <reference field="15" count="1">
            <x v="6"/>
          </reference>
        </references>
      </pivotArea>
    </format>
    <format dxfId="247">
      <pivotArea collapsedLevelsAreSubtotals="1" fieldPosition="0">
        <references count="1">
          <reference field="15" count="1">
            <x v="8"/>
          </reference>
        </references>
      </pivotArea>
    </format>
    <format dxfId="246">
      <pivotArea dataOnly="0" labelOnly="1" fieldPosition="0">
        <references count="1">
          <reference field="15" count="0"/>
        </references>
      </pivotArea>
    </format>
    <format dxfId="245">
      <pivotArea dataOnly="0" labelOnly="1" grandRow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87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BDADE4-FC4E-4AE4-92D0-BE2C272A3833}" name="Table3" displayName="Table3" ref="D1:AB595" totalsRowShown="0">
  <autoFilter ref="D1:AB595" xr:uid="{0CBDADE4-FC4E-4AE4-92D0-BE2C272A3833}">
    <filterColumn colId="0">
      <filters>
        <filter val="HDO Aug26 22-31 DAP"/>
      </filters>
    </filterColumn>
  </autoFilter>
  <tableColumns count="25">
    <tableColumn id="4" xr3:uid="{437D9438-06D9-45DC-A25F-C01C96378348}" name="Cargo Name"/>
    <tableColumn id="5" xr3:uid="{48DE6FE3-8EF9-411E-A651-F13B19869A42}" name="Date" dataDxfId="334"/>
    <tableColumn id="6" xr3:uid="{4D74D7AA-3F51-4D86-A808-881922DA30FD}" name="Sub-Instrument" dataDxfId="333"/>
    <tableColumn id="7" xr3:uid="{77947321-BD8B-4ACC-B1C3-7FC9312CD92E}" name="Expo Type" dataDxfId="332"/>
    <tableColumn id="8" xr3:uid="{7001933C-B08A-4624-AA97-0F19E16FDF48}" name="Quantity" dataDxfId="331" dataCellStyle="Comma"/>
    <tableColumn id="9" xr3:uid="{12CCE0A7-F8D5-4851-B75B-AB90DDA8B574}" name="Month1" dataDxfId="330"/>
    <tableColumn id="10" xr3:uid="{68485721-9551-4CD8-A332-41F3F766A301}" name="Month2" dataDxfId="329"/>
    <tableColumn id="11" xr3:uid="{2077567C-D823-409B-8F81-2EA2E330BE66}" name="Price" dataDxfId="328" dataCellStyle="Comma"/>
    <tableColumn id="12" xr3:uid="{51BC08CB-575D-42D5-9709-EC9E46617BE5}" name="Mtm" dataDxfId="327">
      <calculatedColumnFormula>IF(OR(S2="WTI Sprds",S2="Brent Sprds",S2="WTI-Brent",S2="DFL"),INDEX(INDIRECT("'" &amp; S2 &amp; "'!$A$6:$XFD$1048576"),MATCH('PnL26'!$P$1,INDIRECT("'" &amp; S2 &amp; "'!$A$6:$A$1048576"),0),MATCH(EOMONTH(I2,0),INDIRECT("'" &amp; S2 &amp; "'!$A$4:$XFD$4"),0)),INDEX(BBG!$A:$BA,MATCH('PnL26'!$P$1,BBG!$A:$A,0),MATCH($I2,BBG!$A$4:$BA$4,0))-INDEX(BBG!$A:$BA,MATCH('PnL26'!$P$1,BBG!$A:$A,0),MATCH($J2,BBG!$A$4:$BA$4,0)))</calculatedColumnFormula>
    </tableColumn>
    <tableColumn id="13" xr3:uid="{A03B92FC-61F1-4393-AC02-24CCA097E7A6}" name="PnL" dataDxfId="326">
      <calculatedColumnFormula>IFERROR((L2-K2)*H2,"")</calculatedColumnFormula>
    </tableColumn>
    <tableColumn id="14" xr3:uid="{24D030DA-C7E7-48C8-BBCF-C37467DB1A5F}" name="Average">
      <calculatedColumnFormula>H2*K2</calculatedColumnFormula>
    </tableColumn>
    <tableColumn id="15" xr3:uid="{F2656C6E-B7B5-44CE-8F9A-458097174E20}" name="Name" dataDxfId="325">
      <calculatedColumnFormula>IF(I2=J2,TEXT(I2,"MMM YY"),TEXT(I2,"MMM")&amp;"/"&amp;TEXT(J2,"MMM")&amp;" "&amp;RIGHT(T2,2))</calculatedColumnFormula>
    </tableColumn>
    <tableColumn id="16" xr3:uid="{A798C221-D0F5-4AA1-B645-364F2162C352}" name="Buy/Sell" dataDxfId="324">
      <calculatedColumnFormula>IF(H2&lt;0,"Sell","Buy")</calculatedColumnFormula>
    </tableColumn>
    <tableColumn id="17" xr3:uid="{D3FCD42E-A74D-4879-A778-EBF6654F8595}" name="Average MtM">
      <calculatedColumnFormula>H2*L2</calculatedColumnFormula>
    </tableColumn>
    <tableColumn id="18" xr3:uid="{761A7CB6-253B-4633-B9FB-70A25BB4DD6E}" name="Instrument Type">
      <calculatedColumnFormula>VLOOKUP(F2,Control!$B:$C,2,FALSE)</calculatedColumnFormula>
    </tableColumn>
    <tableColumn id="19" xr3:uid="{98ABDA29-7576-47CF-91B4-46E25439A9C3}" name="Instrument">
      <calculatedColumnFormula>VLOOKUP(F2,Control!$B:$D,3,FALSE)</calculatedColumnFormula>
    </tableColumn>
    <tableColumn id="20" xr3:uid="{7B191597-CA59-495E-A652-8F6F0ABC8600}" name="Year" dataDxfId="323">
      <calculatedColumnFormula>YEAR(I2)</calculatedColumnFormula>
    </tableColumn>
    <tableColumn id="21" xr3:uid="{658A3E22-8D5B-43F1-9E6A-E144FCF29454}" name="Side">
      <calculatedColumnFormula>IFERROR(IF(H2&gt;0,"Buy","Sell"),"")</calculatedColumnFormula>
    </tableColumn>
    <tableColumn id="22" xr3:uid="{74D93F52-4ED7-4454-8154-2F0CF56CA00C}" name="Accounting"/>
    <tableColumn id="1" xr3:uid="{912D27C3-EAAA-4AEB-9962-513BB54B5377}" name="M1 Instrument">
      <calculatedColumnFormula>_xlfn.XLOOKUP(Table3[[#This Row],[Instrument]],Control!$B$2:$B$19,Control!$E$2:$E$19)</calculatedColumnFormula>
    </tableColumn>
    <tableColumn id="2" xr3:uid="{C72286DA-909F-4E7B-AC2E-A75D38FBCA2E}" name="M1 Month" dataDxfId="322">
      <calculatedColumnFormula>Table3[[#This Row],[Month1]]</calculatedColumnFormula>
    </tableColumn>
    <tableColumn id="3" xr3:uid="{17CD2221-FAB2-4FDD-BBF2-D4527A4FDC62}" name="M1 Volume" dataDxfId="321">
      <calculatedColumnFormula>Table3[[#This Row],[Quantity]]</calculatedColumnFormula>
    </tableColumn>
    <tableColumn id="23" xr3:uid="{86FDE256-9056-4018-8A82-2C4DFEB625E8}" name="M2">
      <calculatedColumnFormula>_xlfn.XLOOKUP(Table3[[#This Row],[Instrument]],Control!$B$2:$B$19,Control!$F$2:$F$19)</calculatedColumnFormula>
    </tableColumn>
    <tableColumn id="24" xr3:uid="{5C9DBD82-83F4-450D-A8AC-2359CE0225E3}" name="M2 Month" dataDxfId="320">
      <calculatedColumnFormula>Table3[[#This Row],[Month2]]</calculatedColumnFormula>
    </tableColumn>
    <tableColumn id="25" xr3:uid="{D9087C4E-E0E0-4B83-A1B8-41E0CE5F8902}" name="M2 Volume" dataDxfId="319">
      <calculatedColumnFormula>-Y2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25278-CCED-4F6E-BCC7-F7D86D3E1DAE}" name="Ledger" displayName="Ledger" ref="L1:R119" totalsRowShown="0">
  <autoFilter ref="L1:R119" xr:uid="{69025278-CCED-4F6E-BCC7-F7D86D3E1DAE}"/>
  <tableColumns count="7">
    <tableColumn id="1" xr3:uid="{3DE0486D-86C2-4762-8D55-6B46854C8B76}" name="Physical Xref"/>
    <tableColumn id="2" xr3:uid="{E0F8B063-37AA-4FEA-B26D-EDC005D8F67C}" name="RA Deal Number"/>
    <tableColumn id="3" xr3:uid="{978EDF8C-D332-4DFA-A32C-509DB35CE35D}" name="SAP Deal Number"/>
    <tableColumn id="4" xr3:uid="{40199958-5E0E-4492-BF51-26A0B4070F1E}" name="Cargo Name"/>
    <tableColumn id="5" xr3:uid="{F6DF033A-73ED-4064-A908-AECBAE558F6E}" name="Accounting"/>
    <tableColumn id="6" xr3:uid="{ECE820CB-95C9-4A7E-9F14-64EEDC3DB6F2}" name="Size"/>
    <tableColumn id="7" xr3:uid="{A2EFB661-3B3D-45BD-8346-91A185DA70AB}" name="Load Mon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E3454-5B57-44B2-8CA8-60FC69359188}" name="CargoData" displayName="CargoData" ref="A1:Z21" totalsRowShown="0">
  <autoFilter ref="A1:Z21" xr:uid="{ABBE3454-5B57-44B2-8CA8-60FC69359188}"/>
  <tableColumns count="26">
    <tableColumn id="1" xr3:uid="{1F88EE0A-F828-4E25-8D31-FB124194079A}" name="Block">
      <calculatedColumnFormula>'Cargo Econs 2026'!$B$162</calculatedColumnFormula>
    </tableColumn>
    <tableColumn id="2" xr3:uid="{23103807-4F00-4AF1-8F37-D9EEC7FFE8DD}" name="Load Month" dataDxfId="244"/>
    <tableColumn id="3" xr3:uid="{2077541B-FEEC-426C-8168-D64537ABCBC1}" name="Load Mo">
      <calculatedColumnFormula>IF(B2="","",TEXT(B2,"mmm-yy"))</calculatedColumnFormula>
    </tableColumn>
    <tableColumn id="4" xr3:uid="{2AAD3E6F-E9EB-4873-8D84-715984EDD448}" name="Cargo Name"/>
    <tableColumn id="5" xr3:uid="{E6029064-C47F-4CA2-9860-FB0E3146A9A4}" name="Deal Number"/>
    <tableColumn id="6" xr3:uid="{591D7B55-3070-4D4B-9597-7F8BB3E5587A}" name="Vessel Class"/>
    <tableColumn id="7" xr3:uid="{0D56132C-EE93-43D3-B88D-DE681698DABB}" name="Volume (kbbl)"/>
    <tableColumn id="8" xr3:uid="{2CE40821-A6E1-4E85-AA34-20B9C872CC70}" name="Trade Date" dataDxfId="243"/>
    <tableColumn id="9" xr3:uid="{CB84C58C-CC94-45D2-8BDA-EC6DC1402C9B}" name="MEH Diff" dataDxfId="242"/>
    <tableColumn id="10" xr3:uid="{0B24D38D-5898-40F0-80D0-9E15D7545BA6}" name="(+) Prem to MEH" dataDxfId="241"/>
    <tableColumn id="11" xr3:uid="{AA17F7F6-30BC-4907-8FDF-92B640A76C93}" name="FOB Corpus (vs WTI)" dataDxfId="240"/>
    <tableColumn id="12" xr3:uid="{A6722BC8-8D25-40F7-870C-2CE5E9C400D3}" name="FOB Corpus (ICE Brent)" dataDxfId="239"/>
    <tableColumn id="13" xr3:uid="{96A42976-6F08-4F03-8BB7-6562F4251D9A}" name="Freight" dataDxfId="238"/>
    <tableColumn id="14" xr3:uid="{10BCED68-FC73-4EE0-BCAC-96ABC6F7A269}" name="TD7 Freight" dataDxfId="237"/>
    <tableColumn id="15" xr3:uid="{7280C192-340A-468E-813C-1DF40DC55434}" name="Demurrage" dataDxfId="236"/>
    <tableColumn id="16" xr3:uid="{0BC115C4-B401-4709-970D-55B42566DF51}" name="STS" dataDxfId="235"/>
    <tableColumn id="17" xr3:uid="{3577BD9C-0F87-4B95-8EB2-F33FCB0E680E}" name="TVM" dataDxfId="234"/>
    <tableColumn id="18" xr3:uid="{E12B2EE9-71A9-404C-B17F-6623CC134B5C}" name="Other" dataDxfId="233"/>
    <tableColumn id="19" xr3:uid="{D504DC70-B349-4832-9FEB-4651A65461D7}" name="Total Cost ($/bbl)" dataDxfId="232">
      <calculatedColumnFormula>SUM(M2:R2)</calculatedColumnFormula>
    </tableColumn>
    <tableColumn id="20" xr3:uid="{000B712C-5006-4692-8801-5CFD3D5066D5}" name="Landed" dataDxfId="231"/>
    <tableColumn id="21" xr3:uid="{04005A5C-E589-48B7-A9EB-F6629141BA58}" name="Sold" dataDxfId="230"/>
    <tableColumn id="22" xr3:uid="{F345CBC8-1C39-4E5C-B0C0-8D8A20E81D11}" name="P&amp;L ($/bbl)" dataDxfId="229"/>
    <tableColumn id="23" xr3:uid="{70A6BDD6-21D8-4BE0-940E-FF9122E7F774}" name="Day 1 P&amp;L ($k)" dataDxfId="228"/>
    <tableColumn id="24" xr3:uid="{B9068A76-BBCC-4057-B597-D3F8D3329A6F}" name="Total Costs ($k)"/>
    <tableColumn id="25" xr3:uid="{6573F725-D803-4676-893C-0553D64CB0B5}" name="Flag">
      <calculatedColumnFormula>IF(ABS(V2)&gt;5,"CHECK","OK")</calculatedColumnFormula>
    </tableColumn>
    <tableColumn id="26" xr3:uid="{06744940-66AB-418A-9E65-0CFBA9C67667}" name="Incl" dataDxfId="227">
      <calculatedColumnFormula>--_xlfn.LET(_xlpm.fm,IF(ISNUMBER(FilterMonth),TEXT(FilterMonth,"mmm-yy"),FilterMonth),AND(OR(_xlpm.fm="All",$C2=_xlpm.fm),OR(FilterVessel="All",$F2=FilterVessel),OR(FilterFlag="No",$Y2="OK")))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5.xm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9D5E-2F1A-4D3C-AE47-86BECA69FDC0}">
  <dimension ref="B2:AE60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3.26953125" customWidth="1"/>
    <col min="2" max="2" width="27.26953125" customWidth="1"/>
    <col min="3" max="3" width="19.1796875" customWidth="1"/>
    <col min="4" max="7" width="16.7265625" customWidth="1"/>
    <col min="8" max="8" width="20.81640625" customWidth="1"/>
    <col min="9" max="12" width="16.7265625" customWidth="1"/>
    <col min="26" max="26" width="1.453125" customWidth="1"/>
    <col min="27" max="31" width="14.54296875" customWidth="1"/>
  </cols>
  <sheetData>
    <row r="2" spans="2:31" ht="34" customHeight="1" x14ac:dyDescent="0.35">
      <c r="B2" s="517" t="s">
        <v>2235</v>
      </c>
      <c r="C2" s="517"/>
      <c r="D2" s="517"/>
      <c r="E2" s="517"/>
      <c r="F2" s="517"/>
      <c r="G2" s="517"/>
      <c r="H2" s="517"/>
      <c r="I2" s="517"/>
      <c r="J2" s="517"/>
      <c r="K2" s="517"/>
      <c r="L2" s="517"/>
    </row>
    <row r="3" spans="2:31" x14ac:dyDescent="0.35">
      <c r="B3" s="493" t="s">
        <v>2250</v>
      </c>
    </row>
    <row r="4" spans="2:31" x14ac:dyDescent="0.35">
      <c r="B4" s="18" t="s">
        <v>1782</v>
      </c>
      <c r="C4" s="509" t="s">
        <v>2230</v>
      </c>
      <c r="E4" s="18" t="s">
        <v>2236</v>
      </c>
      <c r="F4" s="18">
        <f>SUM(CargoData[Incl])</f>
        <v>19</v>
      </c>
    </row>
    <row r="5" spans="2:31" x14ac:dyDescent="0.35">
      <c r="B5" s="18" t="s">
        <v>1785</v>
      </c>
      <c r="C5" s="509" t="s">
        <v>2230</v>
      </c>
    </row>
    <row r="6" spans="2:31" x14ac:dyDescent="0.35">
      <c r="B6" s="18" t="s">
        <v>2231</v>
      </c>
      <c r="C6" s="509" t="s">
        <v>1970</v>
      </c>
    </row>
    <row r="8" spans="2:31" ht="29" x14ac:dyDescent="0.35">
      <c r="B8" s="494" t="s">
        <v>2237</v>
      </c>
      <c r="C8" s="494" t="s">
        <v>2238</v>
      </c>
      <c r="D8" s="494" t="s">
        <v>2239</v>
      </c>
      <c r="E8" s="494" t="s">
        <v>2228</v>
      </c>
      <c r="F8" s="494" t="s">
        <v>2240</v>
      </c>
      <c r="G8" s="494" t="s">
        <v>2241</v>
      </c>
    </row>
    <row r="9" spans="2:31" ht="26.15" customHeight="1" x14ac:dyDescent="0.4">
      <c r="B9" s="495">
        <f>SUMPRODUCT(CargoData[Incl],CargoData[Volume (kbbl)])</f>
        <v>24996</v>
      </c>
      <c r="C9" s="496">
        <f>SUMPRODUCT(CargoData[Incl],CargoData[Day 1 P&amp;L ($k)])</f>
        <v>10767.647662717649</v>
      </c>
      <c r="D9" s="497">
        <f>IFERROR(C9/B9,0)</f>
        <v>0.43077483048158299</v>
      </c>
      <c r="E9" s="498">
        <f>SUMPRODUCT(CargoData[Incl],CargoData[Total Costs ($k)])</f>
        <v>164120.47192780822</v>
      </c>
      <c r="F9" s="499">
        <f>IFERROR(SUMPRODUCT(CargoData[Incl],CargoData[Volume (kbbl)],CargoData[Total Cost ($/bbl)])/B9,0)</f>
        <v>6.2509164401217134</v>
      </c>
      <c r="G9" s="500" cm="1">
        <f t="array" ref="G9">IFERROR(SUMPRODUCT(CargoData[Incl],--(CargoData[P&amp;L ($/bbl)]&gt;0))/F4,0)</f>
        <v>0.84210526315789469</v>
      </c>
    </row>
    <row r="12" spans="2:31" ht="15.5" x14ac:dyDescent="0.35">
      <c r="B12" s="501" t="s">
        <v>2242</v>
      </c>
      <c r="H12" s="501" t="s">
        <v>2245</v>
      </c>
      <c r="AA12" t="s">
        <v>2251</v>
      </c>
      <c r="AD12" t="s">
        <v>2252</v>
      </c>
    </row>
    <row r="13" spans="2:31" x14ac:dyDescent="0.35">
      <c r="B13" s="494" t="s">
        <v>1782</v>
      </c>
      <c r="C13" s="494" t="s">
        <v>1724</v>
      </c>
      <c r="D13" s="494" t="s">
        <v>2223</v>
      </c>
      <c r="E13" s="494" t="s">
        <v>2243</v>
      </c>
      <c r="F13" s="494" t="s">
        <v>2244</v>
      </c>
      <c r="H13" s="494" t="s">
        <v>1785</v>
      </c>
      <c r="I13" s="494" t="s">
        <v>1724</v>
      </c>
      <c r="J13" s="494" t="s">
        <v>2223</v>
      </c>
      <c r="K13" s="494" t="s">
        <v>2243</v>
      </c>
      <c r="L13" s="494" t="s">
        <v>2244</v>
      </c>
      <c r="AA13" t="s">
        <v>1782</v>
      </c>
      <c r="AB13" t="s">
        <v>2243</v>
      </c>
      <c r="AD13" t="s">
        <v>1785</v>
      </c>
      <c r="AE13" t="s">
        <v>2223</v>
      </c>
    </row>
    <row r="14" spans="2:31" x14ac:dyDescent="0.35">
      <c r="B14" t="str" cm="1">
        <f t="array" ref="B14:B18">IFERROR(TEXT(_xlfn._xlws.SORT(_xlfn.UNIQUE(_xlfn._xlws.FILTER(CargoData[Load Month],CargoData[Incl]=1))),"mmm-yy"),"")</f>
        <v>Feb-26</v>
      </c>
      <c r="C14" s="502" cm="1">
        <f t="array" ref="C14">IF($B14="","",SUMPRODUCT((CargoData[Load Mo]=$B14)*CargoData[Incl]))</f>
        <v>5</v>
      </c>
      <c r="D14" s="502" cm="1">
        <f t="array" ref="D14">IF($B14="","",SUMPRODUCT((CargoData[Load Mo]=$B14)*CargoData[Incl]*CargoData[Volume (kbbl)]))</f>
        <v>4872</v>
      </c>
      <c r="E14" s="503" cm="1">
        <f t="array" ref="E14">IF($B14="","",SUMPRODUCT((CargoData[Load Mo]=$B14)*CargoData[Incl]*CargoData[Day 1 P&amp;L ($k)]))</f>
        <v>495.64474000000286</v>
      </c>
      <c r="F14" s="504">
        <f>IF($B14="","",IFERROR(E14/D14,""))</f>
        <v>0.10173332101806298</v>
      </c>
      <c r="H14" t="str" cm="1">
        <f t="array" ref="H14:H16">IFERROR(_xlfn._xlws.SORT(_xlfn.UNIQUE(_xlfn._xlws.FILTER(CargoData[Vessel Class],CargoData[Incl]=1))),"")</f>
        <v>Aframax</v>
      </c>
      <c r="I14" s="502" cm="1">
        <f t="array" ref="I14">IF($H14="","",SUMPRODUCT((CargoData[Vessel Class]=$H14)*CargoData[Incl]))</f>
        <v>7</v>
      </c>
      <c r="J14" s="502" cm="1">
        <f t="array" ref="J14">IF($H14="","",SUMPRODUCT((CargoData[Vessel Class]=$H14)*CargoData[Incl]*CargoData[Volume (kbbl)]))</f>
        <v>4900</v>
      </c>
      <c r="K14" s="503" cm="1">
        <f t="array" ref="K14">IF($H14="","",SUMPRODUCT((CargoData[Vessel Class]=$H14)*CargoData[Incl]*CargoData[Day 1 P&amp;L ($k)]))</f>
        <v>436.1049900000038</v>
      </c>
      <c r="L14" s="504">
        <f>IF($H14="","",IFERROR(K14/J14,""))</f>
        <v>8.9001018367347709E-2</v>
      </c>
      <c r="AA14" t="str">
        <f>IF($B14="","",$B14)</f>
        <v>Feb-26</v>
      </c>
      <c r="AB14">
        <f>IF($B14="",NA(),$E14)</f>
        <v>495.64474000000286</v>
      </c>
      <c r="AD14" t="str">
        <f>IF($H14="","",$H14)</f>
        <v>Aframax</v>
      </c>
      <c r="AE14">
        <f>IF($H14="",NA(),$J14)</f>
        <v>4900</v>
      </c>
    </row>
    <row r="15" spans="2:31" x14ac:dyDescent="0.35">
      <c r="B15" t="str">
        <v>Mar-26</v>
      </c>
      <c r="C15" s="502" cm="1">
        <f t="array" ref="C15">IF($B15="","",SUMPRODUCT((CargoData[Load Mo]=$B15)*CargoData[Incl]))</f>
        <v>3</v>
      </c>
      <c r="D15" s="502" cm="1">
        <f t="array" ref="D15">IF($B15="","",SUMPRODUCT((CargoData[Load Mo]=$B15)*CargoData[Incl]*CargoData[Volume (kbbl)]))</f>
        <v>3530</v>
      </c>
      <c r="E15" s="503" cm="1">
        <f t="array" ref="E15">IF($B15="","",SUMPRODUCT((CargoData[Load Mo]=$B15)*CargoData[Incl]*CargoData[Day 1 P&amp;L ($k)]))</f>
        <v>873.08655136985999</v>
      </c>
      <c r="F15" s="504">
        <f t="shared" ref="F15:F19" si="0">IF($B15="","",IFERROR(E15/D15,""))</f>
        <v>0.24733330067134843</v>
      </c>
      <c r="H15" t="str">
        <v>FOB</v>
      </c>
      <c r="I15" s="502" cm="1">
        <f t="array" ref="I15">IF($H15="","",SUMPRODUCT((CargoData[Vessel Class]=$H15)*CargoData[Incl]))</f>
        <v>4</v>
      </c>
      <c r="J15" s="502" cm="1">
        <f t="array" ref="J15">IF($H15="","",SUMPRODUCT((CargoData[Vessel Class]=$H15)*CargoData[Incl]*CargoData[Volume (kbbl)]))</f>
        <v>4000</v>
      </c>
      <c r="K15" s="503" cm="1">
        <f t="array" ref="K15">IF($H15="","",SUMPRODUCT((CargoData[Vessel Class]=$H15)*CargoData[Incl]*CargoData[Day 1 P&amp;L ($k)]))</f>
        <v>1122.575000000001</v>
      </c>
      <c r="L15" s="504">
        <f t="shared" ref="L15:L18" si="1">IF($H15="","",IFERROR(K15/J15,""))</f>
        <v>0.28064375000000025</v>
      </c>
      <c r="AA15" t="str">
        <f t="shared" ref="AA15:AA19" si="2">IF($B15="","",$B15)</f>
        <v>Mar-26</v>
      </c>
      <c r="AB15">
        <f t="shared" ref="AB15:AB19" si="3">IF($B15="",NA(),$E15)</f>
        <v>873.08655136985999</v>
      </c>
      <c r="AD15" t="str">
        <f t="shared" ref="AD15:AD18" si="4">IF($H15="","",$H15)</f>
        <v>FOB</v>
      </c>
      <c r="AE15">
        <f t="shared" ref="AE15:AE18" si="5">IF($H15="",NA(),$J15)</f>
        <v>4000</v>
      </c>
    </row>
    <row r="16" spans="2:31" x14ac:dyDescent="0.35">
      <c r="B16" t="str">
        <v>Apr-26</v>
      </c>
      <c r="C16" s="502" cm="1">
        <f t="array" ref="C16">IF($B16="","",SUMPRODUCT((CargoData[Load Mo]=$B16)*CargoData[Incl]))</f>
        <v>4</v>
      </c>
      <c r="D16" s="502" cm="1">
        <f t="array" ref="D16">IF($B16="","",SUMPRODUCT((CargoData[Load Mo]=$B16)*CargoData[Incl]*CargoData[Volume (kbbl)]))</f>
        <v>6744</v>
      </c>
      <c r="E16" s="503" cm="1">
        <f t="array" ref="E16">IF($B16="","",SUMPRODUCT((CargoData[Load Mo]=$B16)*CargoData[Incl]*CargoData[Day 1 P&amp;L ($k)]))</f>
        <v>886.4800000000082</v>
      </c>
      <c r="F16" s="504">
        <f t="shared" si="0"/>
        <v>0.13144721233689327</v>
      </c>
      <c r="H16" t="str">
        <v>VLCC</v>
      </c>
      <c r="I16" s="502" cm="1">
        <f t="array" ref="I16">IF($H16="","",SUMPRODUCT((CargoData[Vessel Class]=$H16)*CargoData[Incl]))</f>
        <v>8</v>
      </c>
      <c r="J16" s="502" cm="1">
        <f t="array" ref="J16">IF($H16="","",SUMPRODUCT((CargoData[Vessel Class]=$H16)*CargoData[Incl]*CargoData[Volume (kbbl)]))</f>
        <v>16096</v>
      </c>
      <c r="K16" s="503" cm="1">
        <f t="array" ref="K16">IF($H16="","",SUMPRODUCT((CargoData[Vessel Class]=$H16)*CargoData[Incl]*CargoData[Day 1 P&amp;L ($k)]))</f>
        <v>9208.9676727176466</v>
      </c>
      <c r="L16" s="504">
        <f t="shared" si="1"/>
        <v>0.57212771326526135</v>
      </c>
      <c r="AA16" t="str">
        <f t="shared" si="2"/>
        <v>Apr-26</v>
      </c>
      <c r="AB16">
        <f t="shared" si="3"/>
        <v>886.4800000000082</v>
      </c>
      <c r="AD16" t="str">
        <f t="shared" si="4"/>
        <v>VLCC</v>
      </c>
      <c r="AE16">
        <f t="shared" si="5"/>
        <v>16096</v>
      </c>
    </row>
    <row r="17" spans="2:31" x14ac:dyDescent="0.35">
      <c r="B17" t="str">
        <v>May-26</v>
      </c>
      <c r="C17" s="502" cm="1">
        <f t="array" ref="C17">IF($B17="","",SUMPRODUCT((CargoData[Load Mo]=$B17)*CargoData[Incl]))</f>
        <v>2</v>
      </c>
      <c r="D17" s="502" cm="1">
        <f t="array" ref="D17">IF($B17="","",SUMPRODUCT((CargoData[Load Mo]=$B17)*CargoData[Incl]*CargoData[Volume (kbbl)]))</f>
        <v>4204</v>
      </c>
      <c r="E17" s="503" cm="1">
        <f t="array" ref="E17">IF($B17="","",SUMPRODUCT((CargoData[Load Mo]=$B17)*CargoData[Incl]*CargoData[Day 1 P&amp;L ($k)]))</f>
        <v>6396.7099999999873</v>
      </c>
      <c r="F17" s="504">
        <f t="shared" si="0"/>
        <v>1.5215770694576563</v>
      </c>
      <c r="I17" s="502" t="str" cm="1">
        <f t="array" ref="I17">IF($H17="","",SUMPRODUCT((CargoData[Vessel Class]=$H17)*CargoData[Incl]))</f>
        <v/>
      </c>
      <c r="J17" s="502" t="str" cm="1">
        <f t="array" ref="J17">IF($H17="","",SUMPRODUCT((CargoData[Vessel Class]=$H17)*CargoData[Incl]*CargoData[Volume (kbbl)]))</f>
        <v/>
      </c>
      <c r="K17" s="503" t="str" cm="1">
        <f t="array" ref="K17">IF($H17="","",SUMPRODUCT((CargoData[Vessel Class]=$H17)*CargoData[Incl]*CargoData[Day 1 P&amp;L ($k)]))</f>
        <v/>
      </c>
      <c r="L17" s="504" t="str">
        <f t="shared" si="1"/>
        <v/>
      </c>
      <c r="AA17" t="str">
        <f t="shared" si="2"/>
        <v>May-26</v>
      </c>
      <c r="AB17">
        <f t="shared" si="3"/>
        <v>6396.7099999999873</v>
      </c>
      <c r="AD17" t="str">
        <f t="shared" si="4"/>
        <v/>
      </c>
      <c r="AE17" t="e">
        <f t="shared" si="5"/>
        <v>#N/A</v>
      </c>
    </row>
    <row r="18" spans="2:31" x14ac:dyDescent="0.35">
      <c r="B18" t="str">
        <v>Jun-26</v>
      </c>
      <c r="C18" s="502" cm="1">
        <f t="array" ref="C18">IF($B18="","",SUMPRODUCT((CargoData[Load Mo]=$B18)*CargoData[Incl]))</f>
        <v>5</v>
      </c>
      <c r="D18" s="502" cm="1">
        <f t="array" ref="D18">IF($B18="","",SUMPRODUCT((CargoData[Load Mo]=$B18)*CargoData[Incl]*CargoData[Volume (kbbl)]))</f>
        <v>5646</v>
      </c>
      <c r="E18" s="503" cm="1">
        <f t="array" ref="E18">IF($B18="","",SUMPRODUCT((CargoData[Load Mo]=$B18)*CargoData[Incl]*CargoData[Day 1 P&amp;L ($k)]))</f>
        <v>2115.7263713477932</v>
      </c>
      <c r="F18" s="504">
        <f t="shared" si="0"/>
        <v>0.37473014016078521</v>
      </c>
      <c r="I18" s="502" t="str" cm="1">
        <f t="array" ref="I18">IF($H18="","",SUMPRODUCT((CargoData[Vessel Class]=$H18)*CargoData[Incl]))</f>
        <v/>
      </c>
      <c r="J18" s="502" t="str" cm="1">
        <f t="array" ref="J18">IF($H18="","",SUMPRODUCT((CargoData[Vessel Class]=$H18)*CargoData[Incl]*CargoData[Volume (kbbl)]))</f>
        <v/>
      </c>
      <c r="K18" s="503" t="str" cm="1">
        <f t="array" ref="K18">IF($H18="","",SUMPRODUCT((CargoData[Vessel Class]=$H18)*CargoData[Incl]*CargoData[Day 1 P&amp;L ($k)]))</f>
        <v/>
      </c>
      <c r="L18" s="504" t="str">
        <f t="shared" si="1"/>
        <v/>
      </c>
      <c r="AA18" t="str">
        <f t="shared" si="2"/>
        <v>Jun-26</v>
      </c>
      <c r="AB18">
        <f t="shared" si="3"/>
        <v>2115.7263713477932</v>
      </c>
      <c r="AD18" t="str">
        <f t="shared" si="4"/>
        <v/>
      </c>
      <c r="AE18" t="e">
        <f t="shared" si="5"/>
        <v>#N/A</v>
      </c>
    </row>
    <row r="19" spans="2:31" x14ac:dyDescent="0.35">
      <c r="C19" s="502" t="str" cm="1">
        <f t="array" ref="C19">IF($B19="","",SUMPRODUCT((CargoData[Load Mo]=$B19)*CargoData[Incl]))</f>
        <v/>
      </c>
      <c r="D19" s="502" t="str" cm="1">
        <f t="array" ref="D19">IF($B19="","",SUMPRODUCT((CargoData[Load Mo]=$B19)*CargoData[Incl]*CargoData[Volume (kbbl)]))</f>
        <v/>
      </c>
      <c r="E19" s="503" t="str" cm="1">
        <f t="array" ref="E19">IF($B19="","",SUMPRODUCT((CargoData[Load Mo]=$B19)*CargoData[Incl]*CargoData[Day 1 P&amp;L ($k)]))</f>
        <v/>
      </c>
      <c r="F19" s="504" t="str">
        <f t="shared" si="0"/>
        <v/>
      </c>
      <c r="H19" s="505" t="s">
        <v>1828</v>
      </c>
      <c r="I19" s="506">
        <f>SUM(I14:I18)</f>
        <v>19</v>
      </c>
      <c r="J19" s="506">
        <f>SUM(J14:J18)</f>
        <v>24996</v>
      </c>
      <c r="K19" s="507">
        <f>SUM(K14:K18)</f>
        <v>10767.647662717651</v>
      </c>
      <c r="L19" s="508">
        <f>IFERROR(K19/J19,"")</f>
        <v>0.4307748304815831</v>
      </c>
      <c r="AA19" t="str">
        <f t="shared" si="2"/>
        <v/>
      </c>
      <c r="AB19" t="e">
        <f t="shared" si="3"/>
        <v>#N/A</v>
      </c>
    </row>
    <row r="20" spans="2:31" x14ac:dyDescent="0.35">
      <c r="B20" s="505" t="s">
        <v>1828</v>
      </c>
      <c r="C20" s="506">
        <f>SUM(C14:C19)</f>
        <v>19</v>
      </c>
      <c r="D20" s="506">
        <f>SUM(D14:D19)</f>
        <v>24996</v>
      </c>
      <c r="E20" s="507">
        <f>SUM(E14:E19)</f>
        <v>10767.647662717651</v>
      </c>
      <c r="F20" s="508">
        <f>IFERROR(E20/D20,"")</f>
        <v>0.4307748304815831</v>
      </c>
    </row>
    <row r="23" spans="2:31" ht="15.5" x14ac:dyDescent="0.35">
      <c r="B23" s="501" t="s">
        <v>2246</v>
      </c>
    </row>
    <row r="24" spans="2:31" x14ac:dyDescent="0.35">
      <c r="B24" s="494" t="s">
        <v>2247</v>
      </c>
      <c r="C24" s="494" t="s">
        <v>2244</v>
      </c>
    </row>
    <row r="25" spans="2:31" x14ac:dyDescent="0.35">
      <c r="B25" t="s">
        <v>29</v>
      </c>
      <c r="C25" s="504">
        <f>IFERROR(SUMPRODUCT(CargoData[Incl],CargoData[Volume (kbbl)],CargoData[Freight])/$B$9,0)</f>
        <v>5.8558488942773721</v>
      </c>
    </row>
    <row r="26" spans="2:31" x14ac:dyDescent="0.35">
      <c r="B26" t="s">
        <v>2226</v>
      </c>
      <c r="C26" s="504">
        <f>IFERROR(SUMPRODUCT(CargoData[Incl],CargoData[Volume (kbbl)],CargoData[TD7 Freight])/$B$9,0)</f>
        <v>-0.17505692870859338</v>
      </c>
    </row>
    <row r="27" spans="2:31" x14ac:dyDescent="0.35">
      <c r="B27" t="s">
        <v>47</v>
      </c>
      <c r="C27" s="504">
        <f>IFERROR(SUMPRODUCT(CargoData[Incl],CargoData[Volume (kbbl)],CargoData[Demurrage])/$B$9,0)</f>
        <v>9.0736478251223315E-2</v>
      </c>
    </row>
    <row r="28" spans="2:31" x14ac:dyDescent="0.35">
      <c r="B28" t="s">
        <v>1874</v>
      </c>
      <c r="C28" s="504">
        <f>IFERROR(SUMPRODUCT(CargoData[Incl],CargoData[Volume (kbbl)],CargoData[STS])/$B$9,0)</f>
        <v>0.17503045539124151</v>
      </c>
    </row>
    <row r="29" spans="2:31" x14ac:dyDescent="0.35">
      <c r="B29" t="s">
        <v>1876</v>
      </c>
      <c r="C29" s="504">
        <f>IFERROR(SUMPRODUCT(CargoData[Incl],CargoData[Volume (kbbl)],CargoData[TVM])/$B$9,0)</f>
        <v>6.20504760213689E-2</v>
      </c>
    </row>
    <row r="30" spans="2:31" x14ac:dyDescent="0.35">
      <c r="B30" t="s">
        <v>1872</v>
      </c>
      <c r="C30" s="504">
        <f>IFERROR(SUMPRODUCT(CargoData[Incl],CargoData[Volume (kbbl)],CargoData[Other])/$B$9,0)</f>
        <v>0.24230706488910045</v>
      </c>
    </row>
    <row r="31" spans="2:31" x14ac:dyDescent="0.35">
      <c r="B31" s="505" t="s">
        <v>1828</v>
      </c>
      <c r="C31" s="508">
        <f>SUM(C25:C30)</f>
        <v>6.2509164401217134</v>
      </c>
    </row>
    <row r="34" spans="2:12" ht="15.5" x14ac:dyDescent="0.35">
      <c r="B34" s="501" t="s">
        <v>2248</v>
      </c>
    </row>
    <row r="35" spans="2:12" ht="30" customHeight="1" x14ac:dyDescent="0.35">
      <c r="B35" s="494" t="s">
        <v>1782</v>
      </c>
      <c r="C35" s="494" t="s">
        <v>106</v>
      </c>
      <c r="D35" s="494" t="s">
        <v>1784</v>
      </c>
      <c r="E35" s="494" t="s">
        <v>2249</v>
      </c>
      <c r="F35" s="494" t="s">
        <v>2223</v>
      </c>
      <c r="G35" s="494" t="s">
        <v>1790</v>
      </c>
      <c r="H35" s="494" t="s">
        <v>1797</v>
      </c>
      <c r="I35" s="494" t="s">
        <v>1877</v>
      </c>
      <c r="J35" s="494" t="s">
        <v>1799</v>
      </c>
      <c r="K35" s="494" t="s">
        <v>2243</v>
      </c>
      <c r="L35" s="494" t="s">
        <v>2229</v>
      </c>
    </row>
    <row r="36" spans="2:12" x14ac:dyDescent="0.35">
      <c r="B36" t="str" cm="1">
        <f t="array" ref="B36:L54">IFERROR(_xlfn._xlws.SORT(_xlfn._xlws.FILTER(_xlfn.CHOOSECOLS(CargoData[#Data],3,4,5,6,7,12,20,21,22,23,25),CargoData[Incl]=1),10,-1),"No cargoes match the current filters")</f>
        <v>May-26</v>
      </c>
      <c r="C36" t="str">
        <v>HDO July26 10-20</v>
      </c>
      <c r="D36" t="str">
        <v>ARA26HS00053</v>
      </c>
      <c r="E36" t="str">
        <v>VLCC</v>
      </c>
      <c r="F36" s="502">
        <v>2065</v>
      </c>
      <c r="G36" s="504">
        <v>5.9199999999999982</v>
      </c>
      <c r="H36" s="504">
        <v>22.373438256658595</v>
      </c>
      <c r="I36" s="504">
        <v>23.979999999999997</v>
      </c>
      <c r="J36" s="504">
        <v>1.6065617433414019</v>
      </c>
      <c r="K36" s="503">
        <v>3317.5499999999947</v>
      </c>
      <c r="L36" t="str">
        <v>OK</v>
      </c>
    </row>
    <row r="37" spans="2:12" x14ac:dyDescent="0.35">
      <c r="B37" t="str">
        <v>May-26</v>
      </c>
      <c r="C37" t="str">
        <v>ENEOS July 20-30</v>
      </c>
      <c r="D37" t="str">
        <v>ENE26HS00007</v>
      </c>
      <c r="E37" t="str">
        <v>VLCC</v>
      </c>
      <c r="F37" s="502">
        <v>2139</v>
      </c>
      <c r="G37" s="504">
        <v>17.89</v>
      </c>
      <c r="H37" s="504">
        <v>26.890467508181395</v>
      </c>
      <c r="I37" s="504">
        <v>28.33</v>
      </c>
      <c r="J37" s="504">
        <v>1.4395324918186034</v>
      </c>
      <c r="K37" s="503">
        <v>3079.1599999999926</v>
      </c>
      <c r="L37" t="str">
        <v>OK</v>
      </c>
    </row>
    <row r="38" spans="2:12" x14ac:dyDescent="0.35">
      <c r="B38" t="str">
        <v>Apr-26</v>
      </c>
      <c r="C38" t="str">
        <v>HDO FOB APR 7-12</v>
      </c>
      <c r="D38" t="str">
        <v>HDH26HS00001</v>
      </c>
      <c r="E38" t="str">
        <v>FOB</v>
      </c>
      <c r="F38" s="502">
        <v>1900</v>
      </c>
      <c r="G38" s="504">
        <v>-3.6273684210526316</v>
      </c>
      <c r="H38" s="504">
        <v>-1.4880000000000004</v>
      </c>
      <c r="I38" s="504">
        <v>-0.94874999999999987</v>
      </c>
      <c r="J38" s="504">
        <v>0.53925000000000056</v>
      </c>
      <c r="K38" s="503">
        <v>1024.575000000001</v>
      </c>
      <c r="L38" t="str">
        <v>OK</v>
      </c>
    </row>
    <row r="39" spans="2:12" x14ac:dyDescent="0.35">
      <c r="B39" t="str">
        <v>Jun-26</v>
      </c>
      <c r="C39" t="str">
        <v>HDO Aug26 22-31 DAP</v>
      </c>
      <c r="D39" t="str">
        <v>ARA26HS00078</v>
      </c>
      <c r="E39" t="str">
        <v>VLCC</v>
      </c>
      <c r="F39" s="502">
        <v>1422</v>
      </c>
      <c r="G39" s="504">
        <v>-0.34000000000000075</v>
      </c>
      <c r="H39" s="504">
        <v>13.755494816211119</v>
      </c>
      <c r="I39" s="504">
        <v>14.34</v>
      </c>
      <c r="J39" s="504">
        <v>0.58450518378888106</v>
      </c>
      <c r="K39" s="503">
        <v>831.16637134778887</v>
      </c>
      <c r="L39" t="str">
        <v>OK</v>
      </c>
    </row>
    <row r="40" spans="2:12" x14ac:dyDescent="0.35">
      <c r="B40" t="str">
        <v>Mar-26</v>
      </c>
      <c r="C40" t="str">
        <v>HDO May 1-10 WTI+WTL</v>
      </c>
      <c r="D40" t="str">
        <v>ARA26HS00032</v>
      </c>
      <c r="E40" t="str">
        <v>VLCC</v>
      </c>
      <c r="F40" s="502">
        <v>2130</v>
      </c>
      <c r="G40" s="504">
        <v>-1.85</v>
      </c>
      <c r="H40" s="504">
        <v>6.3077998585118022</v>
      </c>
      <c r="I40" s="504">
        <v>6.68</v>
      </c>
      <c r="J40" s="504">
        <v>0.37220014148819747</v>
      </c>
      <c r="K40" s="503">
        <v>792.78630136986055</v>
      </c>
      <c r="L40" t="str">
        <v>OK</v>
      </c>
    </row>
    <row r="41" spans="2:12" x14ac:dyDescent="0.35">
      <c r="B41" t="str">
        <v>Jun-26</v>
      </c>
      <c r="C41" t="str">
        <v>GS Caltex Korea Aug 16-22</v>
      </c>
      <c r="D41" t="str">
        <v>ARA26HS00075</v>
      </c>
      <c r="E41" t="str">
        <v>VLCC</v>
      </c>
      <c r="F41" s="502">
        <v>2124</v>
      </c>
      <c r="G41" s="504">
        <v>0.16999999999999993</v>
      </c>
      <c r="H41" s="504">
        <v>15.352335216572504</v>
      </c>
      <c r="I41" s="504">
        <v>15.67</v>
      </c>
      <c r="J41" s="504">
        <v>0.31766478342749593</v>
      </c>
      <c r="K41" s="503">
        <v>674.72000000000139</v>
      </c>
      <c r="L41" t="str">
        <v>OK</v>
      </c>
    </row>
    <row r="42" spans="2:12" x14ac:dyDescent="0.35">
      <c r="B42" t="str">
        <v>Feb-26</v>
      </c>
      <c r="C42" t="str">
        <v>Dangote VLCC March 15-25</v>
      </c>
      <c r="D42" t="str">
        <v>ARA26HS00023</v>
      </c>
      <c r="E42" t="str">
        <v>VLCC</v>
      </c>
      <c r="F42" s="502">
        <v>2072</v>
      </c>
      <c r="G42" s="504">
        <v>-2.3100000000000005</v>
      </c>
      <c r="H42" s="504">
        <v>0.83305019305019234</v>
      </c>
      <c r="I42" s="504">
        <v>1.08</v>
      </c>
      <c r="J42" s="504">
        <v>0.24694980694980773</v>
      </c>
      <c r="K42" s="503">
        <v>511.6800000000016</v>
      </c>
      <c r="L42" t="str">
        <v>OK</v>
      </c>
    </row>
    <row r="43" spans="2:12" x14ac:dyDescent="0.35">
      <c r="B43" t="str">
        <v>Jun-26</v>
      </c>
      <c r="C43" t="str">
        <v>Jun26 EFP 1</v>
      </c>
      <c r="D43" t="str">
        <v>ARA26HS00069-1</v>
      </c>
      <c r="E43" t="str">
        <v>Aframax</v>
      </c>
      <c r="F43" s="502">
        <v>700</v>
      </c>
      <c r="G43" s="504">
        <v>-6.73</v>
      </c>
      <c r="H43" s="504">
        <v>-0.28060000000000063</v>
      </c>
      <c r="I43" s="504">
        <v>0.03</v>
      </c>
      <c r="J43" s="504">
        <v>0.31060000000000065</v>
      </c>
      <c r="K43" s="503">
        <v>217.42000000000047</v>
      </c>
      <c r="L43" t="str">
        <v>OK</v>
      </c>
    </row>
    <row r="44" spans="2:12" x14ac:dyDescent="0.35">
      <c r="B44" t="str">
        <v>Jun-26</v>
      </c>
      <c r="C44" t="str">
        <v>Jun26 EFP 2</v>
      </c>
      <c r="D44" t="str">
        <v>ARA26HS00069-2</v>
      </c>
      <c r="E44" t="str">
        <v>Aframax</v>
      </c>
      <c r="F44" s="502">
        <v>700</v>
      </c>
      <c r="G44" s="504">
        <v>-6.73</v>
      </c>
      <c r="H44" s="504">
        <v>-0.28060000000000063</v>
      </c>
      <c r="I44" s="504">
        <v>0.03</v>
      </c>
      <c r="J44" s="504">
        <v>0.31060000000000065</v>
      </c>
      <c r="K44" s="503">
        <v>217.42000000000047</v>
      </c>
      <c r="L44" t="str">
        <v>OK</v>
      </c>
    </row>
    <row r="45" spans="2:12" x14ac:dyDescent="0.35">
      <c r="B45" t="str">
        <v>Jun-26</v>
      </c>
      <c r="C45" t="str">
        <v>BP FOB June26 10-15</v>
      </c>
      <c r="D45" t="str">
        <v>BPO26HS00009</v>
      </c>
      <c r="E45" t="str">
        <v>Aframax</v>
      </c>
      <c r="F45" s="502">
        <v>700</v>
      </c>
      <c r="G45" s="504">
        <v>1.2999999999999972</v>
      </c>
      <c r="H45" s="504">
        <v>1.2999999999999972</v>
      </c>
      <c r="I45" s="504">
        <v>1.55</v>
      </c>
      <c r="J45" s="504">
        <v>0.25000000000000289</v>
      </c>
      <c r="K45" s="503">
        <v>175.00000000000202</v>
      </c>
      <c r="L45" t="str">
        <v>OK</v>
      </c>
    </row>
    <row r="46" spans="2:12" x14ac:dyDescent="0.35">
      <c r="B46" t="str">
        <v>Mar-26</v>
      </c>
      <c r="C46" t="str">
        <v>April26 EFP 1</v>
      </c>
      <c r="D46" t="str">
        <v>ARA26HS000036</v>
      </c>
      <c r="E46" t="str">
        <v>Aframax</v>
      </c>
      <c r="F46" s="502">
        <v>700</v>
      </c>
      <c r="G46" s="504">
        <v>-4.5</v>
      </c>
      <c r="H46" s="504">
        <v>-0.1147146428571425</v>
      </c>
      <c r="I46" s="504">
        <v>-0.02</v>
      </c>
      <c r="J46" s="504">
        <v>9.4714642857142498E-2</v>
      </c>
      <c r="K46" s="503">
        <v>66.30024999999975</v>
      </c>
      <c r="L46" t="str">
        <v>OK</v>
      </c>
    </row>
    <row r="47" spans="2:12" x14ac:dyDescent="0.35">
      <c r="B47" t="str">
        <v>Feb-26</v>
      </c>
      <c r="C47" t="str">
        <v>Gunvor FOB Feb28-01</v>
      </c>
      <c r="D47" t="str">
        <v>GUN26HS00014</v>
      </c>
      <c r="E47" t="str">
        <v>FOB</v>
      </c>
      <c r="F47" s="502">
        <v>700</v>
      </c>
      <c r="G47" s="504">
        <v>-2.6100000000000003</v>
      </c>
      <c r="H47" s="504">
        <v>-2.6100000000000003</v>
      </c>
      <c r="I47" s="504">
        <v>-2.5499999999999998</v>
      </c>
      <c r="J47" s="504">
        <v>6.0000000000000497E-2</v>
      </c>
      <c r="K47" s="503">
        <v>42.000000000000348</v>
      </c>
      <c r="L47" t="str">
        <v>OK</v>
      </c>
    </row>
    <row r="48" spans="2:12" x14ac:dyDescent="0.35">
      <c r="B48" t="str">
        <v>Feb-26</v>
      </c>
      <c r="C48" t="str">
        <v>Gunvor FOB Feb 27-28 STG</v>
      </c>
      <c r="D48" t="str">
        <v>GUN26HS00012</v>
      </c>
      <c r="E48" t="str">
        <v>FOB</v>
      </c>
      <c r="F48" s="502">
        <v>700</v>
      </c>
      <c r="G48" s="504">
        <v>-2.96</v>
      </c>
      <c r="H48" s="504">
        <v>-2.96</v>
      </c>
      <c r="I48" s="504">
        <v>-2.9</v>
      </c>
      <c r="J48" s="504">
        <v>6.0000000000000053E-2</v>
      </c>
      <c r="K48" s="503">
        <v>42.000000000000036</v>
      </c>
      <c r="L48" t="str">
        <v>OK</v>
      </c>
    </row>
    <row r="49" spans="2:12" x14ac:dyDescent="0.35">
      <c r="B49" t="str">
        <v>Feb-26</v>
      </c>
      <c r="C49" t="str">
        <v>Vitol CIF CCLZ Feb 17</v>
      </c>
      <c r="D49" t="str">
        <v>VIT26HS00011</v>
      </c>
      <c r="E49" t="str">
        <v>Aframax</v>
      </c>
      <c r="F49" s="502">
        <v>700</v>
      </c>
      <c r="G49" s="504">
        <v>-2.9400000000000004</v>
      </c>
      <c r="H49" s="504">
        <v>-2.2757142857142862</v>
      </c>
      <c r="I49" s="504">
        <v>-2.25</v>
      </c>
      <c r="J49" s="504">
        <v>2.5714285714286245E-2</v>
      </c>
      <c r="K49" s="503">
        <v>18.000000000000369</v>
      </c>
      <c r="L49" t="str">
        <v>OK</v>
      </c>
    </row>
    <row r="50" spans="2:12" x14ac:dyDescent="0.35">
      <c r="B50" t="str">
        <v>Mar-26</v>
      </c>
      <c r="C50" t="str">
        <v>P66 FOB March 9-14</v>
      </c>
      <c r="D50" t="str">
        <v>PHI26HS00007</v>
      </c>
      <c r="E50" t="str">
        <v>FOB</v>
      </c>
      <c r="F50" s="502">
        <v>700</v>
      </c>
      <c r="G50" s="504">
        <v>-2.2399999999999998</v>
      </c>
      <c r="H50" s="504">
        <v>-2.2399999999999998</v>
      </c>
      <c r="I50" s="504">
        <v>-2.2200000000000002</v>
      </c>
      <c r="J50" s="504">
        <v>1.9999999999999574E-2</v>
      </c>
      <c r="K50" s="503">
        <v>13.999999999999702</v>
      </c>
      <c r="L50" t="str">
        <v>OK</v>
      </c>
    </row>
    <row r="51" spans="2:12" x14ac:dyDescent="0.35">
      <c r="B51" t="str">
        <v>Apr-26</v>
      </c>
      <c r="C51" t="str">
        <v>CPC Taiwan June 18-22</v>
      </c>
      <c r="D51" t="str">
        <v>ARA26HS00045</v>
      </c>
      <c r="E51" t="str">
        <v>VLCC</v>
      </c>
      <c r="F51" s="502">
        <v>2065</v>
      </c>
      <c r="G51" s="504">
        <v>0.45000000000000018</v>
      </c>
      <c r="H51" s="504">
        <v>11.12704479418886</v>
      </c>
      <c r="I51" s="504">
        <v>11.13</v>
      </c>
      <c r="J51" s="504">
        <v>2.9552058111406154E-3</v>
      </c>
      <c r="K51" s="503">
        <v>6.1025000000053709</v>
      </c>
      <c r="L51" t="str">
        <v>OK</v>
      </c>
    </row>
    <row r="52" spans="2:12" x14ac:dyDescent="0.35">
      <c r="B52" t="str">
        <v>Apr-26</v>
      </c>
      <c r="C52" t="str">
        <v>GS Caltex Taiwan May 24-28</v>
      </c>
      <c r="D52" t="str">
        <v>ARA26HS00046</v>
      </c>
      <c r="E52" t="str">
        <v>VLCC</v>
      </c>
      <c r="F52" s="502">
        <v>2079</v>
      </c>
      <c r="G52" s="504">
        <v>-4.3499999999999996</v>
      </c>
      <c r="H52" s="504">
        <v>6.0920189995189986</v>
      </c>
      <c r="I52" s="504">
        <v>6.09</v>
      </c>
      <c r="J52" s="504">
        <v>-2.0189995189987542E-3</v>
      </c>
      <c r="K52" s="503">
        <v>-4.1974999999984099</v>
      </c>
      <c r="L52" t="str">
        <v>OK</v>
      </c>
    </row>
    <row r="53" spans="2:12" x14ac:dyDescent="0.35">
      <c r="B53" t="str">
        <v>Feb-26</v>
      </c>
      <c r="C53" t="str">
        <v>Feb26 EFP 1</v>
      </c>
      <c r="D53" t="str">
        <v>ARA26HS00017</v>
      </c>
      <c r="E53" t="str">
        <v>Aframax</v>
      </c>
      <c r="F53" s="502">
        <v>700</v>
      </c>
      <c r="G53" s="504">
        <v>-2.77</v>
      </c>
      <c r="H53" s="504">
        <v>0.17862179999999928</v>
      </c>
      <c r="I53" s="504">
        <v>0.01</v>
      </c>
      <c r="J53" s="504">
        <v>-0.16862179999999927</v>
      </c>
      <c r="K53" s="503">
        <v>-118.03525999999948</v>
      </c>
      <c r="L53" t="str">
        <v>OK</v>
      </c>
    </row>
    <row r="54" spans="2:12" x14ac:dyDescent="0.35">
      <c r="B54" t="str">
        <v>Apr-26</v>
      </c>
      <c r="C54" t="str">
        <v>May26 EFP 1</v>
      </c>
      <c r="D54" t="str">
        <v>ARA26HS00044</v>
      </c>
      <c r="E54" t="str">
        <v>Aframax</v>
      </c>
      <c r="F54" s="502">
        <v>700</v>
      </c>
      <c r="G54" s="504">
        <v>3.4299999999999997</v>
      </c>
      <c r="H54" s="504">
        <v>3.63</v>
      </c>
      <c r="I54" s="504">
        <v>3.43</v>
      </c>
      <c r="J54" s="504">
        <v>-0.19999999999999973</v>
      </c>
      <c r="K54" s="503">
        <v>-139.9999999999998</v>
      </c>
      <c r="L54" t="str">
        <v>OK</v>
      </c>
    </row>
    <row r="55" spans="2:12" x14ac:dyDescent="0.35">
      <c r="F55" s="502"/>
      <c r="G55" s="504"/>
      <c r="H55" s="504"/>
      <c r="I55" s="504"/>
      <c r="J55" s="504"/>
      <c r="K55" s="503"/>
    </row>
    <row r="56" spans="2:12" x14ac:dyDescent="0.35">
      <c r="F56" s="502"/>
      <c r="G56" s="504"/>
      <c r="H56" s="504"/>
      <c r="I56" s="504"/>
      <c r="J56" s="504"/>
      <c r="K56" s="503"/>
    </row>
    <row r="57" spans="2:12" x14ac:dyDescent="0.35">
      <c r="F57" s="502"/>
      <c r="G57" s="504"/>
      <c r="H57" s="504"/>
      <c r="I57" s="504"/>
      <c r="J57" s="504"/>
      <c r="K57" s="503"/>
    </row>
    <row r="58" spans="2:12" x14ac:dyDescent="0.35">
      <c r="F58" s="502"/>
      <c r="G58" s="504"/>
      <c r="H58" s="504"/>
      <c r="I58" s="504"/>
      <c r="J58" s="504"/>
      <c r="K58" s="503"/>
    </row>
    <row r="59" spans="2:12" x14ac:dyDescent="0.35">
      <c r="F59" s="502"/>
      <c r="G59" s="504"/>
      <c r="H59" s="504"/>
      <c r="I59" s="504"/>
      <c r="J59" s="504"/>
      <c r="K59" s="503"/>
    </row>
    <row r="60" spans="2:12" x14ac:dyDescent="0.35">
      <c r="F60" s="502"/>
      <c r="G60" s="504"/>
      <c r="H60" s="504"/>
      <c r="I60" s="504"/>
      <c r="J60" s="504"/>
      <c r="K60" s="503"/>
    </row>
  </sheetData>
  <mergeCells count="1">
    <mergeCell ref="B2:L2"/>
  </mergeCells>
  <conditionalFormatting sqref="B36:L60">
    <cfRule type="expression" dxfId="226" priority="3">
      <formula>AND($B36&lt;&gt;"",MOD(ROW()-36,2)=1)</formula>
    </cfRule>
    <cfRule type="expression" dxfId="225" priority="4">
      <formula>AND($J36&lt;&gt;"",N($J36)&lt;0)</formula>
    </cfRule>
    <cfRule type="expression" dxfId="224" priority="5">
      <formula>$L36="CHECK"</formula>
    </cfRule>
  </conditionalFormatting>
  <conditionalFormatting sqref="E14:E19">
    <cfRule type="dataBar" priority="1">
      <dataBar>
        <cfvo type="min"/>
        <cfvo type="max"/>
        <color rgb="FF63BE7B"/>
      </dataBar>
      <extLst>
        <ext xmlns:x14="http://schemas.microsoft.com/office/spreadsheetml/2009/9/main" uri="{B025F937-C7B1-47D3-B67F-A62EFF666E3E}">
          <x14:id>{DEC44CA9-81AC-41F9-BFC1-FB31B30AEE40}</x14:id>
        </ext>
      </extLst>
    </cfRule>
  </conditionalFormatting>
  <conditionalFormatting sqref="K14:K18">
    <cfRule type="dataBar" priority="2">
      <dataBar>
        <cfvo type="min"/>
        <cfvo type="max"/>
        <color rgb="FF8FAADC"/>
      </dataBar>
      <extLst>
        <ext xmlns:x14="http://schemas.microsoft.com/office/spreadsheetml/2009/9/main" uri="{B025F937-C7B1-47D3-B67F-A62EFF666E3E}">
          <x14:id>{AE7608FC-AF6B-42A8-8199-4D89863D89F5}</x14:id>
        </ext>
      </extLst>
    </cfRule>
  </conditionalFormatting>
  <dataValidations count="1">
    <dataValidation type="list" allowBlank="1" showInputMessage="1" showErrorMessage="1" sqref="C6" xr:uid="{09D724B7-3A6F-4CB1-8CEB-15B46AC874B2}">
      <formula1>"Yes,No"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C44CA9-81AC-41F9-BFC1-FB31B30AEE40}">
            <x14:dataBar minLength="0" maxLength="100" direction="leftToRight" axisPosition="none">
              <x14:cfvo type="min"/>
              <x14:cfvo type="max"/>
              <x14:negativeFillColor rgb="FFF8696B"/>
            </x14:dataBar>
          </x14:cfRule>
          <xm:sqref>E14:E19</xm:sqref>
        </x14:conditionalFormatting>
        <x14:conditionalFormatting xmlns:xm="http://schemas.microsoft.com/office/excel/2006/main">
          <x14:cfRule type="dataBar" id="{AE7608FC-AF6B-42A8-8199-4D89863D89F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K14:K18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2E1796A-6C83-46D4-97D6-A9C03F7B0D22}">
          <x14:formula1>
            <xm:f>_xlfn.ANCHORARRAY('Cargo Data'!$AR$2)</xm:f>
          </x14:formula1>
          <xm:sqref>C4</xm:sqref>
        </x14:dataValidation>
        <x14:dataValidation type="list" allowBlank="1" showInputMessage="1" showErrorMessage="1" xr:uid="{1255C524-5B52-474B-B6A7-73BD9D8C0915}">
          <x14:formula1>
            <xm:f>_xlfn.ANCHORARRAY('Cargo Data'!$AT$2)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32DC-31DB-493E-BF9D-76C032B65C37}">
  <dimension ref="B2:AH70"/>
  <sheetViews>
    <sheetView showGridLines="0" workbookViewId="0">
      <pane ySplit="2" topLeftCell="A32" activePane="bottomLeft" state="frozen"/>
      <selection pane="bottomLeft" activeCell="C51" sqref="C51:N51"/>
    </sheetView>
  </sheetViews>
  <sheetFormatPr defaultRowHeight="14.5" x14ac:dyDescent="0.35"/>
  <cols>
    <col min="1" max="1" width="2.81640625" customWidth="1"/>
    <col min="2" max="2" width="27.26953125" customWidth="1"/>
    <col min="3" max="3" width="19.1796875" customWidth="1"/>
    <col min="4" max="14" width="16" customWidth="1"/>
  </cols>
  <sheetData>
    <row r="2" spans="2:34" ht="34" customHeight="1" x14ac:dyDescent="0.35">
      <c r="B2" s="517" t="s">
        <v>2261</v>
      </c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</row>
    <row r="3" spans="2:34" x14ac:dyDescent="0.35">
      <c r="B3" s="493" t="s">
        <v>2262</v>
      </c>
    </row>
    <row r="4" spans="2:34" x14ac:dyDescent="0.35">
      <c r="B4" s="18" t="s">
        <v>1782</v>
      </c>
      <c r="C4" s="509" t="s">
        <v>2230</v>
      </c>
      <c r="E4" s="18" t="s">
        <v>2236</v>
      </c>
      <c r="F4" s="18">
        <f>SUM(CostInclFlag)</f>
        <v>19</v>
      </c>
    </row>
    <row r="5" spans="2:34" x14ac:dyDescent="0.35">
      <c r="B5" s="18" t="s">
        <v>1785</v>
      </c>
      <c r="C5" s="509" t="s">
        <v>2230</v>
      </c>
    </row>
    <row r="6" spans="2:34" x14ac:dyDescent="0.35">
      <c r="B6" s="18" t="s">
        <v>2231</v>
      </c>
      <c r="C6" s="509" t="s">
        <v>1970</v>
      </c>
    </row>
    <row r="8" spans="2:34" x14ac:dyDescent="0.35">
      <c r="B8" s="494" t="s">
        <v>2228</v>
      </c>
      <c r="C8" s="494" t="s">
        <v>2237</v>
      </c>
      <c r="D8" s="494" t="s">
        <v>2240</v>
      </c>
      <c r="E8" s="494" t="s">
        <v>2253</v>
      </c>
      <c r="F8" s="494" t="s">
        <v>2263</v>
      </c>
      <c r="G8" s="494" t="s">
        <v>2264</v>
      </c>
    </row>
    <row r="9" spans="2:34" ht="26.15" customHeight="1" x14ac:dyDescent="0.4">
      <c r="B9" s="498">
        <f>SUMPRODUCT(CostInclFlag,CostTotalK)</f>
        <v>164120.47192780822</v>
      </c>
      <c r="C9" s="495">
        <f>SUMPRODUCT(CostInclFlag,CargoData[Volume (kbbl)])</f>
        <v>24996</v>
      </c>
      <c r="D9" s="499">
        <f>IFERROR(B9/C9,0)</f>
        <v>6.5658694162189235</v>
      </c>
      <c r="E9" s="498">
        <f>SUMPRODUCT(CostInclFlag,CostFreightK)</f>
        <v>152244.61799999999</v>
      </c>
      <c r="F9" s="500">
        <f>IFERROR(E9/B9,0)</f>
        <v>0.92763941153525276</v>
      </c>
      <c r="G9" s="496">
        <f>SUMPRODUCT(CostInclFlag,CostTD7K)</f>
        <v>-4375.7229899999993</v>
      </c>
    </row>
    <row r="12" spans="2:34" ht="15.5" x14ac:dyDescent="0.35">
      <c r="B12" s="501" t="s">
        <v>2265</v>
      </c>
    </row>
    <row r="13" spans="2:34" ht="32.15" customHeight="1" x14ac:dyDescent="0.35">
      <c r="B13" s="494" t="s">
        <v>1782</v>
      </c>
      <c r="C13" s="494" t="s">
        <v>1724</v>
      </c>
      <c r="D13" s="494" t="s">
        <v>2223</v>
      </c>
      <c r="E13" s="494" t="s">
        <v>1791</v>
      </c>
      <c r="F13" s="494" t="s">
        <v>1792</v>
      </c>
      <c r="G13" s="494" t="s">
        <v>1793</v>
      </c>
      <c r="H13" s="494" t="s">
        <v>1794</v>
      </c>
      <c r="I13" s="494" t="s">
        <v>1795</v>
      </c>
      <c r="J13" s="494" t="s">
        <v>1796</v>
      </c>
      <c r="K13" s="494" t="s">
        <v>2228</v>
      </c>
      <c r="L13" s="494" t="s">
        <v>2244</v>
      </c>
      <c r="AA13" t="s">
        <v>1782</v>
      </c>
      <c r="AB13" t="s">
        <v>2228</v>
      </c>
      <c r="AD13" t="s">
        <v>2247</v>
      </c>
      <c r="AE13" t="s">
        <v>2268</v>
      </c>
      <c r="AG13" t="s">
        <v>1782</v>
      </c>
      <c r="AH13" t="s">
        <v>2244</v>
      </c>
    </row>
    <row r="14" spans="2:34" x14ac:dyDescent="0.35">
      <c r="B14" t="str" cm="1">
        <f t="array" ref="B14:B18">IFERROR(TEXT(_xlfn._xlws.SORT(_xlfn.UNIQUE(_xlfn._xlws.FILTER(CargoData[Load Month],CostInclFlag=1))),"mmm-yy"),"")</f>
        <v>Feb-26</v>
      </c>
      <c r="C14" s="502" cm="1">
        <f t="array" ref="C14">IF($B14="","",SUMPRODUCT((CargoData[Load Mo]=$B14)*CostInclFlag))</f>
        <v>5</v>
      </c>
      <c r="D14" s="502" cm="1">
        <f t="array" ref="D14">IF($B14="","",SUMPRODUCT((CargoData[Load Mo]=$B14)*CostInclFlag*CargoData[Volume (kbbl)]))</f>
        <v>4872</v>
      </c>
      <c r="E14" s="503" cm="1">
        <f t="array" ref="E14">IF($B14="","",SUMPRODUCT((CargoData[Load Mo]=$B14)*CostInclFlag*CostFreightK))</f>
        <v>7675.4519999999993</v>
      </c>
      <c r="F14" s="503" cm="1">
        <f t="array" ref="F14">IF($B14="","",SUMPRODUCT((CargoData[Load Mo]=$B14)*CostInclFlag*CostTD7K))</f>
        <v>-761.41674</v>
      </c>
      <c r="G14" s="503" cm="1">
        <f t="array" ref="G14">IF($B14="","",SUMPRODUCT((CargoData[Load Mo]=$B14)*CostInclFlag*CostDemK))</f>
        <v>160</v>
      </c>
      <c r="H14" s="503" cm="1">
        <f t="array" ref="H14">IF($B14="","",SUMPRODUCT((CargoData[Load Mo]=$B14)*CostInclFlag*CostSTSK))</f>
        <v>915</v>
      </c>
      <c r="I14" s="503" cm="1">
        <f t="array" ref="I14">IF($B14="","",SUMPRODUCT((CargoData[Load Mo]=$B14)*CostInclFlag*CostTVMK))</f>
        <v>0</v>
      </c>
      <c r="J14" s="503" cm="1">
        <f t="array" ref="J14">IF($B14="","",SUMPRODUCT((CargoData[Load Mo]=$B14)*CostInclFlag*CostOtherK))</f>
        <v>1156</v>
      </c>
      <c r="K14" s="503">
        <f>IF($B14="","",SUM(E14:J14))</f>
        <v>9145.0352600000006</v>
      </c>
      <c r="L14" s="504">
        <f>IF($B14="","",IFERROR(K14/D14,""))</f>
        <v>1.8770597824302135</v>
      </c>
      <c r="AA14" t="str">
        <f>IF($B14="","",$B14)</f>
        <v>Feb-26</v>
      </c>
      <c r="AB14">
        <f>IF($B14="",NA(),$K14)</f>
        <v>9145.0352600000006</v>
      </c>
      <c r="AD14" t="str">
        <f>$B35</f>
        <v>(+) Freight</v>
      </c>
      <c r="AE14" s="503">
        <f>$C35</f>
        <v>152244.61799999999</v>
      </c>
      <c r="AG14" t="str">
        <f>IF($B14="","",$B14)</f>
        <v>Feb-26</v>
      </c>
      <c r="AH14">
        <f>IF($B14="",NA(),$L14)</f>
        <v>1.8770597824302135</v>
      </c>
    </row>
    <row r="15" spans="2:34" x14ac:dyDescent="0.35">
      <c r="B15" t="str">
        <v>Mar-26</v>
      </c>
      <c r="C15" s="502" cm="1">
        <f t="array" ref="C15">IF($B15="","",SUMPRODUCT((CargoData[Load Mo]=$B15)*CostInclFlag))</f>
        <v>3</v>
      </c>
      <c r="D15" s="502" cm="1">
        <f t="array" ref="D15">IF($B15="","",SUMPRODUCT((CargoData[Load Mo]=$B15)*CostInclFlag*CargoData[Volume (kbbl)]))</f>
        <v>3530</v>
      </c>
      <c r="E15" s="503" cm="1">
        <f t="array" ref="E15">IF($B15="","",SUMPRODUCT((CargoData[Load Mo]=$B15)*CostInclFlag*CostFreightK))</f>
        <v>18459.991000000002</v>
      </c>
      <c r="F15" s="503" cm="1">
        <f t="array" ref="F15">IF($B15="","",SUMPRODUCT((CargoData[Load Mo]=$B15)*CostInclFlag*CostTD7K))</f>
        <v>-974.29124999999999</v>
      </c>
      <c r="G15" s="503" cm="1">
        <f t="array" ref="G15">IF($B15="","",SUMPRODUCT((CargoData[Load Mo]=$B15)*CostInclFlag*CostDemK))</f>
        <v>160</v>
      </c>
      <c r="H15" s="503" cm="1">
        <f t="array" ref="H15">IF($B15="","",SUMPRODUCT((CargoData[Load Mo]=$B15)*CostInclFlag*CostSTSK))</f>
        <v>450</v>
      </c>
      <c r="I15" s="503" cm="1">
        <f t="array" ref="I15">IF($B15="","",SUMPRODUCT((CargoData[Load Mo]=$B15)*CostInclFlag*CostTVMK))</f>
        <v>716.01369863013701</v>
      </c>
      <c r="J15" s="503" cm="1">
        <f t="array" ref="J15">IF($B15="","",SUMPRODUCT((CargoData[Load Mo]=$B15)*CostInclFlag*CostOtherK))</f>
        <v>419.99999999999972</v>
      </c>
      <c r="K15" s="503">
        <f t="shared" ref="K15:K19" si="0">IF($B15="","",SUM(E15:J15))</f>
        <v>19231.71344863014</v>
      </c>
      <c r="L15" s="504">
        <f t="shared" ref="L15:L19" si="1">IF($B15="","",IFERROR(K15/D15,""))</f>
        <v>5.4480774642011731</v>
      </c>
      <c r="AA15" t="str">
        <f t="shared" ref="AA15:AA19" si="2">IF($B15="","",$B15)</f>
        <v>Mar-26</v>
      </c>
      <c r="AB15">
        <f t="shared" ref="AB15:AB19" si="3">IF($B15="",NA(),$K15)</f>
        <v>19231.71344863014</v>
      </c>
      <c r="AD15" t="str">
        <f t="shared" ref="AD15:AD19" si="4">$B36</f>
        <v>(-) TD7 Freight*</v>
      </c>
      <c r="AE15">
        <f t="shared" ref="AE15:AE19" si="5">$C36</f>
        <v>-4375.7229899999993</v>
      </c>
      <c r="AG15" t="str">
        <f t="shared" ref="AG15:AG19" si="6">IF($B15="","",$B15)</f>
        <v>Mar-26</v>
      </c>
      <c r="AH15">
        <f t="shared" ref="AH15:AH19" si="7">IF($B15="",NA(),$L15)</f>
        <v>5.4480774642011731</v>
      </c>
    </row>
    <row r="16" spans="2:34" x14ac:dyDescent="0.35">
      <c r="B16" t="str">
        <v>Apr-26</v>
      </c>
      <c r="C16" s="502" cm="1">
        <f t="array" ref="C16">IF($B16="","",SUMPRODUCT((CargoData[Load Mo]=$B16)*CostInclFlag))</f>
        <v>4</v>
      </c>
      <c r="D16" s="502" cm="1">
        <f t="array" ref="D16">IF($B16="","",SUMPRODUCT((CargoData[Load Mo]=$B16)*CostInclFlag*CargoData[Volume (kbbl)]))</f>
        <v>6744</v>
      </c>
      <c r="E16" s="503" cm="1">
        <f t="array" ref="E16">IF($B16="","",SUMPRODUCT((CargoData[Load Mo]=$B16)*CostInclFlag*CostFreightK))</f>
        <v>37440</v>
      </c>
      <c r="F16" s="503" cm="1">
        <f t="array" ref="F16">IF($B16="","",SUMPRODUCT((CargoData[Load Mo]=$B16)*CostInclFlag*CostTD7K))</f>
        <v>0</v>
      </c>
      <c r="G16" s="503" cm="1">
        <f t="array" ref="G16">IF($B16="","",SUMPRODUCT((CargoData[Load Mo]=$B16)*CostInclFlag*CostDemK))</f>
        <v>480</v>
      </c>
      <c r="H16" s="503" cm="1">
        <f t="array" ref="H16">IF($B16="","",SUMPRODUCT((CargoData[Load Mo]=$B16)*CostInclFlag*CostSTSK))</f>
        <v>1275</v>
      </c>
      <c r="I16" s="503" cm="1">
        <f t="array" ref="I16">IF($B16="","",SUMPRODUCT((CargoData[Load Mo]=$B16)*CostInclFlag*CostTVMK))</f>
        <v>0</v>
      </c>
      <c r="J16" s="503" cm="1">
        <f t="array" ref="J16">IF($B16="","",SUMPRODUCT((CargoData[Load Mo]=$B16)*CostInclFlag*CostOtherK))</f>
        <v>879.2950000000003</v>
      </c>
      <c r="K16" s="503">
        <f t="shared" si="0"/>
        <v>40074.294999999998</v>
      </c>
      <c r="L16" s="504">
        <f t="shared" si="1"/>
        <v>5.9422145610913404</v>
      </c>
      <c r="AA16" t="str">
        <f t="shared" si="2"/>
        <v>Apr-26</v>
      </c>
      <c r="AB16">
        <f t="shared" si="3"/>
        <v>40074.294999999998</v>
      </c>
      <c r="AD16" t="str">
        <f t="shared" si="4"/>
        <v>(+) Demurrage</v>
      </c>
      <c r="AE16">
        <f t="shared" si="5"/>
        <v>2400</v>
      </c>
      <c r="AG16" t="str">
        <f t="shared" si="6"/>
        <v>Apr-26</v>
      </c>
      <c r="AH16">
        <f t="shared" si="7"/>
        <v>5.9422145610913404</v>
      </c>
    </row>
    <row r="17" spans="2:34" x14ac:dyDescent="0.35">
      <c r="B17" t="str">
        <v>May-26</v>
      </c>
      <c r="C17" s="502" cm="1">
        <f t="array" ref="C17">IF($B17="","",SUMPRODUCT((CargoData[Load Mo]=$B17)*CostInclFlag))</f>
        <v>2</v>
      </c>
      <c r="D17" s="502" cm="1">
        <f t="array" ref="D17">IF($B17="","",SUMPRODUCT((CargoData[Load Mo]=$B17)*CostInclFlag*CargoData[Volume (kbbl)]))</f>
        <v>4204</v>
      </c>
      <c r="E17" s="503" cm="1">
        <f t="array" ref="E17">IF($B17="","",SUMPRODUCT((CargoData[Load Mo]=$B17)*CostInclFlag*CostFreightK))</f>
        <v>41700</v>
      </c>
      <c r="F17" s="503" cm="1">
        <f t="array" ref="F17">IF($B17="","",SUMPRODUCT((CargoData[Load Mo]=$B17)*CostInclFlag*CostTD7K))</f>
        <v>0</v>
      </c>
      <c r="G17" s="503" cm="1">
        <f t="array" ref="G17">IF($B17="","",SUMPRODUCT((CargoData[Load Mo]=$B17)*CostInclFlag*CostDemK))</f>
        <v>800</v>
      </c>
      <c r="H17" s="503" cm="1">
        <f t="array" ref="H17">IF($B17="","",SUMPRODUCT((CargoData[Load Mo]=$B17)*CostInclFlag*CostSTSK))</f>
        <v>900</v>
      </c>
      <c r="I17" s="503" cm="1">
        <f t="array" ref="I17">IF($B17="","",SUMPRODUCT((CargoData[Load Mo]=$B17)*CostInclFlag*CostTVMK))</f>
        <v>835</v>
      </c>
      <c r="J17" s="503" cm="1">
        <f t="array" ref="J17">IF($B17="","",SUMPRODUCT((CargoData[Load Mo]=$B17)*CostInclFlag*CostOtherK))</f>
        <v>1311.5500000000002</v>
      </c>
      <c r="K17" s="503">
        <f t="shared" si="0"/>
        <v>45546.55</v>
      </c>
      <c r="L17" s="504">
        <f t="shared" si="1"/>
        <v>10.834098477640342</v>
      </c>
      <c r="AA17" t="str">
        <f t="shared" si="2"/>
        <v>May-26</v>
      </c>
      <c r="AB17">
        <f t="shared" si="3"/>
        <v>45546.55</v>
      </c>
      <c r="AD17" t="str">
        <f t="shared" si="4"/>
        <v>(+) STS</v>
      </c>
      <c r="AE17">
        <f t="shared" si="5"/>
        <v>4540</v>
      </c>
      <c r="AG17" t="str">
        <f t="shared" si="6"/>
        <v>May-26</v>
      </c>
      <c r="AH17">
        <f t="shared" si="7"/>
        <v>10.834098477640342</v>
      </c>
    </row>
    <row r="18" spans="2:34" x14ac:dyDescent="0.35">
      <c r="B18" t="str">
        <v>Jun-26</v>
      </c>
      <c r="C18" s="502" cm="1">
        <f t="array" ref="C18">IF($B18="","",SUMPRODUCT((CargoData[Load Mo]=$B18)*CostInclFlag))</f>
        <v>5</v>
      </c>
      <c r="D18" s="502" cm="1">
        <f t="array" ref="D18">IF($B18="","",SUMPRODUCT((CargoData[Load Mo]=$B18)*CostInclFlag*CargoData[Volume (kbbl)]))</f>
        <v>5646</v>
      </c>
      <c r="E18" s="503" cm="1">
        <f t="array" ref="E18">IF($B18="","",SUMPRODUCT((CargoData[Load Mo]=$B18)*CostInclFlag*CostFreightK))</f>
        <v>46969.175000000003</v>
      </c>
      <c r="F18" s="503" cm="1">
        <f t="array" ref="F18">IF($B18="","",SUMPRODUCT((CargoData[Load Mo]=$B18)*CostInclFlag*CostTD7K))</f>
        <v>-2640.0149999999999</v>
      </c>
      <c r="G18" s="503" cm="1">
        <f t="array" ref="G18">IF($B18="","",SUMPRODUCT((CargoData[Load Mo]=$B18)*CostInclFlag*CostDemK))</f>
        <v>800</v>
      </c>
      <c r="H18" s="503" cm="1">
        <f t="array" ref="H18">IF($B18="","",SUMPRODUCT((CargoData[Load Mo]=$B18)*CostInclFlag*CostSTSK))</f>
        <v>1000</v>
      </c>
      <c r="I18" s="503" cm="1">
        <f t="array" ref="I18">IF($B18="","",SUMPRODUCT((CargoData[Load Mo]=$B18)*CostInclFlag*CostTVMK))</f>
        <v>889.71821917808234</v>
      </c>
      <c r="J18" s="503" cm="1">
        <f t="array" ref="J18">IF($B18="","",SUMPRODUCT((CargoData[Load Mo]=$B18)*CostInclFlag*CostOtherK))</f>
        <v>3104</v>
      </c>
      <c r="K18" s="503">
        <f t="shared" si="0"/>
        <v>50122.878219178085</v>
      </c>
      <c r="L18" s="504">
        <f t="shared" si="1"/>
        <v>8.8775908996064619</v>
      </c>
      <c r="AA18" t="str">
        <f t="shared" si="2"/>
        <v>Jun-26</v>
      </c>
      <c r="AB18">
        <f t="shared" si="3"/>
        <v>50122.878219178085</v>
      </c>
      <c r="AD18" t="str">
        <f t="shared" si="4"/>
        <v>(+) TVM</v>
      </c>
      <c r="AE18">
        <f t="shared" si="5"/>
        <v>2440.7319178082194</v>
      </c>
      <c r="AG18" t="str">
        <f t="shared" si="6"/>
        <v>Jun-26</v>
      </c>
      <c r="AH18">
        <f t="shared" si="7"/>
        <v>8.8775908996064619</v>
      </c>
    </row>
    <row r="19" spans="2:34" x14ac:dyDescent="0.35">
      <c r="C19" s="502" t="str" cm="1">
        <f t="array" ref="C19">IF($B19="","",SUMPRODUCT((CargoData[Load Mo]=$B19)*CostInclFlag))</f>
        <v/>
      </c>
      <c r="D19" s="502" t="str" cm="1">
        <f t="array" ref="D19">IF($B19="","",SUMPRODUCT((CargoData[Load Mo]=$B19)*CostInclFlag*CargoData[Volume (kbbl)]))</f>
        <v/>
      </c>
      <c r="E19" s="503" t="str" cm="1">
        <f t="array" ref="E19">IF($B19="","",SUMPRODUCT((CargoData[Load Mo]=$B19)*CostInclFlag*CostFreightK))</f>
        <v/>
      </c>
      <c r="F19" s="503" t="str" cm="1">
        <f t="array" ref="F19">IF($B19="","",SUMPRODUCT((CargoData[Load Mo]=$B19)*CostInclFlag*CostTD7K))</f>
        <v/>
      </c>
      <c r="G19" s="503" t="str" cm="1">
        <f t="array" ref="G19">IF($B19="","",SUMPRODUCT((CargoData[Load Mo]=$B19)*CostInclFlag*CostDemK))</f>
        <v/>
      </c>
      <c r="H19" s="503" t="str" cm="1">
        <f t="array" ref="H19">IF($B19="","",SUMPRODUCT((CargoData[Load Mo]=$B19)*CostInclFlag*CostSTSK))</f>
        <v/>
      </c>
      <c r="I19" s="503" t="str" cm="1">
        <f t="array" ref="I19">IF($B19="","",SUMPRODUCT((CargoData[Load Mo]=$B19)*CostInclFlag*CostTVMK))</f>
        <v/>
      </c>
      <c r="J19" s="503" t="str" cm="1">
        <f t="array" ref="J19">IF($B19="","",SUMPRODUCT((CargoData[Load Mo]=$B19)*CostInclFlag*CostOtherK))</f>
        <v/>
      </c>
      <c r="K19" s="503" t="str">
        <f t="shared" si="0"/>
        <v/>
      </c>
      <c r="L19" s="504" t="str">
        <f t="shared" si="1"/>
        <v/>
      </c>
      <c r="AA19" t="str">
        <f t="shared" si="2"/>
        <v/>
      </c>
      <c r="AB19" t="e">
        <f t="shared" si="3"/>
        <v>#N/A</v>
      </c>
      <c r="AD19" t="str">
        <f t="shared" si="4"/>
        <v>(+) Other</v>
      </c>
      <c r="AE19">
        <f t="shared" si="5"/>
        <v>6870.8450000000003</v>
      </c>
      <c r="AG19" t="str">
        <f t="shared" si="6"/>
        <v/>
      </c>
      <c r="AH19" t="e">
        <f t="shared" si="7"/>
        <v>#N/A</v>
      </c>
    </row>
    <row r="20" spans="2:34" x14ac:dyDescent="0.35">
      <c r="B20" s="505" t="s">
        <v>1828</v>
      </c>
      <c r="C20" s="506">
        <f t="shared" ref="C20:K20" si="8">SUM(C14:C19)</f>
        <v>19</v>
      </c>
      <c r="D20" s="506">
        <f t="shared" si="8"/>
        <v>24996</v>
      </c>
      <c r="E20" s="507">
        <f t="shared" si="8"/>
        <v>152244.61800000002</v>
      </c>
      <c r="F20" s="507">
        <f t="shared" si="8"/>
        <v>-4375.7229900000002</v>
      </c>
      <c r="G20" s="507">
        <f t="shared" si="8"/>
        <v>2400</v>
      </c>
      <c r="H20" s="507">
        <f t="shared" si="8"/>
        <v>4540</v>
      </c>
      <c r="I20" s="507">
        <f t="shared" si="8"/>
        <v>2440.7319178082194</v>
      </c>
      <c r="J20" s="507">
        <f t="shared" si="8"/>
        <v>6870.8450000000003</v>
      </c>
      <c r="K20" s="507">
        <f t="shared" si="8"/>
        <v>164120.47192780822</v>
      </c>
      <c r="L20" s="508">
        <f>IFERROR(K20/D20,"")</f>
        <v>6.5658694162189235</v>
      </c>
    </row>
    <row r="23" spans="2:34" ht="15.5" x14ac:dyDescent="0.35">
      <c r="B23" s="501" t="s">
        <v>2266</v>
      </c>
    </row>
    <row r="24" spans="2:34" ht="32.15" customHeight="1" x14ac:dyDescent="0.35">
      <c r="B24" s="494" t="s">
        <v>1785</v>
      </c>
      <c r="C24" s="494" t="s">
        <v>1724</v>
      </c>
      <c r="D24" s="494" t="s">
        <v>2223</v>
      </c>
      <c r="E24" s="494" t="s">
        <v>1791</v>
      </c>
      <c r="F24" s="494" t="s">
        <v>1792</v>
      </c>
      <c r="G24" s="494" t="s">
        <v>1793</v>
      </c>
      <c r="H24" s="494" t="s">
        <v>1794</v>
      </c>
      <c r="I24" s="494" t="s">
        <v>1795</v>
      </c>
      <c r="J24" s="494" t="s">
        <v>1796</v>
      </c>
      <c r="K24" s="494" t="s">
        <v>2228</v>
      </c>
      <c r="L24" s="494" t="s">
        <v>2244</v>
      </c>
    </row>
    <row r="25" spans="2:34" x14ac:dyDescent="0.35">
      <c r="B25" t="str" cm="1">
        <f t="array" ref="B25:B27">IFERROR(_xlfn._xlws.SORT(_xlfn.UNIQUE(_xlfn._xlws.FILTER(CargoData[Vessel Class],CostInclFlag=1))),"")</f>
        <v>Aframax</v>
      </c>
      <c r="C25" s="502" cm="1">
        <f t="array" ref="C25">IF($B25="","",SUMPRODUCT((CargoData[Vessel Class]=$B25)*CostInclFlag))</f>
        <v>7</v>
      </c>
      <c r="D25" s="502" cm="1">
        <f t="array" ref="D25">IF($B25="","",SUMPRODUCT((CargoData[Vessel Class]=$B25)*CostInclFlag*CargoData[Volume (kbbl)]))</f>
        <v>4900</v>
      </c>
      <c r="E25" s="503" cm="1">
        <f t="array" ref="E25">IF($B25="","",SUMPRODUCT((CargoData[Vessel Class]=$B25)*CostInclFlag*CostFreightK))</f>
        <v>18594.617999999999</v>
      </c>
      <c r="F25" s="503" cm="1">
        <f t="array" ref="F25">IF($B25="","",SUMPRODUCT((CargoData[Vessel Class]=$B25)*CostInclFlag*CostTD7K))</f>
        <v>-4375.7229899999993</v>
      </c>
      <c r="G25" s="503" cm="1">
        <f t="array" ref="G25">IF($B25="","",SUMPRODUCT((CargoData[Vessel Class]=$B25)*CostInclFlag*CostDemK))</f>
        <v>0</v>
      </c>
      <c r="H25" s="503" cm="1">
        <f t="array" ref="H25">IF($B25="","",SUMPRODUCT((CargoData[Vessel Class]=$B25)*CostInclFlag*CostSTSK))</f>
        <v>465</v>
      </c>
      <c r="I25" s="503" cm="1">
        <f t="array" ref="I25">IF($B25="","",SUMPRODUCT((CargoData[Vessel Class]=$B25)*CostInclFlag*CostTVMK))</f>
        <v>84</v>
      </c>
      <c r="J25" s="503" cm="1">
        <f t="array" ref="J25">IF($B25="","",SUMPRODUCT((CargoData[Vessel Class]=$B25)*CostInclFlag*CostOtherK))</f>
        <v>0</v>
      </c>
      <c r="K25" s="503">
        <f>IF($B25="","",SUM(E25:J25))</f>
        <v>14767.89501</v>
      </c>
      <c r="L25" s="504">
        <f>IF($B25="","",IFERROR(K25/D25,""))</f>
        <v>3.0138561244897959</v>
      </c>
    </row>
    <row r="26" spans="2:34" x14ac:dyDescent="0.35">
      <c r="B26" t="str">
        <v>FOB</v>
      </c>
      <c r="C26" s="502" cm="1">
        <f t="array" ref="C26">IF($B26="","",SUMPRODUCT((CargoData[Vessel Class]=$B26)*CostInclFlag))</f>
        <v>4</v>
      </c>
      <c r="D26" s="502" cm="1">
        <f t="array" ref="D26">IF($B26="","",SUMPRODUCT((CargoData[Vessel Class]=$B26)*CostInclFlag*CargoData[Volume (kbbl)]))</f>
        <v>4000</v>
      </c>
      <c r="E26" s="503" cm="1">
        <f t="array" ref="E26">IF($B26="","",SUMPRODUCT((CargoData[Vessel Class]=$B26)*CostInclFlag*CostFreightK))</f>
        <v>0</v>
      </c>
      <c r="F26" s="503" cm="1">
        <f t="array" ref="F26">IF($B26="","",SUMPRODUCT((CargoData[Vessel Class]=$B26)*CostInclFlag*CostTD7K))</f>
        <v>0</v>
      </c>
      <c r="G26" s="503" cm="1">
        <f t="array" ref="G26">IF($B26="","",SUMPRODUCT((CargoData[Vessel Class]=$B26)*CostInclFlag*CostDemK))</f>
        <v>0</v>
      </c>
      <c r="H26" s="503" cm="1">
        <f t="array" ref="H26">IF($B26="","",SUMPRODUCT((CargoData[Vessel Class]=$B26)*CostInclFlag*CostSTSK))</f>
        <v>375</v>
      </c>
      <c r="I26" s="503" cm="1">
        <f t="array" ref="I26">IF($B26="","",SUMPRODUCT((CargoData[Vessel Class]=$B26)*CostInclFlag*CostTVMK))</f>
        <v>0</v>
      </c>
      <c r="J26" s="503" cm="1">
        <f t="array" ref="J26">IF($B26="","",SUMPRODUCT((CargoData[Vessel Class]=$B26)*CostInclFlag*CostOtherK))</f>
        <v>0</v>
      </c>
      <c r="K26" s="503">
        <f t="shared" ref="K26:K29" si="9">IF($B26="","",SUM(E26:J26))</f>
        <v>375</v>
      </c>
      <c r="L26" s="504">
        <f t="shared" ref="L26:L29" si="10">IF($B26="","",IFERROR(K26/D26,""))</f>
        <v>9.375E-2</v>
      </c>
    </row>
    <row r="27" spans="2:34" x14ac:dyDescent="0.35">
      <c r="B27" t="str">
        <v>VLCC</v>
      </c>
      <c r="C27" s="502" cm="1">
        <f t="array" ref="C27">IF($B27="","",SUMPRODUCT((CargoData[Vessel Class]=$B27)*CostInclFlag))</f>
        <v>8</v>
      </c>
      <c r="D27" s="502" cm="1">
        <f t="array" ref="D27">IF($B27="","",SUMPRODUCT((CargoData[Vessel Class]=$B27)*CostInclFlag*CargoData[Volume (kbbl)]))</f>
        <v>16096</v>
      </c>
      <c r="E27" s="503" cm="1">
        <f t="array" ref="E27">IF($B27="","",SUMPRODUCT((CargoData[Vessel Class]=$B27)*CostInclFlag*CostFreightK))</f>
        <v>133650</v>
      </c>
      <c r="F27" s="503" cm="1">
        <f t="array" ref="F27">IF($B27="","",SUMPRODUCT((CargoData[Vessel Class]=$B27)*CostInclFlag*CostTD7K))</f>
        <v>0</v>
      </c>
      <c r="G27" s="503" cm="1">
        <f t="array" ref="G27">IF($B27="","",SUMPRODUCT((CargoData[Vessel Class]=$B27)*CostInclFlag*CostDemK))</f>
        <v>2400</v>
      </c>
      <c r="H27" s="503" cm="1">
        <f t="array" ref="H27">IF($B27="","",SUMPRODUCT((CargoData[Vessel Class]=$B27)*CostInclFlag*CostSTSK))</f>
        <v>3700</v>
      </c>
      <c r="I27" s="503" cm="1">
        <f t="array" ref="I27">IF($B27="","",SUMPRODUCT((CargoData[Vessel Class]=$B27)*CostInclFlag*CostTVMK))</f>
        <v>2356.7319178082194</v>
      </c>
      <c r="J27" s="503" cm="1">
        <f t="array" ref="J27">IF($B27="","",SUMPRODUCT((CargoData[Vessel Class]=$B27)*CostInclFlag*CostOtherK))</f>
        <v>6870.8450000000003</v>
      </c>
      <c r="K27" s="503">
        <f t="shared" si="9"/>
        <v>148977.57691780821</v>
      </c>
      <c r="L27" s="504">
        <f t="shared" si="10"/>
        <v>9.2555651663648248</v>
      </c>
    </row>
    <row r="28" spans="2:34" x14ac:dyDescent="0.35">
      <c r="C28" s="502" t="str" cm="1">
        <f t="array" ref="C28">IF($B28="","",SUMPRODUCT((CargoData[Vessel Class]=$B28)*CostInclFlag))</f>
        <v/>
      </c>
      <c r="D28" s="502" t="str" cm="1">
        <f t="array" ref="D28">IF($B28="","",SUMPRODUCT((CargoData[Vessel Class]=$B28)*CostInclFlag*CargoData[Volume (kbbl)]))</f>
        <v/>
      </c>
      <c r="E28" s="503" t="str" cm="1">
        <f t="array" ref="E28">IF($B28="","",SUMPRODUCT((CargoData[Vessel Class]=$B28)*CostInclFlag*CostFreightK))</f>
        <v/>
      </c>
      <c r="F28" s="503" t="str" cm="1">
        <f t="array" ref="F28">IF($B28="","",SUMPRODUCT((CargoData[Vessel Class]=$B28)*CostInclFlag*CostTD7K))</f>
        <v/>
      </c>
      <c r="G28" s="503" t="str" cm="1">
        <f t="array" ref="G28">IF($B28="","",SUMPRODUCT((CargoData[Vessel Class]=$B28)*CostInclFlag*CostDemK))</f>
        <v/>
      </c>
      <c r="H28" s="503" t="str" cm="1">
        <f t="array" ref="H28">IF($B28="","",SUMPRODUCT((CargoData[Vessel Class]=$B28)*CostInclFlag*CostSTSK))</f>
        <v/>
      </c>
      <c r="I28" s="503" t="str" cm="1">
        <f t="array" ref="I28">IF($B28="","",SUMPRODUCT((CargoData[Vessel Class]=$B28)*CostInclFlag*CostTVMK))</f>
        <v/>
      </c>
      <c r="J28" s="503" t="str" cm="1">
        <f t="array" ref="J28">IF($B28="","",SUMPRODUCT((CargoData[Vessel Class]=$B28)*CostInclFlag*CostOtherK))</f>
        <v/>
      </c>
      <c r="K28" s="503" t="str">
        <f t="shared" si="9"/>
        <v/>
      </c>
      <c r="L28" s="504" t="str">
        <f t="shared" si="10"/>
        <v/>
      </c>
    </row>
    <row r="29" spans="2:34" x14ac:dyDescent="0.35">
      <c r="C29" s="502" t="str" cm="1">
        <f t="array" ref="C29">IF($B29="","",SUMPRODUCT((CargoData[Vessel Class]=$B29)*CostInclFlag))</f>
        <v/>
      </c>
      <c r="D29" s="502" t="str" cm="1">
        <f t="array" ref="D29">IF($B29="","",SUMPRODUCT((CargoData[Vessel Class]=$B29)*CostInclFlag*CargoData[Volume (kbbl)]))</f>
        <v/>
      </c>
      <c r="E29" s="503" t="str" cm="1">
        <f t="array" ref="E29">IF($B29="","",SUMPRODUCT((CargoData[Vessel Class]=$B29)*CostInclFlag*CostFreightK))</f>
        <v/>
      </c>
      <c r="F29" s="503" t="str" cm="1">
        <f t="array" ref="F29">IF($B29="","",SUMPRODUCT((CargoData[Vessel Class]=$B29)*CostInclFlag*CostTD7K))</f>
        <v/>
      </c>
      <c r="G29" s="503" t="str" cm="1">
        <f t="array" ref="G29">IF($B29="","",SUMPRODUCT((CargoData[Vessel Class]=$B29)*CostInclFlag*CostDemK))</f>
        <v/>
      </c>
      <c r="H29" s="503" t="str" cm="1">
        <f t="array" ref="H29">IF($B29="","",SUMPRODUCT((CargoData[Vessel Class]=$B29)*CostInclFlag*CostSTSK))</f>
        <v/>
      </c>
      <c r="I29" s="503" t="str" cm="1">
        <f t="array" ref="I29">IF($B29="","",SUMPRODUCT((CargoData[Vessel Class]=$B29)*CostInclFlag*CostTVMK))</f>
        <v/>
      </c>
      <c r="J29" s="503" t="str" cm="1">
        <f t="array" ref="J29">IF($B29="","",SUMPRODUCT((CargoData[Vessel Class]=$B29)*CostInclFlag*CostOtherK))</f>
        <v/>
      </c>
      <c r="K29" s="503" t="str">
        <f t="shared" si="9"/>
        <v/>
      </c>
      <c r="L29" s="504" t="str">
        <f t="shared" si="10"/>
        <v/>
      </c>
    </row>
    <row r="30" spans="2:34" x14ac:dyDescent="0.35">
      <c r="B30" s="505" t="s">
        <v>1828</v>
      </c>
      <c r="C30" s="506">
        <f t="shared" ref="C30:K30" si="11">SUM(C25:C29)</f>
        <v>19</v>
      </c>
      <c r="D30" s="506">
        <f t="shared" si="11"/>
        <v>24996</v>
      </c>
      <c r="E30" s="507">
        <f t="shared" si="11"/>
        <v>152244.61799999999</v>
      </c>
      <c r="F30" s="507">
        <f t="shared" si="11"/>
        <v>-4375.7229899999993</v>
      </c>
      <c r="G30" s="507">
        <f t="shared" si="11"/>
        <v>2400</v>
      </c>
      <c r="H30" s="507">
        <f t="shared" si="11"/>
        <v>4540</v>
      </c>
      <c r="I30" s="507">
        <f t="shared" si="11"/>
        <v>2440.7319178082194</v>
      </c>
      <c r="J30" s="507">
        <f t="shared" si="11"/>
        <v>6870.8450000000003</v>
      </c>
      <c r="K30" s="507">
        <f t="shared" si="11"/>
        <v>164120.47192780822</v>
      </c>
      <c r="L30" s="508">
        <f>IFERROR(K30/D30,"")</f>
        <v>6.5658694162189235</v>
      </c>
    </row>
    <row r="33" spans="2:14" ht="15.5" x14ac:dyDescent="0.35">
      <c r="B33" s="501" t="s">
        <v>2267</v>
      </c>
    </row>
    <row r="34" spans="2:14" x14ac:dyDescent="0.35">
      <c r="B34" s="494" t="s">
        <v>2247</v>
      </c>
      <c r="C34" s="494" t="s">
        <v>2268</v>
      </c>
      <c r="D34" s="494" t="s">
        <v>2244</v>
      </c>
      <c r="E34" s="494" t="s">
        <v>2269</v>
      </c>
    </row>
    <row r="35" spans="2:14" x14ac:dyDescent="0.35">
      <c r="B35" t="s">
        <v>1791</v>
      </c>
      <c r="C35" s="503">
        <f>SUMPRODUCT(CostInclFlag,CostFreightK)</f>
        <v>152244.61799999999</v>
      </c>
      <c r="D35" s="504">
        <f t="shared" ref="D35:D41" si="12">IFERROR(C35/$C$9,0)</f>
        <v>6.0907592414786365</v>
      </c>
      <c r="E35" s="510">
        <f t="shared" ref="E35:E40" si="13">IFERROR(C35/$C$41,0)</f>
        <v>0.92763941153525298</v>
      </c>
    </row>
    <row r="36" spans="2:14" x14ac:dyDescent="0.35">
      <c r="B36" t="s">
        <v>1792</v>
      </c>
      <c r="C36" s="503">
        <f>SUMPRODUCT(CostInclFlag,CostTD7K)</f>
        <v>-4375.7229899999993</v>
      </c>
      <c r="D36" s="504">
        <f t="shared" si="12"/>
        <v>-0.17505692870859335</v>
      </c>
      <c r="E36" s="510">
        <f t="shared" si="13"/>
        <v>-2.6661652495885781E-2</v>
      </c>
    </row>
    <row r="37" spans="2:14" x14ac:dyDescent="0.35">
      <c r="B37" t="s">
        <v>1793</v>
      </c>
      <c r="C37" s="503">
        <f>SUMPRODUCT(CostInclFlag,CostDemK)</f>
        <v>2400</v>
      </c>
      <c r="D37" s="504">
        <f t="shared" si="12"/>
        <v>9.6015362457993275E-2</v>
      </c>
      <c r="E37" s="510">
        <f t="shared" si="13"/>
        <v>1.462340420916953E-2</v>
      </c>
    </row>
    <row r="38" spans="2:14" x14ac:dyDescent="0.35">
      <c r="B38" t="s">
        <v>1794</v>
      </c>
      <c r="C38" s="503">
        <f>SUMPRODUCT(CostInclFlag,CostSTSK)</f>
        <v>4540</v>
      </c>
      <c r="D38" s="504">
        <f t="shared" si="12"/>
        <v>0.18162906064970397</v>
      </c>
      <c r="E38" s="510">
        <f t="shared" si="13"/>
        <v>2.7662606295679029E-2</v>
      </c>
    </row>
    <row r="39" spans="2:14" x14ac:dyDescent="0.35">
      <c r="B39" t="s">
        <v>1795</v>
      </c>
      <c r="C39" s="503">
        <f>SUMPRODUCT(CostInclFlag,CostTVMK)</f>
        <v>2440.7319178082194</v>
      </c>
      <c r="D39" s="504">
        <f t="shared" si="12"/>
        <v>9.7644899896312184E-2</v>
      </c>
      <c r="E39" s="510">
        <f t="shared" si="13"/>
        <v>1.4871587250137973E-2</v>
      </c>
    </row>
    <row r="40" spans="2:14" x14ac:dyDescent="0.35">
      <c r="B40" t="s">
        <v>1796</v>
      </c>
      <c r="C40" s="503">
        <f>SUMPRODUCT(CostInclFlag,CostOtherK)</f>
        <v>6870.8450000000003</v>
      </c>
      <c r="D40" s="504">
        <f t="shared" si="12"/>
        <v>0.27487778044487121</v>
      </c>
      <c r="E40" s="510">
        <f t="shared" si="13"/>
        <v>4.1864643205646423E-2</v>
      </c>
    </row>
    <row r="41" spans="2:14" x14ac:dyDescent="0.35">
      <c r="B41" s="505" t="s">
        <v>1802</v>
      </c>
      <c r="C41" s="507">
        <f>SUM(C35:C40)</f>
        <v>164120.47192780819</v>
      </c>
      <c r="D41" s="508">
        <f t="shared" si="12"/>
        <v>6.5658694162189226</v>
      </c>
      <c r="E41" s="511">
        <f>IFERROR(C41/C41,0)</f>
        <v>1</v>
      </c>
    </row>
    <row r="42" spans="2:14" x14ac:dyDescent="0.35">
      <c r="B42" s="512" t="s">
        <v>2270</v>
      </c>
    </row>
    <row r="45" spans="2:14" ht="15.5" x14ac:dyDescent="0.35">
      <c r="B45" s="501" t="s">
        <v>2271</v>
      </c>
    </row>
    <row r="46" spans="2:14" ht="32.15" customHeight="1" x14ac:dyDescent="0.35">
      <c r="B46" s="494" t="s">
        <v>1782</v>
      </c>
      <c r="C46" s="494" t="s">
        <v>106</v>
      </c>
      <c r="D46" s="494" t="s">
        <v>1784</v>
      </c>
      <c r="E46" s="494" t="s">
        <v>2249</v>
      </c>
      <c r="F46" s="494" t="s">
        <v>2223</v>
      </c>
      <c r="G46" s="494" t="s">
        <v>1791</v>
      </c>
      <c r="H46" s="494" t="s">
        <v>1792</v>
      </c>
      <c r="I46" s="494" t="s">
        <v>1793</v>
      </c>
      <c r="J46" s="494" t="s">
        <v>1794</v>
      </c>
      <c r="K46" s="494" t="s">
        <v>1795</v>
      </c>
      <c r="L46" s="494" t="s">
        <v>1796</v>
      </c>
      <c r="M46" s="494" t="s">
        <v>2228</v>
      </c>
      <c r="N46" s="494" t="s">
        <v>2244</v>
      </c>
    </row>
    <row r="47" spans="2:14" x14ac:dyDescent="0.35">
      <c r="B47" t="str" cm="1">
        <f t="array" ref="B47:N65">IFERROR(_xlfn.LET(_xlpm.d,_xlfn.HSTACK(_xlfn.CHOOSECOLS(CargoData[#Data],3,4,5,6,7),CostFreightK,CostTD7K,CostDemK,CostSTSK,CostTVMK,CostOtherK,CostTotalK),_xlpm.f,_xlfn._xlws.FILTER(_xlpm.d,CostInclFlag=1),_xlpm.s,_xlfn._xlws.SORT(_xlpm.f,12,-1),_xlfn.HSTACK(_xlpm.s,IFERROR(_xlfn.CHOOSECOLS(_xlpm.s,12)/_xlfn.CHOOSECOLS(_xlpm.s,5),0))),"No cargoes match the current filters")</f>
        <v>May-26</v>
      </c>
      <c r="C47" t="str">
        <v>HDO July26 10-20</v>
      </c>
      <c r="D47" t="str">
        <v>ARA26HS00053</v>
      </c>
      <c r="E47" t="str">
        <v>VLCC</v>
      </c>
      <c r="F47" s="502">
        <v>2065</v>
      </c>
      <c r="G47" s="503">
        <v>25000</v>
      </c>
      <c r="H47" s="503">
        <v>0</v>
      </c>
      <c r="I47" s="503">
        <v>400</v>
      </c>
      <c r="J47" s="503">
        <v>450</v>
      </c>
      <c r="K47" s="503">
        <v>0</v>
      </c>
      <c r="L47" s="503">
        <v>444.55000000000007</v>
      </c>
      <c r="M47" s="503">
        <v>26294.55</v>
      </c>
      <c r="N47" s="504">
        <v>12.733438256658594</v>
      </c>
    </row>
    <row r="48" spans="2:14" x14ac:dyDescent="0.35">
      <c r="B48" t="str">
        <v>Apr-26</v>
      </c>
      <c r="C48" t="str">
        <v>CPC Taiwan June 18-22</v>
      </c>
      <c r="D48" t="str">
        <v>ARA26HS00045</v>
      </c>
      <c r="E48" t="str">
        <v>VLCC</v>
      </c>
      <c r="F48" s="502">
        <v>2065</v>
      </c>
      <c r="G48" s="503">
        <v>20650</v>
      </c>
      <c r="H48" s="503">
        <v>0</v>
      </c>
      <c r="I48" s="503">
        <v>240</v>
      </c>
      <c r="J48" s="503">
        <v>450</v>
      </c>
      <c r="K48" s="503">
        <v>0</v>
      </c>
      <c r="L48" s="503">
        <v>439.64750000000015</v>
      </c>
      <c r="M48" s="503">
        <v>21779.647499999999</v>
      </c>
      <c r="N48" s="504">
        <v>10.547044794188862</v>
      </c>
    </row>
    <row r="49" spans="2:14" x14ac:dyDescent="0.35">
      <c r="B49" t="str">
        <v>Jun-26</v>
      </c>
      <c r="C49" t="str">
        <v>HDO Aug26 22-31 DAP</v>
      </c>
      <c r="D49" t="str">
        <v>ARA26HS00078</v>
      </c>
      <c r="E49" t="str">
        <v>VLCC</v>
      </c>
      <c r="F49" s="502">
        <v>1422</v>
      </c>
      <c r="G49" s="503">
        <v>17800</v>
      </c>
      <c r="H49" s="503">
        <v>0</v>
      </c>
      <c r="I49" s="503">
        <v>400</v>
      </c>
      <c r="J49" s="503">
        <v>500</v>
      </c>
      <c r="K49" s="503">
        <v>0</v>
      </c>
      <c r="L49" s="503">
        <v>2468</v>
      </c>
      <c r="M49" s="503">
        <v>21168</v>
      </c>
      <c r="N49" s="504">
        <v>14.886075949367088</v>
      </c>
    </row>
    <row r="50" spans="2:14" x14ac:dyDescent="0.35">
      <c r="B50" t="str">
        <v>Jun-26</v>
      </c>
      <c r="C50" t="str">
        <v>GS Caltex Korea Aug 16-22</v>
      </c>
      <c r="D50" t="str">
        <v>ARA26HS00075</v>
      </c>
      <c r="E50" t="str">
        <v>VLCC</v>
      </c>
      <c r="F50" s="502">
        <v>2124</v>
      </c>
      <c r="G50" s="503">
        <v>17500</v>
      </c>
      <c r="H50" s="503">
        <v>0</v>
      </c>
      <c r="I50" s="503">
        <v>400</v>
      </c>
      <c r="J50" s="503">
        <v>500</v>
      </c>
      <c r="K50" s="503">
        <v>889.71821917808234</v>
      </c>
      <c r="L50" s="503">
        <v>636.00000000000023</v>
      </c>
      <c r="M50" s="503">
        <v>19925.718219178081</v>
      </c>
      <c r="N50" s="504">
        <v>9.3812232670329951</v>
      </c>
    </row>
    <row r="51" spans="2:14" x14ac:dyDescent="0.35">
      <c r="B51" t="str">
        <v>May-26</v>
      </c>
      <c r="C51" t="str">
        <v>ENEOS July 20-30</v>
      </c>
      <c r="D51" t="str">
        <v>ENE26HS00007</v>
      </c>
      <c r="E51" t="str">
        <v>VLCC</v>
      </c>
      <c r="F51" s="502">
        <v>2139</v>
      </c>
      <c r="G51" s="503">
        <v>16700</v>
      </c>
      <c r="H51" s="503">
        <v>0</v>
      </c>
      <c r="I51" s="503">
        <v>400</v>
      </c>
      <c r="J51" s="503">
        <v>450</v>
      </c>
      <c r="K51" s="503">
        <v>835</v>
      </c>
      <c r="L51" s="503">
        <v>867</v>
      </c>
      <c r="M51" s="503">
        <v>19252</v>
      </c>
      <c r="N51" s="504">
        <v>9.0004675081813925</v>
      </c>
    </row>
    <row r="52" spans="2:14" x14ac:dyDescent="0.35">
      <c r="B52" t="str">
        <v>Apr-26</v>
      </c>
      <c r="C52" t="str">
        <v>GS Caltex Taiwan May 24-28</v>
      </c>
      <c r="D52" t="str">
        <v>ARA26HS00046</v>
      </c>
      <c r="E52" t="str">
        <v>VLCC</v>
      </c>
      <c r="F52" s="502">
        <v>2079</v>
      </c>
      <c r="G52" s="503">
        <v>16650</v>
      </c>
      <c r="H52" s="503">
        <v>0</v>
      </c>
      <c r="I52" s="503">
        <v>240</v>
      </c>
      <c r="J52" s="503">
        <v>450</v>
      </c>
      <c r="K52" s="503">
        <v>0</v>
      </c>
      <c r="L52" s="503">
        <v>439.64750000000015</v>
      </c>
      <c r="M52" s="503">
        <v>17779.647499999999</v>
      </c>
      <c r="N52" s="504">
        <v>8.5520189995189995</v>
      </c>
    </row>
    <row r="53" spans="2:14" x14ac:dyDescent="0.35">
      <c r="B53" t="str">
        <v>Mar-26</v>
      </c>
      <c r="C53" t="str">
        <v>HDO May 1-10 WTI+WTL</v>
      </c>
      <c r="D53" t="str">
        <v>ARA26HS00032</v>
      </c>
      <c r="E53" t="str">
        <v>VLCC</v>
      </c>
      <c r="F53" s="502">
        <v>2130</v>
      </c>
      <c r="G53" s="503">
        <v>14500</v>
      </c>
      <c r="H53" s="503">
        <v>0</v>
      </c>
      <c r="I53" s="503">
        <v>160</v>
      </c>
      <c r="J53" s="503">
        <v>450</v>
      </c>
      <c r="K53" s="503">
        <v>632.01369863013701</v>
      </c>
      <c r="L53" s="503">
        <v>419.99999999999972</v>
      </c>
      <c r="M53" s="503">
        <v>16162.013698630137</v>
      </c>
      <c r="N53" s="504">
        <v>7.5877998585118016</v>
      </c>
    </row>
    <row r="54" spans="2:14" x14ac:dyDescent="0.35">
      <c r="B54" t="str">
        <v>Feb-26</v>
      </c>
      <c r="C54" t="str">
        <v>Dangote VLCC March 15-25</v>
      </c>
      <c r="D54" t="str">
        <v>ARA26HS00023</v>
      </c>
      <c r="E54" t="str">
        <v>VLCC</v>
      </c>
      <c r="F54" s="502">
        <v>2072</v>
      </c>
      <c r="G54" s="503">
        <v>4850</v>
      </c>
      <c r="H54" s="503">
        <v>0</v>
      </c>
      <c r="I54" s="503">
        <v>160</v>
      </c>
      <c r="J54" s="503">
        <v>450</v>
      </c>
      <c r="K54" s="503">
        <v>0</v>
      </c>
      <c r="L54" s="503">
        <v>1156</v>
      </c>
      <c r="M54" s="503">
        <v>6616</v>
      </c>
      <c r="N54" s="504">
        <v>3.1930501930501931</v>
      </c>
    </row>
    <row r="55" spans="2:14" x14ac:dyDescent="0.35">
      <c r="B55" t="str">
        <v>Jun-26</v>
      </c>
      <c r="C55" t="str">
        <v>Jun26 EFP 1</v>
      </c>
      <c r="D55" t="str">
        <v>ARA26HS00069-1</v>
      </c>
      <c r="E55" t="str">
        <v>Aframax</v>
      </c>
      <c r="F55" s="502">
        <v>700</v>
      </c>
      <c r="G55" s="503">
        <v>5834.5874999999996</v>
      </c>
      <c r="H55" s="503">
        <v>-1320.0074999999999</v>
      </c>
      <c r="I55" s="503">
        <v>0</v>
      </c>
      <c r="J55" s="503">
        <v>0</v>
      </c>
      <c r="K55" s="503">
        <v>0</v>
      </c>
      <c r="L55" s="503">
        <v>0</v>
      </c>
      <c r="M55" s="503">
        <v>4514.58</v>
      </c>
      <c r="N55" s="504">
        <v>6.4493999999999998</v>
      </c>
    </row>
    <row r="56" spans="2:14" x14ac:dyDescent="0.35">
      <c r="B56" t="str">
        <v>Jun-26</v>
      </c>
      <c r="C56" t="str">
        <v>Jun26 EFP 2</v>
      </c>
      <c r="D56" t="str">
        <v>ARA26HS00069-2</v>
      </c>
      <c r="E56" t="str">
        <v>Aframax</v>
      </c>
      <c r="F56" s="502">
        <v>700</v>
      </c>
      <c r="G56" s="503">
        <v>5834.5874999999996</v>
      </c>
      <c r="H56" s="503">
        <v>-1320.0074999999999</v>
      </c>
      <c r="I56" s="503">
        <v>0</v>
      </c>
      <c r="J56" s="503">
        <v>0</v>
      </c>
      <c r="K56" s="503">
        <v>0</v>
      </c>
      <c r="L56" s="503">
        <v>0</v>
      </c>
      <c r="M56" s="503">
        <v>4514.58</v>
      </c>
      <c r="N56" s="504">
        <v>6.4493999999999998</v>
      </c>
    </row>
    <row r="57" spans="2:14" x14ac:dyDescent="0.35">
      <c r="B57" t="str">
        <v>Mar-26</v>
      </c>
      <c r="C57" t="str">
        <v>April26 EFP 1</v>
      </c>
      <c r="D57" t="str">
        <v>ARA26HS000036</v>
      </c>
      <c r="E57" t="str">
        <v>Aframax</v>
      </c>
      <c r="F57" s="502">
        <v>700</v>
      </c>
      <c r="G57" s="503">
        <v>3959.9910000000004</v>
      </c>
      <c r="H57" s="503">
        <v>-974.29124999999999</v>
      </c>
      <c r="I57" s="503">
        <v>0</v>
      </c>
      <c r="J57" s="503">
        <v>0</v>
      </c>
      <c r="K57" s="503">
        <v>84</v>
      </c>
      <c r="L57" s="503">
        <v>0</v>
      </c>
      <c r="M57" s="503">
        <v>3069.6997500000007</v>
      </c>
      <c r="N57" s="504">
        <v>4.3852853571428581</v>
      </c>
    </row>
    <row r="58" spans="2:14" x14ac:dyDescent="0.35">
      <c r="B58" t="str">
        <v>Feb-26</v>
      </c>
      <c r="C58" t="str">
        <v>Feb26 EFP 1</v>
      </c>
      <c r="D58" t="str">
        <v>ARA26HS00017</v>
      </c>
      <c r="E58" t="str">
        <v>Aframax</v>
      </c>
      <c r="F58" s="502">
        <v>700</v>
      </c>
      <c r="G58" s="503">
        <v>2825.4519999999993</v>
      </c>
      <c r="H58" s="503">
        <v>-761.41674</v>
      </c>
      <c r="I58" s="503">
        <v>0</v>
      </c>
      <c r="J58" s="503">
        <v>0</v>
      </c>
      <c r="K58" s="503">
        <v>0</v>
      </c>
      <c r="L58" s="503">
        <v>0</v>
      </c>
      <c r="M58" s="503">
        <v>2064.0352599999992</v>
      </c>
      <c r="N58" s="504">
        <v>2.9486217999999988</v>
      </c>
    </row>
    <row r="59" spans="2:14" x14ac:dyDescent="0.35">
      <c r="B59" t="str">
        <v>Feb-26</v>
      </c>
      <c r="C59" t="str">
        <v>Vitol CIF CCLZ Feb 17</v>
      </c>
      <c r="D59" t="str">
        <v>VIT26HS00011</v>
      </c>
      <c r="E59" t="str">
        <v>Aframax</v>
      </c>
      <c r="F59" s="502">
        <v>700</v>
      </c>
      <c r="G59" s="503">
        <v>0</v>
      </c>
      <c r="H59" s="503">
        <v>0</v>
      </c>
      <c r="I59" s="503">
        <v>0</v>
      </c>
      <c r="J59" s="503">
        <v>465</v>
      </c>
      <c r="K59" s="503">
        <v>0</v>
      </c>
      <c r="L59" s="503">
        <v>0</v>
      </c>
      <c r="M59" s="503">
        <v>465</v>
      </c>
      <c r="N59" s="504">
        <v>0.66428571428571426</v>
      </c>
    </row>
    <row r="60" spans="2:14" x14ac:dyDescent="0.35">
      <c r="B60" t="str">
        <v>Apr-26</v>
      </c>
      <c r="C60" t="str">
        <v>HDO FOB APR 7-12</v>
      </c>
      <c r="D60" t="str">
        <v>HDH26HS00001</v>
      </c>
      <c r="E60" t="str">
        <v>FOB</v>
      </c>
      <c r="F60" s="502">
        <v>1900</v>
      </c>
      <c r="G60" s="503">
        <v>0</v>
      </c>
      <c r="H60" s="503">
        <v>0</v>
      </c>
      <c r="I60" s="503">
        <v>0</v>
      </c>
      <c r="J60" s="503">
        <v>375</v>
      </c>
      <c r="K60" s="503">
        <v>0</v>
      </c>
      <c r="L60" s="503">
        <v>0</v>
      </c>
      <c r="M60" s="503">
        <v>375</v>
      </c>
      <c r="N60" s="504">
        <v>0.19736842105263158</v>
      </c>
    </row>
    <row r="61" spans="2:14" x14ac:dyDescent="0.35">
      <c r="B61" t="str">
        <v>Apr-26</v>
      </c>
      <c r="C61" t="str">
        <v>May26 EFP 1</v>
      </c>
      <c r="D61" t="str">
        <v>ARA26HS00044</v>
      </c>
      <c r="E61" t="str">
        <v>Aframax</v>
      </c>
      <c r="F61" s="502">
        <v>700</v>
      </c>
      <c r="G61" s="503">
        <v>140</v>
      </c>
      <c r="H61" s="503">
        <v>0</v>
      </c>
      <c r="I61" s="503">
        <v>0</v>
      </c>
      <c r="J61" s="503">
        <v>0</v>
      </c>
      <c r="K61" s="503">
        <v>0</v>
      </c>
      <c r="L61" s="503">
        <v>0</v>
      </c>
      <c r="M61" s="503">
        <v>140</v>
      </c>
      <c r="N61" s="504">
        <v>0.2</v>
      </c>
    </row>
    <row r="62" spans="2:14" x14ac:dyDescent="0.35">
      <c r="B62" t="str">
        <v>Feb-26</v>
      </c>
      <c r="C62" t="str">
        <v>Gunvor FOB Feb28-01</v>
      </c>
      <c r="D62" t="str">
        <v>GUN26HS00014</v>
      </c>
      <c r="E62" t="str">
        <v>FOB</v>
      </c>
      <c r="F62" s="502">
        <v>700</v>
      </c>
      <c r="G62" s="503">
        <v>0</v>
      </c>
      <c r="H62" s="503">
        <v>0</v>
      </c>
      <c r="I62" s="503">
        <v>0</v>
      </c>
      <c r="J62" s="503">
        <v>0</v>
      </c>
      <c r="K62" s="503">
        <v>0</v>
      </c>
      <c r="L62" s="503">
        <v>0</v>
      </c>
      <c r="M62" s="503">
        <v>0</v>
      </c>
      <c r="N62" s="504">
        <v>0</v>
      </c>
    </row>
    <row r="63" spans="2:14" x14ac:dyDescent="0.35">
      <c r="B63" t="str">
        <v>Feb-26</v>
      </c>
      <c r="C63" t="str">
        <v>Gunvor FOB Feb 27-28 STG</v>
      </c>
      <c r="D63" t="str">
        <v>GUN26HS00012</v>
      </c>
      <c r="E63" t="str">
        <v>FOB</v>
      </c>
      <c r="F63" s="502">
        <v>700</v>
      </c>
      <c r="G63" s="503">
        <v>0</v>
      </c>
      <c r="H63" s="503">
        <v>0</v>
      </c>
      <c r="I63" s="503">
        <v>0</v>
      </c>
      <c r="J63" s="503">
        <v>0</v>
      </c>
      <c r="K63" s="503">
        <v>0</v>
      </c>
      <c r="L63" s="503">
        <v>0</v>
      </c>
      <c r="M63" s="503">
        <v>0</v>
      </c>
      <c r="N63" s="504">
        <v>0</v>
      </c>
    </row>
    <row r="64" spans="2:14" x14ac:dyDescent="0.35">
      <c r="B64" t="str">
        <v>Mar-26</v>
      </c>
      <c r="C64" t="str">
        <v>P66 FOB March 9-14</v>
      </c>
      <c r="D64" t="str">
        <v>PHI26HS00007</v>
      </c>
      <c r="E64" t="str">
        <v>FOB</v>
      </c>
      <c r="F64" s="502">
        <v>700</v>
      </c>
      <c r="G64" s="503">
        <v>0</v>
      </c>
      <c r="H64" s="503">
        <v>0</v>
      </c>
      <c r="I64" s="503">
        <v>0</v>
      </c>
      <c r="J64" s="503">
        <v>0</v>
      </c>
      <c r="K64" s="503">
        <v>0</v>
      </c>
      <c r="L64" s="503">
        <v>0</v>
      </c>
      <c r="M64" s="503">
        <v>0</v>
      </c>
      <c r="N64" s="504">
        <v>0</v>
      </c>
    </row>
    <row r="65" spans="2:14" x14ac:dyDescent="0.35">
      <c r="B65" t="str">
        <v>Jun-26</v>
      </c>
      <c r="C65" t="str">
        <v>BP FOB June26 10-15</v>
      </c>
      <c r="D65" t="str">
        <v>BPO26HS00009</v>
      </c>
      <c r="E65" t="str">
        <v>Aframax</v>
      </c>
      <c r="F65" s="502">
        <v>700</v>
      </c>
      <c r="G65" s="503">
        <v>0</v>
      </c>
      <c r="H65" s="503">
        <v>0</v>
      </c>
      <c r="I65" s="503">
        <v>0</v>
      </c>
      <c r="J65" s="503">
        <v>0</v>
      </c>
      <c r="K65" s="503">
        <v>0</v>
      </c>
      <c r="L65" s="503">
        <v>0</v>
      </c>
      <c r="M65" s="503">
        <v>0</v>
      </c>
      <c r="N65" s="504">
        <v>0</v>
      </c>
    </row>
    <row r="66" spans="2:14" x14ac:dyDescent="0.35">
      <c r="F66" s="502"/>
      <c r="G66" s="503"/>
      <c r="H66" s="503"/>
      <c r="I66" s="503"/>
      <c r="J66" s="503"/>
      <c r="K66" s="503"/>
      <c r="L66" s="503"/>
      <c r="M66" s="503"/>
      <c r="N66" s="504"/>
    </row>
    <row r="67" spans="2:14" x14ac:dyDescent="0.35">
      <c r="F67" s="502"/>
      <c r="G67" s="503"/>
      <c r="H67" s="503"/>
      <c r="I67" s="503"/>
      <c r="J67" s="503"/>
      <c r="K67" s="503"/>
      <c r="L67" s="503"/>
      <c r="M67" s="503"/>
      <c r="N67" s="504"/>
    </row>
    <row r="68" spans="2:14" x14ac:dyDescent="0.35">
      <c r="F68" s="502"/>
      <c r="G68" s="503"/>
      <c r="H68" s="503"/>
      <c r="I68" s="503"/>
      <c r="J68" s="503"/>
      <c r="K68" s="503"/>
      <c r="L68" s="503"/>
      <c r="M68" s="503"/>
      <c r="N68" s="504"/>
    </row>
    <row r="69" spans="2:14" x14ac:dyDescent="0.35">
      <c r="F69" s="502"/>
      <c r="G69" s="503"/>
      <c r="H69" s="503"/>
      <c r="I69" s="503"/>
      <c r="J69" s="503"/>
      <c r="K69" s="503"/>
      <c r="L69" s="503"/>
      <c r="M69" s="503"/>
      <c r="N69" s="504"/>
    </row>
    <row r="70" spans="2:14" x14ac:dyDescent="0.35">
      <c r="F70" s="502"/>
      <c r="G70" s="503"/>
      <c r="H70" s="503"/>
      <c r="I70" s="503"/>
      <c r="J70" s="503"/>
      <c r="K70" s="503"/>
      <c r="L70" s="503"/>
      <c r="M70" s="503"/>
      <c r="N70" s="504"/>
    </row>
  </sheetData>
  <mergeCells count="1">
    <mergeCell ref="B2:N2"/>
  </mergeCells>
  <conditionalFormatting sqref="B47:N70">
    <cfRule type="expression" dxfId="223" priority="3">
      <formula>AND($B47&lt;&gt;"",MOD(ROW()-47,2)=1)</formula>
    </cfRule>
  </conditionalFormatting>
  <conditionalFormatting sqref="H47:H70">
    <cfRule type="expression" dxfId="222" priority="4">
      <formula>N($H47)&lt;0</formula>
    </cfRule>
  </conditionalFormatting>
  <conditionalFormatting sqref="K14:K19">
    <cfRule type="dataBar" priority="1">
      <dataBar>
        <cfvo type="min"/>
        <cfvo type="max"/>
        <color rgb="FF8FAADC"/>
      </dataBar>
      <extLst>
        <ext xmlns:x14="http://schemas.microsoft.com/office/spreadsheetml/2009/9/main" uri="{B025F937-C7B1-47D3-B67F-A62EFF666E3E}">
          <x14:id>{D595B26E-BA1F-4914-9D87-1373AB888AEE}</x14:id>
        </ext>
      </extLst>
    </cfRule>
  </conditionalFormatting>
  <conditionalFormatting sqref="M47:M70">
    <cfRule type="dataBar" priority="2">
      <dataBar>
        <cfvo type="min"/>
        <cfvo type="max"/>
        <color rgb="FFF4B183"/>
      </dataBar>
      <extLst>
        <ext xmlns:x14="http://schemas.microsoft.com/office/spreadsheetml/2009/9/main" uri="{B025F937-C7B1-47D3-B67F-A62EFF666E3E}">
          <x14:id>{0E494F50-15B4-430C-967A-CD6F740386A0}</x14:id>
        </ext>
      </extLst>
    </cfRule>
  </conditionalFormatting>
  <dataValidations count="1">
    <dataValidation type="list" allowBlank="1" showInputMessage="1" showErrorMessage="1" sqref="C6" xr:uid="{E9727025-0DC1-4459-B22F-6576451377AD}">
      <formula1>"Yes,No"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95B26E-BA1F-4914-9D87-1373AB888AE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K14:K19</xm:sqref>
        </x14:conditionalFormatting>
        <x14:conditionalFormatting xmlns:xm="http://schemas.microsoft.com/office/excel/2006/main">
          <x14:cfRule type="dataBar" id="{0E494F50-15B4-430C-967A-CD6F740386A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M47:M70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08EB1A-8772-400E-B271-B992079C524D}">
          <x14:formula1>
            <xm:f>_xlfn.ANCHORARRAY('Cargo Data'!$AR$2)</xm:f>
          </x14:formula1>
          <xm:sqref>C4</xm:sqref>
        </x14:dataValidation>
        <x14:dataValidation type="list" allowBlank="1" showInputMessage="1" showErrorMessage="1" xr:uid="{5CCBD49E-5354-4B69-8144-9579061E5A8C}">
          <x14:formula1>
            <xm:f>_xlfn.ANCHORARRAY('Cargo Data'!$AT$2)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9D66-65D7-494B-A9B8-A695D95681DA}">
  <sheetPr codeName="Sheet1"/>
  <dimension ref="F7:Y20"/>
  <sheetViews>
    <sheetView showGridLines="0" zoomScale="70" zoomScaleNormal="70" workbookViewId="0"/>
  </sheetViews>
  <sheetFormatPr defaultRowHeight="14.5" x14ac:dyDescent="0.35"/>
  <cols>
    <col min="6" max="6" width="12.7265625" customWidth="1"/>
    <col min="8" max="8" width="4.7265625" customWidth="1"/>
    <col min="9" max="9" width="21.7265625" customWidth="1"/>
    <col min="10" max="17" width="0" hidden="1" customWidth="1"/>
    <col min="30" max="30" width="14.26953125" bestFit="1" customWidth="1"/>
    <col min="31" max="31" width="11.7265625" bestFit="1" customWidth="1"/>
    <col min="32" max="32" width="18.7265625" bestFit="1" customWidth="1"/>
    <col min="33" max="33" width="11.7265625" bestFit="1" customWidth="1"/>
    <col min="34" max="36" width="10.7265625" bestFit="1" customWidth="1"/>
    <col min="37" max="37" width="11.26953125" bestFit="1" customWidth="1"/>
    <col min="38" max="38" width="10.26953125" bestFit="1" customWidth="1"/>
    <col min="39" max="39" width="7.26953125" bestFit="1" customWidth="1"/>
    <col min="40" max="40" width="8.26953125" bestFit="1" customWidth="1"/>
    <col min="41" max="41" width="20" bestFit="1" customWidth="1"/>
    <col min="42" max="43" width="7.7265625" bestFit="1" customWidth="1"/>
    <col min="44" max="46" width="8.453125" bestFit="1" customWidth="1"/>
    <col min="47" max="47" width="6.26953125" bestFit="1" customWidth="1"/>
    <col min="48" max="49" width="7.26953125" bestFit="1" customWidth="1"/>
    <col min="50" max="50" width="8.26953125" bestFit="1" customWidth="1"/>
    <col min="51" max="51" width="16.26953125" bestFit="1" customWidth="1"/>
    <col min="52" max="52" width="25" bestFit="1" customWidth="1"/>
  </cols>
  <sheetData>
    <row r="7" spans="6:25" x14ac:dyDescent="0.35">
      <c r="F7" s="18" t="s">
        <v>0</v>
      </c>
    </row>
    <row r="8" spans="6:25" x14ac:dyDescent="0.35">
      <c r="F8" s="3">
        <f>'PnL26'!P1</f>
        <v>46265</v>
      </c>
    </row>
    <row r="9" spans="6:25" ht="15" thickBot="1" x14ac:dyDescent="0.4"/>
    <row r="10" spans="6:25" ht="15" thickBot="1" x14ac:dyDescent="0.4">
      <c r="F10" s="52">
        <f>'PnL26'!H8</f>
        <v>0</v>
      </c>
      <c r="G10" s="52">
        <f>'PnL26'!I8</f>
        <v>0</v>
      </c>
      <c r="I10" s="57">
        <f>[1]EXPO!AC58</f>
        <v>46081</v>
      </c>
      <c r="J10" s="58">
        <f>[1]EXPO!AD58</f>
        <v>46112</v>
      </c>
      <c r="K10" s="58">
        <f>[1]EXPO!AE58</f>
        <v>0</v>
      </c>
      <c r="L10" s="58">
        <f>[1]EXPO!AF58</f>
        <v>0</v>
      </c>
      <c r="M10" s="58">
        <f>[1]EXPO!AG58</f>
        <v>0</v>
      </c>
      <c r="N10" s="58" t="str">
        <f>[1]EXPO!AH58</f>
        <v>xCrd-Trading Cargoes</v>
      </c>
      <c r="O10" s="58">
        <f>[1]EXPO!AI58</f>
        <v>45382</v>
      </c>
      <c r="P10" s="58">
        <f>[1]EXPO!AJ58</f>
        <v>45412</v>
      </c>
      <c r="Q10" s="58">
        <f>[1]EXPO!AK58</f>
        <v>45443</v>
      </c>
      <c r="R10" s="58">
        <f>[1]EXPO!AL58</f>
        <v>45473</v>
      </c>
      <c r="S10" s="58">
        <f>[1]EXPO!AM58</f>
        <v>45504</v>
      </c>
      <c r="T10" s="58">
        <f>[1]EXPO!AN58</f>
        <v>45535</v>
      </c>
      <c r="U10" s="58">
        <f>[1]EXPO!AO58</f>
        <v>45565</v>
      </c>
      <c r="V10" s="58">
        <f>[1]EXPO!AP58</f>
        <v>45838</v>
      </c>
      <c r="W10" s="58">
        <f>[1]EXPO!AQ58</f>
        <v>45869</v>
      </c>
      <c r="X10" s="58" t="e">
        <f>[1]EXPO!#REF!</f>
        <v>#REF!</v>
      </c>
      <c r="Y10" s="59"/>
    </row>
    <row r="11" spans="6:25" x14ac:dyDescent="0.35">
      <c r="F11" s="53">
        <f>'PnL26'!H9</f>
        <v>0</v>
      </c>
      <c r="G11" s="54">
        <f>'PnL26'!I9</f>
        <v>0</v>
      </c>
      <c r="I11" s="60">
        <f>[1]EXPO!AC59</f>
        <v>0</v>
      </c>
      <c r="J11" s="61">
        <f>[1]EXPO!AD59</f>
        <v>0</v>
      </c>
      <c r="K11" s="61">
        <f>[1]EXPO!AE59</f>
        <v>1145.3922380952376</v>
      </c>
      <c r="L11" s="62">
        <f>[1]EXPO!AF59</f>
        <v>1145.3922380952376</v>
      </c>
      <c r="M11" s="62">
        <f>[1]EXPO!AG59</f>
        <v>0</v>
      </c>
      <c r="N11" s="62" t="str">
        <f>[1]EXPO!AH59</f>
        <v>Nymex WTI</v>
      </c>
      <c r="O11" s="62">
        <f>[1]EXPO!AI59</f>
        <v>0</v>
      </c>
      <c r="P11" s="62">
        <f>[1]EXPO!AJ59</f>
        <v>0</v>
      </c>
      <c r="Q11" s="62">
        <f>[1]EXPO!AK59</f>
        <v>0</v>
      </c>
      <c r="R11" s="62">
        <f>[1]EXPO!AL59</f>
        <v>0</v>
      </c>
      <c r="S11" s="62">
        <f>[1]EXPO!AM59</f>
        <v>0</v>
      </c>
      <c r="T11" s="62">
        <f>[1]EXPO!AN59</f>
        <v>0</v>
      </c>
      <c r="U11" s="62">
        <f>[1]EXPO!AO59</f>
        <v>0</v>
      </c>
      <c r="V11" s="62">
        <f>[1]EXPO!AP59</f>
        <v>0</v>
      </c>
      <c r="W11" s="62">
        <f>[1]EXPO!AQ59</f>
        <v>0</v>
      </c>
      <c r="X11" s="62" t="e">
        <f>[1]EXPO!#REF!</f>
        <v>#REF!</v>
      </c>
      <c r="Y11" s="63" t="e">
        <f>[1]EXPO!#REF!</f>
        <v>#REF!</v>
      </c>
    </row>
    <row r="12" spans="6:25" x14ac:dyDescent="0.35">
      <c r="F12" s="1">
        <f>'PnL26'!H10</f>
        <v>0</v>
      </c>
      <c r="G12" s="50">
        <f>'PnL26'!I10</f>
        <v>0</v>
      </c>
      <c r="I12" s="64">
        <f>[1]EXPO!AC60</f>
        <v>0</v>
      </c>
      <c r="J12" s="65">
        <f>[1]EXPO!AD60</f>
        <v>0</v>
      </c>
      <c r="K12" s="65">
        <f>[1]EXPO!AE60</f>
        <v>0</v>
      </c>
      <c r="L12" s="65">
        <f>[1]EXPO!AF60</f>
        <v>0</v>
      </c>
      <c r="M12" s="65">
        <f>[1]EXPO!AG60</f>
        <v>0</v>
      </c>
      <c r="N12" s="65" t="str">
        <f>[1]EXPO!AH60</f>
        <v>ICE Brent</v>
      </c>
      <c r="O12" s="65">
        <f>[1]EXPO!AI60</f>
        <v>0</v>
      </c>
      <c r="P12" s="65">
        <f>[1]EXPO!AJ60</f>
        <v>0</v>
      </c>
      <c r="Q12" s="66">
        <f>[1]EXPO!AK60</f>
        <v>0</v>
      </c>
      <c r="R12" s="65">
        <f>[1]EXPO!AL60</f>
        <v>0</v>
      </c>
      <c r="S12" s="65">
        <f>[1]EXPO!AM60</f>
        <v>0</v>
      </c>
      <c r="T12" s="65">
        <f>[1]EXPO!AN60</f>
        <v>0</v>
      </c>
      <c r="U12" s="65">
        <f>[1]EXPO!AO60</f>
        <v>0</v>
      </c>
      <c r="V12" s="65">
        <f>[1]EXPO!AP60</f>
        <v>0</v>
      </c>
      <c r="W12" s="65">
        <f>[1]EXPO!AQ60</f>
        <v>0</v>
      </c>
      <c r="X12" s="65" t="e">
        <f>[1]EXPO!#REF!</f>
        <v>#REF!</v>
      </c>
      <c r="Y12" s="63" t="e">
        <f>[1]EXPO!#REF!</f>
        <v>#REF!</v>
      </c>
    </row>
    <row r="13" spans="6:25" x14ac:dyDescent="0.35">
      <c r="F13" s="53">
        <f>'PnL26'!H11</f>
        <v>0</v>
      </c>
      <c r="G13" s="54">
        <f>'PnL26'!I11</f>
        <v>0</v>
      </c>
      <c r="I13" s="60">
        <f>[1]EXPO!AC61</f>
        <v>0</v>
      </c>
      <c r="J13" s="67">
        <f>[1]EXPO!AD61</f>
        <v>0</v>
      </c>
      <c r="K13" s="67">
        <f>[1]EXPO!AE61</f>
        <v>0</v>
      </c>
      <c r="L13" s="67">
        <f>[1]EXPO!AF61</f>
        <v>0</v>
      </c>
      <c r="M13" s="67">
        <f>[1]EXPO!AG61</f>
        <v>0</v>
      </c>
      <c r="N13" s="67" t="str">
        <f>[1]EXPO!AH61</f>
        <v>Platts Dubai</v>
      </c>
      <c r="O13" s="67">
        <f>[1]EXPO!AI61</f>
        <v>0</v>
      </c>
      <c r="P13" s="67">
        <f>[1]EXPO!AJ61</f>
        <v>0</v>
      </c>
      <c r="Q13" s="67">
        <f>[1]EXPO!AK61</f>
        <v>0</v>
      </c>
      <c r="R13" s="67">
        <f>[1]EXPO!AL61</f>
        <v>0</v>
      </c>
      <c r="S13" s="67">
        <f>[1]EXPO!AM61</f>
        <v>0</v>
      </c>
      <c r="T13" s="67">
        <f>[1]EXPO!AN61</f>
        <v>0</v>
      </c>
      <c r="U13" s="67">
        <f>[1]EXPO!AO61</f>
        <v>0</v>
      </c>
      <c r="V13" s="67">
        <f>[1]EXPO!AP61</f>
        <v>0</v>
      </c>
      <c r="W13" s="67">
        <f>[1]EXPO!AQ61</f>
        <v>0</v>
      </c>
      <c r="X13" s="67" t="e">
        <f>[1]EXPO!#REF!</f>
        <v>#REF!</v>
      </c>
      <c r="Y13" s="63" t="e">
        <f>[1]EXPO!#REF!</f>
        <v>#REF!</v>
      </c>
    </row>
    <row r="14" spans="6:25" ht="15" thickBot="1" x14ac:dyDescent="0.4">
      <c r="F14" s="1">
        <f>'PnL26'!H12</f>
        <v>0</v>
      </c>
      <c r="G14" s="50">
        <f>'PnL26'!I12</f>
        <v>0</v>
      </c>
      <c r="I14" s="68">
        <f>[1]EXPO!AC62</f>
        <v>0</v>
      </c>
      <c r="J14" s="69">
        <f>[1]EXPO!AD62</f>
        <v>0</v>
      </c>
      <c r="K14" s="69">
        <f>[1]EXPO!AE62</f>
        <v>0</v>
      </c>
      <c r="L14" s="69">
        <f>[1]EXPO!AF62</f>
        <v>0</v>
      </c>
      <c r="M14" s="69">
        <f>[1]EXPO!AG62</f>
        <v>0</v>
      </c>
      <c r="N14" s="69" t="str">
        <f>[1]EXPO!AH62</f>
        <v>Dated Brent (DFLs)</v>
      </c>
      <c r="O14" s="69">
        <f>[1]EXPO!AI62</f>
        <v>0</v>
      </c>
      <c r="P14" s="69">
        <f>[1]EXPO!AJ62</f>
        <v>0</v>
      </c>
      <c r="Q14" s="69">
        <f>[1]EXPO!AK62</f>
        <v>0</v>
      </c>
      <c r="R14" s="69">
        <f>[1]EXPO!AL62</f>
        <v>0</v>
      </c>
      <c r="S14" s="69">
        <f>[1]EXPO!AM62</f>
        <v>0</v>
      </c>
      <c r="T14" s="69">
        <f>[1]EXPO!AN62</f>
        <v>0</v>
      </c>
      <c r="U14" s="69">
        <f>[1]EXPO!AO62</f>
        <v>0</v>
      </c>
      <c r="V14" s="69">
        <f>[1]EXPO!AP62</f>
        <v>0</v>
      </c>
      <c r="W14" s="69">
        <f>[1]EXPO!AQ62</f>
        <v>0</v>
      </c>
      <c r="X14" s="69" t="e">
        <f>[1]EXPO!#REF!</f>
        <v>#REF!</v>
      </c>
      <c r="Y14" s="63" t="e">
        <f>[1]EXPO!#REF!</f>
        <v>#REF!</v>
      </c>
    </row>
    <row r="15" spans="6:25" ht="15" thickBot="1" x14ac:dyDescent="0.4">
      <c r="F15" s="53">
        <f>'PnL26'!H13</f>
        <v>0</v>
      </c>
      <c r="G15" s="54">
        <f>'PnL26'!I13</f>
        <v>0</v>
      </c>
      <c r="I15" s="70">
        <f>[1]EXPO!AC63</f>
        <v>0</v>
      </c>
      <c r="J15" s="71">
        <f>[1]EXPO!AD63</f>
        <v>0</v>
      </c>
      <c r="K15" s="71">
        <f>[1]EXPO!AE63</f>
        <v>1145.3922380952376</v>
      </c>
      <c r="L15" s="71">
        <f>[1]EXPO!AF63</f>
        <v>0</v>
      </c>
      <c r="M15" s="71">
        <f>[1]EXPO!AG63</f>
        <v>0</v>
      </c>
      <c r="N15" s="71" t="str">
        <f>[1]EXPO!AH63</f>
        <v>Total</v>
      </c>
      <c r="O15" s="71">
        <f>[1]EXPO!AI63</f>
        <v>0</v>
      </c>
      <c r="P15" s="71">
        <f>[1]EXPO!AJ63</f>
        <v>0</v>
      </c>
      <c r="Q15" s="71">
        <f>[1]EXPO!AK63</f>
        <v>0</v>
      </c>
      <c r="R15" s="71">
        <f>[1]EXPO!AL63</f>
        <v>0</v>
      </c>
      <c r="S15" s="71">
        <f>[1]EXPO!AM63</f>
        <v>0</v>
      </c>
      <c r="T15" s="71">
        <f>[1]EXPO!AN63</f>
        <v>0</v>
      </c>
      <c r="U15" s="71">
        <f>[1]EXPO!AO63</f>
        <v>0</v>
      </c>
      <c r="V15" s="71">
        <f>[1]EXPO!AP63</f>
        <v>0</v>
      </c>
      <c r="W15" s="71">
        <f>[1]EXPO!AQ63</f>
        <v>0</v>
      </c>
      <c r="X15" s="71" t="e">
        <f>[1]EXPO!#REF!</f>
        <v>#REF!</v>
      </c>
      <c r="Y15" s="72" t="e">
        <f>[1]EXPO!#REF!</f>
        <v>#REF!</v>
      </c>
    </row>
    <row r="16" spans="6:25" x14ac:dyDescent="0.35">
      <c r="F16" s="1">
        <f>'PnL26'!H14</f>
        <v>0</v>
      </c>
      <c r="G16" s="5">
        <f>'PnL26'!I14</f>
        <v>0</v>
      </c>
    </row>
    <row r="17" spans="6:7" x14ac:dyDescent="0.35">
      <c r="F17" s="53">
        <f>'PnL26'!H15</f>
        <v>0</v>
      </c>
      <c r="G17" s="55">
        <f>'PnL26'!I15</f>
        <v>0</v>
      </c>
    </row>
    <row r="18" spans="6:7" x14ac:dyDescent="0.35">
      <c r="F18" s="1">
        <f>'PnL26'!H16</f>
        <v>0</v>
      </c>
      <c r="G18" s="5">
        <f>'PnL26'!I16</f>
        <v>0</v>
      </c>
    </row>
    <row r="19" spans="6:7" ht="15" thickBot="1" x14ac:dyDescent="0.4">
      <c r="F19" s="53">
        <f>'PnL26'!H17</f>
        <v>0</v>
      </c>
      <c r="G19" s="55">
        <f>'PnL26'!I17</f>
        <v>0</v>
      </c>
    </row>
    <row r="20" spans="6:7" ht="15" thickBot="1" x14ac:dyDescent="0.4">
      <c r="F20" s="56">
        <f>'PnL26'!H18</f>
        <v>0</v>
      </c>
      <c r="G20" s="51">
        <f>'PnL26'!I18</f>
        <v>0</v>
      </c>
    </row>
  </sheetData>
  <pageMargins left="0.7" right="0.7" top="0.75" bottom="0.75" header="0.3" footer="0.3"/>
  <headerFooter>
    <oddHeader>&amp;C&amp;"Calibri"&amp;10&amp;K008000 Classification: AramcoTrading-US  General Use&amp;1#_x000D_</oddHeader>
    <oddFooter>&amp;C_x000D_&amp;1#&amp;"Calibri"&amp;10&amp;K008000 This content is classified as AramcoTrading-US General Use by Cantafio, Alberto (ATA) on 2025-08-20T18:20:26.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3D8C-AA2C-45A5-821D-ED931C4A0F95}">
  <sheetPr codeName="Sheet2"/>
  <dimension ref="B1:T65"/>
  <sheetViews>
    <sheetView zoomScale="85" zoomScaleNormal="85" workbookViewId="0">
      <selection activeCell="C11" sqref="C11"/>
    </sheetView>
  </sheetViews>
  <sheetFormatPr defaultRowHeight="14.5" x14ac:dyDescent="0.35"/>
  <cols>
    <col min="2" max="2" width="14.7265625" bestFit="1" customWidth="1"/>
    <col min="19" max="19" width="20.453125" bestFit="1" customWidth="1"/>
  </cols>
  <sheetData>
    <row r="1" spans="2:20" x14ac:dyDescent="0.35">
      <c r="E1" t="s">
        <v>1</v>
      </c>
      <c r="F1" t="s">
        <v>2</v>
      </c>
    </row>
    <row r="2" spans="2:20" x14ac:dyDescent="0.35">
      <c r="B2" s="48" t="s">
        <v>3</v>
      </c>
      <c r="C2" s="48" t="s">
        <v>4</v>
      </c>
      <c r="D2" s="48" t="s">
        <v>3</v>
      </c>
      <c r="E2" t="s">
        <v>5</v>
      </c>
      <c r="F2" t="s">
        <v>5</v>
      </c>
      <c r="G2" t="s">
        <v>6</v>
      </c>
      <c r="H2">
        <v>21.86</v>
      </c>
    </row>
    <row r="3" spans="2:20" x14ac:dyDescent="0.35">
      <c r="B3" s="48" t="s">
        <v>7</v>
      </c>
      <c r="C3" s="48" t="s">
        <v>4</v>
      </c>
      <c r="D3" s="48" t="s">
        <v>7</v>
      </c>
      <c r="E3" t="s">
        <v>8</v>
      </c>
      <c r="F3" t="s">
        <v>8</v>
      </c>
      <c r="G3" t="s">
        <v>9</v>
      </c>
      <c r="H3">
        <v>70000</v>
      </c>
    </row>
    <row r="4" spans="2:20" x14ac:dyDescent="0.35">
      <c r="B4" s="48" t="s">
        <v>10</v>
      </c>
      <c r="C4" s="48" t="s">
        <v>11</v>
      </c>
      <c r="D4" s="48" t="s">
        <v>10</v>
      </c>
      <c r="E4" s="48" t="s">
        <v>5</v>
      </c>
      <c r="F4" s="48" t="s">
        <v>8</v>
      </c>
      <c r="H4">
        <v>185</v>
      </c>
      <c r="N4" t="s">
        <v>12</v>
      </c>
      <c r="S4" t="s">
        <v>13</v>
      </c>
      <c r="T4" t="s">
        <v>14</v>
      </c>
    </row>
    <row r="5" spans="2:20" x14ac:dyDescent="0.35">
      <c r="B5" s="48" t="s">
        <v>15</v>
      </c>
      <c r="C5" s="48" t="s">
        <v>11</v>
      </c>
      <c r="D5" s="48" t="s">
        <v>16</v>
      </c>
      <c r="H5">
        <v>700000</v>
      </c>
      <c r="N5">
        <v>1</v>
      </c>
      <c r="O5" t="s">
        <v>17</v>
      </c>
      <c r="S5" t="s">
        <v>18</v>
      </c>
      <c r="T5" t="s">
        <v>14</v>
      </c>
    </row>
    <row r="6" spans="2:20" x14ac:dyDescent="0.35">
      <c r="B6" s="48" t="s">
        <v>19</v>
      </c>
      <c r="C6" s="48" t="s">
        <v>19</v>
      </c>
      <c r="D6" s="48" t="s">
        <v>19</v>
      </c>
      <c r="H6">
        <f>H3*H2*H4/100</f>
        <v>2830870</v>
      </c>
      <c r="N6">
        <f>+N5+1</f>
        <v>2</v>
      </c>
      <c r="O6" t="s">
        <v>20</v>
      </c>
      <c r="S6" t="s">
        <v>21</v>
      </c>
      <c r="T6" t="s">
        <v>14</v>
      </c>
    </row>
    <row r="7" spans="2:20" x14ac:dyDescent="0.35">
      <c r="B7" s="48" t="s">
        <v>22</v>
      </c>
      <c r="C7" s="48" t="s">
        <v>11</v>
      </c>
      <c r="D7" s="48" t="s">
        <v>16</v>
      </c>
      <c r="H7">
        <f>H6/H5</f>
        <v>4.0441000000000003</v>
      </c>
      <c r="N7">
        <f t="shared" ref="N7:N16" si="0">+N6+1</f>
        <v>3</v>
      </c>
      <c r="O7" t="s">
        <v>23</v>
      </c>
      <c r="S7" t="s">
        <v>24</v>
      </c>
      <c r="T7" t="s">
        <v>14</v>
      </c>
    </row>
    <row r="8" spans="2:20" x14ac:dyDescent="0.35">
      <c r="B8" s="48" t="s">
        <v>25</v>
      </c>
      <c r="C8" s="48" t="s">
        <v>4</v>
      </c>
      <c r="D8" s="48" t="str">
        <f>D2</f>
        <v>WTI Sprds</v>
      </c>
      <c r="E8" t="s">
        <v>5</v>
      </c>
      <c r="F8" s="48" t="s">
        <v>5</v>
      </c>
      <c r="N8">
        <f t="shared" si="0"/>
        <v>4</v>
      </c>
      <c r="O8" t="s">
        <v>26</v>
      </c>
      <c r="S8" t="s">
        <v>27</v>
      </c>
      <c r="T8" t="s">
        <v>14</v>
      </c>
    </row>
    <row r="9" spans="2:20" x14ac:dyDescent="0.35">
      <c r="B9" s="48" t="s">
        <v>28</v>
      </c>
      <c r="C9" s="48" t="s">
        <v>29</v>
      </c>
      <c r="D9" s="48" t="s">
        <v>29</v>
      </c>
      <c r="N9">
        <f t="shared" si="0"/>
        <v>5</v>
      </c>
      <c r="O9" t="s">
        <v>30</v>
      </c>
      <c r="S9" t="s">
        <v>31</v>
      </c>
      <c r="T9" t="s">
        <v>14</v>
      </c>
    </row>
    <row r="10" spans="2:20" x14ac:dyDescent="0.35">
      <c r="B10" s="48" t="s">
        <v>32</v>
      </c>
      <c r="C10" s="48" t="s">
        <v>33</v>
      </c>
      <c r="D10" s="48" t="s">
        <v>10</v>
      </c>
      <c r="N10">
        <f t="shared" si="0"/>
        <v>6</v>
      </c>
      <c r="O10" t="s">
        <v>34</v>
      </c>
      <c r="S10" t="s">
        <v>35</v>
      </c>
      <c r="T10" t="s">
        <v>14</v>
      </c>
    </row>
    <row r="11" spans="2:20" x14ac:dyDescent="0.35">
      <c r="B11" t="s">
        <v>36</v>
      </c>
      <c r="C11" s="48" t="s">
        <v>29</v>
      </c>
      <c r="D11" t="s">
        <v>29</v>
      </c>
      <c r="N11">
        <f t="shared" si="0"/>
        <v>7</v>
      </c>
      <c r="O11" t="s">
        <v>37</v>
      </c>
      <c r="S11" t="s">
        <v>38</v>
      </c>
      <c r="T11" t="s">
        <v>14</v>
      </c>
    </row>
    <row r="12" spans="2:20" x14ac:dyDescent="0.35">
      <c r="B12" t="s">
        <v>39</v>
      </c>
      <c r="C12" s="48" t="s">
        <v>29</v>
      </c>
      <c r="D12" t="s">
        <v>29</v>
      </c>
      <c r="N12">
        <f t="shared" si="0"/>
        <v>8</v>
      </c>
      <c r="O12" t="s">
        <v>40</v>
      </c>
      <c r="S12" t="s">
        <v>41</v>
      </c>
      <c r="T12" t="s">
        <v>14</v>
      </c>
    </row>
    <row r="13" spans="2:20" x14ac:dyDescent="0.35">
      <c r="B13" s="48" t="s">
        <v>22</v>
      </c>
      <c r="C13" s="48" t="s">
        <v>11</v>
      </c>
      <c r="D13" s="48" t="s">
        <v>22</v>
      </c>
      <c r="N13">
        <f t="shared" si="0"/>
        <v>9</v>
      </c>
      <c r="O13" t="s">
        <v>42</v>
      </c>
      <c r="S13" t="s">
        <v>43</v>
      </c>
      <c r="T13" t="s">
        <v>14</v>
      </c>
    </row>
    <row r="14" spans="2:20" x14ac:dyDescent="0.35">
      <c r="B14" s="48" t="s">
        <v>44</v>
      </c>
      <c r="C14" s="48" t="s">
        <v>11</v>
      </c>
      <c r="D14" s="48" t="s">
        <v>44</v>
      </c>
      <c r="N14">
        <f t="shared" si="0"/>
        <v>10</v>
      </c>
      <c r="O14" t="s">
        <v>45</v>
      </c>
      <c r="S14" t="s">
        <v>46</v>
      </c>
      <c r="T14" t="s">
        <v>14</v>
      </c>
    </row>
    <row r="15" spans="2:20" x14ac:dyDescent="0.35">
      <c r="B15" s="48" t="s">
        <v>47</v>
      </c>
      <c r="C15" t="s">
        <v>19</v>
      </c>
      <c r="D15" s="48" t="s">
        <v>19</v>
      </c>
      <c r="N15">
        <f t="shared" si="0"/>
        <v>11</v>
      </c>
      <c r="O15" t="s">
        <v>48</v>
      </c>
      <c r="S15" t="s">
        <v>49</v>
      </c>
      <c r="T15" t="s">
        <v>14</v>
      </c>
    </row>
    <row r="16" spans="2:20" x14ac:dyDescent="0.35">
      <c r="B16" s="48" t="s">
        <v>50</v>
      </c>
      <c r="C16" t="s">
        <v>19</v>
      </c>
      <c r="D16" s="48" t="str">
        <f>D8</f>
        <v>WTI Sprds</v>
      </c>
      <c r="N16">
        <f t="shared" si="0"/>
        <v>12</v>
      </c>
      <c r="O16" t="s">
        <v>51</v>
      </c>
      <c r="S16" t="s">
        <v>52</v>
      </c>
      <c r="T16" t="s">
        <v>14</v>
      </c>
    </row>
    <row r="17" spans="2:20" x14ac:dyDescent="0.35">
      <c r="B17" s="48" t="s">
        <v>53</v>
      </c>
      <c r="C17" s="48" t="s">
        <v>53</v>
      </c>
      <c r="D17" s="48" t="s">
        <v>53</v>
      </c>
      <c r="S17" t="s">
        <v>54</v>
      </c>
      <c r="T17" t="s">
        <v>14</v>
      </c>
    </row>
    <row r="18" spans="2:20" x14ac:dyDescent="0.35">
      <c r="B18" s="48" t="s">
        <v>55</v>
      </c>
      <c r="C18" s="48" t="s">
        <v>55</v>
      </c>
      <c r="D18" s="48" t="s">
        <v>55</v>
      </c>
      <c r="S18" t="s">
        <v>56</v>
      </c>
      <c r="T18" t="s">
        <v>14</v>
      </c>
    </row>
    <row r="19" spans="2:20" x14ac:dyDescent="0.35">
      <c r="B19" s="48" t="s">
        <v>55</v>
      </c>
      <c r="C19" s="48" t="s">
        <v>55</v>
      </c>
      <c r="D19" s="48" t="s">
        <v>55</v>
      </c>
      <c r="S19" t="s">
        <v>57</v>
      </c>
      <c r="T19" t="s">
        <v>14</v>
      </c>
    </row>
    <row r="20" spans="2:20" x14ac:dyDescent="0.35">
      <c r="S20" t="s">
        <v>58</v>
      </c>
      <c r="T20" t="s">
        <v>14</v>
      </c>
    </row>
    <row r="21" spans="2:20" x14ac:dyDescent="0.35">
      <c r="S21" t="s">
        <v>59</v>
      </c>
      <c r="T21" t="s">
        <v>14</v>
      </c>
    </row>
    <row r="22" spans="2:20" x14ac:dyDescent="0.35">
      <c r="B22" t="s">
        <v>60</v>
      </c>
      <c r="S22" t="s">
        <v>61</v>
      </c>
      <c r="T22" t="s">
        <v>14</v>
      </c>
    </row>
    <row r="23" spans="2:20" x14ac:dyDescent="0.35">
      <c r="B23" t="s">
        <v>3</v>
      </c>
      <c r="S23" t="s">
        <v>62</v>
      </c>
      <c r="T23" t="s">
        <v>14</v>
      </c>
    </row>
    <row r="24" spans="2:20" x14ac:dyDescent="0.35">
      <c r="B24" t="s">
        <v>7</v>
      </c>
      <c r="S24" t="s">
        <v>63</v>
      </c>
      <c r="T24" t="s">
        <v>14</v>
      </c>
    </row>
    <row r="25" spans="2:20" x14ac:dyDescent="0.35">
      <c r="B25" t="s">
        <v>10</v>
      </c>
      <c r="S25" t="s">
        <v>64</v>
      </c>
      <c r="T25" t="s">
        <v>14</v>
      </c>
    </row>
    <row r="26" spans="2:20" x14ac:dyDescent="0.35">
      <c r="B26" t="s">
        <v>16</v>
      </c>
      <c r="S26" t="s">
        <v>65</v>
      </c>
      <c r="T26" t="s">
        <v>14</v>
      </c>
    </row>
    <row r="27" spans="2:20" x14ac:dyDescent="0.35">
      <c r="S27" t="s">
        <v>66</v>
      </c>
      <c r="T27" t="s">
        <v>14</v>
      </c>
    </row>
    <row r="28" spans="2:20" x14ac:dyDescent="0.35">
      <c r="B28" t="s">
        <v>16</v>
      </c>
      <c r="S28" t="s">
        <v>67</v>
      </c>
      <c r="T28" t="s">
        <v>14</v>
      </c>
    </row>
    <row r="29" spans="2:20" x14ac:dyDescent="0.35">
      <c r="B29" t="s">
        <v>3</v>
      </c>
      <c r="S29" t="s">
        <v>68</v>
      </c>
      <c r="T29" t="s">
        <v>14</v>
      </c>
    </row>
    <row r="30" spans="2:20" x14ac:dyDescent="0.35">
      <c r="B30" t="s">
        <v>29</v>
      </c>
      <c r="S30" t="s">
        <v>69</v>
      </c>
      <c r="T30" t="s">
        <v>14</v>
      </c>
    </row>
    <row r="31" spans="2:20" x14ac:dyDescent="0.35">
      <c r="B31" t="s">
        <v>10</v>
      </c>
      <c r="S31" t="s">
        <v>70</v>
      </c>
      <c r="T31" t="s">
        <v>14</v>
      </c>
    </row>
    <row r="32" spans="2:20" x14ac:dyDescent="0.35">
      <c r="B32" t="s">
        <v>29</v>
      </c>
      <c r="S32" t="s">
        <v>71</v>
      </c>
      <c r="T32" t="s">
        <v>14</v>
      </c>
    </row>
    <row r="33" spans="2:20" x14ac:dyDescent="0.35">
      <c r="B33" t="s">
        <v>29</v>
      </c>
      <c r="S33" t="s">
        <v>72</v>
      </c>
      <c r="T33" t="s">
        <v>14</v>
      </c>
    </row>
    <row r="34" spans="2:20" x14ac:dyDescent="0.35">
      <c r="B34" t="s">
        <v>22</v>
      </c>
      <c r="S34" t="s">
        <v>73</v>
      </c>
      <c r="T34" t="s">
        <v>14</v>
      </c>
    </row>
    <row r="35" spans="2:20" x14ac:dyDescent="0.35">
      <c r="B35" t="s">
        <v>44</v>
      </c>
      <c r="S35" t="s">
        <v>74</v>
      </c>
      <c r="T35" t="s">
        <v>14</v>
      </c>
    </row>
    <row r="36" spans="2:20" x14ac:dyDescent="0.35">
      <c r="B36" t="s">
        <v>19</v>
      </c>
      <c r="S36" t="s">
        <v>75</v>
      </c>
      <c r="T36" t="s">
        <v>14</v>
      </c>
    </row>
    <row r="37" spans="2:20" x14ac:dyDescent="0.35">
      <c r="B37" t="s">
        <v>3</v>
      </c>
      <c r="S37" t="s">
        <v>76</v>
      </c>
      <c r="T37" t="s">
        <v>14</v>
      </c>
    </row>
    <row r="38" spans="2:20" x14ac:dyDescent="0.35">
      <c r="B38" t="s">
        <v>55</v>
      </c>
      <c r="S38" t="s">
        <v>77</v>
      </c>
      <c r="T38" t="s">
        <v>14</v>
      </c>
    </row>
    <row r="39" spans="2:20" x14ac:dyDescent="0.35">
      <c r="S39" t="s">
        <v>78</v>
      </c>
      <c r="T39" t="s">
        <v>14</v>
      </c>
    </row>
    <row r="40" spans="2:20" x14ac:dyDescent="0.35">
      <c r="S40" t="s">
        <v>79</v>
      </c>
      <c r="T40" t="s">
        <v>14</v>
      </c>
    </row>
    <row r="41" spans="2:20" x14ac:dyDescent="0.35">
      <c r="S41" t="s">
        <v>80</v>
      </c>
      <c r="T41" t="s">
        <v>14</v>
      </c>
    </row>
    <row r="42" spans="2:20" x14ac:dyDescent="0.35">
      <c r="S42" t="s">
        <v>81</v>
      </c>
      <c r="T42" t="s">
        <v>14</v>
      </c>
    </row>
    <row r="43" spans="2:20" x14ac:dyDescent="0.35">
      <c r="S43" t="s">
        <v>82</v>
      </c>
      <c r="T43" t="s">
        <v>14</v>
      </c>
    </row>
    <row r="44" spans="2:20" x14ac:dyDescent="0.35">
      <c r="S44" t="s">
        <v>83</v>
      </c>
      <c r="T44" t="s">
        <v>14</v>
      </c>
    </row>
    <row r="45" spans="2:20" x14ac:dyDescent="0.35">
      <c r="S45" t="s">
        <v>84</v>
      </c>
      <c r="T45" t="s">
        <v>14</v>
      </c>
    </row>
    <row r="46" spans="2:20" x14ac:dyDescent="0.35">
      <c r="S46" t="s">
        <v>85</v>
      </c>
      <c r="T46" t="s">
        <v>14</v>
      </c>
    </row>
    <row r="47" spans="2:20" x14ac:dyDescent="0.35">
      <c r="S47" t="s">
        <v>86</v>
      </c>
      <c r="T47" t="s">
        <v>14</v>
      </c>
    </row>
    <row r="48" spans="2:20" x14ac:dyDescent="0.35">
      <c r="S48" t="s">
        <v>87</v>
      </c>
      <c r="T48" t="s">
        <v>14</v>
      </c>
    </row>
    <row r="49" spans="19:20" x14ac:dyDescent="0.35">
      <c r="S49" t="s">
        <v>88</v>
      </c>
      <c r="T49" t="s">
        <v>14</v>
      </c>
    </row>
    <row r="50" spans="19:20" x14ac:dyDescent="0.35">
      <c r="S50" t="s">
        <v>89</v>
      </c>
      <c r="T50" t="s">
        <v>14</v>
      </c>
    </row>
    <row r="51" spans="19:20" x14ac:dyDescent="0.35">
      <c r="S51" t="s">
        <v>90</v>
      </c>
      <c r="T51" t="s">
        <v>14</v>
      </c>
    </row>
    <row r="52" spans="19:20" x14ac:dyDescent="0.35">
      <c r="S52" t="s">
        <v>91</v>
      </c>
      <c r="T52" t="s">
        <v>14</v>
      </c>
    </row>
    <row r="53" spans="19:20" x14ac:dyDescent="0.35">
      <c r="S53" t="s">
        <v>92</v>
      </c>
      <c r="T53" t="s">
        <v>14</v>
      </c>
    </row>
    <row r="54" spans="19:20" x14ac:dyDescent="0.35">
      <c r="S54" t="s">
        <v>93</v>
      </c>
      <c r="T54" t="s">
        <v>14</v>
      </c>
    </row>
    <row r="55" spans="19:20" x14ac:dyDescent="0.35">
      <c r="S55" t="s">
        <v>94</v>
      </c>
      <c r="T55" t="s">
        <v>14</v>
      </c>
    </row>
    <row r="56" spans="19:20" x14ac:dyDescent="0.35">
      <c r="S56" t="s">
        <v>95</v>
      </c>
      <c r="T56" t="s">
        <v>96</v>
      </c>
    </row>
    <row r="57" spans="19:20" x14ac:dyDescent="0.35">
      <c r="S57" t="s">
        <v>97</v>
      </c>
      <c r="T57" t="s">
        <v>14</v>
      </c>
    </row>
    <row r="58" spans="19:20" x14ac:dyDescent="0.35">
      <c r="S58" t="s">
        <v>98</v>
      </c>
      <c r="T58" t="s">
        <v>96</v>
      </c>
    </row>
    <row r="59" spans="19:20" x14ac:dyDescent="0.35">
      <c r="S59" t="s">
        <v>99</v>
      </c>
      <c r="T59" t="s">
        <v>96</v>
      </c>
    </row>
    <row r="60" spans="19:20" x14ac:dyDescent="0.35">
      <c r="S60" t="s">
        <v>100</v>
      </c>
      <c r="T60" t="s">
        <v>96</v>
      </c>
    </row>
    <row r="61" spans="19:20" x14ac:dyDescent="0.35">
      <c r="S61" t="s">
        <v>101</v>
      </c>
      <c r="T61" t="s">
        <v>96</v>
      </c>
    </row>
    <row r="62" spans="19:20" x14ac:dyDescent="0.35">
      <c r="S62" t="s">
        <v>102</v>
      </c>
      <c r="T62" t="s">
        <v>96</v>
      </c>
    </row>
    <row r="63" spans="19:20" x14ac:dyDescent="0.35">
      <c r="S63" t="s">
        <v>103</v>
      </c>
      <c r="T63" t="s">
        <v>96</v>
      </c>
    </row>
    <row r="64" spans="19:20" x14ac:dyDescent="0.35">
      <c r="S64" t="s">
        <v>104</v>
      </c>
      <c r="T64" t="s">
        <v>96</v>
      </c>
    </row>
    <row r="65" spans="19:20" x14ac:dyDescent="0.35">
      <c r="S65" t="s">
        <v>105</v>
      </c>
      <c r="T65" t="s">
        <v>96</v>
      </c>
    </row>
  </sheetData>
  <pageMargins left="0.7" right="0.7" top="0.75" bottom="0.75" header="0.3" footer="0.3"/>
  <headerFooter>
    <oddHeader>&amp;C&amp;"Calibri"&amp;10&amp;K008000 Classification: AramcoTrading-US  General Use&amp;1#_x000D_</oddHeader>
    <oddFooter>&amp;C_x000D_&amp;1#&amp;"Calibri"&amp;10&amp;K008000 This content is classified as AramcoTrading-US General Use by Cantafio, Alberto (ATA) on 2025-08-20T18:20:26.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0E6E-C2AF-4373-9ACF-B988F8E7DB94}">
  <sheetPr codeName="Sheet5">
    <tabColor rgb="FFFF66CC"/>
  </sheetPr>
  <dimension ref="A1:AF1503"/>
  <sheetViews>
    <sheetView showGridLines="0" zoomScale="85" zoomScaleNormal="85" workbookViewId="0">
      <pane xSplit="1" ySplit="1" topLeftCell="B1417" activePane="bottomRight" state="frozen"/>
      <selection pane="topRight" activeCell="B1" sqref="B1"/>
      <selection pane="bottomLeft" activeCell="A2" sqref="A2"/>
      <selection pane="bottomRight" activeCell="A1461" sqref="A1461"/>
    </sheetView>
  </sheetViews>
  <sheetFormatPr defaultRowHeight="14.5" x14ac:dyDescent="0.35"/>
  <cols>
    <col min="1" max="1" width="28.7265625" bestFit="1" customWidth="1"/>
    <col min="2" max="2" width="11.54296875" style="37" bestFit="1" customWidth="1"/>
    <col min="3" max="3" width="13.7265625" style="4" bestFit="1" customWidth="1"/>
    <col min="5" max="5" width="11" style="253" bestFit="1" customWidth="1"/>
    <col min="6" max="7" width="11.54296875" bestFit="1" customWidth="1"/>
    <col min="8" max="8" width="14.453125" bestFit="1" customWidth="1"/>
    <col min="9" max="9" width="13" bestFit="1" customWidth="1"/>
    <col min="10" max="11" width="8.7265625" bestFit="1" customWidth="1"/>
    <col min="12" max="12" width="22.453125" customWidth="1"/>
    <col min="14" max="14" width="9.7265625" bestFit="1" customWidth="1"/>
    <col min="15" max="15" width="18" bestFit="1" customWidth="1"/>
    <col min="16" max="17" width="18" customWidth="1"/>
    <col min="18" max="18" width="13" customWidth="1"/>
    <col min="19" max="19" width="18" customWidth="1"/>
    <col min="20" max="20" width="55.453125" bestFit="1" customWidth="1"/>
    <col min="22" max="22" width="13.7265625" bestFit="1" customWidth="1"/>
    <col min="23" max="23" width="14.54296875" bestFit="1" customWidth="1"/>
    <col min="24" max="24" width="11.54296875" bestFit="1" customWidth="1"/>
    <col min="26" max="26" width="13" bestFit="1" customWidth="1"/>
    <col min="27" max="27" width="14.54296875" customWidth="1"/>
    <col min="28" max="28" width="19.26953125" customWidth="1"/>
  </cols>
  <sheetData>
    <row r="1" spans="1:21" x14ac:dyDescent="0.35">
      <c r="A1" t="s">
        <v>106</v>
      </c>
      <c r="B1" s="37" t="s">
        <v>107</v>
      </c>
      <c r="C1" s="4" t="s">
        <v>108</v>
      </c>
      <c r="D1" s="10" t="s">
        <v>109</v>
      </c>
      <c r="E1" s="171" t="s">
        <v>110</v>
      </c>
      <c r="F1" t="s">
        <v>111</v>
      </c>
      <c r="G1" s="4" t="s">
        <v>112</v>
      </c>
      <c r="H1" s="15" t="s">
        <v>113</v>
      </c>
      <c r="I1" s="19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</row>
    <row r="2" spans="1:21" x14ac:dyDescent="0.35">
      <c r="A2" t="s">
        <v>127</v>
      </c>
      <c r="B2" s="16">
        <v>45980</v>
      </c>
      <c r="C2" s="10" t="s">
        <v>3</v>
      </c>
      <c r="D2" s="4" t="s">
        <v>128</v>
      </c>
      <c r="E2" s="253">
        <v>-1122</v>
      </c>
      <c r="F2" s="172">
        <v>45991</v>
      </c>
      <c r="G2" s="172">
        <v>46022</v>
      </c>
      <c r="H2" s="212">
        <v>0.5</v>
      </c>
      <c r="I2" s="192">
        <v>0.5</v>
      </c>
      <c r="J2" s="9">
        <v>0</v>
      </c>
      <c r="K2">
        <v>-561</v>
      </c>
      <c r="L2" s="14" t="s">
        <v>13</v>
      </c>
      <c r="M2" s="8" t="s">
        <v>129</v>
      </c>
      <c r="N2">
        <v>-561</v>
      </c>
      <c r="O2" s="38" t="s">
        <v>4</v>
      </c>
      <c r="P2" s="38" t="s">
        <v>3</v>
      </c>
      <c r="Q2" s="240">
        <v>2025</v>
      </c>
      <c r="R2" t="s">
        <v>129</v>
      </c>
      <c r="S2" t="s">
        <v>14</v>
      </c>
      <c r="T2" t="s">
        <v>130</v>
      </c>
      <c r="U2" t="str">
        <f>IFERROR(_xlfn.XLOOKUP(A2,'2025 EOY'!A:A,'2025 EOY'!B:B),"No")</f>
        <v>No</v>
      </c>
    </row>
    <row r="3" spans="1:21" x14ac:dyDescent="0.35">
      <c r="A3" t="s">
        <v>127</v>
      </c>
      <c r="B3" s="16">
        <v>45980</v>
      </c>
      <c r="C3" s="10" t="s">
        <v>25</v>
      </c>
      <c r="D3" s="4" t="s">
        <v>128</v>
      </c>
      <c r="E3" s="253">
        <v>1122</v>
      </c>
      <c r="F3" s="172">
        <v>45991</v>
      </c>
      <c r="G3" s="172">
        <v>46022</v>
      </c>
      <c r="H3" s="212">
        <v>0.5</v>
      </c>
      <c r="I3" s="192">
        <v>0.5</v>
      </c>
      <c r="J3" s="9"/>
      <c r="K3">
        <v>213.18</v>
      </c>
      <c r="L3" s="14" t="s">
        <v>13</v>
      </c>
      <c r="M3" s="8" t="s">
        <v>131</v>
      </c>
      <c r="N3">
        <v>561</v>
      </c>
      <c r="O3" s="38" t="s">
        <v>4</v>
      </c>
      <c r="P3" s="38" t="s">
        <v>3</v>
      </c>
      <c r="Q3" s="240">
        <v>2025</v>
      </c>
      <c r="R3" t="s">
        <v>131</v>
      </c>
      <c r="S3" t="s">
        <v>14</v>
      </c>
      <c r="T3" t="s">
        <v>132</v>
      </c>
      <c r="U3" t="str">
        <f>IFERROR(_xlfn.XLOOKUP(A3,'2025 EOY'!A:A,'2025 EOY'!B:B),"No")</f>
        <v>No</v>
      </c>
    </row>
    <row r="4" spans="1:21" x14ac:dyDescent="0.35">
      <c r="A4" t="s">
        <v>127</v>
      </c>
      <c r="B4" s="16">
        <v>45980</v>
      </c>
      <c r="C4" s="10" t="s">
        <v>3</v>
      </c>
      <c r="D4" s="4" t="s">
        <v>128</v>
      </c>
      <c r="E4" s="253">
        <v>1122</v>
      </c>
      <c r="F4" s="172">
        <v>46022</v>
      </c>
      <c r="G4" s="172">
        <v>46053</v>
      </c>
      <c r="H4" s="212">
        <v>0.19</v>
      </c>
      <c r="I4" s="192">
        <v>0.19</v>
      </c>
      <c r="J4" s="9"/>
      <c r="K4">
        <v>561</v>
      </c>
      <c r="L4" s="14" t="s">
        <v>18</v>
      </c>
      <c r="M4" s="8" t="s">
        <v>131</v>
      </c>
      <c r="N4">
        <v>213.18</v>
      </c>
      <c r="O4" s="38" t="s">
        <v>4</v>
      </c>
      <c r="P4" s="38" t="s">
        <v>3</v>
      </c>
      <c r="Q4" s="240">
        <v>2025</v>
      </c>
      <c r="R4" t="s">
        <v>131</v>
      </c>
      <c r="S4" t="s">
        <v>14</v>
      </c>
      <c r="T4" t="s">
        <v>133</v>
      </c>
      <c r="U4" t="str">
        <f>IFERROR(_xlfn.XLOOKUP(A4,'2025 EOY'!A:A,'2025 EOY'!B:B),"No")</f>
        <v>No</v>
      </c>
    </row>
    <row r="5" spans="1:21" x14ac:dyDescent="0.35">
      <c r="A5" t="s">
        <v>127</v>
      </c>
      <c r="B5" s="16">
        <v>45980</v>
      </c>
      <c r="C5" s="10" t="s">
        <v>25</v>
      </c>
      <c r="D5" s="4" t="s">
        <v>128</v>
      </c>
      <c r="E5" s="253">
        <v>-1122</v>
      </c>
      <c r="F5" s="172">
        <v>46022</v>
      </c>
      <c r="G5" s="172">
        <v>46053</v>
      </c>
      <c r="H5" s="212">
        <v>0.19</v>
      </c>
      <c r="I5" s="192">
        <v>0.19</v>
      </c>
      <c r="J5" s="9">
        <v>0</v>
      </c>
      <c r="K5">
        <v>-213.18</v>
      </c>
      <c r="L5" s="14" t="s">
        <v>18</v>
      </c>
      <c r="M5" s="8" t="s">
        <v>129</v>
      </c>
      <c r="N5">
        <v>-213.18</v>
      </c>
      <c r="O5" s="38" t="s">
        <v>4</v>
      </c>
      <c r="P5" s="38" t="s">
        <v>3</v>
      </c>
      <c r="Q5" s="240">
        <v>2025</v>
      </c>
      <c r="R5" t="s">
        <v>129</v>
      </c>
      <c r="S5" t="s">
        <v>14</v>
      </c>
      <c r="T5" t="s">
        <v>134</v>
      </c>
      <c r="U5" t="str">
        <f>IFERROR(_xlfn.XLOOKUP(A5,'2025 EOY'!A:A,'2025 EOY'!B:B),"No")</f>
        <v>No</v>
      </c>
    </row>
    <row r="6" spans="1:21" x14ac:dyDescent="0.35">
      <c r="A6" t="s">
        <v>127</v>
      </c>
      <c r="B6" s="174">
        <v>45906</v>
      </c>
      <c r="C6" s="4" t="s">
        <v>22</v>
      </c>
      <c r="D6" s="4" t="s">
        <v>128</v>
      </c>
      <c r="E6" s="253">
        <v>-500</v>
      </c>
      <c r="F6" t="s">
        <v>135</v>
      </c>
      <c r="G6" s="190">
        <v>45777</v>
      </c>
      <c r="H6" s="218">
        <v>2.2599999999999998</v>
      </c>
      <c r="I6" s="191">
        <v>2.2599999999999998</v>
      </c>
      <c r="J6" s="9">
        <v>0</v>
      </c>
      <c r="K6">
        <v>-1130</v>
      </c>
      <c r="L6" s="14" t="s">
        <v>21</v>
      </c>
      <c r="M6" s="8" t="s">
        <v>131</v>
      </c>
      <c r="N6">
        <v>397.59999999999997</v>
      </c>
      <c r="O6" s="38" t="s">
        <v>11</v>
      </c>
      <c r="P6" s="38" t="s">
        <v>16</v>
      </c>
      <c r="Q6">
        <v>2025</v>
      </c>
      <c r="R6" t="s">
        <v>129</v>
      </c>
      <c r="S6" t="s">
        <v>14</v>
      </c>
      <c r="T6" t="s">
        <v>136</v>
      </c>
      <c r="U6" t="str">
        <f>IFERROR(_xlfn.XLOOKUP(A6,'2025 EOY'!A:A,'2025 EOY'!B:B),"No")</f>
        <v>No</v>
      </c>
    </row>
    <row r="7" spans="1:21" x14ac:dyDescent="0.35">
      <c r="A7" t="s">
        <v>127</v>
      </c>
      <c r="B7" s="174">
        <v>45906</v>
      </c>
      <c r="C7" s="4" t="s">
        <v>22</v>
      </c>
      <c r="D7" s="4" t="s">
        <v>128</v>
      </c>
      <c r="E7" s="253">
        <v>500</v>
      </c>
      <c r="F7" t="s">
        <v>137</v>
      </c>
      <c r="G7" s="190">
        <v>45777</v>
      </c>
      <c r="H7" s="15">
        <v>1.86</v>
      </c>
      <c r="I7" s="191">
        <v>1.86</v>
      </c>
      <c r="J7" s="9">
        <v>0</v>
      </c>
      <c r="K7">
        <v>930</v>
      </c>
      <c r="L7" s="14" t="s">
        <v>24</v>
      </c>
      <c r="M7" s="8" t="s">
        <v>131</v>
      </c>
      <c r="N7">
        <v>397.59999999999997</v>
      </c>
      <c r="O7" s="38" t="s">
        <v>11</v>
      </c>
      <c r="P7" s="38" t="s">
        <v>16</v>
      </c>
      <c r="Q7">
        <v>2025</v>
      </c>
      <c r="R7" t="s">
        <v>131</v>
      </c>
      <c r="S7" t="s">
        <v>14</v>
      </c>
      <c r="T7" t="s">
        <v>138</v>
      </c>
      <c r="U7" t="str">
        <f>IFERROR(_xlfn.XLOOKUP(A7,'2025 EOY'!A:A,'2025 EOY'!B:B),"No")</f>
        <v>No</v>
      </c>
    </row>
    <row r="8" spans="1:21" x14ac:dyDescent="0.35">
      <c r="A8" t="s">
        <v>127</v>
      </c>
      <c r="B8" s="174">
        <v>45906</v>
      </c>
      <c r="C8" s="4" t="s">
        <v>22</v>
      </c>
      <c r="D8" s="4" t="s">
        <v>128</v>
      </c>
      <c r="E8" s="253">
        <v>400</v>
      </c>
      <c r="F8" t="s">
        <v>139</v>
      </c>
      <c r="G8" s="181">
        <v>45657</v>
      </c>
      <c r="H8" s="15">
        <v>0.84699999999999998</v>
      </c>
      <c r="I8" s="191">
        <v>0.84699999999999998</v>
      </c>
      <c r="J8" s="9">
        <v>0</v>
      </c>
      <c r="K8">
        <v>338.8</v>
      </c>
      <c r="L8" s="14" t="s">
        <v>27</v>
      </c>
      <c r="M8" s="8" t="s">
        <v>131</v>
      </c>
      <c r="N8">
        <v>397.59999999999997</v>
      </c>
      <c r="O8" s="38" t="s">
        <v>11</v>
      </c>
      <c r="P8" s="38" t="s">
        <v>16</v>
      </c>
      <c r="Q8">
        <v>2024</v>
      </c>
      <c r="R8" t="s">
        <v>131</v>
      </c>
      <c r="S8" t="s">
        <v>14</v>
      </c>
      <c r="T8" t="s">
        <v>140</v>
      </c>
      <c r="U8" t="str">
        <f>IFERROR(_xlfn.XLOOKUP(A8,'2025 EOY'!A:A,'2025 EOY'!B:B),"No")</f>
        <v>No</v>
      </c>
    </row>
    <row r="9" spans="1:21" x14ac:dyDescent="0.35">
      <c r="A9" t="s">
        <v>127</v>
      </c>
      <c r="B9" s="174">
        <v>45906</v>
      </c>
      <c r="C9" s="4" t="s">
        <v>22</v>
      </c>
      <c r="D9" s="4" t="s">
        <v>128</v>
      </c>
      <c r="E9" s="253">
        <v>200</v>
      </c>
      <c r="F9" t="s">
        <v>141</v>
      </c>
      <c r="G9" s="181">
        <v>45657</v>
      </c>
      <c r="H9" s="15">
        <v>-0.09</v>
      </c>
      <c r="I9" s="191">
        <v>-0.09</v>
      </c>
      <c r="J9" s="9">
        <v>0</v>
      </c>
      <c r="K9">
        <v>-18</v>
      </c>
      <c r="L9" s="14" t="s">
        <v>31</v>
      </c>
      <c r="M9" s="8" t="s">
        <v>131</v>
      </c>
      <c r="N9">
        <v>397.59999999999997</v>
      </c>
      <c r="O9" s="38" t="s">
        <v>11</v>
      </c>
      <c r="P9" s="38" t="s">
        <v>16</v>
      </c>
      <c r="Q9">
        <v>2024</v>
      </c>
      <c r="R9" t="s">
        <v>131</v>
      </c>
      <c r="S9" t="s">
        <v>14</v>
      </c>
      <c r="T9" t="s">
        <v>142</v>
      </c>
      <c r="U9" t="str">
        <f>IFERROR(_xlfn.XLOOKUP(A9,'2025 EOY'!A:A,'2025 EOY'!B:B),"No")</f>
        <v>No</v>
      </c>
    </row>
    <row r="10" spans="1:21" x14ac:dyDescent="0.35">
      <c r="A10" s="37" t="s">
        <v>127</v>
      </c>
      <c r="B10" s="12">
        <v>45719</v>
      </c>
      <c r="C10" s="30" t="s">
        <v>22</v>
      </c>
      <c r="D10" s="4" t="s">
        <v>128</v>
      </c>
      <c r="E10" s="253">
        <v>-200</v>
      </c>
      <c r="F10" t="s">
        <v>143</v>
      </c>
      <c r="G10" s="172">
        <v>45688</v>
      </c>
      <c r="H10" s="15">
        <v>1.32</v>
      </c>
      <c r="I10" s="191">
        <v>1.32</v>
      </c>
      <c r="J10" s="9">
        <v>0</v>
      </c>
      <c r="K10">
        <v>-264</v>
      </c>
      <c r="L10" s="14" t="s">
        <v>35</v>
      </c>
      <c r="M10" s="8" t="s">
        <v>129</v>
      </c>
      <c r="N10">
        <v>-264</v>
      </c>
      <c r="O10" s="38" t="s">
        <v>11</v>
      </c>
      <c r="P10" s="38" t="s">
        <v>16</v>
      </c>
      <c r="Q10">
        <v>2025</v>
      </c>
      <c r="R10" t="s">
        <v>129</v>
      </c>
      <c r="S10" t="s">
        <v>14</v>
      </c>
      <c r="T10" t="s">
        <v>144</v>
      </c>
      <c r="U10" t="str">
        <f>IFERROR(_xlfn.XLOOKUP(A10,'2025 EOY'!A:A,'2025 EOY'!B:B),"No")</f>
        <v>No</v>
      </c>
    </row>
    <row r="11" spans="1:21" x14ac:dyDescent="0.35">
      <c r="A11" s="37" t="s">
        <v>127</v>
      </c>
      <c r="B11" s="12">
        <v>45719</v>
      </c>
      <c r="C11" s="30" t="s">
        <v>22</v>
      </c>
      <c r="D11" s="4" t="s">
        <v>128</v>
      </c>
      <c r="E11" s="253">
        <v>200</v>
      </c>
      <c r="F11" t="s">
        <v>145</v>
      </c>
      <c r="G11" s="172">
        <v>45688</v>
      </c>
      <c r="H11" s="15">
        <v>0.54</v>
      </c>
      <c r="I11" s="191">
        <v>0.54</v>
      </c>
      <c r="J11" s="9">
        <v>0</v>
      </c>
      <c r="K11">
        <v>108</v>
      </c>
      <c r="L11" s="14" t="s">
        <v>38</v>
      </c>
      <c r="M11" s="8" t="s">
        <v>131</v>
      </c>
      <c r="N11">
        <v>108</v>
      </c>
      <c r="O11" s="38" t="s">
        <v>11</v>
      </c>
      <c r="P11" s="38" t="s">
        <v>16</v>
      </c>
      <c r="Q11">
        <v>2025</v>
      </c>
      <c r="R11" t="s">
        <v>131</v>
      </c>
      <c r="S11" t="s">
        <v>14</v>
      </c>
      <c r="T11" t="s">
        <v>146</v>
      </c>
      <c r="U11" t="str">
        <f>IFERROR(_xlfn.XLOOKUP(A11,'2025 EOY'!A:A,'2025 EOY'!B:B),"No")</f>
        <v>No</v>
      </c>
    </row>
    <row r="12" spans="1:21" x14ac:dyDescent="0.35">
      <c r="A12" s="37" t="s">
        <v>147</v>
      </c>
      <c r="B12" s="12">
        <v>45804</v>
      </c>
      <c r="C12" s="10" t="s">
        <v>22</v>
      </c>
      <c r="D12" s="4" t="s">
        <v>128</v>
      </c>
      <c r="E12" s="259">
        <v>-1500</v>
      </c>
      <c r="F12" s="18" t="s">
        <v>148</v>
      </c>
      <c r="G12" s="172">
        <v>45838</v>
      </c>
      <c r="H12" s="15">
        <v>0.47199999999999998</v>
      </c>
      <c r="I12" s="191">
        <v>0.47200000000000009</v>
      </c>
      <c r="J12" s="9">
        <v>-1.6653345369377348E-13</v>
      </c>
      <c r="K12">
        <v>-708</v>
      </c>
      <c r="L12" s="14" t="s">
        <v>41</v>
      </c>
      <c r="M12" s="8" t="s">
        <v>129</v>
      </c>
      <c r="N12">
        <v>-708.00000000000011</v>
      </c>
      <c r="O12" s="38" t="s">
        <v>11</v>
      </c>
      <c r="P12" s="38" t="s">
        <v>16</v>
      </c>
      <c r="Q12">
        <v>2025</v>
      </c>
      <c r="R12" t="s">
        <v>129</v>
      </c>
      <c r="S12" t="s">
        <v>14</v>
      </c>
      <c r="T12" t="s">
        <v>149</v>
      </c>
      <c r="U12" t="str">
        <f>IFERROR(_xlfn.XLOOKUP(A12,'2025 EOY'!A:A,'2025 EOY'!B:B),"No")</f>
        <v>No</v>
      </c>
    </row>
    <row r="13" spans="1:21" x14ac:dyDescent="0.35">
      <c r="A13" s="37" t="s">
        <v>127</v>
      </c>
      <c r="B13" s="12">
        <v>45793</v>
      </c>
      <c r="C13" s="10" t="s">
        <v>22</v>
      </c>
      <c r="D13" s="4" t="s">
        <v>128</v>
      </c>
      <c r="E13" s="253">
        <v>1500</v>
      </c>
      <c r="F13" s="173" t="s">
        <v>148</v>
      </c>
      <c r="G13" s="172">
        <v>45808</v>
      </c>
      <c r="H13" s="15">
        <v>0.47200000000000009</v>
      </c>
      <c r="I13" s="191">
        <v>0.47200000000000009</v>
      </c>
      <c r="J13" s="9">
        <v>0</v>
      </c>
      <c r="K13">
        <v>708.00000000000011</v>
      </c>
      <c r="L13" s="14" t="s">
        <v>43</v>
      </c>
      <c r="M13" s="8" t="s">
        <v>131</v>
      </c>
      <c r="N13">
        <v>708.00000000000011</v>
      </c>
      <c r="O13" s="38" t="s">
        <v>11</v>
      </c>
      <c r="P13" s="38" t="s">
        <v>16</v>
      </c>
      <c r="Q13">
        <v>2025</v>
      </c>
      <c r="R13" t="s">
        <v>131</v>
      </c>
      <c r="S13" t="s">
        <v>14</v>
      </c>
      <c r="T13" t="s">
        <v>150</v>
      </c>
      <c r="U13" t="str">
        <f>IFERROR(_xlfn.XLOOKUP(A13,'2025 EOY'!A:A,'2025 EOY'!B:B),"No")</f>
        <v>No</v>
      </c>
    </row>
    <row r="14" spans="1:21" ht="15.65" customHeight="1" x14ac:dyDescent="0.35">
      <c r="A14" t="s">
        <v>127</v>
      </c>
      <c r="B14" s="37">
        <v>45727</v>
      </c>
      <c r="C14" s="4" t="s">
        <v>3</v>
      </c>
      <c r="D14" t="s">
        <v>128</v>
      </c>
      <c r="E14" s="253">
        <v>-4289</v>
      </c>
      <c r="F14" s="172">
        <v>45626</v>
      </c>
      <c r="G14" s="172">
        <v>45657</v>
      </c>
      <c r="H14" s="15">
        <v>0.62</v>
      </c>
      <c r="I14" s="192">
        <v>0.52</v>
      </c>
      <c r="J14" s="9">
        <v>428.89999999999992</v>
      </c>
      <c r="K14">
        <v>-2659.18</v>
      </c>
      <c r="L14" s="14" t="s">
        <v>46</v>
      </c>
      <c r="M14" s="8" t="s">
        <v>129</v>
      </c>
      <c r="N14">
        <v>-2230.2800000000002</v>
      </c>
      <c r="O14" s="38" t="s">
        <v>4</v>
      </c>
      <c r="P14" s="38" t="s">
        <v>3</v>
      </c>
      <c r="Q14">
        <v>2024</v>
      </c>
      <c r="R14" t="s">
        <v>129</v>
      </c>
      <c r="S14" t="s">
        <v>14</v>
      </c>
      <c r="T14" t="s">
        <v>151</v>
      </c>
      <c r="U14" t="str">
        <f>IFERROR(_xlfn.XLOOKUP(A14,'2025 EOY'!A:A,'2025 EOY'!B:B),"No")</f>
        <v>No</v>
      </c>
    </row>
    <row r="15" spans="1:21" x14ac:dyDescent="0.35">
      <c r="A15" t="s">
        <v>152</v>
      </c>
      <c r="B15" s="37">
        <v>45727</v>
      </c>
      <c r="C15" s="4" t="s">
        <v>3</v>
      </c>
      <c r="D15" t="s">
        <v>128</v>
      </c>
      <c r="E15" s="253">
        <v>1050</v>
      </c>
      <c r="F15" s="172">
        <v>45626</v>
      </c>
      <c r="G15" s="172">
        <v>45657</v>
      </c>
      <c r="H15" s="15">
        <v>0.62</v>
      </c>
      <c r="I15" s="192">
        <v>0.52</v>
      </c>
      <c r="J15" s="9">
        <v>-104.99999999999997</v>
      </c>
      <c r="K15">
        <v>651</v>
      </c>
      <c r="L15" s="14" t="s">
        <v>46</v>
      </c>
      <c r="M15" s="8" t="s">
        <v>131</v>
      </c>
      <c r="N15">
        <v>546</v>
      </c>
      <c r="O15" s="38" t="s">
        <v>4</v>
      </c>
      <c r="P15" s="38" t="s">
        <v>3</v>
      </c>
      <c r="Q15">
        <v>2024</v>
      </c>
      <c r="R15" t="s">
        <v>131</v>
      </c>
      <c r="S15" t="s">
        <v>14</v>
      </c>
      <c r="T15" t="s">
        <v>153</v>
      </c>
      <c r="U15" t="str">
        <f>IFERROR(_xlfn.XLOOKUP(A15,'2025 EOY'!A:A,'2025 EOY'!B:B),"No")</f>
        <v>No</v>
      </c>
    </row>
    <row r="16" spans="1:21" x14ac:dyDescent="0.35">
      <c r="A16" t="s">
        <v>154</v>
      </c>
      <c r="B16" s="37">
        <v>45727</v>
      </c>
      <c r="C16" s="4" t="s">
        <v>3</v>
      </c>
      <c r="D16" t="s">
        <v>128</v>
      </c>
      <c r="E16" s="253">
        <v>707</v>
      </c>
      <c r="F16" s="172">
        <v>45626</v>
      </c>
      <c r="G16" s="172">
        <v>45657</v>
      </c>
      <c r="H16" s="15">
        <v>0.62</v>
      </c>
      <c r="I16" s="192">
        <v>0.52</v>
      </c>
      <c r="J16" s="9">
        <v>-70.699999999999989</v>
      </c>
      <c r="K16">
        <v>438.34</v>
      </c>
      <c r="L16" s="14" t="s">
        <v>46</v>
      </c>
      <c r="M16" s="8" t="s">
        <v>131</v>
      </c>
      <c r="N16">
        <v>367.64</v>
      </c>
      <c r="O16" s="38" t="s">
        <v>4</v>
      </c>
      <c r="P16" s="38" t="s">
        <v>3</v>
      </c>
      <c r="Q16">
        <v>2024</v>
      </c>
      <c r="R16" t="s">
        <v>131</v>
      </c>
      <c r="S16" t="s">
        <v>14</v>
      </c>
      <c r="T16" t="s">
        <v>155</v>
      </c>
      <c r="U16" t="str">
        <f>IFERROR(_xlfn.XLOOKUP(A16,'2025 EOY'!A:A,'2025 EOY'!B:B),"No")</f>
        <v>No</v>
      </c>
    </row>
    <row r="17" spans="1:26" x14ac:dyDescent="0.35">
      <c r="A17" t="s">
        <v>156</v>
      </c>
      <c r="B17" s="37">
        <v>45727</v>
      </c>
      <c r="C17" s="4" t="s">
        <v>3</v>
      </c>
      <c r="D17" t="s">
        <v>128</v>
      </c>
      <c r="E17" s="253">
        <v>2100</v>
      </c>
      <c r="F17" s="172">
        <v>45626</v>
      </c>
      <c r="G17" s="172">
        <v>45657</v>
      </c>
      <c r="H17" s="15">
        <v>0.62</v>
      </c>
      <c r="I17" s="192">
        <v>0.52</v>
      </c>
      <c r="J17" s="9">
        <v>-209.99999999999994</v>
      </c>
      <c r="K17">
        <v>1302</v>
      </c>
      <c r="L17" s="14" t="s">
        <v>46</v>
      </c>
      <c r="M17" s="8" t="s">
        <v>131</v>
      </c>
      <c r="N17">
        <v>1092</v>
      </c>
      <c r="O17" s="38" t="s">
        <v>4</v>
      </c>
      <c r="P17" s="38" t="s">
        <v>3</v>
      </c>
      <c r="Q17">
        <v>2024</v>
      </c>
      <c r="R17" t="s">
        <v>131</v>
      </c>
      <c r="S17" t="s">
        <v>14</v>
      </c>
      <c r="T17" t="s">
        <v>157</v>
      </c>
      <c r="U17" t="str">
        <f>IFERROR(_xlfn.XLOOKUP(A17,'2025 EOY'!A:A,'2025 EOY'!B:B),"No")</f>
        <v>No</v>
      </c>
    </row>
    <row r="18" spans="1:26" x14ac:dyDescent="0.35">
      <c r="A18" t="s">
        <v>158</v>
      </c>
      <c r="B18" s="37">
        <v>45727</v>
      </c>
      <c r="C18" s="4" t="s">
        <v>3</v>
      </c>
      <c r="D18" t="s">
        <v>128</v>
      </c>
      <c r="E18" s="253">
        <v>432</v>
      </c>
      <c r="F18" s="172">
        <v>45626</v>
      </c>
      <c r="G18" s="172">
        <v>45657</v>
      </c>
      <c r="H18" s="15">
        <v>0.62</v>
      </c>
      <c r="I18" s="192">
        <v>0.52</v>
      </c>
      <c r="J18" s="9">
        <v>-43.199999999999989</v>
      </c>
      <c r="K18">
        <v>267.83999999999997</v>
      </c>
      <c r="L18" s="14" t="s">
        <v>46</v>
      </c>
      <c r="M18" s="8" t="s">
        <v>131</v>
      </c>
      <c r="N18">
        <v>224.64000000000001</v>
      </c>
      <c r="O18" s="38" t="s">
        <v>4</v>
      </c>
      <c r="P18" s="38" t="s">
        <v>3</v>
      </c>
      <c r="Q18">
        <v>2024</v>
      </c>
      <c r="R18" t="s">
        <v>131</v>
      </c>
      <c r="S18" t="s">
        <v>14</v>
      </c>
      <c r="T18" t="s">
        <v>159</v>
      </c>
      <c r="U18" t="str">
        <f>IFERROR(_xlfn.XLOOKUP(A18,'2025 EOY'!A:A,'2025 EOY'!B:B),"No")</f>
        <v>No</v>
      </c>
    </row>
    <row r="19" spans="1:26" x14ac:dyDescent="0.35">
      <c r="A19" t="s">
        <v>127</v>
      </c>
      <c r="B19" s="37">
        <v>45727</v>
      </c>
      <c r="C19" s="4" t="s">
        <v>3</v>
      </c>
      <c r="D19" t="s">
        <v>128</v>
      </c>
      <c r="E19" s="253">
        <v>-1500</v>
      </c>
      <c r="F19" s="172">
        <v>45657</v>
      </c>
      <c r="G19" s="172">
        <v>45688</v>
      </c>
      <c r="H19" s="15">
        <v>0.28000000000000003</v>
      </c>
      <c r="I19" s="192">
        <v>0.15</v>
      </c>
      <c r="J19" s="9">
        <v>195.00000000000006</v>
      </c>
      <c r="K19">
        <v>-420.00000000000006</v>
      </c>
      <c r="L19" s="14" t="s">
        <v>49</v>
      </c>
      <c r="M19" s="8" t="s">
        <v>129</v>
      </c>
      <c r="N19">
        <v>-225</v>
      </c>
      <c r="O19" s="38" t="s">
        <v>4</v>
      </c>
      <c r="P19" s="38" t="s">
        <v>3</v>
      </c>
      <c r="Q19">
        <v>2024</v>
      </c>
      <c r="R19" t="s">
        <v>129</v>
      </c>
      <c r="S19" t="s">
        <v>14</v>
      </c>
      <c r="T19" t="s">
        <v>160</v>
      </c>
      <c r="U19" t="str">
        <f>IFERROR(_xlfn.XLOOKUP(A19,'2025 EOY'!A:A,'2025 EOY'!B:B),"No")</f>
        <v>No</v>
      </c>
    </row>
    <row r="20" spans="1:26" x14ac:dyDescent="0.35">
      <c r="A20" t="s">
        <v>161</v>
      </c>
      <c r="B20" s="37">
        <v>45727</v>
      </c>
      <c r="C20" s="4" t="s">
        <v>3</v>
      </c>
      <c r="D20" t="s">
        <v>128</v>
      </c>
      <c r="E20" s="253">
        <v>-50</v>
      </c>
      <c r="F20" s="172">
        <v>45657</v>
      </c>
      <c r="G20" s="172">
        <v>45688</v>
      </c>
      <c r="H20" s="15">
        <v>0.28000000000000003</v>
      </c>
      <c r="I20" s="192">
        <v>0.15</v>
      </c>
      <c r="J20" s="9">
        <v>6.5000000000000018</v>
      </c>
      <c r="K20">
        <v>-14.000000000000002</v>
      </c>
      <c r="L20" s="14" t="s">
        <v>49</v>
      </c>
      <c r="M20" s="8" t="s">
        <v>129</v>
      </c>
      <c r="N20">
        <v>-7.5</v>
      </c>
      <c r="O20" s="38" t="s">
        <v>4</v>
      </c>
      <c r="P20" s="38" t="s">
        <v>3</v>
      </c>
      <c r="Q20">
        <v>2024</v>
      </c>
      <c r="R20" t="s">
        <v>129</v>
      </c>
      <c r="S20" t="s">
        <v>14</v>
      </c>
      <c r="T20" t="s">
        <v>162</v>
      </c>
      <c r="U20" t="str">
        <f>IFERROR(_xlfn.XLOOKUP(A20,'2025 EOY'!A:A,'2025 EOY'!B:B),"No")</f>
        <v>No</v>
      </c>
    </row>
    <row r="21" spans="1:26" x14ac:dyDescent="0.35">
      <c r="A21" t="s">
        <v>163</v>
      </c>
      <c r="B21" s="37">
        <v>45727</v>
      </c>
      <c r="C21" s="4" t="s">
        <v>3</v>
      </c>
      <c r="D21" t="s">
        <v>128</v>
      </c>
      <c r="E21" s="253">
        <v>-24</v>
      </c>
      <c r="F21" s="172">
        <v>45657</v>
      </c>
      <c r="G21" s="172">
        <v>45688</v>
      </c>
      <c r="H21" s="15">
        <v>0.28000000000000003</v>
      </c>
      <c r="I21" s="192">
        <v>0.15</v>
      </c>
      <c r="J21" s="9">
        <v>3.120000000000001</v>
      </c>
      <c r="K21">
        <v>-6.7200000000000006</v>
      </c>
      <c r="L21" s="14" t="s">
        <v>49</v>
      </c>
      <c r="M21" s="8" t="s">
        <v>129</v>
      </c>
      <c r="N21">
        <v>-3.5999999999999996</v>
      </c>
      <c r="O21" s="38" t="s">
        <v>4</v>
      </c>
      <c r="P21" s="38" t="s">
        <v>3</v>
      </c>
      <c r="Q21">
        <v>2024</v>
      </c>
      <c r="R21" t="s">
        <v>129</v>
      </c>
      <c r="S21" t="s">
        <v>14</v>
      </c>
      <c r="T21" t="s">
        <v>164</v>
      </c>
      <c r="U21" t="str">
        <f>IFERROR(_xlfn.XLOOKUP(A21,'2025 EOY'!A:A,'2025 EOY'!B:B),"No")</f>
        <v>No</v>
      </c>
    </row>
    <row r="22" spans="1:26" x14ac:dyDescent="0.35">
      <c r="A22" t="s">
        <v>165</v>
      </c>
      <c r="B22" s="37">
        <v>45727</v>
      </c>
      <c r="C22" s="4" t="s">
        <v>3</v>
      </c>
      <c r="D22" t="s">
        <v>128</v>
      </c>
      <c r="E22" s="253">
        <v>68</v>
      </c>
      <c r="F22" s="172">
        <v>45657</v>
      </c>
      <c r="G22" s="172">
        <v>45688</v>
      </c>
      <c r="H22" s="15">
        <v>0.28000000000000003</v>
      </c>
      <c r="I22" s="192">
        <v>0.15</v>
      </c>
      <c r="J22" s="9">
        <v>-8.8400000000000016</v>
      </c>
      <c r="K22">
        <v>19.040000000000003</v>
      </c>
      <c r="L22" s="14" t="s">
        <v>49</v>
      </c>
      <c r="M22" s="8" t="s">
        <v>131</v>
      </c>
      <c r="N22">
        <v>10.199999999999999</v>
      </c>
      <c r="O22" s="38" t="s">
        <v>4</v>
      </c>
      <c r="P22" s="38" t="s">
        <v>3</v>
      </c>
      <c r="Q22">
        <v>2024</v>
      </c>
      <c r="R22" t="s">
        <v>131</v>
      </c>
      <c r="S22" t="s">
        <v>14</v>
      </c>
      <c r="T22" t="s">
        <v>166</v>
      </c>
      <c r="U22" t="str">
        <f>IFERROR(_xlfn.XLOOKUP(A22,'2025 EOY'!A:A,'2025 EOY'!B:B),"No")</f>
        <v>No</v>
      </c>
      <c r="Z22">
        <v>28</v>
      </c>
    </row>
    <row r="23" spans="1:26" x14ac:dyDescent="0.35">
      <c r="A23" t="s">
        <v>167</v>
      </c>
      <c r="B23" s="37">
        <v>45727</v>
      </c>
      <c r="C23" s="4" t="s">
        <v>3</v>
      </c>
      <c r="D23" t="s">
        <v>128</v>
      </c>
      <c r="E23" s="253">
        <v>24</v>
      </c>
      <c r="F23" s="172">
        <v>45657</v>
      </c>
      <c r="G23" s="172">
        <v>45688</v>
      </c>
      <c r="H23" s="15">
        <v>0.28000000000000003</v>
      </c>
      <c r="I23" s="192">
        <v>0.15</v>
      </c>
      <c r="J23" s="9">
        <v>-3.120000000000001</v>
      </c>
      <c r="K23">
        <v>6.7200000000000006</v>
      </c>
      <c r="L23" s="14" t="s">
        <v>49</v>
      </c>
      <c r="M23" s="8" t="s">
        <v>131</v>
      </c>
      <c r="N23">
        <v>3.5999999999999996</v>
      </c>
      <c r="O23" s="38" t="s">
        <v>4</v>
      </c>
      <c r="P23" s="38" t="s">
        <v>3</v>
      </c>
      <c r="Q23">
        <v>2024</v>
      </c>
      <c r="R23" t="s">
        <v>131</v>
      </c>
      <c r="S23" t="s">
        <v>14</v>
      </c>
      <c r="T23" t="s">
        <v>168</v>
      </c>
      <c r="U23" t="str">
        <f>IFERROR(_xlfn.XLOOKUP(A23,'2025 EOY'!A:A,'2025 EOY'!B:B),"No")</f>
        <v>No</v>
      </c>
    </row>
    <row r="24" spans="1:26" x14ac:dyDescent="0.35">
      <c r="A24" t="s">
        <v>152</v>
      </c>
      <c r="B24" s="37">
        <v>45727</v>
      </c>
      <c r="C24" s="4" t="s">
        <v>3</v>
      </c>
      <c r="D24" t="s">
        <v>128</v>
      </c>
      <c r="E24" s="253">
        <v>1050</v>
      </c>
      <c r="F24" s="172">
        <v>45657</v>
      </c>
      <c r="G24" s="172">
        <v>45688</v>
      </c>
      <c r="H24" s="15">
        <v>0.28000000000000003</v>
      </c>
      <c r="I24" s="192">
        <v>0.15</v>
      </c>
      <c r="J24" s="9">
        <v>-136.50000000000003</v>
      </c>
      <c r="K24">
        <v>294</v>
      </c>
      <c r="L24" s="14" t="s">
        <v>49</v>
      </c>
      <c r="M24" s="8" t="s">
        <v>131</v>
      </c>
      <c r="N24">
        <v>157.5</v>
      </c>
      <c r="O24" s="38" t="s">
        <v>4</v>
      </c>
      <c r="P24" s="38" t="s">
        <v>3</v>
      </c>
      <c r="Q24">
        <v>2024</v>
      </c>
      <c r="R24" t="s">
        <v>131</v>
      </c>
      <c r="S24" t="s">
        <v>14</v>
      </c>
      <c r="T24" t="s">
        <v>169</v>
      </c>
      <c r="U24" t="str">
        <f>IFERROR(_xlfn.XLOOKUP(A24,'2025 EOY'!A:A,'2025 EOY'!B:B),"No")</f>
        <v>No</v>
      </c>
    </row>
    <row r="25" spans="1:26" x14ac:dyDescent="0.35">
      <c r="A25" t="s">
        <v>158</v>
      </c>
      <c r="B25" s="37">
        <v>45727</v>
      </c>
      <c r="C25" s="4" t="s">
        <v>3</v>
      </c>
      <c r="D25" t="s">
        <v>128</v>
      </c>
      <c r="E25" s="253">
        <v>432</v>
      </c>
      <c r="F25" s="172">
        <v>45657</v>
      </c>
      <c r="G25" s="172">
        <v>45688</v>
      </c>
      <c r="H25" s="15">
        <v>0.28000000000000003</v>
      </c>
      <c r="I25" s="192">
        <v>0.15</v>
      </c>
      <c r="J25" s="9">
        <v>-56.160000000000011</v>
      </c>
      <c r="K25">
        <v>120.96000000000001</v>
      </c>
      <c r="L25" s="14" t="s">
        <v>49</v>
      </c>
      <c r="M25" s="8" t="s">
        <v>131</v>
      </c>
      <c r="N25">
        <v>64.8</v>
      </c>
      <c r="O25" s="38" t="s">
        <v>4</v>
      </c>
      <c r="P25" s="38" t="s">
        <v>3</v>
      </c>
      <c r="Q25">
        <v>2024</v>
      </c>
      <c r="R25" t="s">
        <v>131</v>
      </c>
      <c r="S25" t="s">
        <v>14</v>
      </c>
      <c r="T25" t="s">
        <v>170</v>
      </c>
      <c r="U25" t="str">
        <f>IFERROR(_xlfn.XLOOKUP(A25,'2025 EOY'!A:A,'2025 EOY'!B:B),"No")</f>
        <v>No</v>
      </c>
    </row>
    <row r="26" spans="1:26" x14ac:dyDescent="0.35">
      <c r="A26" t="s">
        <v>171</v>
      </c>
      <c r="B26" s="37">
        <v>45727</v>
      </c>
      <c r="C26" s="4" t="s">
        <v>3</v>
      </c>
      <c r="D26" t="s">
        <v>128</v>
      </c>
      <c r="E26" s="253">
        <v>800</v>
      </c>
      <c r="F26" s="172">
        <v>45688</v>
      </c>
      <c r="G26" s="172">
        <v>45716</v>
      </c>
      <c r="H26" s="15">
        <v>0.42</v>
      </c>
      <c r="I26" s="192">
        <v>0.56000000000000005</v>
      </c>
      <c r="J26" s="9">
        <v>112.00000000000006</v>
      </c>
      <c r="K26">
        <v>336</v>
      </c>
      <c r="L26" s="14" t="s">
        <v>52</v>
      </c>
      <c r="M26" s="8" t="s">
        <v>131</v>
      </c>
      <c r="N26">
        <v>448.00000000000006</v>
      </c>
      <c r="O26" s="38" t="s">
        <v>4</v>
      </c>
      <c r="P26" s="38" t="s">
        <v>3</v>
      </c>
      <c r="Q26">
        <v>2025</v>
      </c>
      <c r="R26" t="s">
        <v>131</v>
      </c>
      <c r="S26" t="s">
        <v>14</v>
      </c>
      <c r="T26" t="s">
        <v>172</v>
      </c>
      <c r="U26" t="str">
        <f>IFERROR(_xlfn.XLOOKUP(A26,'2025 EOY'!A:A,'2025 EOY'!B:B),"No")</f>
        <v>No</v>
      </c>
    </row>
    <row r="27" spans="1:26" x14ac:dyDescent="0.35">
      <c r="A27" t="s">
        <v>173</v>
      </c>
      <c r="B27" s="37">
        <v>45727</v>
      </c>
      <c r="C27" s="4" t="s">
        <v>3</v>
      </c>
      <c r="D27" t="s">
        <v>128</v>
      </c>
      <c r="E27" s="253">
        <v>2096</v>
      </c>
      <c r="F27" s="172">
        <v>45688</v>
      </c>
      <c r="G27" s="172">
        <v>45716</v>
      </c>
      <c r="H27" s="15">
        <v>0.42</v>
      </c>
      <c r="I27" s="192">
        <v>0.56000000000000005</v>
      </c>
      <c r="J27" s="9">
        <v>293.44000000000017</v>
      </c>
      <c r="K27">
        <v>880.31999999999994</v>
      </c>
      <c r="L27" s="14" t="s">
        <v>52</v>
      </c>
      <c r="M27" s="8" t="s">
        <v>131</v>
      </c>
      <c r="N27">
        <v>1173.7600000000002</v>
      </c>
      <c r="O27" s="38" t="s">
        <v>4</v>
      </c>
      <c r="P27" s="38" t="s">
        <v>3</v>
      </c>
      <c r="Q27">
        <v>2025</v>
      </c>
      <c r="R27" t="s">
        <v>131</v>
      </c>
      <c r="S27" t="s">
        <v>14</v>
      </c>
      <c r="T27" t="s">
        <v>174</v>
      </c>
      <c r="U27" t="str">
        <f>IFERROR(_xlfn.XLOOKUP(A27,'2025 EOY'!A:A,'2025 EOY'!B:B),"No")</f>
        <v>No</v>
      </c>
    </row>
    <row r="28" spans="1:26" x14ac:dyDescent="0.35">
      <c r="A28" t="s">
        <v>163</v>
      </c>
      <c r="B28" s="37">
        <v>45727</v>
      </c>
      <c r="C28" s="4" t="s">
        <v>3</v>
      </c>
      <c r="D28" t="s">
        <v>128</v>
      </c>
      <c r="E28" s="253">
        <v>-24</v>
      </c>
      <c r="F28" s="172">
        <v>45688</v>
      </c>
      <c r="G28" s="172">
        <v>45716</v>
      </c>
      <c r="H28" s="15">
        <v>0.42</v>
      </c>
      <c r="I28" s="192">
        <v>0.56000000000000005</v>
      </c>
      <c r="J28" s="9">
        <v>-3.3600000000000017</v>
      </c>
      <c r="K28">
        <v>-10.08</v>
      </c>
      <c r="L28" s="14" t="s">
        <v>52</v>
      </c>
      <c r="M28" s="8" t="s">
        <v>129</v>
      </c>
      <c r="N28">
        <v>-13.440000000000001</v>
      </c>
      <c r="O28" s="38" t="s">
        <v>4</v>
      </c>
      <c r="P28" s="38" t="s">
        <v>3</v>
      </c>
      <c r="Q28">
        <v>2025</v>
      </c>
      <c r="R28" t="s">
        <v>129</v>
      </c>
      <c r="S28" t="s">
        <v>14</v>
      </c>
      <c r="T28" t="s">
        <v>175</v>
      </c>
      <c r="U28" t="str">
        <f>IFERROR(_xlfn.XLOOKUP(A28,'2025 EOY'!A:A,'2025 EOY'!B:B),"No")</f>
        <v>No</v>
      </c>
    </row>
    <row r="29" spans="1:26" x14ac:dyDescent="0.35">
      <c r="A29" t="s">
        <v>176</v>
      </c>
      <c r="B29" s="37">
        <v>45727</v>
      </c>
      <c r="C29" s="4" t="s">
        <v>3</v>
      </c>
      <c r="D29" t="s">
        <v>128</v>
      </c>
      <c r="E29" s="253">
        <v>700</v>
      </c>
      <c r="F29" s="172">
        <v>45688</v>
      </c>
      <c r="G29" s="172">
        <v>45716</v>
      </c>
      <c r="H29" s="15">
        <v>0.42</v>
      </c>
      <c r="I29" s="192">
        <v>0.56000000000000005</v>
      </c>
      <c r="J29" s="9">
        <v>98.000000000000043</v>
      </c>
      <c r="K29">
        <v>294</v>
      </c>
      <c r="L29" s="14" t="s">
        <v>52</v>
      </c>
      <c r="M29" s="8" t="s">
        <v>131</v>
      </c>
      <c r="N29">
        <v>392.00000000000006</v>
      </c>
      <c r="O29" s="38" t="s">
        <v>4</v>
      </c>
      <c r="P29" s="38" t="s">
        <v>3</v>
      </c>
      <c r="Q29">
        <v>2025</v>
      </c>
      <c r="R29" t="s">
        <v>131</v>
      </c>
      <c r="S29" t="s">
        <v>14</v>
      </c>
      <c r="T29" t="s">
        <v>177</v>
      </c>
      <c r="U29" t="str">
        <f>IFERROR(_xlfn.XLOOKUP(A29,'2025 EOY'!A:A,'2025 EOY'!B:B),"No")</f>
        <v>No</v>
      </c>
    </row>
    <row r="30" spans="1:26" x14ac:dyDescent="0.35">
      <c r="A30" t="s">
        <v>167</v>
      </c>
      <c r="B30" s="37">
        <v>45727</v>
      </c>
      <c r="C30" s="4" t="s">
        <v>3</v>
      </c>
      <c r="D30" t="s">
        <v>128</v>
      </c>
      <c r="E30" s="253">
        <v>47</v>
      </c>
      <c r="F30" s="172">
        <v>45688</v>
      </c>
      <c r="G30" s="172">
        <v>45716</v>
      </c>
      <c r="H30" s="15">
        <v>0.42</v>
      </c>
      <c r="I30" s="192">
        <v>0.56000000000000005</v>
      </c>
      <c r="J30" s="9">
        <v>6.5800000000000036</v>
      </c>
      <c r="K30">
        <v>19.739999999999998</v>
      </c>
      <c r="L30" s="14" t="s">
        <v>52</v>
      </c>
      <c r="M30" s="8" t="s">
        <v>131</v>
      </c>
      <c r="N30">
        <v>26.320000000000004</v>
      </c>
      <c r="O30" s="38" t="s">
        <v>4</v>
      </c>
      <c r="P30" s="38" t="s">
        <v>3</v>
      </c>
      <c r="Q30">
        <v>2025</v>
      </c>
      <c r="R30" t="s">
        <v>131</v>
      </c>
      <c r="S30" t="s">
        <v>14</v>
      </c>
      <c r="T30" t="s">
        <v>178</v>
      </c>
      <c r="U30" t="str">
        <f>IFERROR(_xlfn.XLOOKUP(A30,'2025 EOY'!A:A,'2025 EOY'!B:B),"No")</f>
        <v>No</v>
      </c>
    </row>
    <row r="31" spans="1:26" x14ac:dyDescent="0.35">
      <c r="A31" t="s">
        <v>154</v>
      </c>
      <c r="B31" s="37">
        <v>45727</v>
      </c>
      <c r="C31" s="4" t="s">
        <v>3</v>
      </c>
      <c r="D31" t="s">
        <v>128</v>
      </c>
      <c r="E31" s="253">
        <v>35</v>
      </c>
      <c r="F31" s="172">
        <v>45688</v>
      </c>
      <c r="G31" s="172">
        <v>45716</v>
      </c>
      <c r="H31" s="15">
        <v>0.42</v>
      </c>
      <c r="I31" s="192">
        <v>0.56000000000000005</v>
      </c>
      <c r="J31" s="9">
        <v>4.9000000000000021</v>
      </c>
      <c r="K31">
        <v>14.7</v>
      </c>
      <c r="L31" s="14" t="s">
        <v>52</v>
      </c>
      <c r="M31" s="8" t="s">
        <v>131</v>
      </c>
      <c r="N31">
        <v>19.600000000000001</v>
      </c>
      <c r="O31" s="38" t="s">
        <v>4</v>
      </c>
      <c r="P31" s="38" t="s">
        <v>3</v>
      </c>
      <c r="Q31">
        <v>2025</v>
      </c>
      <c r="R31" t="s">
        <v>131</v>
      </c>
      <c r="S31" t="s">
        <v>14</v>
      </c>
      <c r="T31" t="s">
        <v>179</v>
      </c>
      <c r="U31" t="str">
        <f>IFERROR(_xlfn.XLOOKUP(A31,'2025 EOY'!A:A,'2025 EOY'!B:B),"No")</f>
        <v>No</v>
      </c>
    </row>
    <row r="32" spans="1:26" x14ac:dyDescent="0.35">
      <c r="A32" t="s">
        <v>180</v>
      </c>
      <c r="B32" s="37">
        <v>45727</v>
      </c>
      <c r="C32" s="4" t="s">
        <v>3</v>
      </c>
      <c r="D32" t="s">
        <v>128</v>
      </c>
      <c r="E32" s="253">
        <v>735</v>
      </c>
      <c r="F32" s="172">
        <v>45688</v>
      </c>
      <c r="G32" s="172">
        <v>45716</v>
      </c>
      <c r="H32" s="15">
        <v>0.42</v>
      </c>
      <c r="I32" s="192">
        <v>0.56000000000000005</v>
      </c>
      <c r="J32" s="9">
        <v>102.90000000000005</v>
      </c>
      <c r="K32">
        <v>308.7</v>
      </c>
      <c r="L32" s="14" t="s">
        <v>52</v>
      </c>
      <c r="M32" s="8" t="s">
        <v>131</v>
      </c>
      <c r="N32">
        <v>411.6</v>
      </c>
      <c r="O32" s="38" t="s">
        <v>4</v>
      </c>
      <c r="P32" s="38" t="s">
        <v>3</v>
      </c>
      <c r="Q32">
        <v>2025</v>
      </c>
      <c r="R32" t="s">
        <v>131</v>
      </c>
      <c r="S32" t="s">
        <v>14</v>
      </c>
      <c r="T32" t="s">
        <v>181</v>
      </c>
      <c r="U32" t="str">
        <f>IFERROR(_xlfn.XLOOKUP(A32,'2025 EOY'!A:A,'2025 EOY'!B:B),"No")</f>
        <v>No</v>
      </c>
    </row>
    <row r="33" spans="1:21" x14ac:dyDescent="0.35">
      <c r="A33" t="s">
        <v>127</v>
      </c>
      <c r="B33" s="37">
        <v>45727</v>
      </c>
      <c r="C33" s="4" t="s">
        <v>3</v>
      </c>
      <c r="D33" t="s">
        <v>128</v>
      </c>
      <c r="E33" s="253">
        <v>-4389</v>
      </c>
      <c r="F33" s="172">
        <v>45688</v>
      </c>
      <c r="G33" s="172">
        <v>45716</v>
      </c>
      <c r="H33" s="15">
        <v>0.42</v>
      </c>
      <c r="I33" s="192">
        <v>0.56000000000000005</v>
      </c>
      <c r="J33" s="9">
        <v>-614.46000000000026</v>
      </c>
      <c r="K33">
        <v>-1843.3799999999999</v>
      </c>
      <c r="L33" s="14" t="s">
        <v>52</v>
      </c>
      <c r="M33" s="8" t="s">
        <v>129</v>
      </c>
      <c r="N33">
        <v>-2457.84</v>
      </c>
      <c r="O33" s="38" t="s">
        <v>4</v>
      </c>
      <c r="P33" s="38" t="s">
        <v>3</v>
      </c>
      <c r="Q33">
        <v>2025</v>
      </c>
      <c r="R33" t="s">
        <v>129</v>
      </c>
      <c r="S33" t="s">
        <v>14</v>
      </c>
      <c r="T33" t="s">
        <v>182</v>
      </c>
      <c r="U33" t="str">
        <f>IFERROR(_xlfn.XLOOKUP(A33,'2025 EOY'!A:A,'2025 EOY'!B:B),"No")</f>
        <v>No</v>
      </c>
    </row>
    <row r="34" spans="1:21" x14ac:dyDescent="0.35">
      <c r="A34" t="s">
        <v>183</v>
      </c>
      <c r="B34" s="37">
        <v>45727</v>
      </c>
      <c r="C34" s="4" t="s">
        <v>3</v>
      </c>
      <c r="D34" t="s">
        <v>128</v>
      </c>
      <c r="E34" s="253">
        <v>2079</v>
      </c>
      <c r="F34" s="172">
        <v>45716</v>
      </c>
      <c r="G34" s="172">
        <v>45747</v>
      </c>
      <c r="H34" s="15">
        <v>0.39</v>
      </c>
      <c r="I34" s="192">
        <v>0.49</v>
      </c>
      <c r="J34" s="9">
        <v>207.89999999999995</v>
      </c>
      <c r="K34">
        <v>810.81000000000006</v>
      </c>
      <c r="L34" s="14" t="s">
        <v>54</v>
      </c>
      <c r="M34" s="8" t="s">
        <v>131</v>
      </c>
      <c r="N34">
        <v>1018.71</v>
      </c>
      <c r="O34" s="38" t="s">
        <v>4</v>
      </c>
      <c r="P34" s="38" t="s">
        <v>3</v>
      </c>
      <c r="Q34">
        <v>2025</v>
      </c>
      <c r="R34" t="s">
        <v>131</v>
      </c>
      <c r="S34" t="s">
        <v>14</v>
      </c>
      <c r="T34" t="s">
        <v>184</v>
      </c>
      <c r="U34" t="str">
        <f>IFERROR(_xlfn.XLOOKUP(A34,'2025 EOY'!A:A,'2025 EOY'!B:B),"No")</f>
        <v>No</v>
      </c>
    </row>
    <row r="35" spans="1:21" x14ac:dyDescent="0.35">
      <c r="A35" t="s">
        <v>185</v>
      </c>
      <c r="B35" s="37">
        <v>45727</v>
      </c>
      <c r="C35" s="4" t="s">
        <v>3</v>
      </c>
      <c r="D35" t="s">
        <v>128</v>
      </c>
      <c r="E35" s="253">
        <v>704</v>
      </c>
      <c r="F35" s="172">
        <v>45716</v>
      </c>
      <c r="G35" s="172">
        <v>45747</v>
      </c>
      <c r="H35" s="15">
        <v>0.39</v>
      </c>
      <c r="I35" s="192">
        <v>0.49</v>
      </c>
      <c r="J35" s="9">
        <v>70.399999999999977</v>
      </c>
      <c r="K35">
        <v>274.56</v>
      </c>
      <c r="L35" s="14" t="s">
        <v>54</v>
      </c>
      <c r="M35" s="8" t="s">
        <v>131</v>
      </c>
      <c r="N35">
        <v>344.96</v>
      </c>
      <c r="O35" s="38" t="s">
        <v>4</v>
      </c>
      <c r="P35" s="38" t="s">
        <v>3</v>
      </c>
      <c r="Q35">
        <v>2025</v>
      </c>
      <c r="R35" t="s">
        <v>131</v>
      </c>
      <c r="S35" t="s">
        <v>14</v>
      </c>
      <c r="T35" t="s">
        <v>186</v>
      </c>
      <c r="U35" t="str">
        <f>IFERROR(_xlfn.XLOOKUP(A35,'2025 EOY'!A:A,'2025 EOY'!B:B),"No")</f>
        <v>No</v>
      </c>
    </row>
    <row r="36" spans="1:21" x14ac:dyDescent="0.35">
      <c r="A36" t="s">
        <v>173</v>
      </c>
      <c r="B36" s="37">
        <v>45727</v>
      </c>
      <c r="C36" s="4" t="s">
        <v>3</v>
      </c>
      <c r="D36" t="s">
        <v>128</v>
      </c>
      <c r="E36" s="253">
        <v>2096</v>
      </c>
      <c r="F36" s="172">
        <v>45716</v>
      </c>
      <c r="G36" s="172">
        <v>45747</v>
      </c>
      <c r="H36" s="15">
        <v>0.39</v>
      </c>
      <c r="I36" s="192">
        <v>0.49</v>
      </c>
      <c r="J36" s="9">
        <v>209.59999999999997</v>
      </c>
      <c r="K36">
        <v>817.44</v>
      </c>
      <c r="L36" s="14" t="s">
        <v>54</v>
      </c>
      <c r="M36" s="8" t="s">
        <v>131</v>
      </c>
      <c r="N36">
        <v>1027.04</v>
      </c>
      <c r="O36" s="38" t="s">
        <v>4</v>
      </c>
      <c r="P36" s="38" t="s">
        <v>3</v>
      </c>
      <c r="Q36">
        <v>2025</v>
      </c>
      <c r="R36" t="s">
        <v>131</v>
      </c>
      <c r="S36" t="s">
        <v>14</v>
      </c>
      <c r="T36" t="s">
        <v>187</v>
      </c>
      <c r="U36" t="str">
        <f>IFERROR(_xlfn.XLOOKUP(A36,'2025 EOY'!A:A,'2025 EOY'!B:B),"No")</f>
        <v>No</v>
      </c>
    </row>
    <row r="37" spans="1:21" x14ac:dyDescent="0.35">
      <c r="A37" t="s">
        <v>188</v>
      </c>
      <c r="B37" s="37">
        <v>45727</v>
      </c>
      <c r="C37" s="4" t="s">
        <v>3</v>
      </c>
      <c r="D37" t="s">
        <v>128</v>
      </c>
      <c r="E37" s="253">
        <v>68</v>
      </c>
      <c r="F37" s="172">
        <v>45716</v>
      </c>
      <c r="G37" s="172">
        <v>45747</v>
      </c>
      <c r="H37" s="15">
        <v>0.39</v>
      </c>
      <c r="I37" s="192">
        <v>0.49</v>
      </c>
      <c r="J37" s="9">
        <v>6.7999999999999989</v>
      </c>
      <c r="K37">
        <v>26.52</v>
      </c>
      <c r="L37" s="14" t="s">
        <v>54</v>
      </c>
      <c r="M37" s="8" t="s">
        <v>131</v>
      </c>
      <c r="N37">
        <v>33.32</v>
      </c>
      <c r="O37" s="38" t="s">
        <v>4</v>
      </c>
      <c r="P37" s="38" t="s">
        <v>3</v>
      </c>
      <c r="Q37">
        <v>2025</v>
      </c>
      <c r="R37" t="s">
        <v>131</v>
      </c>
      <c r="S37" t="s">
        <v>14</v>
      </c>
      <c r="T37" t="s">
        <v>189</v>
      </c>
      <c r="U37" t="str">
        <f>IFERROR(_xlfn.XLOOKUP(A37,'2025 EOY'!A:A,'2025 EOY'!B:B),"No")</f>
        <v>No</v>
      </c>
    </row>
    <row r="38" spans="1:21" ht="14.25" customHeight="1" x14ac:dyDescent="0.35">
      <c r="A38" t="s">
        <v>154</v>
      </c>
      <c r="B38" s="37">
        <v>45727</v>
      </c>
      <c r="C38" s="4" t="s">
        <v>3</v>
      </c>
      <c r="D38" t="s">
        <v>128</v>
      </c>
      <c r="E38" s="253">
        <v>-700</v>
      </c>
      <c r="F38" s="172">
        <v>45716</v>
      </c>
      <c r="G38" s="172">
        <v>45747</v>
      </c>
      <c r="H38" s="15">
        <v>0.39</v>
      </c>
      <c r="I38" s="192">
        <v>0.49</v>
      </c>
      <c r="J38" s="9">
        <v>-69.999999999999986</v>
      </c>
      <c r="K38">
        <v>-273</v>
      </c>
      <c r="L38" s="14" t="s">
        <v>54</v>
      </c>
      <c r="M38" s="8" t="s">
        <v>129</v>
      </c>
      <c r="N38">
        <v>-343</v>
      </c>
      <c r="O38" s="38" t="s">
        <v>4</v>
      </c>
      <c r="P38" s="38" t="s">
        <v>3</v>
      </c>
      <c r="Q38">
        <v>2025</v>
      </c>
      <c r="R38" t="s">
        <v>129</v>
      </c>
      <c r="S38" t="s">
        <v>14</v>
      </c>
      <c r="T38" t="s">
        <v>190</v>
      </c>
      <c r="U38" t="str">
        <f>IFERROR(_xlfn.XLOOKUP(A38,'2025 EOY'!A:A,'2025 EOY'!B:B),"No")</f>
        <v>No</v>
      </c>
    </row>
    <row r="39" spans="1:21" x14ac:dyDescent="0.35">
      <c r="A39" t="s">
        <v>180</v>
      </c>
      <c r="B39" s="37">
        <v>45727</v>
      </c>
      <c r="C39" s="4" t="s">
        <v>3</v>
      </c>
      <c r="D39" t="s">
        <v>128</v>
      </c>
      <c r="E39" s="253">
        <v>735</v>
      </c>
      <c r="F39" s="172">
        <v>45716</v>
      </c>
      <c r="G39" s="172">
        <v>45747</v>
      </c>
      <c r="H39" s="15">
        <v>0.39</v>
      </c>
      <c r="I39" s="192">
        <v>0.49</v>
      </c>
      <c r="J39" s="9">
        <v>73.499999999999986</v>
      </c>
      <c r="K39">
        <v>286.65000000000003</v>
      </c>
      <c r="L39" s="14" t="s">
        <v>54</v>
      </c>
      <c r="M39" s="8" t="s">
        <v>131</v>
      </c>
      <c r="N39">
        <v>360.15</v>
      </c>
      <c r="O39" s="38" t="s">
        <v>4</v>
      </c>
      <c r="P39" s="38" t="s">
        <v>3</v>
      </c>
      <c r="Q39">
        <v>2025</v>
      </c>
      <c r="R39" t="s">
        <v>131</v>
      </c>
      <c r="S39" t="s">
        <v>14</v>
      </c>
      <c r="T39" t="s">
        <v>191</v>
      </c>
      <c r="U39" t="str">
        <f>IFERROR(_xlfn.XLOOKUP(A39,'2025 EOY'!A:A,'2025 EOY'!B:B),"No")</f>
        <v>No</v>
      </c>
    </row>
    <row r="40" spans="1:21" x14ac:dyDescent="0.35">
      <c r="A40" t="s">
        <v>127</v>
      </c>
      <c r="B40" s="37">
        <v>45727</v>
      </c>
      <c r="C40" s="4" t="s">
        <v>3</v>
      </c>
      <c r="D40" t="s">
        <v>128</v>
      </c>
      <c r="E40" s="253">
        <v>-4982</v>
      </c>
      <c r="F40" s="172">
        <v>45716</v>
      </c>
      <c r="G40" s="172">
        <v>45747</v>
      </c>
      <c r="H40" s="15">
        <v>0.39</v>
      </c>
      <c r="I40" s="192">
        <v>0.49</v>
      </c>
      <c r="J40" s="9">
        <v>-498.19999999999987</v>
      </c>
      <c r="K40">
        <v>-1942.98</v>
      </c>
      <c r="L40" s="14" t="s">
        <v>54</v>
      </c>
      <c r="M40" s="8" t="s">
        <v>129</v>
      </c>
      <c r="N40">
        <v>-2441.1799999999998</v>
      </c>
      <c r="O40" s="38" t="s">
        <v>4</v>
      </c>
      <c r="P40" s="38" t="s">
        <v>3</v>
      </c>
      <c r="Q40">
        <v>2025</v>
      </c>
      <c r="R40" t="s">
        <v>129</v>
      </c>
      <c r="S40" t="s">
        <v>14</v>
      </c>
      <c r="T40" t="s">
        <v>192</v>
      </c>
      <c r="U40" t="str">
        <f>IFERROR(_xlfn.XLOOKUP(A40,'2025 EOY'!A:A,'2025 EOY'!B:B),"No")</f>
        <v>No</v>
      </c>
    </row>
    <row r="41" spans="1:21" x14ac:dyDescent="0.35">
      <c r="A41" t="s">
        <v>193</v>
      </c>
      <c r="B41" s="37">
        <v>45727</v>
      </c>
      <c r="C41" s="4" t="s">
        <v>3</v>
      </c>
      <c r="D41" t="s">
        <v>128</v>
      </c>
      <c r="E41" s="253">
        <v>2100</v>
      </c>
      <c r="F41" s="172">
        <v>45747</v>
      </c>
      <c r="G41" s="172">
        <v>45777</v>
      </c>
      <c r="H41" s="15">
        <v>0.42</v>
      </c>
      <c r="I41" s="192">
        <v>0.15</v>
      </c>
      <c r="J41" s="9">
        <v>-567</v>
      </c>
      <c r="K41">
        <v>882</v>
      </c>
      <c r="L41" s="14" t="s">
        <v>56</v>
      </c>
      <c r="M41" s="8" t="s">
        <v>131</v>
      </c>
      <c r="N41">
        <v>315</v>
      </c>
      <c r="O41" s="38" t="s">
        <v>4</v>
      </c>
      <c r="P41" s="38" t="s">
        <v>3</v>
      </c>
      <c r="Q41">
        <v>2025</v>
      </c>
      <c r="R41" t="s">
        <v>131</v>
      </c>
      <c r="S41" t="s">
        <v>14</v>
      </c>
      <c r="T41" t="s">
        <v>194</v>
      </c>
      <c r="U41" t="str">
        <f>IFERROR(_xlfn.XLOOKUP(A41,'2025 EOY'!A:A,'2025 EOY'!B:B),"No")</f>
        <v>No</v>
      </c>
    </row>
    <row r="42" spans="1:21" x14ac:dyDescent="0.35">
      <c r="A42" t="s">
        <v>195</v>
      </c>
      <c r="B42" s="37">
        <v>45727</v>
      </c>
      <c r="C42" s="4" t="s">
        <v>3</v>
      </c>
      <c r="D42" t="s">
        <v>128</v>
      </c>
      <c r="E42" s="253">
        <v>700</v>
      </c>
      <c r="F42" s="172">
        <v>45747</v>
      </c>
      <c r="G42" s="172">
        <v>45777</v>
      </c>
      <c r="H42" s="15">
        <v>0.42</v>
      </c>
      <c r="I42" s="192">
        <v>0.15</v>
      </c>
      <c r="J42" s="9">
        <v>-189</v>
      </c>
      <c r="K42">
        <v>294</v>
      </c>
      <c r="L42" s="14" t="s">
        <v>56</v>
      </c>
      <c r="M42" s="8" t="s">
        <v>131</v>
      </c>
      <c r="N42">
        <v>105</v>
      </c>
      <c r="O42" s="38" t="s">
        <v>4</v>
      </c>
      <c r="P42" s="38" t="s">
        <v>3</v>
      </c>
      <c r="Q42">
        <v>2025</v>
      </c>
      <c r="R42" t="s">
        <v>131</v>
      </c>
      <c r="S42" t="s">
        <v>14</v>
      </c>
      <c r="T42" t="s">
        <v>196</v>
      </c>
      <c r="U42" t="str">
        <f>IFERROR(_xlfn.XLOOKUP(A42,'2025 EOY'!A:A,'2025 EOY'!B:B),"No")</f>
        <v>No</v>
      </c>
    </row>
    <row r="43" spans="1:21" x14ac:dyDescent="0.35">
      <c r="A43" t="s">
        <v>188</v>
      </c>
      <c r="B43" s="37">
        <v>45727</v>
      </c>
      <c r="C43" s="4" t="s">
        <v>3</v>
      </c>
      <c r="D43" t="s">
        <v>128</v>
      </c>
      <c r="E43" s="253">
        <v>68</v>
      </c>
      <c r="F43" s="172">
        <v>45747</v>
      </c>
      <c r="G43" s="172">
        <v>45777</v>
      </c>
      <c r="H43" s="15">
        <v>0.42</v>
      </c>
      <c r="I43" s="192">
        <v>0.15</v>
      </c>
      <c r="J43" s="9">
        <v>-18.36</v>
      </c>
      <c r="K43">
        <v>28.56</v>
      </c>
      <c r="L43" s="14" t="s">
        <v>56</v>
      </c>
      <c r="M43" s="8" t="s">
        <v>131</v>
      </c>
      <c r="N43">
        <v>10.199999999999999</v>
      </c>
      <c r="O43" s="38" t="s">
        <v>4</v>
      </c>
      <c r="P43" s="38" t="s">
        <v>3</v>
      </c>
      <c r="Q43">
        <v>2025</v>
      </c>
      <c r="R43" t="s">
        <v>131</v>
      </c>
      <c r="S43" t="s">
        <v>14</v>
      </c>
      <c r="T43" t="s">
        <v>197</v>
      </c>
      <c r="U43" t="str">
        <f>IFERROR(_xlfn.XLOOKUP(A43,'2025 EOY'!A:A,'2025 EOY'!B:B),"No")</f>
        <v>No</v>
      </c>
    </row>
    <row r="44" spans="1:21" x14ac:dyDescent="0.35">
      <c r="A44" t="s">
        <v>127</v>
      </c>
      <c r="B44" s="37">
        <v>45727</v>
      </c>
      <c r="C44" s="4" t="s">
        <v>3</v>
      </c>
      <c r="D44" t="s">
        <v>128</v>
      </c>
      <c r="E44" s="253">
        <v>-3568</v>
      </c>
      <c r="F44" s="172">
        <v>45747</v>
      </c>
      <c r="G44" s="172">
        <v>45777</v>
      </c>
      <c r="H44" s="15">
        <v>0.42</v>
      </c>
      <c r="I44" s="192">
        <v>0.15</v>
      </c>
      <c r="J44" s="9">
        <v>963.36</v>
      </c>
      <c r="K44">
        <v>-1498.56</v>
      </c>
      <c r="L44" s="14" t="s">
        <v>56</v>
      </c>
      <c r="M44" s="8" t="s">
        <v>129</v>
      </c>
      <c r="N44">
        <v>-535.19999999999993</v>
      </c>
      <c r="O44" s="38" t="s">
        <v>4</v>
      </c>
      <c r="P44" s="38" t="s">
        <v>3</v>
      </c>
      <c r="Q44">
        <v>2025</v>
      </c>
      <c r="R44" t="s">
        <v>129</v>
      </c>
      <c r="S44" t="s">
        <v>14</v>
      </c>
      <c r="T44" t="s">
        <v>198</v>
      </c>
      <c r="U44" t="str">
        <f>IFERROR(_xlfn.XLOOKUP(A44,'2025 EOY'!A:A,'2025 EOY'!B:B),"No")</f>
        <v>No</v>
      </c>
    </row>
    <row r="45" spans="1:21" x14ac:dyDescent="0.35">
      <c r="A45" t="s">
        <v>199</v>
      </c>
      <c r="B45" s="37">
        <v>45727</v>
      </c>
      <c r="C45" s="4" t="s">
        <v>3</v>
      </c>
      <c r="D45" t="s">
        <v>128</v>
      </c>
      <c r="E45" s="253">
        <v>700</v>
      </c>
      <c r="F45" s="172">
        <v>45747</v>
      </c>
      <c r="G45" s="172">
        <v>45777</v>
      </c>
      <c r="H45" s="15">
        <v>0.42</v>
      </c>
      <c r="I45" s="192">
        <v>0.15</v>
      </c>
      <c r="J45" s="9">
        <v>-189</v>
      </c>
      <c r="K45">
        <v>294</v>
      </c>
      <c r="L45" s="14" t="s">
        <v>56</v>
      </c>
      <c r="M45" s="8" t="s">
        <v>131</v>
      </c>
      <c r="N45">
        <v>105</v>
      </c>
      <c r="O45" s="38" t="s">
        <v>4</v>
      </c>
      <c r="P45" s="38" t="s">
        <v>3</v>
      </c>
      <c r="Q45">
        <v>2025</v>
      </c>
      <c r="R45" t="s">
        <v>131</v>
      </c>
      <c r="S45" t="s">
        <v>14</v>
      </c>
      <c r="T45" t="s">
        <v>200</v>
      </c>
      <c r="U45" t="str">
        <f>IFERROR(_xlfn.XLOOKUP(A45,'2025 EOY'!A:A,'2025 EOY'!B:B),"No")</f>
        <v>No</v>
      </c>
    </row>
    <row r="46" spans="1:21" x14ac:dyDescent="0.35">
      <c r="A46" t="s">
        <v>201</v>
      </c>
      <c r="B46" s="37">
        <v>45727</v>
      </c>
      <c r="C46" s="4" t="s">
        <v>3</v>
      </c>
      <c r="D46" t="s">
        <v>128</v>
      </c>
      <c r="E46" s="253">
        <v>-318</v>
      </c>
      <c r="F46" s="172">
        <v>45777</v>
      </c>
      <c r="G46" s="172">
        <v>45808</v>
      </c>
      <c r="H46" s="15">
        <v>0.23</v>
      </c>
      <c r="I46" s="192">
        <v>0.25</v>
      </c>
      <c r="J46" s="9">
        <v>-6.3599999999999968</v>
      </c>
      <c r="K46">
        <v>-73.14</v>
      </c>
      <c r="L46" s="14" t="s">
        <v>57</v>
      </c>
      <c r="M46" s="8" t="s">
        <v>129</v>
      </c>
      <c r="N46">
        <v>-79.5</v>
      </c>
      <c r="O46" s="38" t="s">
        <v>4</v>
      </c>
      <c r="P46" s="38" t="s">
        <v>3</v>
      </c>
      <c r="Q46">
        <v>2025</v>
      </c>
      <c r="R46" t="s">
        <v>129</v>
      </c>
      <c r="S46" t="s">
        <v>14</v>
      </c>
      <c r="T46" t="s">
        <v>202</v>
      </c>
      <c r="U46" t="str">
        <f>IFERROR(_xlfn.XLOOKUP(A46,'2025 EOY'!A:A,'2025 EOY'!B:B),"No")</f>
        <v>No</v>
      </c>
    </row>
    <row r="47" spans="1:21" x14ac:dyDescent="0.35">
      <c r="A47" t="s">
        <v>127</v>
      </c>
      <c r="B47" s="37">
        <v>45727</v>
      </c>
      <c r="C47" s="4" t="s">
        <v>3</v>
      </c>
      <c r="D47" t="s">
        <v>128</v>
      </c>
      <c r="E47" s="253">
        <v>318</v>
      </c>
      <c r="F47" s="172">
        <v>45777</v>
      </c>
      <c r="G47" s="172">
        <v>45808</v>
      </c>
      <c r="H47" s="15">
        <v>0.23</v>
      </c>
      <c r="I47" s="192">
        <v>0.25</v>
      </c>
      <c r="J47" s="9">
        <v>6.3599999999999968</v>
      </c>
      <c r="K47">
        <v>73.14</v>
      </c>
      <c r="L47" s="14" t="s">
        <v>57</v>
      </c>
      <c r="M47" s="8" t="s">
        <v>131</v>
      </c>
      <c r="N47">
        <v>79.5</v>
      </c>
      <c r="O47" s="38" t="s">
        <v>4</v>
      </c>
      <c r="P47" s="38" t="s">
        <v>3</v>
      </c>
      <c r="Q47">
        <v>2025</v>
      </c>
      <c r="R47" t="s">
        <v>131</v>
      </c>
      <c r="S47" t="s">
        <v>14</v>
      </c>
      <c r="T47" t="s">
        <v>203</v>
      </c>
      <c r="U47" t="str">
        <f>IFERROR(_xlfn.XLOOKUP(A47,'2025 EOY'!A:A,'2025 EOY'!B:B),"No")</f>
        <v>No</v>
      </c>
    </row>
    <row r="48" spans="1:21" x14ac:dyDescent="0.35">
      <c r="A48" t="s">
        <v>201</v>
      </c>
      <c r="B48" s="37">
        <v>45727</v>
      </c>
      <c r="C48" s="4" t="s">
        <v>3</v>
      </c>
      <c r="D48" t="s">
        <v>128</v>
      </c>
      <c r="E48" s="253">
        <v>-500</v>
      </c>
      <c r="F48" s="172">
        <v>45808</v>
      </c>
      <c r="G48" s="172">
        <v>45838</v>
      </c>
      <c r="H48" s="15">
        <v>0</v>
      </c>
      <c r="I48" s="192">
        <v>0.67</v>
      </c>
      <c r="J48" s="9">
        <v>-335</v>
      </c>
      <c r="K48">
        <v>0</v>
      </c>
      <c r="L48" s="14" t="s">
        <v>58</v>
      </c>
      <c r="M48" s="8" t="s">
        <v>129</v>
      </c>
      <c r="N48">
        <v>-335</v>
      </c>
      <c r="O48" s="38" t="s">
        <v>4</v>
      </c>
      <c r="P48" s="38" t="s">
        <v>3</v>
      </c>
      <c r="Q48">
        <v>2025</v>
      </c>
      <c r="R48" t="s">
        <v>129</v>
      </c>
      <c r="S48" t="s">
        <v>14</v>
      </c>
      <c r="T48" t="s">
        <v>204</v>
      </c>
      <c r="U48" t="str">
        <f>IFERROR(_xlfn.XLOOKUP(A48,'2025 EOY'!A:A,'2025 EOY'!B:B),"No")</f>
        <v>No</v>
      </c>
    </row>
    <row r="49" spans="1:21" x14ac:dyDescent="0.35">
      <c r="A49" t="s">
        <v>127</v>
      </c>
      <c r="B49" s="37">
        <v>45727</v>
      </c>
      <c r="C49" s="4" t="s">
        <v>3</v>
      </c>
      <c r="D49" t="s">
        <v>128</v>
      </c>
      <c r="E49" s="253">
        <v>500</v>
      </c>
      <c r="F49" s="172">
        <v>45808</v>
      </c>
      <c r="G49" s="172">
        <v>45838</v>
      </c>
      <c r="H49" s="15">
        <v>0</v>
      </c>
      <c r="I49" s="192">
        <v>0.67</v>
      </c>
      <c r="J49" s="9">
        <v>335</v>
      </c>
      <c r="K49">
        <v>0</v>
      </c>
      <c r="L49" s="14" t="s">
        <v>58</v>
      </c>
      <c r="M49" s="8" t="s">
        <v>131</v>
      </c>
      <c r="N49">
        <v>335</v>
      </c>
      <c r="O49" s="38" t="s">
        <v>4</v>
      </c>
      <c r="P49" s="38" t="s">
        <v>3</v>
      </c>
      <c r="Q49">
        <v>2025</v>
      </c>
      <c r="R49" t="s">
        <v>131</v>
      </c>
      <c r="S49" t="s">
        <v>14</v>
      </c>
      <c r="T49" t="s">
        <v>205</v>
      </c>
      <c r="U49" t="str">
        <f>IFERROR(_xlfn.XLOOKUP(A49,'2025 EOY'!A:A,'2025 EOY'!B:B),"No")</f>
        <v>No</v>
      </c>
    </row>
    <row r="50" spans="1:21" x14ac:dyDescent="0.35">
      <c r="A50" s="37" t="s">
        <v>154</v>
      </c>
      <c r="B50" s="12">
        <v>45727</v>
      </c>
      <c r="C50" s="10" t="s">
        <v>7</v>
      </c>
      <c r="D50" s="4" t="s">
        <v>128</v>
      </c>
      <c r="E50" s="253">
        <v>707</v>
      </c>
      <c r="F50" s="172">
        <v>45657</v>
      </c>
      <c r="G50" s="172">
        <v>45688</v>
      </c>
      <c r="H50" s="15">
        <v>0.39</v>
      </c>
      <c r="I50" s="192">
        <v>0.35</v>
      </c>
      <c r="J50" s="9">
        <v>-28.280000000000026</v>
      </c>
      <c r="K50">
        <v>275.73</v>
      </c>
      <c r="L50" s="14" t="s">
        <v>49</v>
      </c>
      <c r="M50" s="8" t="s">
        <v>131</v>
      </c>
      <c r="N50">
        <v>247.45</v>
      </c>
      <c r="O50" s="38" t="s">
        <v>4</v>
      </c>
      <c r="P50" s="38" t="s">
        <v>7</v>
      </c>
      <c r="Q50">
        <v>2024</v>
      </c>
      <c r="R50" t="s">
        <v>131</v>
      </c>
      <c r="S50" t="s">
        <v>14</v>
      </c>
      <c r="T50" t="s">
        <v>206</v>
      </c>
      <c r="U50" t="str">
        <f>IFERROR(_xlfn.XLOOKUP(A50,'2025 EOY'!A:A,'2025 EOY'!B:B),"No")</f>
        <v>No</v>
      </c>
    </row>
    <row r="51" spans="1:21" x14ac:dyDescent="0.35">
      <c r="A51" t="s">
        <v>156</v>
      </c>
      <c r="B51" s="12">
        <v>45727</v>
      </c>
      <c r="C51" s="10" t="s">
        <v>7</v>
      </c>
      <c r="D51" s="4" t="s">
        <v>128</v>
      </c>
      <c r="E51" s="253">
        <v>2100</v>
      </c>
      <c r="F51" s="172">
        <v>45657</v>
      </c>
      <c r="G51" s="172">
        <v>45688</v>
      </c>
      <c r="H51" s="15">
        <v>0.39</v>
      </c>
      <c r="I51" s="192">
        <v>0.35</v>
      </c>
      <c r="J51" s="9">
        <v>-84.000000000000071</v>
      </c>
      <c r="K51">
        <v>819</v>
      </c>
      <c r="L51" s="14" t="s">
        <v>49</v>
      </c>
      <c r="M51" s="8" t="s">
        <v>131</v>
      </c>
      <c r="N51">
        <v>735</v>
      </c>
      <c r="O51" s="38" t="s">
        <v>4</v>
      </c>
      <c r="P51" s="38" t="s">
        <v>7</v>
      </c>
      <c r="Q51">
        <v>2024</v>
      </c>
      <c r="R51" t="s">
        <v>131</v>
      </c>
      <c r="S51" t="s">
        <v>14</v>
      </c>
      <c r="T51" t="s">
        <v>207</v>
      </c>
      <c r="U51" t="str">
        <f>IFERROR(_xlfn.XLOOKUP(A51,'2025 EOY'!A:A,'2025 EOY'!B:B),"No")</f>
        <v>No</v>
      </c>
    </row>
    <row r="52" spans="1:21" x14ac:dyDescent="0.35">
      <c r="A52" t="s">
        <v>127</v>
      </c>
      <c r="B52" s="12">
        <v>45727</v>
      </c>
      <c r="C52" s="10" t="s">
        <v>7</v>
      </c>
      <c r="D52" s="4" t="s">
        <v>128</v>
      </c>
      <c r="E52" s="253">
        <v>-2807</v>
      </c>
      <c r="F52" s="172">
        <v>45657</v>
      </c>
      <c r="G52" s="172">
        <v>45688</v>
      </c>
      <c r="H52" s="15">
        <v>0.39</v>
      </c>
      <c r="I52" s="192">
        <v>0.35</v>
      </c>
      <c r="J52" s="9">
        <v>112.2800000000001</v>
      </c>
      <c r="K52">
        <v>-1094.73</v>
      </c>
      <c r="L52" s="14" t="s">
        <v>49</v>
      </c>
      <c r="M52" s="8" t="s">
        <v>129</v>
      </c>
      <c r="N52">
        <v>-982.44999999999993</v>
      </c>
      <c r="O52" s="38" t="s">
        <v>4</v>
      </c>
      <c r="P52" s="38" t="s">
        <v>7</v>
      </c>
      <c r="Q52">
        <v>2024</v>
      </c>
      <c r="R52" t="s">
        <v>129</v>
      </c>
      <c r="S52" t="s">
        <v>14</v>
      </c>
      <c r="T52" t="s">
        <v>208</v>
      </c>
      <c r="U52" t="str">
        <f>IFERROR(_xlfn.XLOOKUP(A52,'2025 EOY'!A:A,'2025 EOY'!B:B),"No")</f>
        <v>No</v>
      </c>
    </row>
    <row r="53" spans="1:21" x14ac:dyDescent="0.35">
      <c r="A53" t="s">
        <v>171</v>
      </c>
      <c r="B53" s="12">
        <v>45727</v>
      </c>
      <c r="C53" s="10" t="s">
        <v>7</v>
      </c>
      <c r="D53" s="4" t="s">
        <v>128</v>
      </c>
      <c r="E53" s="253">
        <v>-1383</v>
      </c>
      <c r="F53" s="172">
        <v>45688</v>
      </c>
      <c r="G53" s="172">
        <v>45716</v>
      </c>
      <c r="H53" s="15">
        <v>0.39</v>
      </c>
      <c r="I53" s="192">
        <v>1.1000000000000001</v>
      </c>
      <c r="J53" s="9">
        <v>-981.93000000000006</v>
      </c>
      <c r="K53">
        <v>-539.37</v>
      </c>
      <c r="L53" s="14" t="s">
        <v>52</v>
      </c>
      <c r="M53" s="8" t="s">
        <v>129</v>
      </c>
      <c r="N53">
        <v>-1521.3000000000002</v>
      </c>
      <c r="O53" s="38" t="s">
        <v>4</v>
      </c>
      <c r="P53" s="38" t="s">
        <v>7</v>
      </c>
      <c r="Q53">
        <v>2025</v>
      </c>
      <c r="R53" t="s">
        <v>129</v>
      </c>
      <c r="S53" t="s">
        <v>14</v>
      </c>
      <c r="T53" t="s">
        <v>209</v>
      </c>
      <c r="U53" t="str">
        <f>IFERROR(_xlfn.XLOOKUP(A53,'2025 EOY'!A:A,'2025 EOY'!B:B),"No")</f>
        <v>No</v>
      </c>
    </row>
    <row r="54" spans="1:21" x14ac:dyDescent="0.35">
      <c r="A54" t="s">
        <v>161</v>
      </c>
      <c r="B54" s="12">
        <v>45727</v>
      </c>
      <c r="C54" s="10" t="s">
        <v>7</v>
      </c>
      <c r="D54" s="4" t="s">
        <v>128</v>
      </c>
      <c r="E54" s="253">
        <v>2050</v>
      </c>
      <c r="F54" s="172">
        <v>45688</v>
      </c>
      <c r="G54" s="172">
        <v>45716</v>
      </c>
      <c r="H54" s="15">
        <v>0.39</v>
      </c>
      <c r="I54" s="192">
        <v>1.1000000000000001</v>
      </c>
      <c r="J54" s="9">
        <v>1455.5000000000002</v>
      </c>
      <c r="K54">
        <v>799.5</v>
      </c>
      <c r="L54" s="14" t="s">
        <v>52</v>
      </c>
      <c r="M54" s="8" t="s">
        <v>131</v>
      </c>
      <c r="N54">
        <v>2255</v>
      </c>
      <c r="O54" s="38" t="s">
        <v>4</v>
      </c>
      <c r="P54" s="38" t="s">
        <v>7</v>
      </c>
      <c r="Q54">
        <v>2025</v>
      </c>
      <c r="R54" t="s">
        <v>131</v>
      </c>
      <c r="S54" t="s">
        <v>14</v>
      </c>
      <c r="T54" t="s">
        <v>210</v>
      </c>
      <c r="U54" t="str">
        <f>IFERROR(_xlfn.XLOOKUP(A54,'2025 EOY'!A:A,'2025 EOY'!B:B),"No")</f>
        <v>No</v>
      </c>
    </row>
    <row r="55" spans="1:21" x14ac:dyDescent="0.35">
      <c r="A55" t="s">
        <v>211</v>
      </c>
      <c r="B55" s="12">
        <v>45727</v>
      </c>
      <c r="C55" s="10" t="s">
        <v>7</v>
      </c>
      <c r="D55" s="4" t="s">
        <v>128</v>
      </c>
      <c r="E55" s="253">
        <v>2083</v>
      </c>
      <c r="F55" s="172">
        <v>45688</v>
      </c>
      <c r="G55" s="172">
        <v>45716</v>
      </c>
      <c r="H55" s="15">
        <v>0.39</v>
      </c>
      <c r="I55" s="192">
        <v>1.1000000000000001</v>
      </c>
      <c r="J55" s="9">
        <v>1478.93</v>
      </c>
      <c r="K55">
        <v>812.37</v>
      </c>
      <c r="L55" s="14" t="s">
        <v>52</v>
      </c>
      <c r="M55" s="8" t="s">
        <v>131</v>
      </c>
      <c r="N55">
        <v>2291.3000000000002</v>
      </c>
      <c r="O55" s="38" t="s">
        <v>4</v>
      </c>
      <c r="P55" s="38" t="s">
        <v>7</v>
      </c>
      <c r="Q55">
        <v>2025</v>
      </c>
      <c r="R55" t="s">
        <v>131</v>
      </c>
      <c r="S55" t="s">
        <v>14</v>
      </c>
      <c r="T55" t="s">
        <v>212</v>
      </c>
      <c r="U55" t="str">
        <f>IFERROR(_xlfn.XLOOKUP(A55,'2025 EOY'!A:A,'2025 EOY'!B:B),"No")</f>
        <v>No</v>
      </c>
    </row>
    <row r="56" spans="1:21" x14ac:dyDescent="0.35">
      <c r="A56" t="s">
        <v>152</v>
      </c>
      <c r="B56" s="12">
        <v>45727</v>
      </c>
      <c r="C56" s="10" t="s">
        <v>7</v>
      </c>
      <c r="D56" s="4" t="s">
        <v>128</v>
      </c>
      <c r="E56" s="253">
        <v>2050</v>
      </c>
      <c r="F56" s="172">
        <v>45688</v>
      </c>
      <c r="G56" s="172">
        <v>45716</v>
      </c>
      <c r="H56" s="15">
        <v>0.39</v>
      </c>
      <c r="I56" s="192">
        <v>1.1000000000000001</v>
      </c>
      <c r="J56" s="9">
        <v>1455.5000000000002</v>
      </c>
      <c r="K56">
        <v>799.5</v>
      </c>
      <c r="L56" s="14" t="s">
        <v>52</v>
      </c>
      <c r="M56" s="8" t="s">
        <v>131</v>
      </c>
      <c r="N56">
        <v>2255</v>
      </c>
      <c r="O56" s="38" t="s">
        <v>4</v>
      </c>
      <c r="P56" s="38" t="s">
        <v>7</v>
      </c>
      <c r="Q56">
        <v>2025</v>
      </c>
      <c r="R56" t="s">
        <v>131</v>
      </c>
      <c r="S56" t="s">
        <v>14</v>
      </c>
      <c r="T56" t="s">
        <v>213</v>
      </c>
      <c r="U56" t="str">
        <f>IFERROR(_xlfn.XLOOKUP(A56,'2025 EOY'!A:A,'2025 EOY'!B:B),"No")</f>
        <v>No</v>
      </c>
    </row>
    <row r="57" spans="1:21" x14ac:dyDescent="0.35">
      <c r="A57" t="s">
        <v>127</v>
      </c>
      <c r="B57" s="12">
        <v>45727</v>
      </c>
      <c r="C57" s="10" t="s">
        <v>7</v>
      </c>
      <c r="D57" s="4" t="s">
        <v>128</v>
      </c>
      <c r="E57" s="253">
        <v>-4800</v>
      </c>
      <c r="F57" s="172">
        <v>45688</v>
      </c>
      <c r="G57" s="172">
        <v>45716</v>
      </c>
      <c r="H57" s="15">
        <v>0.39</v>
      </c>
      <c r="I57" s="192">
        <v>1.1000000000000001</v>
      </c>
      <c r="J57" s="9">
        <v>-3408.0000000000005</v>
      </c>
      <c r="K57">
        <v>-1872</v>
      </c>
      <c r="L57" s="14" t="s">
        <v>52</v>
      </c>
      <c r="M57" s="8" t="s">
        <v>129</v>
      </c>
      <c r="N57">
        <v>-5280</v>
      </c>
      <c r="O57" s="38" t="s">
        <v>4</v>
      </c>
      <c r="P57" s="38" t="s">
        <v>7</v>
      </c>
      <c r="Q57">
        <v>2025</v>
      </c>
      <c r="R57" t="s">
        <v>129</v>
      </c>
      <c r="S57" t="s">
        <v>14</v>
      </c>
      <c r="T57" t="s">
        <v>214</v>
      </c>
      <c r="U57" t="str">
        <f>IFERROR(_xlfn.XLOOKUP(A57,'2025 EOY'!A:A,'2025 EOY'!B:B),"No")</f>
        <v>No</v>
      </c>
    </row>
    <row r="58" spans="1:21" x14ac:dyDescent="0.35">
      <c r="A58" t="s">
        <v>171</v>
      </c>
      <c r="B58" s="12">
        <v>45727</v>
      </c>
      <c r="C58" s="10" t="s">
        <v>7</v>
      </c>
      <c r="D58" s="4" t="s">
        <v>128</v>
      </c>
      <c r="E58" s="253">
        <v>1300</v>
      </c>
      <c r="F58" s="172">
        <v>45716</v>
      </c>
      <c r="G58" s="172">
        <v>45747</v>
      </c>
      <c r="H58" s="15">
        <v>0.38</v>
      </c>
      <c r="I58" s="192">
        <v>0.4</v>
      </c>
      <c r="J58" s="9">
        <v>26.000000000000021</v>
      </c>
      <c r="K58">
        <v>494</v>
      </c>
      <c r="L58" s="14" t="s">
        <v>54</v>
      </c>
      <c r="M58" s="8" t="s">
        <v>131</v>
      </c>
      <c r="N58">
        <v>520</v>
      </c>
      <c r="O58" s="38" t="s">
        <v>4</v>
      </c>
      <c r="P58" s="38" t="s">
        <v>7</v>
      </c>
      <c r="Q58">
        <v>2025</v>
      </c>
      <c r="R58" t="s">
        <v>131</v>
      </c>
      <c r="S58" t="s">
        <v>14</v>
      </c>
      <c r="T58" t="s">
        <v>215</v>
      </c>
      <c r="U58" t="str">
        <f>IFERROR(_xlfn.XLOOKUP(A58,'2025 EOY'!A:A,'2025 EOY'!B:B),"No")</f>
        <v>No</v>
      </c>
    </row>
    <row r="59" spans="1:21" x14ac:dyDescent="0.35">
      <c r="A59" t="s">
        <v>163</v>
      </c>
      <c r="B59" s="12">
        <v>45727</v>
      </c>
      <c r="C59" s="10" t="s">
        <v>7</v>
      </c>
      <c r="D59" s="4" t="s">
        <v>128</v>
      </c>
      <c r="E59" s="253">
        <v>-2047</v>
      </c>
      <c r="F59" s="172">
        <v>45716</v>
      </c>
      <c r="G59" s="172">
        <v>45747</v>
      </c>
      <c r="H59" s="15">
        <v>0.38</v>
      </c>
      <c r="I59" s="192">
        <v>0.4</v>
      </c>
      <c r="J59" s="9">
        <v>-40.940000000000033</v>
      </c>
      <c r="K59">
        <v>-777.86</v>
      </c>
      <c r="L59" s="14" t="s">
        <v>54</v>
      </c>
      <c r="M59" s="8" t="s">
        <v>129</v>
      </c>
      <c r="N59">
        <v>-818.80000000000007</v>
      </c>
      <c r="O59" s="38" t="s">
        <v>4</v>
      </c>
      <c r="P59" s="38" t="s">
        <v>7</v>
      </c>
      <c r="Q59">
        <v>2025</v>
      </c>
      <c r="R59" t="s">
        <v>129</v>
      </c>
      <c r="S59" t="s">
        <v>14</v>
      </c>
      <c r="T59" t="s">
        <v>216</v>
      </c>
      <c r="U59" t="str">
        <f>IFERROR(_xlfn.XLOOKUP(A59,'2025 EOY'!A:A,'2025 EOY'!B:B),"No")</f>
        <v>No</v>
      </c>
    </row>
    <row r="60" spans="1:21" x14ac:dyDescent="0.35">
      <c r="A60" t="s">
        <v>167</v>
      </c>
      <c r="B60" s="12">
        <v>45727</v>
      </c>
      <c r="C60" s="10" t="s">
        <v>7</v>
      </c>
      <c r="D60" s="4" t="s">
        <v>128</v>
      </c>
      <c r="E60" s="253">
        <v>2147</v>
      </c>
      <c r="F60" s="172">
        <v>45716</v>
      </c>
      <c r="G60" s="172">
        <v>45747</v>
      </c>
      <c r="H60" s="15">
        <v>0.38</v>
      </c>
      <c r="I60" s="192">
        <v>0.4</v>
      </c>
      <c r="J60" s="9">
        <v>42.94000000000004</v>
      </c>
      <c r="K60">
        <v>815.86</v>
      </c>
      <c r="L60" s="14" t="s">
        <v>54</v>
      </c>
      <c r="M60" s="8" t="s">
        <v>131</v>
      </c>
      <c r="N60">
        <v>858.80000000000007</v>
      </c>
      <c r="O60" s="38" t="s">
        <v>4</v>
      </c>
      <c r="P60" s="38" t="s">
        <v>7</v>
      </c>
      <c r="Q60">
        <v>2025</v>
      </c>
      <c r="R60" t="s">
        <v>131</v>
      </c>
      <c r="S60" t="s">
        <v>14</v>
      </c>
      <c r="T60" t="s">
        <v>217</v>
      </c>
      <c r="U60" t="str">
        <f>IFERROR(_xlfn.XLOOKUP(A60,'2025 EOY'!A:A,'2025 EOY'!B:B),"No")</f>
        <v>No</v>
      </c>
    </row>
    <row r="61" spans="1:21" x14ac:dyDescent="0.35">
      <c r="A61" t="s">
        <v>152</v>
      </c>
      <c r="B61" s="12">
        <v>45727</v>
      </c>
      <c r="C61" s="10" t="s">
        <v>7</v>
      </c>
      <c r="D61" s="4" t="s">
        <v>128</v>
      </c>
      <c r="E61" s="253">
        <v>2050</v>
      </c>
      <c r="F61" s="172">
        <v>45716</v>
      </c>
      <c r="G61" s="172">
        <v>45747</v>
      </c>
      <c r="H61" s="15">
        <v>0.38</v>
      </c>
      <c r="I61" s="192">
        <v>0.4</v>
      </c>
      <c r="J61" s="9">
        <v>41.000000000000036</v>
      </c>
      <c r="K61">
        <v>779</v>
      </c>
      <c r="L61" s="14" t="s">
        <v>54</v>
      </c>
      <c r="M61" s="8" t="s">
        <v>131</v>
      </c>
      <c r="N61">
        <v>820</v>
      </c>
      <c r="O61" s="38" t="s">
        <v>4</v>
      </c>
      <c r="P61" s="38" t="s">
        <v>7</v>
      </c>
      <c r="Q61">
        <v>2025</v>
      </c>
      <c r="R61" t="s">
        <v>131</v>
      </c>
      <c r="S61" t="s">
        <v>14</v>
      </c>
      <c r="T61" t="s">
        <v>218</v>
      </c>
      <c r="U61" t="str">
        <f>IFERROR(_xlfn.XLOOKUP(A61,'2025 EOY'!A:A,'2025 EOY'!B:B),"No")</f>
        <v>No</v>
      </c>
    </row>
    <row r="62" spans="1:21" x14ac:dyDescent="0.35">
      <c r="A62" t="s">
        <v>154</v>
      </c>
      <c r="B62" s="12">
        <v>45727</v>
      </c>
      <c r="C62" s="10" t="s">
        <v>7</v>
      </c>
      <c r="D62" s="4" t="s">
        <v>128</v>
      </c>
      <c r="E62" s="253">
        <v>735</v>
      </c>
      <c r="F62" s="172">
        <v>45716</v>
      </c>
      <c r="G62" s="172">
        <v>45747</v>
      </c>
      <c r="H62" s="15">
        <v>0.38</v>
      </c>
      <c r="I62" s="192">
        <v>0.4</v>
      </c>
      <c r="J62" s="9">
        <v>14.700000000000014</v>
      </c>
      <c r="K62">
        <v>279.3</v>
      </c>
      <c r="L62" s="14" t="s">
        <v>54</v>
      </c>
      <c r="M62" s="8" t="s">
        <v>131</v>
      </c>
      <c r="N62">
        <v>294</v>
      </c>
      <c r="O62" s="38" t="s">
        <v>4</v>
      </c>
      <c r="P62" s="38" t="s">
        <v>7</v>
      </c>
      <c r="Q62">
        <v>2025</v>
      </c>
      <c r="R62" t="s">
        <v>131</v>
      </c>
      <c r="S62" t="s">
        <v>14</v>
      </c>
      <c r="T62" t="s">
        <v>219</v>
      </c>
      <c r="U62" t="str">
        <f>IFERROR(_xlfn.XLOOKUP(A62,'2025 EOY'!A:A,'2025 EOY'!B:B),"No")</f>
        <v>No</v>
      </c>
    </row>
    <row r="63" spans="1:21" x14ac:dyDescent="0.35">
      <c r="A63" t="s">
        <v>127</v>
      </c>
      <c r="B63" s="12">
        <v>45727</v>
      </c>
      <c r="C63" s="10" t="s">
        <v>7</v>
      </c>
      <c r="D63" s="4" t="s">
        <v>128</v>
      </c>
      <c r="E63" s="253">
        <v>-4185</v>
      </c>
      <c r="F63" s="172">
        <v>45716</v>
      </c>
      <c r="G63" s="172">
        <v>45747</v>
      </c>
      <c r="H63" s="15">
        <v>0.38</v>
      </c>
      <c r="I63" s="192">
        <v>0.4</v>
      </c>
      <c r="J63" s="9">
        <v>-83.700000000000074</v>
      </c>
      <c r="K63">
        <v>-1590.3</v>
      </c>
      <c r="L63" s="14" t="s">
        <v>54</v>
      </c>
      <c r="M63" s="8" t="s">
        <v>129</v>
      </c>
      <c r="N63">
        <v>-1674</v>
      </c>
      <c r="O63" s="38" t="s">
        <v>4</v>
      </c>
      <c r="P63" s="38" t="s">
        <v>7</v>
      </c>
      <c r="Q63">
        <v>2025</v>
      </c>
      <c r="R63" t="s">
        <v>129</v>
      </c>
      <c r="S63" t="s">
        <v>14</v>
      </c>
      <c r="T63" t="s">
        <v>220</v>
      </c>
      <c r="U63" t="str">
        <f>IFERROR(_xlfn.XLOOKUP(A63,'2025 EOY'!A:A,'2025 EOY'!B:B),"No")</f>
        <v>No</v>
      </c>
    </row>
    <row r="64" spans="1:21" x14ac:dyDescent="0.35">
      <c r="A64" t="s">
        <v>183</v>
      </c>
      <c r="B64" s="12">
        <v>45727</v>
      </c>
      <c r="C64" s="10" t="s">
        <v>7</v>
      </c>
      <c r="D64" s="4" t="s">
        <v>128</v>
      </c>
      <c r="E64" s="269">
        <v>2079</v>
      </c>
      <c r="F64" s="172">
        <v>45747</v>
      </c>
      <c r="G64" s="172">
        <v>45777</v>
      </c>
      <c r="H64" s="15">
        <v>0.52</v>
      </c>
      <c r="I64" s="192">
        <v>1.0900000000000001</v>
      </c>
      <c r="J64" s="9">
        <v>1185.0300000000002</v>
      </c>
      <c r="K64">
        <v>1081.08</v>
      </c>
      <c r="L64" s="14" t="s">
        <v>56</v>
      </c>
      <c r="M64" s="8" t="s">
        <v>131</v>
      </c>
      <c r="N64">
        <v>2266.11</v>
      </c>
      <c r="O64" s="38" t="s">
        <v>4</v>
      </c>
      <c r="P64" s="38" t="s">
        <v>7</v>
      </c>
      <c r="Q64">
        <v>2025</v>
      </c>
      <c r="R64" t="s">
        <v>131</v>
      </c>
      <c r="S64" t="s">
        <v>14</v>
      </c>
      <c r="T64" t="s">
        <v>221</v>
      </c>
      <c r="U64" t="str">
        <f>IFERROR(_xlfn.XLOOKUP(A64,'2025 EOY'!A:A,'2025 EOY'!B:B),"No")</f>
        <v>No</v>
      </c>
    </row>
    <row r="65" spans="1:21" x14ac:dyDescent="0.35">
      <c r="A65" t="s">
        <v>193</v>
      </c>
      <c r="B65" s="12">
        <v>45727</v>
      </c>
      <c r="C65" s="10" t="s">
        <v>7</v>
      </c>
      <c r="D65" s="4" t="s">
        <v>128</v>
      </c>
      <c r="E65" s="269">
        <v>-26</v>
      </c>
      <c r="F65" s="172">
        <v>45747</v>
      </c>
      <c r="G65" s="172">
        <v>45777</v>
      </c>
      <c r="H65" s="15">
        <v>0.52</v>
      </c>
      <c r="I65" s="192">
        <v>1.0900000000000001</v>
      </c>
      <c r="J65" s="9">
        <v>-14.820000000000002</v>
      </c>
      <c r="K65">
        <v>-13.52</v>
      </c>
      <c r="L65" s="14" t="s">
        <v>56</v>
      </c>
      <c r="M65" s="8" t="s">
        <v>129</v>
      </c>
      <c r="N65">
        <v>-28.340000000000003</v>
      </c>
      <c r="O65" s="38" t="s">
        <v>4</v>
      </c>
      <c r="P65" s="38" t="s">
        <v>7</v>
      </c>
      <c r="Q65">
        <v>2025</v>
      </c>
      <c r="R65" t="s">
        <v>129</v>
      </c>
      <c r="S65" t="s">
        <v>14</v>
      </c>
      <c r="T65" t="s">
        <v>222</v>
      </c>
      <c r="U65" t="str">
        <f>IFERROR(_xlfn.XLOOKUP(A65,'2025 EOY'!A:A,'2025 EOY'!B:B),"No")</f>
        <v>No</v>
      </c>
    </row>
    <row r="66" spans="1:21" x14ac:dyDescent="0.35">
      <c r="A66" t="s">
        <v>173</v>
      </c>
      <c r="B66" s="12">
        <v>45727</v>
      </c>
      <c r="C66" s="10" t="s">
        <v>7</v>
      </c>
      <c r="D66" s="4" t="s">
        <v>128</v>
      </c>
      <c r="E66" s="269">
        <v>2096</v>
      </c>
      <c r="F66" s="172">
        <v>45747</v>
      </c>
      <c r="G66" s="172">
        <v>45777</v>
      </c>
      <c r="H66" s="15">
        <v>0.52</v>
      </c>
      <c r="I66" s="192">
        <v>1.0900000000000001</v>
      </c>
      <c r="J66" s="9">
        <v>1194.72</v>
      </c>
      <c r="K66">
        <v>1089.92</v>
      </c>
      <c r="L66" s="14" t="s">
        <v>56</v>
      </c>
      <c r="M66" s="8" t="s">
        <v>131</v>
      </c>
      <c r="N66">
        <v>2284.6400000000003</v>
      </c>
      <c r="O66" s="38" t="s">
        <v>4</v>
      </c>
      <c r="P66" s="38" t="s">
        <v>7</v>
      </c>
      <c r="Q66">
        <v>2025</v>
      </c>
      <c r="R66" t="s">
        <v>131</v>
      </c>
      <c r="S66" t="s">
        <v>14</v>
      </c>
      <c r="T66" t="s">
        <v>223</v>
      </c>
      <c r="U66" t="str">
        <f>IFERROR(_xlfn.XLOOKUP(A66,'2025 EOY'!A:A,'2025 EOY'!B:B),"No")</f>
        <v>No</v>
      </c>
    </row>
    <row r="67" spans="1:21" x14ac:dyDescent="0.35">
      <c r="A67" t="s">
        <v>163</v>
      </c>
      <c r="B67" s="12">
        <v>45727</v>
      </c>
      <c r="C67" s="10" t="s">
        <v>7</v>
      </c>
      <c r="D67" s="4" t="s">
        <v>128</v>
      </c>
      <c r="E67" s="269">
        <v>2076</v>
      </c>
      <c r="F67" s="172">
        <v>45747</v>
      </c>
      <c r="G67" s="172">
        <v>45777</v>
      </c>
      <c r="H67" s="15">
        <v>0.52</v>
      </c>
      <c r="I67" s="192">
        <v>1.0900000000000001</v>
      </c>
      <c r="J67" s="9">
        <v>1183.3200000000002</v>
      </c>
      <c r="K67">
        <v>1079.52</v>
      </c>
      <c r="L67" s="14" t="s">
        <v>56</v>
      </c>
      <c r="M67" s="8" t="s">
        <v>131</v>
      </c>
      <c r="N67">
        <v>2262.84</v>
      </c>
      <c r="O67" s="38" t="s">
        <v>4</v>
      </c>
      <c r="P67" s="38" t="s">
        <v>7</v>
      </c>
      <c r="Q67">
        <v>2025</v>
      </c>
      <c r="R67" t="s">
        <v>131</v>
      </c>
      <c r="S67" t="s">
        <v>14</v>
      </c>
      <c r="T67" t="s">
        <v>224</v>
      </c>
      <c r="U67" t="str">
        <f>IFERROR(_xlfn.XLOOKUP(A67,'2025 EOY'!A:A,'2025 EOY'!B:B),"No")</f>
        <v>No</v>
      </c>
    </row>
    <row r="68" spans="1:21" x14ac:dyDescent="0.35">
      <c r="A68" t="s">
        <v>127</v>
      </c>
      <c r="B68" s="12">
        <v>45727</v>
      </c>
      <c r="C68" s="10" t="s">
        <v>7</v>
      </c>
      <c r="D68" s="4" t="s">
        <v>128</v>
      </c>
      <c r="E68" s="269">
        <v>-6225</v>
      </c>
      <c r="F68" s="172">
        <v>45747</v>
      </c>
      <c r="G68" s="172">
        <v>45777</v>
      </c>
      <c r="H68" s="15">
        <v>0.52</v>
      </c>
      <c r="I68" s="192">
        <v>1.0900000000000001</v>
      </c>
      <c r="J68" s="9">
        <v>-3548.2500000000005</v>
      </c>
      <c r="K68">
        <v>-3237</v>
      </c>
      <c r="L68" s="14" t="s">
        <v>56</v>
      </c>
      <c r="M68" s="8" t="s">
        <v>129</v>
      </c>
      <c r="N68">
        <v>-6785.2500000000009</v>
      </c>
      <c r="O68" s="38" t="s">
        <v>4</v>
      </c>
      <c r="P68" s="38" t="s">
        <v>7</v>
      </c>
      <c r="Q68">
        <v>2025</v>
      </c>
      <c r="R68" t="s">
        <v>129</v>
      </c>
      <c r="S68" t="s">
        <v>14</v>
      </c>
      <c r="T68" t="s">
        <v>225</v>
      </c>
      <c r="U68" t="str">
        <f>IFERROR(_xlfn.XLOOKUP(A68,'2025 EOY'!A:A,'2025 EOY'!B:B),"No")</f>
        <v>No</v>
      </c>
    </row>
    <row r="69" spans="1:21" x14ac:dyDescent="0.35">
      <c r="A69" t="s">
        <v>183</v>
      </c>
      <c r="B69" s="12">
        <v>45727</v>
      </c>
      <c r="C69" s="10" t="s">
        <v>7</v>
      </c>
      <c r="D69" s="4" t="s">
        <v>128</v>
      </c>
      <c r="E69" s="269">
        <v>2079</v>
      </c>
      <c r="F69" s="172">
        <v>45777</v>
      </c>
      <c r="G69" s="172">
        <v>45808</v>
      </c>
      <c r="H69" s="15">
        <v>0.47</v>
      </c>
      <c r="I69" s="192">
        <v>0.37</v>
      </c>
      <c r="J69" s="9">
        <v>-207.89999999999995</v>
      </c>
      <c r="K69">
        <v>977.13</v>
      </c>
      <c r="L69" s="14" t="s">
        <v>57</v>
      </c>
      <c r="M69" s="8" t="s">
        <v>131</v>
      </c>
      <c r="N69">
        <v>769.23</v>
      </c>
      <c r="O69" s="38" t="s">
        <v>4</v>
      </c>
      <c r="P69" s="38" t="s">
        <v>7</v>
      </c>
      <c r="Q69">
        <v>2025</v>
      </c>
      <c r="R69" t="s">
        <v>131</v>
      </c>
      <c r="S69" t="s">
        <v>14</v>
      </c>
      <c r="T69" t="s">
        <v>226</v>
      </c>
      <c r="U69" t="str">
        <f>IFERROR(_xlfn.XLOOKUP(A69,'2025 EOY'!A:A,'2025 EOY'!B:B),"No")</f>
        <v>No</v>
      </c>
    </row>
    <row r="70" spans="1:21" x14ac:dyDescent="0.35">
      <c r="A70" t="s">
        <v>193</v>
      </c>
      <c r="B70" s="12">
        <v>45727</v>
      </c>
      <c r="C70" s="10" t="s">
        <v>7</v>
      </c>
      <c r="D70" s="4" t="s">
        <v>128</v>
      </c>
      <c r="E70" s="269">
        <v>1600</v>
      </c>
      <c r="F70" s="172">
        <v>45777</v>
      </c>
      <c r="G70" s="172">
        <v>45808</v>
      </c>
      <c r="H70" s="15">
        <v>0.47</v>
      </c>
      <c r="I70" s="192">
        <v>0.37</v>
      </c>
      <c r="J70" s="9">
        <v>-159.99999999999997</v>
      </c>
      <c r="K70">
        <v>752</v>
      </c>
      <c r="L70" s="14" t="s">
        <v>57</v>
      </c>
      <c r="M70" s="8" t="s">
        <v>131</v>
      </c>
      <c r="N70">
        <v>592</v>
      </c>
      <c r="O70" s="38" t="s">
        <v>4</v>
      </c>
      <c r="P70" s="38" t="s">
        <v>7</v>
      </c>
      <c r="Q70">
        <v>2025</v>
      </c>
      <c r="R70" t="s">
        <v>131</v>
      </c>
      <c r="S70" t="s">
        <v>14</v>
      </c>
      <c r="T70" t="s">
        <v>227</v>
      </c>
      <c r="U70" t="str">
        <f>IFERROR(_xlfn.XLOOKUP(A70,'2025 EOY'!A:A,'2025 EOY'!B:B),"No")</f>
        <v>No</v>
      </c>
    </row>
    <row r="71" spans="1:21" x14ac:dyDescent="0.35">
      <c r="A71" t="s">
        <v>188</v>
      </c>
      <c r="B71" s="12">
        <v>45727</v>
      </c>
      <c r="C71" s="10" t="s">
        <v>7</v>
      </c>
      <c r="D71" s="4" t="s">
        <v>128</v>
      </c>
      <c r="E71" s="269">
        <v>68</v>
      </c>
      <c r="F71" s="172">
        <v>45777</v>
      </c>
      <c r="G71" s="172">
        <v>45808</v>
      </c>
      <c r="H71" s="15">
        <v>0.47</v>
      </c>
      <c r="I71" s="192">
        <v>0.37</v>
      </c>
      <c r="J71" s="9">
        <v>-6.7999999999999989</v>
      </c>
      <c r="K71">
        <v>31.959999999999997</v>
      </c>
      <c r="L71" s="14" t="s">
        <v>57</v>
      </c>
      <c r="M71" s="8" t="s">
        <v>131</v>
      </c>
      <c r="N71">
        <v>25.16</v>
      </c>
      <c r="O71" s="38" t="s">
        <v>4</v>
      </c>
      <c r="P71" s="38" t="s">
        <v>7</v>
      </c>
      <c r="Q71">
        <v>2025</v>
      </c>
      <c r="R71" t="s">
        <v>131</v>
      </c>
      <c r="S71" t="s">
        <v>14</v>
      </c>
      <c r="T71" t="s">
        <v>228</v>
      </c>
      <c r="U71" t="str">
        <f>IFERROR(_xlfn.XLOOKUP(A71,'2025 EOY'!A:A,'2025 EOY'!B:B),"No")</f>
        <v>No</v>
      </c>
    </row>
    <row r="72" spans="1:21" x14ac:dyDescent="0.35">
      <c r="A72" t="s">
        <v>127</v>
      </c>
      <c r="B72" s="12">
        <v>45727</v>
      </c>
      <c r="C72" s="10" t="s">
        <v>7</v>
      </c>
      <c r="D72" s="4" t="s">
        <v>128</v>
      </c>
      <c r="E72" s="269">
        <v>-3747</v>
      </c>
      <c r="F72" s="172">
        <v>45777</v>
      </c>
      <c r="G72" s="172">
        <v>45808</v>
      </c>
      <c r="H72" s="15">
        <v>0.47</v>
      </c>
      <c r="I72" s="192">
        <v>0.37</v>
      </c>
      <c r="J72" s="9">
        <v>374.69999999999993</v>
      </c>
      <c r="K72">
        <v>-1761.09</v>
      </c>
      <c r="L72" s="14" t="s">
        <v>57</v>
      </c>
      <c r="M72" s="8" t="s">
        <v>129</v>
      </c>
      <c r="N72">
        <v>-1386.3899999999999</v>
      </c>
      <c r="O72" s="38" t="s">
        <v>4</v>
      </c>
      <c r="P72" s="38" t="s">
        <v>7</v>
      </c>
      <c r="Q72">
        <v>2025</v>
      </c>
      <c r="R72" t="s">
        <v>129</v>
      </c>
      <c r="S72" t="s">
        <v>14</v>
      </c>
      <c r="T72" t="s">
        <v>229</v>
      </c>
      <c r="U72" t="str">
        <f>IFERROR(_xlfn.XLOOKUP(A72,'2025 EOY'!A:A,'2025 EOY'!B:B),"No")</f>
        <v>No</v>
      </c>
    </row>
    <row r="73" spans="1:21" x14ac:dyDescent="0.35">
      <c r="A73" t="s">
        <v>230</v>
      </c>
      <c r="B73" s="12">
        <v>45726</v>
      </c>
      <c r="C73" s="10" t="s">
        <v>10</v>
      </c>
      <c r="D73" s="4" t="s">
        <v>128</v>
      </c>
      <c r="E73" s="253">
        <v>-300</v>
      </c>
      <c r="F73" s="172">
        <v>45657</v>
      </c>
      <c r="G73" s="172">
        <v>45657</v>
      </c>
      <c r="H73" s="15">
        <v>-3.52</v>
      </c>
      <c r="I73" s="192">
        <v>-3.9</v>
      </c>
      <c r="J73" s="9">
        <v>113.99999999999997</v>
      </c>
      <c r="K73">
        <v>1056</v>
      </c>
      <c r="L73" s="14" t="s">
        <v>59</v>
      </c>
      <c r="M73" s="8" t="s">
        <v>129</v>
      </c>
      <c r="N73">
        <v>1170</v>
      </c>
      <c r="O73" s="38" t="s">
        <v>11</v>
      </c>
      <c r="P73" s="38" t="s">
        <v>10</v>
      </c>
      <c r="Q73">
        <v>2024</v>
      </c>
      <c r="R73" t="s">
        <v>129</v>
      </c>
      <c r="S73" t="s">
        <v>14</v>
      </c>
      <c r="T73" t="s">
        <v>231</v>
      </c>
      <c r="U73" t="str">
        <f>IFERROR(_xlfn.XLOOKUP(A73,'2025 EOY'!A:A,'2025 EOY'!B:B),"No")</f>
        <v>No</v>
      </c>
    </row>
    <row r="74" spans="1:21" x14ac:dyDescent="0.35">
      <c r="A74" t="s">
        <v>154</v>
      </c>
      <c r="B74" s="12">
        <v>45726</v>
      </c>
      <c r="C74" s="10" t="s">
        <v>10</v>
      </c>
      <c r="D74" s="4" t="s">
        <v>128</v>
      </c>
      <c r="E74" s="253">
        <v>707</v>
      </c>
      <c r="F74" s="172">
        <v>45657</v>
      </c>
      <c r="G74" s="172">
        <v>45657</v>
      </c>
      <c r="H74" s="15">
        <v>-3.52</v>
      </c>
      <c r="I74" s="192">
        <v>-3.9</v>
      </c>
      <c r="J74" s="9">
        <v>-268.65999999999991</v>
      </c>
      <c r="K74">
        <v>-2488.64</v>
      </c>
      <c r="L74" s="14" t="s">
        <v>59</v>
      </c>
      <c r="M74" s="8" t="s">
        <v>131</v>
      </c>
      <c r="N74">
        <v>-2757.2999999999997</v>
      </c>
      <c r="O74" s="38" t="s">
        <v>11</v>
      </c>
      <c r="P74" s="38" t="s">
        <v>10</v>
      </c>
      <c r="Q74">
        <v>2024</v>
      </c>
      <c r="R74" t="s">
        <v>131</v>
      </c>
      <c r="S74" t="s">
        <v>14</v>
      </c>
      <c r="T74" t="s">
        <v>232</v>
      </c>
      <c r="U74" t="str">
        <f>IFERROR(_xlfn.XLOOKUP(A74,'2025 EOY'!A:A,'2025 EOY'!B:B),"No")</f>
        <v>No</v>
      </c>
    </row>
    <row r="75" spans="1:21" x14ac:dyDescent="0.35">
      <c r="A75" t="s">
        <v>156</v>
      </c>
      <c r="B75" s="12">
        <v>45726</v>
      </c>
      <c r="C75" s="10" t="s">
        <v>10</v>
      </c>
      <c r="D75" s="4" t="s">
        <v>128</v>
      </c>
      <c r="E75" s="253">
        <v>2100</v>
      </c>
      <c r="F75" s="172">
        <v>45657</v>
      </c>
      <c r="G75" s="172">
        <v>45657</v>
      </c>
      <c r="H75" s="15">
        <v>-3.52</v>
      </c>
      <c r="I75" s="192">
        <v>-3.9</v>
      </c>
      <c r="J75" s="9">
        <v>-797.99999999999977</v>
      </c>
      <c r="K75">
        <v>-7392</v>
      </c>
      <c r="L75" s="14" t="s">
        <v>59</v>
      </c>
      <c r="M75" s="8" t="s">
        <v>131</v>
      </c>
      <c r="N75">
        <v>-8190</v>
      </c>
      <c r="O75" s="38" t="s">
        <v>11</v>
      </c>
      <c r="P75" s="38" t="s">
        <v>10</v>
      </c>
      <c r="Q75">
        <v>2024</v>
      </c>
      <c r="R75" t="s">
        <v>131</v>
      </c>
      <c r="S75" t="s">
        <v>14</v>
      </c>
      <c r="T75" t="s">
        <v>233</v>
      </c>
      <c r="U75" t="str">
        <f>IFERROR(_xlfn.XLOOKUP(A75,'2025 EOY'!A:A,'2025 EOY'!B:B),"No")</f>
        <v>No</v>
      </c>
    </row>
    <row r="76" spans="1:21" x14ac:dyDescent="0.35">
      <c r="A76" t="s">
        <v>127</v>
      </c>
      <c r="B76" s="12">
        <v>45726</v>
      </c>
      <c r="C76" s="10" t="s">
        <v>10</v>
      </c>
      <c r="D76" s="4" t="s">
        <v>128</v>
      </c>
      <c r="E76" s="253">
        <v>-2507</v>
      </c>
      <c r="F76" s="172">
        <v>45657</v>
      </c>
      <c r="G76" s="172">
        <v>45657</v>
      </c>
      <c r="H76" s="15">
        <v>-3.52</v>
      </c>
      <c r="I76" s="192">
        <v>-3.9</v>
      </c>
      <c r="J76" s="9">
        <v>952.65999999999974</v>
      </c>
      <c r="K76">
        <v>8824.64</v>
      </c>
      <c r="L76" s="14" t="s">
        <v>59</v>
      </c>
      <c r="M76" s="8" t="s">
        <v>129</v>
      </c>
      <c r="N76">
        <v>9777.2999999999993</v>
      </c>
      <c r="O76" s="38" t="s">
        <v>11</v>
      </c>
      <c r="P76" s="38" t="s">
        <v>10</v>
      </c>
      <c r="Q76">
        <v>2024</v>
      </c>
      <c r="R76" t="s">
        <v>129</v>
      </c>
      <c r="S76" t="s">
        <v>14</v>
      </c>
      <c r="T76" t="s">
        <v>234</v>
      </c>
      <c r="U76" t="str">
        <f>IFERROR(_xlfn.XLOOKUP(A76,'2025 EOY'!A:A,'2025 EOY'!B:B),"No")</f>
        <v>No</v>
      </c>
    </row>
    <row r="77" spans="1:21" x14ac:dyDescent="0.35">
      <c r="A77" t="s">
        <v>161</v>
      </c>
      <c r="B77" s="12">
        <v>45726</v>
      </c>
      <c r="C77" s="10" t="s">
        <v>10</v>
      </c>
      <c r="D77" s="4" t="s">
        <v>128</v>
      </c>
      <c r="E77" s="253">
        <v>-50</v>
      </c>
      <c r="F77" s="172">
        <v>45688</v>
      </c>
      <c r="G77" s="172">
        <v>45688</v>
      </c>
      <c r="H77" s="15">
        <v>-4.0999999999999996</v>
      </c>
      <c r="I77" s="192">
        <v>-4.9400000000000004</v>
      </c>
      <c r="J77" s="9">
        <v>42.000000000000036</v>
      </c>
      <c r="K77">
        <v>204.99999999999997</v>
      </c>
      <c r="L77" s="14" t="s">
        <v>61</v>
      </c>
      <c r="M77" s="8" t="s">
        <v>129</v>
      </c>
      <c r="N77">
        <v>247.00000000000003</v>
      </c>
      <c r="O77" s="38" t="s">
        <v>11</v>
      </c>
      <c r="P77" s="38" t="s">
        <v>10</v>
      </c>
      <c r="Q77">
        <v>2025</v>
      </c>
      <c r="R77" t="s">
        <v>129</v>
      </c>
      <c r="S77" t="s">
        <v>14</v>
      </c>
      <c r="T77" t="s">
        <v>235</v>
      </c>
      <c r="U77" t="str">
        <f>IFERROR(_xlfn.XLOOKUP(A77,'2025 EOY'!A:A,'2025 EOY'!B:B),"No")</f>
        <v>No</v>
      </c>
    </row>
    <row r="78" spans="1:21" x14ac:dyDescent="0.35">
      <c r="A78" t="s">
        <v>230</v>
      </c>
      <c r="B78" s="12">
        <v>45726</v>
      </c>
      <c r="C78" s="10" t="s">
        <v>10</v>
      </c>
      <c r="D78" s="4" t="s">
        <v>128</v>
      </c>
      <c r="E78" s="253">
        <v>300</v>
      </c>
      <c r="F78" s="172">
        <v>45688</v>
      </c>
      <c r="G78" s="172">
        <v>45688</v>
      </c>
      <c r="H78" s="15">
        <v>-4.0999999999999996</v>
      </c>
      <c r="I78" s="192">
        <v>-4.9400000000000004</v>
      </c>
      <c r="J78" s="9">
        <v>-252.00000000000023</v>
      </c>
      <c r="K78">
        <v>-1230</v>
      </c>
      <c r="L78" s="14" t="s">
        <v>61</v>
      </c>
      <c r="M78" s="8" t="s">
        <v>131</v>
      </c>
      <c r="N78">
        <v>-1482.0000000000002</v>
      </c>
      <c r="O78" s="38" t="s">
        <v>11</v>
      </c>
      <c r="P78" s="38" t="s">
        <v>10</v>
      </c>
      <c r="Q78">
        <v>2025</v>
      </c>
      <c r="R78" t="s">
        <v>131</v>
      </c>
      <c r="S78" t="s">
        <v>14</v>
      </c>
      <c r="T78" t="s">
        <v>236</v>
      </c>
      <c r="U78" t="str">
        <f>IFERROR(_xlfn.XLOOKUP(A78,'2025 EOY'!A:A,'2025 EOY'!B:B),"No")</f>
        <v>No</v>
      </c>
    </row>
    <row r="79" spans="1:21" x14ac:dyDescent="0.35">
      <c r="A79" t="s">
        <v>237</v>
      </c>
      <c r="B79" s="12">
        <v>45726</v>
      </c>
      <c r="C79" s="10" t="s">
        <v>10</v>
      </c>
      <c r="D79" s="4" t="s">
        <v>128</v>
      </c>
      <c r="E79" s="253">
        <v>700</v>
      </c>
      <c r="F79" s="172">
        <v>45688</v>
      </c>
      <c r="G79" s="172">
        <v>45688</v>
      </c>
      <c r="H79" s="15">
        <v>-4.0999999999999996</v>
      </c>
      <c r="I79" s="192">
        <v>-4.9400000000000004</v>
      </c>
      <c r="J79" s="9">
        <v>-588.00000000000057</v>
      </c>
      <c r="K79">
        <v>-2869.9999999999995</v>
      </c>
      <c r="L79" s="14" t="s">
        <v>61</v>
      </c>
      <c r="M79" s="8" t="s">
        <v>131</v>
      </c>
      <c r="N79">
        <v>-3458.0000000000005</v>
      </c>
      <c r="O79" s="38" t="s">
        <v>11</v>
      </c>
      <c r="P79" s="38" t="s">
        <v>10</v>
      </c>
      <c r="Q79">
        <v>2025</v>
      </c>
      <c r="R79" t="s">
        <v>131</v>
      </c>
      <c r="S79" t="s">
        <v>14</v>
      </c>
      <c r="T79" t="s">
        <v>238</v>
      </c>
      <c r="U79" t="str">
        <f>IFERROR(_xlfn.XLOOKUP(A79,'2025 EOY'!A:A,'2025 EOY'!B:B),"No")</f>
        <v>No</v>
      </c>
    </row>
    <row r="80" spans="1:21" x14ac:dyDescent="0.35">
      <c r="A80" t="s">
        <v>239</v>
      </c>
      <c r="B80" s="12">
        <v>45726</v>
      </c>
      <c r="C80" s="10" t="s">
        <v>10</v>
      </c>
      <c r="D80" s="4" t="s">
        <v>128</v>
      </c>
      <c r="E80" s="253">
        <v>700</v>
      </c>
      <c r="F80" s="172">
        <v>45688</v>
      </c>
      <c r="G80" s="172">
        <v>45688</v>
      </c>
      <c r="H80" s="15">
        <v>-4.0999999999999996</v>
      </c>
      <c r="I80" s="192">
        <v>-4.9400000000000004</v>
      </c>
      <c r="J80" s="9">
        <v>-588.00000000000057</v>
      </c>
      <c r="K80">
        <v>-2869.9999999999995</v>
      </c>
      <c r="L80" s="14" t="s">
        <v>61</v>
      </c>
      <c r="M80" s="8" t="s">
        <v>131</v>
      </c>
      <c r="N80">
        <v>-3458.0000000000005</v>
      </c>
      <c r="O80" s="38" t="s">
        <v>11</v>
      </c>
      <c r="P80" s="38" t="s">
        <v>10</v>
      </c>
      <c r="Q80">
        <v>2025</v>
      </c>
      <c r="R80" t="s">
        <v>131</v>
      </c>
      <c r="S80" t="s">
        <v>14</v>
      </c>
      <c r="T80" t="s">
        <v>240</v>
      </c>
      <c r="U80" t="str">
        <f>IFERROR(_xlfn.XLOOKUP(A80,'2025 EOY'!A:A,'2025 EOY'!B:B),"No")</f>
        <v>No</v>
      </c>
    </row>
    <row r="81" spans="1:21" x14ac:dyDescent="0.35">
      <c r="A81" t="s">
        <v>152</v>
      </c>
      <c r="B81" s="12">
        <v>45726</v>
      </c>
      <c r="C81" s="10" t="s">
        <v>10</v>
      </c>
      <c r="D81" s="4" t="s">
        <v>128</v>
      </c>
      <c r="E81" s="253">
        <v>1750</v>
      </c>
      <c r="F81" s="172">
        <v>45688</v>
      </c>
      <c r="G81" s="172">
        <v>45688</v>
      </c>
      <c r="H81" s="15">
        <v>-4.0999999999999996</v>
      </c>
      <c r="I81" s="192">
        <v>-4.9400000000000004</v>
      </c>
      <c r="J81" s="9">
        <v>-1470.0000000000014</v>
      </c>
      <c r="K81">
        <v>-7174.9999999999991</v>
      </c>
      <c r="L81" s="14" t="s">
        <v>61</v>
      </c>
      <c r="M81" s="8" t="s">
        <v>131</v>
      </c>
      <c r="N81">
        <v>-8645</v>
      </c>
      <c r="O81" s="38" t="s">
        <v>11</v>
      </c>
      <c r="P81" s="38" t="s">
        <v>10</v>
      </c>
      <c r="Q81">
        <v>2025</v>
      </c>
      <c r="R81" t="s">
        <v>131</v>
      </c>
      <c r="S81" t="s">
        <v>14</v>
      </c>
      <c r="T81" t="s">
        <v>241</v>
      </c>
      <c r="U81" t="str">
        <f>IFERROR(_xlfn.XLOOKUP(A81,'2025 EOY'!A:A,'2025 EOY'!B:B),"No")</f>
        <v>No</v>
      </c>
    </row>
    <row r="82" spans="1:21" x14ac:dyDescent="0.35">
      <c r="A82" t="s">
        <v>158</v>
      </c>
      <c r="B82" s="12">
        <v>45726</v>
      </c>
      <c r="C82" s="10" t="s">
        <v>10</v>
      </c>
      <c r="D82" s="4" t="s">
        <v>128</v>
      </c>
      <c r="E82" s="253">
        <v>-268</v>
      </c>
      <c r="F82" s="172">
        <v>45688</v>
      </c>
      <c r="G82" s="172">
        <v>45688</v>
      </c>
      <c r="H82" s="15">
        <v>-4.0999999999999996</v>
      </c>
      <c r="I82" s="192">
        <v>-4.9400000000000004</v>
      </c>
      <c r="J82" s="9">
        <v>225.1200000000002</v>
      </c>
      <c r="K82">
        <v>1098.8</v>
      </c>
      <c r="L82" s="14" t="s">
        <v>61</v>
      </c>
      <c r="M82" s="8" t="s">
        <v>129</v>
      </c>
      <c r="N82">
        <v>1323.92</v>
      </c>
      <c r="O82" s="38" t="s">
        <v>11</v>
      </c>
      <c r="P82" s="38" t="s">
        <v>10</v>
      </c>
      <c r="Q82">
        <v>2025</v>
      </c>
      <c r="R82" t="s">
        <v>129</v>
      </c>
      <c r="S82" t="s">
        <v>14</v>
      </c>
      <c r="T82" t="s">
        <v>242</v>
      </c>
      <c r="U82" t="str">
        <f>IFERROR(_xlfn.XLOOKUP(A82,'2025 EOY'!A:A,'2025 EOY'!B:B),"No")</f>
        <v>No</v>
      </c>
    </row>
    <row r="83" spans="1:21" x14ac:dyDescent="0.35">
      <c r="A83" t="s">
        <v>127</v>
      </c>
      <c r="B83" s="12">
        <v>45726</v>
      </c>
      <c r="C83" s="10" t="s">
        <v>10</v>
      </c>
      <c r="D83" s="4" t="s">
        <v>128</v>
      </c>
      <c r="E83" s="253">
        <v>-3132</v>
      </c>
      <c r="F83" s="172">
        <v>45688</v>
      </c>
      <c r="G83" s="172">
        <v>45688</v>
      </c>
      <c r="H83" s="15">
        <v>-4.0999999999999996</v>
      </c>
      <c r="I83" s="192">
        <v>-4.9400000000000004</v>
      </c>
      <c r="J83" s="9">
        <v>2630.8800000000024</v>
      </c>
      <c r="K83">
        <v>12841.199999999999</v>
      </c>
      <c r="L83" s="14" t="s">
        <v>61</v>
      </c>
      <c r="M83" s="8" t="s">
        <v>129</v>
      </c>
      <c r="N83">
        <v>15472.080000000002</v>
      </c>
      <c r="O83" s="38" t="s">
        <v>11</v>
      </c>
      <c r="P83" s="38" t="s">
        <v>10</v>
      </c>
      <c r="Q83">
        <v>2025</v>
      </c>
      <c r="R83" t="s">
        <v>129</v>
      </c>
      <c r="S83" t="s">
        <v>14</v>
      </c>
      <c r="T83" t="s">
        <v>243</v>
      </c>
      <c r="U83" t="str">
        <f>IFERROR(_xlfn.XLOOKUP(A83,'2025 EOY'!A:A,'2025 EOY'!B:B),"No")</f>
        <v>No</v>
      </c>
    </row>
    <row r="84" spans="1:21" x14ac:dyDescent="0.35">
      <c r="A84" t="s">
        <v>171</v>
      </c>
      <c r="B84" s="12">
        <v>45726</v>
      </c>
      <c r="C84" s="10" t="s">
        <v>10</v>
      </c>
      <c r="D84" s="4" t="s">
        <v>128</v>
      </c>
      <c r="E84" s="253">
        <v>1300</v>
      </c>
      <c r="F84" s="172">
        <v>45716</v>
      </c>
      <c r="G84" s="172">
        <v>45716</v>
      </c>
      <c r="H84" s="15">
        <v>-3.52</v>
      </c>
      <c r="I84" s="192">
        <v>-3.4</v>
      </c>
      <c r="J84" s="9">
        <v>156.00000000000014</v>
      </c>
      <c r="K84">
        <v>-4576</v>
      </c>
      <c r="L84" s="14" t="s">
        <v>62</v>
      </c>
      <c r="M84" s="8" t="s">
        <v>131</v>
      </c>
      <c r="N84">
        <v>-4420</v>
      </c>
      <c r="O84" s="38" t="s">
        <v>11</v>
      </c>
      <c r="P84" s="38" t="s">
        <v>10</v>
      </c>
      <c r="Q84">
        <v>2025</v>
      </c>
      <c r="R84" t="s">
        <v>131</v>
      </c>
      <c r="S84" t="s">
        <v>14</v>
      </c>
      <c r="T84" t="s">
        <v>244</v>
      </c>
      <c r="U84" t="str">
        <f>IFERROR(_xlfn.XLOOKUP(A84,'2025 EOY'!A:A,'2025 EOY'!B:B),"No")</f>
        <v>No</v>
      </c>
    </row>
    <row r="85" spans="1:21" x14ac:dyDescent="0.35">
      <c r="A85" t="s">
        <v>163</v>
      </c>
      <c r="B85" s="12">
        <v>45726</v>
      </c>
      <c r="C85" s="10" t="s">
        <v>10</v>
      </c>
      <c r="D85" s="4" t="s">
        <v>128</v>
      </c>
      <c r="E85" s="253">
        <v>-24</v>
      </c>
      <c r="F85" s="172">
        <v>45716</v>
      </c>
      <c r="G85" s="172">
        <v>45716</v>
      </c>
      <c r="H85" s="15">
        <v>-3.52</v>
      </c>
      <c r="I85" s="192">
        <v>-3.4</v>
      </c>
      <c r="J85" s="9">
        <v>-2.8800000000000026</v>
      </c>
      <c r="K85">
        <v>84.48</v>
      </c>
      <c r="L85" s="14" t="s">
        <v>62</v>
      </c>
      <c r="M85" s="8" t="s">
        <v>129</v>
      </c>
      <c r="N85">
        <v>81.599999999999994</v>
      </c>
      <c r="O85" s="38" t="s">
        <v>11</v>
      </c>
      <c r="P85" s="38" t="s">
        <v>10</v>
      </c>
      <c r="Q85">
        <v>2025</v>
      </c>
      <c r="R85" t="s">
        <v>129</v>
      </c>
      <c r="S85" t="s">
        <v>14</v>
      </c>
      <c r="T85" t="s">
        <v>245</v>
      </c>
      <c r="U85" t="str">
        <f>IFERROR(_xlfn.XLOOKUP(A85,'2025 EOY'!A:A,'2025 EOY'!B:B),"No")</f>
        <v>No</v>
      </c>
    </row>
    <row r="86" spans="1:21" x14ac:dyDescent="0.35">
      <c r="A86" t="s">
        <v>246</v>
      </c>
      <c r="B86" s="12">
        <v>45726</v>
      </c>
      <c r="C86" s="10" t="s">
        <v>10</v>
      </c>
      <c r="D86" s="4" t="s">
        <v>128</v>
      </c>
      <c r="E86" s="253">
        <v>700</v>
      </c>
      <c r="F86" s="172">
        <v>45716</v>
      </c>
      <c r="G86" s="172">
        <v>45716</v>
      </c>
      <c r="H86" s="15">
        <v>-3.52</v>
      </c>
      <c r="I86" s="192">
        <v>-3.4</v>
      </c>
      <c r="J86" s="9">
        <v>84.000000000000071</v>
      </c>
      <c r="K86">
        <v>-2464</v>
      </c>
      <c r="L86" s="14" t="s">
        <v>62</v>
      </c>
      <c r="M86" s="8" t="s">
        <v>131</v>
      </c>
      <c r="N86">
        <v>-2380</v>
      </c>
      <c r="O86" s="38" t="s">
        <v>11</v>
      </c>
      <c r="P86" s="38" t="s">
        <v>10</v>
      </c>
      <c r="Q86">
        <v>2025</v>
      </c>
      <c r="R86" t="s">
        <v>131</v>
      </c>
      <c r="S86" t="s">
        <v>14</v>
      </c>
      <c r="T86" t="s">
        <v>247</v>
      </c>
      <c r="U86" t="str">
        <f>IFERROR(_xlfn.XLOOKUP(A86,'2025 EOY'!A:A,'2025 EOY'!B:B),"No")</f>
        <v>No</v>
      </c>
    </row>
    <row r="87" spans="1:21" x14ac:dyDescent="0.35">
      <c r="A87" t="s">
        <v>176</v>
      </c>
      <c r="B87" s="12">
        <v>45726</v>
      </c>
      <c r="C87" s="10" t="s">
        <v>10</v>
      </c>
      <c r="D87" s="4" t="s">
        <v>128</v>
      </c>
      <c r="E87" s="253">
        <v>700</v>
      </c>
      <c r="F87" s="172">
        <v>45716</v>
      </c>
      <c r="G87" s="172">
        <v>45716</v>
      </c>
      <c r="H87" s="15">
        <v>-3.52</v>
      </c>
      <c r="I87" s="192">
        <v>-3.4</v>
      </c>
      <c r="J87" s="9">
        <v>84.000000000000071</v>
      </c>
      <c r="K87">
        <v>-2464</v>
      </c>
      <c r="L87" s="14" t="s">
        <v>62</v>
      </c>
      <c r="M87" s="8" t="s">
        <v>131</v>
      </c>
      <c r="N87">
        <v>-2380</v>
      </c>
      <c r="O87" s="38" t="s">
        <v>11</v>
      </c>
      <c r="P87" s="38" t="s">
        <v>10</v>
      </c>
      <c r="Q87">
        <v>2025</v>
      </c>
      <c r="R87" t="s">
        <v>131</v>
      </c>
      <c r="S87" t="s">
        <v>14</v>
      </c>
      <c r="T87" t="s">
        <v>248</v>
      </c>
      <c r="U87" t="str">
        <f>IFERROR(_xlfn.XLOOKUP(A87,'2025 EOY'!A:A,'2025 EOY'!B:B),"No")</f>
        <v>No</v>
      </c>
    </row>
    <row r="88" spans="1:21" x14ac:dyDescent="0.35">
      <c r="A88" t="s">
        <v>249</v>
      </c>
      <c r="B88" s="12">
        <v>45726</v>
      </c>
      <c r="C88" s="10" t="s">
        <v>10</v>
      </c>
      <c r="D88" s="4" t="s">
        <v>128</v>
      </c>
      <c r="E88" s="253">
        <v>707</v>
      </c>
      <c r="F88" s="172">
        <v>45716</v>
      </c>
      <c r="G88" s="172">
        <v>45716</v>
      </c>
      <c r="H88" s="15">
        <v>-3.52</v>
      </c>
      <c r="I88" s="192">
        <v>-3.4</v>
      </c>
      <c r="J88" s="9">
        <v>84.840000000000074</v>
      </c>
      <c r="K88">
        <v>-2488.64</v>
      </c>
      <c r="L88" s="14" t="s">
        <v>62</v>
      </c>
      <c r="M88" s="8" t="s">
        <v>131</v>
      </c>
      <c r="N88">
        <v>-2403.7999999999997</v>
      </c>
      <c r="O88" s="38" t="s">
        <v>11</v>
      </c>
      <c r="P88" s="38" t="s">
        <v>10</v>
      </c>
      <c r="Q88">
        <v>2025</v>
      </c>
      <c r="R88" t="s">
        <v>131</v>
      </c>
      <c r="S88" t="s">
        <v>14</v>
      </c>
      <c r="T88" t="s">
        <v>250</v>
      </c>
      <c r="U88" t="str">
        <f>IFERROR(_xlfn.XLOOKUP(A88,'2025 EOY'!A:A,'2025 EOY'!B:B),"No")</f>
        <v>No</v>
      </c>
    </row>
    <row r="89" spans="1:21" x14ac:dyDescent="0.35">
      <c r="A89" t="s">
        <v>165</v>
      </c>
      <c r="B89" s="12">
        <v>45726</v>
      </c>
      <c r="C89" s="10" t="s">
        <v>10</v>
      </c>
      <c r="D89" s="4" t="s">
        <v>128</v>
      </c>
      <c r="E89" s="253">
        <v>700</v>
      </c>
      <c r="F89" s="172">
        <v>45716</v>
      </c>
      <c r="G89" s="172">
        <v>45716</v>
      </c>
      <c r="H89" s="15">
        <v>-3.52</v>
      </c>
      <c r="I89" s="192">
        <v>-3.4</v>
      </c>
      <c r="J89" s="9">
        <v>84.000000000000071</v>
      </c>
      <c r="K89">
        <v>-2464</v>
      </c>
      <c r="L89" s="14" t="s">
        <v>62</v>
      </c>
      <c r="M89" s="8" t="s">
        <v>131</v>
      </c>
      <c r="N89">
        <v>-2380</v>
      </c>
      <c r="O89" s="38" t="s">
        <v>11</v>
      </c>
      <c r="P89" s="38" t="s">
        <v>10</v>
      </c>
      <c r="Q89">
        <v>2025</v>
      </c>
      <c r="R89" t="s">
        <v>131</v>
      </c>
      <c r="S89" t="s">
        <v>14</v>
      </c>
      <c r="T89" t="s">
        <v>251</v>
      </c>
      <c r="U89" t="str">
        <f>IFERROR(_xlfn.XLOOKUP(A89,'2025 EOY'!A:A,'2025 EOY'!B:B),"No")</f>
        <v>No</v>
      </c>
    </row>
    <row r="90" spans="1:21" x14ac:dyDescent="0.35">
      <c r="A90" t="s">
        <v>167</v>
      </c>
      <c r="B90" s="12">
        <v>45726</v>
      </c>
      <c r="C90" s="10" t="s">
        <v>10</v>
      </c>
      <c r="D90" s="4" t="s">
        <v>128</v>
      </c>
      <c r="E90" s="253">
        <v>47</v>
      </c>
      <c r="F90" s="172">
        <v>45716</v>
      </c>
      <c r="G90" s="172">
        <v>45716</v>
      </c>
      <c r="H90" s="15">
        <v>-3.52</v>
      </c>
      <c r="I90" s="192">
        <v>-3.4</v>
      </c>
      <c r="J90" s="9">
        <v>5.640000000000005</v>
      </c>
      <c r="K90">
        <v>-165.44</v>
      </c>
      <c r="L90" s="14" t="s">
        <v>62</v>
      </c>
      <c r="M90" s="8" t="s">
        <v>131</v>
      </c>
      <c r="N90">
        <v>-159.79999999999998</v>
      </c>
      <c r="O90" s="38" t="s">
        <v>11</v>
      </c>
      <c r="P90" s="38" t="s">
        <v>10</v>
      </c>
      <c r="Q90">
        <v>2025</v>
      </c>
      <c r="R90" t="s">
        <v>131</v>
      </c>
      <c r="S90" t="s">
        <v>14</v>
      </c>
      <c r="T90" t="s">
        <v>252</v>
      </c>
      <c r="U90" t="str">
        <f>IFERROR(_xlfn.XLOOKUP(A90,'2025 EOY'!A:A,'2025 EOY'!B:B),"No")</f>
        <v>No</v>
      </c>
    </row>
    <row r="91" spans="1:21" x14ac:dyDescent="0.35">
      <c r="A91" t="s">
        <v>154</v>
      </c>
      <c r="B91" s="12">
        <v>45726</v>
      </c>
      <c r="C91" s="10" t="s">
        <v>10</v>
      </c>
      <c r="D91" s="4" t="s">
        <v>128</v>
      </c>
      <c r="E91" s="253">
        <v>735</v>
      </c>
      <c r="F91" s="172">
        <v>45716</v>
      </c>
      <c r="G91" s="172">
        <v>45716</v>
      </c>
      <c r="H91" s="15">
        <v>-3.52</v>
      </c>
      <c r="I91" s="192">
        <v>-3.4</v>
      </c>
      <c r="J91" s="9">
        <v>88.200000000000074</v>
      </c>
      <c r="K91">
        <v>-2587.1999999999998</v>
      </c>
      <c r="L91" s="14" t="s">
        <v>62</v>
      </c>
      <c r="M91" s="8" t="s">
        <v>131</v>
      </c>
      <c r="N91">
        <v>-2499</v>
      </c>
      <c r="O91" s="38" t="s">
        <v>11</v>
      </c>
      <c r="P91" s="38" t="s">
        <v>10</v>
      </c>
      <c r="Q91">
        <v>2025</v>
      </c>
      <c r="R91" t="s">
        <v>131</v>
      </c>
      <c r="S91" t="s">
        <v>14</v>
      </c>
      <c r="T91" t="s">
        <v>253</v>
      </c>
      <c r="U91" t="str">
        <f>IFERROR(_xlfn.XLOOKUP(A91,'2025 EOY'!A:A,'2025 EOY'!B:B),"No")</f>
        <v>No</v>
      </c>
    </row>
    <row r="92" spans="1:21" x14ac:dyDescent="0.35">
      <c r="A92" t="s">
        <v>127</v>
      </c>
      <c r="B92" s="12">
        <v>45726</v>
      </c>
      <c r="C92" s="10" t="s">
        <v>10</v>
      </c>
      <c r="D92" s="4" t="s">
        <v>128</v>
      </c>
      <c r="E92" s="253">
        <v>-4865</v>
      </c>
      <c r="F92" s="172">
        <v>45716</v>
      </c>
      <c r="G92" s="172">
        <v>45716</v>
      </c>
      <c r="H92" s="15">
        <v>-3.52</v>
      </c>
      <c r="I92" s="192">
        <v>-3.4</v>
      </c>
      <c r="J92" s="9">
        <v>-583.80000000000052</v>
      </c>
      <c r="K92">
        <v>17124.8</v>
      </c>
      <c r="L92" s="14" t="s">
        <v>62</v>
      </c>
      <c r="M92" s="8" t="s">
        <v>129</v>
      </c>
      <c r="N92">
        <v>16541</v>
      </c>
      <c r="O92" s="38" t="s">
        <v>11</v>
      </c>
      <c r="P92" s="38" t="s">
        <v>10</v>
      </c>
      <c r="Q92">
        <v>2025</v>
      </c>
      <c r="R92" t="s">
        <v>129</v>
      </c>
      <c r="S92" t="s">
        <v>14</v>
      </c>
      <c r="T92" t="s">
        <v>254</v>
      </c>
      <c r="U92" t="str">
        <f>IFERROR(_xlfn.XLOOKUP(A92,'2025 EOY'!A:A,'2025 EOY'!B:B),"No")</f>
        <v>No</v>
      </c>
    </row>
    <row r="93" spans="1:21" x14ac:dyDescent="0.35">
      <c r="A93" t="s">
        <v>183</v>
      </c>
      <c r="B93" s="12">
        <v>45726</v>
      </c>
      <c r="C93" s="10" t="s">
        <v>10</v>
      </c>
      <c r="D93" s="4" t="s">
        <v>128</v>
      </c>
      <c r="E93" s="253">
        <v>2079</v>
      </c>
      <c r="F93" s="172">
        <v>45747</v>
      </c>
      <c r="G93" s="172">
        <v>45747</v>
      </c>
      <c r="H93" s="15">
        <v>-3.5</v>
      </c>
      <c r="I93" s="192">
        <v>-4.2300000000000004</v>
      </c>
      <c r="J93" s="9">
        <v>-1517.670000000001</v>
      </c>
      <c r="K93">
        <v>-7276.5</v>
      </c>
      <c r="L93" s="14" t="s">
        <v>63</v>
      </c>
      <c r="M93" s="8" t="s">
        <v>131</v>
      </c>
      <c r="N93">
        <v>-8794.17</v>
      </c>
      <c r="O93" s="38" t="s">
        <v>11</v>
      </c>
      <c r="P93" s="38" t="s">
        <v>10</v>
      </c>
      <c r="Q93">
        <v>2025</v>
      </c>
      <c r="R93" t="s">
        <v>131</v>
      </c>
      <c r="S93" t="s">
        <v>14</v>
      </c>
      <c r="T93" t="s">
        <v>255</v>
      </c>
      <c r="U93" t="str">
        <f>IFERROR(_xlfn.XLOOKUP(A93,'2025 EOY'!A:A,'2025 EOY'!B:B),"No")</f>
        <v>No</v>
      </c>
    </row>
    <row r="94" spans="1:21" x14ac:dyDescent="0.35">
      <c r="A94" t="s">
        <v>185</v>
      </c>
      <c r="B94" s="12">
        <v>45726</v>
      </c>
      <c r="C94" s="10" t="s">
        <v>10</v>
      </c>
      <c r="D94" s="4" t="s">
        <v>128</v>
      </c>
      <c r="E94" s="253">
        <v>704</v>
      </c>
      <c r="F94" s="172">
        <v>45747</v>
      </c>
      <c r="G94" s="172">
        <v>45747</v>
      </c>
      <c r="H94" s="15">
        <v>-3.5</v>
      </c>
      <c r="I94" s="192">
        <v>-4.2300000000000004</v>
      </c>
      <c r="J94" s="9">
        <v>-513.9200000000003</v>
      </c>
      <c r="K94">
        <v>-2464</v>
      </c>
      <c r="L94" s="14" t="s">
        <v>63</v>
      </c>
      <c r="M94" s="8" t="s">
        <v>131</v>
      </c>
      <c r="N94">
        <v>-2977.92</v>
      </c>
      <c r="O94" s="38" t="s">
        <v>11</v>
      </c>
      <c r="P94" s="38" t="s">
        <v>10</v>
      </c>
      <c r="Q94">
        <v>2025</v>
      </c>
      <c r="R94" t="s">
        <v>131</v>
      </c>
      <c r="S94" t="s">
        <v>14</v>
      </c>
      <c r="T94" t="s">
        <v>256</v>
      </c>
      <c r="U94" t="str">
        <f>IFERROR(_xlfn.XLOOKUP(A94,'2025 EOY'!A:A,'2025 EOY'!B:B),"No")</f>
        <v>No</v>
      </c>
    </row>
    <row r="95" spans="1:21" x14ac:dyDescent="0.35">
      <c r="A95" t="s">
        <v>173</v>
      </c>
      <c r="B95" s="12">
        <v>45726</v>
      </c>
      <c r="C95" s="10" t="s">
        <v>10</v>
      </c>
      <c r="D95" s="4" t="s">
        <v>128</v>
      </c>
      <c r="E95" s="253">
        <v>2096</v>
      </c>
      <c r="F95" s="172">
        <v>45747</v>
      </c>
      <c r="G95" s="172">
        <v>45747</v>
      </c>
      <c r="H95" s="15">
        <v>-3.5</v>
      </c>
      <c r="I95" s="192">
        <v>-4.2300000000000004</v>
      </c>
      <c r="J95" s="9">
        <v>-1530.0800000000008</v>
      </c>
      <c r="K95">
        <v>-7336</v>
      </c>
      <c r="L95" s="14" t="s">
        <v>63</v>
      </c>
      <c r="M95" s="8" t="s">
        <v>131</v>
      </c>
      <c r="N95">
        <v>-8866.0800000000017</v>
      </c>
      <c r="O95" s="38" t="s">
        <v>11</v>
      </c>
      <c r="P95" s="38" t="s">
        <v>10</v>
      </c>
      <c r="Q95">
        <v>2025</v>
      </c>
      <c r="R95" t="s">
        <v>131</v>
      </c>
      <c r="S95" t="s">
        <v>14</v>
      </c>
      <c r="T95" t="s">
        <v>257</v>
      </c>
      <c r="U95" t="str">
        <f>IFERROR(_xlfn.XLOOKUP(A95,'2025 EOY'!A:A,'2025 EOY'!B:B),"No")</f>
        <v>No</v>
      </c>
    </row>
    <row r="96" spans="1:21" x14ac:dyDescent="0.35">
      <c r="A96" t="s">
        <v>180</v>
      </c>
      <c r="B96" s="12">
        <v>45726</v>
      </c>
      <c r="C96" s="10" t="s">
        <v>10</v>
      </c>
      <c r="D96" s="4" t="s">
        <v>128</v>
      </c>
      <c r="E96" s="253">
        <v>735</v>
      </c>
      <c r="F96" s="172">
        <v>45747</v>
      </c>
      <c r="G96" s="172">
        <v>45747</v>
      </c>
      <c r="H96" s="15">
        <v>-3.5</v>
      </c>
      <c r="I96" s="192">
        <v>-4.2300000000000004</v>
      </c>
      <c r="J96" s="9">
        <v>-536.5500000000003</v>
      </c>
      <c r="K96">
        <v>-2572.5</v>
      </c>
      <c r="L96" s="14" t="s">
        <v>63</v>
      </c>
      <c r="M96" s="8" t="s">
        <v>131</v>
      </c>
      <c r="N96">
        <v>-3109.05</v>
      </c>
      <c r="O96" s="38" t="s">
        <v>11</v>
      </c>
      <c r="P96" s="38" t="s">
        <v>10</v>
      </c>
      <c r="Q96">
        <v>2025</v>
      </c>
      <c r="R96" t="s">
        <v>131</v>
      </c>
      <c r="S96" t="s">
        <v>14</v>
      </c>
      <c r="T96" t="s">
        <v>258</v>
      </c>
      <c r="U96" t="str">
        <f>IFERROR(_xlfn.XLOOKUP(A96,'2025 EOY'!A:A,'2025 EOY'!B:B),"No")</f>
        <v>No</v>
      </c>
    </row>
    <row r="97" spans="1:23" x14ac:dyDescent="0.35">
      <c r="A97" t="s">
        <v>127</v>
      </c>
      <c r="B97" s="12">
        <v>45726</v>
      </c>
      <c r="C97" s="10" t="s">
        <v>10</v>
      </c>
      <c r="D97" s="4" t="s">
        <v>128</v>
      </c>
      <c r="E97" s="253">
        <v>-5614</v>
      </c>
      <c r="F97" s="172">
        <v>45747</v>
      </c>
      <c r="G97" s="172">
        <v>45747</v>
      </c>
      <c r="H97" s="15">
        <v>-3.5</v>
      </c>
      <c r="I97" s="192">
        <v>-4.2300000000000004</v>
      </c>
      <c r="J97" s="9">
        <v>4098.2200000000021</v>
      </c>
      <c r="K97">
        <v>19649</v>
      </c>
      <c r="L97" s="14" t="s">
        <v>63</v>
      </c>
      <c r="M97" s="8" t="s">
        <v>129</v>
      </c>
      <c r="N97">
        <v>23747.22</v>
      </c>
      <c r="O97" s="38" t="s">
        <v>11</v>
      </c>
      <c r="P97" s="38" t="s">
        <v>10</v>
      </c>
      <c r="Q97">
        <v>2025</v>
      </c>
      <c r="R97" t="s">
        <v>129</v>
      </c>
      <c r="S97" t="s">
        <v>14</v>
      </c>
      <c r="T97" t="s">
        <v>259</v>
      </c>
      <c r="U97" t="str">
        <f>IFERROR(_xlfn.XLOOKUP(A97,'2025 EOY'!A:A,'2025 EOY'!B:B),"No")</f>
        <v>No</v>
      </c>
      <c r="W97">
        <v>0.35</v>
      </c>
    </row>
    <row r="98" spans="1:23" x14ac:dyDescent="0.35">
      <c r="A98" t="s">
        <v>188</v>
      </c>
      <c r="B98" s="12">
        <v>45726</v>
      </c>
      <c r="C98" s="10" t="s">
        <v>10</v>
      </c>
      <c r="D98" s="4" t="s">
        <v>128</v>
      </c>
      <c r="E98" s="253">
        <v>68</v>
      </c>
      <c r="F98" s="172">
        <v>45777</v>
      </c>
      <c r="G98" s="172">
        <v>45777</v>
      </c>
      <c r="H98" s="15">
        <v>-9.3800000000000008</v>
      </c>
      <c r="I98" s="192">
        <v>-3.42</v>
      </c>
      <c r="J98" s="9">
        <v>405.28000000000009</v>
      </c>
      <c r="K98">
        <v>-637.84</v>
      </c>
      <c r="L98" s="14" t="s">
        <v>64</v>
      </c>
      <c r="M98" s="8" t="s">
        <v>131</v>
      </c>
      <c r="N98">
        <v>-232.56</v>
      </c>
      <c r="O98" s="38" t="s">
        <v>11</v>
      </c>
      <c r="P98" s="38" t="s">
        <v>10</v>
      </c>
      <c r="Q98">
        <v>2025</v>
      </c>
      <c r="R98" t="s">
        <v>131</v>
      </c>
      <c r="S98" t="s">
        <v>14</v>
      </c>
      <c r="T98" t="s">
        <v>260</v>
      </c>
      <c r="U98" t="str">
        <f>IFERROR(_xlfn.XLOOKUP(A98,'2025 EOY'!A:A,'2025 EOY'!B:B),"No")</f>
        <v>No</v>
      </c>
      <c r="W98">
        <v>1.3</v>
      </c>
    </row>
    <row r="99" spans="1:23" x14ac:dyDescent="0.35">
      <c r="A99" t="s">
        <v>127</v>
      </c>
      <c r="B99" s="12">
        <v>45726</v>
      </c>
      <c r="C99" s="10" t="s">
        <v>10</v>
      </c>
      <c r="D99" s="4" t="s">
        <v>128</v>
      </c>
      <c r="E99" s="253">
        <v>-68</v>
      </c>
      <c r="F99" s="172">
        <v>45777</v>
      </c>
      <c r="G99" s="172">
        <v>45777</v>
      </c>
      <c r="H99" s="15">
        <v>-9.3800000000000008</v>
      </c>
      <c r="I99" s="192">
        <v>-3.42</v>
      </c>
      <c r="J99" s="9">
        <v>-405.28000000000009</v>
      </c>
      <c r="K99">
        <v>637.84</v>
      </c>
      <c r="L99" s="14" t="s">
        <v>64</v>
      </c>
      <c r="M99" s="8" t="s">
        <v>129</v>
      </c>
      <c r="N99">
        <v>232.56</v>
      </c>
      <c r="O99" s="38" t="s">
        <v>11</v>
      </c>
      <c r="P99" s="38" t="s">
        <v>10</v>
      </c>
      <c r="Q99">
        <v>2025</v>
      </c>
      <c r="R99" t="s">
        <v>129</v>
      </c>
      <c r="S99" t="s">
        <v>14</v>
      </c>
      <c r="T99" t="s">
        <v>261</v>
      </c>
      <c r="U99" t="str">
        <f>IFERROR(_xlfn.XLOOKUP(A99,'2025 EOY'!A:A,'2025 EOY'!B:B),"No")</f>
        <v>No</v>
      </c>
      <c r="W99">
        <v>0.27</v>
      </c>
    </row>
    <row r="100" spans="1:23" x14ac:dyDescent="0.35">
      <c r="A100" t="s">
        <v>262</v>
      </c>
      <c r="B100" s="12">
        <v>45726</v>
      </c>
      <c r="C100" s="10" t="s">
        <v>10</v>
      </c>
      <c r="D100" s="4" t="s">
        <v>128</v>
      </c>
      <c r="E100" s="253">
        <v>700</v>
      </c>
      <c r="F100" s="172">
        <v>45808</v>
      </c>
      <c r="G100" s="172">
        <v>45808</v>
      </c>
      <c r="H100" s="15">
        <v>-3.83</v>
      </c>
      <c r="I100" s="192">
        <v>-3.26</v>
      </c>
      <c r="J100" s="9">
        <v>399.00000000000023</v>
      </c>
      <c r="K100">
        <v>-2681</v>
      </c>
      <c r="L100" s="14" t="s">
        <v>65</v>
      </c>
      <c r="M100" s="8" t="s">
        <v>131</v>
      </c>
      <c r="N100">
        <v>-2282</v>
      </c>
      <c r="O100" s="38" t="s">
        <v>11</v>
      </c>
      <c r="P100" s="38" t="s">
        <v>10</v>
      </c>
      <c r="Q100">
        <v>2025</v>
      </c>
      <c r="R100" t="s">
        <v>131</v>
      </c>
      <c r="S100" t="s">
        <v>14</v>
      </c>
      <c r="T100" t="s">
        <v>263</v>
      </c>
      <c r="U100" t="str">
        <f>IFERROR(_xlfn.XLOOKUP(A100,'2025 EOY'!A:A,'2025 EOY'!B:B),"No")</f>
        <v>No</v>
      </c>
      <c r="W100">
        <v>0.26</v>
      </c>
    </row>
    <row r="101" spans="1:23" x14ac:dyDescent="0.35">
      <c r="A101" t="s">
        <v>127</v>
      </c>
      <c r="B101" s="12">
        <v>45726</v>
      </c>
      <c r="C101" s="10" t="s">
        <v>10</v>
      </c>
      <c r="D101" s="4" t="s">
        <v>128</v>
      </c>
      <c r="E101" s="253">
        <v>-700</v>
      </c>
      <c r="F101" s="172">
        <v>45808</v>
      </c>
      <c r="G101" s="172">
        <v>45808</v>
      </c>
      <c r="H101" s="15">
        <v>-3.83</v>
      </c>
      <c r="I101" s="192">
        <v>-3.26</v>
      </c>
      <c r="J101" s="9">
        <v>-399.00000000000023</v>
      </c>
      <c r="K101">
        <v>2681</v>
      </c>
      <c r="L101" s="14" t="s">
        <v>65</v>
      </c>
      <c r="M101" s="8" t="s">
        <v>129</v>
      </c>
      <c r="N101">
        <v>2282</v>
      </c>
      <c r="O101" s="38" t="s">
        <v>11</v>
      </c>
      <c r="P101" s="38" t="s">
        <v>10</v>
      </c>
      <c r="Q101">
        <v>2025</v>
      </c>
      <c r="R101" t="s">
        <v>129</v>
      </c>
      <c r="S101" t="s">
        <v>14</v>
      </c>
      <c r="T101" t="s">
        <v>264</v>
      </c>
      <c r="U101" t="str">
        <f>IFERROR(_xlfn.XLOOKUP(A101,'2025 EOY'!A:A,'2025 EOY'!B:B),"No")</f>
        <v>No</v>
      </c>
      <c r="W101">
        <v>-3.76</v>
      </c>
    </row>
    <row r="102" spans="1:23" x14ac:dyDescent="0.35">
      <c r="A102" t="s">
        <v>199</v>
      </c>
      <c r="B102" s="12">
        <v>45726</v>
      </c>
      <c r="C102" s="10" t="s">
        <v>10</v>
      </c>
      <c r="D102" s="4" t="s">
        <v>128</v>
      </c>
      <c r="E102" s="253">
        <v>300</v>
      </c>
      <c r="F102" s="172">
        <v>45808</v>
      </c>
      <c r="G102" s="172">
        <v>45808</v>
      </c>
      <c r="H102" s="15">
        <v>-3.83</v>
      </c>
      <c r="I102" s="192">
        <v>-3.26</v>
      </c>
      <c r="J102" s="9">
        <v>171.00000000000009</v>
      </c>
      <c r="K102">
        <v>-1149</v>
      </c>
      <c r="L102" s="14" t="s">
        <v>65</v>
      </c>
      <c r="M102" s="8" t="s">
        <v>131</v>
      </c>
      <c r="N102">
        <v>-977.99999999999989</v>
      </c>
      <c r="O102" s="38" t="s">
        <v>11</v>
      </c>
      <c r="P102" s="38" t="s">
        <v>10</v>
      </c>
      <c r="Q102">
        <v>2025</v>
      </c>
      <c r="R102" t="s">
        <v>131</v>
      </c>
      <c r="S102" t="s">
        <v>14</v>
      </c>
      <c r="T102" t="s">
        <v>265</v>
      </c>
      <c r="U102" t="str">
        <f>IFERROR(_xlfn.XLOOKUP(A102,'2025 EOY'!A:A,'2025 EOY'!B:B),"No")</f>
        <v>No</v>
      </c>
      <c r="W102">
        <v>-1.58</v>
      </c>
    </row>
    <row r="103" spans="1:23" x14ac:dyDescent="0.35">
      <c r="A103" t="s">
        <v>127</v>
      </c>
      <c r="B103" s="12">
        <v>45726</v>
      </c>
      <c r="C103" s="10" t="s">
        <v>10</v>
      </c>
      <c r="D103" s="4" t="s">
        <v>128</v>
      </c>
      <c r="E103" s="253">
        <v>-300</v>
      </c>
      <c r="F103" s="172">
        <v>45808</v>
      </c>
      <c r="G103" s="172">
        <v>45808</v>
      </c>
      <c r="H103" s="15">
        <v>-3.83</v>
      </c>
      <c r="I103" s="192">
        <v>-3.26</v>
      </c>
      <c r="J103" s="9">
        <v>-171.00000000000009</v>
      </c>
      <c r="K103">
        <v>1149</v>
      </c>
      <c r="L103" s="14" t="s">
        <v>65</v>
      </c>
      <c r="M103" s="8" t="s">
        <v>129</v>
      </c>
      <c r="N103">
        <v>977.99999999999989</v>
      </c>
      <c r="O103" s="38" t="s">
        <v>11</v>
      </c>
      <c r="P103" s="38" t="s">
        <v>10</v>
      </c>
      <c r="Q103">
        <v>2025</v>
      </c>
      <c r="R103" t="s">
        <v>129</v>
      </c>
      <c r="S103" t="s">
        <v>14</v>
      </c>
      <c r="T103" t="s">
        <v>266</v>
      </c>
      <c r="U103" t="str">
        <f>IFERROR(_xlfn.XLOOKUP(A103,'2025 EOY'!A:A,'2025 EOY'!B:B),"No")</f>
        <v>No</v>
      </c>
    </row>
    <row r="104" spans="1:23" x14ac:dyDescent="0.35">
      <c r="A104" t="s">
        <v>267</v>
      </c>
      <c r="B104" s="12">
        <v>45727</v>
      </c>
      <c r="C104" s="10" t="s">
        <v>15</v>
      </c>
      <c r="D104" s="4" t="s">
        <v>268</v>
      </c>
      <c r="E104" s="253">
        <v>-700</v>
      </c>
      <c r="F104" s="172">
        <v>45596</v>
      </c>
      <c r="G104" s="172">
        <v>45596</v>
      </c>
      <c r="H104" s="15">
        <v>0.27</v>
      </c>
      <c r="I104" s="191">
        <v>0.27</v>
      </c>
      <c r="J104" s="9">
        <v>0</v>
      </c>
      <c r="K104">
        <v>-189</v>
      </c>
      <c r="L104" s="14" t="s">
        <v>66</v>
      </c>
      <c r="M104" s="8" t="s">
        <v>129</v>
      </c>
      <c r="N104">
        <v>-189</v>
      </c>
      <c r="O104" t="s">
        <v>11</v>
      </c>
      <c r="P104" s="38" t="s">
        <v>16</v>
      </c>
      <c r="Q104">
        <v>2024</v>
      </c>
      <c r="R104" t="s">
        <v>129</v>
      </c>
      <c r="S104" t="s">
        <v>14</v>
      </c>
      <c r="T104" t="s">
        <v>269</v>
      </c>
      <c r="U104" t="str">
        <f>IFERROR(_xlfn.XLOOKUP(A104,'2025 EOY'!A:A,'2025 EOY'!B:B),"No")</f>
        <v>No</v>
      </c>
    </row>
    <row r="105" spans="1:23" x14ac:dyDescent="0.35">
      <c r="A105" t="s">
        <v>127</v>
      </c>
      <c r="B105" s="12">
        <v>45727</v>
      </c>
      <c r="C105" s="10" t="s">
        <v>15</v>
      </c>
      <c r="D105" s="4" t="s">
        <v>268</v>
      </c>
      <c r="E105" s="253">
        <v>-197</v>
      </c>
      <c r="F105" s="172">
        <v>45626</v>
      </c>
      <c r="G105" s="172">
        <v>45626</v>
      </c>
      <c r="H105" s="15">
        <v>1.04</v>
      </c>
      <c r="I105" s="191">
        <v>1.04</v>
      </c>
      <c r="J105" s="9">
        <v>0</v>
      </c>
      <c r="K105">
        <v>-204.88</v>
      </c>
      <c r="L105" s="14" t="s">
        <v>67</v>
      </c>
      <c r="M105" s="8" t="s">
        <v>129</v>
      </c>
      <c r="N105">
        <v>-204.88</v>
      </c>
      <c r="O105" t="s">
        <v>11</v>
      </c>
      <c r="P105" s="38" t="s">
        <v>16</v>
      </c>
      <c r="Q105">
        <v>2024</v>
      </c>
      <c r="R105" t="s">
        <v>129</v>
      </c>
      <c r="S105" t="s">
        <v>14</v>
      </c>
      <c r="T105" t="s">
        <v>270</v>
      </c>
      <c r="U105" t="str">
        <f>IFERROR(_xlfn.XLOOKUP(A105,'2025 EOY'!A:A,'2025 EOY'!B:B),"No")</f>
        <v>No</v>
      </c>
    </row>
    <row r="106" spans="1:23" x14ac:dyDescent="0.35">
      <c r="A106" t="s">
        <v>127</v>
      </c>
      <c r="B106" s="12">
        <v>45727</v>
      </c>
      <c r="C106" s="10" t="s">
        <v>15</v>
      </c>
      <c r="D106" s="4" t="s">
        <v>268</v>
      </c>
      <c r="E106" s="253">
        <v>-4683</v>
      </c>
      <c r="F106" s="172">
        <v>45657</v>
      </c>
      <c r="G106" s="172">
        <v>45657</v>
      </c>
      <c r="H106" s="15">
        <v>0.82</v>
      </c>
      <c r="I106" s="191">
        <v>0.82</v>
      </c>
      <c r="J106" s="9">
        <v>0</v>
      </c>
      <c r="K106">
        <v>-3840.06</v>
      </c>
      <c r="L106" s="14" t="s">
        <v>59</v>
      </c>
      <c r="M106" s="8" t="s">
        <v>129</v>
      </c>
      <c r="N106">
        <v>-3840.06</v>
      </c>
      <c r="O106" t="s">
        <v>11</v>
      </c>
      <c r="P106" s="38" t="s">
        <v>16</v>
      </c>
      <c r="Q106">
        <v>2024</v>
      </c>
      <c r="R106" t="s">
        <v>129</v>
      </c>
      <c r="S106" t="s">
        <v>14</v>
      </c>
      <c r="T106" t="s">
        <v>271</v>
      </c>
      <c r="U106" t="str">
        <f>IFERROR(_xlfn.XLOOKUP(A106,'2025 EOY'!A:A,'2025 EOY'!B:B),"No")</f>
        <v>No</v>
      </c>
    </row>
    <row r="107" spans="1:23" x14ac:dyDescent="0.35">
      <c r="A107" t="s">
        <v>154</v>
      </c>
      <c r="B107" s="12">
        <v>45722</v>
      </c>
      <c r="C107" s="10" t="s">
        <v>15</v>
      </c>
      <c r="D107" s="4" t="s">
        <v>128</v>
      </c>
      <c r="E107" s="253">
        <v>293</v>
      </c>
      <c r="F107" s="173">
        <v>45626</v>
      </c>
      <c r="G107" s="172">
        <v>45626</v>
      </c>
      <c r="H107" s="15">
        <v>0.24</v>
      </c>
      <c r="I107" s="191">
        <v>1.04</v>
      </c>
      <c r="J107" s="9">
        <v>234.4</v>
      </c>
      <c r="K107">
        <v>70.319999999999993</v>
      </c>
      <c r="L107" s="14" t="s">
        <v>67</v>
      </c>
      <c r="M107" s="8" t="s">
        <v>131</v>
      </c>
      <c r="N107">
        <v>304.72000000000003</v>
      </c>
      <c r="O107" s="38" t="s">
        <v>11</v>
      </c>
      <c r="P107" s="38" t="s">
        <v>16</v>
      </c>
      <c r="Q107">
        <v>2024</v>
      </c>
      <c r="R107" t="s">
        <v>131</v>
      </c>
      <c r="S107" t="s">
        <v>14</v>
      </c>
      <c r="T107" t="s">
        <v>272</v>
      </c>
      <c r="U107" t="str">
        <f>IFERROR(_xlfn.XLOOKUP(A107,'2025 EOY'!A:A,'2025 EOY'!B:B),"No")</f>
        <v>No</v>
      </c>
    </row>
    <row r="108" spans="1:23" x14ac:dyDescent="0.35">
      <c r="A108" t="s">
        <v>156</v>
      </c>
      <c r="B108" s="12">
        <v>45722</v>
      </c>
      <c r="C108" s="10" t="s">
        <v>15</v>
      </c>
      <c r="D108" s="4" t="s">
        <v>128</v>
      </c>
      <c r="E108" s="253">
        <v>-2100</v>
      </c>
      <c r="F108" s="173">
        <v>45626</v>
      </c>
      <c r="G108" s="172">
        <v>45626</v>
      </c>
      <c r="H108" s="15">
        <v>0.24</v>
      </c>
      <c r="I108" s="191">
        <v>1.04</v>
      </c>
      <c r="J108" s="9">
        <v>-1680</v>
      </c>
      <c r="K108">
        <v>-504</v>
      </c>
      <c r="L108" s="14" t="s">
        <v>67</v>
      </c>
      <c r="M108" s="8" t="s">
        <v>129</v>
      </c>
      <c r="N108">
        <v>-2184</v>
      </c>
      <c r="O108" s="38" t="s">
        <v>11</v>
      </c>
      <c r="P108" s="38" t="s">
        <v>16</v>
      </c>
      <c r="Q108">
        <v>2024</v>
      </c>
      <c r="R108" t="s">
        <v>129</v>
      </c>
      <c r="S108" t="s">
        <v>14</v>
      </c>
      <c r="T108" t="s">
        <v>273</v>
      </c>
      <c r="U108" t="str">
        <f>IFERROR(_xlfn.XLOOKUP(A108,'2025 EOY'!A:A,'2025 EOY'!B:B),"No")</f>
        <v>No</v>
      </c>
    </row>
    <row r="109" spans="1:23" x14ac:dyDescent="0.35">
      <c r="A109" t="s">
        <v>158</v>
      </c>
      <c r="B109" s="12">
        <v>45722</v>
      </c>
      <c r="C109" s="10" t="s">
        <v>15</v>
      </c>
      <c r="D109" s="4" t="s">
        <v>128</v>
      </c>
      <c r="E109" s="253">
        <v>-690</v>
      </c>
      <c r="F109" s="173">
        <v>45626</v>
      </c>
      <c r="G109" s="172">
        <v>45626</v>
      </c>
      <c r="H109" s="15">
        <v>0.24</v>
      </c>
      <c r="I109" s="191">
        <v>1.04</v>
      </c>
      <c r="J109" s="9">
        <v>-552</v>
      </c>
      <c r="K109">
        <v>-165.6</v>
      </c>
      <c r="L109" s="14" t="s">
        <v>67</v>
      </c>
      <c r="M109" s="8" t="s">
        <v>129</v>
      </c>
      <c r="N109">
        <v>-717.6</v>
      </c>
      <c r="O109" s="38" t="s">
        <v>11</v>
      </c>
      <c r="P109" s="38" t="s">
        <v>16</v>
      </c>
      <c r="Q109">
        <v>2024</v>
      </c>
      <c r="R109" t="s">
        <v>129</v>
      </c>
      <c r="S109" t="s">
        <v>14</v>
      </c>
      <c r="T109" t="s">
        <v>274</v>
      </c>
      <c r="U109" t="str">
        <f>IFERROR(_xlfn.XLOOKUP(A109,'2025 EOY'!A:A,'2025 EOY'!B:B),"No")</f>
        <v>No</v>
      </c>
    </row>
    <row r="110" spans="1:23" x14ac:dyDescent="0.35">
      <c r="A110" t="s">
        <v>127</v>
      </c>
      <c r="B110" s="12">
        <v>45722</v>
      </c>
      <c r="C110" s="10" t="s">
        <v>15</v>
      </c>
      <c r="D110" s="4" t="s">
        <v>128</v>
      </c>
      <c r="E110" s="253">
        <v>2497</v>
      </c>
      <c r="F110" s="173">
        <v>45626</v>
      </c>
      <c r="G110" s="172">
        <v>45626</v>
      </c>
      <c r="H110" s="15">
        <v>0.24</v>
      </c>
      <c r="I110" s="191">
        <v>1.04</v>
      </c>
      <c r="J110" s="9">
        <v>1997.6000000000001</v>
      </c>
      <c r="K110">
        <v>599.28</v>
      </c>
      <c r="L110" s="14" t="s">
        <v>67</v>
      </c>
      <c r="M110" s="8" t="s">
        <v>131</v>
      </c>
      <c r="N110">
        <v>2596.88</v>
      </c>
      <c r="O110" s="38" t="s">
        <v>11</v>
      </c>
      <c r="P110" s="38" t="s">
        <v>16</v>
      </c>
      <c r="Q110">
        <v>2024</v>
      </c>
      <c r="R110" t="s">
        <v>131</v>
      </c>
      <c r="S110" t="s">
        <v>14</v>
      </c>
      <c r="T110" t="s">
        <v>275</v>
      </c>
      <c r="U110" t="str">
        <f>IFERROR(_xlfn.XLOOKUP(A110,'2025 EOY'!A:A,'2025 EOY'!B:B),"No")</f>
        <v>No</v>
      </c>
    </row>
    <row r="111" spans="1:23" x14ac:dyDescent="0.35">
      <c r="A111" t="s">
        <v>161</v>
      </c>
      <c r="B111" s="12">
        <v>45722</v>
      </c>
      <c r="C111" s="10" t="s">
        <v>15</v>
      </c>
      <c r="D111" s="4" t="s">
        <v>128</v>
      </c>
      <c r="E111" s="253">
        <v>-2050</v>
      </c>
      <c r="F111" s="173">
        <v>45657</v>
      </c>
      <c r="G111" s="172">
        <v>45657</v>
      </c>
      <c r="H111" s="15">
        <v>0.91</v>
      </c>
      <c r="I111" s="191">
        <v>0.82</v>
      </c>
      <c r="J111" s="9">
        <v>184.50000000000017</v>
      </c>
      <c r="K111">
        <v>-1865.5</v>
      </c>
      <c r="L111" s="14" t="s">
        <v>59</v>
      </c>
      <c r="M111" s="8" t="s">
        <v>129</v>
      </c>
      <c r="N111">
        <v>-1681</v>
      </c>
      <c r="O111" s="38" t="s">
        <v>11</v>
      </c>
      <c r="P111" s="38" t="s">
        <v>16</v>
      </c>
      <c r="Q111">
        <v>2024</v>
      </c>
      <c r="R111" t="s">
        <v>129</v>
      </c>
      <c r="S111" t="s">
        <v>14</v>
      </c>
      <c r="T111" t="s">
        <v>276</v>
      </c>
      <c r="U111" t="str">
        <f>IFERROR(_xlfn.XLOOKUP(A111,'2025 EOY'!A:A,'2025 EOY'!B:B),"No")</f>
        <v>No</v>
      </c>
    </row>
    <row r="112" spans="1:23" x14ac:dyDescent="0.35">
      <c r="A112" t="s">
        <v>211</v>
      </c>
      <c r="B112" s="12">
        <v>45722</v>
      </c>
      <c r="C112" s="10" t="s">
        <v>15</v>
      </c>
      <c r="D112" s="4" t="s">
        <v>128</v>
      </c>
      <c r="E112" s="253">
        <v>-2083</v>
      </c>
      <c r="F112" s="173">
        <v>45657</v>
      </c>
      <c r="G112" s="172">
        <v>45657</v>
      </c>
      <c r="H112" s="15">
        <v>0.91</v>
      </c>
      <c r="I112" s="191">
        <v>0.82</v>
      </c>
      <c r="J112" s="9">
        <v>187.47000000000017</v>
      </c>
      <c r="K112">
        <v>-1895.53</v>
      </c>
      <c r="L112" s="14" t="s">
        <v>59</v>
      </c>
      <c r="M112" s="8" t="s">
        <v>129</v>
      </c>
      <c r="N112">
        <v>-1708.06</v>
      </c>
      <c r="O112" s="38" t="s">
        <v>11</v>
      </c>
      <c r="P112" s="38" t="s">
        <v>16</v>
      </c>
      <c r="Q112">
        <v>2024</v>
      </c>
      <c r="R112" t="s">
        <v>129</v>
      </c>
      <c r="S112" t="s">
        <v>14</v>
      </c>
      <c r="T112" t="s">
        <v>277</v>
      </c>
      <c r="U112" t="str">
        <f>IFERROR(_xlfn.XLOOKUP(A112,'2025 EOY'!A:A,'2025 EOY'!B:B),"No")</f>
        <v>No</v>
      </c>
    </row>
    <row r="113" spans="1:21" x14ac:dyDescent="0.35">
      <c r="A113" t="s">
        <v>278</v>
      </c>
      <c r="B113" s="12">
        <v>45722</v>
      </c>
      <c r="C113" s="10" t="s">
        <v>15</v>
      </c>
      <c r="D113" s="4" t="s">
        <v>128</v>
      </c>
      <c r="E113" s="253">
        <v>0</v>
      </c>
      <c r="F113" s="173">
        <v>45657</v>
      </c>
      <c r="G113" s="172">
        <v>45657</v>
      </c>
      <c r="H113" s="15">
        <v>0.91</v>
      </c>
      <c r="I113" s="191">
        <v>0.82</v>
      </c>
      <c r="J113" s="9">
        <v>0</v>
      </c>
      <c r="K113">
        <v>0</v>
      </c>
      <c r="L113" s="14" t="s">
        <v>59</v>
      </c>
      <c r="M113" s="8" t="s">
        <v>131</v>
      </c>
      <c r="N113">
        <v>0</v>
      </c>
      <c r="O113" s="38" t="s">
        <v>11</v>
      </c>
      <c r="P113" s="38" t="s">
        <v>16</v>
      </c>
      <c r="Q113">
        <v>2024</v>
      </c>
      <c r="R113" t="s">
        <v>129</v>
      </c>
      <c r="S113" t="s">
        <v>14</v>
      </c>
      <c r="T113" t="s">
        <v>279</v>
      </c>
      <c r="U113" t="str">
        <f>IFERROR(_xlfn.XLOOKUP(A113,'2025 EOY'!A:A,'2025 EOY'!B:B),"No")</f>
        <v>No</v>
      </c>
    </row>
    <row r="114" spans="1:21" x14ac:dyDescent="0.35">
      <c r="A114" t="s">
        <v>127</v>
      </c>
      <c r="B114" s="12">
        <v>45722</v>
      </c>
      <c r="C114" s="10" t="s">
        <v>15</v>
      </c>
      <c r="D114" s="4" t="s">
        <v>128</v>
      </c>
      <c r="E114" s="253">
        <v>4133</v>
      </c>
      <c r="F114" s="173">
        <v>45657</v>
      </c>
      <c r="G114" s="172">
        <v>45657</v>
      </c>
      <c r="H114" s="15">
        <v>0.91</v>
      </c>
      <c r="I114" s="191">
        <v>0.82</v>
      </c>
      <c r="J114" s="9">
        <v>-371.97000000000031</v>
      </c>
      <c r="K114">
        <v>3761.03</v>
      </c>
      <c r="L114" s="14" t="s">
        <v>59</v>
      </c>
      <c r="M114" s="8" t="s">
        <v>131</v>
      </c>
      <c r="N114">
        <v>3389.06</v>
      </c>
      <c r="O114" s="38" t="s">
        <v>11</v>
      </c>
      <c r="P114" s="38" t="s">
        <v>16</v>
      </c>
      <c r="Q114">
        <v>2024</v>
      </c>
      <c r="R114" t="s">
        <v>131</v>
      </c>
      <c r="S114" t="s">
        <v>14</v>
      </c>
      <c r="T114" t="s">
        <v>280</v>
      </c>
      <c r="U114" t="str">
        <f>IFERROR(_xlfn.XLOOKUP(A114,'2025 EOY'!A:A,'2025 EOY'!B:B),"No")</f>
        <v>No</v>
      </c>
    </row>
    <row r="115" spans="1:21" x14ac:dyDescent="0.35">
      <c r="A115" t="s">
        <v>185</v>
      </c>
      <c r="B115" s="12">
        <v>45722</v>
      </c>
      <c r="C115" s="10" t="s">
        <v>15</v>
      </c>
      <c r="D115" s="4" t="s">
        <v>128</v>
      </c>
      <c r="E115" s="253">
        <v>-704</v>
      </c>
      <c r="F115" s="173">
        <v>45688</v>
      </c>
      <c r="G115" s="172">
        <v>45688</v>
      </c>
      <c r="H115" s="15">
        <v>0.86</v>
      </c>
      <c r="I115" s="191">
        <v>0.93</v>
      </c>
      <c r="J115" s="9">
        <v>-49.280000000000044</v>
      </c>
      <c r="K115">
        <v>-605.43999999999994</v>
      </c>
      <c r="L115" s="14" t="s">
        <v>61</v>
      </c>
      <c r="M115" s="8" t="s">
        <v>129</v>
      </c>
      <c r="N115">
        <v>-654.72</v>
      </c>
      <c r="O115" s="38" t="s">
        <v>11</v>
      </c>
      <c r="P115" s="38" t="s">
        <v>16</v>
      </c>
      <c r="Q115">
        <v>2025</v>
      </c>
      <c r="R115" t="s">
        <v>129</v>
      </c>
      <c r="S115" t="s">
        <v>14</v>
      </c>
      <c r="T115" t="s">
        <v>281</v>
      </c>
      <c r="U115" t="str">
        <f>IFERROR(_xlfn.XLOOKUP(A115,'2025 EOY'!A:A,'2025 EOY'!B:B),"No")</f>
        <v>No</v>
      </c>
    </row>
    <row r="116" spans="1:21" x14ac:dyDescent="0.35">
      <c r="A116" t="s">
        <v>171</v>
      </c>
      <c r="B116" s="12">
        <v>45722</v>
      </c>
      <c r="C116" s="10" t="s">
        <v>15</v>
      </c>
      <c r="D116" s="4" t="s">
        <v>128</v>
      </c>
      <c r="E116" s="253">
        <v>-2000</v>
      </c>
      <c r="F116" s="173">
        <v>45688</v>
      </c>
      <c r="G116" s="172">
        <v>45688</v>
      </c>
      <c r="H116" s="15">
        <v>0.86</v>
      </c>
      <c r="I116" s="191">
        <v>0.93</v>
      </c>
      <c r="J116" s="9">
        <v>-140.00000000000011</v>
      </c>
      <c r="K116">
        <v>-1720</v>
      </c>
      <c r="L116" s="14" t="s">
        <v>61</v>
      </c>
      <c r="M116" s="8" t="s">
        <v>129</v>
      </c>
      <c r="N116">
        <v>-1860</v>
      </c>
      <c r="O116" s="38" t="s">
        <v>11</v>
      </c>
      <c r="P116" s="38" t="s">
        <v>16</v>
      </c>
      <c r="Q116">
        <v>2025</v>
      </c>
      <c r="R116" t="s">
        <v>129</v>
      </c>
      <c r="S116" t="s">
        <v>14</v>
      </c>
      <c r="T116" t="s">
        <v>282</v>
      </c>
      <c r="U116" t="str">
        <f>IFERROR(_xlfn.XLOOKUP(A116,'2025 EOY'!A:A,'2025 EOY'!B:B),"No")</f>
        <v>No</v>
      </c>
    </row>
    <row r="117" spans="1:21" x14ac:dyDescent="0.35">
      <c r="A117" t="s">
        <v>152</v>
      </c>
      <c r="B117" s="12">
        <v>45722</v>
      </c>
      <c r="C117" s="10" t="s">
        <v>15</v>
      </c>
      <c r="D117" s="4" t="s">
        <v>128</v>
      </c>
      <c r="E117" s="253">
        <v>-2069</v>
      </c>
      <c r="F117" s="173">
        <v>45688</v>
      </c>
      <c r="G117" s="172">
        <v>45688</v>
      </c>
      <c r="H117" s="15">
        <v>0.86</v>
      </c>
      <c r="I117" s="191">
        <v>0.93</v>
      </c>
      <c r="J117" s="9">
        <v>-144.83000000000013</v>
      </c>
      <c r="K117">
        <v>-1779.34</v>
      </c>
      <c r="L117" s="14" t="s">
        <v>61</v>
      </c>
      <c r="M117" s="8" t="s">
        <v>129</v>
      </c>
      <c r="N117">
        <v>-1924.17</v>
      </c>
      <c r="O117" s="38" t="s">
        <v>11</v>
      </c>
      <c r="P117" s="38" t="s">
        <v>16</v>
      </c>
      <c r="Q117">
        <v>2025</v>
      </c>
      <c r="R117" t="s">
        <v>129</v>
      </c>
      <c r="S117" t="s">
        <v>14</v>
      </c>
      <c r="T117" t="s">
        <v>283</v>
      </c>
      <c r="U117" t="str">
        <f>IFERROR(_xlfn.XLOOKUP(A117,'2025 EOY'!A:A,'2025 EOY'!B:B),"No")</f>
        <v>No</v>
      </c>
    </row>
    <row r="118" spans="1:21" x14ac:dyDescent="0.35">
      <c r="A118" t="s">
        <v>154</v>
      </c>
      <c r="B118" s="12">
        <v>45722</v>
      </c>
      <c r="C118" s="10" t="s">
        <v>15</v>
      </c>
      <c r="D118" s="4" t="s">
        <v>128</v>
      </c>
      <c r="E118" s="253">
        <v>-735</v>
      </c>
      <c r="F118" s="173">
        <v>45688</v>
      </c>
      <c r="G118" s="172">
        <v>45688</v>
      </c>
      <c r="H118" s="15">
        <v>0.86</v>
      </c>
      <c r="I118" s="191">
        <v>0.93</v>
      </c>
      <c r="J118" s="9">
        <v>-51.450000000000045</v>
      </c>
      <c r="K118">
        <v>-632.1</v>
      </c>
      <c r="L118" s="14" t="s">
        <v>61</v>
      </c>
      <c r="M118" s="8" t="s">
        <v>129</v>
      </c>
      <c r="N118">
        <v>-683.55000000000007</v>
      </c>
      <c r="O118" s="38" t="s">
        <v>11</v>
      </c>
      <c r="P118" s="38" t="s">
        <v>16</v>
      </c>
      <c r="Q118">
        <v>2025</v>
      </c>
      <c r="R118" t="s">
        <v>129</v>
      </c>
      <c r="S118" t="s">
        <v>14</v>
      </c>
      <c r="T118" t="s">
        <v>284</v>
      </c>
      <c r="U118" t="str">
        <f>IFERROR(_xlfn.XLOOKUP(A118,'2025 EOY'!A:A,'2025 EOY'!B:B),"No")</f>
        <v>No</v>
      </c>
    </row>
    <row r="119" spans="1:21" x14ac:dyDescent="0.35">
      <c r="A119" t="s">
        <v>180</v>
      </c>
      <c r="B119" s="12">
        <v>45722</v>
      </c>
      <c r="C119" s="10" t="s">
        <v>15</v>
      </c>
      <c r="D119" s="4" t="s">
        <v>128</v>
      </c>
      <c r="E119" s="253">
        <v>-735</v>
      </c>
      <c r="F119" s="173">
        <v>45688</v>
      </c>
      <c r="G119" s="172">
        <v>45688</v>
      </c>
      <c r="H119" s="15">
        <v>0.86</v>
      </c>
      <c r="I119" s="191">
        <v>0.93</v>
      </c>
      <c r="J119" s="9">
        <v>-51.450000000000045</v>
      </c>
      <c r="K119">
        <v>-632.1</v>
      </c>
      <c r="L119" s="14" t="s">
        <v>61</v>
      </c>
      <c r="M119" s="8" t="s">
        <v>129</v>
      </c>
      <c r="N119">
        <v>-683.55000000000007</v>
      </c>
      <c r="O119" s="38" t="s">
        <v>11</v>
      </c>
      <c r="P119" s="38" t="s">
        <v>16</v>
      </c>
      <c r="Q119">
        <v>2025</v>
      </c>
      <c r="R119" t="s">
        <v>129</v>
      </c>
      <c r="S119" t="s">
        <v>14</v>
      </c>
      <c r="T119" t="s">
        <v>285</v>
      </c>
      <c r="U119" t="str">
        <f>IFERROR(_xlfn.XLOOKUP(A119,'2025 EOY'!A:A,'2025 EOY'!B:B),"No")</f>
        <v>No</v>
      </c>
    </row>
    <row r="120" spans="1:21" x14ac:dyDescent="0.35">
      <c r="A120" t="s">
        <v>127</v>
      </c>
      <c r="B120" s="12">
        <v>45722</v>
      </c>
      <c r="C120" s="10" t="s">
        <v>15</v>
      </c>
      <c r="D120" s="4" t="s">
        <v>128</v>
      </c>
      <c r="E120" s="253">
        <v>6243</v>
      </c>
      <c r="F120" s="173">
        <v>45688</v>
      </c>
      <c r="G120" s="172">
        <v>45688</v>
      </c>
      <c r="H120" s="15">
        <v>0.86</v>
      </c>
      <c r="I120" s="191">
        <v>0.93</v>
      </c>
      <c r="J120" s="9">
        <v>437.01000000000039</v>
      </c>
      <c r="K120">
        <v>5368.98</v>
      </c>
      <c r="L120" s="14" t="s">
        <v>61</v>
      </c>
      <c r="M120" s="8" t="s">
        <v>131</v>
      </c>
      <c r="N120">
        <v>5805.9900000000007</v>
      </c>
      <c r="O120" s="38" t="s">
        <v>11</v>
      </c>
      <c r="P120" s="38" t="s">
        <v>16</v>
      </c>
      <c r="Q120">
        <v>2025</v>
      </c>
      <c r="R120" t="s">
        <v>131</v>
      </c>
      <c r="S120" t="s">
        <v>14</v>
      </c>
      <c r="T120" t="s">
        <v>286</v>
      </c>
      <c r="U120" t="str">
        <f>IFERROR(_xlfn.XLOOKUP(A120,'2025 EOY'!A:A,'2025 EOY'!B:B),"No")</f>
        <v>No</v>
      </c>
    </row>
    <row r="121" spans="1:21" x14ac:dyDescent="0.35">
      <c r="A121" t="s">
        <v>173</v>
      </c>
      <c r="B121" s="12">
        <v>45722</v>
      </c>
      <c r="C121" s="10" t="s">
        <v>15</v>
      </c>
      <c r="D121" s="4" t="s">
        <v>128</v>
      </c>
      <c r="E121" s="253">
        <v>-1596</v>
      </c>
      <c r="F121" s="173">
        <v>45716</v>
      </c>
      <c r="G121" s="172">
        <v>45716</v>
      </c>
      <c r="H121" s="15">
        <v>0.95</v>
      </c>
      <c r="I121" s="191">
        <v>0.22</v>
      </c>
      <c r="J121" s="9">
        <v>1165.08</v>
      </c>
      <c r="K121">
        <v>-1516.1999999999998</v>
      </c>
      <c r="L121" s="14" t="s">
        <v>62</v>
      </c>
      <c r="M121" s="8" t="s">
        <v>129</v>
      </c>
      <c r="N121">
        <v>-351.12</v>
      </c>
      <c r="O121" s="38" t="s">
        <v>11</v>
      </c>
      <c r="P121" s="38" t="s">
        <v>16</v>
      </c>
      <c r="Q121">
        <v>2025</v>
      </c>
      <c r="R121" t="s">
        <v>129</v>
      </c>
      <c r="S121" t="s">
        <v>14</v>
      </c>
      <c r="T121" t="s">
        <v>287</v>
      </c>
      <c r="U121" t="str">
        <f>IFERROR(_xlfn.XLOOKUP(A121,'2025 EOY'!A:A,'2025 EOY'!B:B),"No")</f>
        <v>No</v>
      </c>
    </row>
    <row r="122" spans="1:21" x14ac:dyDescent="0.35">
      <c r="A122" t="s">
        <v>163</v>
      </c>
      <c r="B122" s="12">
        <v>45722</v>
      </c>
      <c r="C122" s="10" t="s">
        <v>15</v>
      </c>
      <c r="D122" s="4" t="s">
        <v>128</v>
      </c>
      <c r="E122" s="253">
        <v>-2076</v>
      </c>
      <c r="F122" s="173">
        <v>45716</v>
      </c>
      <c r="G122" s="172">
        <v>45716</v>
      </c>
      <c r="H122" s="15">
        <v>0.95</v>
      </c>
      <c r="I122" s="191">
        <v>0.22</v>
      </c>
      <c r="J122" s="9">
        <v>1515.48</v>
      </c>
      <c r="K122">
        <v>-1972.1999999999998</v>
      </c>
      <c r="L122" s="14" t="s">
        <v>62</v>
      </c>
      <c r="M122" s="8" t="s">
        <v>129</v>
      </c>
      <c r="N122">
        <v>-456.72</v>
      </c>
      <c r="O122" s="38" t="s">
        <v>11</v>
      </c>
      <c r="P122" s="38" t="s">
        <v>16</v>
      </c>
      <c r="Q122">
        <v>2025</v>
      </c>
      <c r="R122" t="s">
        <v>129</v>
      </c>
      <c r="S122" t="s">
        <v>14</v>
      </c>
      <c r="T122" t="s">
        <v>288</v>
      </c>
      <c r="U122" t="str">
        <f>IFERROR(_xlfn.XLOOKUP(A122,'2025 EOY'!A:A,'2025 EOY'!B:B),"No")</f>
        <v>No</v>
      </c>
    </row>
    <row r="123" spans="1:21" x14ac:dyDescent="0.35">
      <c r="A123" t="s">
        <v>127</v>
      </c>
      <c r="B123" s="12">
        <v>45722</v>
      </c>
      <c r="C123" s="10" t="s">
        <v>15</v>
      </c>
      <c r="D123" s="4" t="s">
        <v>128</v>
      </c>
      <c r="E123" s="253">
        <v>3672</v>
      </c>
      <c r="F123" s="173">
        <v>45716</v>
      </c>
      <c r="G123" s="172">
        <v>45716</v>
      </c>
      <c r="H123" s="15">
        <v>0.95</v>
      </c>
      <c r="I123" s="191">
        <v>0.22</v>
      </c>
      <c r="J123" s="9">
        <v>-2680.56</v>
      </c>
      <c r="K123">
        <v>3488.3999999999996</v>
      </c>
      <c r="L123" s="14" t="s">
        <v>62</v>
      </c>
      <c r="M123" s="8" t="s">
        <v>131</v>
      </c>
      <c r="N123">
        <v>807.84</v>
      </c>
      <c r="O123" s="38" t="s">
        <v>11</v>
      </c>
      <c r="P123" s="38" t="s">
        <v>16</v>
      </c>
      <c r="Q123">
        <v>2025</v>
      </c>
      <c r="R123" t="s">
        <v>131</v>
      </c>
      <c r="S123" t="s">
        <v>14</v>
      </c>
      <c r="T123" t="s">
        <v>289</v>
      </c>
      <c r="U123" t="str">
        <f>IFERROR(_xlfn.XLOOKUP(A123,'2025 EOY'!A:A,'2025 EOY'!B:B),"No")</f>
        <v>No</v>
      </c>
    </row>
    <row r="124" spans="1:21" x14ac:dyDescent="0.35">
      <c r="A124" t="s">
        <v>154</v>
      </c>
      <c r="B124" s="12">
        <v>45206</v>
      </c>
      <c r="C124" s="10" t="s">
        <v>7</v>
      </c>
      <c r="D124" s="4" t="s">
        <v>268</v>
      </c>
      <c r="E124" s="253">
        <v>-707</v>
      </c>
      <c r="F124" s="172">
        <v>45657</v>
      </c>
      <c r="G124" s="172">
        <v>45688</v>
      </c>
      <c r="H124" s="15">
        <v>0.5</v>
      </c>
      <c r="I124" s="192">
        <v>0.35</v>
      </c>
      <c r="J124" s="9">
        <v>106.05000000000001</v>
      </c>
      <c r="K124">
        <v>-353.5</v>
      </c>
      <c r="L124" s="14" t="s">
        <v>49</v>
      </c>
      <c r="M124" s="8" t="s">
        <v>129</v>
      </c>
      <c r="N124">
        <v>-247.45</v>
      </c>
      <c r="O124" t="s">
        <v>4</v>
      </c>
      <c r="P124" s="38" t="s">
        <v>7</v>
      </c>
      <c r="Q124">
        <v>2024</v>
      </c>
      <c r="R124" t="s">
        <v>129</v>
      </c>
      <c r="S124" t="s">
        <v>14</v>
      </c>
      <c r="T124" t="s">
        <v>290</v>
      </c>
      <c r="U124" t="str">
        <f>IFERROR(_xlfn.XLOOKUP(A124,'2025 EOY'!A:A,'2025 EOY'!B:B),"No")</f>
        <v>No</v>
      </c>
    </row>
    <row r="125" spans="1:21" x14ac:dyDescent="0.35">
      <c r="A125" t="s">
        <v>211</v>
      </c>
      <c r="B125" s="12">
        <v>45206</v>
      </c>
      <c r="C125" s="10" t="s">
        <v>7</v>
      </c>
      <c r="D125" s="4" t="s">
        <v>268</v>
      </c>
      <c r="E125" s="253">
        <v>-2083</v>
      </c>
      <c r="F125" s="172">
        <v>45688</v>
      </c>
      <c r="G125" s="172">
        <v>45716</v>
      </c>
      <c r="H125" s="15">
        <v>0.26</v>
      </c>
      <c r="I125" s="192">
        <v>1.1000000000000001</v>
      </c>
      <c r="J125" s="9">
        <v>-1749.7200000000003</v>
      </c>
      <c r="K125">
        <v>-541.58000000000004</v>
      </c>
      <c r="L125" s="14" t="s">
        <v>52</v>
      </c>
      <c r="M125" s="8" t="s">
        <v>129</v>
      </c>
      <c r="N125">
        <v>-2291.3000000000002</v>
      </c>
      <c r="O125" t="s">
        <v>4</v>
      </c>
      <c r="P125" s="38" t="s">
        <v>7</v>
      </c>
      <c r="Q125">
        <v>2025</v>
      </c>
      <c r="R125" t="s">
        <v>129</v>
      </c>
      <c r="S125" t="s">
        <v>14</v>
      </c>
      <c r="T125" t="s">
        <v>291</v>
      </c>
      <c r="U125" t="str">
        <f>IFERROR(_xlfn.XLOOKUP(A125,'2025 EOY'!A:A,'2025 EOY'!B:B),"No")</f>
        <v>No</v>
      </c>
    </row>
    <row r="126" spans="1:21" x14ac:dyDescent="0.35">
      <c r="A126" t="s">
        <v>156</v>
      </c>
      <c r="B126" s="12">
        <v>45206</v>
      </c>
      <c r="C126" s="10" t="s">
        <v>7</v>
      </c>
      <c r="D126" s="4" t="s">
        <v>268</v>
      </c>
      <c r="E126" s="253">
        <v>-2100</v>
      </c>
      <c r="F126" s="172">
        <v>45657</v>
      </c>
      <c r="G126" s="172">
        <v>45688</v>
      </c>
      <c r="H126" s="15">
        <v>0.5</v>
      </c>
      <c r="I126" s="192">
        <v>0.35</v>
      </c>
      <c r="J126" s="9">
        <v>315.00000000000006</v>
      </c>
      <c r="K126">
        <v>-1050</v>
      </c>
      <c r="L126" s="14" t="s">
        <v>49</v>
      </c>
      <c r="M126" s="8" t="s">
        <v>129</v>
      </c>
      <c r="N126">
        <v>-735</v>
      </c>
      <c r="O126" t="s">
        <v>4</v>
      </c>
      <c r="P126" s="38" t="s">
        <v>7</v>
      </c>
      <c r="Q126">
        <v>2024</v>
      </c>
      <c r="R126" t="s">
        <v>129</v>
      </c>
      <c r="S126" t="s">
        <v>14</v>
      </c>
      <c r="T126" t="s">
        <v>292</v>
      </c>
      <c r="U126" t="str">
        <f>IFERROR(_xlfn.XLOOKUP(A126,'2025 EOY'!A:A,'2025 EOY'!B:B),"No")</f>
        <v>No</v>
      </c>
    </row>
    <row r="127" spans="1:21" x14ac:dyDescent="0.35">
      <c r="A127" t="s">
        <v>154</v>
      </c>
      <c r="B127" s="12">
        <v>45206</v>
      </c>
      <c r="C127" s="10" t="s">
        <v>15</v>
      </c>
      <c r="D127" s="4" t="s">
        <v>268</v>
      </c>
      <c r="E127" s="253">
        <v>707</v>
      </c>
      <c r="F127" s="172">
        <v>45626</v>
      </c>
      <c r="G127" s="172">
        <v>45626</v>
      </c>
      <c r="H127" s="15">
        <v>0.13</v>
      </c>
      <c r="I127" s="191">
        <v>1.04</v>
      </c>
      <c r="J127" s="9">
        <v>643.37</v>
      </c>
      <c r="K127">
        <v>91.91</v>
      </c>
      <c r="L127" s="14" t="s">
        <v>67</v>
      </c>
      <c r="M127" s="8" t="s">
        <v>131</v>
      </c>
      <c r="N127">
        <v>735.28</v>
      </c>
      <c r="O127" t="s">
        <v>11</v>
      </c>
      <c r="P127" s="38" t="s">
        <v>16</v>
      </c>
      <c r="Q127">
        <v>2024</v>
      </c>
      <c r="R127" t="s">
        <v>131</v>
      </c>
      <c r="S127" t="s">
        <v>14</v>
      </c>
      <c r="T127" t="s">
        <v>293</v>
      </c>
      <c r="U127" t="str">
        <f>IFERROR(_xlfn.XLOOKUP(A127,'2025 EOY'!A:A,'2025 EOY'!B:B),"No")</f>
        <v>No</v>
      </c>
    </row>
    <row r="128" spans="1:21" x14ac:dyDescent="0.35">
      <c r="A128" t="s">
        <v>211</v>
      </c>
      <c r="B128" s="12">
        <v>45206</v>
      </c>
      <c r="C128" s="10" t="s">
        <v>15</v>
      </c>
      <c r="D128" s="4" t="s">
        <v>268</v>
      </c>
      <c r="E128" s="253">
        <v>2083</v>
      </c>
      <c r="F128" s="172">
        <v>45657</v>
      </c>
      <c r="G128" s="172">
        <v>45657</v>
      </c>
      <c r="H128" s="15">
        <v>0.06</v>
      </c>
      <c r="I128" s="191">
        <v>0.82</v>
      </c>
      <c r="J128" s="9">
        <v>1583.08</v>
      </c>
      <c r="K128">
        <v>124.97999999999999</v>
      </c>
      <c r="L128" s="14" t="s">
        <v>59</v>
      </c>
      <c r="M128" s="8" t="s">
        <v>131</v>
      </c>
      <c r="N128">
        <v>1708.06</v>
      </c>
      <c r="O128" t="s">
        <v>11</v>
      </c>
      <c r="P128" s="38" t="s">
        <v>16</v>
      </c>
      <c r="Q128">
        <v>2024</v>
      </c>
      <c r="R128" t="s">
        <v>131</v>
      </c>
      <c r="S128" t="s">
        <v>14</v>
      </c>
      <c r="T128" t="s">
        <v>294</v>
      </c>
      <c r="U128" t="str">
        <f>IFERROR(_xlfn.XLOOKUP(A128,'2025 EOY'!A:A,'2025 EOY'!B:B),"No")</f>
        <v>No</v>
      </c>
    </row>
    <row r="129" spans="1:21" x14ac:dyDescent="0.35">
      <c r="A129" t="s">
        <v>156</v>
      </c>
      <c r="B129" s="12">
        <v>45206</v>
      </c>
      <c r="C129" s="10" t="s">
        <v>15</v>
      </c>
      <c r="D129" s="4" t="s">
        <v>268</v>
      </c>
      <c r="E129" s="253">
        <v>2100</v>
      </c>
      <c r="F129" s="172">
        <v>45626</v>
      </c>
      <c r="G129" s="172">
        <v>45626</v>
      </c>
      <c r="H129" s="15">
        <v>0.13</v>
      </c>
      <c r="I129" s="191">
        <v>1.04</v>
      </c>
      <c r="J129" s="9">
        <v>1911</v>
      </c>
      <c r="K129">
        <v>273</v>
      </c>
      <c r="L129" s="14" t="s">
        <v>67</v>
      </c>
      <c r="M129" s="8" t="s">
        <v>131</v>
      </c>
      <c r="N129">
        <v>2184</v>
      </c>
      <c r="O129" t="s">
        <v>11</v>
      </c>
      <c r="P129" s="38" t="s">
        <v>16</v>
      </c>
      <c r="Q129">
        <v>2024</v>
      </c>
      <c r="R129" t="s">
        <v>131</v>
      </c>
      <c r="S129" t="s">
        <v>14</v>
      </c>
      <c r="T129" t="s">
        <v>295</v>
      </c>
      <c r="U129" t="str">
        <f>IFERROR(_xlfn.XLOOKUP(A129,'2025 EOY'!A:A,'2025 EOY'!B:B),"No")</f>
        <v>No</v>
      </c>
    </row>
    <row r="130" spans="1:21" x14ac:dyDescent="0.35">
      <c r="A130" t="s">
        <v>154</v>
      </c>
      <c r="B130" s="12">
        <v>45206</v>
      </c>
      <c r="C130" s="10" t="s">
        <v>3</v>
      </c>
      <c r="D130" s="4" t="s">
        <v>268</v>
      </c>
      <c r="E130" s="253">
        <v>-707</v>
      </c>
      <c r="F130" s="172">
        <v>45626</v>
      </c>
      <c r="G130" s="172">
        <v>45657</v>
      </c>
      <c r="H130" s="15">
        <v>0.5</v>
      </c>
      <c r="I130" s="192">
        <v>0.52</v>
      </c>
      <c r="J130" s="9">
        <v>-14.140000000000013</v>
      </c>
      <c r="K130">
        <v>-353.5</v>
      </c>
      <c r="L130" s="14" t="s">
        <v>46</v>
      </c>
      <c r="M130" s="8" t="s">
        <v>129</v>
      </c>
      <c r="N130">
        <v>-367.64</v>
      </c>
      <c r="O130" t="s">
        <v>4</v>
      </c>
      <c r="P130" s="38" t="s">
        <v>3</v>
      </c>
      <c r="Q130">
        <v>2024</v>
      </c>
      <c r="R130" t="s">
        <v>129</v>
      </c>
      <c r="S130" t="s">
        <v>14</v>
      </c>
      <c r="T130" t="s">
        <v>296</v>
      </c>
      <c r="U130" t="str">
        <f>IFERROR(_xlfn.XLOOKUP(A130,'2025 EOY'!A:A,'2025 EOY'!B:B),"No")</f>
        <v>No</v>
      </c>
    </row>
    <row r="131" spans="1:21" x14ac:dyDescent="0.35">
      <c r="A131" t="s">
        <v>156</v>
      </c>
      <c r="B131" s="12">
        <v>45206</v>
      </c>
      <c r="C131" s="10" t="s">
        <v>3</v>
      </c>
      <c r="D131" s="4" t="s">
        <v>268</v>
      </c>
      <c r="E131" s="253">
        <v>-2100</v>
      </c>
      <c r="F131" s="172">
        <v>45626</v>
      </c>
      <c r="G131" s="172">
        <v>45657</v>
      </c>
      <c r="H131" s="15">
        <v>0.5</v>
      </c>
      <c r="I131" s="192">
        <v>0.52</v>
      </c>
      <c r="J131" s="9">
        <v>-42.000000000000036</v>
      </c>
      <c r="K131">
        <v>-1050</v>
      </c>
      <c r="L131" s="14" t="s">
        <v>46</v>
      </c>
      <c r="M131" s="8" t="s">
        <v>129</v>
      </c>
      <c r="N131">
        <v>-1092</v>
      </c>
      <c r="O131" t="s">
        <v>4</v>
      </c>
      <c r="P131" s="38" t="s">
        <v>3</v>
      </c>
      <c r="Q131">
        <v>2024</v>
      </c>
      <c r="R131" t="s">
        <v>129</v>
      </c>
      <c r="S131" t="s">
        <v>14</v>
      </c>
      <c r="T131" t="s">
        <v>297</v>
      </c>
      <c r="U131" t="str">
        <f>IFERROR(_xlfn.XLOOKUP(A131,'2025 EOY'!A:A,'2025 EOY'!B:B),"No")</f>
        <v>No</v>
      </c>
    </row>
    <row r="132" spans="1:21" x14ac:dyDescent="0.35">
      <c r="A132" t="s">
        <v>154</v>
      </c>
      <c r="B132" s="12">
        <v>45206</v>
      </c>
      <c r="C132" s="10" t="s">
        <v>10</v>
      </c>
      <c r="D132" s="4" t="s">
        <v>268</v>
      </c>
      <c r="E132" s="253">
        <v>-707</v>
      </c>
      <c r="F132" s="172">
        <v>45657</v>
      </c>
      <c r="G132" s="172">
        <v>45657</v>
      </c>
      <c r="H132" s="15">
        <v>-4.28</v>
      </c>
      <c r="I132" s="192">
        <v>-3.9</v>
      </c>
      <c r="J132" s="9">
        <v>-268.66000000000025</v>
      </c>
      <c r="K132">
        <v>3025.96</v>
      </c>
      <c r="L132" s="14" t="s">
        <v>59</v>
      </c>
      <c r="M132" s="8" t="s">
        <v>129</v>
      </c>
      <c r="N132">
        <v>2757.2999999999997</v>
      </c>
      <c r="O132" t="s">
        <v>11</v>
      </c>
      <c r="P132" s="38" t="s">
        <v>10</v>
      </c>
      <c r="Q132">
        <v>2024</v>
      </c>
      <c r="R132" t="s">
        <v>129</v>
      </c>
      <c r="S132" t="s">
        <v>14</v>
      </c>
      <c r="T132" t="s">
        <v>298</v>
      </c>
      <c r="U132" t="str">
        <f>IFERROR(_xlfn.XLOOKUP(A132,'2025 EOY'!A:A,'2025 EOY'!B:B),"No")</f>
        <v>No</v>
      </c>
    </row>
    <row r="133" spans="1:21" x14ac:dyDescent="0.35">
      <c r="A133" t="s">
        <v>156</v>
      </c>
      <c r="B133" s="12">
        <v>45206</v>
      </c>
      <c r="C133" s="10" t="s">
        <v>10</v>
      </c>
      <c r="D133" s="4" t="s">
        <v>268</v>
      </c>
      <c r="E133" s="253">
        <v>-2100</v>
      </c>
      <c r="F133" s="172">
        <v>45657</v>
      </c>
      <c r="G133" s="172">
        <v>45657</v>
      </c>
      <c r="H133" s="15">
        <v>-4.28</v>
      </c>
      <c r="I133" s="192">
        <v>-3.9</v>
      </c>
      <c r="J133" s="9">
        <v>-798.00000000000068</v>
      </c>
      <c r="K133">
        <v>8988</v>
      </c>
      <c r="L133" s="14" t="s">
        <v>59</v>
      </c>
      <c r="M133" s="8" t="s">
        <v>129</v>
      </c>
      <c r="N133">
        <v>8190</v>
      </c>
      <c r="O133" t="s">
        <v>11</v>
      </c>
      <c r="P133" s="38" t="s">
        <v>10</v>
      </c>
      <c r="Q133">
        <v>2024</v>
      </c>
      <c r="R133" t="s">
        <v>129</v>
      </c>
      <c r="S133" t="s">
        <v>14</v>
      </c>
      <c r="T133" t="s">
        <v>299</v>
      </c>
      <c r="U133" t="str">
        <f>IFERROR(_xlfn.XLOOKUP(A133,'2025 EOY'!A:A,'2025 EOY'!B:B),"No")</f>
        <v>No</v>
      </c>
    </row>
    <row r="134" spans="1:21" x14ac:dyDescent="0.35">
      <c r="A134" t="s">
        <v>154</v>
      </c>
      <c r="B134" s="12">
        <v>45207</v>
      </c>
      <c r="C134" s="10" t="s">
        <v>19</v>
      </c>
      <c r="D134" s="10" t="s">
        <v>268</v>
      </c>
      <c r="E134" s="253">
        <v>707</v>
      </c>
      <c r="F134" s="172">
        <v>44957</v>
      </c>
      <c r="G134" s="172">
        <v>44957</v>
      </c>
      <c r="H134" s="15">
        <v>1.4</v>
      </c>
      <c r="I134" s="192">
        <v>1.4</v>
      </c>
      <c r="J134" s="9">
        <v>0</v>
      </c>
      <c r="K134">
        <v>989.8</v>
      </c>
      <c r="L134" s="14" t="s">
        <v>68</v>
      </c>
      <c r="M134" s="8" t="s">
        <v>131</v>
      </c>
      <c r="N134">
        <v>989.8</v>
      </c>
      <c r="O134" t="s">
        <v>19</v>
      </c>
      <c r="P134" s="38" t="s">
        <v>19</v>
      </c>
      <c r="Q134">
        <v>2023</v>
      </c>
      <c r="R134" t="s">
        <v>131</v>
      </c>
      <c r="S134" t="s">
        <v>96</v>
      </c>
      <c r="T134" t="s">
        <v>300</v>
      </c>
      <c r="U134" t="str">
        <f>IFERROR(_xlfn.XLOOKUP(A134,'2025 EOY'!A:A,'2025 EOY'!B:B),"No")</f>
        <v>No</v>
      </c>
    </row>
    <row r="135" spans="1:21" x14ac:dyDescent="0.35">
      <c r="A135" t="s">
        <v>156</v>
      </c>
      <c r="B135" s="12">
        <v>45207</v>
      </c>
      <c r="C135" s="10" t="s">
        <v>19</v>
      </c>
      <c r="D135" s="10" t="s">
        <v>268</v>
      </c>
      <c r="E135" s="253">
        <v>2100</v>
      </c>
      <c r="F135" s="172">
        <v>44957</v>
      </c>
      <c r="G135" s="172">
        <v>44957</v>
      </c>
      <c r="H135" s="15">
        <v>2.15</v>
      </c>
      <c r="I135" s="192">
        <v>2.4500000000000002</v>
      </c>
      <c r="J135" s="9">
        <v>630.00000000000057</v>
      </c>
      <c r="K135">
        <v>4515</v>
      </c>
      <c r="L135" s="14" t="s">
        <v>68</v>
      </c>
      <c r="M135" s="8" t="s">
        <v>131</v>
      </c>
      <c r="N135">
        <v>5145</v>
      </c>
      <c r="O135" t="s">
        <v>19</v>
      </c>
      <c r="P135" s="38" t="s">
        <v>19</v>
      </c>
      <c r="Q135">
        <v>2023</v>
      </c>
      <c r="R135" t="s">
        <v>131</v>
      </c>
      <c r="S135" t="s">
        <v>96</v>
      </c>
      <c r="T135" t="s">
        <v>301</v>
      </c>
      <c r="U135" t="str">
        <f>IFERROR(_xlfn.XLOOKUP(A135,'2025 EOY'!A:A,'2025 EOY'!B:B),"No")</f>
        <v>No</v>
      </c>
    </row>
    <row r="136" spans="1:21" x14ac:dyDescent="0.35">
      <c r="A136" s="18" t="s">
        <v>302</v>
      </c>
      <c r="B136" s="174">
        <v>45461</v>
      </c>
      <c r="C136" s="10" t="s">
        <v>25</v>
      </c>
      <c r="D136" s="10" t="s">
        <v>128</v>
      </c>
      <c r="E136" s="253">
        <v>0</v>
      </c>
      <c r="F136" s="172">
        <v>45565</v>
      </c>
      <c r="G136" s="172">
        <v>45596</v>
      </c>
      <c r="H136" s="15">
        <v>0.77</v>
      </c>
      <c r="I136" s="192" t="e">
        <v>#N/A</v>
      </c>
      <c r="J136" s="9" t="s">
        <v>303</v>
      </c>
      <c r="K136">
        <v>0</v>
      </c>
      <c r="L136" s="14" t="s">
        <v>69</v>
      </c>
      <c r="M136" s="8" t="s">
        <v>131</v>
      </c>
      <c r="N136" t="e">
        <v>#N/A</v>
      </c>
      <c r="O136" t="s">
        <v>4</v>
      </c>
      <c r="P136" s="38" t="s">
        <v>3</v>
      </c>
      <c r="Q136">
        <v>2024</v>
      </c>
      <c r="R136" t="s">
        <v>129</v>
      </c>
      <c r="S136" t="s">
        <v>14</v>
      </c>
      <c r="T136" t="e">
        <v>#N/A</v>
      </c>
      <c r="U136" t="str">
        <f>IFERROR(_xlfn.XLOOKUP(A136,'2025 EOY'!A:A,'2025 EOY'!B:B),"No")</f>
        <v>No</v>
      </c>
    </row>
    <row r="137" spans="1:21" x14ac:dyDescent="0.35">
      <c r="A137" t="s">
        <v>158</v>
      </c>
      <c r="B137" s="12">
        <v>45573</v>
      </c>
      <c r="C137" s="10" t="s">
        <v>15</v>
      </c>
      <c r="D137" s="4" t="s">
        <v>268</v>
      </c>
      <c r="E137" s="253">
        <v>690</v>
      </c>
      <c r="F137" s="172">
        <v>45626</v>
      </c>
      <c r="G137" s="172">
        <v>45626</v>
      </c>
      <c r="H137" s="15">
        <v>0.13</v>
      </c>
      <c r="I137" s="191">
        <v>1.04</v>
      </c>
      <c r="J137" s="9">
        <v>627.9</v>
      </c>
      <c r="K137">
        <v>89.7</v>
      </c>
      <c r="L137" s="14" t="s">
        <v>67</v>
      </c>
      <c r="M137" s="8" t="s">
        <v>131</v>
      </c>
      <c r="N137">
        <v>717.6</v>
      </c>
      <c r="O137" t="s">
        <v>11</v>
      </c>
      <c r="P137" s="38" t="s">
        <v>16</v>
      </c>
      <c r="Q137">
        <v>2024</v>
      </c>
      <c r="R137" t="s">
        <v>131</v>
      </c>
      <c r="S137" t="s">
        <v>14</v>
      </c>
      <c r="T137" t="s">
        <v>304</v>
      </c>
      <c r="U137" t="str">
        <f>IFERROR(_xlfn.XLOOKUP(A137,'2025 EOY'!A:A,'2025 EOY'!B:B),"No")</f>
        <v>No</v>
      </c>
    </row>
    <row r="138" spans="1:21" x14ac:dyDescent="0.35">
      <c r="A138" t="s">
        <v>158</v>
      </c>
      <c r="B138" s="12">
        <v>45573</v>
      </c>
      <c r="C138" s="47" t="s">
        <v>36</v>
      </c>
      <c r="D138" s="10" t="s">
        <v>268</v>
      </c>
      <c r="E138" s="253">
        <v>-690</v>
      </c>
      <c r="F138" s="172">
        <v>45626</v>
      </c>
      <c r="G138" s="172">
        <v>45626</v>
      </c>
      <c r="H138" s="15">
        <v>170</v>
      </c>
      <c r="I138" s="192">
        <v>166</v>
      </c>
      <c r="J138" s="9">
        <v>-55.2</v>
      </c>
      <c r="K138">
        <v>-117300</v>
      </c>
      <c r="L138" s="14" t="s">
        <v>67</v>
      </c>
      <c r="M138" s="8" t="s">
        <v>129</v>
      </c>
      <c r="N138">
        <v>-114540</v>
      </c>
      <c r="O138" t="s">
        <v>29</v>
      </c>
      <c r="P138" s="38" t="s">
        <v>29</v>
      </c>
      <c r="Q138">
        <v>2024</v>
      </c>
      <c r="R138" t="s">
        <v>129</v>
      </c>
      <c r="S138" t="s">
        <v>14</v>
      </c>
      <c r="T138" t="s">
        <v>305</v>
      </c>
      <c r="U138" t="str">
        <f>IFERROR(_xlfn.XLOOKUP(A138,'2025 EOY'!A:A,'2025 EOY'!B:B),"No")</f>
        <v>No</v>
      </c>
    </row>
    <row r="139" spans="1:21" x14ac:dyDescent="0.35">
      <c r="A139" t="s">
        <v>158</v>
      </c>
      <c r="B139" s="12">
        <v>45573</v>
      </c>
      <c r="C139" s="47" t="s">
        <v>36</v>
      </c>
      <c r="D139" s="10" t="s">
        <v>268</v>
      </c>
      <c r="E139" s="253">
        <v>690</v>
      </c>
      <c r="F139" s="172">
        <v>45626</v>
      </c>
      <c r="G139" s="172">
        <v>45626</v>
      </c>
      <c r="H139" s="15">
        <v>170</v>
      </c>
      <c r="I139" s="192">
        <v>166</v>
      </c>
      <c r="J139" s="9">
        <v>56</v>
      </c>
      <c r="K139">
        <v>117300</v>
      </c>
      <c r="L139" s="14" t="s">
        <v>67</v>
      </c>
      <c r="M139" s="8" t="s">
        <v>131</v>
      </c>
      <c r="N139">
        <v>114540</v>
      </c>
      <c r="O139" t="s">
        <v>29</v>
      </c>
      <c r="P139" s="38" t="s">
        <v>29</v>
      </c>
      <c r="Q139">
        <v>2024</v>
      </c>
      <c r="R139" t="s">
        <v>131</v>
      </c>
      <c r="S139" t="s">
        <v>14</v>
      </c>
      <c r="T139" t="s">
        <v>306</v>
      </c>
      <c r="U139" t="str">
        <f>IFERROR(_xlfn.XLOOKUP(A139,'2025 EOY'!A:A,'2025 EOY'!B:B),"No")</f>
        <v>No</v>
      </c>
    </row>
    <row r="140" spans="1:21" x14ac:dyDescent="0.35">
      <c r="A140" t="s">
        <v>158</v>
      </c>
      <c r="B140" s="12">
        <v>45573</v>
      </c>
      <c r="C140" s="10" t="s">
        <v>19</v>
      </c>
      <c r="D140" s="10" t="s">
        <v>268</v>
      </c>
      <c r="E140" s="253">
        <v>-690</v>
      </c>
      <c r="F140" s="172">
        <v>44957</v>
      </c>
      <c r="G140" s="172">
        <v>44957</v>
      </c>
      <c r="H140" s="15">
        <v>1.75</v>
      </c>
      <c r="I140" s="192">
        <v>1.75</v>
      </c>
      <c r="J140" s="9">
        <v>0</v>
      </c>
      <c r="K140">
        <v>-1207.5</v>
      </c>
      <c r="L140" s="14" t="s">
        <v>68</v>
      </c>
      <c r="M140" s="8" t="s">
        <v>129</v>
      </c>
      <c r="N140">
        <v>-1207.5</v>
      </c>
      <c r="O140" t="s">
        <v>19</v>
      </c>
      <c r="P140" s="38" t="s">
        <v>19</v>
      </c>
      <c r="Q140">
        <v>2023</v>
      </c>
      <c r="R140" t="s">
        <v>129</v>
      </c>
      <c r="S140" t="s">
        <v>96</v>
      </c>
      <c r="T140" t="s">
        <v>307</v>
      </c>
      <c r="U140" t="str">
        <f>IFERROR(_xlfn.XLOOKUP(A140,'2025 EOY'!A:A,'2025 EOY'!B:B),"No")</f>
        <v>No</v>
      </c>
    </row>
    <row r="141" spans="1:21" x14ac:dyDescent="0.35">
      <c r="A141" t="s">
        <v>158</v>
      </c>
      <c r="B141" s="12">
        <v>45573</v>
      </c>
      <c r="C141" s="10" t="s">
        <v>3</v>
      </c>
      <c r="D141" s="4" t="s">
        <v>268</v>
      </c>
      <c r="E141" s="253">
        <v>-690</v>
      </c>
      <c r="F141" s="172">
        <v>45626</v>
      </c>
      <c r="G141" s="172">
        <v>45657</v>
      </c>
      <c r="H141" s="15">
        <v>0.57999999999999996</v>
      </c>
      <c r="I141" s="192">
        <v>0.52</v>
      </c>
      <c r="J141" s="9">
        <v>41.399999999999963</v>
      </c>
      <c r="K141">
        <v>-400.2</v>
      </c>
      <c r="L141" s="14" t="s">
        <v>46</v>
      </c>
      <c r="M141" s="8" t="s">
        <v>129</v>
      </c>
      <c r="N141">
        <v>-358.8</v>
      </c>
      <c r="O141" t="s">
        <v>4</v>
      </c>
      <c r="P141" s="38" t="s">
        <v>3</v>
      </c>
      <c r="Q141">
        <v>2024</v>
      </c>
      <c r="R141" t="s">
        <v>129</v>
      </c>
      <c r="S141" t="s">
        <v>14</v>
      </c>
      <c r="T141" t="s">
        <v>308</v>
      </c>
      <c r="U141" t="str">
        <f>IFERROR(_xlfn.XLOOKUP(A141,'2025 EOY'!A:A,'2025 EOY'!B:B),"No")</f>
        <v>No</v>
      </c>
    </row>
    <row r="142" spans="1:21" x14ac:dyDescent="0.35">
      <c r="A142" t="s">
        <v>158</v>
      </c>
      <c r="B142" s="12">
        <v>45573</v>
      </c>
      <c r="C142" s="10" t="s">
        <v>3</v>
      </c>
      <c r="D142" s="4" t="s">
        <v>268</v>
      </c>
      <c r="E142" s="253">
        <v>-690</v>
      </c>
      <c r="F142" s="172">
        <v>45657</v>
      </c>
      <c r="G142" s="172">
        <v>45688</v>
      </c>
      <c r="H142" s="15">
        <v>0.44</v>
      </c>
      <c r="I142" s="192">
        <v>0.15</v>
      </c>
      <c r="J142" s="9">
        <v>200.10000000000002</v>
      </c>
      <c r="K142">
        <v>-303.60000000000002</v>
      </c>
      <c r="L142" s="14" t="s">
        <v>49</v>
      </c>
      <c r="M142" s="8" t="s">
        <v>129</v>
      </c>
      <c r="N142">
        <v>-103.5</v>
      </c>
      <c r="O142" t="s">
        <v>4</v>
      </c>
      <c r="P142" s="38" t="s">
        <v>3</v>
      </c>
      <c r="Q142">
        <v>2024</v>
      </c>
      <c r="R142" t="s">
        <v>129</v>
      </c>
      <c r="S142" t="s">
        <v>14</v>
      </c>
      <c r="T142" t="s">
        <v>309</v>
      </c>
      <c r="U142" t="str">
        <f>IFERROR(_xlfn.XLOOKUP(A142,'2025 EOY'!A:A,'2025 EOY'!B:B),"No")</f>
        <v>No</v>
      </c>
    </row>
    <row r="143" spans="1:21" x14ac:dyDescent="0.35">
      <c r="A143" t="s">
        <v>158</v>
      </c>
      <c r="B143" s="12">
        <v>45573</v>
      </c>
      <c r="C143" s="10" t="s">
        <v>10</v>
      </c>
      <c r="D143" s="4" t="s">
        <v>268</v>
      </c>
      <c r="E143" s="253">
        <v>-690</v>
      </c>
      <c r="F143" s="172">
        <v>45688</v>
      </c>
      <c r="G143" s="172">
        <v>45688</v>
      </c>
      <c r="H143" s="15">
        <v>-4.21</v>
      </c>
      <c r="I143" s="192">
        <v>-4.9400000000000004</v>
      </c>
      <c r="J143" s="9">
        <v>503.70000000000027</v>
      </c>
      <c r="K143">
        <v>2904.9</v>
      </c>
      <c r="L143" s="14" t="s">
        <v>61</v>
      </c>
      <c r="M143" s="8" t="s">
        <v>129</v>
      </c>
      <c r="N143">
        <v>3408.6000000000004</v>
      </c>
      <c r="O143" t="s">
        <v>11</v>
      </c>
      <c r="P143" s="38" t="s">
        <v>10</v>
      </c>
      <c r="Q143">
        <v>2025</v>
      </c>
      <c r="R143" t="s">
        <v>129</v>
      </c>
      <c r="S143" t="s">
        <v>14</v>
      </c>
      <c r="T143" t="s">
        <v>310</v>
      </c>
      <c r="U143" t="str">
        <f>IFERROR(_xlfn.XLOOKUP(A143,'2025 EOY'!A:A,'2025 EOY'!B:B),"No")</f>
        <v>No</v>
      </c>
    </row>
    <row r="144" spans="1:21" x14ac:dyDescent="0.35">
      <c r="A144" t="s">
        <v>152</v>
      </c>
      <c r="B144" s="12">
        <v>45574</v>
      </c>
      <c r="C144" s="10" t="s">
        <v>7</v>
      </c>
      <c r="D144" s="4" t="s">
        <v>268</v>
      </c>
      <c r="E144" s="253">
        <v>-2050</v>
      </c>
      <c r="F144" s="172">
        <v>45688</v>
      </c>
      <c r="G144" s="172">
        <v>45716</v>
      </c>
      <c r="H144" s="15">
        <v>0.33</v>
      </c>
      <c r="I144" s="192">
        <v>1.1000000000000001</v>
      </c>
      <c r="J144" s="9">
        <v>-1578.5</v>
      </c>
      <c r="K144">
        <v>-676.5</v>
      </c>
      <c r="L144" s="14" t="s">
        <v>52</v>
      </c>
      <c r="M144" s="8" t="s">
        <v>129</v>
      </c>
      <c r="N144">
        <v>-2255</v>
      </c>
      <c r="O144" t="s">
        <v>4</v>
      </c>
      <c r="P144" s="38" t="s">
        <v>7</v>
      </c>
      <c r="Q144">
        <v>2025</v>
      </c>
      <c r="R144" t="s">
        <v>129</v>
      </c>
      <c r="S144" t="s">
        <v>14</v>
      </c>
      <c r="T144" t="s">
        <v>311</v>
      </c>
      <c r="U144" t="str">
        <f>IFERROR(_xlfn.XLOOKUP(A144,'2025 EOY'!A:A,'2025 EOY'!B:B),"No")</f>
        <v>No</v>
      </c>
    </row>
    <row r="145" spans="1:21" x14ac:dyDescent="0.35">
      <c r="A145" t="s">
        <v>152</v>
      </c>
      <c r="B145" s="12">
        <v>45574</v>
      </c>
      <c r="C145" s="10" t="s">
        <v>7</v>
      </c>
      <c r="D145" s="4" t="s">
        <v>268</v>
      </c>
      <c r="E145" s="253">
        <v>-2050</v>
      </c>
      <c r="F145" s="172">
        <v>45716</v>
      </c>
      <c r="G145" s="172">
        <v>45747</v>
      </c>
      <c r="H145" s="15">
        <v>0.24</v>
      </c>
      <c r="I145" s="192">
        <v>0.4</v>
      </c>
      <c r="J145" s="9">
        <v>-328.00000000000006</v>
      </c>
      <c r="K145">
        <v>-492</v>
      </c>
      <c r="L145" s="14" t="s">
        <v>54</v>
      </c>
      <c r="M145" s="8" t="s">
        <v>129</v>
      </c>
      <c r="N145">
        <v>-820</v>
      </c>
      <c r="O145" t="s">
        <v>4</v>
      </c>
      <c r="P145" s="38" t="s">
        <v>7</v>
      </c>
      <c r="Q145">
        <v>2025</v>
      </c>
      <c r="R145" t="s">
        <v>129</v>
      </c>
      <c r="S145" t="s">
        <v>14</v>
      </c>
      <c r="T145" t="s">
        <v>312</v>
      </c>
      <c r="U145" t="str">
        <f>IFERROR(_xlfn.XLOOKUP(A145,'2025 EOY'!A:A,'2025 EOY'!B:B),"No")</f>
        <v>No</v>
      </c>
    </row>
    <row r="146" spans="1:21" x14ac:dyDescent="0.35">
      <c r="A146" t="s">
        <v>152</v>
      </c>
      <c r="B146" s="12">
        <v>45574</v>
      </c>
      <c r="C146" s="10" t="s">
        <v>15</v>
      </c>
      <c r="D146" s="4" t="s">
        <v>268</v>
      </c>
      <c r="E146" s="253">
        <v>2069</v>
      </c>
      <c r="F146" s="172">
        <v>45688</v>
      </c>
      <c r="G146" s="172">
        <v>45688</v>
      </c>
      <c r="H146" s="15">
        <v>0.04</v>
      </c>
      <c r="I146" s="191">
        <v>0.93</v>
      </c>
      <c r="J146" s="9">
        <v>1841.41</v>
      </c>
      <c r="K146">
        <v>82.76</v>
      </c>
      <c r="L146" s="14" t="s">
        <v>61</v>
      </c>
      <c r="M146" s="8" t="s">
        <v>131</v>
      </c>
      <c r="N146">
        <v>1924.17</v>
      </c>
      <c r="O146" t="s">
        <v>11</v>
      </c>
      <c r="P146" s="38" t="s">
        <v>16</v>
      </c>
      <c r="Q146">
        <v>2025</v>
      </c>
      <c r="R146" t="s">
        <v>131</v>
      </c>
      <c r="S146" t="s">
        <v>14</v>
      </c>
      <c r="T146" t="s">
        <v>313</v>
      </c>
      <c r="U146" t="str">
        <f>IFERROR(_xlfn.XLOOKUP(A146,'2025 EOY'!A:A,'2025 EOY'!B:B),"No")</f>
        <v>No</v>
      </c>
    </row>
    <row r="147" spans="1:21" x14ac:dyDescent="0.35">
      <c r="A147" t="s">
        <v>152</v>
      </c>
      <c r="B147" s="12">
        <v>45574</v>
      </c>
      <c r="C147" s="10" t="s">
        <v>19</v>
      </c>
      <c r="D147" s="10" t="s">
        <v>268</v>
      </c>
      <c r="E147" s="253">
        <v>2069</v>
      </c>
      <c r="F147" s="172">
        <v>44957</v>
      </c>
      <c r="G147" s="172">
        <v>44957</v>
      </c>
      <c r="H147" s="15">
        <v>3.1900000000000004</v>
      </c>
      <c r="I147" s="192">
        <v>3.6</v>
      </c>
      <c r="J147" s="9">
        <v>848.2899999999994</v>
      </c>
      <c r="K147">
        <v>6744.94</v>
      </c>
      <c r="L147" s="14" t="s">
        <v>68</v>
      </c>
      <c r="M147" s="8" t="s">
        <v>131</v>
      </c>
      <c r="N147">
        <v>7448.4000000000005</v>
      </c>
      <c r="O147" t="s">
        <v>19</v>
      </c>
      <c r="P147" s="38" t="s">
        <v>19</v>
      </c>
      <c r="Q147">
        <v>2023</v>
      </c>
      <c r="R147" t="s">
        <v>131</v>
      </c>
      <c r="S147" t="s">
        <v>96</v>
      </c>
      <c r="T147" t="s">
        <v>314</v>
      </c>
      <c r="U147" t="str">
        <f>IFERROR(_xlfn.XLOOKUP(A147,'2025 EOY'!A:A,'2025 EOY'!B:B),"No")</f>
        <v>No</v>
      </c>
    </row>
    <row r="148" spans="1:21" x14ac:dyDescent="0.35">
      <c r="A148" t="s">
        <v>152</v>
      </c>
      <c r="B148" s="12">
        <v>45574</v>
      </c>
      <c r="C148" s="10" t="s">
        <v>3</v>
      </c>
      <c r="D148" s="4" t="s">
        <v>268</v>
      </c>
      <c r="E148" s="253">
        <v>-2050</v>
      </c>
      <c r="F148" s="172">
        <v>45626</v>
      </c>
      <c r="G148" s="172">
        <v>45657</v>
      </c>
      <c r="H148" s="15">
        <v>0.63</v>
      </c>
      <c r="I148" s="192">
        <v>0.52</v>
      </c>
      <c r="J148" s="9">
        <v>225.49999999999997</v>
      </c>
      <c r="K148">
        <v>-1291.5</v>
      </c>
      <c r="L148" s="14" t="s">
        <v>46</v>
      </c>
      <c r="M148" s="8" t="s">
        <v>129</v>
      </c>
      <c r="N148">
        <v>-1066</v>
      </c>
      <c r="O148" t="s">
        <v>4</v>
      </c>
      <c r="P148" s="38" t="s">
        <v>3</v>
      </c>
      <c r="Q148">
        <v>2024</v>
      </c>
      <c r="R148" t="s">
        <v>129</v>
      </c>
      <c r="S148" t="s">
        <v>14</v>
      </c>
      <c r="T148" t="s">
        <v>315</v>
      </c>
      <c r="U148" t="str">
        <f>IFERROR(_xlfn.XLOOKUP(A148,'2025 EOY'!A:A,'2025 EOY'!B:B),"No")</f>
        <v>No</v>
      </c>
    </row>
    <row r="149" spans="1:21" x14ac:dyDescent="0.35">
      <c r="A149" t="s">
        <v>152</v>
      </c>
      <c r="B149" s="12">
        <v>45574</v>
      </c>
      <c r="C149" s="10" t="s">
        <v>3</v>
      </c>
      <c r="D149" s="4" t="s">
        <v>268</v>
      </c>
      <c r="E149" s="253">
        <v>-2050</v>
      </c>
      <c r="F149" s="172">
        <v>45657</v>
      </c>
      <c r="G149" s="172">
        <v>45688</v>
      </c>
      <c r="H149" s="15">
        <v>0.48</v>
      </c>
      <c r="I149" s="192">
        <v>0.15</v>
      </c>
      <c r="J149" s="9">
        <v>676.49999999999989</v>
      </c>
      <c r="K149">
        <v>-984</v>
      </c>
      <c r="L149" s="14" t="s">
        <v>49</v>
      </c>
      <c r="M149" s="8" t="s">
        <v>129</v>
      </c>
      <c r="N149">
        <v>-307.5</v>
      </c>
      <c r="O149" t="s">
        <v>4</v>
      </c>
      <c r="P149" s="38" t="s">
        <v>3</v>
      </c>
      <c r="Q149">
        <v>2024</v>
      </c>
      <c r="R149" t="s">
        <v>129</v>
      </c>
      <c r="S149" t="s">
        <v>14</v>
      </c>
      <c r="T149" t="s">
        <v>316</v>
      </c>
      <c r="U149" t="str">
        <f>IFERROR(_xlfn.XLOOKUP(A149,'2025 EOY'!A:A,'2025 EOY'!B:B),"No")</f>
        <v>No</v>
      </c>
    </row>
    <row r="150" spans="1:21" x14ac:dyDescent="0.35">
      <c r="A150" t="s">
        <v>152</v>
      </c>
      <c r="B150" s="12">
        <v>45574</v>
      </c>
      <c r="C150" s="10" t="s">
        <v>10</v>
      </c>
      <c r="D150" s="4" t="s">
        <v>268</v>
      </c>
      <c r="E150" s="253">
        <v>-2050</v>
      </c>
      <c r="F150" s="172">
        <v>45688</v>
      </c>
      <c r="G150" s="172">
        <v>45688</v>
      </c>
      <c r="H150" s="15">
        <v>-4.12</v>
      </c>
      <c r="I150" s="192">
        <v>-4.9400000000000004</v>
      </c>
      <c r="J150" s="9">
        <v>1681.0000000000007</v>
      </c>
      <c r="K150">
        <v>8446</v>
      </c>
      <c r="L150" s="14" t="s">
        <v>61</v>
      </c>
      <c r="M150" s="8" t="s">
        <v>129</v>
      </c>
      <c r="N150">
        <v>10127</v>
      </c>
      <c r="O150" t="s">
        <v>11</v>
      </c>
      <c r="P150" s="38" t="s">
        <v>10</v>
      </c>
      <c r="Q150">
        <v>2025</v>
      </c>
      <c r="R150" t="s">
        <v>129</v>
      </c>
      <c r="S150" t="s">
        <v>14</v>
      </c>
      <c r="T150" t="s">
        <v>317</v>
      </c>
      <c r="U150" t="str">
        <f>IFERROR(_xlfn.XLOOKUP(A150,'2025 EOY'!A:A,'2025 EOY'!B:B),"No")</f>
        <v>No</v>
      </c>
    </row>
    <row r="151" spans="1:21" x14ac:dyDescent="0.35">
      <c r="A151" t="s">
        <v>152</v>
      </c>
      <c r="B151" s="12">
        <v>45685</v>
      </c>
      <c r="C151" s="10" t="s">
        <v>19</v>
      </c>
      <c r="D151" s="10" t="s">
        <v>268</v>
      </c>
      <c r="E151" s="253">
        <v>0</v>
      </c>
      <c r="F151" s="172">
        <v>44957</v>
      </c>
      <c r="G151" s="172">
        <v>44957</v>
      </c>
      <c r="H151" s="15"/>
      <c r="I151" s="192"/>
      <c r="J151" s="9">
        <v>-700</v>
      </c>
      <c r="K151">
        <v>0</v>
      </c>
      <c r="L151" s="14" t="s">
        <v>68</v>
      </c>
      <c r="M151" s="8" t="s">
        <v>131</v>
      </c>
      <c r="N151">
        <v>0</v>
      </c>
      <c r="O151" t="s">
        <v>19</v>
      </c>
      <c r="P151" s="38" t="s">
        <v>19</v>
      </c>
      <c r="Q151">
        <v>2023</v>
      </c>
      <c r="R151" t="s">
        <v>129</v>
      </c>
      <c r="S151" t="s">
        <v>96</v>
      </c>
      <c r="T151" t="s">
        <v>318</v>
      </c>
      <c r="U151" t="str">
        <f>IFERROR(_xlfn.XLOOKUP(A151,'2025 EOY'!A:A,'2025 EOY'!B:B),"No")</f>
        <v>No</v>
      </c>
    </row>
    <row r="152" spans="1:21" x14ac:dyDescent="0.35">
      <c r="A152" t="s">
        <v>154</v>
      </c>
      <c r="B152" s="12">
        <v>45575</v>
      </c>
      <c r="C152" s="10" t="s">
        <v>15</v>
      </c>
      <c r="D152" s="4" t="s">
        <v>128</v>
      </c>
      <c r="E152" s="253">
        <v>-500</v>
      </c>
      <c r="F152" s="172">
        <v>45626</v>
      </c>
      <c r="G152" s="172">
        <v>45626</v>
      </c>
      <c r="H152" s="15">
        <v>0.16</v>
      </c>
      <c r="I152" s="191">
        <v>1.04</v>
      </c>
      <c r="J152" s="9">
        <v>-440</v>
      </c>
      <c r="K152">
        <v>-80</v>
      </c>
      <c r="L152" s="14" t="s">
        <v>67</v>
      </c>
      <c r="M152" s="8" t="s">
        <v>129</v>
      </c>
      <c r="N152">
        <v>-520</v>
      </c>
      <c r="O152" t="s">
        <v>11</v>
      </c>
      <c r="P152" s="38" t="s">
        <v>16</v>
      </c>
      <c r="Q152">
        <v>2024</v>
      </c>
      <c r="R152" t="s">
        <v>129</v>
      </c>
      <c r="S152" t="s">
        <v>14</v>
      </c>
      <c r="T152" t="s">
        <v>319</v>
      </c>
      <c r="U152" t="str">
        <f>IFERROR(_xlfn.XLOOKUP(A152,'2025 EOY'!A:A,'2025 EOY'!B:B),"No")</f>
        <v>No</v>
      </c>
    </row>
    <row r="153" spans="1:21" x14ac:dyDescent="0.35">
      <c r="A153" t="s">
        <v>267</v>
      </c>
      <c r="B153" s="12">
        <v>45575</v>
      </c>
      <c r="C153" s="10" t="s">
        <v>15</v>
      </c>
      <c r="D153" s="4" t="s">
        <v>268</v>
      </c>
      <c r="E153" s="253">
        <v>700</v>
      </c>
      <c r="F153" s="172">
        <v>45596</v>
      </c>
      <c r="G153" s="172">
        <v>45596</v>
      </c>
      <c r="H153" s="15">
        <v>0.4</v>
      </c>
      <c r="I153" s="191">
        <v>0.27</v>
      </c>
      <c r="J153" s="9">
        <v>-91</v>
      </c>
      <c r="K153">
        <v>280</v>
      </c>
      <c r="L153" s="14" t="s">
        <v>66</v>
      </c>
      <c r="M153" s="8" t="s">
        <v>131</v>
      </c>
      <c r="N153">
        <v>189</v>
      </c>
      <c r="O153" t="s">
        <v>11</v>
      </c>
      <c r="P153" s="38" t="s">
        <v>16</v>
      </c>
      <c r="Q153">
        <v>2024</v>
      </c>
      <c r="R153" t="s">
        <v>131</v>
      </c>
      <c r="S153" t="s">
        <v>14</v>
      </c>
      <c r="T153" t="s">
        <v>320</v>
      </c>
      <c r="U153" t="str">
        <f>IFERROR(_xlfn.XLOOKUP(A153,'2025 EOY'!A:A,'2025 EOY'!B:B),"No")</f>
        <v>No</v>
      </c>
    </row>
    <row r="154" spans="1:21" x14ac:dyDescent="0.35">
      <c r="A154" t="s">
        <v>158</v>
      </c>
      <c r="B154" s="12">
        <v>45575</v>
      </c>
      <c r="C154" s="10" t="s">
        <v>10</v>
      </c>
      <c r="D154" s="4" t="s">
        <v>128</v>
      </c>
      <c r="E154" s="254">
        <v>700</v>
      </c>
      <c r="F154" s="172">
        <v>45688</v>
      </c>
      <c r="G154" s="172">
        <v>45688</v>
      </c>
      <c r="H154" s="15">
        <v>-4.2699999999999996</v>
      </c>
      <c r="I154" s="192">
        <v>-4.9400000000000004</v>
      </c>
      <c r="J154" s="9">
        <v>-469.00000000000057</v>
      </c>
      <c r="K154">
        <v>-2988.9999999999995</v>
      </c>
      <c r="L154" s="14" t="s">
        <v>61</v>
      </c>
      <c r="M154" s="8" t="s">
        <v>131</v>
      </c>
      <c r="N154">
        <v>-3458.0000000000005</v>
      </c>
      <c r="O154" t="s">
        <v>11</v>
      </c>
      <c r="P154" s="38" t="s">
        <v>10</v>
      </c>
      <c r="Q154">
        <v>2025</v>
      </c>
      <c r="R154" t="s">
        <v>131</v>
      </c>
      <c r="S154" t="s">
        <v>14</v>
      </c>
      <c r="T154" t="s">
        <v>321</v>
      </c>
      <c r="U154" t="str">
        <f>IFERROR(_xlfn.XLOOKUP(A154,'2025 EOY'!A:A,'2025 EOY'!B:B),"No")</f>
        <v>No</v>
      </c>
    </row>
    <row r="155" spans="1:21" x14ac:dyDescent="0.35">
      <c r="A155" s="20" t="s">
        <v>322</v>
      </c>
      <c r="B155" s="12">
        <v>45575</v>
      </c>
      <c r="C155" s="10" t="s">
        <v>10</v>
      </c>
      <c r="D155" s="4" t="s">
        <v>268</v>
      </c>
      <c r="E155" s="253">
        <v>-700</v>
      </c>
      <c r="F155" s="172">
        <v>45657</v>
      </c>
      <c r="G155" s="172">
        <v>45657</v>
      </c>
      <c r="H155" s="15">
        <v>-4.1900000000000004</v>
      </c>
      <c r="I155" s="192">
        <v>-3.9</v>
      </c>
      <c r="J155" s="9">
        <v>-203.00000000000034</v>
      </c>
      <c r="K155">
        <v>2933.0000000000005</v>
      </c>
      <c r="L155" s="14" t="s">
        <v>59</v>
      </c>
      <c r="M155" s="8" t="s">
        <v>129</v>
      </c>
      <c r="N155">
        <v>2730</v>
      </c>
      <c r="O155" t="s">
        <v>11</v>
      </c>
      <c r="P155" s="38" t="s">
        <v>10</v>
      </c>
      <c r="Q155">
        <v>2024</v>
      </c>
      <c r="R155" t="s">
        <v>129</v>
      </c>
      <c r="S155" t="s">
        <v>14</v>
      </c>
      <c r="T155" t="s">
        <v>323</v>
      </c>
      <c r="U155" t="str">
        <f>IFERROR(_xlfn.XLOOKUP(A155,'2025 EOY'!A:A,'2025 EOY'!B:B),"No")</f>
        <v>No</v>
      </c>
    </row>
    <row r="156" spans="1:21" x14ac:dyDescent="0.35">
      <c r="A156" t="s">
        <v>230</v>
      </c>
      <c r="B156" s="12">
        <v>45575</v>
      </c>
      <c r="C156" s="10" t="s">
        <v>10</v>
      </c>
      <c r="D156" s="4" t="s">
        <v>268</v>
      </c>
      <c r="E156" s="253">
        <v>-700</v>
      </c>
      <c r="F156" s="172">
        <v>45657</v>
      </c>
      <c r="G156" s="172">
        <v>45657</v>
      </c>
      <c r="H156" s="15">
        <v>-4.1900000000000004</v>
      </c>
      <c r="I156" s="192">
        <v>-3.9</v>
      </c>
      <c r="J156" s="9">
        <v>-203.00000000000034</v>
      </c>
      <c r="K156">
        <v>2933.0000000000005</v>
      </c>
      <c r="L156" s="14" t="s">
        <v>59</v>
      </c>
      <c r="M156" s="8" t="s">
        <v>129</v>
      </c>
      <c r="N156">
        <v>2730</v>
      </c>
      <c r="O156" t="s">
        <v>11</v>
      </c>
      <c r="P156" s="38" t="s">
        <v>10</v>
      </c>
      <c r="Q156">
        <v>2024</v>
      </c>
      <c r="R156" t="s">
        <v>129</v>
      </c>
      <c r="S156" t="s">
        <v>14</v>
      </c>
      <c r="T156" t="s">
        <v>324</v>
      </c>
      <c r="U156" t="str">
        <f>IFERROR(_xlfn.XLOOKUP(A156,'2025 EOY'!A:A,'2025 EOY'!B:B),"No")</f>
        <v>No</v>
      </c>
    </row>
    <row r="157" spans="1:21" x14ac:dyDescent="0.35">
      <c r="A157" t="s">
        <v>237</v>
      </c>
      <c r="B157" s="12">
        <v>45575</v>
      </c>
      <c r="C157" s="10" t="s">
        <v>10</v>
      </c>
      <c r="D157" s="4" t="s">
        <v>268</v>
      </c>
      <c r="E157" s="253">
        <v>-700</v>
      </c>
      <c r="F157" s="172">
        <v>45657</v>
      </c>
      <c r="G157" s="172">
        <v>45657</v>
      </c>
      <c r="H157" s="15">
        <v>-4.1900000000000004</v>
      </c>
      <c r="I157" s="192">
        <v>-3.9</v>
      </c>
      <c r="J157" s="9">
        <v>-203.00000000000034</v>
      </c>
      <c r="K157">
        <v>2933.0000000000005</v>
      </c>
      <c r="L157" s="14" t="s">
        <v>59</v>
      </c>
      <c r="M157" s="8" t="s">
        <v>129</v>
      </c>
      <c r="N157">
        <v>2730</v>
      </c>
      <c r="O157" t="s">
        <v>11</v>
      </c>
      <c r="P157" s="38" t="s">
        <v>10</v>
      </c>
      <c r="Q157">
        <v>2024</v>
      </c>
      <c r="R157" t="s">
        <v>129</v>
      </c>
      <c r="S157" t="s">
        <v>14</v>
      </c>
      <c r="T157" t="s">
        <v>325</v>
      </c>
      <c r="U157" t="str">
        <f>IFERROR(_xlfn.XLOOKUP(A157,'2025 EOY'!A:A,'2025 EOY'!B:B),"No")</f>
        <v>No</v>
      </c>
    </row>
    <row r="158" spans="1:21" x14ac:dyDescent="0.35">
      <c r="A158" s="21" t="s">
        <v>152</v>
      </c>
      <c r="B158" s="175">
        <v>45575</v>
      </c>
      <c r="C158" s="22" t="s">
        <v>10</v>
      </c>
      <c r="D158" s="23" t="s">
        <v>128</v>
      </c>
      <c r="E158" s="255">
        <v>300</v>
      </c>
      <c r="F158" s="24">
        <v>45688</v>
      </c>
      <c r="G158" s="24">
        <v>45688</v>
      </c>
      <c r="H158" s="207">
        <v>-4.2699999999999996</v>
      </c>
      <c r="I158" s="192">
        <v>-4.9400000000000004</v>
      </c>
      <c r="J158" s="25">
        <v>-201.00000000000026</v>
      </c>
      <c r="K158" s="26">
        <v>-1280.9999999999998</v>
      </c>
      <c r="L158" s="14" t="s">
        <v>61</v>
      </c>
      <c r="M158" s="27" t="s">
        <v>131</v>
      </c>
      <c r="N158" s="26">
        <v>-1482.0000000000002</v>
      </c>
      <c r="O158" s="28" t="s">
        <v>11</v>
      </c>
      <c r="P158" s="38" t="s">
        <v>10</v>
      </c>
      <c r="Q158">
        <v>2025</v>
      </c>
      <c r="R158" t="s">
        <v>131</v>
      </c>
      <c r="S158" t="s">
        <v>14</v>
      </c>
      <c r="T158" t="s">
        <v>326</v>
      </c>
      <c r="U158" t="str">
        <f>IFERROR(_xlfn.XLOOKUP(A158,'2025 EOY'!A:A,'2025 EOY'!B:B),"No")</f>
        <v>No</v>
      </c>
    </row>
    <row r="159" spans="1:21" x14ac:dyDescent="0.35">
      <c r="A159" s="37" t="s">
        <v>127</v>
      </c>
      <c r="B159" s="12">
        <v>45576</v>
      </c>
      <c r="C159" s="10" t="s">
        <v>3</v>
      </c>
      <c r="D159" s="4" t="s">
        <v>128</v>
      </c>
      <c r="E159" s="253">
        <v>2000</v>
      </c>
      <c r="F159" s="172">
        <v>45626</v>
      </c>
      <c r="G159" s="172">
        <v>45657</v>
      </c>
      <c r="H159" s="15">
        <v>0.71</v>
      </c>
      <c r="I159" s="192">
        <v>0.52</v>
      </c>
      <c r="J159" s="9">
        <v>-379.99999999999989</v>
      </c>
      <c r="K159">
        <v>1420</v>
      </c>
      <c r="L159" s="14" t="s">
        <v>46</v>
      </c>
      <c r="M159" s="8" t="s">
        <v>131</v>
      </c>
      <c r="N159">
        <v>1040</v>
      </c>
      <c r="O159" s="38" t="s">
        <v>4</v>
      </c>
      <c r="P159" s="38" t="s">
        <v>3</v>
      </c>
      <c r="Q159">
        <v>2024</v>
      </c>
      <c r="R159" t="s">
        <v>131</v>
      </c>
      <c r="S159" t="s">
        <v>14</v>
      </c>
      <c r="T159" t="s">
        <v>327</v>
      </c>
      <c r="U159" t="str">
        <f>IFERROR(_xlfn.XLOOKUP(A159,'2025 EOY'!A:A,'2025 EOY'!B:B),"No")</f>
        <v>No</v>
      </c>
    </row>
    <row r="160" spans="1:21" x14ac:dyDescent="0.35">
      <c r="A160" s="21" t="s">
        <v>152</v>
      </c>
      <c r="B160" s="175">
        <v>45576</v>
      </c>
      <c r="C160" s="22" t="s">
        <v>3</v>
      </c>
      <c r="D160" s="23" t="s">
        <v>128</v>
      </c>
      <c r="E160" s="256">
        <v>1000</v>
      </c>
      <c r="F160" s="24">
        <v>45626</v>
      </c>
      <c r="G160" s="24">
        <v>45657</v>
      </c>
      <c r="H160" s="207">
        <v>0.71</v>
      </c>
      <c r="I160" s="192">
        <v>0.52</v>
      </c>
      <c r="J160" s="25">
        <v>-189.99999999999994</v>
      </c>
      <c r="K160" s="26">
        <v>710</v>
      </c>
      <c r="L160" s="14" t="s">
        <v>46</v>
      </c>
      <c r="M160" s="27" t="s">
        <v>131</v>
      </c>
      <c r="N160" s="26">
        <v>520</v>
      </c>
      <c r="O160" s="28" t="s">
        <v>4</v>
      </c>
      <c r="P160" s="38" t="s">
        <v>3</v>
      </c>
      <c r="Q160">
        <v>2024</v>
      </c>
      <c r="R160" t="s">
        <v>131</v>
      </c>
      <c r="S160" t="s">
        <v>14</v>
      </c>
      <c r="T160" t="s">
        <v>328</v>
      </c>
      <c r="U160" t="str">
        <f>IFERROR(_xlfn.XLOOKUP(A160,'2025 EOY'!A:A,'2025 EOY'!B:B),"No")</f>
        <v>No</v>
      </c>
    </row>
    <row r="161" spans="1:21" x14ac:dyDescent="0.35">
      <c r="A161" s="37" t="s">
        <v>152</v>
      </c>
      <c r="B161" s="12">
        <v>45576</v>
      </c>
      <c r="C161" s="10" t="s">
        <v>3</v>
      </c>
      <c r="D161" s="4" t="s">
        <v>128</v>
      </c>
      <c r="E161" s="253">
        <v>1000</v>
      </c>
      <c r="F161" s="172">
        <v>45657</v>
      </c>
      <c r="G161" s="172">
        <v>45688</v>
      </c>
      <c r="H161" s="15">
        <v>0.54</v>
      </c>
      <c r="I161" s="192">
        <v>0.15</v>
      </c>
      <c r="J161" s="9">
        <v>-390</v>
      </c>
      <c r="K161">
        <v>540</v>
      </c>
      <c r="L161" s="14" t="s">
        <v>49</v>
      </c>
      <c r="M161" s="8" t="s">
        <v>131</v>
      </c>
      <c r="N161">
        <v>150</v>
      </c>
      <c r="O161" s="38" t="s">
        <v>4</v>
      </c>
      <c r="P161" s="38" t="s">
        <v>3</v>
      </c>
      <c r="Q161">
        <v>2024</v>
      </c>
      <c r="R161" t="s">
        <v>131</v>
      </c>
      <c r="S161" t="s">
        <v>14</v>
      </c>
      <c r="T161" t="s">
        <v>329</v>
      </c>
      <c r="U161" t="str">
        <f>IFERROR(_xlfn.XLOOKUP(A161,'2025 EOY'!A:A,'2025 EOY'!B:B),"No")</f>
        <v>No</v>
      </c>
    </row>
    <row r="162" spans="1:21" x14ac:dyDescent="0.35">
      <c r="A162" s="29" t="s">
        <v>127</v>
      </c>
      <c r="B162" s="176">
        <v>45576</v>
      </c>
      <c r="C162" s="30" t="s">
        <v>10</v>
      </c>
      <c r="D162" s="31" t="s">
        <v>128</v>
      </c>
      <c r="E162" s="257">
        <v>2000</v>
      </c>
      <c r="F162" s="32">
        <v>45657</v>
      </c>
      <c r="G162" s="32">
        <v>45657</v>
      </c>
      <c r="H162" s="208">
        <v>-4.1900000000000004</v>
      </c>
      <c r="I162" s="192">
        <v>-3.9</v>
      </c>
      <c r="J162" s="33">
        <v>580.00000000000091</v>
      </c>
      <c r="K162" s="34">
        <v>-8380</v>
      </c>
      <c r="L162" s="14" t="s">
        <v>59</v>
      </c>
      <c r="M162" s="35" t="s">
        <v>131</v>
      </c>
      <c r="N162" s="34">
        <v>-7800</v>
      </c>
      <c r="O162" s="36" t="s">
        <v>11</v>
      </c>
      <c r="P162" s="38" t="s">
        <v>10</v>
      </c>
      <c r="Q162">
        <v>2024</v>
      </c>
      <c r="R162" t="s">
        <v>131</v>
      </c>
      <c r="S162" t="s">
        <v>14</v>
      </c>
      <c r="T162" t="s">
        <v>330</v>
      </c>
      <c r="U162" t="str">
        <f>IFERROR(_xlfn.XLOOKUP(A162,'2025 EOY'!A:A,'2025 EOY'!B:B),"No")</f>
        <v>No</v>
      </c>
    </row>
    <row r="163" spans="1:21" x14ac:dyDescent="0.35">
      <c r="A163" t="s">
        <v>152</v>
      </c>
      <c r="B163" s="175">
        <v>45576</v>
      </c>
      <c r="C163" s="22" t="s">
        <v>10</v>
      </c>
      <c r="D163" s="23" t="s">
        <v>128</v>
      </c>
      <c r="E163" s="256"/>
      <c r="F163" s="24">
        <v>45688</v>
      </c>
      <c r="G163" s="24">
        <v>45688</v>
      </c>
      <c r="H163" s="207">
        <v>-4.29</v>
      </c>
      <c r="I163" s="192">
        <v>-4.9400000000000004</v>
      </c>
      <c r="J163" s="25">
        <v>0</v>
      </c>
      <c r="K163" s="26">
        <v>0</v>
      </c>
      <c r="L163" s="14" t="s">
        <v>61</v>
      </c>
      <c r="M163" s="27" t="s">
        <v>131</v>
      </c>
      <c r="N163" s="26">
        <v>0</v>
      </c>
      <c r="O163" s="28" t="s">
        <v>11</v>
      </c>
      <c r="P163" s="38" t="s">
        <v>10</v>
      </c>
      <c r="Q163">
        <v>2025</v>
      </c>
      <c r="R163" t="s">
        <v>129</v>
      </c>
      <c r="S163" t="s">
        <v>14</v>
      </c>
      <c r="T163" t="s">
        <v>331</v>
      </c>
      <c r="U163" t="str">
        <f>IFERROR(_xlfn.XLOOKUP(A163,'2025 EOY'!A:A,'2025 EOY'!B:B),"No")</f>
        <v>No</v>
      </c>
    </row>
    <row r="164" spans="1:21" x14ac:dyDescent="0.35">
      <c r="A164" t="s">
        <v>158</v>
      </c>
      <c r="B164" s="12">
        <v>45579</v>
      </c>
      <c r="C164" s="10" t="s">
        <v>3</v>
      </c>
      <c r="D164" s="4" t="s">
        <v>128</v>
      </c>
      <c r="E164" s="253">
        <v>258</v>
      </c>
      <c r="F164" s="172">
        <v>45626</v>
      </c>
      <c r="G164" s="172">
        <v>45657</v>
      </c>
      <c r="H164" s="15">
        <v>0.57999999999999996</v>
      </c>
      <c r="I164" s="192">
        <v>0.52</v>
      </c>
      <c r="J164" s="9">
        <v>-15.479999999999984</v>
      </c>
      <c r="K164">
        <v>149.63999999999999</v>
      </c>
      <c r="L164" s="14" t="s">
        <v>46</v>
      </c>
      <c r="M164" s="8" t="s">
        <v>131</v>
      </c>
      <c r="N164">
        <v>134.16</v>
      </c>
      <c r="O164" s="38" t="s">
        <v>4</v>
      </c>
      <c r="P164" s="38" t="s">
        <v>3</v>
      </c>
      <c r="Q164">
        <v>2024</v>
      </c>
      <c r="R164" t="s">
        <v>131</v>
      </c>
      <c r="S164" t="s">
        <v>14</v>
      </c>
      <c r="T164" t="s">
        <v>332</v>
      </c>
      <c r="U164" t="str">
        <f>IFERROR(_xlfn.XLOOKUP(A164,'2025 EOY'!A:A,'2025 EOY'!B:B),"No")</f>
        <v>No</v>
      </c>
    </row>
    <row r="165" spans="1:21" x14ac:dyDescent="0.35">
      <c r="A165" t="s">
        <v>158</v>
      </c>
      <c r="B165" s="12">
        <v>45579</v>
      </c>
      <c r="C165" s="10" t="s">
        <v>3</v>
      </c>
      <c r="D165" s="4" t="s">
        <v>128</v>
      </c>
      <c r="E165" s="253">
        <v>258</v>
      </c>
      <c r="F165" s="172">
        <v>45657</v>
      </c>
      <c r="G165" s="172">
        <v>45688</v>
      </c>
      <c r="H165" s="15">
        <v>0.41</v>
      </c>
      <c r="I165" s="192">
        <v>0.15</v>
      </c>
      <c r="J165" s="9">
        <v>-67.08</v>
      </c>
      <c r="K165">
        <v>105.77999999999999</v>
      </c>
      <c r="L165" s="14" t="s">
        <v>49</v>
      </c>
      <c r="M165" s="8" t="s">
        <v>131</v>
      </c>
      <c r="N165">
        <v>38.699999999999996</v>
      </c>
      <c r="O165" s="38" t="s">
        <v>4</v>
      </c>
      <c r="P165" s="38" t="s">
        <v>3</v>
      </c>
      <c r="Q165">
        <v>2024</v>
      </c>
      <c r="R165" t="s">
        <v>131</v>
      </c>
      <c r="S165" t="s">
        <v>14</v>
      </c>
      <c r="T165" t="s">
        <v>333</v>
      </c>
      <c r="U165" t="str">
        <f>IFERROR(_xlfn.XLOOKUP(A165,'2025 EOY'!A:A,'2025 EOY'!B:B),"No")</f>
        <v>No</v>
      </c>
    </row>
    <row r="166" spans="1:21" x14ac:dyDescent="0.35">
      <c r="A166" s="39" t="s">
        <v>127</v>
      </c>
      <c r="B166" s="177">
        <v>45579</v>
      </c>
      <c r="C166" s="40" t="s">
        <v>3</v>
      </c>
      <c r="D166" s="41" t="s">
        <v>128</v>
      </c>
      <c r="E166" s="258">
        <v>800</v>
      </c>
      <c r="F166" s="42">
        <v>45626</v>
      </c>
      <c r="G166" s="42">
        <v>45657</v>
      </c>
      <c r="H166" s="209">
        <v>0.56999999999999995</v>
      </c>
      <c r="I166" s="192">
        <v>0.52</v>
      </c>
      <c r="J166" s="43">
        <v>-39.999999999999943</v>
      </c>
      <c r="K166" s="44">
        <v>455.99999999999994</v>
      </c>
      <c r="L166" s="14" t="s">
        <v>46</v>
      </c>
      <c r="M166" s="45" t="s">
        <v>131</v>
      </c>
      <c r="N166" s="44">
        <v>416</v>
      </c>
      <c r="O166" s="46" t="s">
        <v>4</v>
      </c>
      <c r="P166" s="38" t="s">
        <v>3</v>
      </c>
      <c r="Q166">
        <v>2024</v>
      </c>
      <c r="R166" t="s">
        <v>131</v>
      </c>
      <c r="S166" t="s">
        <v>14</v>
      </c>
      <c r="T166" t="s">
        <v>334</v>
      </c>
      <c r="U166" t="str">
        <f>IFERROR(_xlfn.XLOOKUP(A166,'2025 EOY'!A:A,'2025 EOY'!B:B),"No")</f>
        <v>No</v>
      </c>
    </row>
    <row r="167" spans="1:21" x14ac:dyDescent="0.35">
      <c r="A167" t="s">
        <v>127</v>
      </c>
      <c r="B167" s="12">
        <v>45579</v>
      </c>
      <c r="C167" s="10" t="s">
        <v>3</v>
      </c>
      <c r="D167" s="4" t="s">
        <v>128</v>
      </c>
      <c r="E167" s="253">
        <v>1553</v>
      </c>
      <c r="F167" s="172">
        <v>45626</v>
      </c>
      <c r="G167" s="172">
        <v>45657</v>
      </c>
      <c r="H167" s="15">
        <v>0.52</v>
      </c>
      <c r="I167" s="192">
        <v>0.52</v>
      </c>
      <c r="J167" s="9">
        <v>0</v>
      </c>
      <c r="K167">
        <v>807.56000000000006</v>
      </c>
      <c r="L167" s="14" t="s">
        <v>46</v>
      </c>
      <c r="M167" s="8" t="s">
        <v>131</v>
      </c>
      <c r="N167">
        <v>807.56000000000006</v>
      </c>
      <c r="O167" s="38" t="s">
        <v>4</v>
      </c>
      <c r="P167" s="38" t="s">
        <v>3</v>
      </c>
      <c r="Q167">
        <v>2024</v>
      </c>
      <c r="R167" t="s">
        <v>131</v>
      </c>
      <c r="S167" t="s">
        <v>14</v>
      </c>
      <c r="T167" t="s">
        <v>335</v>
      </c>
      <c r="U167" t="str">
        <f>IFERROR(_xlfn.XLOOKUP(A167,'2025 EOY'!A:A,'2025 EOY'!B:B),"No")</f>
        <v>No</v>
      </c>
    </row>
    <row r="168" spans="1:21" x14ac:dyDescent="0.35">
      <c r="A168" t="s">
        <v>127</v>
      </c>
      <c r="B168" s="12">
        <v>45579</v>
      </c>
      <c r="C168" s="10" t="s">
        <v>3</v>
      </c>
      <c r="D168" s="4" t="s">
        <v>128</v>
      </c>
      <c r="E168" s="253">
        <v>-64</v>
      </c>
      <c r="F168" s="172">
        <v>45626</v>
      </c>
      <c r="G168" s="172">
        <v>45657</v>
      </c>
      <c r="H168" s="15">
        <v>0.56999999999999995</v>
      </c>
      <c r="I168" s="192">
        <v>0.52</v>
      </c>
      <c r="J168" s="9">
        <v>3.1999999999999957</v>
      </c>
      <c r="K168">
        <v>-36.479999999999997</v>
      </c>
      <c r="L168" s="14" t="s">
        <v>46</v>
      </c>
      <c r="M168" s="8" t="s">
        <v>129</v>
      </c>
      <c r="N168">
        <v>-33.28</v>
      </c>
      <c r="O168" s="38" t="s">
        <v>4</v>
      </c>
      <c r="P168" s="38" t="s">
        <v>3</v>
      </c>
      <c r="Q168">
        <v>2024</v>
      </c>
      <c r="R168" t="s">
        <v>129</v>
      </c>
      <c r="S168" t="s">
        <v>14</v>
      </c>
      <c r="T168" t="s">
        <v>336</v>
      </c>
      <c r="U168" t="str">
        <f>IFERROR(_xlfn.XLOOKUP(A168,'2025 EOY'!A:A,'2025 EOY'!B:B),"No")</f>
        <v>No</v>
      </c>
    </row>
    <row r="169" spans="1:21" x14ac:dyDescent="0.35">
      <c r="A169" t="s">
        <v>158</v>
      </c>
      <c r="B169" s="12">
        <v>45579</v>
      </c>
      <c r="C169" s="10" t="s">
        <v>10</v>
      </c>
      <c r="D169" s="4" t="s">
        <v>128</v>
      </c>
      <c r="E169" s="253">
        <v>258</v>
      </c>
      <c r="F169" s="172">
        <v>45688</v>
      </c>
      <c r="G169" s="172">
        <v>45688</v>
      </c>
      <c r="H169" s="15">
        <v>-4.2800000000000011</v>
      </c>
      <c r="I169" s="192">
        <v>-4.9400000000000004</v>
      </c>
      <c r="J169" s="9">
        <v>-170.2799999999998</v>
      </c>
      <c r="K169">
        <v>-1104.2400000000002</v>
      </c>
      <c r="L169" s="14" t="s">
        <v>61</v>
      </c>
      <c r="M169" s="8" t="s">
        <v>131</v>
      </c>
      <c r="N169">
        <v>-1274.5200000000002</v>
      </c>
      <c r="O169" s="38" t="s">
        <v>11</v>
      </c>
      <c r="P169" s="38" t="s">
        <v>10</v>
      </c>
      <c r="Q169">
        <v>2025</v>
      </c>
      <c r="R169" t="s">
        <v>131</v>
      </c>
      <c r="S169" t="s">
        <v>14</v>
      </c>
      <c r="T169" t="s">
        <v>337</v>
      </c>
      <c r="U169" t="str">
        <f>IFERROR(_xlfn.XLOOKUP(A169,'2025 EOY'!A:A,'2025 EOY'!B:B),"No")</f>
        <v>No</v>
      </c>
    </row>
    <row r="170" spans="1:21" x14ac:dyDescent="0.35">
      <c r="A170" t="s">
        <v>154</v>
      </c>
      <c r="B170" s="12">
        <v>45580</v>
      </c>
      <c r="C170" s="10" t="s">
        <v>15</v>
      </c>
      <c r="D170" s="4" t="s">
        <v>128</v>
      </c>
      <c r="E170" s="253">
        <v>-500</v>
      </c>
      <c r="F170" s="172">
        <v>45626</v>
      </c>
      <c r="G170" s="172">
        <v>45626</v>
      </c>
      <c r="H170" s="15">
        <v>0.01</v>
      </c>
      <c r="I170" s="191">
        <v>1.04</v>
      </c>
      <c r="J170" s="9">
        <v>-515</v>
      </c>
      <c r="K170">
        <v>-5</v>
      </c>
      <c r="L170" s="14" t="s">
        <v>67</v>
      </c>
      <c r="M170" s="8" t="s">
        <v>129</v>
      </c>
      <c r="N170">
        <v>-520</v>
      </c>
      <c r="O170" s="38" t="s">
        <v>11</v>
      </c>
      <c r="P170" s="38" t="s">
        <v>16</v>
      </c>
      <c r="Q170">
        <v>2024</v>
      </c>
      <c r="R170" t="s">
        <v>129</v>
      </c>
      <c r="S170" t="s">
        <v>14</v>
      </c>
      <c r="T170" t="s">
        <v>338</v>
      </c>
      <c r="U170" t="str">
        <f>IFERROR(_xlfn.XLOOKUP(A170,'2025 EOY'!A:A,'2025 EOY'!B:B),"No")</f>
        <v>No</v>
      </c>
    </row>
    <row r="171" spans="1:21" x14ac:dyDescent="0.35">
      <c r="A171" s="3" t="s">
        <v>127</v>
      </c>
      <c r="B171" s="12">
        <v>45581</v>
      </c>
      <c r="C171" s="10" t="s">
        <v>15</v>
      </c>
      <c r="D171" s="4" t="s">
        <v>128</v>
      </c>
      <c r="E171" s="253">
        <v>-400</v>
      </c>
      <c r="F171" s="172">
        <v>45626</v>
      </c>
      <c r="G171" s="172">
        <v>45626</v>
      </c>
      <c r="H171" s="15">
        <v>0.14000000000000001</v>
      </c>
      <c r="I171" s="191">
        <v>1.04</v>
      </c>
      <c r="J171" s="9">
        <v>-360</v>
      </c>
      <c r="K171">
        <v>-56.000000000000007</v>
      </c>
      <c r="L171" s="14" t="s">
        <v>67</v>
      </c>
      <c r="M171" s="8" t="s">
        <v>129</v>
      </c>
      <c r="N171">
        <v>-416</v>
      </c>
      <c r="O171" t="s">
        <v>11</v>
      </c>
      <c r="P171" s="38" t="s">
        <v>16</v>
      </c>
      <c r="Q171">
        <v>2024</v>
      </c>
      <c r="R171" t="s">
        <v>129</v>
      </c>
      <c r="S171" t="s">
        <v>14</v>
      </c>
      <c r="T171" t="s">
        <v>339</v>
      </c>
      <c r="U171" t="str">
        <f>IFERROR(_xlfn.XLOOKUP(A171,'2025 EOY'!A:A,'2025 EOY'!B:B),"No")</f>
        <v>No</v>
      </c>
    </row>
    <row r="172" spans="1:21" x14ac:dyDescent="0.35">
      <c r="A172" s="3" t="s">
        <v>127</v>
      </c>
      <c r="B172" s="12">
        <v>45581</v>
      </c>
      <c r="C172" s="10" t="s">
        <v>15</v>
      </c>
      <c r="D172" s="4" t="s">
        <v>128</v>
      </c>
      <c r="E172" s="253">
        <v>-100</v>
      </c>
      <c r="F172" s="172">
        <v>45657</v>
      </c>
      <c r="G172" s="172">
        <v>45657</v>
      </c>
      <c r="H172" s="15">
        <v>0.08</v>
      </c>
      <c r="I172" s="191">
        <v>0.82</v>
      </c>
      <c r="J172" s="9">
        <v>-74</v>
      </c>
      <c r="K172">
        <v>-8</v>
      </c>
      <c r="L172" s="14" t="s">
        <v>59</v>
      </c>
      <c r="M172" s="8" t="s">
        <v>129</v>
      </c>
      <c r="N172">
        <v>-82</v>
      </c>
      <c r="O172" t="s">
        <v>11</v>
      </c>
      <c r="P172" s="38" t="s">
        <v>16</v>
      </c>
      <c r="Q172">
        <v>2024</v>
      </c>
      <c r="R172" t="s">
        <v>129</v>
      </c>
      <c r="S172" t="s">
        <v>14</v>
      </c>
      <c r="T172" t="s">
        <v>340</v>
      </c>
      <c r="U172" t="str">
        <f>IFERROR(_xlfn.XLOOKUP(A172,'2025 EOY'!A:A,'2025 EOY'!B:B),"No")</f>
        <v>No</v>
      </c>
    </row>
    <row r="173" spans="1:21" x14ac:dyDescent="0.35">
      <c r="A173" s="3" t="s">
        <v>127</v>
      </c>
      <c r="B173" s="12">
        <v>45581</v>
      </c>
      <c r="C173" s="10" t="s">
        <v>15</v>
      </c>
      <c r="D173" s="4" t="s">
        <v>128</v>
      </c>
      <c r="E173" s="253">
        <v>-100</v>
      </c>
      <c r="F173" s="172">
        <v>45688</v>
      </c>
      <c r="G173" s="172">
        <v>45688</v>
      </c>
      <c r="H173" s="15">
        <v>0.08</v>
      </c>
      <c r="I173" s="191">
        <v>0.93</v>
      </c>
      <c r="J173" s="9">
        <v>-85.000000000000014</v>
      </c>
      <c r="K173">
        <v>-8</v>
      </c>
      <c r="L173" s="14" t="s">
        <v>61</v>
      </c>
      <c r="M173" s="8" t="s">
        <v>129</v>
      </c>
      <c r="N173">
        <v>-93</v>
      </c>
      <c r="O173" t="s">
        <v>11</v>
      </c>
      <c r="P173" s="38" t="s">
        <v>16</v>
      </c>
      <c r="Q173">
        <v>2025</v>
      </c>
      <c r="R173" t="s">
        <v>129</v>
      </c>
      <c r="S173" t="s">
        <v>14</v>
      </c>
      <c r="T173" t="s">
        <v>341</v>
      </c>
      <c r="U173" t="str">
        <f>IFERROR(_xlfn.XLOOKUP(A173,'2025 EOY'!A:A,'2025 EOY'!B:B),"No")</f>
        <v>No</v>
      </c>
    </row>
    <row r="174" spans="1:21" x14ac:dyDescent="0.35">
      <c r="A174" t="s">
        <v>161</v>
      </c>
      <c r="B174" s="12">
        <v>45586</v>
      </c>
      <c r="C174" s="10" t="s">
        <v>7</v>
      </c>
      <c r="D174" s="4" t="s">
        <v>268</v>
      </c>
      <c r="E174" s="253">
        <v>-2050</v>
      </c>
      <c r="F174" s="172">
        <v>45688</v>
      </c>
      <c r="G174" s="172">
        <v>45716</v>
      </c>
      <c r="H174" s="15">
        <v>0.41</v>
      </c>
      <c r="I174" s="192">
        <v>1.1000000000000001</v>
      </c>
      <c r="J174" s="9">
        <v>-1414.5000000000005</v>
      </c>
      <c r="K174">
        <v>-840.5</v>
      </c>
      <c r="L174" s="14" t="s">
        <v>52</v>
      </c>
      <c r="M174" s="8" t="s">
        <v>129</v>
      </c>
      <c r="N174">
        <v>-2255</v>
      </c>
      <c r="O174" t="s">
        <v>4</v>
      </c>
      <c r="P174" s="38" t="s">
        <v>7</v>
      </c>
      <c r="Q174">
        <v>2025</v>
      </c>
      <c r="R174" t="s">
        <v>129</v>
      </c>
      <c r="S174" t="s">
        <v>14</v>
      </c>
      <c r="T174" t="s">
        <v>342</v>
      </c>
      <c r="U174" t="str">
        <f>IFERROR(_xlfn.XLOOKUP(A174,'2025 EOY'!A:A,'2025 EOY'!B:B),"No")</f>
        <v>No</v>
      </c>
    </row>
    <row r="175" spans="1:21" x14ac:dyDescent="0.35">
      <c r="A175" t="s">
        <v>161</v>
      </c>
      <c r="B175" s="12">
        <v>45586</v>
      </c>
      <c r="C175" s="10" t="s">
        <v>15</v>
      </c>
      <c r="D175" s="4" t="s">
        <v>268</v>
      </c>
      <c r="E175" s="253">
        <v>2050</v>
      </c>
      <c r="F175" s="172">
        <v>45657</v>
      </c>
      <c r="G175" s="172">
        <v>45657</v>
      </c>
      <c r="H175" s="15">
        <v>0.15</v>
      </c>
      <c r="I175" s="191">
        <v>0.82</v>
      </c>
      <c r="J175" s="9">
        <v>1373.4999999999998</v>
      </c>
      <c r="K175">
        <v>307.5</v>
      </c>
      <c r="L175" s="14" t="s">
        <v>59</v>
      </c>
      <c r="M175" s="8" t="s">
        <v>131</v>
      </c>
      <c r="N175">
        <v>1681</v>
      </c>
      <c r="O175" t="s">
        <v>11</v>
      </c>
      <c r="P175" s="38" t="s">
        <v>16</v>
      </c>
      <c r="Q175">
        <v>2024</v>
      </c>
      <c r="R175" t="s">
        <v>131</v>
      </c>
      <c r="S175" t="s">
        <v>14</v>
      </c>
      <c r="T175" t="s">
        <v>343</v>
      </c>
      <c r="U175" t="str">
        <f>IFERROR(_xlfn.XLOOKUP(A175,'2025 EOY'!A:A,'2025 EOY'!B:B),"No")</f>
        <v>No</v>
      </c>
    </row>
    <row r="176" spans="1:21" x14ac:dyDescent="0.35">
      <c r="A176" t="s">
        <v>161</v>
      </c>
      <c r="B176" s="12">
        <v>45586</v>
      </c>
      <c r="C176" s="10" t="s">
        <v>28</v>
      </c>
      <c r="D176" s="10" t="s">
        <v>268</v>
      </c>
      <c r="E176" s="253">
        <v>0</v>
      </c>
      <c r="F176" s="172">
        <v>45626</v>
      </c>
      <c r="G176" s="172">
        <v>45626</v>
      </c>
      <c r="H176" s="15">
        <v>8000</v>
      </c>
      <c r="I176" s="192">
        <v>8400</v>
      </c>
      <c r="J176" s="9">
        <v>400</v>
      </c>
      <c r="K176">
        <v>0</v>
      </c>
      <c r="L176" s="14" t="s">
        <v>67</v>
      </c>
      <c r="M176" s="8" t="s">
        <v>131</v>
      </c>
      <c r="N176">
        <v>0</v>
      </c>
      <c r="O176" t="s">
        <v>29</v>
      </c>
      <c r="P176" s="38" t="s">
        <v>29</v>
      </c>
      <c r="Q176">
        <v>2024</v>
      </c>
      <c r="R176" t="s">
        <v>129</v>
      </c>
      <c r="S176" t="s">
        <v>14</v>
      </c>
      <c r="T176" t="s">
        <v>344</v>
      </c>
      <c r="U176" t="str">
        <f>IFERROR(_xlfn.XLOOKUP(A176,'2025 EOY'!A:A,'2025 EOY'!B:B),"No")</f>
        <v>No</v>
      </c>
    </row>
    <row r="177" spans="1:21" x14ac:dyDescent="0.35">
      <c r="A177" t="s">
        <v>161</v>
      </c>
      <c r="B177" s="175">
        <v>45586</v>
      </c>
      <c r="C177" s="22" t="s">
        <v>19</v>
      </c>
      <c r="D177" s="22" t="s">
        <v>268</v>
      </c>
      <c r="E177" s="256">
        <v>2050</v>
      </c>
      <c r="F177" s="24">
        <v>45626</v>
      </c>
      <c r="G177" s="24">
        <v>45626</v>
      </c>
      <c r="H177" s="207">
        <v>2.15</v>
      </c>
      <c r="I177" s="193">
        <v>2.36</v>
      </c>
      <c r="J177" s="25">
        <v>430.49999999999994</v>
      </c>
      <c r="K177" s="26">
        <v>4407.5</v>
      </c>
      <c r="L177" s="14" t="s">
        <v>67</v>
      </c>
      <c r="M177" s="27" t="s">
        <v>131</v>
      </c>
      <c r="N177" s="26">
        <v>4838</v>
      </c>
      <c r="O177" s="28" t="s">
        <v>19</v>
      </c>
      <c r="P177" s="38" t="s">
        <v>19</v>
      </c>
      <c r="Q177">
        <v>2024</v>
      </c>
      <c r="R177" t="s">
        <v>131</v>
      </c>
      <c r="S177" t="s">
        <v>96</v>
      </c>
      <c r="T177" t="s">
        <v>345</v>
      </c>
      <c r="U177" t="str">
        <f>IFERROR(_xlfn.XLOOKUP(A177,'2025 EOY'!A:A,'2025 EOY'!B:B),"No")</f>
        <v>No</v>
      </c>
    </row>
    <row r="178" spans="1:21" x14ac:dyDescent="0.35">
      <c r="A178" t="s">
        <v>161</v>
      </c>
      <c r="B178" s="175">
        <v>45586</v>
      </c>
      <c r="C178" s="22" t="s">
        <v>3</v>
      </c>
      <c r="D178" s="23" t="s">
        <v>268</v>
      </c>
      <c r="E178" s="256">
        <v>-2050</v>
      </c>
      <c r="F178" s="24">
        <v>45657</v>
      </c>
      <c r="G178" s="24">
        <v>45688</v>
      </c>
      <c r="H178" s="207">
        <v>0.39</v>
      </c>
      <c r="I178" s="192">
        <v>0.15</v>
      </c>
      <c r="J178" s="25">
        <v>492.00000000000006</v>
      </c>
      <c r="K178" s="26">
        <v>-799.5</v>
      </c>
      <c r="L178" s="14" t="s">
        <v>49</v>
      </c>
      <c r="M178" s="27" t="s">
        <v>129</v>
      </c>
      <c r="N178" s="26">
        <v>-307.5</v>
      </c>
      <c r="O178" s="28" t="s">
        <v>4</v>
      </c>
      <c r="P178" s="38" t="s">
        <v>3</v>
      </c>
      <c r="Q178">
        <v>2024</v>
      </c>
      <c r="R178" t="s">
        <v>129</v>
      </c>
      <c r="S178" t="s">
        <v>14</v>
      </c>
      <c r="T178" t="s">
        <v>346</v>
      </c>
      <c r="U178" t="str">
        <f>IFERROR(_xlfn.XLOOKUP(A178,'2025 EOY'!A:A,'2025 EOY'!B:B),"No")</f>
        <v>No</v>
      </c>
    </row>
    <row r="179" spans="1:21" x14ac:dyDescent="0.35">
      <c r="A179" t="s">
        <v>230</v>
      </c>
      <c r="B179" s="175">
        <v>45586</v>
      </c>
      <c r="C179" s="22" t="s">
        <v>10</v>
      </c>
      <c r="D179" s="23" t="s">
        <v>128</v>
      </c>
      <c r="E179" s="256">
        <v>300</v>
      </c>
      <c r="F179" s="24">
        <v>45657</v>
      </c>
      <c r="G179" s="24">
        <v>45657</v>
      </c>
      <c r="H179" s="207">
        <v>-4.24</v>
      </c>
      <c r="I179" s="192">
        <v>-3.9</v>
      </c>
      <c r="J179" s="25">
        <v>102.00000000000009</v>
      </c>
      <c r="K179" s="26">
        <v>-1272</v>
      </c>
      <c r="L179" s="14" t="s">
        <v>59</v>
      </c>
      <c r="M179" s="27" t="s">
        <v>131</v>
      </c>
      <c r="N179" s="26">
        <v>-1170</v>
      </c>
      <c r="O179" s="28" t="s">
        <v>11</v>
      </c>
      <c r="P179" s="38" t="s">
        <v>10</v>
      </c>
      <c r="Q179">
        <v>2024</v>
      </c>
      <c r="R179" t="s">
        <v>131</v>
      </c>
      <c r="S179" t="s">
        <v>14</v>
      </c>
      <c r="T179" t="s">
        <v>347</v>
      </c>
      <c r="U179" t="str">
        <f>IFERROR(_xlfn.XLOOKUP(A179,'2025 EOY'!A:A,'2025 EOY'!B:B),"No")</f>
        <v>No</v>
      </c>
    </row>
    <row r="180" spans="1:21" x14ac:dyDescent="0.35">
      <c r="A180" t="s">
        <v>161</v>
      </c>
      <c r="B180" s="12">
        <v>45586</v>
      </c>
      <c r="C180" s="10" t="s">
        <v>10</v>
      </c>
      <c r="D180" s="4" t="s">
        <v>268</v>
      </c>
      <c r="E180" s="253">
        <v>-2050</v>
      </c>
      <c r="F180" s="172">
        <v>45688</v>
      </c>
      <c r="G180" s="172">
        <v>45688</v>
      </c>
      <c r="H180" s="15">
        <v>-4.2</v>
      </c>
      <c r="I180" s="192">
        <v>-4.9400000000000004</v>
      </c>
      <c r="J180" s="9">
        <v>1517.0000000000005</v>
      </c>
      <c r="K180">
        <v>8610</v>
      </c>
      <c r="L180" s="14" t="s">
        <v>61</v>
      </c>
      <c r="M180" s="8" t="s">
        <v>129</v>
      </c>
      <c r="N180">
        <v>10127</v>
      </c>
      <c r="O180" t="s">
        <v>11</v>
      </c>
      <c r="P180" s="38" t="s">
        <v>10</v>
      </c>
      <c r="Q180">
        <v>2025</v>
      </c>
      <c r="R180" t="s">
        <v>129</v>
      </c>
      <c r="S180" t="s">
        <v>14</v>
      </c>
      <c r="T180" t="s">
        <v>348</v>
      </c>
      <c r="U180" t="str">
        <f>IFERROR(_xlfn.XLOOKUP(A180,'2025 EOY'!A:A,'2025 EOY'!B:B),"No")</f>
        <v>No</v>
      </c>
    </row>
    <row r="181" spans="1:21" x14ac:dyDescent="0.35">
      <c r="A181" s="3" t="s">
        <v>127</v>
      </c>
      <c r="B181" s="12">
        <v>45587</v>
      </c>
      <c r="C181" s="10" t="s">
        <v>15</v>
      </c>
      <c r="D181" s="4" t="s">
        <v>128</v>
      </c>
      <c r="E181" s="253">
        <v>-300</v>
      </c>
      <c r="F181" s="172">
        <v>45626</v>
      </c>
      <c r="G181" s="172">
        <v>45626</v>
      </c>
      <c r="H181" s="15">
        <v>0.13</v>
      </c>
      <c r="I181" s="191">
        <v>1.04</v>
      </c>
      <c r="J181" s="9">
        <v>-273</v>
      </c>
      <c r="K181">
        <v>-39</v>
      </c>
      <c r="L181" s="14" t="s">
        <v>67</v>
      </c>
      <c r="M181" s="8" t="s">
        <v>129</v>
      </c>
      <c r="N181">
        <v>-312</v>
      </c>
      <c r="O181" t="s">
        <v>11</v>
      </c>
      <c r="P181" s="38" t="s">
        <v>16</v>
      </c>
      <c r="Q181">
        <v>2024</v>
      </c>
      <c r="R181" t="s">
        <v>129</v>
      </c>
      <c r="S181" t="s">
        <v>14</v>
      </c>
      <c r="T181" t="s">
        <v>349</v>
      </c>
      <c r="U181" t="str">
        <f>IFERROR(_xlfn.XLOOKUP(A181,'2025 EOY'!A:A,'2025 EOY'!B:B),"No")</f>
        <v>No</v>
      </c>
    </row>
    <row r="182" spans="1:21" x14ac:dyDescent="0.35">
      <c r="A182" s="3" t="s">
        <v>127</v>
      </c>
      <c r="B182" s="12">
        <v>45588</v>
      </c>
      <c r="C182" s="10" t="s">
        <v>15</v>
      </c>
      <c r="D182" s="4" t="s">
        <v>128</v>
      </c>
      <c r="E182" s="253">
        <v>-1000</v>
      </c>
      <c r="F182" s="172">
        <v>45626</v>
      </c>
      <c r="G182" s="172">
        <v>45626</v>
      </c>
      <c r="H182" s="15">
        <v>0.20499999999999999</v>
      </c>
      <c r="I182" s="191">
        <v>1.04</v>
      </c>
      <c r="J182" s="9">
        <v>-835.00000000000011</v>
      </c>
      <c r="K182">
        <v>-205</v>
      </c>
      <c r="L182" s="14" t="s">
        <v>67</v>
      </c>
      <c r="M182" s="8" t="s">
        <v>129</v>
      </c>
      <c r="N182">
        <v>-1040</v>
      </c>
      <c r="O182" t="s">
        <v>11</v>
      </c>
      <c r="P182" s="38" t="s">
        <v>16</v>
      </c>
      <c r="Q182">
        <v>2024</v>
      </c>
      <c r="R182" t="s">
        <v>129</v>
      </c>
      <c r="S182" t="s">
        <v>14</v>
      </c>
      <c r="T182" t="s">
        <v>350</v>
      </c>
      <c r="U182" t="str">
        <f>IFERROR(_xlfn.XLOOKUP(A182,'2025 EOY'!A:A,'2025 EOY'!B:B),"No")</f>
        <v>No</v>
      </c>
    </row>
    <row r="183" spans="1:21" x14ac:dyDescent="0.35">
      <c r="A183" s="3" t="s">
        <v>127</v>
      </c>
      <c r="B183" s="12">
        <v>45588</v>
      </c>
      <c r="C183" s="10" t="s">
        <v>15</v>
      </c>
      <c r="D183" s="4" t="s">
        <v>128</v>
      </c>
      <c r="E183" s="253">
        <v>1000</v>
      </c>
      <c r="F183" s="172">
        <v>45657</v>
      </c>
      <c r="G183" s="172">
        <v>45657</v>
      </c>
      <c r="H183" s="15">
        <v>0.19</v>
      </c>
      <c r="I183" s="191">
        <v>0.82</v>
      </c>
      <c r="J183" s="9">
        <v>629.99999999999989</v>
      </c>
      <c r="K183">
        <v>190</v>
      </c>
      <c r="L183" s="14" t="s">
        <v>59</v>
      </c>
      <c r="M183" s="8" t="s">
        <v>131</v>
      </c>
      <c r="N183">
        <v>820</v>
      </c>
      <c r="O183" t="s">
        <v>11</v>
      </c>
      <c r="P183" s="38" t="s">
        <v>16</v>
      </c>
      <c r="Q183">
        <v>2024</v>
      </c>
      <c r="R183" t="s">
        <v>131</v>
      </c>
      <c r="S183" t="s">
        <v>14</v>
      </c>
      <c r="T183" t="s">
        <v>351</v>
      </c>
      <c r="U183" t="str">
        <f>IFERROR(_xlfn.XLOOKUP(A183,'2025 EOY'!A:A,'2025 EOY'!B:B),"No")</f>
        <v>No</v>
      </c>
    </row>
    <row r="184" spans="1:21" x14ac:dyDescent="0.35">
      <c r="A184" t="s">
        <v>161</v>
      </c>
      <c r="B184" s="12">
        <v>45588</v>
      </c>
      <c r="C184" s="10" t="s">
        <v>3</v>
      </c>
      <c r="D184" s="4" t="s">
        <v>128</v>
      </c>
      <c r="E184" s="253">
        <v>2100</v>
      </c>
      <c r="F184" s="172">
        <v>45657</v>
      </c>
      <c r="G184" s="172">
        <v>45688</v>
      </c>
      <c r="H184" s="15">
        <v>0.39999999999999147</v>
      </c>
      <c r="I184" s="192">
        <v>0.15</v>
      </c>
      <c r="J184" s="9">
        <v>-524.99999999998215</v>
      </c>
      <c r="K184">
        <v>839.99999999998204</v>
      </c>
      <c r="L184" s="14" t="s">
        <v>49</v>
      </c>
      <c r="M184" s="8" t="s">
        <v>131</v>
      </c>
      <c r="N184">
        <v>315</v>
      </c>
      <c r="O184" t="s">
        <v>4</v>
      </c>
      <c r="P184" s="38" t="s">
        <v>3</v>
      </c>
      <c r="Q184">
        <v>2024</v>
      </c>
      <c r="R184" t="s">
        <v>131</v>
      </c>
      <c r="S184" t="s">
        <v>14</v>
      </c>
      <c r="T184" t="s">
        <v>352</v>
      </c>
      <c r="U184" t="str">
        <f>IFERROR(_xlfn.XLOOKUP(A184,'2025 EOY'!A:A,'2025 EOY'!B:B),"No")</f>
        <v>No</v>
      </c>
    </row>
    <row r="185" spans="1:21" x14ac:dyDescent="0.35">
      <c r="A185" t="s">
        <v>161</v>
      </c>
      <c r="B185" s="12">
        <v>45588</v>
      </c>
      <c r="C185" s="10" t="s">
        <v>10</v>
      </c>
      <c r="D185" s="4" t="s">
        <v>128</v>
      </c>
      <c r="E185" s="253">
        <v>2100</v>
      </c>
      <c r="F185" s="172">
        <v>45688</v>
      </c>
      <c r="G185" s="172">
        <v>45688</v>
      </c>
      <c r="H185" s="15">
        <v>-4.1899999999999977</v>
      </c>
      <c r="I185" s="192">
        <v>-4.9400000000000004</v>
      </c>
      <c r="J185" s="9">
        <v>-1575.0000000000057</v>
      </c>
      <c r="K185">
        <v>-8798.9999999999945</v>
      </c>
      <c r="L185" s="14" t="s">
        <v>61</v>
      </c>
      <c r="M185" s="8" t="s">
        <v>131</v>
      </c>
      <c r="N185">
        <v>-10374</v>
      </c>
      <c r="O185" t="s">
        <v>11</v>
      </c>
      <c r="P185" s="38" t="s">
        <v>10</v>
      </c>
      <c r="Q185">
        <v>2025</v>
      </c>
      <c r="R185" t="s">
        <v>131</v>
      </c>
      <c r="S185" t="s">
        <v>14</v>
      </c>
      <c r="T185" t="s">
        <v>353</v>
      </c>
      <c r="U185" t="str">
        <f>IFERROR(_xlfn.XLOOKUP(A185,'2025 EOY'!A:A,'2025 EOY'!B:B),"No")</f>
        <v>No</v>
      </c>
    </row>
    <row r="186" spans="1:21" x14ac:dyDescent="0.35">
      <c r="A186" t="s">
        <v>322</v>
      </c>
      <c r="B186" s="12">
        <v>45589</v>
      </c>
      <c r="C186" s="47" t="s">
        <v>36</v>
      </c>
      <c r="D186" s="10" t="s">
        <v>268</v>
      </c>
      <c r="E186" s="253">
        <v>0</v>
      </c>
      <c r="F186" s="172">
        <v>45626</v>
      </c>
      <c r="G186" s="172">
        <v>45626</v>
      </c>
      <c r="H186" s="15">
        <v>178</v>
      </c>
      <c r="I186" s="192">
        <v>126.5</v>
      </c>
      <c r="J186" s="73">
        <v>721</v>
      </c>
      <c r="K186">
        <v>0</v>
      </c>
      <c r="L186" s="14" t="s">
        <v>67</v>
      </c>
      <c r="M186" s="8" t="s">
        <v>131</v>
      </c>
      <c r="N186">
        <v>0</v>
      </c>
      <c r="O186" t="s">
        <v>29</v>
      </c>
      <c r="P186" s="38" t="s">
        <v>29</v>
      </c>
      <c r="Q186">
        <v>2024</v>
      </c>
      <c r="R186" t="s">
        <v>129</v>
      </c>
      <c r="S186" t="s">
        <v>14</v>
      </c>
      <c r="T186" t="s">
        <v>354</v>
      </c>
      <c r="U186" t="str">
        <f>IFERROR(_xlfn.XLOOKUP(A186,'2025 EOY'!A:A,'2025 EOY'!B:B),"No")</f>
        <v>No</v>
      </c>
    </row>
    <row r="187" spans="1:21" x14ac:dyDescent="0.35">
      <c r="A187" t="s">
        <v>230</v>
      </c>
      <c r="B187" s="12">
        <v>45589</v>
      </c>
      <c r="C187" s="47" t="s">
        <v>36</v>
      </c>
      <c r="D187" s="10" t="s">
        <v>268</v>
      </c>
      <c r="E187" s="253">
        <v>0</v>
      </c>
      <c r="F187" s="172">
        <v>45626</v>
      </c>
      <c r="G187" s="172">
        <v>45626</v>
      </c>
      <c r="H187" s="15">
        <v>178</v>
      </c>
      <c r="I187" s="192">
        <v>135</v>
      </c>
      <c r="J187" s="73">
        <v>602</v>
      </c>
      <c r="K187">
        <v>0</v>
      </c>
      <c r="L187" s="14" t="s">
        <v>67</v>
      </c>
      <c r="M187" s="8" t="s">
        <v>131</v>
      </c>
      <c r="N187">
        <v>0</v>
      </c>
      <c r="O187" t="s">
        <v>29</v>
      </c>
      <c r="P187" s="38" t="s">
        <v>29</v>
      </c>
      <c r="Q187">
        <v>2024</v>
      </c>
      <c r="R187" t="s">
        <v>129</v>
      </c>
      <c r="S187" t="s">
        <v>14</v>
      </c>
      <c r="T187" t="s">
        <v>355</v>
      </c>
      <c r="U187" t="str">
        <f>IFERROR(_xlfn.XLOOKUP(A187,'2025 EOY'!A:A,'2025 EOY'!B:B),"No")</f>
        <v>No</v>
      </c>
    </row>
    <row r="188" spans="1:21" x14ac:dyDescent="0.35">
      <c r="A188" t="s">
        <v>237</v>
      </c>
      <c r="B188" s="12">
        <v>45589</v>
      </c>
      <c r="C188" s="47" t="s">
        <v>36</v>
      </c>
      <c r="D188" s="10" t="s">
        <v>268</v>
      </c>
      <c r="E188" s="253">
        <v>0</v>
      </c>
      <c r="F188" s="172">
        <v>45626</v>
      </c>
      <c r="G188" s="172">
        <v>45626</v>
      </c>
      <c r="H188" s="15">
        <v>180</v>
      </c>
      <c r="I188" s="192">
        <v>130</v>
      </c>
      <c r="J188" s="73">
        <v>700</v>
      </c>
      <c r="K188">
        <v>0</v>
      </c>
      <c r="L188" s="14" t="s">
        <v>67</v>
      </c>
      <c r="M188" s="8" t="s">
        <v>131</v>
      </c>
      <c r="N188">
        <v>0</v>
      </c>
      <c r="O188" t="s">
        <v>29</v>
      </c>
      <c r="P188" s="38" t="s">
        <v>29</v>
      </c>
      <c r="Q188">
        <v>2024</v>
      </c>
      <c r="R188" t="s">
        <v>129</v>
      </c>
      <c r="S188" t="s">
        <v>14</v>
      </c>
      <c r="T188" t="s">
        <v>356</v>
      </c>
      <c r="U188" t="str">
        <f>IFERROR(_xlfn.XLOOKUP(A188,'2025 EOY'!A:A,'2025 EOY'!B:B),"No")</f>
        <v>No</v>
      </c>
    </row>
    <row r="189" spans="1:21" x14ac:dyDescent="0.35">
      <c r="A189" t="s">
        <v>322</v>
      </c>
      <c r="B189" s="12">
        <v>45589</v>
      </c>
      <c r="C189" s="47" t="s">
        <v>39</v>
      </c>
      <c r="D189" s="10" t="s">
        <v>268</v>
      </c>
      <c r="E189" s="253">
        <v>700</v>
      </c>
      <c r="F189" s="172">
        <v>45657</v>
      </c>
      <c r="G189" s="172">
        <v>45657</v>
      </c>
      <c r="H189" s="15">
        <v>155</v>
      </c>
      <c r="I189" s="192">
        <v>128</v>
      </c>
      <c r="J189" s="73">
        <v>-378</v>
      </c>
      <c r="K189">
        <v>108500</v>
      </c>
      <c r="L189" s="14" t="s">
        <v>59</v>
      </c>
      <c r="M189" s="8" t="s">
        <v>131</v>
      </c>
      <c r="N189">
        <v>89600</v>
      </c>
      <c r="O189" t="s">
        <v>29</v>
      </c>
      <c r="P189" s="38" t="s">
        <v>29</v>
      </c>
      <c r="Q189">
        <v>2024</v>
      </c>
      <c r="R189" t="s">
        <v>131</v>
      </c>
      <c r="S189" t="s">
        <v>14</v>
      </c>
      <c r="T189" t="s">
        <v>357</v>
      </c>
      <c r="U189" t="str">
        <f>IFERROR(_xlfn.XLOOKUP(A189,'2025 EOY'!A:A,'2025 EOY'!B:B),"No")</f>
        <v>No</v>
      </c>
    </row>
    <row r="190" spans="1:21" x14ac:dyDescent="0.35">
      <c r="A190" t="s">
        <v>230</v>
      </c>
      <c r="B190" s="12">
        <v>45589</v>
      </c>
      <c r="C190" s="47" t="s">
        <v>39</v>
      </c>
      <c r="D190" s="10" t="s">
        <v>268</v>
      </c>
      <c r="E190" s="253">
        <v>700</v>
      </c>
      <c r="F190" s="172">
        <v>45657</v>
      </c>
      <c r="G190" s="172">
        <v>45657</v>
      </c>
      <c r="H190" s="15">
        <v>155</v>
      </c>
      <c r="I190" s="192">
        <v>128</v>
      </c>
      <c r="J190" s="73">
        <v>-378</v>
      </c>
      <c r="K190">
        <v>108500</v>
      </c>
      <c r="L190" s="14" t="s">
        <v>59</v>
      </c>
      <c r="M190" s="8" t="s">
        <v>131</v>
      </c>
      <c r="N190">
        <v>89600</v>
      </c>
      <c r="O190" t="s">
        <v>29</v>
      </c>
      <c r="P190" s="38" t="s">
        <v>29</v>
      </c>
      <c r="Q190">
        <v>2024</v>
      </c>
      <c r="R190" t="s">
        <v>131</v>
      </c>
      <c r="S190" t="s">
        <v>14</v>
      </c>
      <c r="T190" t="s">
        <v>358</v>
      </c>
      <c r="U190" t="str">
        <f>IFERROR(_xlfn.XLOOKUP(A190,'2025 EOY'!A:A,'2025 EOY'!B:B),"No")</f>
        <v>No</v>
      </c>
    </row>
    <row r="191" spans="1:21" x14ac:dyDescent="0.35">
      <c r="A191" t="s">
        <v>237</v>
      </c>
      <c r="B191" s="12">
        <v>45589</v>
      </c>
      <c r="C191" s="47" t="s">
        <v>39</v>
      </c>
      <c r="D191" s="10" t="s">
        <v>268</v>
      </c>
      <c r="E191" s="253">
        <v>700</v>
      </c>
      <c r="F191" s="172">
        <v>45657</v>
      </c>
      <c r="G191" s="172">
        <v>45657</v>
      </c>
      <c r="H191" s="15">
        <v>155</v>
      </c>
      <c r="I191" s="192">
        <v>128</v>
      </c>
      <c r="J191" s="73">
        <v>-378</v>
      </c>
      <c r="K191">
        <v>108500</v>
      </c>
      <c r="L191" s="14" t="s">
        <v>59</v>
      </c>
      <c r="M191" s="8" t="s">
        <v>131</v>
      </c>
      <c r="N191">
        <v>89600</v>
      </c>
      <c r="O191" t="s">
        <v>29</v>
      </c>
      <c r="P191" s="38" t="s">
        <v>29</v>
      </c>
      <c r="Q191">
        <v>2024</v>
      </c>
      <c r="R191" t="s">
        <v>131</v>
      </c>
      <c r="S191" t="s">
        <v>14</v>
      </c>
      <c r="T191" t="s">
        <v>359</v>
      </c>
      <c r="U191" t="str">
        <f>IFERROR(_xlfn.XLOOKUP(A191,'2025 EOY'!A:A,'2025 EOY'!B:B),"No")</f>
        <v>No</v>
      </c>
    </row>
    <row r="192" spans="1:21" x14ac:dyDescent="0.35">
      <c r="A192" t="s">
        <v>237</v>
      </c>
      <c r="B192" s="12">
        <v>45589</v>
      </c>
      <c r="C192" s="47" t="s">
        <v>39</v>
      </c>
      <c r="D192" s="10" t="s">
        <v>128</v>
      </c>
      <c r="E192" s="253">
        <v>-2100</v>
      </c>
      <c r="F192" s="172">
        <v>45657</v>
      </c>
      <c r="G192" s="172">
        <v>45657</v>
      </c>
      <c r="H192" s="15">
        <v>128</v>
      </c>
      <c r="I192" s="192">
        <v>128</v>
      </c>
      <c r="J192" s="73">
        <v>0</v>
      </c>
      <c r="K192">
        <v>-268800</v>
      </c>
      <c r="L192" s="14" t="s">
        <v>59</v>
      </c>
      <c r="M192" s="8" t="s">
        <v>129</v>
      </c>
      <c r="N192">
        <v>-268800</v>
      </c>
      <c r="O192" t="s">
        <v>29</v>
      </c>
      <c r="P192" s="38" t="s">
        <v>29</v>
      </c>
      <c r="Q192">
        <v>2024</v>
      </c>
      <c r="R192" t="s">
        <v>129</v>
      </c>
      <c r="S192" t="s">
        <v>14</v>
      </c>
      <c r="T192" t="s">
        <v>360</v>
      </c>
      <c r="U192" t="str">
        <f>IFERROR(_xlfn.XLOOKUP(A192,'2025 EOY'!A:A,'2025 EOY'!B:B),"No")</f>
        <v>No</v>
      </c>
    </row>
    <row r="193" spans="1:23" x14ac:dyDescent="0.35">
      <c r="A193" t="s">
        <v>127</v>
      </c>
      <c r="B193" s="12">
        <v>45589</v>
      </c>
      <c r="C193" s="10" t="s">
        <v>3</v>
      </c>
      <c r="D193" s="4" t="s">
        <v>128</v>
      </c>
      <c r="E193" s="253">
        <v>1000</v>
      </c>
      <c r="F193" s="172">
        <v>45657</v>
      </c>
      <c r="G193" s="172">
        <v>45688</v>
      </c>
      <c r="H193" s="15">
        <v>0.34999999999999432</v>
      </c>
      <c r="I193" s="192">
        <v>0.15</v>
      </c>
      <c r="J193" s="9">
        <v>-199.99999999999432</v>
      </c>
      <c r="K193">
        <v>349.99999999999432</v>
      </c>
      <c r="L193" s="14" t="s">
        <v>49</v>
      </c>
      <c r="M193" s="8" t="s">
        <v>131</v>
      </c>
      <c r="N193">
        <v>150</v>
      </c>
      <c r="O193" t="s">
        <v>4</v>
      </c>
      <c r="P193" s="38" t="s">
        <v>3</v>
      </c>
      <c r="Q193">
        <v>2024</v>
      </c>
      <c r="R193" t="s">
        <v>131</v>
      </c>
      <c r="S193" t="s">
        <v>14</v>
      </c>
      <c r="T193" t="s">
        <v>361</v>
      </c>
      <c r="U193" t="str">
        <f>IFERROR(_xlfn.XLOOKUP(A193,'2025 EOY'!A:A,'2025 EOY'!B:B),"No")</f>
        <v>No</v>
      </c>
    </row>
    <row r="194" spans="1:23" x14ac:dyDescent="0.35">
      <c r="A194" t="s">
        <v>239</v>
      </c>
      <c r="B194" s="12">
        <v>45589</v>
      </c>
      <c r="C194" s="10" t="s">
        <v>3</v>
      </c>
      <c r="D194" s="4" t="s">
        <v>268</v>
      </c>
      <c r="E194" s="253">
        <v>-700</v>
      </c>
      <c r="F194" s="172">
        <v>45657</v>
      </c>
      <c r="G194" s="172">
        <v>45688</v>
      </c>
      <c r="H194" s="15">
        <v>0.43</v>
      </c>
      <c r="I194" s="192">
        <v>0.15</v>
      </c>
      <c r="J194" s="9">
        <v>196.00000000000003</v>
      </c>
      <c r="K194">
        <v>-301</v>
      </c>
      <c r="L194" s="14" t="s">
        <v>49</v>
      </c>
      <c r="M194" s="8" t="s">
        <v>129</v>
      </c>
      <c r="N194">
        <v>-105</v>
      </c>
      <c r="O194" t="s">
        <v>4</v>
      </c>
      <c r="P194" s="38" t="s">
        <v>3</v>
      </c>
      <c r="Q194">
        <v>2024</v>
      </c>
      <c r="R194" t="s">
        <v>129</v>
      </c>
      <c r="S194" t="s">
        <v>14</v>
      </c>
      <c r="T194" t="s">
        <v>362</v>
      </c>
      <c r="U194" t="str">
        <f>IFERROR(_xlfn.XLOOKUP(A194,'2025 EOY'!A:A,'2025 EOY'!B:B),"No")</f>
        <v>No</v>
      </c>
    </row>
    <row r="195" spans="1:23" x14ac:dyDescent="0.35">
      <c r="A195" t="s">
        <v>127</v>
      </c>
      <c r="B195" s="12">
        <v>45589</v>
      </c>
      <c r="C195" s="10" t="s">
        <v>10</v>
      </c>
      <c r="D195" s="4" t="s">
        <v>128</v>
      </c>
      <c r="E195" s="253">
        <v>1000</v>
      </c>
      <c r="F195" s="172">
        <v>45688</v>
      </c>
      <c r="G195" s="172">
        <v>45688</v>
      </c>
      <c r="H195" s="15">
        <v>-4.1899999999999977</v>
      </c>
      <c r="I195" s="192">
        <v>-4.9400000000000004</v>
      </c>
      <c r="J195" s="9">
        <v>-750.00000000000261</v>
      </c>
      <c r="K195">
        <v>-4189.9999999999982</v>
      </c>
      <c r="L195" s="14" t="s">
        <v>61</v>
      </c>
      <c r="M195" s="8" t="s">
        <v>131</v>
      </c>
      <c r="N195">
        <v>-4940</v>
      </c>
      <c r="O195" t="s">
        <v>11</v>
      </c>
      <c r="P195" s="38" t="s">
        <v>10</v>
      </c>
      <c r="Q195">
        <v>2025</v>
      </c>
      <c r="R195" t="s">
        <v>131</v>
      </c>
      <c r="S195" t="s">
        <v>14</v>
      </c>
      <c r="T195" t="s">
        <v>363</v>
      </c>
      <c r="U195" t="str">
        <f>IFERROR(_xlfn.XLOOKUP(A195,'2025 EOY'!A:A,'2025 EOY'!B:B),"No")</f>
        <v>No</v>
      </c>
    </row>
    <row r="196" spans="1:23" x14ac:dyDescent="0.35">
      <c r="A196" t="s">
        <v>239</v>
      </c>
      <c r="B196" s="12">
        <v>45589</v>
      </c>
      <c r="C196" s="10" t="s">
        <v>10</v>
      </c>
      <c r="D196" s="4" t="s">
        <v>268</v>
      </c>
      <c r="E196" s="253">
        <v>-700</v>
      </c>
      <c r="F196" s="172">
        <v>45688</v>
      </c>
      <c r="G196" s="172">
        <v>45688</v>
      </c>
      <c r="H196" s="15">
        <v>-4.28</v>
      </c>
      <c r="I196" s="192">
        <v>-4.9400000000000004</v>
      </c>
      <c r="J196" s="9">
        <v>462.00000000000011</v>
      </c>
      <c r="K196">
        <v>2996</v>
      </c>
      <c r="L196" s="14" t="s">
        <v>61</v>
      </c>
      <c r="M196" s="8" t="s">
        <v>129</v>
      </c>
      <c r="N196">
        <v>3458.0000000000005</v>
      </c>
      <c r="O196" t="s">
        <v>11</v>
      </c>
      <c r="P196" s="38" t="s">
        <v>10</v>
      </c>
      <c r="Q196">
        <v>2025</v>
      </c>
      <c r="R196" t="s">
        <v>129</v>
      </c>
      <c r="S196" t="s">
        <v>14</v>
      </c>
      <c r="T196" t="s">
        <v>364</v>
      </c>
      <c r="U196" t="str">
        <f>IFERROR(_xlfn.XLOOKUP(A196,'2025 EOY'!A:A,'2025 EOY'!B:B),"No")</f>
        <v>No</v>
      </c>
    </row>
    <row r="197" spans="1:23" x14ac:dyDescent="0.35">
      <c r="A197" t="s">
        <v>239</v>
      </c>
      <c r="B197" s="12">
        <v>45590</v>
      </c>
      <c r="C197" s="10" t="s">
        <v>3</v>
      </c>
      <c r="D197" s="4" t="s">
        <v>268</v>
      </c>
      <c r="E197" s="253">
        <v>700</v>
      </c>
      <c r="F197" s="172">
        <v>45657</v>
      </c>
      <c r="G197" s="172">
        <v>45688</v>
      </c>
      <c r="H197" s="15">
        <v>0.43</v>
      </c>
      <c r="I197" s="192">
        <v>0.15</v>
      </c>
      <c r="J197" s="9">
        <v>-196.00000000000003</v>
      </c>
      <c r="K197">
        <v>301</v>
      </c>
      <c r="L197" s="14" t="s">
        <v>49</v>
      </c>
      <c r="M197" s="8" t="s">
        <v>131</v>
      </c>
      <c r="N197">
        <v>105</v>
      </c>
      <c r="O197" t="s">
        <v>4</v>
      </c>
      <c r="P197" s="38" t="s">
        <v>3</v>
      </c>
      <c r="Q197">
        <v>2024</v>
      </c>
      <c r="R197" t="s">
        <v>131</v>
      </c>
      <c r="S197" t="s">
        <v>14</v>
      </c>
      <c r="T197" t="s">
        <v>365</v>
      </c>
      <c r="U197" t="str">
        <f>IFERROR(_xlfn.XLOOKUP(A197,'2025 EOY'!A:A,'2025 EOY'!B:B),"No")</f>
        <v>No</v>
      </c>
    </row>
    <row r="198" spans="1:23" x14ac:dyDescent="0.35">
      <c r="A198" s="3" t="s">
        <v>127</v>
      </c>
      <c r="B198" s="12">
        <v>45594</v>
      </c>
      <c r="C198" s="10" t="s">
        <v>15</v>
      </c>
      <c r="D198" s="4" t="s">
        <v>128</v>
      </c>
      <c r="E198" s="253">
        <v>-200</v>
      </c>
      <c r="F198" s="172">
        <v>45626</v>
      </c>
      <c r="G198" s="172">
        <v>45626</v>
      </c>
      <c r="H198" s="15">
        <v>0.46</v>
      </c>
      <c r="I198" s="191">
        <v>1.04</v>
      </c>
      <c r="J198" s="9">
        <v>-116.00000000000001</v>
      </c>
      <c r="K198">
        <v>-92</v>
      </c>
      <c r="L198" s="14" t="s">
        <v>67</v>
      </c>
      <c r="M198" s="8" t="s">
        <v>129</v>
      </c>
      <c r="N198">
        <v>-208</v>
      </c>
      <c r="O198" t="s">
        <v>11</v>
      </c>
      <c r="P198" s="38" t="s">
        <v>16</v>
      </c>
      <c r="Q198">
        <v>2024</v>
      </c>
      <c r="R198" t="s">
        <v>129</v>
      </c>
      <c r="S198" t="s">
        <v>14</v>
      </c>
      <c r="T198" t="s">
        <v>366</v>
      </c>
      <c r="U198" t="str">
        <f>IFERROR(_xlfn.XLOOKUP(A198,'2025 EOY'!A:A,'2025 EOY'!B:B),"No")</f>
        <v>No</v>
      </c>
    </row>
    <row r="199" spans="1:23" x14ac:dyDescent="0.35">
      <c r="A199" t="s">
        <v>322</v>
      </c>
      <c r="B199" s="12">
        <v>45594</v>
      </c>
      <c r="C199" s="10" t="s">
        <v>10</v>
      </c>
      <c r="D199" s="4" t="s">
        <v>128</v>
      </c>
      <c r="E199" s="253">
        <v>700</v>
      </c>
      <c r="F199" s="172">
        <v>45657</v>
      </c>
      <c r="G199" s="172">
        <v>45657</v>
      </c>
      <c r="H199" s="15">
        <v>-3.91</v>
      </c>
      <c r="I199" s="192">
        <v>-3.9</v>
      </c>
      <c r="J199" s="9">
        <v>7.0000000000001616</v>
      </c>
      <c r="K199">
        <v>-2737</v>
      </c>
      <c r="L199" s="14" t="s">
        <v>59</v>
      </c>
      <c r="M199" s="8" t="s">
        <v>131</v>
      </c>
      <c r="N199">
        <v>-2730</v>
      </c>
      <c r="O199" t="s">
        <v>11</v>
      </c>
      <c r="P199" s="38" t="s">
        <v>10</v>
      </c>
      <c r="Q199">
        <v>2024</v>
      </c>
      <c r="R199" t="s">
        <v>131</v>
      </c>
      <c r="S199" t="s">
        <v>14</v>
      </c>
      <c r="T199" t="s">
        <v>367</v>
      </c>
      <c r="U199" t="str">
        <f>IFERROR(_xlfn.XLOOKUP(A199,'2025 EOY'!A:A,'2025 EOY'!B:B),"No")</f>
        <v>No</v>
      </c>
      <c r="W199">
        <v>70</v>
      </c>
    </row>
    <row r="200" spans="1:23" x14ac:dyDescent="0.35">
      <c r="A200" t="s">
        <v>322</v>
      </c>
      <c r="B200" s="12">
        <v>45594</v>
      </c>
      <c r="C200" s="10" t="s">
        <v>10</v>
      </c>
      <c r="D200" s="4" t="s">
        <v>128</v>
      </c>
      <c r="E200" s="253">
        <v>-700</v>
      </c>
      <c r="F200" s="172">
        <v>45688</v>
      </c>
      <c r="G200" s="172">
        <v>45688</v>
      </c>
      <c r="H200" s="15">
        <v>-3.92</v>
      </c>
      <c r="I200" s="192">
        <v>-4.9400000000000004</v>
      </c>
      <c r="J200" s="9">
        <v>714.00000000000034</v>
      </c>
      <c r="K200">
        <v>2744</v>
      </c>
      <c r="L200" s="14" t="s">
        <v>61</v>
      </c>
      <c r="M200" s="8" t="s">
        <v>129</v>
      </c>
      <c r="N200">
        <v>3458.0000000000005</v>
      </c>
      <c r="O200" t="s">
        <v>11</v>
      </c>
      <c r="P200" s="38" t="s">
        <v>10</v>
      </c>
      <c r="Q200">
        <v>2025</v>
      </c>
      <c r="R200" t="s">
        <v>129</v>
      </c>
      <c r="S200" t="s">
        <v>14</v>
      </c>
      <c r="T200" t="s">
        <v>368</v>
      </c>
      <c r="U200" t="str">
        <f>IFERROR(_xlfn.XLOOKUP(A200,'2025 EOY'!A:A,'2025 EOY'!B:B),"No")</f>
        <v>No</v>
      </c>
      <c r="W200" s="93">
        <v>1.25E-3</v>
      </c>
    </row>
    <row r="201" spans="1:23" x14ac:dyDescent="0.35">
      <c r="A201" t="s">
        <v>230</v>
      </c>
      <c r="B201" s="12">
        <v>45594</v>
      </c>
      <c r="C201" s="10" t="s">
        <v>10</v>
      </c>
      <c r="D201" s="4" t="s">
        <v>128</v>
      </c>
      <c r="E201" s="253">
        <v>700</v>
      </c>
      <c r="F201" s="172">
        <v>45657</v>
      </c>
      <c r="G201" s="172">
        <v>45657</v>
      </c>
      <c r="H201" s="15">
        <v>-3.91</v>
      </c>
      <c r="I201" s="192">
        <v>-3.9</v>
      </c>
      <c r="J201" s="9">
        <v>7.0000000000001616</v>
      </c>
      <c r="K201">
        <v>-2737</v>
      </c>
      <c r="L201" s="14" t="s">
        <v>59</v>
      </c>
      <c r="M201" s="8" t="s">
        <v>131</v>
      </c>
      <c r="N201">
        <v>-2730</v>
      </c>
      <c r="O201" t="s">
        <v>11</v>
      </c>
      <c r="P201" s="38" t="s">
        <v>10</v>
      </c>
      <c r="Q201">
        <v>2024</v>
      </c>
      <c r="R201" t="s">
        <v>131</v>
      </c>
      <c r="S201" t="s">
        <v>14</v>
      </c>
      <c r="T201" t="s">
        <v>369</v>
      </c>
      <c r="U201" t="str">
        <f>IFERROR(_xlfn.XLOOKUP(A201,'2025 EOY'!A:A,'2025 EOY'!B:B),"No")</f>
        <v>No</v>
      </c>
    </row>
    <row r="202" spans="1:23" x14ac:dyDescent="0.35">
      <c r="A202" t="s">
        <v>230</v>
      </c>
      <c r="B202" s="12">
        <v>45594</v>
      </c>
      <c r="C202" s="10" t="s">
        <v>10</v>
      </c>
      <c r="D202" s="4" t="s">
        <v>128</v>
      </c>
      <c r="E202" s="253">
        <v>-700</v>
      </c>
      <c r="F202" s="172">
        <v>45688</v>
      </c>
      <c r="G202" s="172">
        <v>45688</v>
      </c>
      <c r="H202" s="15">
        <v>-3.92</v>
      </c>
      <c r="I202" s="192">
        <v>-4.9400000000000004</v>
      </c>
      <c r="J202" s="9">
        <v>714.00000000000034</v>
      </c>
      <c r="K202">
        <v>2744</v>
      </c>
      <c r="L202" s="14" t="s">
        <v>61</v>
      </c>
      <c r="M202" s="8" t="s">
        <v>129</v>
      </c>
      <c r="N202">
        <v>3458.0000000000005</v>
      </c>
      <c r="O202" t="s">
        <v>11</v>
      </c>
      <c r="P202" s="38" t="s">
        <v>10</v>
      </c>
      <c r="Q202">
        <v>2025</v>
      </c>
      <c r="R202" t="s">
        <v>129</v>
      </c>
      <c r="S202" t="s">
        <v>14</v>
      </c>
      <c r="T202" t="s">
        <v>370</v>
      </c>
      <c r="U202" t="str">
        <f>IFERROR(_xlfn.XLOOKUP(A202,'2025 EOY'!A:A,'2025 EOY'!B:B),"No")</f>
        <v>No</v>
      </c>
      <c r="W202">
        <v>8.7500000000000008E-2</v>
      </c>
    </row>
    <row r="203" spans="1:23" x14ac:dyDescent="0.35">
      <c r="A203" t="s">
        <v>237</v>
      </c>
      <c r="B203" s="12">
        <v>45594</v>
      </c>
      <c r="C203" s="10" t="s">
        <v>10</v>
      </c>
      <c r="D203" s="4" t="s">
        <v>128</v>
      </c>
      <c r="E203" s="253">
        <v>700</v>
      </c>
      <c r="F203" s="172">
        <v>45657</v>
      </c>
      <c r="G203" s="172">
        <v>45657</v>
      </c>
      <c r="H203" s="15">
        <v>-3.91</v>
      </c>
      <c r="I203" s="192">
        <v>-3.9</v>
      </c>
      <c r="J203" s="9">
        <v>7.0000000000001616</v>
      </c>
      <c r="K203">
        <v>-2737</v>
      </c>
      <c r="L203" s="14" t="s">
        <v>59</v>
      </c>
      <c r="M203" s="8" t="s">
        <v>131</v>
      </c>
      <c r="N203">
        <v>-2730</v>
      </c>
      <c r="O203" t="s">
        <v>11</v>
      </c>
      <c r="P203" s="38" t="s">
        <v>10</v>
      </c>
      <c r="Q203">
        <v>2024</v>
      </c>
      <c r="R203" t="s">
        <v>131</v>
      </c>
      <c r="S203" t="s">
        <v>14</v>
      </c>
      <c r="T203" t="s">
        <v>371</v>
      </c>
      <c r="U203" t="str">
        <f>IFERROR(_xlfn.XLOOKUP(A203,'2025 EOY'!A:A,'2025 EOY'!B:B),"No")</f>
        <v>No</v>
      </c>
      <c r="V203">
        <v>152.5</v>
      </c>
    </row>
    <row r="204" spans="1:23" x14ac:dyDescent="0.35">
      <c r="A204" t="s">
        <v>237</v>
      </c>
      <c r="B204" s="12">
        <v>45594</v>
      </c>
      <c r="C204" s="10" t="s">
        <v>10</v>
      </c>
      <c r="D204" s="4" t="s">
        <v>128</v>
      </c>
      <c r="E204" s="253">
        <v>-700</v>
      </c>
      <c r="F204" s="172">
        <v>45688</v>
      </c>
      <c r="G204" s="172">
        <v>45688</v>
      </c>
      <c r="H204" s="15">
        <v>-3.92</v>
      </c>
      <c r="I204" s="192">
        <v>-4.9400000000000004</v>
      </c>
      <c r="J204" s="9">
        <v>714.00000000000034</v>
      </c>
      <c r="K204">
        <v>2744</v>
      </c>
      <c r="L204" s="14" t="s">
        <v>61</v>
      </c>
      <c r="M204" s="8" t="s">
        <v>129</v>
      </c>
      <c r="N204">
        <v>3458.0000000000005</v>
      </c>
      <c r="O204" t="s">
        <v>11</v>
      </c>
      <c r="P204" s="38" t="s">
        <v>10</v>
      </c>
      <c r="Q204">
        <v>2025</v>
      </c>
      <c r="R204" t="s">
        <v>129</v>
      </c>
      <c r="S204" t="s">
        <v>14</v>
      </c>
      <c r="T204" t="s">
        <v>372</v>
      </c>
      <c r="U204" t="str">
        <f>IFERROR(_xlfn.XLOOKUP(A204,'2025 EOY'!A:A,'2025 EOY'!B:B),"No")</f>
        <v>No</v>
      </c>
    </row>
    <row r="205" spans="1:23" x14ac:dyDescent="0.35">
      <c r="A205" t="s">
        <v>127</v>
      </c>
      <c r="B205" s="12">
        <v>45594</v>
      </c>
      <c r="C205" s="10" t="s">
        <v>10</v>
      </c>
      <c r="D205" s="4" t="s">
        <v>128</v>
      </c>
      <c r="E205" s="253">
        <v>507</v>
      </c>
      <c r="F205" s="172">
        <v>45657</v>
      </c>
      <c r="G205" s="172">
        <v>45657</v>
      </c>
      <c r="H205" s="15">
        <v>-3.91</v>
      </c>
      <c r="I205" s="192">
        <v>-3.9</v>
      </c>
      <c r="J205" s="9">
        <v>5.0700000000001175</v>
      </c>
      <c r="K205">
        <v>-1982.3700000000001</v>
      </c>
      <c r="L205" s="14" t="s">
        <v>59</v>
      </c>
      <c r="M205" s="8" t="s">
        <v>131</v>
      </c>
      <c r="N205">
        <v>-1977.3</v>
      </c>
      <c r="O205" t="s">
        <v>11</v>
      </c>
      <c r="P205" s="38" t="s">
        <v>10</v>
      </c>
      <c r="Q205">
        <v>2024</v>
      </c>
      <c r="R205" t="s">
        <v>131</v>
      </c>
      <c r="S205" t="s">
        <v>14</v>
      </c>
      <c r="T205" t="s">
        <v>373</v>
      </c>
      <c r="U205" t="str">
        <f>IFERROR(_xlfn.XLOOKUP(A205,'2025 EOY'!A:A,'2025 EOY'!B:B),"No")</f>
        <v>No</v>
      </c>
    </row>
    <row r="206" spans="1:23" x14ac:dyDescent="0.35">
      <c r="A206" t="s">
        <v>127</v>
      </c>
      <c r="B206" s="12">
        <v>45595</v>
      </c>
      <c r="C206" s="10" t="s">
        <v>7</v>
      </c>
      <c r="D206" s="4" t="s">
        <v>268</v>
      </c>
      <c r="E206" s="253">
        <v>2807</v>
      </c>
      <c r="F206" s="172">
        <v>45657</v>
      </c>
      <c r="G206" s="172">
        <v>45688</v>
      </c>
      <c r="H206" s="15">
        <v>0.39</v>
      </c>
      <c r="I206" s="192">
        <v>0.35</v>
      </c>
      <c r="J206" s="9">
        <v>-112.2800000000001</v>
      </c>
      <c r="K206">
        <v>1094.73</v>
      </c>
      <c r="L206" s="14" t="s">
        <v>49</v>
      </c>
      <c r="M206" s="8" t="s">
        <v>131</v>
      </c>
      <c r="N206">
        <v>982.44999999999993</v>
      </c>
      <c r="O206" t="s">
        <v>4</v>
      </c>
      <c r="P206" s="38" t="s">
        <v>7</v>
      </c>
      <c r="Q206">
        <v>2024</v>
      </c>
      <c r="R206" t="s">
        <v>131</v>
      </c>
      <c r="S206" t="s">
        <v>14</v>
      </c>
      <c r="T206" t="s">
        <v>374</v>
      </c>
      <c r="U206" t="str">
        <f>IFERROR(_xlfn.XLOOKUP(A206,'2025 EOY'!A:A,'2025 EOY'!B:B),"No")</f>
        <v>No</v>
      </c>
    </row>
    <row r="207" spans="1:23" x14ac:dyDescent="0.35">
      <c r="A207" s="3" t="s">
        <v>127</v>
      </c>
      <c r="B207" s="12">
        <v>45596</v>
      </c>
      <c r="C207" s="10" t="s">
        <v>15</v>
      </c>
      <c r="D207" s="4" t="s">
        <v>128</v>
      </c>
      <c r="E207" s="253">
        <v>-400</v>
      </c>
      <c r="F207" s="172">
        <v>45626</v>
      </c>
      <c r="G207" s="172">
        <v>45626</v>
      </c>
      <c r="H207" s="15">
        <v>0.4</v>
      </c>
      <c r="I207" s="191">
        <v>1.04</v>
      </c>
      <c r="J207" s="9">
        <v>-256</v>
      </c>
      <c r="K207">
        <v>-160</v>
      </c>
      <c r="L207" s="14" t="s">
        <v>67</v>
      </c>
      <c r="M207" s="8" t="s">
        <v>129</v>
      </c>
      <c r="N207">
        <v>-416</v>
      </c>
      <c r="O207" t="s">
        <v>11</v>
      </c>
      <c r="P207" s="38" t="s">
        <v>16</v>
      </c>
      <c r="Q207">
        <v>2024</v>
      </c>
      <c r="R207" t="s">
        <v>129</v>
      </c>
      <c r="S207" t="s">
        <v>14</v>
      </c>
      <c r="T207" t="s">
        <v>375</v>
      </c>
      <c r="U207" t="str">
        <f>IFERROR(_xlfn.XLOOKUP(A207,'2025 EOY'!A:A,'2025 EOY'!B:B),"No")</f>
        <v>No</v>
      </c>
    </row>
    <row r="208" spans="1:23" ht="15" thickBot="1" x14ac:dyDescent="0.4">
      <c r="A208" s="3" t="s">
        <v>127</v>
      </c>
      <c r="B208" s="12">
        <v>45602</v>
      </c>
      <c r="C208" s="10" t="s">
        <v>15</v>
      </c>
      <c r="D208" s="4" t="s">
        <v>128</v>
      </c>
      <c r="E208" s="253">
        <v>-350</v>
      </c>
      <c r="F208" s="172">
        <v>45657</v>
      </c>
      <c r="G208" s="172">
        <v>45657</v>
      </c>
      <c r="H208" s="15">
        <v>0.27</v>
      </c>
      <c r="I208" s="191">
        <v>0.82</v>
      </c>
      <c r="J208" s="9">
        <v>-192.49999999999997</v>
      </c>
      <c r="K208">
        <v>-94.5</v>
      </c>
      <c r="L208" s="14" t="s">
        <v>59</v>
      </c>
      <c r="M208" s="8" t="s">
        <v>129</v>
      </c>
      <c r="N208">
        <v>-287</v>
      </c>
      <c r="O208" t="s">
        <v>11</v>
      </c>
      <c r="P208" s="38" t="s">
        <v>16</v>
      </c>
      <c r="Q208">
        <v>2024</v>
      </c>
      <c r="R208" t="s">
        <v>129</v>
      </c>
      <c r="S208" t="s">
        <v>14</v>
      </c>
      <c r="T208" t="s">
        <v>376</v>
      </c>
      <c r="U208" t="str">
        <f>IFERROR(_xlfn.XLOOKUP(A208,'2025 EOY'!A:A,'2025 EOY'!B:B),"No")</f>
        <v>No</v>
      </c>
      <c r="V208">
        <v>129.5</v>
      </c>
    </row>
    <row r="209" spans="1:23" ht="15" thickBot="1" x14ac:dyDescent="0.4">
      <c r="A209" t="s">
        <v>163</v>
      </c>
      <c r="B209" s="12">
        <v>45603</v>
      </c>
      <c r="C209" s="10" t="s">
        <v>28</v>
      </c>
      <c r="D209" s="10" t="s">
        <v>268</v>
      </c>
      <c r="E209" s="253">
        <v>0</v>
      </c>
      <c r="F209" s="172">
        <v>45626</v>
      </c>
      <c r="G209" s="172">
        <v>45626</v>
      </c>
      <c r="H209" s="15">
        <v>7500</v>
      </c>
      <c r="I209" s="194">
        <v>7350</v>
      </c>
      <c r="J209" s="9">
        <v>150</v>
      </c>
      <c r="K209">
        <v>0</v>
      </c>
      <c r="L209" s="14" t="s">
        <v>67</v>
      </c>
      <c r="M209" s="8" t="s">
        <v>131</v>
      </c>
      <c r="N209">
        <v>0</v>
      </c>
      <c r="O209" t="s">
        <v>29</v>
      </c>
      <c r="P209" s="38" t="s">
        <v>29</v>
      </c>
      <c r="Q209">
        <v>2024</v>
      </c>
      <c r="R209" t="s">
        <v>129</v>
      </c>
      <c r="S209" t="s">
        <v>14</v>
      </c>
      <c r="T209" t="s">
        <v>377</v>
      </c>
      <c r="U209" t="str">
        <f>IFERROR(_xlfn.XLOOKUP(A209,'2025 EOY'!A:A,'2025 EOY'!B:B),"No")</f>
        <v>No</v>
      </c>
    </row>
    <row r="210" spans="1:23" x14ac:dyDescent="0.35">
      <c r="A210" t="s">
        <v>163</v>
      </c>
      <c r="B210" s="12">
        <v>45603</v>
      </c>
      <c r="C210" s="10" t="s">
        <v>19</v>
      </c>
      <c r="D210" s="10" t="s">
        <v>268</v>
      </c>
      <c r="E210" s="259">
        <v>2076</v>
      </c>
      <c r="F210" s="172">
        <v>45626</v>
      </c>
      <c r="G210" s="172">
        <v>45626</v>
      </c>
      <c r="H210" s="15">
        <v>2.5099999999999998</v>
      </c>
      <c r="I210" s="192">
        <v>2.71</v>
      </c>
      <c r="J210" s="9">
        <v>415.20000000000039</v>
      </c>
      <c r="K210">
        <v>5210.7599999999993</v>
      </c>
      <c r="L210" s="14" t="s">
        <v>67</v>
      </c>
      <c r="M210" s="8" t="s">
        <v>131</v>
      </c>
      <c r="N210">
        <v>5625.96</v>
      </c>
      <c r="O210" t="s">
        <v>19</v>
      </c>
      <c r="P210" s="38" t="s">
        <v>19</v>
      </c>
      <c r="Q210">
        <v>2024</v>
      </c>
      <c r="R210" t="s">
        <v>131</v>
      </c>
      <c r="S210" t="s">
        <v>96</v>
      </c>
      <c r="T210" t="s">
        <v>378</v>
      </c>
      <c r="U210" t="str">
        <f>IFERROR(_xlfn.XLOOKUP(A210,'2025 EOY'!A:A,'2025 EOY'!B:B),"No")</f>
        <v>No</v>
      </c>
    </row>
    <row r="211" spans="1:23" x14ac:dyDescent="0.35">
      <c r="A211" t="s">
        <v>163</v>
      </c>
      <c r="B211" s="12">
        <v>45603</v>
      </c>
      <c r="C211" s="10" t="s">
        <v>3</v>
      </c>
      <c r="D211" s="4" t="s">
        <v>268</v>
      </c>
      <c r="E211" s="253">
        <v>-2076</v>
      </c>
      <c r="F211" s="172">
        <v>45657</v>
      </c>
      <c r="G211" s="172">
        <v>45688</v>
      </c>
      <c r="H211" s="15">
        <v>0.40000000000000568</v>
      </c>
      <c r="I211" s="192">
        <v>0.15</v>
      </c>
      <c r="J211" s="9">
        <v>519.00000000001171</v>
      </c>
      <c r="K211">
        <v>-830.4000000000118</v>
      </c>
      <c r="L211" s="14" t="s">
        <v>49</v>
      </c>
      <c r="M211" s="8" t="s">
        <v>129</v>
      </c>
      <c r="N211">
        <v>-311.39999999999998</v>
      </c>
      <c r="O211" t="s">
        <v>4</v>
      </c>
      <c r="P211" s="38" t="s">
        <v>3</v>
      </c>
      <c r="Q211">
        <v>2024</v>
      </c>
      <c r="R211" t="s">
        <v>129</v>
      </c>
      <c r="S211" t="s">
        <v>14</v>
      </c>
      <c r="T211" t="s">
        <v>379</v>
      </c>
      <c r="U211" t="str">
        <f>IFERROR(_xlfn.XLOOKUP(A211,'2025 EOY'!A:A,'2025 EOY'!B:B),"No")</f>
        <v>No</v>
      </c>
    </row>
    <row r="212" spans="1:23" x14ac:dyDescent="0.35">
      <c r="A212" t="s">
        <v>163</v>
      </c>
      <c r="B212" s="12">
        <v>45603</v>
      </c>
      <c r="C212" s="10" t="s">
        <v>3</v>
      </c>
      <c r="D212" s="4" t="s">
        <v>268</v>
      </c>
      <c r="E212" s="253">
        <v>-2076</v>
      </c>
      <c r="F212" s="172">
        <v>45688</v>
      </c>
      <c r="G212" s="172">
        <v>45716</v>
      </c>
      <c r="H212" s="15">
        <v>0.39000000000000057</v>
      </c>
      <c r="I212" s="192">
        <v>0.56000000000000005</v>
      </c>
      <c r="J212" s="9">
        <v>-352.91999999999894</v>
      </c>
      <c r="K212">
        <v>-809.64000000000124</v>
      </c>
      <c r="L212" s="14" t="s">
        <v>52</v>
      </c>
      <c r="M212" s="8" t="s">
        <v>129</v>
      </c>
      <c r="N212">
        <v>-1162.5600000000002</v>
      </c>
      <c r="O212" t="s">
        <v>4</v>
      </c>
      <c r="P212" s="38" t="s">
        <v>3</v>
      </c>
      <c r="Q212">
        <v>2025</v>
      </c>
      <c r="R212" t="s">
        <v>129</v>
      </c>
      <c r="S212" t="s">
        <v>14</v>
      </c>
      <c r="T212" t="s">
        <v>380</v>
      </c>
      <c r="U212" t="str">
        <f>IFERROR(_xlfn.XLOOKUP(A212,'2025 EOY'!A:A,'2025 EOY'!B:B),"No")</f>
        <v>No</v>
      </c>
    </row>
    <row r="213" spans="1:23" x14ac:dyDescent="0.35">
      <c r="A213" t="s">
        <v>163</v>
      </c>
      <c r="B213" s="12">
        <v>45603</v>
      </c>
      <c r="C213" s="10" t="s">
        <v>10</v>
      </c>
      <c r="D213" s="4" t="s">
        <v>268</v>
      </c>
      <c r="E213" s="253">
        <v>-2076</v>
      </c>
      <c r="F213" s="172">
        <v>45716</v>
      </c>
      <c r="G213" s="172">
        <v>45716</v>
      </c>
      <c r="H213" s="15">
        <v>-3.6900000000000119</v>
      </c>
      <c r="I213" s="192">
        <v>-3.4</v>
      </c>
      <c r="J213" s="9">
        <v>-602.04000000002497</v>
      </c>
      <c r="K213">
        <v>7660.4400000000251</v>
      </c>
      <c r="L213" s="14" t="s">
        <v>62</v>
      </c>
      <c r="M213" s="8" t="s">
        <v>129</v>
      </c>
      <c r="N213">
        <v>7058.4</v>
      </c>
      <c r="O213" t="s">
        <v>11</v>
      </c>
      <c r="P213" s="38" t="s">
        <v>10</v>
      </c>
      <c r="Q213">
        <v>2025</v>
      </c>
      <c r="R213" t="s">
        <v>129</v>
      </c>
      <c r="S213" t="s">
        <v>14</v>
      </c>
      <c r="T213" t="s">
        <v>381</v>
      </c>
      <c r="U213" t="str">
        <f>IFERROR(_xlfn.XLOOKUP(A213,'2025 EOY'!A:A,'2025 EOY'!B:B),"No")</f>
        <v>No</v>
      </c>
      <c r="W213">
        <v>1.75</v>
      </c>
    </row>
    <row r="214" spans="1:23" x14ac:dyDescent="0.35">
      <c r="A214" t="s">
        <v>163</v>
      </c>
      <c r="B214" s="12">
        <v>45603</v>
      </c>
      <c r="C214" s="10" t="s">
        <v>7</v>
      </c>
      <c r="D214" s="4" t="s">
        <v>268</v>
      </c>
      <c r="E214" s="253">
        <v>-2076</v>
      </c>
      <c r="F214" s="172">
        <v>45716</v>
      </c>
      <c r="G214" s="172">
        <v>45747</v>
      </c>
      <c r="H214" s="15">
        <v>0.26</v>
      </c>
      <c r="I214" s="192">
        <v>0.4</v>
      </c>
      <c r="J214" s="9">
        <v>-290.64000000000004</v>
      </c>
      <c r="K214">
        <v>-539.76</v>
      </c>
      <c r="L214" s="14" t="s">
        <v>54</v>
      </c>
      <c r="M214" s="8" t="s">
        <v>129</v>
      </c>
      <c r="N214">
        <v>-830.40000000000009</v>
      </c>
      <c r="O214" t="s">
        <v>4</v>
      </c>
      <c r="P214" s="38" t="s">
        <v>7</v>
      </c>
      <c r="Q214">
        <v>2025</v>
      </c>
      <c r="R214" t="s">
        <v>129</v>
      </c>
      <c r="S214" t="s">
        <v>14</v>
      </c>
      <c r="T214" t="s">
        <v>382</v>
      </c>
      <c r="U214" t="str">
        <f>IFERROR(_xlfn.XLOOKUP(A214,'2025 EOY'!A:A,'2025 EOY'!B:B),"No")</f>
        <v>No</v>
      </c>
      <c r="W214">
        <v>0.36</v>
      </c>
    </row>
    <row r="215" spans="1:23" x14ac:dyDescent="0.35">
      <c r="A215" t="s">
        <v>163</v>
      </c>
      <c r="B215" s="12">
        <v>45603</v>
      </c>
      <c r="C215" s="10" t="s">
        <v>7</v>
      </c>
      <c r="D215" s="4" t="s">
        <v>268</v>
      </c>
      <c r="E215" s="253">
        <v>-2076</v>
      </c>
      <c r="F215" s="172">
        <v>45747</v>
      </c>
      <c r="G215" s="172">
        <v>45777</v>
      </c>
      <c r="H215" s="15">
        <v>0.2</v>
      </c>
      <c r="I215" s="192">
        <v>1.0900000000000001</v>
      </c>
      <c r="J215" s="9">
        <v>-1847.6400000000003</v>
      </c>
      <c r="K215">
        <v>-415.20000000000005</v>
      </c>
      <c r="L215" s="14" t="s">
        <v>56</v>
      </c>
      <c r="M215" s="8" t="s">
        <v>129</v>
      </c>
      <c r="N215">
        <v>-2262.84</v>
      </c>
      <c r="O215" t="s">
        <v>4</v>
      </c>
      <c r="P215" s="38" t="s">
        <v>7</v>
      </c>
      <c r="Q215">
        <v>2025</v>
      </c>
      <c r="R215" t="s">
        <v>129</v>
      </c>
      <c r="S215" t="s">
        <v>14</v>
      </c>
      <c r="T215" t="s">
        <v>383</v>
      </c>
      <c r="U215" t="str">
        <f>IFERROR(_xlfn.XLOOKUP(A215,'2025 EOY'!A:A,'2025 EOY'!B:B),"No")</f>
        <v>No</v>
      </c>
      <c r="W215">
        <v>-3.51</v>
      </c>
    </row>
    <row r="216" spans="1:23" x14ac:dyDescent="0.35">
      <c r="A216" t="s">
        <v>163</v>
      </c>
      <c r="B216" s="12">
        <v>45603</v>
      </c>
      <c r="C216" s="10" t="s">
        <v>15</v>
      </c>
      <c r="D216" s="4" t="s">
        <v>268</v>
      </c>
      <c r="E216" s="253">
        <v>2076</v>
      </c>
      <c r="F216" s="172">
        <v>45716</v>
      </c>
      <c r="G216" s="172">
        <v>45716</v>
      </c>
      <c r="H216" s="15">
        <v>0</v>
      </c>
      <c r="I216" s="191">
        <v>0.22</v>
      </c>
      <c r="J216" s="9">
        <v>456.72</v>
      </c>
      <c r="K216">
        <v>0</v>
      </c>
      <c r="L216" s="14" t="s">
        <v>62</v>
      </c>
      <c r="M216" s="8" t="s">
        <v>131</v>
      </c>
      <c r="N216">
        <v>456.72</v>
      </c>
      <c r="O216" t="s">
        <v>11</v>
      </c>
      <c r="P216" s="38" t="s">
        <v>16</v>
      </c>
      <c r="Q216">
        <v>2025</v>
      </c>
      <c r="R216" t="s">
        <v>131</v>
      </c>
      <c r="S216" t="s">
        <v>14</v>
      </c>
      <c r="T216" t="s">
        <v>384</v>
      </c>
      <c r="U216" t="str">
        <f>IFERROR(_xlfn.XLOOKUP(A216,'2025 EOY'!A:A,'2025 EOY'!B:B),"No")</f>
        <v>No</v>
      </c>
      <c r="W216">
        <v>-1.4</v>
      </c>
    </row>
    <row r="217" spans="1:23" x14ac:dyDescent="0.35">
      <c r="A217" t="s">
        <v>163</v>
      </c>
      <c r="B217" s="12">
        <v>45603</v>
      </c>
      <c r="C217" s="10" t="s">
        <v>3</v>
      </c>
      <c r="D217" s="4" t="s">
        <v>128</v>
      </c>
      <c r="E217" s="253">
        <v>2100</v>
      </c>
      <c r="F217" s="172">
        <v>45657</v>
      </c>
      <c r="G217" s="172">
        <v>45688</v>
      </c>
      <c r="H217" s="15">
        <v>0.40000000000000568</v>
      </c>
      <c r="I217" s="192">
        <v>0.15</v>
      </c>
      <c r="J217" s="9">
        <v>-525.00000000001194</v>
      </c>
      <c r="K217">
        <v>840.00000000001194</v>
      </c>
      <c r="L217" s="14" t="s">
        <v>49</v>
      </c>
      <c r="M217" s="8" t="s">
        <v>131</v>
      </c>
      <c r="N217">
        <v>315</v>
      </c>
      <c r="O217" t="s">
        <v>4</v>
      </c>
      <c r="P217" s="38" t="s">
        <v>3</v>
      </c>
      <c r="Q217">
        <v>2024</v>
      </c>
      <c r="R217" t="s">
        <v>131</v>
      </c>
      <c r="S217" t="s">
        <v>14</v>
      </c>
      <c r="T217" t="s">
        <v>385</v>
      </c>
      <c r="U217" t="str">
        <f>IFERROR(_xlfn.XLOOKUP(A217,'2025 EOY'!A:A,'2025 EOY'!B:B),"No")</f>
        <v>No</v>
      </c>
      <c r="W217">
        <v>0.38</v>
      </c>
    </row>
    <row r="218" spans="1:23" x14ac:dyDescent="0.35">
      <c r="A218" t="s">
        <v>163</v>
      </c>
      <c r="B218" s="12">
        <v>45603</v>
      </c>
      <c r="C218" s="10" t="s">
        <v>3</v>
      </c>
      <c r="D218" s="4" t="s">
        <v>128</v>
      </c>
      <c r="E218" s="253">
        <v>2100</v>
      </c>
      <c r="F218" s="172">
        <v>45688</v>
      </c>
      <c r="G218" s="172">
        <v>45716</v>
      </c>
      <c r="H218" s="15">
        <v>0.39000000000000057</v>
      </c>
      <c r="I218" s="192">
        <v>0.56000000000000005</v>
      </c>
      <c r="J218" s="9">
        <v>356.99999999999892</v>
      </c>
      <c r="K218">
        <v>819.00000000000114</v>
      </c>
      <c r="L218" s="14" t="s">
        <v>52</v>
      </c>
      <c r="M218" s="8" t="s">
        <v>131</v>
      </c>
      <c r="N218">
        <v>1176</v>
      </c>
      <c r="O218" t="s">
        <v>4</v>
      </c>
      <c r="P218" s="38" t="s">
        <v>3</v>
      </c>
      <c r="Q218">
        <v>2025</v>
      </c>
      <c r="R218" t="s">
        <v>131</v>
      </c>
      <c r="S218" t="s">
        <v>14</v>
      </c>
      <c r="T218" t="s">
        <v>386</v>
      </c>
      <c r="U218" t="str">
        <f>IFERROR(_xlfn.XLOOKUP(A218,'2025 EOY'!A:A,'2025 EOY'!B:B),"No")</f>
        <v>No</v>
      </c>
      <c r="W218">
        <v>0.33</v>
      </c>
    </row>
    <row r="219" spans="1:23" x14ac:dyDescent="0.35">
      <c r="A219" t="s">
        <v>163</v>
      </c>
      <c r="B219" s="12">
        <v>45603</v>
      </c>
      <c r="C219" s="10" t="s">
        <v>10</v>
      </c>
      <c r="D219" s="4" t="s">
        <v>128</v>
      </c>
      <c r="E219" s="253">
        <v>2100</v>
      </c>
      <c r="F219" s="172">
        <v>45716</v>
      </c>
      <c r="G219" s="172">
        <v>45716</v>
      </c>
      <c r="H219" s="15">
        <v>-3.6900000000000119</v>
      </c>
      <c r="I219" s="192">
        <v>-3.4</v>
      </c>
      <c r="J219" s="9">
        <v>609.00000000002524</v>
      </c>
      <c r="K219">
        <v>-7749.0000000000255</v>
      </c>
      <c r="L219" s="14" t="s">
        <v>62</v>
      </c>
      <c r="M219" s="8" t="s">
        <v>131</v>
      </c>
      <c r="N219">
        <v>-7140</v>
      </c>
      <c r="O219" t="s">
        <v>11</v>
      </c>
      <c r="P219" s="38" t="s">
        <v>10</v>
      </c>
      <c r="Q219">
        <v>2025</v>
      </c>
      <c r="R219" t="s">
        <v>131</v>
      </c>
      <c r="S219" t="s">
        <v>14</v>
      </c>
      <c r="T219" t="s">
        <v>387</v>
      </c>
      <c r="U219" t="str">
        <f>IFERROR(_xlfn.XLOOKUP(A219,'2025 EOY'!A:A,'2025 EOY'!B:B),"No")</f>
        <v>No</v>
      </c>
      <c r="W219">
        <v>0.1</v>
      </c>
    </row>
    <row r="220" spans="1:23" ht="15" thickBot="1" x14ac:dyDescent="0.4">
      <c r="A220" t="s">
        <v>163</v>
      </c>
      <c r="B220" s="12">
        <v>45603</v>
      </c>
      <c r="C220" s="10" t="s">
        <v>7</v>
      </c>
      <c r="D220" s="4" t="s">
        <v>128</v>
      </c>
      <c r="E220" s="253">
        <v>2123</v>
      </c>
      <c r="F220" s="172">
        <v>45716</v>
      </c>
      <c r="G220" s="172">
        <v>45747</v>
      </c>
      <c r="H220" s="15">
        <v>0.3</v>
      </c>
      <c r="I220" s="192">
        <v>0.4</v>
      </c>
      <c r="J220" s="9">
        <v>212.30000000000007</v>
      </c>
      <c r="K220">
        <v>636.9</v>
      </c>
      <c r="L220" s="14" t="s">
        <v>54</v>
      </c>
      <c r="M220" s="8" t="s">
        <v>131</v>
      </c>
      <c r="N220">
        <v>849.2</v>
      </c>
      <c r="O220" t="s">
        <v>4</v>
      </c>
      <c r="P220" s="38" t="s">
        <v>7</v>
      </c>
      <c r="Q220">
        <v>2025</v>
      </c>
      <c r="R220" t="s">
        <v>131</v>
      </c>
      <c r="S220" t="s">
        <v>14</v>
      </c>
      <c r="T220" t="s">
        <v>388</v>
      </c>
      <c r="U220" t="str">
        <f>IFERROR(_xlfn.XLOOKUP(A220,'2025 EOY'!A:A,'2025 EOY'!B:B),"No")</f>
        <v>No</v>
      </c>
      <c r="W220">
        <v>-0.78999999999999992</v>
      </c>
    </row>
    <row r="221" spans="1:23" ht="15" thickBot="1" x14ac:dyDescent="0.4">
      <c r="A221" t="s">
        <v>167</v>
      </c>
      <c r="B221" s="12">
        <v>45604</v>
      </c>
      <c r="C221" s="178" t="s">
        <v>28</v>
      </c>
      <c r="D221" s="10" t="s">
        <v>268</v>
      </c>
      <c r="E221" s="253">
        <v>0</v>
      </c>
      <c r="F221" s="172">
        <v>45626</v>
      </c>
      <c r="G221" s="172">
        <v>45626</v>
      </c>
      <c r="H221" s="15">
        <v>7500</v>
      </c>
      <c r="I221" s="194">
        <v>7100</v>
      </c>
      <c r="J221" s="9">
        <v>400</v>
      </c>
      <c r="K221">
        <v>0</v>
      </c>
      <c r="L221" s="14" t="s">
        <v>67</v>
      </c>
      <c r="M221" s="8" t="s">
        <v>131</v>
      </c>
      <c r="N221">
        <v>0</v>
      </c>
      <c r="O221" t="s">
        <v>29</v>
      </c>
      <c r="P221" s="38" t="s">
        <v>29</v>
      </c>
      <c r="Q221">
        <v>2024</v>
      </c>
      <c r="R221" t="s">
        <v>129</v>
      </c>
      <c r="S221" t="s">
        <v>14</v>
      </c>
      <c r="T221" t="s">
        <v>389</v>
      </c>
      <c r="U221" t="str">
        <f>IFERROR(_xlfn.XLOOKUP(A221,'2025 EOY'!A:A,'2025 EOY'!B:B),"No")</f>
        <v>No</v>
      </c>
      <c r="W221">
        <v>3.31</v>
      </c>
    </row>
    <row r="222" spans="1:23" x14ac:dyDescent="0.35">
      <c r="A222" t="s">
        <v>167</v>
      </c>
      <c r="B222" s="12">
        <v>45604</v>
      </c>
      <c r="C222" s="10" t="s">
        <v>19</v>
      </c>
      <c r="D222" s="10" t="s">
        <v>268</v>
      </c>
      <c r="E222" s="259">
        <v>2147</v>
      </c>
      <c r="F222" s="172">
        <v>45626</v>
      </c>
      <c r="G222" s="172">
        <v>45626</v>
      </c>
      <c r="H222" s="15">
        <v>4.0100000000000007</v>
      </c>
      <c r="I222" s="192">
        <v>4.5999999999999996</v>
      </c>
      <c r="J222" s="9">
        <v>1266.7299999999977</v>
      </c>
      <c r="K222">
        <v>8609.4700000000012</v>
      </c>
      <c r="L222" s="14" t="s">
        <v>67</v>
      </c>
      <c r="M222" s="8" t="s">
        <v>131</v>
      </c>
      <c r="N222">
        <v>9876.1999999999989</v>
      </c>
      <c r="O222" t="s">
        <v>19</v>
      </c>
      <c r="P222" s="38" t="s">
        <v>19</v>
      </c>
      <c r="Q222">
        <v>2024</v>
      </c>
      <c r="R222" t="s">
        <v>131</v>
      </c>
      <c r="S222" t="s">
        <v>96</v>
      </c>
      <c r="T222" t="s">
        <v>390</v>
      </c>
      <c r="U222" t="str">
        <f>IFERROR(_xlfn.XLOOKUP(A222,'2025 EOY'!A:A,'2025 EOY'!B:B),"No")</f>
        <v>No</v>
      </c>
      <c r="W222">
        <v>2.52</v>
      </c>
    </row>
    <row r="223" spans="1:23" x14ac:dyDescent="0.35">
      <c r="A223" t="s">
        <v>167</v>
      </c>
      <c r="B223" s="12">
        <v>45604</v>
      </c>
      <c r="C223" s="10" t="s">
        <v>3</v>
      </c>
      <c r="D223" s="4" t="s">
        <v>268</v>
      </c>
      <c r="E223" s="253">
        <v>-2147</v>
      </c>
      <c r="F223" s="172">
        <v>45657</v>
      </c>
      <c r="G223" s="172">
        <v>45688</v>
      </c>
      <c r="H223" s="15">
        <v>0.26999999999999602</v>
      </c>
      <c r="I223" s="192">
        <v>0.15</v>
      </c>
      <c r="J223" s="9">
        <v>257.63999999999146</v>
      </c>
      <c r="K223">
        <v>-579.68999999999141</v>
      </c>
      <c r="L223" s="14" t="s">
        <v>49</v>
      </c>
      <c r="M223" s="8" t="s">
        <v>129</v>
      </c>
      <c r="N223">
        <v>-322.05</v>
      </c>
      <c r="O223" t="s">
        <v>4</v>
      </c>
      <c r="P223" s="38" t="s">
        <v>3</v>
      </c>
      <c r="Q223">
        <v>2024</v>
      </c>
      <c r="R223" t="s">
        <v>129</v>
      </c>
      <c r="S223" t="s">
        <v>14</v>
      </c>
      <c r="T223" t="s">
        <v>391</v>
      </c>
      <c r="U223" t="str">
        <f>IFERROR(_xlfn.XLOOKUP(A223,'2025 EOY'!A:A,'2025 EOY'!B:B),"No")</f>
        <v>No</v>
      </c>
    </row>
    <row r="224" spans="1:23" x14ac:dyDescent="0.35">
      <c r="A224" t="s">
        <v>167</v>
      </c>
      <c r="B224" s="12">
        <v>45604</v>
      </c>
      <c r="C224" s="10" t="s">
        <v>3</v>
      </c>
      <c r="D224" s="4" t="s">
        <v>268</v>
      </c>
      <c r="E224" s="253">
        <v>-2147</v>
      </c>
      <c r="F224" s="172">
        <v>45688</v>
      </c>
      <c r="G224" s="172">
        <v>45716</v>
      </c>
      <c r="H224" s="15">
        <v>0.26000000000000512</v>
      </c>
      <c r="I224" s="192">
        <v>0.56000000000000005</v>
      </c>
      <c r="J224" s="9">
        <v>-644.09999999998911</v>
      </c>
      <c r="K224">
        <v>-558.22000000001094</v>
      </c>
      <c r="L224" s="14" t="s">
        <v>52</v>
      </c>
      <c r="M224" s="8" t="s">
        <v>129</v>
      </c>
      <c r="N224">
        <v>-1202.3200000000002</v>
      </c>
      <c r="O224" t="s">
        <v>4</v>
      </c>
      <c r="P224" s="38" t="s">
        <v>3</v>
      </c>
      <c r="Q224">
        <v>2025</v>
      </c>
      <c r="R224" t="s">
        <v>129</v>
      </c>
      <c r="S224" t="s">
        <v>14</v>
      </c>
      <c r="T224" t="s">
        <v>392</v>
      </c>
      <c r="U224" t="str">
        <f>IFERROR(_xlfn.XLOOKUP(A224,'2025 EOY'!A:A,'2025 EOY'!B:B),"No")</f>
        <v>No</v>
      </c>
    </row>
    <row r="225" spans="1:22" x14ac:dyDescent="0.35">
      <c r="A225" t="s">
        <v>167</v>
      </c>
      <c r="B225" s="12">
        <v>45604</v>
      </c>
      <c r="C225" s="10" t="s">
        <v>10</v>
      </c>
      <c r="D225" s="4" t="s">
        <v>268</v>
      </c>
      <c r="E225" s="253">
        <v>-2147</v>
      </c>
      <c r="F225" s="172">
        <v>45716</v>
      </c>
      <c r="G225" s="172">
        <v>45716</v>
      </c>
      <c r="H225" s="15">
        <v>-3.7600000000000051</v>
      </c>
      <c r="I225" s="192">
        <v>-3.4</v>
      </c>
      <c r="J225" s="9">
        <v>-772.92000000001121</v>
      </c>
      <c r="K225">
        <v>8072.7200000000112</v>
      </c>
      <c r="L225" s="14" t="s">
        <v>62</v>
      </c>
      <c r="M225" s="8" t="s">
        <v>129</v>
      </c>
      <c r="N225">
        <v>7299.8</v>
      </c>
      <c r="O225" t="s">
        <v>11</v>
      </c>
      <c r="P225" s="38" t="s">
        <v>10</v>
      </c>
      <c r="Q225">
        <v>2025</v>
      </c>
      <c r="R225" t="s">
        <v>129</v>
      </c>
      <c r="S225" t="s">
        <v>14</v>
      </c>
      <c r="T225" t="s">
        <v>393</v>
      </c>
      <c r="U225" t="str">
        <f>IFERROR(_xlfn.XLOOKUP(A225,'2025 EOY'!A:A,'2025 EOY'!B:B),"No")</f>
        <v>No</v>
      </c>
    </row>
    <row r="226" spans="1:22" x14ac:dyDescent="0.35">
      <c r="A226" t="s">
        <v>167</v>
      </c>
      <c r="B226" s="12">
        <v>45604</v>
      </c>
      <c r="C226" s="10" t="s">
        <v>7</v>
      </c>
      <c r="D226" s="4" t="s">
        <v>268</v>
      </c>
      <c r="E226" s="253">
        <v>-2147</v>
      </c>
      <c r="F226" s="172">
        <v>45716</v>
      </c>
      <c r="G226" s="172">
        <v>45747</v>
      </c>
      <c r="H226" s="15">
        <v>0.26</v>
      </c>
      <c r="I226" s="192">
        <v>0.4</v>
      </c>
      <c r="J226" s="9">
        <v>-300.58000000000004</v>
      </c>
      <c r="K226">
        <v>-558.22</v>
      </c>
      <c r="L226" s="14" t="s">
        <v>54</v>
      </c>
      <c r="M226" s="8" t="s">
        <v>129</v>
      </c>
      <c r="N226">
        <v>-858.80000000000007</v>
      </c>
      <c r="O226" t="s">
        <v>4</v>
      </c>
      <c r="P226" s="38" t="s">
        <v>7</v>
      </c>
      <c r="Q226">
        <v>2025</v>
      </c>
      <c r="R226" t="s">
        <v>129</v>
      </c>
      <c r="S226" t="s">
        <v>14</v>
      </c>
      <c r="T226" t="s">
        <v>394</v>
      </c>
      <c r="U226" t="str">
        <f>IFERROR(_xlfn.XLOOKUP(A226,'2025 EOY'!A:A,'2025 EOY'!B:B),"No")</f>
        <v>No</v>
      </c>
    </row>
    <row r="227" spans="1:22" x14ac:dyDescent="0.35">
      <c r="A227" t="s">
        <v>127</v>
      </c>
      <c r="B227" s="12">
        <v>45603</v>
      </c>
      <c r="C227" s="10" t="s">
        <v>7</v>
      </c>
      <c r="D227" s="4" t="s">
        <v>128</v>
      </c>
      <c r="E227" s="253">
        <v>2000</v>
      </c>
      <c r="F227" s="172">
        <v>45688</v>
      </c>
      <c r="G227" s="172">
        <v>45716</v>
      </c>
      <c r="H227" s="15">
        <v>0.37</v>
      </c>
      <c r="I227" s="192">
        <v>1.1000000000000001</v>
      </c>
      <c r="J227" s="9">
        <v>1460.0000000000002</v>
      </c>
      <c r="K227">
        <v>740</v>
      </c>
      <c r="L227" s="14" t="s">
        <v>52</v>
      </c>
      <c r="M227" s="8" t="s">
        <v>131</v>
      </c>
      <c r="N227">
        <v>2200</v>
      </c>
      <c r="O227" t="s">
        <v>4</v>
      </c>
      <c r="P227" s="38" t="s">
        <v>7</v>
      </c>
      <c r="Q227">
        <v>2025</v>
      </c>
      <c r="R227" t="s">
        <v>131</v>
      </c>
      <c r="S227" t="s">
        <v>14</v>
      </c>
      <c r="T227" t="s">
        <v>395</v>
      </c>
      <c r="U227" t="str">
        <f>IFERROR(_xlfn.XLOOKUP(A227,'2025 EOY'!A:A,'2025 EOY'!B:B),"No")</f>
        <v>No</v>
      </c>
    </row>
    <row r="228" spans="1:22" x14ac:dyDescent="0.35">
      <c r="A228" t="s">
        <v>167</v>
      </c>
      <c r="B228" s="12">
        <v>45604</v>
      </c>
      <c r="C228" s="10" t="s">
        <v>3</v>
      </c>
      <c r="D228" s="4" t="s">
        <v>128</v>
      </c>
      <c r="E228" s="253">
        <v>2123</v>
      </c>
      <c r="F228" s="172">
        <v>45657</v>
      </c>
      <c r="G228" s="172">
        <v>45688</v>
      </c>
      <c r="H228" s="15">
        <v>0.15</v>
      </c>
      <c r="I228" s="192">
        <v>0.15</v>
      </c>
      <c r="J228" s="9">
        <v>0</v>
      </c>
      <c r="K228">
        <v>318.45</v>
      </c>
      <c r="L228" s="14" t="s">
        <v>49</v>
      </c>
      <c r="M228" s="8" t="s">
        <v>131</v>
      </c>
      <c r="N228">
        <v>318.45</v>
      </c>
      <c r="O228" t="s">
        <v>4</v>
      </c>
      <c r="P228" s="38" t="s">
        <v>3</v>
      </c>
      <c r="Q228">
        <v>2024</v>
      </c>
      <c r="R228" t="s">
        <v>131</v>
      </c>
      <c r="S228" t="s">
        <v>14</v>
      </c>
      <c r="T228" t="s">
        <v>396</v>
      </c>
      <c r="U228" t="str">
        <f>IFERROR(_xlfn.XLOOKUP(A228,'2025 EOY'!A:A,'2025 EOY'!B:B),"No")</f>
        <v>No</v>
      </c>
    </row>
    <row r="229" spans="1:22" x14ac:dyDescent="0.35">
      <c r="A229" t="s">
        <v>167</v>
      </c>
      <c r="B229" s="12">
        <v>45604</v>
      </c>
      <c r="C229" s="10" t="s">
        <v>3</v>
      </c>
      <c r="D229" s="4" t="s">
        <v>128</v>
      </c>
      <c r="E229" s="253">
        <v>2100</v>
      </c>
      <c r="F229" s="172">
        <v>45688</v>
      </c>
      <c r="G229" s="172">
        <v>45716</v>
      </c>
      <c r="H229" s="15">
        <v>0.2</v>
      </c>
      <c r="I229" s="192">
        <v>0.56000000000000005</v>
      </c>
      <c r="J229" s="9">
        <v>756.00000000000011</v>
      </c>
      <c r="K229">
        <v>420</v>
      </c>
      <c r="L229" s="14" t="s">
        <v>52</v>
      </c>
      <c r="M229" s="8" t="s">
        <v>131</v>
      </c>
      <c r="N229">
        <v>1176</v>
      </c>
      <c r="O229" t="s">
        <v>4</v>
      </c>
      <c r="P229" s="38" t="s">
        <v>3</v>
      </c>
      <c r="Q229">
        <v>2025</v>
      </c>
      <c r="R229" t="s">
        <v>131</v>
      </c>
      <c r="S229" t="s">
        <v>14</v>
      </c>
      <c r="T229" t="s">
        <v>397</v>
      </c>
      <c r="U229" t="str">
        <f>IFERROR(_xlfn.XLOOKUP(A229,'2025 EOY'!A:A,'2025 EOY'!B:B),"No")</f>
        <v>No</v>
      </c>
    </row>
    <row r="230" spans="1:22" x14ac:dyDescent="0.35">
      <c r="A230" t="s">
        <v>167</v>
      </c>
      <c r="B230" s="12">
        <v>45604</v>
      </c>
      <c r="C230" s="10" t="s">
        <v>10</v>
      </c>
      <c r="D230" s="4" t="s">
        <v>128</v>
      </c>
      <c r="E230" s="253">
        <v>2100</v>
      </c>
      <c r="F230" s="172">
        <v>45716</v>
      </c>
      <c r="G230" s="172">
        <v>45716</v>
      </c>
      <c r="H230" s="15">
        <v>-3.88</v>
      </c>
      <c r="I230" s="192">
        <v>-3.4</v>
      </c>
      <c r="J230" s="9">
        <v>1008</v>
      </c>
      <c r="K230">
        <v>-8148</v>
      </c>
      <c r="L230" s="14" t="s">
        <v>62</v>
      </c>
      <c r="M230" s="8" t="s">
        <v>131</v>
      </c>
      <c r="N230">
        <v>-7140</v>
      </c>
      <c r="O230" t="s">
        <v>11</v>
      </c>
      <c r="P230" s="38" t="s">
        <v>10</v>
      </c>
      <c r="Q230">
        <v>2025</v>
      </c>
      <c r="R230" t="s">
        <v>131</v>
      </c>
      <c r="S230" t="s">
        <v>14</v>
      </c>
      <c r="T230" t="s">
        <v>398</v>
      </c>
      <c r="U230" t="str">
        <f>IFERROR(_xlfn.XLOOKUP(A230,'2025 EOY'!A:A,'2025 EOY'!B:B),"No")</f>
        <v>No</v>
      </c>
    </row>
    <row r="231" spans="1:22" x14ac:dyDescent="0.35">
      <c r="A231" t="s">
        <v>127</v>
      </c>
      <c r="B231" s="12">
        <v>45609</v>
      </c>
      <c r="C231" s="10" t="s">
        <v>3</v>
      </c>
      <c r="D231" s="4" t="s">
        <v>268</v>
      </c>
      <c r="E231" s="253">
        <v>500</v>
      </c>
      <c r="F231" s="172">
        <v>45657</v>
      </c>
      <c r="G231" s="172">
        <v>45688</v>
      </c>
      <c r="H231" s="15">
        <v>0.15</v>
      </c>
      <c r="I231" s="192">
        <v>0.15</v>
      </c>
      <c r="J231" s="9">
        <v>0</v>
      </c>
      <c r="K231">
        <v>75</v>
      </c>
      <c r="L231" s="14" t="s">
        <v>49</v>
      </c>
      <c r="M231" s="8" t="s">
        <v>131</v>
      </c>
      <c r="N231">
        <v>75</v>
      </c>
      <c r="O231" t="s">
        <v>4</v>
      </c>
      <c r="P231" s="38" t="s">
        <v>3</v>
      </c>
      <c r="Q231">
        <v>2024</v>
      </c>
      <c r="R231" t="s">
        <v>131</v>
      </c>
      <c r="S231" t="s">
        <v>14</v>
      </c>
      <c r="T231" t="s">
        <v>399</v>
      </c>
      <c r="U231" t="str">
        <f>IFERROR(_xlfn.XLOOKUP(A231,'2025 EOY'!A:A,'2025 EOY'!B:B),"No")</f>
        <v>No</v>
      </c>
    </row>
    <row r="232" spans="1:22" x14ac:dyDescent="0.35">
      <c r="A232" t="s">
        <v>127</v>
      </c>
      <c r="B232" s="12">
        <v>45609</v>
      </c>
      <c r="C232" s="10" t="s">
        <v>7</v>
      </c>
      <c r="D232" s="4" t="s">
        <v>128</v>
      </c>
      <c r="E232" s="253">
        <v>1300</v>
      </c>
      <c r="F232" s="172">
        <v>45688</v>
      </c>
      <c r="G232" s="172">
        <v>45716</v>
      </c>
      <c r="H232" s="15">
        <v>0.32</v>
      </c>
      <c r="I232" s="192">
        <v>1.1000000000000001</v>
      </c>
      <c r="J232" s="9">
        <v>1014</v>
      </c>
      <c r="K232">
        <v>416</v>
      </c>
      <c r="L232" s="14" t="s">
        <v>52</v>
      </c>
      <c r="M232" s="8" t="s">
        <v>131</v>
      </c>
      <c r="N232">
        <v>1430.0000000000002</v>
      </c>
      <c r="O232" t="s">
        <v>4</v>
      </c>
      <c r="P232" s="38" t="s">
        <v>7</v>
      </c>
      <c r="Q232">
        <v>2025</v>
      </c>
      <c r="R232" t="s">
        <v>131</v>
      </c>
      <c r="S232" t="s">
        <v>14</v>
      </c>
      <c r="T232" t="s">
        <v>400</v>
      </c>
      <c r="U232" t="str">
        <f>IFERROR(_xlfn.XLOOKUP(A232,'2025 EOY'!A:A,'2025 EOY'!B:B),"No")</f>
        <v>No</v>
      </c>
    </row>
    <row r="233" spans="1:22" x14ac:dyDescent="0.35">
      <c r="A233" t="s">
        <v>127</v>
      </c>
      <c r="B233" s="12">
        <v>45609</v>
      </c>
      <c r="C233" s="10" t="s">
        <v>7</v>
      </c>
      <c r="D233" s="4" t="s">
        <v>128</v>
      </c>
      <c r="E233" s="253">
        <v>500</v>
      </c>
      <c r="F233" s="172">
        <v>45688</v>
      </c>
      <c r="G233" s="172">
        <v>45716</v>
      </c>
      <c r="H233" s="15">
        <v>0.32</v>
      </c>
      <c r="I233" s="192">
        <v>1.1000000000000001</v>
      </c>
      <c r="J233" s="9">
        <v>390</v>
      </c>
      <c r="K233">
        <v>160</v>
      </c>
      <c r="L233" s="14" t="s">
        <v>52</v>
      </c>
      <c r="M233" s="8" t="s">
        <v>131</v>
      </c>
      <c r="N233">
        <v>550</v>
      </c>
      <c r="O233" t="s">
        <v>4</v>
      </c>
      <c r="P233" s="38" t="s">
        <v>7</v>
      </c>
      <c r="Q233">
        <v>2025</v>
      </c>
      <c r="R233" t="s">
        <v>131</v>
      </c>
      <c r="S233" t="s">
        <v>14</v>
      </c>
      <c r="T233" t="s">
        <v>401</v>
      </c>
      <c r="U233" t="str">
        <f>IFERROR(_xlfn.XLOOKUP(A233,'2025 EOY'!A:A,'2025 EOY'!B:B),"No")</f>
        <v>No</v>
      </c>
    </row>
    <row r="234" spans="1:22" x14ac:dyDescent="0.35">
      <c r="A234" t="s">
        <v>127</v>
      </c>
      <c r="B234" s="12">
        <v>45609</v>
      </c>
      <c r="C234" s="10" t="s">
        <v>7</v>
      </c>
      <c r="D234" s="4" t="s">
        <v>128</v>
      </c>
      <c r="E234" s="253">
        <v>500</v>
      </c>
      <c r="F234" s="172">
        <v>45716</v>
      </c>
      <c r="G234" s="172">
        <v>45747</v>
      </c>
      <c r="H234" s="15">
        <v>0.24999999999999994</v>
      </c>
      <c r="I234" s="192">
        <v>0.4</v>
      </c>
      <c r="J234" s="9">
        <v>75.000000000000043</v>
      </c>
      <c r="K234">
        <v>124.99999999999997</v>
      </c>
      <c r="L234" s="14" t="s">
        <v>54</v>
      </c>
      <c r="M234" s="8" t="s">
        <v>131</v>
      </c>
      <c r="N234">
        <v>200</v>
      </c>
      <c r="O234" t="s">
        <v>4</v>
      </c>
      <c r="P234" s="38" t="s">
        <v>7</v>
      </c>
      <c r="Q234">
        <v>2025</v>
      </c>
      <c r="R234" t="s">
        <v>131</v>
      </c>
      <c r="S234" t="s">
        <v>14</v>
      </c>
      <c r="T234" t="s">
        <v>402</v>
      </c>
      <c r="U234" t="str">
        <f>IFERROR(_xlfn.XLOOKUP(A234,'2025 EOY'!A:A,'2025 EOY'!B:B),"No")</f>
        <v>No</v>
      </c>
    </row>
    <row r="235" spans="1:22" x14ac:dyDescent="0.35">
      <c r="A235" t="s">
        <v>165</v>
      </c>
      <c r="B235" s="12">
        <v>45610</v>
      </c>
      <c r="C235" s="10" t="s">
        <v>3</v>
      </c>
      <c r="D235" s="4" t="s">
        <v>268</v>
      </c>
      <c r="E235" s="253">
        <v>-700</v>
      </c>
      <c r="F235" s="172">
        <v>45657</v>
      </c>
      <c r="G235" s="172">
        <v>45688</v>
      </c>
      <c r="H235" s="15">
        <v>0.15</v>
      </c>
      <c r="I235" s="192">
        <v>0.15</v>
      </c>
      <c r="J235" s="9">
        <v>0</v>
      </c>
      <c r="K235">
        <v>-105</v>
      </c>
      <c r="L235" s="14" t="s">
        <v>49</v>
      </c>
      <c r="M235" s="8" t="s">
        <v>129</v>
      </c>
      <c r="N235">
        <v>-105</v>
      </c>
      <c r="O235" t="s">
        <v>4</v>
      </c>
      <c r="P235" s="38" t="s">
        <v>3</v>
      </c>
      <c r="Q235">
        <v>2024</v>
      </c>
      <c r="R235" t="s">
        <v>129</v>
      </c>
      <c r="S235" t="s">
        <v>14</v>
      </c>
      <c r="T235" t="s">
        <v>403</v>
      </c>
      <c r="U235" t="str">
        <f>IFERROR(_xlfn.XLOOKUP(A235,'2025 EOY'!A:A,'2025 EOY'!B:B),"No")</f>
        <v>No</v>
      </c>
    </row>
    <row r="236" spans="1:22" x14ac:dyDescent="0.35">
      <c r="A236" t="s">
        <v>165</v>
      </c>
      <c r="B236" s="12">
        <v>45610</v>
      </c>
      <c r="C236" s="10" t="s">
        <v>3</v>
      </c>
      <c r="D236" s="4" t="s">
        <v>268</v>
      </c>
      <c r="E236" s="253">
        <v>-700</v>
      </c>
      <c r="F236" s="172">
        <v>45688</v>
      </c>
      <c r="G236" s="172">
        <v>45716</v>
      </c>
      <c r="H236" s="15">
        <v>0.26</v>
      </c>
      <c r="I236" s="192">
        <v>0.56000000000000005</v>
      </c>
      <c r="J236" s="9">
        <v>-210.00000000000003</v>
      </c>
      <c r="K236">
        <v>-182</v>
      </c>
      <c r="L236" s="14" t="s">
        <v>52</v>
      </c>
      <c r="M236" s="8" t="s">
        <v>129</v>
      </c>
      <c r="N236">
        <v>-392.00000000000006</v>
      </c>
      <c r="O236" t="s">
        <v>4</v>
      </c>
      <c r="P236" s="38" t="s">
        <v>3</v>
      </c>
      <c r="Q236">
        <v>2025</v>
      </c>
      <c r="R236" t="s">
        <v>129</v>
      </c>
      <c r="S236" t="s">
        <v>14</v>
      </c>
      <c r="T236" t="s">
        <v>404</v>
      </c>
      <c r="U236" t="str">
        <f>IFERROR(_xlfn.XLOOKUP(A236,'2025 EOY'!A:A,'2025 EOY'!B:B),"No")</f>
        <v>No</v>
      </c>
    </row>
    <row r="237" spans="1:22" x14ac:dyDescent="0.35">
      <c r="A237" t="s">
        <v>165</v>
      </c>
      <c r="B237" s="12">
        <v>45610</v>
      </c>
      <c r="C237" s="10" t="s">
        <v>10</v>
      </c>
      <c r="D237" s="4" t="s">
        <v>268</v>
      </c>
      <c r="E237" s="253">
        <v>-700</v>
      </c>
      <c r="F237" s="172">
        <v>45716</v>
      </c>
      <c r="G237" s="172">
        <v>45716</v>
      </c>
      <c r="H237" s="15">
        <v>-3.98</v>
      </c>
      <c r="I237" s="192">
        <v>-3.4</v>
      </c>
      <c r="J237" s="9">
        <v>-406.00000000000006</v>
      </c>
      <c r="K237">
        <v>2786</v>
      </c>
      <c r="L237" s="14" t="s">
        <v>62</v>
      </c>
      <c r="M237" s="8" t="s">
        <v>129</v>
      </c>
      <c r="N237">
        <v>2380</v>
      </c>
      <c r="O237" t="s">
        <v>11</v>
      </c>
      <c r="P237" s="38" t="s">
        <v>10</v>
      </c>
      <c r="Q237">
        <v>2025</v>
      </c>
      <c r="R237" t="s">
        <v>129</v>
      </c>
      <c r="S237" t="s">
        <v>14</v>
      </c>
      <c r="T237" t="s">
        <v>405</v>
      </c>
      <c r="U237" t="str">
        <f>IFERROR(_xlfn.XLOOKUP(A237,'2025 EOY'!A:A,'2025 EOY'!B:B),"No")</f>
        <v>No</v>
      </c>
    </row>
    <row r="238" spans="1:22" x14ac:dyDescent="0.35">
      <c r="A238" t="s">
        <v>322</v>
      </c>
      <c r="B238" s="12">
        <v>45611</v>
      </c>
      <c r="C238" s="10" t="s">
        <v>10</v>
      </c>
      <c r="D238" s="4" t="s">
        <v>128</v>
      </c>
      <c r="E238" s="253">
        <v>700</v>
      </c>
      <c r="F238" s="172">
        <v>45688</v>
      </c>
      <c r="G238" s="172">
        <v>45688</v>
      </c>
      <c r="H238" s="15">
        <v>-4.12</v>
      </c>
      <c r="I238" s="192">
        <v>-4.9400000000000004</v>
      </c>
      <c r="J238" s="9">
        <v>-574.00000000000023</v>
      </c>
      <c r="K238">
        <v>-2884</v>
      </c>
      <c r="L238" s="14" t="s">
        <v>61</v>
      </c>
      <c r="M238" s="8" t="s">
        <v>131</v>
      </c>
      <c r="N238">
        <v>-3458.0000000000005</v>
      </c>
      <c r="O238" t="s">
        <v>11</v>
      </c>
      <c r="P238" s="38" t="s">
        <v>10</v>
      </c>
      <c r="Q238">
        <v>2025</v>
      </c>
      <c r="R238" t="s">
        <v>131</v>
      </c>
      <c r="S238" t="s">
        <v>14</v>
      </c>
      <c r="T238" t="s">
        <v>406</v>
      </c>
      <c r="U238" t="str">
        <f>IFERROR(_xlfn.XLOOKUP(A238,'2025 EOY'!A:A,'2025 EOY'!B:B),"No")</f>
        <v>No</v>
      </c>
    </row>
    <row r="239" spans="1:22" x14ac:dyDescent="0.35">
      <c r="A239" t="s">
        <v>163</v>
      </c>
      <c r="B239" s="12">
        <v>45611</v>
      </c>
      <c r="C239" s="10" t="s">
        <v>7</v>
      </c>
      <c r="D239" s="4" t="s">
        <v>268</v>
      </c>
      <c r="E239" s="253">
        <v>2000</v>
      </c>
      <c r="F239" s="172">
        <v>45716</v>
      </c>
      <c r="G239" s="172">
        <v>45747</v>
      </c>
      <c r="H239" s="15">
        <v>0.21</v>
      </c>
      <c r="I239" s="192">
        <v>0.4</v>
      </c>
      <c r="J239" s="9">
        <v>380.00000000000006</v>
      </c>
      <c r="K239">
        <v>420</v>
      </c>
      <c r="L239" s="14" t="s">
        <v>54</v>
      </c>
      <c r="M239" s="8" t="s">
        <v>131</v>
      </c>
      <c r="N239">
        <v>800</v>
      </c>
      <c r="O239" t="s">
        <v>4</v>
      </c>
      <c r="P239" s="38" t="s">
        <v>7</v>
      </c>
      <c r="Q239">
        <v>2025</v>
      </c>
      <c r="R239" t="s">
        <v>131</v>
      </c>
      <c r="S239" t="s">
        <v>14</v>
      </c>
      <c r="T239" t="s">
        <v>407</v>
      </c>
      <c r="U239" t="str">
        <f>IFERROR(_xlfn.XLOOKUP(A239,'2025 EOY'!A:A,'2025 EOY'!B:B),"No")</f>
        <v>No</v>
      </c>
      <c r="V239">
        <v>-1.3399999999999999</v>
      </c>
    </row>
    <row r="240" spans="1:22" x14ac:dyDescent="0.35">
      <c r="A240" t="s">
        <v>165</v>
      </c>
      <c r="B240" s="12">
        <v>45610</v>
      </c>
      <c r="C240" s="10" t="s">
        <v>3</v>
      </c>
      <c r="D240" s="4" t="s">
        <v>268</v>
      </c>
      <c r="E240" s="253">
        <v>632</v>
      </c>
      <c r="F240" s="172">
        <v>45657</v>
      </c>
      <c r="G240" s="172">
        <v>45688</v>
      </c>
      <c r="H240" s="15">
        <v>0.1</v>
      </c>
      <c r="I240" s="192">
        <v>0.15</v>
      </c>
      <c r="J240" s="9">
        <v>31.599999999999994</v>
      </c>
      <c r="K240">
        <v>63.2</v>
      </c>
      <c r="L240" s="14" t="s">
        <v>49</v>
      </c>
      <c r="M240" s="8" t="s">
        <v>131</v>
      </c>
      <c r="N240">
        <v>94.8</v>
      </c>
      <c r="O240" t="s">
        <v>4</v>
      </c>
      <c r="P240" s="38" t="s">
        <v>3</v>
      </c>
      <c r="Q240">
        <v>2024</v>
      </c>
      <c r="R240" t="s">
        <v>131</v>
      </c>
      <c r="S240" t="s">
        <v>14</v>
      </c>
      <c r="T240" t="s">
        <v>408</v>
      </c>
      <c r="U240" t="str">
        <f>IFERROR(_xlfn.XLOOKUP(A240,'2025 EOY'!A:A,'2025 EOY'!B:B),"No")</f>
        <v>No</v>
      </c>
    </row>
    <row r="241" spans="1:22" x14ac:dyDescent="0.35">
      <c r="A241" t="s">
        <v>165</v>
      </c>
      <c r="B241" s="12">
        <v>45610</v>
      </c>
      <c r="C241" s="10" t="s">
        <v>3</v>
      </c>
      <c r="D241" s="4" t="s">
        <v>268</v>
      </c>
      <c r="E241" s="253">
        <v>700</v>
      </c>
      <c r="F241" s="172">
        <v>45688</v>
      </c>
      <c r="G241" s="172">
        <v>45716</v>
      </c>
      <c r="H241" s="15">
        <v>0.2</v>
      </c>
      <c r="I241" s="192">
        <v>0.56000000000000005</v>
      </c>
      <c r="J241" s="9">
        <v>252.00000000000003</v>
      </c>
      <c r="K241">
        <v>140</v>
      </c>
      <c r="L241" s="14" t="s">
        <v>52</v>
      </c>
      <c r="M241" s="8" t="s">
        <v>131</v>
      </c>
      <c r="N241">
        <v>392.00000000000006</v>
      </c>
      <c r="O241" t="s">
        <v>4</v>
      </c>
      <c r="P241" s="38" t="s">
        <v>3</v>
      </c>
      <c r="Q241">
        <v>2025</v>
      </c>
      <c r="R241" t="s">
        <v>131</v>
      </c>
      <c r="S241" t="s">
        <v>14</v>
      </c>
      <c r="T241" t="s">
        <v>409</v>
      </c>
      <c r="U241" t="str">
        <f>IFERROR(_xlfn.XLOOKUP(A241,'2025 EOY'!A:A,'2025 EOY'!B:B),"No")</f>
        <v>No</v>
      </c>
    </row>
    <row r="242" spans="1:22" x14ac:dyDescent="0.35">
      <c r="A242" t="s">
        <v>410</v>
      </c>
      <c r="B242" s="12">
        <v>45614</v>
      </c>
      <c r="C242" s="10" t="s">
        <v>3</v>
      </c>
      <c r="D242" s="4" t="s">
        <v>268</v>
      </c>
      <c r="E242" s="253">
        <v>-700</v>
      </c>
      <c r="F242" s="172">
        <v>45657</v>
      </c>
      <c r="G242" s="172">
        <v>45688</v>
      </c>
      <c r="H242" s="120">
        <v>0.03</v>
      </c>
      <c r="I242" s="192">
        <v>0.15</v>
      </c>
      <c r="J242" s="9">
        <v>-84</v>
      </c>
      <c r="K242">
        <v>-21</v>
      </c>
      <c r="L242" s="14" t="s">
        <v>49</v>
      </c>
      <c r="M242" s="8" t="s">
        <v>129</v>
      </c>
      <c r="N242">
        <v>-105</v>
      </c>
      <c r="O242" t="s">
        <v>4</v>
      </c>
      <c r="P242" s="38" t="s">
        <v>3</v>
      </c>
      <c r="Q242">
        <v>2024</v>
      </c>
      <c r="R242" t="s">
        <v>129</v>
      </c>
      <c r="S242" t="s">
        <v>14</v>
      </c>
      <c r="T242" t="s">
        <v>411</v>
      </c>
      <c r="U242" t="str">
        <f>IFERROR(_xlfn.XLOOKUP(A242,'2025 EOY'!A:A,'2025 EOY'!B:B),"No")</f>
        <v>No</v>
      </c>
    </row>
    <row r="243" spans="1:22" x14ac:dyDescent="0.35">
      <c r="A243" t="s">
        <v>410</v>
      </c>
      <c r="B243" s="12">
        <v>45614</v>
      </c>
      <c r="C243" s="10" t="s">
        <v>3</v>
      </c>
      <c r="D243" s="4" t="s">
        <v>268</v>
      </c>
      <c r="E243" s="253">
        <v>-700</v>
      </c>
      <c r="F243" s="172">
        <v>45688</v>
      </c>
      <c r="G243" s="172">
        <v>45716</v>
      </c>
      <c r="H243" s="120">
        <v>0.17</v>
      </c>
      <c r="I243" s="192">
        <v>0.56000000000000005</v>
      </c>
      <c r="J243" s="9">
        <v>-273</v>
      </c>
      <c r="K243">
        <v>-119.00000000000001</v>
      </c>
      <c r="L243" s="14" t="s">
        <v>52</v>
      </c>
      <c r="M243" s="8" t="s">
        <v>129</v>
      </c>
      <c r="N243">
        <v>-392.00000000000006</v>
      </c>
      <c r="O243" t="s">
        <v>4</v>
      </c>
      <c r="P243" s="38" t="s">
        <v>3</v>
      </c>
      <c r="Q243">
        <v>2025</v>
      </c>
      <c r="R243" t="s">
        <v>129</v>
      </c>
      <c r="S243" t="s">
        <v>14</v>
      </c>
      <c r="T243" t="s">
        <v>412</v>
      </c>
      <c r="U243" t="str">
        <f>IFERROR(_xlfn.XLOOKUP(A243,'2025 EOY'!A:A,'2025 EOY'!B:B),"No")</f>
        <v>No</v>
      </c>
    </row>
    <row r="244" spans="1:22" x14ac:dyDescent="0.35">
      <c r="A244" t="s">
        <v>410</v>
      </c>
      <c r="B244" s="12">
        <v>45614</v>
      </c>
      <c r="C244" s="10" t="s">
        <v>10</v>
      </c>
      <c r="D244" s="4" t="s">
        <v>268</v>
      </c>
      <c r="E244" s="253">
        <v>-700</v>
      </c>
      <c r="F244" s="172">
        <v>45716</v>
      </c>
      <c r="G244" s="172">
        <v>45716</v>
      </c>
      <c r="H244" s="120">
        <v>-4.05</v>
      </c>
      <c r="I244" s="192">
        <v>-3.4</v>
      </c>
      <c r="J244" s="9">
        <v>-454.99999999999994</v>
      </c>
      <c r="K244">
        <v>2835</v>
      </c>
      <c r="L244" s="14" t="s">
        <v>62</v>
      </c>
      <c r="M244" s="8" t="s">
        <v>129</v>
      </c>
      <c r="N244">
        <v>2380</v>
      </c>
      <c r="O244" t="s">
        <v>11</v>
      </c>
      <c r="P244" s="38" t="s">
        <v>10</v>
      </c>
      <c r="Q244">
        <v>2025</v>
      </c>
      <c r="R244" t="s">
        <v>129</v>
      </c>
      <c r="S244" t="s">
        <v>14</v>
      </c>
      <c r="T244" t="s">
        <v>413</v>
      </c>
      <c r="U244" t="str">
        <f>IFERROR(_xlfn.XLOOKUP(A244,'2025 EOY'!A:A,'2025 EOY'!B:B),"No")</f>
        <v>No</v>
      </c>
    </row>
    <row r="245" spans="1:22" x14ac:dyDescent="0.35">
      <c r="A245" t="s">
        <v>410</v>
      </c>
      <c r="B245" s="12">
        <v>45614</v>
      </c>
      <c r="C245" s="10" t="s">
        <v>19</v>
      </c>
      <c r="D245" s="10" t="s">
        <v>268</v>
      </c>
      <c r="E245" s="259">
        <v>700</v>
      </c>
      <c r="F245" s="172">
        <v>45657</v>
      </c>
      <c r="G245" s="172">
        <v>45657</v>
      </c>
      <c r="H245" s="15">
        <v>1</v>
      </c>
      <c r="I245" s="192">
        <v>1.1000000000000001</v>
      </c>
      <c r="J245" s="9">
        <v>70.000000000000057</v>
      </c>
      <c r="K245">
        <v>700</v>
      </c>
      <c r="L245" s="14" t="s">
        <v>59</v>
      </c>
      <c r="M245" s="8" t="s">
        <v>131</v>
      </c>
      <c r="N245">
        <v>770.00000000000011</v>
      </c>
      <c r="O245" t="s">
        <v>19</v>
      </c>
      <c r="P245" s="38" t="s">
        <v>19</v>
      </c>
      <c r="Q245">
        <v>2024</v>
      </c>
      <c r="R245" t="s">
        <v>131</v>
      </c>
      <c r="S245" t="s">
        <v>96</v>
      </c>
      <c r="T245" t="s">
        <v>414</v>
      </c>
      <c r="U245" t="str">
        <f>IFERROR(_xlfn.XLOOKUP(A245,'2025 EOY'!A:A,'2025 EOY'!B:B),"No")</f>
        <v>No</v>
      </c>
    </row>
    <row r="246" spans="1:22" x14ac:dyDescent="0.35">
      <c r="A246" t="s">
        <v>230</v>
      </c>
      <c r="B246" s="12">
        <v>45614</v>
      </c>
      <c r="C246" s="10" t="s">
        <v>10</v>
      </c>
      <c r="D246" s="4" t="s">
        <v>128</v>
      </c>
      <c r="E246" s="253">
        <v>200</v>
      </c>
      <c r="F246" s="172">
        <v>45688</v>
      </c>
      <c r="G246" s="172">
        <v>45688</v>
      </c>
      <c r="H246" s="15">
        <v>-4.1500000000000004</v>
      </c>
      <c r="I246" s="192">
        <v>-4.9400000000000004</v>
      </c>
      <c r="J246" s="9">
        <v>-158</v>
      </c>
      <c r="K246">
        <v>-830.00000000000011</v>
      </c>
      <c r="L246" s="14" t="s">
        <v>61</v>
      </c>
      <c r="M246" s="8" t="s">
        <v>131</v>
      </c>
      <c r="N246">
        <v>-988.00000000000011</v>
      </c>
      <c r="O246" t="s">
        <v>11</v>
      </c>
      <c r="P246" s="38" t="s">
        <v>10</v>
      </c>
      <c r="Q246">
        <v>2025</v>
      </c>
      <c r="R246" t="s">
        <v>131</v>
      </c>
      <c r="S246" t="s">
        <v>14</v>
      </c>
      <c r="T246" t="s">
        <v>415</v>
      </c>
      <c r="U246" t="str">
        <f>IFERROR(_xlfn.XLOOKUP(A246,'2025 EOY'!A:A,'2025 EOY'!B:B),"No")</f>
        <v>No</v>
      </c>
    </row>
    <row r="247" spans="1:22" x14ac:dyDescent="0.35">
      <c r="A247" t="s">
        <v>230</v>
      </c>
      <c r="B247" s="12">
        <v>45614</v>
      </c>
      <c r="C247" s="10" t="s">
        <v>10</v>
      </c>
      <c r="D247" s="4" t="s">
        <v>128</v>
      </c>
      <c r="E247" s="253">
        <v>200</v>
      </c>
      <c r="F247" s="172">
        <v>45688</v>
      </c>
      <c r="G247" s="172">
        <v>45688</v>
      </c>
      <c r="H247" s="15">
        <v>-4.16</v>
      </c>
      <c r="I247" s="192">
        <v>-4.9400000000000004</v>
      </c>
      <c r="J247" s="9">
        <v>-156.00000000000006</v>
      </c>
      <c r="K247">
        <v>-832</v>
      </c>
      <c r="L247" s="14" t="s">
        <v>61</v>
      </c>
      <c r="M247" s="8" t="s">
        <v>131</v>
      </c>
      <c r="N247">
        <v>-988.00000000000011</v>
      </c>
      <c r="O247" t="s">
        <v>11</v>
      </c>
      <c r="P247" s="38" t="s">
        <v>10</v>
      </c>
      <c r="Q247">
        <v>2025</v>
      </c>
      <c r="R247" t="s">
        <v>131</v>
      </c>
      <c r="S247" t="s">
        <v>14</v>
      </c>
      <c r="T247" t="s">
        <v>416</v>
      </c>
      <c r="U247" t="str">
        <f>IFERROR(_xlfn.XLOOKUP(A247,'2025 EOY'!A:A,'2025 EOY'!B:B),"No")</f>
        <v>No</v>
      </c>
    </row>
    <row r="248" spans="1:22" x14ac:dyDescent="0.35">
      <c r="A248" t="s">
        <v>410</v>
      </c>
      <c r="B248" s="12">
        <v>45614</v>
      </c>
      <c r="C248" s="10" t="s">
        <v>3</v>
      </c>
      <c r="D248" s="4" t="s">
        <v>128</v>
      </c>
      <c r="E248" s="253">
        <v>700</v>
      </c>
      <c r="F248" s="172">
        <v>45657</v>
      </c>
      <c r="G248" s="172">
        <v>45688</v>
      </c>
      <c r="H248" s="120">
        <v>-1.0000000000005116E-2</v>
      </c>
      <c r="I248" s="192">
        <v>0.15</v>
      </c>
      <c r="J248" s="9">
        <v>112.00000000000358</v>
      </c>
      <c r="K248">
        <v>-7.0000000000035811</v>
      </c>
      <c r="L248" s="14" t="s">
        <v>49</v>
      </c>
      <c r="M248" s="8" t="s">
        <v>131</v>
      </c>
      <c r="N248">
        <v>105</v>
      </c>
      <c r="O248" t="s">
        <v>4</v>
      </c>
      <c r="P248" s="38" t="s">
        <v>3</v>
      </c>
      <c r="Q248">
        <v>2024</v>
      </c>
      <c r="R248" t="s">
        <v>131</v>
      </c>
      <c r="S248" t="s">
        <v>14</v>
      </c>
      <c r="T248" t="s">
        <v>417</v>
      </c>
      <c r="U248" t="str">
        <f>IFERROR(_xlfn.XLOOKUP(A248,'2025 EOY'!A:A,'2025 EOY'!B:B),"No")</f>
        <v>No</v>
      </c>
    </row>
    <row r="249" spans="1:22" x14ac:dyDescent="0.35">
      <c r="A249" t="s">
        <v>410</v>
      </c>
      <c r="B249" s="12">
        <v>45614</v>
      </c>
      <c r="C249" s="10" t="s">
        <v>3</v>
      </c>
      <c r="D249" s="4" t="s">
        <v>128</v>
      </c>
      <c r="E249" s="253">
        <v>700</v>
      </c>
      <c r="F249" s="172">
        <v>45688</v>
      </c>
      <c r="G249" s="172">
        <v>45716</v>
      </c>
      <c r="H249" s="120">
        <v>0.18000000000000682</v>
      </c>
      <c r="I249" s="192">
        <v>0.56000000000000005</v>
      </c>
      <c r="J249" s="9">
        <v>265.99999999999528</v>
      </c>
      <c r="K249">
        <v>126.00000000000477</v>
      </c>
      <c r="L249" s="14" t="s">
        <v>52</v>
      </c>
      <c r="M249" s="8" t="s">
        <v>131</v>
      </c>
      <c r="N249">
        <v>392.00000000000006</v>
      </c>
      <c r="O249" t="s">
        <v>4</v>
      </c>
      <c r="P249" s="38" t="s">
        <v>3</v>
      </c>
      <c r="Q249">
        <v>2025</v>
      </c>
      <c r="R249" t="s">
        <v>131</v>
      </c>
      <c r="S249" t="s">
        <v>14</v>
      </c>
      <c r="T249" t="s">
        <v>418</v>
      </c>
      <c r="U249" t="str">
        <f>IFERROR(_xlfn.XLOOKUP(A249,'2025 EOY'!A:A,'2025 EOY'!B:B),"No")</f>
        <v>No</v>
      </c>
    </row>
    <row r="250" spans="1:22" x14ac:dyDescent="0.35">
      <c r="A250" t="s">
        <v>410</v>
      </c>
      <c r="B250" s="12">
        <v>45614</v>
      </c>
      <c r="C250" s="10" t="s">
        <v>10</v>
      </c>
      <c r="D250" s="4" t="s">
        <v>128</v>
      </c>
      <c r="E250" s="253">
        <v>700</v>
      </c>
      <c r="F250" s="172">
        <v>45716</v>
      </c>
      <c r="G250" s="172">
        <v>45716</v>
      </c>
      <c r="H250" s="120">
        <v>-4.0200000000000102</v>
      </c>
      <c r="I250" s="192">
        <v>-3.4</v>
      </c>
      <c r="J250" s="9">
        <v>434.00000000000722</v>
      </c>
      <c r="K250">
        <v>-2814.0000000000073</v>
      </c>
      <c r="L250" s="14" t="s">
        <v>62</v>
      </c>
      <c r="M250" s="8" t="s">
        <v>131</v>
      </c>
      <c r="N250">
        <v>-2380</v>
      </c>
      <c r="O250" t="s">
        <v>11</v>
      </c>
      <c r="P250" s="38" t="s">
        <v>10</v>
      </c>
      <c r="Q250">
        <v>2025</v>
      </c>
      <c r="R250" t="s">
        <v>131</v>
      </c>
      <c r="S250" t="s">
        <v>14</v>
      </c>
      <c r="T250" t="s">
        <v>419</v>
      </c>
      <c r="U250" t="str">
        <f>IFERROR(_xlfn.XLOOKUP(A250,'2025 EOY'!A:A,'2025 EOY'!B:B),"No")</f>
        <v>No</v>
      </c>
    </row>
    <row r="251" spans="1:22" x14ac:dyDescent="0.35">
      <c r="A251" s="37" t="s">
        <v>171</v>
      </c>
      <c r="B251" s="12">
        <v>45617</v>
      </c>
      <c r="C251" s="10" t="s">
        <v>3</v>
      </c>
      <c r="D251" s="4" t="s">
        <v>128</v>
      </c>
      <c r="E251" s="253">
        <v>500</v>
      </c>
      <c r="F251" s="172">
        <v>45688</v>
      </c>
      <c r="G251" s="172">
        <v>45716</v>
      </c>
      <c r="H251" s="120">
        <v>0.3</v>
      </c>
      <c r="I251" s="192">
        <v>0.56000000000000005</v>
      </c>
      <c r="J251" s="9">
        <v>130.00000000000003</v>
      </c>
      <c r="K251">
        <v>150</v>
      </c>
      <c r="L251" s="14" t="s">
        <v>52</v>
      </c>
      <c r="M251" s="8" t="s">
        <v>131</v>
      </c>
      <c r="N251">
        <v>280</v>
      </c>
      <c r="O251" t="s">
        <v>4</v>
      </c>
      <c r="P251" s="38" t="s">
        <v>3</v>
      </c>
      <c r="Q251">
        <v>2025</v>
      </c>
      <c r="R251" t="s">
        <v>131</v>
      </c>
      <c r="S251" t="s">
        <v>14</v>
      </c>
      <c r="T251" t="s">
        <v>420</v>
      </c>
      <c r="U251" t="str">
        <f>IFERROR(_xlfn.XLOOKUP(A251,'2025 EOY'!A:A,'2025 EOY'!B:B),"No")</f>
        <v>No</v>
      </c>
    </row>
    <row r="252" spans="1:22" x14ac:dyDescent="0.35">
      <c r="A252" s="21" t="s">
        <v>171</v>
      </c>
      <c r="B252" s="175">
        <v>45617</v>
      </c>
      <c r="C252" s="22" t="s">
        <v>28</v>
      </c>
      <c r="D252" s="22" t="s">
        <v>268</v>
      </c>
      <c r="E252" s="256">
        <v>0</v>
      </c>
      <c r="F252" s="24">
        <v>45626</v>
      </c>
      <c r="G252" s="24">
        <v>45626</v>
      </c>
      <c r="H252" s="207">
        <v>7450</v>
      </c>
      <c r="I252" s="193">
        <v>7400</v>
      </c>
      <c r="J252" s="25">
        <v>0</v>
      </c>
      <c r="K252" s="26">
        <v>0</v>
      </c>
      <c r="L252" s="14" t="s">
        <v>67</v>
      </c>
      <c r="M252" s="27" t="s">
        <v>131</v>
      </c>
      <c r="N252" s="26">
        <v>0</v>
      </c>
      <c r="O252" s="28" t="s">
        <v>29</v>
      </c>
      <c r="P252" s="38" t="s">
        <v>29</v>
      </c>
      <c r="Q252">
        <v>2024</v>
      </c>
      <c r="R252" t="s">
        <v>129</v>
      </c>
      <c r="S252" t="s">
        <v>14</v>
      </c>
      <c r="T252" t="s">
        <v>421</v>
      </c>
      <c r="U252" t="str">
        <f>IFERROR(_xlfn.XLOOKUP(A252,'2025 EOY'!A:A,'2025 EOY'!B:B),"No")</f>
        <v>No</v>
      </c>
    </row>
    <row r="253" spans="1:22" x14ac:dyDescent="0.35">
      <c r="A253" s="37" t="s">
        <v>171</v>
      </c>
      <c r="B253" s="12">
        <v>45617</v>
      </c>
      <c r="C253" s="10" t="s">
        <v>19</v>
      </c>
      <c r="D253" s="10" t="s">
        <v>268</v>
      </c>
      <c r="E253" s="259">
        <v>2000</v>
      </c>
      <c r="F253" s="172">
        <v>45626</v>
      </c>
      <c r="G253" s="172">
        <v>45626</v>
      </c>
      <c r="H253" s="15">
        <v>2.15</v>
      </c>
      <c r="I253" s="192">
        <v>2.1</v>
      </c>
      <c r="J253" s="9">
        <v>-99.999999999999645</v>
      </c>
      <c r="K253">
        <v>4300</v>
      </c>
      <c r="L253" s="14" t="s">
        <v>67</v>
      </c>
      <c r="M253" s="8" t="s">
        <v>131</v>
      </c>
      <c r="N253">
        <v>4200</v>
      </c>
      <c r="O253" s="38" t="s">
        <v>19</v>
      </c>
      <c r="P253" s="38" t="s">
        <v>19</v>
      </c>
      <c r="Q253">
        <v>2024</v>
      </c>
      <c r="R253" t="s">
        <v>131</v>
      </c>
      <c r="S253" t="s">
        <v>96</v>
      </c>
      <c r="T253" t="s">
        <v>422</v>
      </c>
      <c r="U253" t="str">
        <f>IFERROR(_xlfn.XLOOKUP(A253,'2025 EOY'!A:A,'2025 EOY'!B:B),"No")</f>
        <v>No</v>
      </c>
      <c r="V253" t="s">
        <v>3</v>
      </c>
    </row>
    <row r="254" spans="1:22" x14ac:dyDescent="0.35">
      <c r="A254" s="37" t="s">
        <v>171</v>
      </c>
      <c r="B254" s="12">
        <v>45617</v>
      </c>
      <c r="C254" s="10" t="s">
        <v>3</v>
      </c>
      <c r="D254" s="4" t="s">
        <v>268</v>
      </c>
      <c r="E254" s="253">
        <v>-2000</v>
      </c>
      <c r="F254" s="172">
        <v>45688</v>
      </c>
      <c r="G254" s="172">
        <v>45716</v>
      </c>
      <c r="H254" s="15">
        <v>0.28999999999999998</v>
      </c>
      <c r="I254" s="192">
        <v>0.56000000000000005</v>
      </c>
      <c r="J254" s="9">
        <v>-540.00000000000011</v>
      </c>
      <c r="K254">
        <v>-580</v>
      </c>
      <c r="L254" s="14" t="s">
        <v>52</v>
      </c>
      <c r="M254" s="8" t="s">
        <v>129</v>
      </c>
      <c r="N254">
        <v>-1120</v>
      </c>
      <c r="O254" s="38" t="s">
        <v>4</v>
      </c>
      <c r="P254" s="38" t="s">
        <v>3</v>
      </c>
      <c r="Q254">
        <v>2025</v>
      </c>
      <c r="R254" t="s">
        <v>129</v>
      </c>
      <c r="S254" t="s">
        <v>14</v>
      </c>
      <c r="T254" t="s">
        <v>423</v>
      </c>
      <c r="U254" t="str">
        <f>IFERROR(_xlfn.XLOOKUP(A254,'2025 EOY'!A:A,'2025 EOY'!B:B),"No")</f>
        <v>No</v>
      </c>
      <c r="V254" t="s">
        <v>7</v>
      </c>
    </row>
    <row r="255" spans="1:22" x14ac:dyDescent="0.35">
      <c r="A255" s="37" t="s">
        <v>171</v>
      </c>
      <c r="B255" s="12">
        <v>45617</v>
      </c>
      <c r="C255" s="10" t="s">
        <v>10</v>
      </c>
      <c r="D255" s="4" t="s">
        <v>268</v>
      </c>
      <c r="E255" s="253">
        <v>-2000</v>
      </c>
      <c r="F255" s="172">
        <v>45716</v>
      </c>
      <c r="G255" s="172">
        <v>45716</v>
      </c>
      <c r="H255" s="120">
        <v>-4.05</v>
      </c>
      <c r="I255" s="192">
        <v>-3.4</v>
      </c>
      <c r="J255" s="9">
        <v>-1299.9999999999998</v>
      </c>
      <c r="K255">
        <v>8100</v>
      </c>
      <c r="L255" s="14" t="s">
        <v>62</v>
      </c>
      <c r="M255" s="8" t="s">
        <v>129</v>
      </c>
      <c r="N255">
        <v>6800</v>
      </c>
      <c r="O255" s="38" t="s">
        <v>11</v>
      </c>
      <c r="P255" s="38" t="s">
        <v>10</v>
      </c>
      <c r="Q255">
        <v>2025</v>
      </c>
      <c r="R255" t="s">
        <v>129</v>
      </c>
      <c r="S255" t="s">
        <v>14</v>
      </c>
      <c r="T255" t="s">
        <v>424</v>
      </c>
      <c r="U255" t="str">
        <f>IFERROR(_xlfn.XLOOKUP(A255,'2025 EOY'!A:A,'2025 EOY'!B:B),"No")</f>
        <v>No</v>
      </c>
      <c r="V255" t="s">
        <v>10</v>
      </c>
    </row>
    <row r="256" spans="1:22" x14ac:dyDescent="0.35">
      <c r="A256" s="37" t="s">
        <v>171</v>
      </c>
      <c r="B256" s="12">
        <v>45617</v>
      </c>
      <c r="C256" s="10" t="s">
        <v>7</v>
      </c>
      <c r="D256" s="4" t="s">
        <v>268</v>
      </c>
      <c r="E256" s="253">
        <v>-2000</v>
      </c>
      <c r="F256" s="172">
        <v>45716</v>
      </c>
      <c r="G256" s="172">
        <v>45747</v>
      </c>
      <c r="H256" s="15">
        <v>0.3</v>
      </c>
      <c r="I256" s="192">
        <v>0.4</v>
      </c>
      <c r="J256" s="9">
        <v>-200.00000000000006</v>
      </c>
      <c r="K256">
        <v>-600</v>
      </c>
      <c r="L256" s="14" t="s">
        <v>54</v>
      </c>
      <c r="M256" s="8" t="s">
        <v>129</v>
      </c>
      <c r="N256">
        <v>-800</v>
      </c>
      <c r="O256" s="38" t="s">
        <v>4</v>
      </c>
      <c r="P256" s="38" t="s">
        <v>7</v>
      </c>
      <c r="Q256">
        <v>2025</v>
      </c>
      <c r="R256" t="s">
        <v>129</v>
      </c>
      <c r="S256" t="s">
        <v>14</v>
      </c>
      <c r="T256" t="s">
        <v>425</v>
      </c>
      <c r="U256" t="str">
        <f>IFERROR(_xlfn.XLOOKUP(A256,'2025 EOY'!A:A,'2025 EOY'!B:B),"No")</f>
        <v>No</v>
      </c>
      <c r="V256" t="s">
        <v>15</v>
      </c>
    </row>
    <row r="257" spans="1:22" x14ac:dyDescent="0.35">
      <c r="A257" s="29" t="s">
        <v>171</v>
      </c>
      <c r="B257" s="176">
        <v>45617</v>
      </c>
      <c r="C257" s="30" t="s">
        <v>15</v>
      </c>
      <c r="D257" s="31" t="s">
        <v>268</v>
      </c>
      <c r="E257" s="257">
        <v>2000</v>
      </c>
      <c r="F257" s="32">
        <v>45688</v>
      </c>
      <c r="G257" s="32">
        <v>45688</v>
      </c>
      <c r="H257" s="208">
        <v>0.15</v>
      </c>
      <c r="I257" s="195">
        <v>0.93</v>
      </c>
      <c r="J257" s="33">
        <v>1560</v>
      </c>
      <c r="K257" s="34">
        <v>300</v>
      </c>
      <c r="L257" s="14" t="s">
        <v>61</v>
      </c>
      <c r="M257" s="35" t="s">
        <v>131</v>
      </c>
      <c r="N257" s="34">
        <v>1860</v>
      </c>
      <c r="O257" s="36" t="s">
        <v>11</v>
      </c>
      <c r="P257" s="38" t="s">
        <v>16</v>
      </c>
      <c r="Q257">
        <v>2025</v>
      </c>
      <c r="R257" t="s">
        <v>131</v>
      </c>
      <c r="S257" t="s">
        <v>14</v>
      </c>
      <c r="T257" t="s">
        <v>426</v>
      </c>
      <c r="U257" t="str">
        <f>IFERROR(_xlfn.XLOOKUP(A257,'2025 EOY'!A:A,'2025 EOY'!B:B),"No")</f>
        <v>No</v>
      </c>
      <c r="V257" t="s">
        <v>19</v>
      </c>
    </row>
    <row r="258" spans="1:22" x14ac:dyDescent="0.35">
      <c r="A258" s="37" t="s">
        <v>127</v>
      </c>
      <c r="B258" s="12">
        <v>45621</v>
      </c>
      <c r="C258" s="10" t="s">
        <v>10</v>
      </c>
      <c r="D258" s="4" t="s">
        <v>128</v>
      </c>
      <c r="E258" s="253">
        <v>300</v>
      </c>
      <c r="F258" s="172">
        <v>45688</v>
      </c>
      <c r="G258" s="172">
        <v>45688</v>
      </c>
      <c r="H258" s="120">
        <v>-4</v>
      </c>
      <c r="I258" s="192">
        <v>-4.9400000000000004</v>
      </c>
      <c r="J258" s="9">
        <v>-282.00000000000011</v>
      </c>
      <c r="K258">
        <v>-1200</v>
      </c>
      <c r="L258" s="14" t="s">
        <v>61</v>
      </c>
      <c r="M258" s="8" t="s">
        <v>131</v>
      </c>
      <c r="N258">
        <v>-1482.0000000000002</v>
      </c>
      <c r="O258" s="38" t="s">
        <v>11</v>
      </c>
      <c r="P258" s="38" t="s">
        <v>10</v>
      </c>
      <c r="Q258">
        <v>2025</v>
      </c>
      <c r="R258" t="s">
        <v>131</v>
      </c>
      <c r="S258" t="s">
        <v>14</v>
      </c>
      <c r="T258" t="s">
        <v>427</v>
      </c>
      <c r="U258" t="str">
        <f>IFERROR(_xlfn.XLOOKUP(A258,'2025 EOY'!A:A,'2025 EOY'!B:B),"No")</f>
        <v>No</v>
      </c>
      <c r="V258" t="s">
        <v>19</v>
      </c>
    </row>
    <row r="259" spans="1:22" x14ac:dyDescent="0.35">
      <c r="A259" s="37" t="s">
        <v>127</v>
      </c>
      <c r="B259" s="12">
        <v>45621</v>
      </c>
      <c r="C259" s="10" t="s">
        <v>10</v>
      </c>
      <c r="D259" s="4" t="s">
        <v>128</v>
      </c>
      <c r="E259" s="253">
        <v>300</v>
      </c>
      <c r="F259" s="172">
        <v>45688</v>
      </c>
      <c r="G259" s="172">
        <v>45688</v>
      </c>
      <c r="H259" s="120">
        <v>-4.0199999999999996</v>
      </c>
      <c r="I259" s="192">
        <v>-4.9400000000000004</v>
      </c>
      <c r="J259" s="9">
        <v>-276.00000000000023</v>
      </c>
      <c r="K259">
        <v>-1205.9999999999998</v>
      </c>
      <c r="L259" s="14" t="s">
        <v>61</v>
      </c>
      <c r="M259" s="8" t="s">
        <v>131</v>
      </c>
      <c r="N259">
        <v>-1482.0000000000002</v>
      </c>
      <c r="O259" s="38" t="s">
        <v>11</v>
      </c>
      <c r="P259" s="38" t="s">
        <v>10</v>
      </c>
      <c r="Q259">
        <v>2025</v>
      </c>
      <c r="R259" t="s">
        <v>131</v>
      </c>
      <c r="S259" t="s">
        <v>14</v>
      </c>
      <c r="T259" t="s">
        <v>428</v>
      </c>
      <c r="U259" t="str">
        <f>IFERROR(_xlfn.XLOOKUP(A259,'2025 EOY'!A:A,'2025 EOY'!B:B),"No")</f>
        <v>No</v>
      </c>
      <c r="V259" t="s">
        <v>25</v>
      </c>
    </row>
    <row r="260" spans="1:22" x14ac:dyDescent="0.35">
      <c r="A260" s="37" t="s">
        <v>127</v>
      </c>
      <c r="B260" s="12">
        <v>45621</v>
      </c>
      <c r="C260" s="10" t="s">
        <v>10</v>
      </c>
      <c r="D260" s="4" t="s">
        <v>128</v>
      </c>
      <c r="E260" s="253">
        <v>200</v>
      </c>
      <c r="F260" s="172">
        <v>45688</v>
      </c>
      <c r="G260" s="172">
        <v>45688</v>
      </c>
      <c r="H260" s="120">
        <v>-4.04</v>
      </c>
      <c r="I260" s="192">
        <v>-4.9400000000000004</v>
      </c>
      <c r="J260" s="9">
        <v>-180.00000000000006</v>
      </c>
      <c r="K260">
        <v>-808</v>
      </c>
      <c r="L260" s="14" t="s">
        <v>61</v>
      </c>
      <c r="M260" s="8" t="s">
        <v>131</v>
      </c>
      <c r="N260">
        <v>-988.00000000000011</v>
      </c>
      <c r="O260" s="38" t="s">
        <v>11</v>
      </c>
      <c r="P260" s="38" t="s">
        <v>10</v>
      </c>
      <c r="Q260">
        <v>2025</v>
      </c>
      <c r="R260" t="s">
        <v>131</v>
      </c>
      <c r="S260" t="s">
        <v>14</v>
      </c>
      <c r="T260" t="s">
        <v>429</v>
      </c>
      <c r="U260" t="str">
        <f>IFERROR(_xlfn.XLOOKUP(A260,'2025 EOY'!A:A,'2025 EOY'!B:B),"No")</f>
        <v>No</v>
      </c>
      <c r="V260" t="s">
        <v>36</v>
      </c>
    </row>
    <row r="261" spans="1:22" x14ac:dyDescent="0.35">
      <c r="A261" s="37" t="s">
        <v>127</v>
      </c>
      <c r="B261" s="12">
        <v>45621</v>
      </c>
      <c r="C261" s="10" t="s">
        <v>10</v>
      </c>
      <c r="D261" s="4" t="s">
        <v>128</v>
      </c>
      <c r="E261" s="253">
        <v>200</v>
      </c>
      <c r="F261" s="172">
        <v>45688</v>
      </c>
      <c r="G261" s="172">
        <v>45688</v>
      </c>
      <c r="H261" s="120">
        <v>-4.0599999999999996</v>
      </c>
      <c r="I261" s="192">
        <v>-4.9400000000000004</v>
      </c>
      <c r="J261" s="9">
        <v>-176.00000000000017</v>
      </c>
      <c r="K261">
        <v>-811.99999999999989</v>
      </c>
      <c r="L261" s="14" t="s">
        <v>61</v>
      </c>
      <c r="M261" s="8" t="s">
        <v>131</v>
      </c>
      <c r="N261">
        <v>-988.00000000000011</v>
      </c>
      <c r="O261" s="38" t="s">
        <v>11</v>
      </c>
      <c r="P261" s="38" t="s">
        <v>10</v>
      </c>
      <c r="Q261">
        <v>2025</v>
      </c>
      <c r="R261" t="s">
        <v>131</v>
      </c>
      <c r="S261" t="s">
        <v>14</v>
      </c>
      <c r="T261" t="s">
        <v>430</v>
      </c>
      <c r="U261" t="str">
        <f>IFERROR(_xlfn.XLOOKUP(A261,'2025 EOY'!A:A,'2025 EOY'!B:B),"No")</f>
        <v>No</v>
      </c>
      <c r="V261" t="s">
        <v>39</v>
      </c>
    </row>
    <row r="262" spans="1:22" x14ac:dyDescent="0.35">
      <c r="A262" s="37" t="s">
        <v>127</v>
      </c>
      <c r="B262" s="12">
        <v>45621</v>
      </c>
      <c r="C262" s="10" t="s">
        <v>10</v>
      </c>
      <c r="D262" s="4" t="s">
        <v>128</v>
      </c>
      <c r="E262" s="253">
        <v>200</v>
      </c>
      <c r="F262" s="172">
        <v>45688</v>
      </c>
      <c r="G262" s="172">
        <v>45688</v>
      </c>
      <c r="H262" s="120">
        <v>-4.08</v>
      </c>
      <c r="I262" s="192">
        <v>-4.9400000000000004</v>
      </c>
      <c r="J262" s="9">
        <v>-172.00000000000006</v>
      </c>
      <c r="K262">
        <v>-816</v>
      </c>
      <c r="L262" s="14" t="s">
        <v>61</v>
      </c>
      <c r="M262" s="8" t="s">
        <v>131</v>
      </c>
      <c r="N262">
        <v>-988.00000000000011</v>
      </c>
      <c r="O262" s="38" t="s">
        <v>11</v>
      </c>
      <c r="P262" s="38" t="s">
        <v>10</v>
      </c>
      <c r="Q262">
        <v>2025</v>
      </c>
      <c r="R262" t="s">
        <v>131</v>
      </c>
      <c r="S262" t="s">
        <v>14</v>
      </c>
      <c r="T262" t="s">
        <v>431</v>
      </c>
      <c r="U262" t="str">
        <f>IFERROR(_xlfn.XLOOKUP(A262,'2025 EOY'!A:A,'2025 EOY'!B:B),"No")</f>
        <v>No</v>
      </c>
      <c r="V262" t="s">
        <v>28</v>
      </c>
    </row>
    <row r="263" spans="1:22" x14ac:dyDescent="0.35">
      <c r="A263" t="s">
        <v>127</v>
      </c>
      <c r="B263" s="12">
        <v>45621</v>
      </c>
      <c r="C263" s="10" t="s">
        <v>7</v>
      </c>
      <c r="D263" s="4" t="s">
        <v>128</v>
      </c>
      <c r="E263" s="253">
        <v>1000</v>
      </c>
      <c r="F263" s="172">
        <v>45688</v>
      </c>
      <c r="G263" s="172">
        <v>45716</v>
      </c>
      <c r="H263" s="15">
        <v>0.55000000000000004</v>
      </c>
      <c r="I263" s="192">
        <v>1.1000000000000001</v>
      </c>
      <c r="J263" s="9">
        <v>550</v>
      </c>
      <c r="K263">
        <v>550</v>
      </c>
      <c r="L263" s="14" t="s">
        <v>52</v>
      </c>
      <c r="M263" s="8" t="s">
        <v>131</v>
      </c>
      <c r="N263">
        <v>1100</v>
      </c>
      <c r="O263" t="s">
        <v>4</v>
      </c>
      <c r="P263" s="38" t="s">
        <v>7</v>
      </c>
      <c r="Q263">
        <v>2025</v>
      </c>
      <c r="R263" t="s">
        <v>131</v>
      </c>
      <c r="S263" t="s">
        <v>14</v>
      </c>
      <c r="T263" t="s">
        <v>432</v>
      </c>
      <c r="U263" t="str">
        <f>IFERROR(_xlfn.XLOOKUP(A263,'2025 EOY'!A:A,'2025 EOY'!B:B),"No")</f>
        <v>No</v>
      </c>
    </row>
    <row r="264" spans="1:22" x14ac:dyDescent="0.35">
      <c r="A264" s="37" t="s">
        <v>171</v>
      </c>
      <c r="B264" s="12">
        <v>45621</v>
      </c>
      <c r="C264" s="10" t="s">
        <v>3</v>
      </c>
      <c r="D264" s="4" t="s">
        <v>128</v>
      </c>
      <c r="E264" s="253">
        <v>700</v>
      </c>
      <c r="F264" s="172">
        <v>45688</v>
      </c>
      <c r="G264" s="172">
        <v>45716</v>
      </c>
      <c r="H264" s="15">
        <v>0.36</v>
      </c>
      <c r="I264" s="192">
        <v>0.56000000000000005</v>
      </c>
      <c r="J264" s="9">
        <v>140.00000000000006</v>
      </c>
      <c r="K264">
        <v>252</v>
      </c>
      <c r="L264" s="14" t="s">
        <v>52</v>
      </c>
      <c r="M264" s="8" t="s">
        <v>131</v>
      </c>
      <c r="N264">
        <v>392.00000000000006</v>
      </c>
      <c r="O264" s="38" t="s">
        <v>4</v>
      </c>
      <c r="P264" s="38" t="s">
        <v>3</v>
      </c>
      <c r="Q264">
        <v>2025</v>
      </c>
      <c r="R264" t="s">
        <v>131</v>
      </c>
      <c r="S264" t="s">
        <v>14</v>
      </c>
      <c r="T264" t="s">
        <v>433</v>
      </c>
      <c r="U264" t="str">
        <f>IFERROR(_xlfn.XLOOKUP(A264,'2025 EOY'!A:A,'2025 EOY'!B:B),"No")</f>
        <v>No</v>
      </c>
    </row>
    <row r="265" spans="1:22" x14ac:dyDescent="0.35">
      <c r="A265" s="37" t="s">
        <v>171</v>
      </c>
      <c r="B265" s="12">
        <v>45621</v>
      </c>
      <c r="C265" s="10" t="s">
        <v>10</v>
      </c>
      <c r="D265" s="4" t="s">
        <v>128</v>
      </c>
      <c r="E265" s="253">
        <v>700</v>
      </c>
      <c r="F265" s="172">
        <v>45716</v>
      </c>
      <c r="G265" s="172">
        <v>45716</v>
      </c>
      <c r="H265" s="120">
        <v>-3.9</v>
      </c>
      <c r="I265" s="192">
        <v>-3.4</v>
      </c>
      <c r="J265" s="9">
        <v>350</v>
      </c>
      <c r="K265">
        <v>-2730</v>
      </c>
      <c r="L265" s="14" t="s">
        <v>62</v>
      </c>
      <c r="M265" s="8" t="s">
        <v>131</v>
      </c>
      <c r="N265">
        <v>-2380</v>
      </c>
      <c r="O265" s="38" t="s">
        <v>11</v>
      </c>
      <c r="P265" s="38" t="s">
        <v>10</v>
      </c>
      <c r="Q265">
        <v>2025</v>
      </c>
      <c r="R265" t="s">
        <v>131</v>
      </c>
      <c r="S265" t="s">
        <v>14</v>
      </c>
      <c r="T265" t="s">
        <v>434</v>
      </c>
      <c r="U265" t="str">
        <f>IFERROR(_xlfn.XLOOKUP(A265,'2025 EOY'!A:A,'2025 EOY'!B:B),"No")</f>
        <v>No</v>
      </c>
    </row>
    <row r="266" spans="1:22" x14ac:dyDescent="0.35">
      <c r="A266" s="37" t="s">
        <v>171</v>
      </c>
      <c r="B266" s="12">
        <v>45621</v>
      </c>
      <c r="C266" s="10" t="s">
        <v>7</v>
      </c>
      <c r="D266" s="4" t="s">
        <v>128</v>
      </c>
      <c r="E266" s="253">
        <v>700</v>
      </c>
      <c r="F266" s="172">
        <v>45716</v>
      </c>
      <c r="G266" s="172">
        <v>45747</v>
      </c>
      <c r="H266" s="15">
        <v>0.34</v>
      </c>
      <c r="I266" s="192">
        <v>0.4</v>
      </c>
      <c r="J266" s="9">
        <v>42</v>
      </c>
      <c r="K266">
        <v>238.00000000000003</v>
      </c>
      <c r="L266" s="14" t="s">
        <v>54</v>
      </c>
      <c r="M266" s="8" t="s">
        <v>131</v>
      </c>
      <c r="N266">
        <v>280</v>
      </c>
      <c r="O266" s="38" t="s">
        <v>4</v>
      </c>
      <c r="P266" s="38" t="s">
        <v>7</v>
      </c>
      <c r="Q266">
        <v>2025</v>
      </c>
      <c r="R266" t="s">
        <v>131</v>
      </c>
      <c r="S266" t="s">
        <v>14</v>
      </c>
      <c r="T266" t="s">
        <v>435</v>
      </c>
      <c r="U266" t="str">
        <f>IFERROR(_xlfn.XLOOKUP(A266,'2025 EOY'!A:A,'2025 EOY'!B:B),"No")</f>
        <v>No</v>
      </c>
    </row>
    <row r="267" spans="1:22" x14ac:dyDescent="0.35">
      <c r="A267" s="37" t="s">
        <v>127</v>
      </c>
      <c r="B267" s="12">
        <v>45623</v>
      </c>
      <c r="C267" s="10" t="s">
        <v>10</v>
      </c>
      <c r="D267" s="4" t="s">
        <v>128</v>
      </c>
      <c r="E267" s="253">
        <v>300</v>
      </c>
      <c r="F267" s="172">
        <v>45688</v>
      </c>
      <c r="G267" s="172">
        <v>45688</v>
      </c>
      <c r="H267" s="120">
        <v>-4.07</v>
      </c>
      <c r="I267" s="192">
        <v>-4.9400000000000004</v>
      </c>
      <c r="J267" s="9">
        <v>-261.00000000000006</v>
      </c>
      <c r="K267">
        <v>-1221</v>
      </c>
      <c r="L267" s="14" t="s">
        <v>61</v>
      </c>
      <c r="M267" s="8" t="s">
        <v>131</v>
      </c>
      <c r="N267">
        <v>-1482.0000000000002</v>
      </c>
      <c r="O267" s="38" t="s">
        <v>11</v>
      </c>
      <c r="P267" s="38" t="s">
        <v>10</v>
      </c>
      <c r="Q267">
        <v>2025</v>
      </c>
      <c r="R267" t="s">
        <v>131</v>
      </c>
      <c r="S267" t="s">
        <v>14</v>
      </c>
      <c r="T267" t="s">
        <v>436</v>
      </c>
      <c r="U267" t="str">
        <f>IFERROR(_xlfn.XLOOKUP(A267,'2025 EOY'!A:A,'2025 EOY'!B:B),"No")</f>
        <v>No</v>
      </c>
    </row>
    <row r="268" spans="1:22" x14ac:dyDescent="0.35">
      <c r="A268" s="37" t="s">
        <v>127</v>
      </c>
      <c r="B268" s="12">
        <v>45623</v>
      </c>
      <c r="C268" s="10" t="s">
        <v>10</v>
      </c>
      <c r="D268" s="4" t="s">
        <v>128</v>
      </c>
      <c r="E268" s="253">
        <v>300</v>
      </c>
      <c r="F268" s="172">
        <v>45688</v>
      </c>
      <c r="G268" s="172">
        <v>45688</v>
      </c>
      <c r="H268" s="120">
        <v>-4.0999999999999996</v>
      </c>
      <c r="I268" s="192">
        <v>-4.9400000000000004</v>
      </c>
      <c r="J268" s="9">
        <v>-252.00000000000023</v>
      </c>
      <c r="K268">
        <v>-1230</v>
      </c>
      <c r="L268" s="14" t="s">
        <v>61</v>
      </c>
      <c r="M268" s="8" t="s">
        <v>131</v>
      </c>
      <c r="N268">
        <v>-1482.0000000000002</v>
      </c>
      <c r="O268" s="38" t="s">
        <v>11</v>
      </c>
      <c r="P268" s="38" t="s">
        <v>10</v>
      </c>
      <c r="Q268">
        <v>2025</v>
      </c>
      <c r="R268" t="s">
        <v>131</v>
      </c>
      <c r="S268" t="s">
        <v>14</v>
      </c>
      <c r="T268" t="s">
        <v>437</v>
      </c>
      <c r="U268" t="str">
        <f>IFERROR(_xlfn.XLOOKUP(A268,'2025 EOY'!A:A,'2025 EOY'!B:B),"No")</f>
        <v>No</v>
      </c>
    </row>
    <row r="269" spans="1:22" x14ac:dyDescent="0.35">
      <c r="A269" s="37" t="s">
        <v>127</v>
      </c>
      <c r="B269" s="12">
        <v>45623</v>
      </c>
      <c r="C269" s="10" t="s">
        <v>10</v>
      </c>
      <c r="D269" s="4" t="s">
        <v>128</v>
      </c>
      <c r="E269" s="253">
        <v>332</v>
      </c>
      <c r="F269" s="172">
        <v>45688</v>
      </c>
      <c r="G269" s="172">
        <v>45688</v>
      </c>
      <c r="H269" s="120">
        <v>-4.08</v>
      </c>
      <c r="I269" s="192">
        <v>-4.9400000000000004</v>
      </c>
      <c r="J269" s="9">
        <v>-285.5200000000001</v>
      </c>
      <c r="K269">
        <v>-1354.56</v>
      </c>
      <c r="L269" s="14" t="s">
        <v>61</v>
      </c>
      <c r="M269" s="8" t="s">
        <v>131</v>
      </c>
      <c r="N269">
        <v>-1640.0800000000002</v>
      </c>
      <c r="O269" s="38" t="s">
        <v>11</v>
      </c>
      <c r="P269" s="38" t="s">
        <v>10</v>
      </c>
      <c r="Q269">
        <v>2025</v>
      </c>
      <c r="R269" t="s">
        <v>131</v>
      </c>
      <c r="S269" t="s">
        <v>14</v>
      </c>
      <c r="T269" t="s">
        <v>438</v>
      </c>
      <c r="U269" t="str">
        <f>IFERROR(_xlfn.XLOOKUP(A269,'2025 EOY'!A:A,'2025 EOY'!B:B),"No")</f>
        <v>No</v>
      </c>
    </row>
    <row r="270" spans="1:22" x14ac:dyDescent="0.35">
      <c r="A270" s="37" t="s">
        <v>171</v>
      </c>
      <c r="B270" s="12">
        <v>45617</v>
      </c>
      <c r="C270" s="10" t="s">
        <v>7</v>
      </c>
      <c r="D270" s="4" t="s">
        <v>268</v>
      </c>
      <c r="E270" s="253">
        <v>1383</v>
      </c>
      <c r="F270" s="172">
        <v>45688</v>
      </c>
      <c r="G270" s="172">
        <v>45716</v>
      </c>
      <c r="H270" s="15">
        <v>0.5</v>
      </c>
      <c r="I270" s="192">
        <v>1.1000000000000001</v>
      </c>
      <c r="J270" s="9">
        <v>829.80000000000007</v>
      </c>
      <c r="K270">
        <v>691.5</v>
      </c>
      <c r="L270" s="14" t="s">
        <v>52</v>
      </c>
      <c r="M270" s="8" t="s">
        <v>131</v>
      </c>
      <c r="N270">
        <v>1521.3000000000002</v>
      </c>
      <c r="O270" s="38" t="s">
        <v>4</v>
      </c>
      <c r="P270" s="38" t="s">
        <v>7</v>
      </c>
      <c r="Q270">
        <v>2025</v>
      </c>
      <c r="R270" t="s">
        <v>131</v>
      </c>
      <c r="S270" t="s">
        <v>14</v>
      </c>
      <c r="T270" t="s">
        <v>439</v>
      </c>
      <c r="U270" t="str">
        <f>IFERROR(_xlfn.XLOOKUP(A270,'2025 EOY'!A:A,'2025 EOY'!B:B),"No")</f>
        <v>No</v>
      </c>
    </row>
    <row r="271" spans="1:22" x14ac:dyDescent="0.35">
      <c r="A271" s="29" t="s">
        <v>127</v>
      </c>
      <c r="B271" s="176">
        <v>45628</v>
      </c>
      <c r="C271" s="30" t="s">
        <v>22</v>
      </c>
      <c r="D271" s="31" t="s">
        <v>128</v>
      </c>
      <c r="E271" s="257">
        <v>-400</v>
      </c>
      <c r="F271" s="74" t="s">
        <v>139</v>
      </c>
      <c r="G271" s="32">
        <v>45657</v>
      </c>
      <c r="H271" s="208">
        <v>0.33</v>
      </c>
      <c r="I271" s="195">
        <v>0.84699999999999998</v>
      </c>
      <c r="J271" s="33">
        <v>-206.79999999999995</v>
      </c>
      <c r="K271" s="34">
        <v>-132</v>
      </c>
      <c r="L271" s="14" t="s">
        <v>27</v>
      </c>
      <c r="M271" s="35" t="s">
        <v>129</v>
      </c>
      <c r="N271" s="34">
        <v>-338.8</v>
      </c>
      <c r="O271" s="36" t="s">
        <v>11</v>
      </c>
      <c r="P271" s="38" t="s">
        <v>16</v>
      </c>
      <c r="Q271">
        <v>2024</v>
      </c>
      <c r="R271" t="s">
        <v>129</v>
      </c>
      <c r="S271" t="s">
        <v>14</v>
      </c>
      <c r="T271" t="s">
        <v>440</v>
      </c>
      <c r="U271" t="str">
        <f>IFERROR(_xlfn.XLOOKUP(A271,'2025 EOY'!A:A,'2025 EOY'!B:B),"No")</f>
        <v>No</v>
      </c>
    </row>
    <row r="272" spans="1:22" x14ac:dyDescent="0.35">
      <c r="A272" s="29" t="s">
        <v>127</v>
      </c>
      <c r="B272" s="176">
        <v>45628</v>
      </c>
      <c r="C272" s="30" t="s">
        <v>22</v>
      </c>
      <c r="D272" s="31" t="s">
        <v>128</v>
      </c>
      <c r="E272" s="257">
        <v>-200</v>
      </c>
      <c r="F272" s="32" t="s">
        <v>141</v>
      </c>
      <c r="G272" s="32">
        <v>45657</v>
      </c>
      <c r="H272" s="208">
        <v>0.19</v>
      </c>
      <c r="I272" s="195">
        <v>-0.09</v>
      </c>
      <c r="J272" s="33">
        <v>56.000000000000007</v>
      </c>
      <c r="K272" s="34">
        <v>-38</v>
      </c>
      <c r="L272" s="14" t="s">
        <v>31</v>
      </c>
      <c r="M272" s="35" t="s">
        <v>129</v>
      </c>
      <c r="N272" s="34">
        <v>18</v>
      </c>
      <c r="O272" s="36" t="s">
        <v>11</v>
      </c>
      <c r="P272" s="38" t="s">
        <v>16</v>
      </c>
      <c r="Q272">
        <v>2024</v>
      </c>
      <c r="R272" t="s">
        <v>129</v>
      </c>
      <c r="S272" t="s">
        <v>14</v>
      </c>
      <c r="T272" t="s">
        <v>441</v>
      </c>
      <c r="U272" t="str">
        <f>IFERROR(_xlfn.XLOOKUP(A272,'2025 EOY'!A:A,'2025 EOY'!B:B),"No")</f>
        <v>No</v>
      </c>
    </row>
    <row r="273" spans="1:27" x14ac:dyDescent="0.35">
      <c r="A273" s="37" t="s">
        <v>127</v>
      </c>
      <c r="B273" s="12">
        <v>45629</v>
      </c>
      <c r="C273" s="10" t="s">
        <v>3</v>
      </c>
      <c r="D273" s="4" t="s">
        <v>128</v>
      </c>
      <c r="E273" s="253">
        <v>1500</v>
      </c>
      <c r="F273" s="172">
        <v>45688</v>
      </c>
      <c r="G273" s="172">
        <v>45716</v>
      </c>
      <c r="H273" s="15">
        <v>0.4</v>
      </c>
      <c r="I273" s="192">
        <v>0.56000000000000005</v>
      </c>
      <c r="J273" s="9">
        <v>240.00000000000006</v>
      </c>
      <c r="K273">
        <v>600</v>
      </c>
      <c r="L273" s="14" t="s">
        <v>52</v>
      </c>
      <c r="M273" s="8" t="s">
        <v>131</v>
      </c>
      <c r="N273">
        <v>840.00000000000011</v>
      </c>
      <c r="O273" s="38" t="s">
        <v>4</v>
      </c>
      <c r="P273" s="38" t="s">
        <v>3</v>
      </c>
      <c r="Q273">
        <v>2025</v>
      </c>
      <c r="R273" t="s">
        <v>131</v>
      </c>
      <c r="S273" t="s">
        <v>14</v>
      </c>
      <c r="T273" t="s">
        <v>442</v>
      </c>
      <c r="U273" t="str">
        <f>IFERROR(_xlfn.XLOOKUP(A273,'2025 EOY'!A:A,'2025 EOY'!B:B),"No")</f>
        <v>No</v>
      </c>
    </row>
    <row r="274" spans="1:27" x14ac:dyDescent="0.35">
      <c r="A274" s="37" t="s">
        <v>127</v>
      </c>
      <c r="B274" s="12">
        <v>45629</v>
      </c>
      <c r="C274" s="10" t="s">
        <v>3</v>
      </c>
      <c r="D274" s="4" t="s">
        <v>128</v>
      </c>
      <c r="E274" s="253">
        <v>1500</v>
      </c>
      <c r="F274" s="172">
        <v>45716</v>
      </c>
      <c r="G274" s="172">
        <v>45747</v>
      </c>
      <c r="H274" s="15">
        <v>0.3</v>
      </c>
      <c r="I274" s="192">
        <v>0.49</v>
      </c>
      <c r="J274" s="9">
        <v>285</v>
      </c>
      <c r="K274">
        <v>450</v>
      </c>
      <c r="L274" s="14" t="s">
        <v>54</v>
      </c>
      <c r="M274" s="8" t="s">
        <v>131</v>
      </c>
      <c r="N274">
        <v>735</v>
      </c>
      <c r="O274" s="38" t="s">
        <v>4</v>
      </c>
      <c r="P274" s="38" t="s">
        <v>3</v>
      </c>
      <c r="Q274">
        <v>2025</v>
      </c>
      <c r="R274" t="s">
        <v>131</v>
      </c>
      <c r="S274" t="s">
        <v>14</v>
      </c>
      <c r="T274" t="s">
        <v>443</v>
      </c>
      <c r="U274" t="str">
        <f>IFERROR(_xlfn.XLOOKUP(A274,'2025 EOY'!A:A,'2025 EOY'!B:B),"No")</f>
        <v>No</v>
      </c>
    </row>
    <row r="275" spans="1:27" x14ac:dyDescent="0.35">
      <c r="A275" s="37" t="s">
        <v>127</v>
      </c>
      <c r="B275" s="12">
        <v>45629</v>
      </c>
      <c r="C275" s="10" t="s">
        <v>7</v>
      </c>
      <c r="D275" s="4" t="s">
        <v>128</v>
      </c>
      <c r="E275" s="253">
        <v>1500</v>
      </c>
      <c r="F275" s="172">
        <v>45716</v>
      </c>
      <c r="G275" s="172">
        <v>45747</v>
      </c>
      <c r="H275" s="15">
        <v>0.42</v>
      </c>
      <c r="I275" s="192">
        <v>0.4</v>
      </c>
      <c r="J275" s="9">
        <v>-29.999999999999943</v>
      </c>
      <c r="K275">
        <v>630</v>
      </c>
      <c r="L275" s="14" t="s">
        <v>54</v>
      </c>
      <c r="M275" s="8" t="s">
        <v>131</v>
      </c>
      <c r="N275">
        <v>600</v>
      </c>
      <c r="O275" s="38" t="s">
        <v>4</v>
      </c>
      <c r="P275" s="38" t="s">
        <v>7</v>
      </c>
      <c r="Q275">
        <v>2025</v>
      </c>
      <c r="R275" t="s">
        <v>131</v>
      </c>
      <c r="S275" t="s">
        <v>14</v>
      </c>
      <c r="T275" t="s">
        <v>444</v>
      </c>
      <c r="U275" t="str">
        <f>IFERROR(_xlfn.XLOOKUP(A275,'2025 EOY'!A:A,'2025 EOY'!B:B),"No")</f>
        <v>No</v>
      </c>
    </row>
    <row r="276" spans="1:27" x14ac:dyDescent="0.35">
      <c r="A276" s="37" t="s">
        <v>127</v>
      </c>
      <c r="B276" s="12">
        <v>45629</v>
      </c>
      <c r="C276" s="10" t="s">
        <v>7</v>
      </c>
      <c r="D276" s="4" t="s">
        <v>128</v>
      </c>
      <c r="E276" s="253">
        <v>1500</v>
      </c>
      <c r="F276" s="172">
        <v>45747</v>
      </c>
      <c r="G276" s="172">
        <v>45777</v>
      </c>
      <c r="H276" s="15">
        <v>0.28999999999999998</v>
      </c>
      <c r="I276" s="192">
        <v>1.0900000000000001</v>
      </c>
      <c r="J276" s="9">
        <v>1200</v>
      </c>
      <c r="K276">
        <v>434.99999999999994</v>
      </c>
      <c r="L276" s="14" t="s">
        <v>56</v>
      </c>
      <c r="M276" s="8" t="s">
        <v>131</v>
      </c>
      <c r="N276">
        <v>1635.0000000000002</v>
      </c>
      <c r="O276" s="38" t="s">
        <v>4</v>
      </c>
      <c r="P276" s="38" t="s">
        <v>7</v>
      </c>
      <c r="Q276">
        <v>2025</v>
      </c>
      <c r="R276" t="s">
        <v>131</v>
      </c>
      <c r="S276" t="s">
        <v>14</v>
      </c>
      <c r="T276" t="s">
        <v>445</v>
      </c>
      <c r="U276" t="str">
        <f>IFERROR(_xlfn.XLOOKUP(A276,'2025 EOY'!A:A,'2025 EOY'!B:B),"No")</f>
        <v>No</v>
      </c>
    </row>
    <row r="277" spans="1:27" x14ac:dyDescent="0.35">
      <c r="A277" s="37" t="s">
        <v>127</v>
      </c>
      <c r="B277" s="12">
        <v>45629</v>
      </c>
      <c r="C277" s="10" t="s">
        <v>10</v>
      </c>
      <c r="D277" s="4" t="s">
        <v>128</v>
      </c>
      <c r="E277" s="253">
        <v>1000</v>
      </c>
      <c r="F277" s="172">
        <v>45716</v>
      </c>
      <c r="G277" s="172">
        <v>45716</v>
      </c>
      <c r="H277" s="120">
        <v>-4.08</v>
      </c>
      <c r="I277" s="192">
        <v>-3.4</v>
      </c>
      <c r="J277" s="9">
        <v>680.00000000000011</v>
      </c>
      <c r="K277">
        <v>-4080</v>
      </c>
      <c r="L277" s="14" t="s">
        <v>62</v>
      </c>
      <c r="M277" s="8" t="s">
        <v>131</v>
      </c>
      <c r="N277">
        <v>-3400</v>
      </c>
      <c r="O277" s="38" t="s">
        <v>11</v>
      </c>
      <c r="P277" s="38" t="s">
        <v>10</v>
      </c>
      <c r="Q277">
        <v>2025</v>
      </c>
      <c r="R277" t="s">
        <v>131</v>
      </c>
      <c r="S277" t="s">
        <v>14</v>
      </c>
      <c r="T277" t="s">
        <v>446</v>
      </c>
      <c r="U277" t="str">
        <f>IFERROR(_xlfn.XLOOKUP(A277,'2025 EOY'!A:A,'2025 EOY'!B:B),"No")</f>
        <v>No</v>
      </c>
    </row>
    <row r="278" spans="1:27" x14ac:dyDescent="0.35">
      <c r="A278" s="37" t="s">
        <v>154</v>
      </c>
      <c r="B278" s="12">
        <v>45629</v>
      </c>
      <c r="C278" s="10" t="s">
        <v>19</v>
      </c>
      <c r="D278" s="10" t="s">
        <v>268</v>
      </c>
      <c r="E278" s="259">
        <v>735</v>
      </c>
      <c r="F278" s="172">
        <v>45626</v>
      </c>
      <c r="G278" s="172">
        <v>45626</v>
      </c>
      <c r="H278" s="15">
        <v>-1.3800000000000001</v>
      </c>
      <c r="I278" s="192">
        <v>-1.2</v>
      </c>
      <c r="J278" s="9">
        <v>132.30000000000013</v>
      </c>
      <c r="K278">
        <v>-1014.3000000000001</v>
      </c>
      <c r="L278" s="14" t="s">
        <v>67</v>
      </c>
      <c r="M278" s="8" t="s">
        <v>131</v>
      </c>
      <c r="N278">
        <v>-882</v>
      </c>
      <c r="O278" s="38" t="s">
        <v>19</v>
      </c>
      <c r="P278" s="38" t="s">
        <v>19</v>
      </c>
      <c r="Q278">
        <v>2024</v>
      </c>
      <c r="R278" t="s">
        <v>131</v>
      </c>
      <c r="S278" t="s">
        <v>96</v>
      </c>
      <c r="T278" t="s">
        <v>447</v>
      </c>
      <c r="U278" t="str">
        <f>IFERROR(_xlfn.XLOOKUP(A278,'2025 EOY'!A:A,'2025 EOY'!B:B),"No")</f>
        <v>No</v>
      </c>
    </row>
    <row r="279" spans="1:27" x14ac:dyDescent="0.35">
      <c r="A279" s="37" t="s">
        <v>154</v>
      </c>
      <c r="B279" s="12">
        <v>45629</v>
      </c>
      <c r="C279" s="10" t="s">
        <v>3</v>
      </c>
      <c r="D279" s="4" t="s">
        <v>268</v>
      </c>
      <c r="E279" s="253">
        <v>-735</v>
      </c>
      <c r="F279" s="172">
        <v>45688</v>
      </c>
      <c r="G279" s="172">
        <v>45716</v>
      </c>
      <c r="H279" s="15">
        <v>0.39999999999999147</v>
      </c>
      <c r="I279" s="192">
        <v>0.56000000000000005</v>
      </c>
      <c r="J279" s="9">
        <v>-117.6000000000063</v>
      </c>
      <c r="K279">
        <v>-293.99999999999375</v>
      </c>
      <c r="L279" s="14" t="s">
        <v>52</v>
      </c>
      <c r="M279" s="8" t="s">
        <v>129</v>
      </c>
      <c r="N279">
        <v>-411.6</v>
      </c>
      <c r="O279" s="38" t="s">
        <v>4</v>
      </c>
      <c r="P279" s="38" t="s">
        <v>3</v>
      </c>
      <c r="Q279">
        <v>2025</v>
      </c>
      <c r="R279" t="s">
        <v>129</v>
      </c>
      <c r="S279" t="s">
        <v>14</v>
      </c>
      <c r="T279" t="s">
        <v>448</v>
      </c>
      <c r="U279" t="str">
        <f>IFERROR(_xlfn.XLOOKUP(A279,'2025 EOY'!A:A,'2025 EOY'!B:B),"No")</f>
        <v>No</v>
      </c>
    </row>
    <row r="280" spans="1:27" x14ac:dyDescent="0.35">
      <c r="A280" s="37" t="s">
        <v>154</v>
      </c>
      <c r="B280" s="12">
        <v>45629</v>
      </c>
      <c r="C280" s="10" t="s">
        <v>10</v>
      </c>
      <c r="D280" s="4" t="s">
        <v>268</v>
      </c>
      <c r="E280" s="253">
        <v>-735</v>
      </c>
      <c r="F280" s="172">
        <v>45716</v>
      </c>
      <c r="G280" s="172">
        <v>45716</v>
      </c>
      <c r="H280" s="120">
        <v>-4.0799999999999983</v>
      </c>
      <c r="I280" s="192">
        <v>-3.4</v>
      </c>
      <c r="J280" s="9">
        <v>-499.79999999999882</v>
      </c>
      <c r="K280">
        <v>2998.7999999999988</v>
      </c>
      <c r="L280" s="14" t="s">
        <v>62</v>
      </c>
      <c r="M280" s="8" t="s">
        <v>129</v>
      </c>
      <c r="N280">
        <v>2499</v>
      </c>
      <c r="O280" s="38" t="s">
        <v>11</v>
      </c>
      <c r="P280" s="38" t="s">
        <v>10</v>
      </c>
      <c r="Q280">
        <v>2025</v>
      </c>
      <c r="R280" t="s">
        <v>129</v>
      </c>
      <c r="S280" t="s">
        <v>14</v>
      </c>
      <c r="T280" t="s">
        <v>449</v>
      </c>
      <c r="U280" t="str">
        <f>IFERROR(_xlfn.XLOOKUP(A280,'2025 EOY'!A:A,'2025 EOY'!B:B),"No")</f>
        <v>No</v>
      </c>
    </row>
    <row r="281" spans="1:27" x14ac:dyDescent="0.35">
      <c r="A281" s="37" t="s">
        <v>154</v>
      </c>
      <c r="B281" s="12">
        <v>45629</v>
      </c>
      <c r="C281" s="10" t="s">
        <v>7</v>
      </c>
      <c r="D281" s="4" t="s">
        <v>268</v>
      </c>
      <c r="E281" s="253">
        <v>-735</v>
      </c>
      <c r="F281" s="172">
        <v>45716</v>
      </c>
      <c r="G281" s="172">
        <v>45747</v>
      </c>
      <c r="H281" s="15">
        <v>0.35</v>
      </c>
      <c r="I281" s="192">
        <v>0.4</v>
      </c>
      <c r="J281" s="9">
        <v>-36.750000000000036</v>
      </c>
      <c r="K281">
        <v>-257.25</v>
      </c>
      <c r="L281" s="14" t="s">
        <v>54</v>
      </c>
      <c r="M281" s="8" t="s">
        <v>129</v>
      </c>
      <c r="N281">
        <v>-294</v>
      </c>
      <c r="O281" s="38" t="s">
        <v>4</v>
      </c>
      <c r="P281" s="38" t="s">
        <v>7</v>
      </c>
      <c r="Q281">
        <v>2025</v>
      </c>
      <c r="R281" t="s">
        <v>129</v>
      </c>
      <c r="S281" t="s">
        <v>14</v>
      </c>
      <c r="T281" t="s">
        <v>450</v>
      </c>
      <c r="U281" t="str">
        <f>IFERROR(_xlfn.XLOOKUP(A281,'2025 EOY'!A:A,'2025 EOY'!B:B),"No")</f>
        <v>No</v>
      </c>
    </row>
    <row r="282" spans="1:27" x14ac:dyDescent="0.35">
      <c r="A282" s="29" t="s">
        <v>154</v>
      </c>
      <c r="B282" s="176">
        <v>45629</v>
      </c>
      <c r="C282" s="30" t="s">
        <v>15</v>
      </c>
      <c r="D282" s="31" t="s">
        <v>268</v>
      </c>
      <c r="E282" s="257">
        <v>735</v>
      </c>
      <c r="F282" s="32">
        <v>45688</v>
      </c>
      <c r="G282" s="32">
        <v>45688</v>
      </c>
      <c r="H282" s="208">
        <v>0.25</v>
      </c>
      <c r="I282" s="195">
        <v>0.93</v>
      </c>
      <c r="J282" s="33">
        <v>499.8</v>
      </c>
      <c r="K282" s="34">
        <v>183.75</v>
      </c>
      <c r="L282" s="14" t="s">
        <v>61</v>
      </c>
      <c r="M282" s="35" t="s">
        <v>131</v>
      </c>
      <c r="N282" s="34">
        <v>683.55000000000007</v>
      </c>
      <c r="O282" s="36" t="s">
        <v>11</v>
      </c>
      <c r="P282" s="38" t="s">
        <v>16</v>
      </c>
      <c r="Q282">
        <v>2025</v>
      </c>
      <c r="R282" t="s">
        <v>131</v>
      </c>
      <c r="S282" t="s">
        <v>14</v>
      </c>
      <c r="T282" t="s">
        <v>451</v>
      </c>
      <c r="U282" t="str">
        <f>IFERROR(_xlfn.XLOOKUP(A282,'2025 EOY'!A:A,'2025 EOY'!B:B),"No")</f>
        <v>No</v>
      </c>
    </row>
    <row r="283" spans="1:27" x14ac:dyDescent="0.35">
      <c r="A283" s="37" t="s">
        <v>154</v>
      </c>
      <c r="B283" s="12">
        <v>45629</v>
      </c>
      <c r="C283" s="10" t="s">
        <v>3</v>
      </c>
      <c r="D283" s="4" t="s">
        <v>128</v>
      </c>
      <c r="E283" s="253">
        <v>700</v>
      </c>
      <c r="F283" s="172">
        <v>45688</v>
      </c>
      <c r="G283" s="172">
        <v>45716</v>
      </c>
      <c r="H283" s="15">
        <v>0.4</v>
      </c>
      <c r="I283" s="192">
        <v>0.56000000000000005</v>
      </c>
      <c r="J283" s="9">
        <v>112.00000000000003</v>
      </c>
      <c r="K283">
        <v>280</v>
      </c>
      <c r="L283" s="14" t="s">
        <v>52</v>
      </c>
      <c r="M283" s="8" t="s">
        <v>131</v>
      </c>
      <c r="N283">
        <v>392.00000000000006</v>
      </c>
      <c r="O283" s="38" t="s">
        <v>4</v>
      </c>
      <c r="P283" s="38" t="s">
        <v>3</v>
      </c>
      <c r="Q283">
        <v>2025</v>
      </c>
      <c r="R283" t="s">
        <v>131</v>
      </c>
      <c r="S283" t="s">
        <v>14</v>
      </c>
      <c r="T283" t="s">
        <v>452</v>
      </c>
      <c r="U283" t="str">
        <f>IFERROR(_xlfn.XLOOKUP(A283,'2025 EOY'!A:A,'2025 EOY'!B:B),"No")</f>
        <v>No</v>
      </c>
    </row>
    <row r="284" spans="1:27" x14ac:dyDescent="0.35">
      <c r="A284" s="37" t="s">
        <v>154</v>
      </c>
      <c r="B284" s="12">
        <v>45629</v>
      </c>
      <c r="C284" s="10" t="s">
        <v>3</v>
      </c>
      <c r="D284" s="4" t="s">
        <v>128</v>
      </c>
      <c r="E284" s="253">
        <v>700</v>
      </c>
      <c r="F284" s="172">
        <v>45716</v>
      </c>
      <c r="G284" s="172">
        <v>45747</v>
      </c>
      <c r="H284" s="15">
        <v>0.28000000000000003</v>
      </c>
      <c r="I284" s="192">
        <v>0.49</v>
      </c>
      <c r="J284" s="9">
        <v>146.99999999999997</v>
      </c>
      <c r="K284">
        <v>196.00000000000003</v>
      </c>
      <c r="L284" s="14" t="s">
        <v>54</v>
      </c>
      <c r="M284" s="8" t="s">
        <v>131</v>
      </c>
      <c r="N284">
        <v>343</v>
      </c>
      <c r="O284" s="38" t="s">
        <v>4</v>
      </c>
      <c r="P284" s="38" t="s">
        <v>3</v>
      </c>
      <c r="Q284">
        <v>2025</v>
      </c>
      <c r="R284" t="s">
        <v>131</v>
      </c>
      <c r="S284" t="s">
        <v>14</v>
      </c>
      <c r="T284" t="s">
        <v>453</v>
      </c>
      <c r="U284" t="str">
        <f>IFERROR(_xlfn.XLOOKUP(A284,'2025 EOY'!A:A,'2025 EOY'!B:B),"No")</f>
        <v>No</v>
      </c>
      <c r="Z284">
        <v>1.1499999999999999</v>
      </c>
      <c r="AA284">
        <v>1.1499999999999999</v>
      </c>
    </row>
    <row r="285" spans="1:27" x14ac:dyDescent="0.35">
      <c r="A285" s="37" t="s">
        <v>127</v>
      </c>
      <c r="B285" s="12">
        <v>45630</v>
      </c>
      <c r="C285" s="10" t="s">
        <v>3</v>
      </c>
      <c r="D285" s="4" t="s">
        <v>128</v>
      </c>
      <c r="E285" s="253">
        <v>500</v>
      </c>
      <c r="F285" s="172">
        <v>45688</v>
      </c>
      <c r="G285" s="172">
        <v>45716</v>
      </c>
      <c r="H285" s="15">
        <v>0.4</v>
      </c>
      <c r="I285" s="192">
        <v>0.56000000000000005</v>
      </c>
      <c r="J285" s="9">
        <v>80.000000000000014</v>
      </c>
      <c r="K285">
        <v>200</v>
      </c>
      <c r="L285" s="14" t="s">
        <v>52</v>
      </c>
      <c r="M285" s="8" t="s">
        <v>131</v>
      </c>
      <c r="N285">
        <v>280</v>
      </c>
      <c r="O285" s="38" t="s">
        <v>4</v>
      </c>
      <c r="P285" s="38" t="s">
        <v>3</v>
      </c>
      <c r="Q285">
        <v>2025</v>
      </c>
      <c r="R285" t="s">
        <v>131</v>
      </c>
      <c r="S285" t="s">
        <v>14</v>
      </c>
      <c r="T285" t="s">
        <v>454</v>
      </c>
      <c r="U285" t="str">
        <f>IFERROR(_xlfn.XLOOKUP(A285,'2025 EOY'!A:A,'2025 EOY'!B:B),"No")</f>
        <v>No</v>
      </c>
    </row>
    <row r="286" spans="1:27" x14ac:dyDescent="0.35">
      <c r="A286" s="75" t="s">
        <v>127</v>
      </c>
      <c r="B286" s="179">
        <v>45630</v>
      </c>
      <c r="C286" s="76" t="s">
        <v>3</v>
      </c>
      <c r="D286" s="77" t="s">
        <v>128</v>
      </c>
      <c r="E286" s="260">
        <v>700</v>
      </c>
      <c r="F286" s="78">
        <v>45688</v>
      </c>
      <c r="G286" s="78">
        <v>45716</v>
      </c>
      <c r="H286" s="210">
        <v>0.4</v>
      </c>
      <c r="I286" s="192">
        <v>0.56000000000000005</v>
      </c>
      <c r="J286" s="79">
        <v>112.00000000000003</v>
      </c>
      <c r="K286" s="80">
        <v>280</v>
      </c>
      <c r="L286" s="14" t="s">
        <v>52</v>
      </c>
      <c r="M286" s="81" t="s">
        <v>131</v>
      </c>
      <c r="N286" s="80">
        <v>392.00000000000006</v>
      </c>
      <c r="O286" s="82" t="s">
        <v>4</v>
      </c>
      <c r="P286" s="38" t="s">
        <v>3</v>
      </c>
      <c r="Q286">
        <v>2025</v>
      </c>
      <c r="R286" t="s">
        <v>131</v>
      </c>
      <c r="S286" t="s">
        <v>14</v>
      </c>
      <c r="T286" t="s">
        <v>455</v>
      </c>
      <c r="U286" t="str">
        <f>IFERROR(_xlfn.XLOOKUP(A286,'2025 EOY'!A:A,'2025 EOY'!B:B),"No")</f>
        <v>No</v>
      </c>
      <c r="V286">
        <v>-1.18</v>
      </c>
      <c r="W286">
        <v>-0.65</v>
      </c>
      <c r="X286">
        <v>0.52999999999999992</v>
      </c>
      <c r="Z286">
        <v>0.73</v>
      </c>
      <c r="AA286">
        <v>0.68</v>
      </c>
    </row>
    <row r="287" spans="1:27" x14ac:dyDescent="0.35">
      <c r="A287" s="83" t="s">
        <v>127</v>
      </c>
      <c r="B287" s="180">
        <v>45630</v>
      </c>
      <c r="C287" s="84" t="s">
        <v>3</v>
      </c>
      <c r="D287" s="85" t="s">
        <v>128</v>
      </c>
      <c r="E287" s="261">
        <v>700</v>
      </c>
      <c r="F287" s="86">
        <v>45716</v>
      </c>
      <c r="G287" s="86">
        <v>45747</v>
      </c>
      <c r="H287" s="211">
        <v>0.28999999999999998</v>
      </c>
      <c r="I287" s="192">
        <v>0.49</v>
      </c>
      <c r="J287" s="87">
        <v>140</v>
      </c>
      <c r="K287" s="88">
        <v>203</v>
      </c>
      <c r="L287" s="14" t="s">
        <v>54</v>
      </c>
      <c r="M287" s="89" t="s">
        <v>131</v>
      </c>
      <c r="N287" s="88">
        <v>343</v>
      </c>
      <c r="O287" s="90" t="s">
        <v>4</v>
      </c>
      <c r="P287" s="38" t="s">
        <v>3</v>
      </c>
      <c r="Q287">
        <v>2025</v>
      </c>
      <c r="R287" t="s">
        <v>131</v>
      </c>
      <c r="S287" t="s">
        <v>14</v>
      </c>
      <c r="T287" t="s">
        <v>456</v>
      </c>
      <c r="U287" t="str">
        <f>IFERROR(_xlfn.XLOOKUP(A287,'2025 EOY'!A:A,'2025 EOY'!B:B),"No")</f>
        <v>No</v>
      </c>
      <c r="W287">
        <v>6.144777562862668</v>
      </c>
      <c r="X287" s="98">
        <v>6.24</v>
      </c>
      <c r="Z287">
        <v>0.54</v>
      </c>
      <c r="AA287">
        <v>0.54</v>
      </c>
    </row>
    <row r="288" spans="1:27" x14ac:dyDescent="0.35">
      <c r="A288" s="75" t="s">
        <v>127</v>
      </c>
      <c r="B288" s="179">
        <v>45630</v>
      </c>
      <c r="C288" s="76" t="s">
        <v>3</v>
      </c>
      <c r="D288" s="77" t="s">
        <v>128</v>
      </c>
      <c r="E288" s="260">
        <v>500</v>
      </c>
      <c r="F288" s="78">
        <v>45688</v>
      </c>
      <c r="G288" s="78">
        <v>45716</v>
      </c>
      <c r="H288" s="210">
        <v>0.38</v>
      </c>
      <c r="I288" s="192">
        <v>0.56000000000000005</v>
      </c>
      <c r="J288" s="79">
        <v>90.000000000000028</v>
      </c>
      <c r="K288" s="80">
        <v>190</v>
      </c>
      <c r="L288" s="14" t="s">
        <v>52</v>
      </c>
      <c r="M288" s="81" t="s">
        <v>131</v>
      </c>
      <c r="N288" s="80">
        <v>280</v>
      </c>
      <c r="O288" s="82" t="s">
        <v>4</v>
      </c>
      <c r="P288" s="38" t="s">
        <v>3</v>
      </c>
      <c r="Q288">
        <v>2025</v>
      </c>
      <c r="R288" t="s">
        <v>131</v>
      </c>
      <c r="S288" t="s">
        <v>14</v>
      </c>
      <c r="T288" t="s">
        <v>457</v>
      </c>
      <c r="U288" t="str">
        <f>IFERROR(_xlfn.XLOOKUP(A288,'2025 EOY'!A:A,'2025 EOY'!B:B),"No")</f>
        <v>No</v>
      </c>
      <c r="W288">
        <v>-0.67999999999999838</v>
      </c>
      <c r="X288" s="98">
        <v>-1.1299999999999999</v>
      </c>
      <c r="Z288">
        <v>0.54</v>
      </c>
      <c r="AA288">
        <v>0.54</v>
      </c>
    </row>
    <row r="289" spans="1:27" x14ac:dyDescent="0.35">
      <c r="A289" s="83" t="s">
        <v>127</v>
      </c>
      <c r="B289" s="180">
        <v>45630</v>
      </c>
      <c r="C289" s="84" t="s">
        <v>3</v>
      </c>
      <c r="D289" s="85" t="s">
        <v>128</v>
      </c>
      <c r="E289" s="261">
        <v>500</v>
      </c>
      <c r="F289" s="86">
        <v>45716</v>
      </c>
      <c r="G289" s="86">
        <v>45747</v>
      </c>
      <c r="H289" s="211">
        <v>0.27</v>
      </c>
      <c r="I289" s="192">
        <v>0.49</v>
      </c>
      <c r="J289" s="87">
        <v>109.99999999999999</v>
      </c>
      <c r="K289" s="88">
        <v>135</v>
      </c>
      <c r="L289" s="14" t="s">
        <v>54</v>
      </c>
      <c r="M289" s="89" t="s">
        <v>131</v>
      </c>
      <c r="N289" s="88">
        <v>245</v>
      </c>
      <c r="O289" s="90" t="s">
        <v>4</v>
      </c>
      <c r="P289" s="38" t="s">
        <v>3</v>
      </c>
      <c r="Q289">
        <v>2025</v>
      </c>
      <c r="R289" t="s">
        <v>131</v>
      </c>
      <c r="S289" t="s">
        <v>14</v>
      </c>
      <c r="T289" t="s">
        <v>458</v>
      </c>
      <c r="U289" t="str">
        <f>IFERROR(_xlfn.XLOOKUP(A289,'2025 EOY'!A:A,'2025 EOY'!B:B),"No")</f>
        <v>No</v>
      </c>
      <c r="Z289">
        <v>-3.49</v>
      </c>
      <c r="AA289">
        <v>-3.55</v>
      </c>
    </row>
    <row r="290" spans="1:27" x14ac:dyDescent="0.35">
      <c r="A290" s="75" t="s">
        <v>127</v>
      </c>
      <c r="B290" s="179">
        <v>45630</v>
      </c>
      <c r="C290" s="76" t="s">
        <v>3</v>
      </c>
      <c r="D290" s="77" t="s">
        <v>128</v>
      </c>
      <c r="E290" s="260">
        <v>500</v>
      </c>
      <c r="F290" s="78">
        <v>45688</v>
      </c>
      <c r="G290" s="78">
        <v>45716</v>
      </c>
      <c r="H290" s="210">
        <v>0.36</v>
      </c>
      <c r="I290" s="192">
        <v>0.56000000000000005</v>
      </c>
      <c r="J290" s="79">
        <v>100.00000000000003</v>
      </c>
      <c r="K290" s="80">
        <v>180</v>
      </c>
      <c r="L290" s="14" t="s">
        <v>52</v>
      </c>
      <c r="M290" s="81" t="s">
        <v>131</v>
      </c>
      <c r="N290" s="80">
        <v>280</v>
      </c>
      <c r="O290" s="82" t="s">
        <v>4</v>
      </c>
      <c r="P290" s="38" t="s">
        <v>3</v>
      </c>
      <c r="Q290">
        <v>2025</v>
      </c>
      <c r="R290" t="s">
        <v>131</v>
      </c>
      <c r="S290" t="s">
        <v>14</v>
      </c>
      <c r="T290" t="s">
        <v>459</v>
      </c>
      <c r="U290" t="str">
        <f>IFERROR(_xlfn.XLOOKUP(A290,'2025 EOY'!A:A,'2025 EOY'!B:B),"No")</f>
        <v>No</v>
      </c>
      <c r="Z290" s="98">
        <v>-1.6800000000000002</v>
      </c>
      <c r="AA290" s="98">
        <v>-1.7899999999999996</v>
      </c>
    </row>
    <row r="291" spans="1:27" x14ac:dyDescent="0.35">
      <c r="A291" s="83" t="s">
        <v>127</v>
      </c>
      <c r="B291" s="180">
        <v>45630</v>
      </c>
      <c r="C291" s="84" t="s">
        <v>3</v>
      </c>
      <c r="D291" s="85" t="s">
        <v>128</v>
      </c>
      <c r="E291" s="261">
        <v>500</v>
      </c>
      <c r="F291" s="86">
        <v>45716</v>
      </c>
      <c r="G291" s="86">
        <v>45747</v>
      </c>
      <c r="H291" s="211">
        <v>0.26</v>
      </c>
      <c r="I291" s="192">
        <v>0.49</v>
      </c>
      <c r="J291" s="87">
        <v>114.99999999999999</v>
      </c>
      <c r="K291" s="88">
        <v>130</v>
      </c>
      <c r="L291" s="14" t="s">
        <v>54</v>
      </c>
      <c r="M291" s="89" t="s">
        <v>131</v>
      </c>
      <c r="N291" s="88">
        <v>245</v>
      </c>
      <c r="O291" s="90" t="s">
        <v>4</v>
      </c>
      <c r="P291" s="38" t="s">
        <v>3</v>
      </c>
      <c r="Q291">
        <v>2025</v>
      </c>
      <c r="R291" t="s">
        <v>131</v>
      </c>
      <c r="S291" t="s">
        <v>14</v>
      </c>
      <c r="T291" t="s">
        <v>460</v>
      </c>
      <c r="U291" t="str">
        <f>IFERROR(_xlfn.XLOOKUP(A291,'2025 EOY'!A:A,'2025 EOY'!B:B),"No")</f>
        <v>No</v>
      </c>
      <c r="Z291">
        <v>0.5</v>
      </c>
      <c r="AA291">
        <v>0.5</v>
      </c>
    </row>
    <row r="292" spans="1:27" x14ac:dyDescent="0.35">
      <c r="A292" s="37" t="s">
        <v>127</v>
      </c>
      <c r="B292" s="12">
        <v>45630</v>
      </c>
      <c r="C292" s="10" t="s">
        <v>7</v>
      </c>
      <c r="D292" s="4" t="s">
        <v>128</v>
      </c>
      <c r="E292" s="253">
        <v>500</v>
      </c>
      <c r="F292" s="172">
        <v>45716</v>
      </c>
      <c r="G292" s="172">
        <v>45747</v>
      </c>
      <c r="H292" s="15">
        <v>0.39</v>
      </c>
      <c r="I292" s="192">
        <v>0.4</v>
      </c>
      <c r="J292" s="9">
        <v>5.0000000000000044</v>
      </c>
      <c r="K292">
        <v>195</v>
      </c>
      <c r="L292" s="14" t="s">
        <v>54</v>
      </c>
      <c r="M292" s="8" t="s">
        <v>131</v>
      </c>
      <c r="N292">
        <v>200</v>
      </c>
      <c r="O292" s="38" t="s">
        <v>4</v>
      </c>
      <c r="P292" s="38" t="s">
        <v>7</v>
      </c>
      <c r="Q292">
        <v>2025</v>
      </c>
      <c r="R292" t="s">
        <v>131</v>
      </c>
      <c r="S292" t="s">
        <v>14</v>
      </c>
      <c r="T292" t="s">
        <v>461</v>
      </c>
      <c r="U292" t="str">
        <f>IFERROR(_xlfn.XLOOKUP(A292,'2025 EOY'!A:A,'2025 EOY'!B:B),"No")</f>
        <v>No</v>
      </c>
      <c r="Z292" s="98">
        <v>-3.0000000000000249E-2</v>
      </c>
      <c r="AA292" s="98">
        <v>-0.13999999999999968</v>
      </c>
    </row>
    <row r="293" spans="1:27" x14ac:dyDescent="0.35">
      <c r="A293" s="37" t="s">
        <v>127</v>
      </c>
      <c r="B293" s="12">
        <v>45630</v>
      </c>
      <c r="C293" s="10" t="s">
        <v>7</v>
      </c>
      <c r="D293" s="4" t="s">
        <v>128</v>
      </c>
      <c r="E293" s="253">
        <v>500</v>
      </c>
      <c r="F293" s="172">
        <v>45716</v>
      </c>
      <c r="G293" s="172">
        <v>45747</v>
      </c>
      <c r="H293" s="15">
        <v>0.38</v>
      </c>
      <c r="I293" s="192">
        <v>0.4</v>
      </c>
      <c r="J293" s="9">
        <v>10.000000000000009</v>
      </c>
      <c r="K293">
        <v>190</v>
      </c>
      <c r="L293" s="14" t="s">
        <v>54</v>
      </c>
      <c r="M293" s="8" t="s">
        <v>131</v>
      </c>
      <c r="N293">
        <v>200</v>
      </c>
      <c r="O293" s="38" t="s">
        <v>4</v>
      </c>
      <c r="P293" s="38" t="s">
        <v>7</v>
      </c>
      <c r="Q293">
        <v>2025</v>
      </c>
      <c r="R293" t="s">
        <v>131</v>
      </c>
      <c r="S293" t="s">
        <v>14</v>
      </c>
      <c r="T293" t="s">
        <v>462</v>
      </c>
      <c r="U293" t="str">
        <f>IFERROR(_xlfn.XLOOKUP(A293,'2025 EOY'!A:A,'2025 EOY'!B:B),"No")</f>
        <v>No</v>
      </c>
      <c r="Z293">
        <v>3.97</v>
      </c>
      <c r="AA293">
        <v>3.97</v>
      </c>
    </row>
    <row r="294" spans="1:27" x14ac:dyDescent="0.35">
      <c r="A294" s="21" t="s">
        <v>127</v>
      </c>
      <c r="B294" s="175">
        <v>45642</v>
      </c>
      <c r="C294" s="22" t="s">
        <v>15</v>
      </c>
      <c r="D294" s="23" t="s">
        <v>128</v>
      </c>
      <c r="E294" s="256">
        <v>-750</v>
      </c>
      <c r="F294" s="92">
        <v>45688</v>
      </c>
      <c r="G294" s="24">
        <v>45688</v>
      </c>
      <c r="H294" s="207">
        <v>0.27</v>
      </c>
      <c r="I294" s="196">
        <v>0.93</v>
      </c>
      <c r="J294" s="25">
        <v>-495</v>
      </c>
      <c r="K294" s="26">
        <v>-202.5</v>
      </c>
      <c r="L294" s="14" t="s">
        <v>61</v>
      </c>
      <c r="M294" s="27" t="s">
        <v>129</v>
      </c>
      <c r="N294" s="26">
        <v>-697.5</v>
      </c>
      <c r="O294" s="28" t="s">
        <v>11</v>
      </c>
      <c r="P294" s="38" t="s">
        <v>16</v>
      </c>
      <c r="Q294">
        <v>2025</v>
      </c>
      <c r="R294" t="s">
        <v>129</v>
      </c>
      <c r="S294" t="s">
        <v>14</v>
      </c>
      <c r="T294" t="s">
        <v>463</v>
      </c>
      <c r="U294" t="str">
        <f>IFERROR(_xlfn.XLOOKUP(A294,'2025 EOY'!A:A,'2025 EOY'!B:B),"No")</f>
        <v>No</v>
      </c>
      <c r="Z294">
        <v>0.51</v>
      </c>
      <c r="AA294">
        <v>0.54</v>
      </c>
    </row>
    <row r="295" spans="1:27" x14ac:dyDescent="0.35">
      <c r="A295" s="37" t="s">
        <v>127</v>
      </c>
      <c r="B295" s="12">
        <v>45642</v>
      </c>
      <c r="C295" s="30" t="s">
        <v>22</v>
      </c>
      <c r="D295" s="4" t="s">
        <v>128</v>
      </c>
      <c r="E295" s="253">
        <v>500</v>
      </c>
      <c r="F295" s="173" t="s">
        <v>464</v>
      </c>
      <c r="G295" s="172">
        <v>45688</v>
      </c>
      <c r="H295" s="15">
        <v>0.3</v>
      </c>
      <c r="I295" s="191">
        <v>0.99</v>
      </c>
      <c r="J295" s="9">
        <v>345</v>
      </c>
      <c r="K295">
        <v>150</v>
      </c>
      <c r="L295" s="14" t="s">
        <v>70</v>
      </c>
      <c r="M295" s="8" t="s">
        <v>131</v>
      </c>
      <c r="N295">
        <v>495</v>
      </c>
      <c r="O295" s="38" t="s">
        <v>11</v>
      </c>
      <c r="P295" s="38" t="s">
        <v>16</v>
      </c>
      <c r="Q295">
        <v>2025</v>
      </c>
      <c r="R295" t="s">
        <v>131</v>
      </c>
      <c r="S295" t="s">
        <v>14</v>
      </c>
      <c r="T295" t="s">
        <v>465</v>
      </c>
      <c r="U295" t="str">
        <f>IFERROR(_xlfn.XLOOKUP(A295,'2025 EOY'!A:A,'2025 EOY'!B:B),"No")</f>
        <v>No</v>
      </c>
      <c r="Z295">
        <v>0.3</v>
      </c>
      <c r="AA295">
        <v>0.3</v>
      </c>
    </row>
    <row r="296" spans="1:27" x14ac:dyDescent="0.35">
      <c r="A296" s="37" t="s">
        <v>127</v>
      </c>
      <c r="B296" s="12">
        <v>45642</v>
      </c>
      <c r="C296" s="30" t="s">
        <v>22</v>
      </c>
      <c r="D296" s="4" t="s">
        <v>128</v>
      </c>
      <c r="E296" s="253">
        <v>-500</v>
      </c>
      <c r="F296" s="173" t="s">
        <v>466</v>
      </c>
      <c r="G296" s="172">
        <v>45688</v>
      </c>
      <c r="H296" s="15">
        <v>0.06</v>
      </c>
      <c r="I296" s="191">
        <v>1.43</v>
      </c>
      <c r="J296" s="9">
        <v>-684.99999999999989</v>
      </c>
      <c r="K296">
        <v>-30</v>
      </c>
      <c r="L296" s="14" t="s">
        <v>71</v>
      </c>
      <c r="M296" s="8" t="s">
        <v>129</v>
      </c>
      <c r="N296">
        <v>-715</v>
      </c>
      <c r="O296" s="38" t="s">
        <v>11</v>
      </c>
      <c r="P296" s="38" t="s">
        <v>16</v>
      </c>
      <c r="Q296">
        <v>2025</v>
      </c>
      <c r="R296" t="s">
        <v>129</v>
      </c>
      <c r="S296" t="s">
        <v>14</v>
      </c>
      <c r="T296" t="s">
        <v>467</v>
      </c>
      <c r="U296" t="str">
        <f>IFERROR(_xlfn.XLOOKUP(A296,'2025 EOY'!A:A,'2025 EOY'!B:B),"No")</f>
        <v>No</v>
      </c>
      <c r="Z296">
        <v>4.75</v>
      </c>
      <c r="AA296">
        <v>4.6700000000000008</v>
      </c>
    </row>
    <row r="297" spans="1:27" x14ac:dyDescent="0.35">
      <c r="A297" s="37" t="s">
        <v>127</v>
      </c>
      <c r="B297" s="12">
        <v>45642</v>
      </c>
      <c r="C297" s="10" t="s">
        <v>15</v>
      </c>
      <c r="D297" s="4" t="s">
        <v>128</v>
      </c>
      <c r="E297" s="253">
        <v>-1000</v>
      </c>
      <c r="F297" s="172">
        <v>45688</v>
      </c>
      <c r="G297" s="172">
        <v>45688</v>
      </c>
      <c r="H297" s="15">
        <v>0.24</v>
      </c>
      <c r="I297" s="191">
        <v>0.93</v>
      </c>
      <c r="J297" s="9">
        <v>-690.00000000000011</v>
      </c>
      <c r="K297">
        <v>-240</v>
      </c>
      <c r="L297" s="14" t="s">
        <v>61</v>
      </c>
      <c r="M297" s="8" t="s">
        <v>129</v>
      </c>
      <c r="N297">
        <v>-930</v>
      </c>
      <c r="O297" s="38" t="s">
        <v>11</v>
      </c>
      <c r="P297" s="38" t="s">
        <v>16</v>
      </c>
      <c r="Q297">
        <v>2025</v>
      </c>
      <c r="R297" t="s">
        <v>129</v>
      </c>
      <c r="S297" t="s">
        <v>14</v>
      </c>
      <c r="T297" t="s">
        <v>468</v>
      </c>
      <c r="U297" t="str">
        <f>IFERROR(_xlfn.XLOOKUP(A297,'2025 EOY'!A:A,'2025 EOY'!B:B),"No")</f>
        <v>No</v>
      </c>
    </row>
    <row r="298" spans="1:27" x14ac:dyDescent="0.35">
      <c r="A298" s="29" t="s">
        <v>127</v>
      </c>
      <c r="B298" s="176">
        <v>46001</v>
      </c>
      <c r="C298" s="30" t="s">
        <v>15</v>
      </c>
      <c r="D298" s="31" t="s">
        <v>128</v>
      </c>
      <c r="E298" s="257">
        <v>1000</v>
      </c>
      <c r="F298" s="32">
        <v>45716</v>
      </c>
      <c r="G298" s="32">
        <v>45716</v>
      </c>
      <c r="H298" s="208">
        <v>0.12</v>
      </c>
      <c r="I298" s="195">
        <v>0.22</v>
      </c>
      <c r="J298" s="33">
        <v>100</v>
      </c>
      <c r="K298" s="34">
        <v>120</v>
      </c>
      <c r="L298" s="14" t="s">
        <v>62</v>
      </c>
      <c r="M298" s="35" t="s">
        <v>131</v>
      </c>
      <c r="N298" s="34">
        <v>220</v>
      </c>
      <c r="O298" s="36" t="s">
        <v>11</v>
      </c>
      <c r="P298" s="38" t="s">
        <v>16</v>
      </c>
      <c r="Q298">
        <v>2025</v>
      </c>
      <c r="R298" t="s">
        <v>131</v>
      </c>
      <c r="S298" t="s">
        <v>14</v>
      </c>
      <c r="T298" t="s">
        <v>469</v>
      </c>
      <c r="U298" t="str">
        <f>IFERROR(_xlfn.XLOOKUP(A298,'2025 EOY'!A:A,'2025 EOY'!B:B),"No")</f>
        <v>No</v>
      </c>
      <c r="V298" s="3">
        <v>45747</v>
      </c>
      <c r="W298" s="47" t="s">
        <v>25</v>
      </c>
      <c r="X298" s="10" t="s">
        <v>3</v>
      </c>
    </row>
    <row r="299" spans="1:27" x14ac:dyDescent="0.35">
      <c r="A299" s="37" t="s">
        <v>180</v>
      </c>
      <c r="B299" s="12">
        <v>45642</v>
      </c>
      <c r="C299" s="10" t="s">
        <v>19</v>
      </c>
      <c r="D299" s="10" t="s">
        <v>268</v>
      </c>
      <c r="E299" s="259">
        <v>735</v>
      </c>
      <c r="F299" s="172">
        <v>45626</v>
      </c>
      <c r="G299" s="172">
        <v>45626</v>
      </c>
      <c r="H299" s="15">
        <v>-1.47</v>
      </c>
      <c r="I299" s="192">
        <v>-1.45</v>
      </c>
      <c r="J299" s="9">
        <v>14.700000000000014</v>
      </c>
      <c r="K299">
        <v>-1080.45</v>
      </c>
      <c r="L299" s="14" t="s">
        <v>67</v>
      </c>
      <c r="M299" s="8" t="s">
        <v>131</v>
      </c>
      <c r="N299">
        <v>-1065.75</v>
      </c>
      <c r="O299" s="38" t="s">
        <v>19</v>
      </c>
      <c r="P299" s="38" t="s">
        <v>19</v>
      </c>
      <c r="Q299">
        <v>2024</v>
      </c>
      <c r="R299" t="s">
        <v>131</v>
      </c>
      <c r="S299" t="s">
        <v>96</v>
      </c>
      <c r="T299" t="s">
        <v>470</v>
      </c>
      <c r="U299" t="str">
        <f>IFERROR(_xlfn.XLOOKUP(A299,'2025 EOY'!A:A,'2025 EOY'!B:B),"No")</f>
        <v>No</v>
      </c>
    </row>
    <row r="300" spans="1:27" x14ac:dyDescent="0.35">
      <c r="A300" s="37" t="s">
        <v>180</v>
      </c>
      <c r="B300" s="12">
        <v>45642</v>
      </c>
      <c r="C300" s="10" t="s">
        <v>3</v>
      </c>
      <c r="D300" s="4" t="s">
        <v>268</v>
      </c>
      <c r="E300" s="253">
        <v>-735</v>
      </c>
      <c r="F300" s="172">
        <v>45688</v>
      </c>
      <c r="G300" s="172">
        <v>45716</v>
      </c>
      <c r="H300" s="15">
        <v>0.42</v>
      </c>
      <c r="I300" s="192">
        <v>0.56000000000000005</v>
      </c>
      <c r="J300" s="9">
        <v>-102.90000000000005</v>
      </c>
      <c r="K300">
        <v>-308.7</v>
      </c>
      <c r="L300" s="14" t="s">
        <v>52</v>
      </c>
      <c r="M300" s="8" t="s">
        <v>129</v>
      </c>
      <c r="N300">
        <v>-411.6</v>
      </c>
      <c r="O300" s="38" t="s">
        <v>4</v>
      </c>
      <c r="P300" s="38" t="s">
        <v>3</v>
      </c>
      <c r="Q300">
        <v>2025</v>
      </c>
      <c r="R300" t="s">
        <v>129</v>
      </c>
      <c r="S300" t="s">
        <v>14</v>
      </c>
      <c r="T300" t="s">
        <v>471</v>
      </c>
      <c r="U300" t="str">
        <f>IFERROR(_xlfn.XLOOKUP(A300,'2025 EOY'!A:A,'2025 EOY'!B:B),"No")</f>
        <v>No</v>
      </c>
    </row>
    <row r="301" spans="1:27" x14ac:dyDescent="0.35">
      <c r="A301" s="37" t="s">
        <v>180</v>
      </c>
      <c r="B301" s="12">
        <v>45642</v>
      </c>
      <c r="C301" s="10" t="s">
        <v>3</v>
      </c>
      <c r="D301" s="4" t="s">
        <v>268</v>
      </c>
      <c r="E301" s="253">
        <v>-735</v>
      </c>
      <c r="F301" s="172">
        <v>45716</v>
      </c>
      <c r="G301" s="172">
        <v>45747</v>
      </c>
      <c r="H301" s="15">
        <v>0.41</v>
      </c>
      <c r="I301" s="192">
        <v>0.49</v>
      </c>
      <c r="J301" s="9">
        <v>-58.800000000000011</v>
      </c>
      <c r="K301">
        <v>-301.34999999999997</v>
      </c>
      <c r="L301" s="14" t="s">
        <v>54</v>
      </c>
      <c r="M301" s="8" t="s">
        <v>129</v>
      </c>
      <c r="N301">
        <v>-360.15</v>
      </c>
      <c r="O301" s="38" t="s">
        <v>4</v>
      </c>
      <c r="P301" s="38" t="s">
        <v>3</v>
      </c>
      <c r="Q301">
        <v>2025</v>
      </c>
      <c r="R301" t="s">
        <v>129</v>
      </c>
      <c r="S301" t="s">
        <v>14</v>
      </c>
      <c r="T301" t="s">
        <v>472</v>
      </c>
      <c r="U301" t="str">
        <f>IFERROR(_xlfn.XLOOKUP(A301,'2025 EOY'!A:A,'2025 EOY'!B:B),"No")</f>
        <v>No</v>
      </c>
    </row>
    <row r="302" spans="1:27" x14ac:dyDescent="0.35">
      <c r="A302" s="37" t="s">
        <v>180</v>
      </c>
      <c r="B302" s="12">
        <v>45642</v>
      </c>
      <c r="C302" s="10" t="s">
        <v>10</v>
      </c>
      <c r="D302" s="4" t="s">
        <v>268</v>
      </c>
      <c r="E302" s="253">
        <v>-735</v>
      </c>
      <c r="F302" s="172">
        <v>45747</v>
      </c>
      <c r="G302" s="172">
        <v>45747</v>
      </c>
      <c r="H302" s="120">
        <v>-3.64</v>
      </c>
      <c r="I302" s="192">
        <v>-4.2300000000000004</v>
      </c>
      <c r="J302" s="9">
        <v>433.6500000000002</v>
      </c>
      <c r="K302">
        <v>2675.4</v>
      </c>
      <c r="L302" s="14" t="s">
        <v>63</v>
      </c>
      <c r="M302" s="8" t="s">
        <v>129</v>
      </c>
      <c r="N302">
        <v>3109.05</v>
      </c>
      <c r="O302" s="38" t="s">
        <v>11</v>
      </c>
      <c r="P302" s="38" t="s">
        <v>10</v>
      </c>
      <c r="Q302">
        <v>2025</v>
      </c>
      <c r="R302" t="s">
        <v>129</v>
      </c>
      <c r="S302" t="s">
        <v>14</v>
      </c>
      <c r="T302" t="s">
        <v>473</v>
      </c>
      <c r="U302" t="str">
        <f>IFERROR(_xlfn.XLOOKUP(A302,'2025 EOY'!A:A,'2025 EOY'!B:B),"No")</f>
        <v>No</v>
      </c>
    </row>
    <row r="303" spans="1:27" ht="15" thickBot="1" x14ac:dyDescent="0.4">
      <c r="A303" s="37" t="s">
        <v>180</v>
      </c>
      <c r="B303" s="12">
        <v>45642</v>
      </c>
      <c r="C303" s="30" t="s">
        <v>15</v>
      </c>
      <c r="D303" s="31" t="s">
        <v>268</v>
      </c>
      <c r="E303" s="257">
        <v>735</v>
      </c>
      <c r="F303" s="32">
        <v>45688</v>
      </c>
      <c r="G303" s="32">
        <v>45688</v>
      </c>
      <c r="H303" s="208">
        <v>0.3</v>
      </c>
      <c r="I303" s="191">
        <v>0.93</v>
      </c>
      <c r="J303" s="9">
        <v>463.05000000000007</v>
      </c>
      <c r="K303" s="34">
        <v>220.5</v>
      </c>
      <c r="L303" s="14" t="s">
        <v>61</v>
      </c>
      <c r="M303" s="35" t="s">
        <v>131</v>
      </c>
      <c r="N303" s="34">
        <v>683.55000000000007</v>
      </c>
      <c r="O303" s="36" t="s">
        <v>11</v>
      </c>
      <c r="P303" s="38" t="s">
        <v>16</v>
      </c>
      <c r="Q303">
        <v>2025</v>
      </c>
      <c r="R303" t="s">
        <v>131</v>
      </c>
      <c r="S303" t="s">
        <v>14</v>
      </c>
      <c r="T303" t="s">
        <v>474</v>
      </c>
      <c r="U303" t="str">
        <f>IFERROR(_xlfn.XLOOKUP(A303,'2025 EOY'!A:A,'2025 EOY'!B:B),"No")</f>
        <v>No</v>
      </c>
    </row>
    <row r="304" spans="1:27" ht="15" thickBot="1" x14ac:dyDescent="0.4">
      <c r="A304" s="37" t="s">
        <v>180</v>
      </c>
      <c r="B304" s="12">
        <v>45642</v>
      </c>
      <c r="C304" s="47" t="s">
        <v>36</v>
      </c>
      <c r="D304" s="10" t="s">
        <v>268</v>
      </c>
      <c r="E304" s="253">
        <v>0</v>
      </c>
      <c r="F304" s="172">
        <v>45688</v>
      </c>
      <c r="G304" s="172">
        <v>45688</v>
      </c>
      <c r="H304" s="15">
        <v>150</v>
      </c>
      <c r="I304" s="197">
        <v>127.5</v>
      </c>
      <c r="J304" s="95">
        <v>315</v>
      </c>
      <c r="K304">
        <v>0</v>
      </c>
      <c r="L304" s="14" t="s">
        <v>61</v>
      </c>
      <c r="M304" s="8" t="s">
        <v>131</v>
      </c>
      <c r="N304">
        <v>0</v>
      </c>
      <c r="O304" t="s">
        <v>29</v>
      </c>
      <c r="P304" s="38" t="s">
        <v>29</v>
      </c>
      <c r="Q304">
        <v>2025</v>
      </c>
      <c r="R304" t="s">
        <v>129</v>
      </c>
      <c r="S304" t="s">
        <v>14</v>
      </c>
      <c r="T304" t="s">
        <v>475</v>
      </c>
      <c r="U304" t="str">
        <f>IFERROR(_xlfn.XLOOKUP(A304,'2025 EOY'!A:A,'2025 EOY'!B:B),"No")</f>
        <v>No</v>
      </c>
    </row>
    <row r="305" spans="1:28" x14ac:dyDescent="0.35">
      <c r="A305" s="21" t="s">
        <v>173</v>
      </c>
      <c r="B305" s="175">
        <v>45642</v>
      </c>
      <c r="C305" s="22" t="s">
        <v>28</v>
      </c>
      <c r="D305" s="22" t="s">
        <v>268</v>
      </c>
      <c r="E305" s="256">
        <v>0</v>
      </c>
      <c r="F305" s="24">
        <v>45626</v>
      </c>
      <c r="G305" s="24">
        <v>45626</v>
      </c>
      <c r="H305" s="207">
        <v>6500</v>
      </c>
      <c r="I305" s="192">
        <v>6500</v>
      </c>
      <c r="J305" s="9">
        <v>0</v>
      </c>
      <c r="K305" s="26">
        <v>0</v>
      </c>
      <c r="L305" s="14" t="s">
        <v>67</v>
      </c>
      <c r="M305" s="27" t="s">
        <v>131</v>
      </c>
      <c r="N305" s="26">
        <v>0</v>
      </c>
      <c r="O305" s="28" t="s">
        <v>29</v>
      </c>
      <c r="P305" s="38" t="s">
        <v>29</v>
      </c>
      <c r="Q305">
        <v>2024</v>
      </c>
      <c r="R305" t="s">
        <v>129</v>
      </c>
      <c r="S305" t="s">
        <v>14</v>
      </c>
      <c r="T305" t="s">
        <v>476</v>
      </c>
      <c r="U305" t="str">
        <f>IFERROR(_xlfn.XLOOKUP(A305,'2025 EOY'!A:A,'2025 EOY'!B:B),"No")</f>
        <v>No</v>
      </c>
    </row>
    <row r="306" spans="1:28" x14ac:dyDescent="0.35">
      <c r="A306" s="37" t="s">
        <v>173</v>
      </c>
      <c r="B306" s="12">
        <v>45642</v>
      </c>
      <c r="C306" s="10" t="s">
        <v>19</v>
      </c>
      <c r="D306" s="10" t="s">
        <v>268</v>
      </c>
      <c r="E306" s="259">
        <v>2096</v>
      </c>
      <c r="F306" s="172">
        <v>45688</v>
      </c>
      <c r="G306" s="172">
        <v>45688</v>
      </c>
      <c r="H306" s="15">
        <v>-1.73</v>
      </c>
      <c r="I306" s="192">
        <v>-1.65</v>
      </c>
      <c r="J306" s="9">
        <v>167.68000000000015</v>
      </c>
      <c r="K306">
        <v>-3626.08</v>
      </c>
      <c r="L306" s="14" t="s">
        <v>61</v>
      </c>
      <c r="M306" s="8" t="s">
        <v>131</v>
      </c>
      <c r="N306">
        <v>-3458.3999999999996</v>
      </c>
      <c r="O306" s="38" t="s">
        <v>19</v>
      </c>
      <c r="P306" s="38" t="s">
        <v>19</v>
      </c>
      <c r="Q306">
        <v>2025</v>
      </c>
      <c r="R306" t="s">
        <v>131</v>
      </c>
      <c r="S306" t="s">
        <v>96</v>
      </c>
      <c r="T306" t="s">
        <v>477</v>
      </c>
      <c r="U306" t="str">
        <f>IFERROR(_xlfn.XLOOKUP(A306,'2025 EOY'!A:A,'2025 EOY'!B:B),"No")</f>
        <v>No</v>
      </c>
    </row>
    <row r="307" spans="1:28" x14ac:dyDescent="0.35">
      <c r="A307" s="37" t="s">
        <v>173</v>
      </c>
      <c r="B307" s="12">
        <v>45642</v>
      </c>
      <c r="C307" s="10" t="s">
        <v>3</v>
      </c>
      <c r="D307" s="4" t="s">
        <v>268</v>
      </c>
      <c r="E307" s="253">
        <v>-2096</v>
      </c>
      <c r="F307" s="172">
        <v>45688</v>
      </c>
      <c r="G307" s="172">
        <v>45716</v>
      </c>
      <c r="H307" s="15">
        <v>0.42</v>
      </c>
      <c r="I307" s="192">
        <v>0.56000000000000005</v>
      </c>
      <c r="J307" s="9">
        <v>-293.44000000000017</v>
      </c>
      <c r="K307">
        <v>-880.31999999999994</v>
      </c>
      <c r="L307" s="14" t="s">
        <v>52</v>
      </c>
      <c r="M307" s="8" t="s">
        <v>129</v>
      </c>
      <c r="N307">
        <v>-1173.7600000000002</v>
      </c>
      <c r="O307" s="38" t="s">
        <v>4</v>
      </c>
      <c r="P307" s="38" t="s">
        <v>3</v>
      </c>
      <c r="Q307">
        <v>2025</v>
      </c>
      <c r="R307" t="s">
        <v>129</v>
      </c>
      <c r="S307" t="s">
        <v>14</v>
      </c>
      <c r="T307" t="s">
        <v>478</v>
      </c>
      <c r="U307" t="str">
        <f>IFERROR(_xlfn.XLOOKUP(A307,'2025 EOY'!A:A,'2025 EOY'!B:B),"No")</f>
        <v>No</v>
      </c>
    </row>
    <row r="308" spans="1:28" x14ac:dyDescent="0.35">
      <c r="A308" s="37" t="s">
        <v>173</v>
      </c>
      <c r="B308" s="12">
        <v>45642</v>
      </c>
      <c r="C308" s="10" t="s">
        <v>3</v>
      </c>
      <c r="D308" s="4" t="s">
        <v>268</v>
      </c>
      <c r="E308" s="253">
        <v>-2096</v>
      </c>
      <c r="F308" s="172">
        <v>45716</v>
      </c>
      <c r="G308" s="172">
        <v>45747</v>
      </c>
      <c r="H308" s="15">
        <v>0.41</v>
      </c>
      <c r="I308" s="192">
        <v>0.49</v>
      </c>
      <c r="J308" s="9">
        <v>-167.68000000000004</v>
      </c>
      <c r="K308">
        <v>-859.3599999999999</v>
      </c>
      <c r="L308" s="14" t="s">
        <v>54</v>
      </c>
      <c r="M308" s="8" t="s">
        <v>129</v>
      </c>
      <c r="N308">
        <v>-1027.04</v>
      </c>
      <c r="O308" s="38" t="s">
        <v>4</v>
      </c>
      <c r="P308" s="38" t="s">
        <v>3</v>
      </c>
      <c r="Q308">
        <v>2025</v>
      </c>
      <c r="R308" t="s">
        <v>129</v>
      </c>
      <c r="S308" t="s">
        <v>14</v>
      </c>
      <c r="T308" t="s">
        <v>479</v>
      </c>
      <c r="U308" t="str">
        <f>IFERROR(_xlfn.XLOOKUP(A308,'2025 EOY'!A:A,'2025 EOY'!B:B),"No")</f>
        <v>No</v>
      </c>
      <c r="V308">
        <v>0.54</v>
      </c>
      <c r="X308">
        <v>0.02</v>
      </c>
      <c r="Y308">
        <v>1.08</v>
      </c>
      <c r="Z308">
        <v>1.1000000000000001</v>
      </c>
      <c r="AB308">
        <v>-0.41999999999999993</v>
      </c>
    </row>
    <row r="309" spans="1:28" x14ac:dyDescent="0.35">
      <c r="A309" s="37" t="s">
        <v>173</v>
      </c>
      <c r="B309" s="12">
        <v>45642</v>
      </c>
      <c r="C309" s="10" t="s">
        <v>10</v>
      </c>
      <c r="D309" s="4" t="s">
        <v>268</v>
      </c>
      <c r="E309" s="253">
        <v>-2096</v>
      </c>
      <c r="F309" s="172">
        <v>45747</v>
      </c>
      <c r="G309" s="172">
        <v>45747</v>
      </c>
      <c r="H309" s="120">
        <v>-3.64</v>
      </c>
      <c r="I309" s="192">
        <v>-4.2300000000000004</v>
      </c>
      <c r="J309" s="9">
        <v>1236.6400000000006</v>
      </c>
      <c r="K309">
        <v>7629.4400000000005</v>
      </c>
      <c r="L309" s="14" t="s">
        <v>63</v>
      </c>
      <c r="M309" s="8" t="s">
        <v>129</v>
      </c>
      <c r="N309">
        <v>8866.0800000000017</v>
      </c>
      <c r="O309" s="38" t="s">
        <v>11</v>
      </c>
      <c r="P309" s="38" t="s">
        <v>10</v>
      </c>
      <c r="Q309">
        <v>2025</v>
      </c>
      <c r="R309" t="s">
        <v>129</v>
      </c>
      <c r="S309" t="s">
        <v>14</v>
      </c>
      <c r="T309" t="s">
        <v>480</v>
      </c>
      <c r="U309" t="str">
        <f>IFERROR(_xlfn.XLOOKUP(A309,'2025 EOY'!A:A,'2025 EOY'!B:B),"No")</f>
        <v>No</v>
      </c>
    </row>
    <row r="310" spans="1:28" x14ac:dyDescent="0.35">
      <c r="A310" s="37" t="s">
        <v>173</v>
      </c>
      <c r="B310" s="12">
        <v>45642</v>
      </c>
      <c r="C310" s="10" t="s">
        <v>7</v>
      </c>
      <c r="D310" s="4" t="s">
        <v>268</v>
      </c>
      <c r="E310" s="253">
        <v>-2096</v>
      </c>
      <c r="F310" s="172">
        <v>45747</v>
      </c>
      <c r="G310" s="172">
        <v>45777</v>
      </c>
      <c r="H310" s="15">
        <v>0.32</v>
      </c>
      <c r="I310" s="192">
        <v>1.0900000000000001</v>
      </c>
      <c r="J310" s="9">
        <v>-1613.92</v>
      </c>
      <c r="K310">
        <v>-670.72</v>
      </c>
      <c r="L310" s="14" t="s">
        <v>56</v>
      </c>
      <c r="M310" s="8" t="s">
        <v>129</v>
      </c>
      <c r="N310">
        <v>-2284.6400000000003</v>
      </c>
      <c r="O310" s="38" t="s">
        <v>4</v>
      </c>
      <c r="P310" s="38" t="s">
        <v>7</v>
      </c>
      <c r="Q310">
        <v>2025</v>
      </c>
      <c r="R310" t="s">
        <v>129</v>
      </c>
      <c r="S310" t="s">
        <v>14</v>
      </c>
      <c r="T310" t="s">
        <v>481</v>
      </c>
      <c r="U310" t="str">
        <f>IFERROR(_xlfn.XLOOKUP(A310,'2025 EOY'!A:A,'2025 EOY'!B:B),"No")</f>
        <v>No</v>
      </c>
    </row>
    <row r="311" spans="1:28" x14ac:dyDescent="0.35">
      <c r="A311" s="29" t="s">
        <v>173</v>
      </c>
      <c r="B311" s="176">
        <v>45642</v>
      </c>
      <c r="C311" s="30" t="s">
        <v>15</v>
      </c>
      <c r="D311" s="31" t="s">
        <v>268</v>
      </c>
      <c r="E311" s="257">
        <v>2096</v>
      </c>
      <c r="F311" s="32">
        <v>45716</v>
      </c>
      <c r="G311" s="32">
        <v>45716</v>
      </c>
      <c r="H311" s="208">
        <v>0.13</v>
      </c>
      <c r="I311" s="195">
        <v>0.22</v>
      </c>
      <c r="J311" s="33">
        <v>188.64</v>
      </c>
      <c r="K311" s="34">
        <v>272.48</v>
      </c>
      <c r="L311" s="14" t="s">
        <v>62</v>
      </c>
      <c r="M311" s="35" t="s">
        <v>131</v>
      </c>
      <c r="N311" s="34">
        <v>461.12</v>
      </c>
      <c r="O311" s="36" t="s">
        <v>11</v>
      </c>
      <c r="P311" s="38" t="s">
        <v>16</v>
      </c>
      <c r="Q311">
        <v>2025</v>
      </c>
      <c r="R311" t="s">
        <v>131</v>
      </c>
      <c r="S311" t="s">
        <v>14</v>
      </c>
      <c r="T311" t="s">
        <v>482</v>
      </c>
      <c r="U311" t="str">
        <f>IFERROR(_xlfn.XLOOKUP(A311,'2025 EOY'!A:A,'2025 EOY'!B:B),"No")</f>
        <v>No</v>
      </c>
    </row>
    <row r="312" spans="1:28" ht="15" thickBot="1" x14ac:dyDescent="0.4">
      <c r="A312" s="21" t="s">
        <v>246</v>
      </c>
      <c r="B312" s="175">
        <v>45642</v>
      </c>
      <c r="C312" s="22" t="s">
        <v>19</v>
      </c>
      <c r="D312" s="22" t="s">
        <v>268</v>
      </c>
      <c r="E312" s="262">
        <v>700</v>
      </c>
      <c r="F312" s="24">
        <v>45688</v>
      </c>
      <c r="G312" s="24">
        <v>45688</v>
      </c>
      <c r="H312" s="207">
        <v>1.02</v>
      </c>
      <c r="I312" s="193">
        <v>1</v>
      </c>
      <c r="J312" s="25">
        <v>-14.000000000000012</v>
      </c>
      <c r="K312" s="26">
        <v>714</v>
      </c>
      <c r="L312" s="14" t="s">
        <v>61</v>
      </c>
      <c r="M312" s="27" t="s">
        <v>131</v>
      </c>
      <c r="N312" s="26">
        <v>700</v>
      </c>
      <c r="O312" s="28" t="s">
        <v>19</v>
      </c>
      <c r="P312" s="38" t="s">
        <v>19</v>
      </c>
      <c r="Q312">
        <v>2025</v>
      </c>
      <c r="R312" t="s">
        <v>131</v>
      </c>
      <c r="S312" t="s">
        <v>96</v>
      </c>
      <c r="T312" t="s">
        <v>483</v>
      </c>
      <c r="U312" t="str">
        <f>IFERROR(_xlfn.XLOOKUP(A312,'2025 EOY'!A:A,'2025 EOY'!B:B),"No")</f>
        <v>No</v>
      </c>
    </row>
    <row r="313" spans="1:28" ht="15" thickBot="1" x14ac:dyDescent="0.4">
      <c r="A313" s="37" t="s">
        <v>246</v>
      </c>
      <c r="B313" s="12">
        <v>45642</v>
      </c>
      <c r="C313" s="47" t="s">
        <v>36</v>
      </c>
      <c r="D313" s="10" t="s">
        <v>268</v>
      </c>
      <c r="E313" s="263">
        <v>0</v>
      </c>
      <c r="F313" s="172">
        <v>45688</v>
      </c>
      <c r="G313" s="172">
        <v>45688</v>
      </c>
      <c r="H313" s="212">
        <v>150.47619047619048</v>
      </c>
      <c r="I313" s="198">
        <v>152.5</v>
      </c>
      <c r="J313" s="9">
        <v>-28.333333333333258</v>
      </c>
      <c r="K313">
        <v>0</v>
      </c>
      <c r="L313" s="14" t="s">
        <v>61</v>
      </c>
      <c r="M313" s="8" t="s">
        <v>131</v>
      </c>
      <c r="N313">
        <v>0</v>
      </c>
      <c r="O313" s="38" t="s">
        <v>29</v>
      </c>
      <c r="P313" s="38" t="s">
        <v>29</v>
      </c>
      <c r="Q313">
        <v>2025</v>
      </c>
      <c r="R313" t="s">
        <v>129</v>
      </c>
      <c r="S313" t="s">
        <v>14</v>
      </c>
      <c r="T313" t="s">
        <v>484</v>
      </c>
      <c r="U313" t="str">
        <f>IFERROR(_xlfn.XLOOKUP(A313,'2025 EOY'!A:A,'2025 EOY'!B:B),"No")</f>
        <v>No</v>
      </c>
    </row>
    <row r="314" spans="1:28" x14ac:dyDescent="0.35">
      <c r="A314" s="37" t="s">
        <v>246</v>
      </c>
      <c r="B314" s="12">
        <v>45642</v>
      </c>
      <c r="C314" s="47" t="s">
        <v>39</v>
      </c>
      <c r="D314" s="10" t="s">
        <v>268</v>
      </c>
      <c r="E314" s="253">
        <v>700</v>
      </c>
      <c r="F314" s="172">
        <v>45716</v>
      </c>
      <c r="G314" s="172">
        <v>45716</v>
      </c>
      <c r="H314" s="212">
        <v>126.69962917181705</v>
      </c>
      <c r="I314" s="192">
        <v>109</v>
      </c>
      <c r="J314" s="96">
        <v>-247.79480840543874</v>
      </c>
      <c r="K314">
        <v>88689.740420271934</v>
      </c>
      <c r="L314" s="14" t="s">
        <v>62</v>
      </c>
      <c r="M314" s="8" t="s">
        <v>131</v>
      </c>
      <c r="N314">
        <v>76300</v>
      </c>
      <c r="O314" s="38" t="s">
        <v>29</v>
      </c>
      <c r="P314" s="38" t="s">
        <v>29</v>
      </c>
      <c r="Q314">
        <v>2025</v>
      </c>
      <c r="R314" t="s">
        <v>131</v>
      </c>
      <c r="S314" t="s">
        <v>14</v>
      </c>
      <c r="T314" t="s">
        <v>485</v>
      </c>
      <c r="U314" t="str">
        <f>IFERROR(_xlfn.XLOOKUP(A314,'2025 EOY'!A:A,'2025 EOY'!B:B),"No")</f>
        <v>No</v>
      </c>
    </row>
    <row r="315" spans="1:28" x14ac:dyDescent="0.35">
      <c r="A315" s="37" t="s">
        <v>246</v>
      </c>
      <c r="B315" s="12">
        <v>45642</v>
      </c>
      <c r="C315" s="10" t="s">
        <v>3</v>
      </c>
      <c r="D315" s="4" t="s">
        <v>268</v>
      </c>
      <c r="E315" s="253">
        <v>-700</v>
      </c>
      <c r="F315" s="172">
        <v>45688</v>
      </c>
      <c r="G315" s="172">
        <v>45716</v>
      </c>
      <c r="H315" s="15">
        <v>0.42</v>
      </c>
      <c r="I315" s="192">
        <v>0.56000000000000005</v>
      </c>
      <c r="J315" s="9">
        <v>-98.000000000000043</v>
      </c>
      <c r="K315">
        <v>-294</v>
      </c>
      <c r="L315" s="14" t="s">
        <v>52</v>
      </c>
      <c r="M315" s="8" t="s">
        <v>129</v>
      </c>
      <c r="N315">
        <v>-392.00000000000006</v>
      </c>
      <c r="O315" s="38" t="s">
        <v>4</v>
      </c>
      <c r="P315" s="38" t="s">
        <v>3</v>
      </c>
      <c r="Q315">
        <v>2025</v>
      </c>
      <c r="R315" t="s">
        <v>129</v>
      </c>
      <c r="S315" t="s">
        <v>14</v>
      </c>
      <c r="T315" t="s">
        <v>486</v>
      </c>
      <c r="U315" t="str">
        <f>IFERROR(_xlfn.XLOOKUP(A315,'2025 EOY'!A:A,'2025 EOY'!B:B),"No")</f>
        <v>No</v>
      </c>
    </row>
    <row r="316" spans="1:28" x14ac:dyDescent="0.35">
      <c r="A316" s="37" t="s">
        <v>246</v>
      </c>
      <c r="B316" s="12">
        <v>45642</v>
      </c>
      <c r="C316" s="10" t="s">
        <v>10</v>
      </c>
      <c r="D316" s="4" t="s">
        <v>268</v>
      </c>
      <c r="E316" s="253">
        <v>-700</v>
      </c>
      <c r="F316" s="172">
        <v>45716</v>
      </c>
      <c r="G316" s="172">
        <v>45716</v>
      </c>
      <c r="H316" s="120">
        <v>-3.62</v>
      </c>
      <c r="I316" s="192">
        <v>-3.4</v>
      </c>
      <c r="J316" s="9">
        <v>-154.00000000000014</v>
      </c>
      <c r="K316">
        <v>2534</v>
      </c>
      <c r="L316" s="14" t="s">
        <v>62</v>
      </c>
      <c r="M316" s="8" t="s">
        <v>129</v>
      </c>
      <c r="N316">
        <v>2380</v>
      </c>
      <c r="O316" s="38" t="s">
        <v>11</v>
      </c>
      <c r="P316" s="38" t="s">
        <v>10</v>
      </c>
      <c r="Q316">
        <v>2025</v>
      </c>
      <c r="R316" t="s">
        <v>129</v>
      </c>
      <c r="S316" t="s">
        <v>14</v>
      </c>
      <c r="T316" t="s">
        <v>487</v>
      </c>
      <c r="U316" t="str">
        <f>IFERROR(_xlfn.XLOOKUP(A316,'2025 EOY'!A:A,'2025 EOY'!B:B),"No")</f>
        <v>No</v>
      </c>
    </row>
    <row r="317" spans="1:28" ht="15" thickBot="1" x14ac:dyDescent="0.4">
      <c r="A317" s="21" t="s">
        <v>176</v>
      </c>
      <c r="B317" s="175">
        <v>45642</v>
      </c>
      <c r="C317" s="22" t="s">
        <v>19</v>
      </c>
      <c r="D317" s="22" t="s">
        <v>268</v>
      </c>
      <c r="E317" s="262">
        <v>700</v>
      </c>
      <c r="F317" s="24">
        <v>45688</v>
      </c>
      <c r="G317" s="24">
        <v>45688</v>
      </c>
      <c r="H317" s="207">
        <v>1.02</v>
      </c>
      <c r="I317" s="193">
        <v>1</v>
      </c>
      <c r="J317" s="25">
        <v>-14.000000000000012</v>
      </c>
      <c r="K317" s="26">
        <v>714</v>
      </c>
      <c r="L317" s="14" t="s">
        <v>61</v>
      </c>
      <c r="M317" s="27" t="s">
        <v>131</v>
      </c>
      <c r="N317" s="26">
        <v>700</v>
      </c>
      <c r="O317" s="28" t="s">
        <v>19</v>
      </c>
      <c r="P317" s="38" t="s">
        <v>19</v>
      </c>
      <c r="Q317">
        <v>2025</v>
      </c>
      <c r="R317" t="s">
        <v>131</v>
      </c>
      <c r="S317" t="s">
        <v>96</v>
      </c>
      <c r="T317" t="s">
        <v>488</v>
      </c>
      <c r="U317" t="str">
        <f>IFERROR(_xlfn.XLOOKUP(A317,'2025 EOY'!A:A,'2025 EOY'!B:B),"No")</f>
        <v>No</v>
      </c>
    </row>
    <row r="318" spans="1:28" ht="15" thickBot="1" x14ac:dyDescent="0.4">
      <c r="A318" s="37" t="s">
        <v>176</v>
      </c>
      <c r="B318" s="12">
        <v>45642</v>
      </c>
      <c r="C318" s="47" t="s">
        <v>36</v>
      </c>
      <c r="D318" s="10" t="s">
        <v>268</v>
      </c>
      <c r="E318" s="263">
        <v>0</v>
      </c>
      <c r="F318" s="172">
        <v>45688</v>
      </c>
      <c r="G318" s="172">
        <v>45688</v>
      </c>
      <c r="H318" s="212">
        <v>150.47619047619048</v>
      </c>
      <c r="I318" s="198">
        <v>129.5</v>
      </c>
      <c r="J318" s="9">
        <v>293.66666666666674</v>
      </c>
      <c r="K318">
        <v>0</v>
      </c>
      <c r="L318" s="14" t="s">
        <v>61</v>
      </c>
      <c r="M318" s="8" t="s">
        <v>131</v>
      </c>
      <c r="N318">
        <v>0</v>
      </c>
      <c r="O318" s="38" t="s">
        <v>29</v>
      </c>
      <c r="P318" s="38" t="s">
        <v>29</v>
      </c>
      <c r="Q318">
        <v>2025</v>
      </c>
      <c r="R318" t="s">
        <v>129</v>
      </c>
      <c r="S318" t="s">
        <v>14</v>
      </c>
      <c r="T318" t="s">
        <v>489</v>
      </c>
      <c r="U318" t="str">
        <f>IFERROR(_xlfn.XLOOKUP(A318,'2025 EOY'!A:A,'2025 EOY'!B:B),"No")</f>
        <v>No</v>
      </c>
    </row>
    <row r="319" spans="1:28" x14ac:dyDescent="0.35">
      <c r="A319" s="37" t="s">
        <v>176</v>
      </c>
      <c r="B319" s="12">
        <v>45642</v>
      </c>
      <c r="C319" s="47" t="s">
        <v>39</v>
      </c>
      <c r="D319" s="10" t="s">
        <v>268</v>
      </c>
      <c r="E319" s="253">
        <v>700</v>
      </c>
      <c r="F319" s="172">
        <v>45716</v>
      </c>
      <c r="G319" s="172">
        <v>45716</v>
      </c>
      <c r="H319" s="212">
        <v>126.69962917181705</v>
      </c>
      <c r="I319" s="192">
        <v>109</v>
      </c>
      <c r="J319" s="9">
        <v>-247.79480840543874</v>
      </c>
      <c r="K319">
        <v>88689.740420271934</v>
      </c>
      <c r="L319" s="14" t="s">
        <v>62</v>
      </c>
      <c r="M319" s="8" t="s">
        <v>131</v>
      </c>
      <c r="N319">
        <v>76300</v>
      </c>
      <c r="O319" s="38" t="s">
        <v>29</v>
      </c>
      <c r="P319" s="38" t="s">
        <v>29</v>
      </c>
      <c r="Q319">
        <v>2025</v>
      </c>
      <c r="R319" t="s">
        <v>131</v>
      </c>
      <c r="S319" t="s">
        <v>14</v>
      </c>
      <c r="T319" t="s">
        <v>490</v>
      </c>
      <c r="U319" t="str">
        <f>IFERROR(_xlfn.XLOOKUP(A319,'2025 EOY'!A:A,'2025 EOY'!B:B),"No")</f>
        <v>No</v>
      </c>
    </row>
    <row r="320" spans="1:28" x14ac:dyDescent="0.35">
      <c r="A320" s="37" t="s">
        <v>176</v>
      </c>
      <c r="B320" s="12">
        <v>45642</v>
      </c>
      <c r="C320" s="10" t="s">
        <v>3</v>
      </c>
      <c r="D320" s="4" t="s">
        <v>268</v>
      </c>
      <c r="E320" s="253">
        <v>-700</v>
      </c>
      <c r="F320" s="172">
        <v>45688</v>
      </c>
      <c r="G320" s="172">
        <v>45716</v>
      </c>
      <c r="H320" s="15">
        <v>0.42</v>
      </c>
      <c r="I320" s="192">
        <v>0.56000000000000005</v>
      </c>
      <c r="J320" s="9">
        <v>-98.000000000000043</v>
      </c>
      <c r="K320">
        <v>-294</v>
      </c>
      <c r="L320" s="14" t="s">
        <v>52</v>
      </c>
      <c r="M320" s="8" t="s">
        <v>129</v>
      </c>
      <c r="N320">
        <v>-392.00000000000006</v>
      </c>
      <c r="O320" s="38" t="s">
        <v>4</v>
      </c>
      <c r="P320" s="38" t="s">
        <v>3</v>
      </c>
      <c r="Q320">
        <v>2025</v>
      </c>
      <c r="R320" t="s">
        <v>129</v>
      </c>
      <c r="S320" t="s">
        <v>14</v>
      </c>
      <c r="T320" t="s">
        <v>491</v>
      </c>
      <c r="U320" t="str">
        <f>IFERROR(_xlfn.XLOOKUP(A320,'2025 EOY'!A:A,'2025 EOY'!B:B),"No")</f>
        <v>No</v>
      </c>
    </row>
    <row r="321" spans="1:31" x14ac:dyDescent="0.35">
      <c r="A321" s="29" t="s">
        <v>176</v>
      </c>
      <c r="B321" s="176">
        <v>45642</v>
      </c>
      <c r="C321" s="30" t="s">
        <v>10</v>
      </c>
      <c r="D321" s="31" t="s">
        <v>268</v>
      </c>
      <c r="E321" s="257">
        <v>-700</v>
      </c>
      <c r="F321" s="32">
        <v>45716</v>
      </c>
      <c r="G321" s="32">
        <v>45716</v>
      </c>
      <c r="H321" s="213">
        <v>-3.62</v>
      </c>
      <c r="I321" s="192">
        <v>-3.4</v>
      </c>
      <c r="J321" s="33">
        <v>-154.00000000000014</v>
      </c>
      <c r="K321" s="34">
        <v>2534</v>
      </c>
      <c r="L321" s="14" t="s">
        <v>62</v>
      </c>
      <c r="M321" s="35" t="s">
        <v>129</v>
      </c>
      <c r="N321" s="34">
        <v>2380</v>
      </c>
      <c r="O321" s="36" t="s">
        <v>11</v>
      </c>
      <c r="P321" s="38" t="s">
        <v>10</v>
      </c>
      <c r="Q321">
        <v>2025</v>
      </c>
      <c r="R321" t="s">
        <v>129</v>
      </c>
      <c r="S321" t="s">
        <v>14</v>
      </c>
      <c r="T321" t="s">
        <v>492</v>
      </c>
      <c r="U321" t="str">
        <f>IFERROR(_xlfn.XLOOKUP(A321,'2025 EOY'!A:A,'2025 EOY'!B:B),"No")</f>
        <v>No</v>
      </c>
    </row>
    <row r="322" spans="1:31" x14ac:dyDescent="0.35">
      <c r="A322" s="37" t="s">
        <v>249</v>
      </c>
      <c r="B322" s="12">
        <v>45642</v>
      </c>
      <c r="C322" s="10" t="s">
        <v>19</v>
      </c>
      <c r="D322" s="10" t="s">
        <v>268</v>
      </c>
      <c r="E322" s="259">
        <v>707</v>
      </c>
      <c r="F322" s="172">
        <v>45688</v>
      </c>
      <c r="G322" s="172">
        <v>45688</v>
      </c>
      <c r="H322" s="15">
        <v>1.27</v>
      </c>
      <c r="I322" s="192">
        <v>1.5499999999999998</v>
      </c>
      <c r="J322" s="9">
        <v>197.95999999999987</v>
      </c>
      <c r="K322">
        <v>897.89</v>
      </c>
      <c r="L322" s="14" t="s">
        <v>61</v>
      </c>
      <c r="M322" s="8" t="s">
        <v>131</v>
      </c>
      <c r="N322">
        <v>1095.8499999999999</v>
      </c>
      <c r="O322" s="38" t="s">
        <v>19</v>
      </c>
      <c r="P322" s="38" t="s">
        <v>19</v>
      </c>
      <c r="Q322">
        <v>2025</v>
      </c>
      <c r="R322" t="s">
        <v>131</v>
      </c>
      <c r="S322" t="s">
        <v>96</v>
      </c>
      <c r="T322" t="s">
        <v>493</v>
      </c>
      <c r="U322" t="str">
        <f>IFERROR(_xlfn.XLOOKUP(A322,'2025 EOY'!A:A,'2025 EOY'!B:B),"No")</f>
        <v>No</v>
      </c>
      <c r="Z322">
        <v>4.82</v>
      </c>
      <c r="AA322">
        <v>-0.88714628297362141</v>
      </c>
      <c r="AC322">
        <v>500</v>
      </c>
      <c r="AD322">
        <v>-362</v>
      </c>
      <c r="AE322">
        <v>-181000</v>
      </c>
    </row>
    <row r="323" spans="1:31" x14ac:dyDescent="0.35">
      <c r="A323" s="37" t="s">
        <v>249</v>
      </c>
      <c r="B323" s="12">
        <v>45642</v>
      </c>
      <c r="C323" s="47" t="s">
        <v>36</v>
      </c>
      <c r="D323" s="10" t="s">
        <v>268</v>
      </c>
      <c r="E323" s="253">
        <v>-707</v>
      </c>
      <c r="F323" s="172">
        <v>45688</v>
      </c>
      <c r="G323" s="172">
        <v>45688</v>
      </c>
      <c r="H323" s="212">
        <v>150</v>
      </c>
      <c r="I323" s="192">
        <v>137.5</v>
      </c>
      <c r="J323" s="9">
        <v>175</v>
      </c>
      <c r="K323">
        <v>-106050</v>
      </c>
      <c r="L323" s="14" t="s">
        <v>61</v>
      </c>
      <c r="M323" s="8" t="s">
        <v>129</v>
      </c>
      <c r="N323">
        <v>-97212.5</v>
      </c>
      <c r="O323" s="38" t="s">
        <v>29</v>
      </c>
      <c r="P323" s="38" t="s">
        <v>29</v>
      </c>
      <c r="Q323">
        <v>2025</v>
      </c>
      <c r="R323" t="s">
        <v>129</v>
      </c>
      <c r="S323" t="s">
        <v>14</v>
      </c>
      <c r="T323" t="s">
        <v>494</v>
      </c>
      <c r="U323" t="str">
        <f>IFERROR(_xlfn.XLOOKUP(A323,'2025 EOY'!A:A,'2025 EOY'!B:B),"No")</f>
        <v>No</v>
      </c>
      <c r="AA323">
        <v>-1863.007194244605</v>
      </c>
      <c r="AC323">
        <v>200</v>
      </c>
      <c r="AD323">
        <v>-366</v>
      </c>
      <c r="AE323">
        <v>-73200</v>
      </c>
    </row>
    <row r="324" spans="1:31" x14ac:dyDescent="0.35">
      <c r="A324" s="37" t="s">
        <v>249</v>
      </c>
      <c r="B324" s="12">
        <v>45642</v>
      </c>
      <c r="C324" s="47" t="s">
        <v>36</v>
      </c>
      <c r="D324" s="10" t="s">
        <v>268</v>
      </c>
      <c r="E324" s="253">
        <v>707</v>
      </c>
      <c r="F324" s="172">
        <v>45688</v>
      </c>
      <c r="G324" s="172">
        <v>45688</v>
      </c>
      <c r="H324" s="212">
        <v>137.5</v>
      </c>
      <c r="I324" s="192">
        <v>137.5</v>
      </c>
      <c r="J324" s="9">
        <v>0</v>
      </c>
      <c r="K324">
        <v>97212.5</v>
      </c>
      <c r="L324" s="14" t="s">
        <v>61</v>
      </c>
      <c r="M324" s="8" t="s">
        <v>131</v>
      </c>
      <c r="N324">
        <v>97212.5</v>
      </c>
      <c r="O324" s="38" t="s">
        <v>29</v>
      </c>
      <c r="P324" s="38" t="s">
        <v>29</v>
      </c>
      <c r="Q324">
        <v>2025</v>
      </c>
      <c r="R324" t="s">
        <v>131</v>
      </c>
      <c r="S324" t="s">
        <v>14</v>
      </c>
      <c r="T324" t="s">
        <v>495</v>
      </c>
      <c r="U324" t="str">
        <f>IFERROR(_xlfn.XLOOKUP(A324,'2025 EOY'!A:A,'2025 EOY'!B:B),"No")</f>
        <v>No</v>
      </c>
      <c r="AC324">
        <v>303</v>
      </c>
      <c r="AD324">
        <v>-368</v>
      </c>
      <c r="AE324">
        <v>-111504</v>
      </c>
    </row>
    <row r="325" spans="1:31" x14ac:dyDescent="0.35">
      <c r="A325" s="37" t="s">
        <v>249</v>
      </c>
      <c r="B325" s="12">
        <v>45642</v>
      </c>
      <c r="C325" s="47" t="s">
        <v>39</v>
      </c>
      <c r="D325" s="10" t="s">
        <v>268</v>
      </c>
      <c r="E325" s="253">
        <v>700</v>
      </c>
      <c r="F325" s="172">
        <v>45716</v>
      </c>
      <c r="G325" s="172">
        <v>45716</v>
      </c>
      <c r="H325" s="212">
        <v>126.69962917181705</v>
      </c>
      <c r="I325" s="192">
        <v>109</v>
      </c>
      <c r="J325" s="9">
        <v>-247.79480840543874</v>
      </c>
      <c r="K325">
        <v>88689.740420271934</v>
      </c>
      <c r="L325" s="14" t="s">
        <v>62</v>
      </c>
      <c r="M325" s="8" t="s">
        <v>131</v>
      </c>
      <c r="N325">
        <v>76300</v>
      </c>
      <c r="O325" s="38" t="s">
        <v>29</v>
      </c>
      <c r="P325" s="38" t="s">
        <v>29</v>
      </c>
      <c r="Q325">
        <v>2025</v>
      </c>
      <c r="R325" t="s">
        <v>131</v>
      </c>
      <c r="S325" t="s">
        <v>14</v>
      </c>
      <c r="T325" t="s">
        <v>496</v>
      </c>
      <c r="U325" t="str">
        <f>IFERROR(_xlfn.XLOOKUP(A325,'2025 EOY'!A:A,'2025 EOY'!B:B),"No")</f>
        <v>No</v>
      </c>
      <c r="AC325">
        <v>1003</v>
      </c>
      <c r="AE325">
        <v>-365704</v>
      </c>
    </row>
    <row r="326" spans="1:31" x14ac:dyDescent="0.35">
      <c r="A326" s="29" t="s">
        <v>249</v>
      </c>
      <c r="B326" s="176">
        <v>45642</v>
      </c>
      <c r="C326" s="30" t="s">
        <v>10</v>
      </c>
      <c r="D326" s="31" t="s">
        <v>268</v>
      </c>
      <c r="E326" s="257">
        <v>-707</v>
      </c>
      <c r="F326" s="32">
        <v>45716</v>
      </c>
      <c r="G326" s="32">
        <v>45716</v>
      </c>
      <c r="H326" s="213">
        <v>-3.62</v>
      </c>
      <c r="I326" s="192">
        <v>-3.4</v>
      </c>
      <c r="J326" s="33">
        <v>-155.54000000000013</v>
      </c>
      <c r="K326" s="34">
        <v>2559.34</v>
      </c>
      <c r="L326" s="14" t="s">
        <v>62</v>
      </c>
      <c r="M326" s="35" t="s">
        <v>129</v>
      </c>
      <c r="N326" s="34">
        <v>2403.7999999999997</v>
      </c>
      <c r="O326" s="36" t="s">
        <v>11</v>
      </c>
      <c r="P326" s="38" t="s">
        <v>10</v>
      </c>
      <c r="Q326">
        <v>2025</v>
      </c>
      <c r="R326" t="s">
        <v>129</v>
      </c>
      <c r="S326" t="s">
        <v>14</v>
      </c>
      <c r="T326" t="s">
        <v>497</v>
      </c>
      <c r="U326" t="str">
        <f>IFERROR(_xlfn.XLOOKUP(A326,'2025 EOY'!A:A,'2025 EOY'!B:B),"No")</f>
        <v>No</v>
      </c>
      <c r="AE326">
        <v>-364.61016949152543</v>
      </c>
    </row>
    <row r="327" spans="1:31" x14ac:dyDescent="0.35">
      <c r="A327" s="29" t="s">
        <v>173</v>
      </c>
      <c r="B327" s="176">
        <v>46010</v>
      </c>
      <c r="C327" s="30" t="s">
        <v>15</v>
      </c>
      <c r="D327" s="31" t="s">
        <v>128</v>
      </c>
      <c r="E327" s="257">
        <v>-500</v>
      </c>
      <c r="F327" s="32">
        <v>45716</v>
      </c>
      <c r="G327" s="32">
        <v>45716</v>
      </c>
      <c r="H327" s="208">
        <v>0.16131000000000001</v>
      </c>
      <c r="I327" s="195">
        <v>0.22</v>
      </c>
      <c r="J327" s="33">
        <v>-29.344999999999995</v>
      </c>
      <c r="K327" s="34">
        <v>-80.655000000000001</v>
      </c>
      <c r="L327" s="14" t="s">
        <v>62</v>
      </c>
      <c r="M327" s="35" t="s">
        <v>129</v>
      </c>
      <c r="N327" s="34">
        <v>-110</v>
      </c>
      <c r="O327" s="36" t="s">
        <v>11</v>
      </c>
      <c r="P327" s="38" t="s">
        <v>16</v>
      </c>
      <c r="Q327">
        <v>2025</v>
      </c>
      <c r="R327" t="s">
        <v>129</v>
      </c>
      <c r="S327" t="s">
        <v>14</v>
      </c>
      <c r="T327" t="s">
        <v>498</v>
      </c>
      <c r="U327" t="str">
        <f>IFERROR(_xlfn.XLOOKUP(A327,'2025 EOY'!A:A,'2025 EOY'!B:B),"No")</f>
        <v>No</v>
      </c>
    </row>
    <row r="328" spans="1:31" x14ac:dyDescent="0.35">
      <c r="A328" s="37" t="s">
        <v>127</v>
      </c>
      <c r="B328" s="12">
        <v>45644</v>
      </c>
      <c r="C328" s="30" t="s">
        <v>22</v>
      </c>
      <c r="D328" s="4" t="s">
        <v>128</v>
      </c>
      <c r="E328" s="253">
        <v>500</v>
      </c>
      <c r="F328" s="173" t="s">
        <v>464</v>
      </c>
      <c r="G328" s="172">
        <v>45688</v>
      </c>
      <c r="H328" s="15">
        <v>0.3</v>
      </c>
      <c r="I328" s="191">
        <v>0.99</v>
      </c>
      <c r="J328" s="9">
        <v>345</v>
      </c>
      <c r="K328">
        <v>150</v>
      </c>
      <c r="L328" s="14" t="s">
        <v>70</v>
      </c>
      <c r="M328" s="8" t="s">
        <v>131</v>
      </c>
      <c r="N328">
        <v>495</v>
      </c>
      <c r="O328" s="38" t="s">
        <v>11</v>
      </c>
      <c r="P328" s="38" t="s">
        <v>16</v>
      </c>
      <c r="Q328">
        <v>2025</v>
      </c>
      <c r="R328" t="s">
        <v>131</v>
      </c>
      <c r="S328" t="s">
        <v>14</v>
      </c>
      <c r="T328" t="s">
        <v>499</v>
      </c>
      <c r="U328" t="str">
        <f>IFERROR(_xlfn.XLOOKUP(A328,'2025 EOY'!A:A,'2025 EOY'!B:B),"No")</f>
        <v>No</v>
      </c>
      <c r="Z328">
        <v>2.8572901678657079</v>
      </c>
      <c r="AA328">
        <v>6000.3093525179866</v>
      </c>
    </row>
    <row r="329" spans="1:31" x14ac:dyDescent="0.35">
      <c r="A329" s="37" t="s">
        <v>127</v>
      </c>
      <c r="B329" s="12">
        <v>45644</v>
      </c>
      <c r="C329" s="30" t="s">
        <v>22</v>
      </c>
      <c r="D329" s="4" t="s">
        <v>128</v>
      </c>
      <c r="E329" s="253">
        <v>-500</v>
      </c>
      <c r="F329" s="173" t="s">
        <v>466</v>
      </c>
      <c r="G329" s="172">
        <v>45688</v>
      </c>
      <c r="H329" s="15">
        <v>0.1</v>
      </c>
      <c r="I329" s="191">
        <v>1.43</v>
      </c>
      <c r="J329" s="9">
        <v>-664.99999999999989</v>
      </c>
      <c r="K329">
        <v>-50</v>
      </c>
      <c r="L329" s="14" t="s">
        <v>71</v>
      </c>
      <c r="M329" s="8" t="s">
        <v>129</v>
      </c>
      <c r="N329">
        <v>-715</v>
      </c>
      <c r="O329" s="38" t="s">
        <v>11</v>
      </c>
      <c r="P329" s="38" t="s">
        <v>16</v>
      </c>
      <c r="Q329">
        <v>2025</v>
      </c>
      <c r="R329" t="s">
        <v>129</v>
      </c>
      <c r="S329" t="s">
        <v>14</v>
      </c>
      <c r="T329" t="s">
        <v>500</v>
      </c>
      <c r="U329" t="str">
        <f>IFERROR(_xlfn.XLOOKUP(A329,'2025 EOY'!A:A,'2025 EOY'!B:B),"No")</f>
        <v>No</v>
      </c>
    </row>
    <row r="330" spans="1:31" x14ac:dyDescent="0.35">
      <c r="A330" s="37" t="s">
        <v>127</v>
      </c>
      <c r="B330" s="12">
        <v>45642</v>
      </c>
      <c r="C330" s="10" t="s">
        <v>15</v>
      </c>
      <c r="D330" s="4" t="s">
        <v>128</v>
      </c>
      <c r="E330" s="253">
        <v>-500</v>
      </c>
      <c r="F330" s="173">
        <v>45688</v>
      </c>
      <c r="G330" s="172">
        <v>45688</v>
      </c>
      <c r="H330" s="15">
        <v>0.28000000000000003</v>
      </c>
      <c r="I330" s="191">
        <v>0.93</v>
      </c>
      <c r="J330" s="9">
        <v>-325</v>
      </c>
      <c r="K330">
        <v>-140</v>
      </c>
      <c r="L330" s="14" t="s">
        <v>61</v>
      </c>
      <c r="M330" s="8" t="s">
        <v>129</v>
      </c>
      <c r="N330">
        <v>-465</v>
      </c>
      <c r="O330" s="38" t="s">
        <v>11</v>
      </c>
      <c r="P330" s="38" t="s">
        <v>16</v>
      </c>
      <c r="Q330">
        <v>2025</v>
      </c>
      <c r="R330" t="s">
        <v>129</v>
      </c>
      <c r="S330" t="s">
        <v>14</v>
      </c>
      <c r="T330" t="s">
        <v>501</v>
      </c>
      <c r="U330" t="str">
        <f>IFERROR(_xlfn.XLOOKUP(A330,'2025 EOY'!A:A,'2025 EOY'!B:B),"No")</f>
        <v>No</v>
      </c>
      <c r="Y330">
        <v>8205.0071942446029</v>
      </c>
    </row>
    <row r="331" spans="1:31" x14ac:dyDescent="0.35">
      <c r="A331" s="21" t="s">
        <v>127</v>
      </c>
      <c r="B331" s="175">
        <v>45644</v>
      </c>
      <c r="C331" s="22" t="s">
        <v>10</v>
      </c>
      <c r="D331" s="23" t="s">
        <v>128</v>
      </c>
      <c r="E331" s="256">
        <v>3800</v>
      </c>
      <c r="F331" s="24">
        <v>45716</v>
      </c>
      <c r="G331" s="24">
        <v>45716</v>
      </c>
      <c r="H331" s="214">
        <v>-3.3700000000000045</v>
      </c>
      <c r="I331" s="192">
        <v>-3.4</v>
      </c>
      <c r="J331" s="25">
        <v>-113.99999999998238</v>
      </c>
      <c r="K331" s="26">
        <v>-12806.000000000018</v>
      </c>
      <c r="L331" s="14" t="s">
        <v>62</v>
      </c>
      <c r="M331" s="27" t="s">
        <v>131</v>
      </c>
      <c r="N331" s="26">
        <v>-12920</v>
      </c>
      <c r="O331" s="28" t="s">
        <v>11</v>
      </c>
      <c r="P331" s="38" t="s">
        <v>10</v>
      </c>
      <c r="Q331">
        <v>2025</v>
      </c>
      <c r="R331" t="s">
        <v>131</v>
      </c>
      <c r="S331" t="s">
        <v>14</v>
      </c>
      <c r="T331" t="s">
        <v>502</v>
      </c>
      <c r="U331" t="str">
        <f>IFERROR(_xlfn.XLOOKUP(A331,'2025 EOY'!A:A,'2025 EOY'!B:B),"No")</f>
        <v>No</v>
      </c>
    </row>
    <row r="332" spans="1:31" x14ac:dyDescent="0.35">
      <c r="A332" s="37" t="s">
        <v>127</v>
      </c>
      <c r="B332" s="12">
        <v>45644</v>
      </c>
      <c r="C332" s="10" t="s">
        <v>10</v>
      </c>
      <c r="D332" s="4" t="s">
        <v>128</v>
      </c>
      <c r="E332" s="253">
        <v>-2000</v>
      </c>
      <c r="F332" s="172">
        <v>45747</v>
      </c>
      <c r="G332" s="172">
        <v>45747</v>
      </c>
      <c r="H332" s="120">
        <v>-3.4300000000000068</v>
      </c>
      <c r="I332" s="192">
        <v>-4.2300000000000004</v>
      </c>
      <c r="J332" s="9">
        <v>1599.9999999999873</v>
      </c>
      <c r="K332">
        <v>6860.0000000000136</v>
      </c>
      <c r="L332" s="14" t="s">
        <v>63</v>
      </c>
      <c r="M332" s="8" t="s">
        <v>129</v>
      </c>
      <c r="N332">
        <v>8460</v>
      </c>
      <c r="O332" s="38" t="s">
        <v>11</v>
      </c>
      <c r="P332" s="38" t="s">
        <v>10</v>
      </c>
      <c r="Q332">
        <v>2025</v>
      </c>
      <c r="R332" t="s">
        <v>129</v>
      </c>
      <c r="S332" t="s">
        <v>14</v>
      </c>
      <c r="T332" t="s">
        <v>503</v>
      </c>
      <c r="U332" t="str">
        <f>IFERROR(_xlfn.XLOOKUP(A332,'2025 EOY'!A:A,'2025 EOY'!B:B),"No")</f>
        <v>No</v>
      </c>
      <c r="Y332">
        <v>8258.9928057553952</v>
      </c>
    </row>
    <row r="333" spans="1:31" x14ac:dyDescent="0.35">
      <c r="A333" s="29" t="s">
        <v>127</v>
      </c>
      <c r="B333" s="176">
        <v>45644</v>
      </c>
      <c r="C333" s="30" t="s">
        <v>10</v>
      </c>
      <c r="D333" s="31" t="s">
        <v>128</v>
      </c>
      <c r="E333" s="257">
        <v>-1800</v>
      </c>
      <c r="F333" s="32">
        <v>45777</v>
      </c>
      <c r="G333" s="32">
        <v>45777</v>
      </c>
      <c r="H333" s="213">
        <v>-3.460000000000008</v>
      </c>
      <c r="I333" s="192">
        <v>-3.42</v>
      </c>
      <c r="J333" s="33">
        <v>-72.000000000014452</v>
      </c>
      <c r="K333" s="34">
        <v>6228.0000000000146</v>
      </c>
      <c r="L333" s="14" t="s">
        <v>64</v>
      </c>
      <c r="M333" s="35" t="s">
        <v>129</v>
      </c>
      <c r="N333" s="34">
        <v>6156</v>
      </c>
      <c r="O333" s="36" t="s">
        <v>11</v>
      </c>
      <c r="P333" s="38" t="s">
        <v>10</v>
      </c>
      <c r="Q333">
        <v>2025</v>
      </c>
      <c r="R333" t="s">
        <v>129</v>
      </c>
      <c r="S333" t="s">
        <v>14</v>
      </c>
      <c r="T333" t="s">
        <v>504</v>
      </c>
      <c r="U333" t="str">
        <f>IFERROR(_xlfn.XLOOKUP(A333,'2025 EOY'!A:A,'2025 EOY'!B:B),"No")</f>
        <v>No</v>
      </c>
    </row>
    <row r="334" spans="1:31" x14ac:dyDescent="0.35">
      <c r="A334" s="37" t="s">
        <v>246</v>
      </c>
      <c r="B334" s="12">
        <v>45644</v>
      </c>
      <c r="C334" s="10" t="s">
        <v>3</v>
      </c>
      <c r="D334" s="4" t="s">
        <v>128</v>
      </c>
      <c r="E334" s="253">
        <v>700</v>
      </c>
      <c r="F334" s="172">
        <v>45688</v>
      </c>
      <c r="G334" s="172">
        <v>45716</v>
      </c>
      <c r="H334" s="15">
        <v>0.56000000000000005</v>
      </c>
      <c r="I334" s="192">
        <v>0.56000000000000005</v>
      </c>
      <c r="J334" s="9">
        <v>0</v>
      </c>
      <c r="K334">
        <v>392.00000000000006</v>
      </c>
      <c r="L334" s="14" t="s">
        <v>52</v>
      </c>
      <c r="M334" s="8" t="s">
        <v>131</v>
      </c>
      <c r="N334">
        <v>392.00000000000006</v>
      </c>
      <c r="O334" s="38" t="s">
        <v>4</v>
      </c>
      <c r="P334" s="38" t="s">
        <v>3</v>
      </c>
      <c r="Q334">
        <v>2025</v>
      </c>
      <c r="R334" t="s">
        <v>131</v>
      </c>
      <c r="S334" t="s">
        <v>14</v>
      </c>
      <c r="T334" t="s">
        <v>505</v>
      </c>
      <c r="U334" t="str">
        <f>IFERROR(_xlfn.XLOOKUP(A334,'2025 EOY'!A:A,'2025 EOY'!B:B),"No")</f>
        <v>No</v>
      </c>
    </row>
    <row r="335" spans="1:31" x14ac:dyDescent="0.35">
      <c r="A335" s="37" t="s">
        <v>127</v>
      </c>
      <c r="B335" s="12">
        <v>45644</v>
      </c>
      <c r="C335" s="10" t="s">
        <v>3</v>
      </c>
      <c r="D335" s="4" t="s">
        <v>128</v>
      </c>
      <c r="E335" s="253">
        <v>689</v>
      </c>
      <c r="F335" s="172">
        <v>45688</v>
      </c>
      <c r="G335" s="172">
        <v>45716</v>
      </c>
      <c r="H335" s="15">
        <v>0.56000000000000005</v>
      </c>
      <c r="I335" s="192">
        <v>0.56000000000000005</v>
      </c>
      <c r="J335" s="9">
        <v>0</v>
      </c>
      <c r="K335">
        <v>385.84000000000003</v>
      </c>
      <c r="L335" s="14" t="s">
        <v>52</v>
      </c>
      <c r="M335" s="8" t="s">
        <v>131</v>
      </c>
      <c r="N335">
        <v>385.84000000000003</v>
      </c>
      <c r="O335" s="38" t="s">
        <v>4</v>
      </c>
      <c r="P335" s="38" t="s">
        <v>3</v>
      </c>
      <c r="Q335">
        <v>2025</v>
      </c>
      <c r="R335" t="s">
        <v>131</v>
      </c>
      <c r="S335" t="s">
        <v>14</v>
      </c>
      <c r="T335" t="s">
        <v>506</v>
      </c>
      <c r="U335" t="str">
        <f>IFERROR(_xlfn.XLOOKUP(A335,'2025 EOY'!A:A,'2025 EOY'!B:B),"No")</f>
        <v>No</v>
      </c>
    </row>
    <row r="336" spans="1:31" x14ac:dyDescent="0.35">
      <c r="A336" s="21" t="s">
        <v>183</v>
      </c>
      <c r="B336" s="175">
        <v>45646</v>
      </c>
      <c r="C336" s="22" t="s">
        <v>28</v>
      </c>
      <c r="D336" s="22" t="s">
        <v>268</v>
      </c>
      <c r="E336" s="256">
        <v>0</v>
      </c>
      <c r="F336" s="24">
        <v>45626</v>
      </c>
      <c r="G336" s="24">
        <v>45626</v>
      </c>
      <c r="H336" s="207">
        <v>6500</v>
      </c>
      <c r="I336" s="193">
        <v>6000</v>
      </c>
      <c r="J336" s="25">
        <v>500</v>
      </c>
      <c r="K336" s="26">
        <v>0</v>
      </c>
      <c r="L336" s="14" t="s">
        <v>67</v>
      </c>
      <c r="M336" s="27" t="s">
        <v>131</v>
      </c>
      <c r="N336" s="26">
        <v>0</v>
      </c>
      <c r="O336" s="28" t="s">
        <v>29</v>
      </c>
      <c r="P336" s="38" t="s">
        <v>29</v>
      </c>
      <c r="Q336">
        <v>2024</v>
      </c>
      <c r="R336" t="s">
        <v>129</v>
      </c>
      <c r="S336" t="s">
        <v>14</v>
      </c>
      <c r="T336" t="s">
        <v>507</v>
      </c>
      <c r="U336" t="str">
        <f>IFERROR(_xlfn.XLOOKUP(A336,'2025 EOY'!A:A,'2025 EOY'!B:B),"No")</f>
        <v>No</v>
      </c>
    </row>
    <row r="337" spans="1:21" x14ac:dyDescent="0.35">
      <c r="A337" s="37" t="s">
        <v>183</v>
      </c>
      <c r="B337" s="12">
        <v>45646</v>
      </c>
      <c r="C337" s="10" t="s">
        <v>19</v>
      </c>
      <c r="D337" s="10" t="s">
        <v>268</v>
      </c>
      <c r="E337" s="259">
        <v>2079</v>
      </c>
      <c r="F337" s="172">
        <v>45688</v>
      </c>
      <c r="G337" s="172">
        <v>45688</v>
      </c>
      <c r="H337" s="15">
        <v>2.59</v>
      </c>
      <c r="I337" s="192">
        <v>2.5</v>
      </c>
      <c r="J337" s="9">
        <v>-187.1099999999997</v>
      </c>
      <c r="K337">
        <v>5384.61</v>
      </c>
      <c r="L337" s="14" t="s">
        <v>61</v>
      </c>
      <c r="M337" s="8" t="s">
        <v>131</v>
      </c>
      <c r="N337">
        <v>5197.5</v>
      </c>
      <c r="O337" s="38" t="s">
        <v>19</v>
      </c>
      <c r="P337" s="38" t="s">
        <v>19</v>
      </c>
      <c r="Q337">
        <v>2025</v>
      </c>
      <c r="R337" t="s">
        <v>131</v>
      </c>
      <c r="S337" t="s">
        <v>96</v>
      </c>
      <c r="T337" t="s">
        <v>508</v>
      </c>
      <c r="U337" t="str">
        <f>IFERROR(_xlfn.XLOOKUP(A337,'2025 EOY'!A:A,'2025 EOY'!B:B),"No")</f>
        <v>No</v>
      </c>
    </row>
    <row r="338" spans="1:21" x14ac:dyDescent="0.35">
      <c r="A338" s="37" t="s">
        <v>183</v>
      </c>
      <c r="B338" s="12">
        <v>45646</v>
      </c>
      <c r="C338" s="10" t="s">
        <v>3</v>
      </c>
      <c r="D338" s="4" t="s">
        <v>268</v>
      </c>
      <c r="E338" s="253">
        <v>-2079</v>
      </c>
      <c r="F338" s="172">
        <v>45716</v>
      </c>
      <c r="G338" s="172">
        <v>45747</v>
      </c>
      <c r="H338" s="15">
        <v>0.36</v>
      </c>
      <c r="I338" s="192">
        <v>0.49</v>
      </c>
      <c r="J338" s="9">
        <v>-270.27</v>
      </c>
      <c r="K338">
        <v>-748.43999999999994</v>
      </c>
      <c r="L338" s="14" t="s">
        <v>54</v>
      </c>
      <c r="M338" s="8" t="s">
        <v>129</v>
      </c>
      <c r="N338">
        <v>-1018.71</v>
      </c>
      <c r="O338" s="38" t="s">
        <v>4</v>
      </c>
      <c r="P338" s="38" t="s">
        <v>3</v>
      </c>
      <c r="Q338">
        <v>2025</v>
      </c>
      <c r="R338" t="s">
        <v>129</v>
      </c>
      <c r="S338" t="s">
        <v>14</v>
      </c>
      <c r="T338" t="s">
        <v>509</v>
      </c>
      <c r="U338" t="str">
        <f>IFERROR(_xlfn.XLOOKUP(A338,'2025 EOY'!A:A,'2025 EOY'!B:B),"No")</f>
        <v>No</v>
      </c>
    </row>
    <row r="339" spans="1:21" x14ac:dyDescent="0.35">
      <c r="A339" s="37" t="s">
        <v>183</v>
      </c>
      <c r="B339" s="12">
        <v>45646</v>
      </c>
      <c r="C339" s="10" t="s">
        <v>10</v>
      </c>
      <c r="D339" s="4" t="s">
        <v>268</v>
      </c>
      <c r="E339" s="253">
        <v>-2079</v>
      </c>
      <c r="F339" s="172">
        <v>45747</v>
      </c>
      <c r="G339" s="172">
        <v>45747</v>
      </c>
      <c r="H339" s="120">
        <v>-3.51</v>
      </c>
      <c r="I339" s="192">
        <v>-4.2300000000000004</v>
      </c>
      <c r="J339" s="9">
        <v>1496.8800000000012</v>
      </c>
      <c r="K339">
        <v>7297.29</v>
      </c>
      <c r="L339" s="14" t="s">
        <v>63</v>
      </c>
      <c r="M339" s="8" t="s">
        <v>129</v>
      </c>
      <c r="N339">
        <v>8794.17</v>
      </c>
      <c r="O339" s="38" t="s">
        <v>11</v>
      </c>
      <c r="P339" s="38" t="s">
        <v>10</v>
      </c>
      <c r="Q339">
        <v>2025</v>
      </c>
      <c r="R339" t="s">
        <v>129</v>
      </c>
      <c r="S339" t="s">
        <v>14</v>
      </c>
      <c r="T339" t="s">
        <v>510</v>
      </c>
      <c r="U339" t="str">
        <f>IFERROR(_xlfn.XLOOKUP(A339,'2025 EOY'!A:A,'2025 EOY'!B:B),"No")</f>
        <v>No</v>
      </c>
    </row>
    <row r="340" spans="1:21" x14ac:dyDescent="0.35">
      <c r="A340" s="37" t="s">
        <v>183</v>
      </c>
      <c r="B340" s="12">
        <v>45646</v>
      </c>
      <c r="C340" s="10" t="s">
        <v>7</v>
      </c>
      <c r="D340" s="4" t="s">
        <v>268</v>
      </c>
      <c r="E340" s="253">
        <v>-2079</v>
      </c>
      <c r="F340" s="172">
        <v>45747</v>
      </c>
      <c r="G340" s="172">
        <v>45777</v>
      </c>
      <c r="H340" s="15">
        <v>0.38</v>
      </c>
      <c r="I340" s="192">
        <v>1.0900000000000001</v>
      </c>
      <c r="J340" s="9">
        <v>-1476.0900000000001</v>
      </c>
      <c r="K340">
        <v>-790.02</v>
      </c>
      <c r="L340" s="14" t="s">
        <v>56</v>
      </c>
      <c r="M340" s="8" t="s">
        <v>129</v>
      </c>
      <c r="N340">
        <v>-2266.11</v>
      </c>
      <c r="O340" s="38" t="s">
        <v>4</v>
      </c>
      <c r="P340" s="38" t="s">
        <v>7</v>
      </c>
      <c r="Q340">
        <v>2025</v>
      </c>
      <c r="R340" t="s">
        <v>129</v>
      </c>
      <c r="S340" t="s">
        <v>14</v>
      </c>
      <c r="T340" t="s">
        <v>511</v>
      </c>
      <c r="U340" t="str">
        <f>IFERROR(_xlfn.XLOOKUP(A340,'2025 EOY'!A:A,'2025 EOY'!B:B),"No")</f>
        <v>No</v>
      </c>
    </row>
    <row r="341" spans="1:21" x14ac:dyDescent="0.35">
      <c r="A341" s="37" t="s">
        <v>183</v>
      </c>
      <c r="B341" s="12">
        <v>45646</v>
      </c>
      <c r="C341" s="10" t="s">
        <v>7</v>
      </c>
      <c r="D341" s="4" t="s">
        <v>268</v>
      </c>
      <c r="E341" s="253">
        <v>-2079</v>
      </c>
      <c r="F341" s="172">
        <v>45777</v>
      </c>
      <c r="G341" s="172">
        <v>45808</v>
      </c>
      <c r="H341" s="15">
        <v>0.33</v>
      </c>
      <c r="I341" s="192">
        <v>0.37</v>
      </c>
      <c r="J341" s="9">
        <v>-83.159999999999954</v>
      </c>
      <c r="K341">
        <v>-686.07</v>
      </c>
      <c r="L341" s="14" t="s">
        <v>57</v>
      </c>
      <c r="M341" s="8" t="s">
        <v>129</v>
      </c>
      <c r="N341">
        <v>-769.23</v>
      </c>
      <c r="O341" s="38" t="s">
        <v>4</v>
      </c>
      <c r="P341" s="38" t="s">
        <v>7</v>
      </c>
      <c r="Q341">
        <v>2025</v>
      </c>
      <c r="R341" t="s">
        <v>129</v>
      </c>
      <c r="S341" t="s">
        <v>14</v>
      </c>
      <c r="T341" t="s">
        <v>512</v>
      </c>
      <c r="U341" t="str">
        <f>IFERROR(_xlfn.XLOOKUP(A341,'2025 EOY'!A:A,'2025 EOY'!B:B),"No")</f>
        <v>No</v>
      </c>
    </row>
    <row r="342" spans="1:21" x14ac:dyDescent="0.35">
      <c r="A342" s="37" t="s">
        <v>183</v>
      </c>
      <c r="B342" s="12">
        <v>45646</v>
      </c>
      <c r="C342" s="10" t="s">
        <v>15</v>
      </c>
      <c r="D342" s="4" t="s">
        <v>268</v>
      </c>
      <c r="E342" s="253">
        <v>2079</v>
      </c>
      <c r="F342" s="172">
        <v>45747</v>
      </c>
      <c r="G342" s="172">
        <v>45747</v>
      </c>
      <c r="H342" s="15">
        <v>0.1</v>
      </c>
      <c r="I342" s="191">
        <v>1.1299999999999999</v>
      </c>
      <c r="J342" s="9">
        <v>2141.3699999999994</v>
      </c>
      <c r="K342">
        <v>207.9</v>
      </c>
      <c r="L342" s="14" t="s">
        <v>63</v>
      </c>
      <c r="M342" s="8" t="s">
        <v>131</v>
      </c>
      <c r="N342">
        <v>2349.27</v>
      </c>
      <c r="O342" s="38" t="s">
        <v>11</v>
      </c>
      <c r="P342" s="38" t="s">
        <v>16</v>
      </c>
      <c r="Q342">
        <v>2025</v>
      </c>
      <c r="R342" t="s">
        <v>131</v>
      </c>
      <c r="S342" t="s">
        <v>14</v>
      </c>
      <c r="T342" t="s">
        <v>513</v>
      </c>
      <c r="U342" t="str">
        <f>IFERROR(_xlfn.XLOOKUP(A342,'2025 EOY'!A:A,'2025 EOY'!B:B),"No")</f>
        <v>No</v>
      </c>
    </row>
    <row r="343" spans="1:21" x14ac:dyDescent="0.35">
      <c r="A343" s="21" t="s">
        <v>262</v>
      </c>
      <c r="B343" s="175">
        <v>45649</v>
      </c>
      <c r="C343" s="22" t="s">
        <v>19</v>
      </c>
      <c r="D343" s="22" t="s">
        <v>268</v>
      </c>
      <c r="E343" s="262">
        <v>700</v>
      </c>
      <c r="F343" s="24">
        <v>45688</v>
      </c>
      <c r="G343" s="24">
        <v>45688</v>
      </c>
      <c r="H343" s="207">
        <v>1.27</v>
      </c>
      <c r="I343" s="193">
        <v>1.5499999999999998</v>
      </c>
      <c r="J343" s="25">
        <v>195.99999999999986</v>
      </c>
      <c r="K343" s="26">
        <v>889</v>
      </c>
      <c r="L343" s="14" t="s">
        <v>61</v>
      </c>
      <c r="M343" s="27" t="s">
        <v>131</v>
      </c>
      <c r="N343" s="26">
        <v>1084.9999999999998</v>
      </c>
      <c r="O343" s="28" t="s">
        <v>19</v>
      </c>
      <c r="P343" s="38" t="s">
        <v>19</v>
      </c>
      <c r="Q343">
        <v>2025</v>
      </c>
      <c r="R343" t="s">
        <v>131</v>
      </c>
      <c r="S343" t="s">
        <v>96</v>
      </c>
      <c r="T343" t="s">
        <v>514</v>
      </c>
      <c r="U343" t="str">
        <f>IFERROR(_xlfn.XLOOKUP(A343,'2025 EOY'!A:A,'2025 EOY'!B:B),"No")</f>
        <v>No</v>
      </c>
    </row>
    <row r="344" spans="1:21" x14ac:dyDescent="0.35">
      <c r="A344" s="37" t="s">
        <v>262</v>
      </c>
      <c r="B344" s="12">
        <v>45649</v>
      </c>
      <c r="C344" s="47" t="s">
        <v>36</v>
      </c>
      <c r="D344" s="10" t="s">
        <v>268</v>
      </c>
      <c r="E344" s="253">
        <v>-700</v>
      </c>
      <c r="F344" s="172">
        <v>45716</v>
      </c>
      <c r="G344" s="172">
        <v>45716</v>
      </c>
      <c r="H344" s="212">
        <v>142.85714285714286</v>
      </c>
      <c r="I344" s="192">
        <v>128.75</v>
      </c>
      <c r="J344" s="9">
        <v>197.50000000000009</v>
      </c>
      <c r="K344">
        <v>-100000</v>
      </c>
      <c r="L344" s="14" t="s">
        <v>62</v>
      </c>
      <c r="M344" s="8" t="s">
        <v>129</v>
      </c>
      <c r="N344">
        <v>-90125</v>
      </c>
      <c r="O344" s="38" t="s">
        <v>29</v>
      </c>
      <c r="P344" s="38" t="s">
        <v>29</v>
      </c>
      <c r="Q344">
        <v>2025</v>
      </c>
      <c r="R344" t="s">
        <v>129</v>
      </c>
      <c r="S344" t="s">
        <v>14</v>
      </c>
      <c r="T344" t="s">
        <v>515</v>
      </c>
      <c r="U344" t="str">
        <f>IFERROR(_xlfn.XLOOKUP(A344,'2025 EOY'!A:A,'2025 EOY'!B:B),"No")</f>
        <v>No</v>
      </c>
    </row>
    <row r="345" spans="1:21" x14ac:dyDescent="0.35">
      <c r="A345" s="37" t="s">
        <v>262</v>
      </c>
      <c r="B345" s="12">
        <v>45649</v>
      </c>
      <c r="C345" s="47" t="s">
        <v>36</v>
      </c>
      <c r="D345" s="10" t="s">
        <v>268</v>
      </c>
      <c r="E345" s="253">
        <v>700</v>
      </c>
      <c r="F345" s="172">
        <v>45716</v>
      </c>
      <c r="G345" s="172">
        <v>45716</v>
      </c>
      <c r="H345" s="212">
        <v>128.75</v>
      </c>
      <c r="I345" s="192">
        <v>128.75</v>
      </c>
      <c r="J345" s="9">
        <v>0</v>
      </c>
      <c r="K345">
        <v>90125</v>
      </c>
      <c r="L345" s="14" t="s">
        <v>62</v>
      </c>
      <c r="M345" s="8" t="s">
        <v>131</v>
      </c>
      <c r="N345">
        <v>90125</v>
      </c>
      <c r="O345" s="38" t="s">
        <v>29</v>
      </c>
      <c r="P345" s="38" t="s">
        <v>29</v>
      </c>
      <c r="Q345">
        <v>2025</v>
      </c>
      <c r="R345" t="s">
        <v>131</v>
      </c>
      <c r="S345" t="s">
        <v>14</v>
      </c>
      <c r="T345" t="s">
        <v>516</v>
      </c>
      <c r="U345" t="str">
        <f>IFERROR(_xlfn.XLOOKUP(A345,'2025 EOY'!A:A,'2025 EOY'!B:B),"No")</f>
        <v>No</v>
      </c>
    </row>
    <row r="346" spans="1:21" x14ac:dyDescent="0.35">
      <c r="A346" s="37" t="s">
        <v>262</v>
      </c>
      <c r="B346" s="12">
        <v>45649</v>
      </c>
      <c r="C346" s="47" t="s">
        <v>39</v>
      </c>
      <c r="D346" s="10" t="s">
        <v>268</v>
      </c>
      <c r="E346" s="253">
        <v>700</v>
      </c>
      <c r="F346" s="172">
        <v>45716</v>
      </c>
      <c r="G346" s="172">
        <v>45716</v>
      </c>
      <c r="H346" s="212">
        <v>126.69962917181705</v>
      </c>
      <c r="I346" s="192">
        <v>109</v>
      </c>
      <c r="J346" s="9">
        <v>-247.79480840543874</v>
      </c>
      <c r="K346">
        <v>88689.740420271934</v>
      </c>
      <c r="L346" s="14" t="s">
        <v>62</v>
      </c>
      <c r="M346" s="8" t="s">
        <v>131</v>
      </c>
      <c r="N346">
        <v>76300</v>
      </c>
      <c r="O346" s="38" t="s">
        <v>29</v>
      </c>
      <c r="P346" s="38" t="s">
        <v>29</v>
      </c>
      <c r="Q346">
        <v>2025</v>
      </c>
      <c r="R346" t="s">
        <v>131</v>
      </c>
      <c r="S346" t="s">
        <v>14</v>
      </c>
      <c r="T346" t="s">
        <v>517</v>
      </c>
      <c r="U346" t="str">
        <f>IFERROR(_xlfn.XLOOKUP(A346,'2025 EOY'!A:A,'2025 EOY'!B:B),"No")</f>
        <v>No</v>
      </c>
    </row>
    <row r="347" spans="1:21" x14ac:dyDescent="0.35">
      <c r="A347" s="37" t="s">
        <v>262</v>
      </c>
      <c r="B347" s="12">
        <v>45649</v>
      </c>
      <c r="C347" s="10" t="s">
        <v>10</v>
      </c>
      <c r="D347" s="4" t="s">
        <v>268</v>
      </c>
      <c r="E347" s="253">
        <v>-700</v>
      </c>
      <c r="F347" s="172">
        <v>45716</v>
      </c>
      <c r="G347" s="172">
        <v>45716</v>
      </c>
      <c r="H347" s="120">
        <v>-3.39</v>
      </c>
      <c r="I347" s="192">
        <v>-3.4</v>
      </c>
      <c r="J347" s="9">
        <v>6.9999999999998508</v>
      </c>
      <c r="K347">
        <v>2373</v>
      </c>
      <c r="L347" s="14" t="s">
        <v>62</v>
      </c>
      <c r="M347" s="8" t="s">
        <v>129</v>
      </c>
      <c r="N347">
        <v>2380</v>
      </c>
      <c r="O347" s="38" t="s">
        <v>11</v>
      </c>
      <c r="P347" s="38" t="s">
        <v>10</v>
      </c>
      <c r="Q347">
        <v>2025</v>
      </c>
      <c r="R347" t="s">
        <v>129</v>
      </c>
      <c r="S347" t="s">
        <v>14</v>
      </c>
      <c r="T347" t="s">
        <v>518</v>
      </c>
      <c r="U347" t="str">
        <f>IFERROR(_xlfn.XLOOKUP(A347,'2025 EOY'!A:A,'2025 EOY'!B:B),"No")</f>
        <v>No</v>
      </c>
    </row>
    <row r="348" spans="1:21" x14ac:dyDescent="0.35">
      <c r="A348" s="37" t="s">
        <v>262</v>
      </c>
      <c r="B348" s="12">
        <v>45649</v>
      </c>
      <c r="C348" s="10" t="s">
        <v>10</v>
      </c>
      <c r="D348" s="4" t="s">
        <v>128</v>
      </c>
      <c r="E348" s="253">
        <v>700</v>
      </c>
      <c r="F348" s="172">
        <v>45716</v>
      </c>
      <c r="G348" s="172">
        <v>45716</v>
      </c>
      <c r="H348" s="120">
        <v>-3.39</v>
      </c>
      <c r="I348" s="192">
        <v>-3.4</v>
      </c>
      <c r="J348" s="9">
        <v>-6.9999999999998508</v>
      </c>
      <c r="K348">
        <v>-2373</v>
      </c>
      <c r="L348" s="14" t="s">
        <v>62</v>
      </c>
      <c r="M348" s="8" t="s">
        <v>131</v>
      </c>
      <c r="N348">
        <v>-2380</v>
      </c>
      <c r="O348" s="38" t="s">
        <v>11</v>
      </c>
      <c r="P348" s="38" t="s">
        <v>10</v>
      </c>
      <c r="Q348">
        <v>2025</v>
      </c>
      <c r="R348" t="s">
        <v>131</v>
      </c>
      <c r="S348" t="s">
        <v>14</v>
      </c>
      <c r="T348" t="s">
        <v>519</v>
      </c>
      <c r="U348" t="str">
        <f>IFERROR(_xlfn.XLOOKUP(A348,'2025 EOY'!A:A,'2025 EOY'!B:B),"No")</f>
        <v>No</v>
      </c>
    </row>
    <row r="349" spans="1:21" x14ac:dyDescent="0.35">
      <c r="A349" s="29" t="s">
        <v>262</v>
      </c>
      <c r="B349" s="176">
        <v>45649</v>
      </c>
      <c r="C349" s="30" t="s">
        <v>10</v>
      </c>
      <c r="D349" s="31" t="s">
        <v>128</v>
      </c>
      <c r="E349" s="257">
        <v>-700</v>
      </c>
      <c r="F349" s="32">
        <v>45808</v>
      </c>
      <c r="G349" s="32">
        <v>45808</v>
      </c>
      <c r="H349" s="213">
        <v>-3.5</v>
      </c>
      <c r="I349" s="192">
        <v>-3.26</v>
      </c>
      <c r="J349" s="33">
        <v>-168.00000000000014</v>
      </c>
      <c r="K349" s="34">
        <v>2450</v>
      </c>
      <c r="L349" s="14" t="s">
        <v>65</v>
      </c>
      <c r="M349" s="35" t="s">
        <v>129</v>
      </c>
      <c r="N349" s="34">
        <v>2282</v>
      </c>
      <c r="O349" s="36" t="s">
        <v>11</v>
      </c>
      <c r="P349" s="38" t="s">
        <v>10</v>
      </c>
      <c r="Q349">
        <v>2025</v>
      </c>
      <c r="R349" t="s">
        <v>129</v>
      </c>
      <c r="S349" t="s">
        <v>14</v>
      </c>
      <c r="T349" t="s">
        <v>520</v>
      </c>
      <c r="U349" t="str">
        <f>IFERROR(_xlfn.XLOOKUP(A349,'2025 EOY'!A:A,'2025 EOY'!B:B),"No")</f>
        <v>No</v>
      </c>
    </row>
    <row r="350" spans="1:21" x14ac:dyDescent="0.35">
      <c r="A350" s="37" t="s">
        <v>127</v>
      </c>
      <c r="B350" s="12">
        <v>45649</v>
      </c>
      <c r="C350" s="10" t="s">
        <v>15</v>
      </c>
      <c r="D350" s="4" t="s">
        <v>128</v>
      </c>
      <c r="E350" s="253">
        <v>600</v>
      </c>
      <c r="F350" s="172">
        <v>45688</v>
      </c>
      <c r="G350" s="172">
        <v>45688</v>
      </c>
      <c r="H350" s="15">
        <v>0.2</v>
      </c>
      <c r="I350" s="191">
        <v>0.93</v>
      </c>
      <c r="J350" s="9">
        <v>438</v>
      </c>
      <c r="K350">
        <v>120</v>
      </c>
      <c r="L350" s="14" t="s">
        <v>61</v>
      </c>
      <c r="M350" s="8" t="s">
        <v>131</v>
      </c>
      <c r="N350">
        <v>558</v>
      </c>
      <c r="O350" s="38" t="s">
        <v>11</v>
      </c>
      <c r="P350" s="38" t="s">
        <v>16</v>
      </c>
      <c r="Q350">
        <v>2025</v>
      </c>
      <c r="R350" t="s">
        <v>131</v>
      </c>
      <c r="S350" t="s">
        <v>14</v>
      </c>
      <c r="T350" t="s">
        <v>521</v>
      </c>
      <c r="U350" t="str">
        <f>IFERROR(_xlfn.XLOOKUP(A350,'2025 EOY'!A:A,'2025 EOY'!B:B),"No")</f>
        <v>No</v>
      </c>
    </row>
    <row r="351" spans="1:21" x14ac:dyDescent="0.35">
      <c r="A351" s="37" t="s">
        <v>127</v>
      </c>
      <c r="B351" s="12">
        <v>45649</v>
      </c>
      <c r="C351" s="10" t="s">
        <v>15</v>
      </c>
      <c r="D351" s="4" t="s">
        <v>128</v>
      </c>
      <c r="E351" s="253">
        <v>-600</v>
      </c>
      <c r="F351" s="172">
        <v>45716</v>
      </c>
      <c r="G351" s="172">
        <v>45716</v>
      </c>
      <c r="H351" s="15">
        <v>0.1</v>
      </c>
      <c r="I351" s="191">
        <v>0.22</v>
      </c>
      <c r="J351" s="9">
        <v>-72</v>
      </c>
      <c r="K351">
        <v>-60</v>
      </c>
      <c r="L351" s="14" t="s">
        <v>62</v>
      </c>
      <c r="M351" s="8" t="s">
        <v>129</v>
      </c>
      <c r="N351">
        <v>-132</v>
      </c>
      <c r="O351" s="38" t="s">
        <v>11</v>
      </c>
      <c r="P351" s="38" t="s">
        <v>16</v>
      </c>
      <c r="Q351">
        <v>2025</v>
      </c>
      <c r="R351" t="s">
        <v>129</v>
      </c>
      <c r="S351" t="s">
        <v>14</v>
      </c>
      <c r="T351" t="s">
        <v>522</v>
      </c>
      <c r="U351" t="str">
        <f>IFERROR(_xlfn.XLOOKUP(A351,'2025 EOY'!A:A,'2025 EOY'!B:B),"No")</f>
        <v>No</v>
      </c>
    </row>
    <row r="352" spans="1:21" x14ac:dyDescent="0.35">
      <c r="A352" s="21" t="s">
        <v>185</v>
      </c>
      <c r="B352" s="175">
        <v>45645</v>
      </c>
      <c r="C352" s="22" t="s">
        <v>19</v>
      </c>
      <c r="D352" s="22" t="s">
        <v>268</v>
      </c>
      <c r="E352" s="262">
        <v>704</v>
      </c>
      <c r="F352" s="24">
        <v>45688</v>
      </c>
      <c r="G352" s="24">
        <v>45688</v>
      </c>
      <c r="H352" s="207">
        <v>-1.73</v>
      </c>
      <c r="I352" s="193">
        <v>-1.4</v>
      </c>
      <c r="J352" s="25">
        <v>232.32000000000005</v>
      </c>
      <c r="K352" s="26">
        <v>-1217.92</v>
      </c>
      <c r="L352" s="14" t="s">
        <v>61</v>
      </c>
      <c r="M352" s="27" t="s">
        <v>131</v>
      </c>
      <c r="N352" s="26">
        <v>-985.59999999999991</v>
      </c>
      <c r="O352" s="28" t="s">
        <v>19</v>
      </c>
      <c r="P352" s="38" t="s">
        <v>19</v>
      </c>
      <c r="Q352">
        <v>2025</v>
      </c>
      <c r="R352" t="s">
        <v>131</v>
      </c>
      <c r="S352" t="s">
        <v>96</v>
      </c>
      <c r="T352" t="s">
        <v>523</v>
      </c>
      <c r="U352" t="str">
        <f>IFERROR(_xlfn.XLOOKUP(A352,'2025 EOY'!A:A,'2025 EOY'!B:B),"No")</f>
        <v>No</v>
      </c>
    </row>
    <row r="353" spans="1:29" x14ac:dyDescent="0.35">
      <c r="A353" s="37" t="s">
        <v>185</v>
      </c>
      <c r="B353" s="12">
        <v>45645</v>
      </c>
      <c r="C353" s="10" t="s">
        <v>3</v>
      </c>
      <c r="D353" s="4" t="s">
        <v>268</v>
      </c>
      <c r="E353" s="253">
        <v>-704</v>
      </c>
      <c r="F353" s="172">
        <v>45716</v>
      </c>
      <c r="G353" s="172">
        <v>45747</v>
      </c>
      <c r="H353" s="15">
        <v>0.43</v>
      </c>
      <c r="I353" s="192">
        <v>0.49</v>
      </c>
      <c r="J353" s="9">
        <v>-42.239999999999995</v>
      </c>
      <c r="K353">
        <v>-302.71999999999997</v>
      </c>
      <c r="L353" s="14" t="s">
        <v>54</v>
      </c>
      <c r="M353" s="8" t="s">
        <v>129</v>
      </c>
      <c r="N353">
        <v>-344.96</v>
      </c>
      <c r="O353" s="38" t="s">
        <v>4</v>
      </c>
      <c r="P353" s="38" t="s">
        <v>3</v>
      </c>
      <c r="Q353">
        <v>2025</v>
      </c>
      <c r="R353" t="s">
        <v>129</v>
      </c>
      <c r="S353" t="s">
        <v>14</v>
      </c>
      <c r="T353" t="s">
        <v>524</v>
      </c>
      <c r="U353" t="str">
        <f>IFERROR(_xlfn.XLOOKUP(A353,'2025 EOY'!A:A,'2025 EOY'!B:B),"No")</f>
        <v>No</v>
      </c>
    </row>
    <row r="354" spans="1:29" x14ac:dyDescent="0.35">
      <c r="A354" s="37" t="s">
        <v>185</v>
      </c>
      <c r="B354" s="12">
        <v>45645</v>
      </c>
      <c r="C354" s="10" t="s">
        <v>10</v>
      </c>
      <c r="D354" s="4" t="s">
        <v>268</v>
      </c>
      <c r="E354" s="253">
        <v>-704</v>
      </c>
      <c r="F354" s="172">
        <v>45747</v>
      </c>
      <c r="G354" s="172">
        <v>45747</v>
      </c>
      <c r="H354" s="120">
        <v>-3.5</v>
      </c>
      <c r="I354" s="192">
        <v>-4.2300000000000004</v>
      </c>
      <c r="J354" s="9">
        <v>513.9200000000003</v>
      </c>
      <c r="K354">
        <v>2464</v>
      </c>
      <c r="L354" s="14" t="s">
        <v>63</v>
      </c>
      <c r="M354" s="8" t="s">
        <v>129</v>
      </c>
      <c r="N354">
        <v>2977.92</v>
      </c>
      <c r="O354" s="38" t="s">
        <v>11</v>
      </c>
      <c r="P354" s="38" t="s">
        <v>10</v>
      </c>
      <c r="Q354">
        <v>2025</v>
      </c>
      <c r="R354" t="s">
        <v>129</v>
      </c>
      <c r="S354" t="s">
        <v>14</v>
      </c>
      <c r="T354" t="s">
        <v>525</v>
      </c>
      <c r="U354" t="str">
        <f>IFERROR(_xlfn.XLOOKUP(A354,'2025 EOY'!A:A,'2025 EOY'!B:B),"No")</f>
        <v>No</v>
      </c>
    </row>
    <row r="355" spans="1:29" ht="15" thickBot="1" x14ac:dyDescent="0.4">
      <c r="A355" s="37" t="s">
        <v>185</v>
      </c>
      <c r="B355" s="12">
        <v>45645</v>
      </c>
      <c r="C355" s="10" t="s">
        <v>15</v>
      </c>
      <c r="D355" s="4" t="s">
        <v>268</v>
      </c>
      <c r="E355" s="253">
        <v>704</v>
      </c>
      <c r="F355" s="172">
        <v>45688</v>
      </c>
      <c r="G355" s="172">
        <v>45688</v>
      </c>
      <c r="H355" s="15">
        <v>0.3</v>
      </c>
      <c r="I355" s="191">
        <v>0.93</v>
      </c>
      <c r="J355" s="9">
        <v>443.5200000000001</v>
      </c>
      <c r="K355">
        <v>211.2</v>
      </c>
      <c r="L355" s="14" t="s">
        <v>61</v>
      </c>
      <c r="M355" s="8" t="s">
        <v>131</v>
      </c>
      <c r="N355">
        <v>654.72</v>
      </c>
      <c r="O355" s="38" t="s">
        <v>11</v>
      </c>
      <c r="P355" s="38" t="s">
        <v>16</v>
      </c>
      <c r="Q355">
        <v>2025</v>
      </c>
      <c r="R355" t="s">
        <v>131</v>
      </c>
      <c r="S355" t="s">
        <v>14</v>
      </c>
      <c r="T355" t="s">
        <v>526</v>
      </c>
      <c r="U355" t="str">
        <f>IFERROR(_xlfn.XLOOKUP(A355,'2025 EOY'!A:A,'2025 EOY'!B:B),"No")</f>
        <v>No</v>
      </c>
    </row>
    <row r="356" spans="1:29" ht="15" thickBot="1" x14ac:dyDescent="0.4">
      <c r="A356" s="29" t="s">
        <v>185</v>
      </c>
      <c r="B356" s="176">
        <v>45645</v>
      </c>
      <c r="C356" s="94" t="s">
        <v>36</v>
      </c>
      <c r="D356" s="30" t="s">
        <v>268</v>
      </c>
      <c r="E356" s="257">
        <v>0</v>
      </c>
      <c r="F356" s="32">
        <v>45688</v>
      </c>
      <c r="G356" s="32">
        <v>45688</v>
      </c>
      <c r="H356" s="208">
        <v>140</v>
      </c>
      <c r="I356" s="198">
        <v>128.5</v>
      </c>
      <c r="J356" s="97">
        <v>161</v>
      </c>
      <c r="K356" s="34">
        <v>0</v>
      </c>
      <c r="L356" s="14" t="s">
        <v>61</v>
      </c>
      <c r="M356" s="35" t="s">
        <v>131</v>
      </c>
      <c r="N356" s="34">
        <v>0</v>
      </c>
      <c r="O356" s="36" t="s">
        <v>29</v>
      </c>
      <c r="P356" s="38" t="s">
        <v>29</v>
      </c>
      <c r="Q356">
        <v>2025</v>
      </c>
      <c r="R356" t="s">
        <v>129</v>
      </c>
      <c r="S356" t="s">
        <v>14</v>
      </c>
      <c r="T356" t="s">
        <v>527</v>
      </c>
      <c r="U356" t="str">
        <f>IFERROR(_xlfn.XLOOKUP(A356,'2025 EOY'!A:A,'2025 EOY'!B:B),"No")</f>
        <v>No</v>
      </c>
    </row>
    <row r="357" spans="1:29" x14ac:dyDescent="0.35">
      <c r="A357" s="37" t="s">
        <v>127</v>
      </c>
      <c r="B357" s="12">
        <v>45653</v>
      </c>
      <c r="C357" s="10" t="s">
        <v>7</v>
      </c>
      <c r="D357" s="4" t="s">
        <v>128</v>
      </c>
      <c r="E357" s="253">
        <v>1185</v>
      </c>
      <c r="F357" s="172">
        <v>45716</v>
      </c>
      <c r="G357" s="172">
        <v>45747</v>
      </c>
      <c r="H357" s="15">
        <v>0.38</v>
      </c>
      <c r="I357" s="192">
        <v>0.4</v>
      </c>
      <c r="J357" s="9">
        <v>23.700000000000021</v>
      </c>
      <c r="K357">
        <v>450.3</v>
      </c>
      <c r="L357" s="14" t="s">
        <v>54</v>
      </c>
      <c r="M357" s="8" t="s">
        <v>131</v>
      </c>
      <c r="N357">
        <v>474</v>
      </c>
      <c r="O357" s="38" t="s">
        <v>4</v>
      </c>
      <c r="P357" s="38" t="s">
        <v>7</v>
      </c>
      <c r="Q357">
        <v>2025</v>
      </c>
      <c r="R357" t="s">
        <v>131</v>
      </c>
      <c r="S357" t="s">
        <v>14</v>
      </c>
      <c r="T357" t="s">
        <v>528</v>
      </c>
      <c r="U357" t="str">
        <f>IFERROR(_xlfn.XLOOKUP(A357,'2025 EOY'!A:A,'2025 EOY'!B:B),"No")</f>
        <v>No</v>
      </c>
    </row>
    <row r="358" spans="1:29" x14ac:dyDescent="0.35">
      <c r="A358" s="37" t="s">
        <v>127</v>
      </c>
      <c r="B358" s="12">
        <v>45656</v>
      </c>
      <c r="C358" s="10" t="s">
        <v>15</v>
      </c>
      <c r="D358" s="4" t="s">
        <v>128</v>
      </c>
      <c r="E358" s="253">
        <v>1400</v>
      </c>
      <c r="F358" s="172">
        <v>45688</v>
      </c>
      <c r="G358" s="172">
        <v>45688</v>
      </c>
      <c r="H358" s="15">
        <v>0.5</v>
      </c>
      <c r="I358" s="191">
        <v>0.93</v>
      </c>
      <c r="J358" s="9">
        <v>602.00000000000011</v>
      </c>
      <c r="K358">
        <v>700</v>
      </c>
      <c r="L358" s="14" t="s">
        <v>61</v>
      </c>
      <c r="M358" s="8" t="s">
        <v>131</v>
      </c>
      <c r="N358">
        <v>1302</v>
      </c>
      <c r="O358" s="38" t="s">
        <v>11</v>
      </c>
      <c r="P358" s="38" t="s">
        <v>16</v>
      </c>
      <c r="Q358">
        <v>2025</v>
      </c>
      <c r="R358" t="s">
        <v>131</v>
      </c>
      <c r="S358" t="s">
        <v>14</v>
      </c>
      <c r="T358" t="s">
        <v>529</v>
      </c>
      <c r="U358" t="str">
        <f>IFERROR(_xlfn.XLOOKUP(A358,'2025 EOY'!A:A,'2025 EOY'!B:B),"No")</f>
        <v>No</v>
      </c>
    </row>
    <row r="359" spans="1:29" x14ac:dyDescent="0.35">
      <c r="A359" s="37" t="s">
        <v>127</v>
      </c>
      <c r="B359" s="12">
        <v>45656</v>
      </c>
      <c r="C359" s="10" t="s">
        <v>15</v>
      </c>
      <c r="D359" s="4" t="s">
        <v>128</v>
      </c>
      <c r="E359" s="253">
        <v>-1400</v>
      </c>
      <c r="F359" s="172">
        <v>45716</v>
      </c>
      <c r="G359" s="172">
        <v>45716</v>
      </c>
      <c r="H359" s="15">
        <v>0.31</v>
      </c>
      <c r="I359" s="191">
        <v>0.22</v>
      </c>
      <c r="J359" s="9">
        <v>126</v>
      </c>
      <c r="K359">
        <v>-434</v>
      </c>
      <c r="L359" s="14" t="s">
        <v>62</v>
      </c>
      <c r="M359" s="8" t="s">
        <v>129</v>
      </c>
      <c r="N359">
        <v>-308</v>
      </c>
      <c r="O359" s="38" t="s">
        <v>11</v>
      </c>
      <c r="P359" s="38" t="s">
        <v>16</v>
      </c>
      <c r="Q359">
        <v>2025</v>
      </c>
      <c r="R359" t="s">
        <v>129</v>
      </c>
      <c r="S359" t="s">
        <v>14</v>
      </c>
      <c r="T359" t="s">
        <v>530</v>
      </c>
      <c r="U359" t="str">
        <f>IFERROR(_xlfn.XLOOKUP(A359,'2025 EOY'!A:A,'2025 EOY'!B:B),"No")</f>
        <v>No</v>
      </c>
    </row>
    <row r="360" spans="1:29" x14ac:dyDescent="0.35">
      <c r="A360" s="37" t="s">
        <v>127</v>
      </c>
      <c r="B360" s="12">
        <v>45645</v>
      </c>
      <c r="C360" s="10" t="s">
        <v>10</v>
      </c>
      <c r="D360" s="4" t="s">
        <v>268</v>
      </c>
      <c r="E360" s="253">
        <v>65</v>
      </c>
      <c r="F360" s="172">
        <v>45716</v>
      </c>
      <c r="G360" s="172">
        <v>45716</v>
      </c>
      <c r="H360" s="120">
        <v>-3.57</v>
      </c>
      <c r="I360" s="192">
        <v>-3.4</v>
      </c>
      <c r="J360" s="9">
        <v>11.049999999999995</v>
      </c>
      <c r="K360">
        <v>-232.04999999999998</v>
      </c>
      <c r="L360" s="14" t="s">
        <v>62</v>
      </c>
      <c r="M360" s="8" t="s">
        <v>131</v>
      </c>
      <c r="N360">
        <v>-221</v>
      </c>
      <c r="O360" s="38" t="s">
        <v>11</v>
      </c>
      <c r="P360" s="38" t="s">
        <v>10</v>
      </c>
      <c r="Q360">
        <v>2025</v>
      </c>
      <c r="R360" t="s">
        <v>131</v>
      </c>
      <c r="S360" t="s">
        <v>14</v>
      </c>
      <c r="T360" t="s">
        <v>531</v>
      </c>
      <c r="U360" t="str">
        <f>IFERROR(_xlfn.XLOOKUP(A360,'2025 EOY'!A:A,'2025 EOY'!B:B),"No")</f>
        <v>No</v>
      </c>
    </row>
    <row r="361" spans="1:29" x14ac:dyDescent="0.35">
      <c r="A361" s="37" t="s">
        <v>127</v>
      </c>
      <c r="B361" s="12">
        <v>45659</v>
      </c>
      <c r="C361" s="10" t="s">
        <v>15</v>
      </c>
      <c r="D361" s="4" t="s">
        <v>128</v>
      </c>
      <c r="E361" s="253">
        <v>300</v>
      </c>
      <c r="F361" s="172">
        <v>45688</v>
      </c>
      <c r="G361" s="172">
        <v>45688</v>
      </c>
      <c r="H361" s="15">
        <v>0.55000000000000004</v>
      </c>
      <c r="I361" s="191">
        <v>0.93</v>
      </c>
      <c r="J361" s="9">
        <v>114</v>
      </c>
      <c r="K361">
        <v>165</v>
      </c>
      <c r="L361" s="14" t="s">
        <v>61</v>
      </c>
      <c r="M361" s="8" t="s">
        <v>131</v>
      </c>
      <c r="N361">
        <v>279</v>
      </c>
      <c r="O361" s="38" t="s">
        <v>11</v>
      </c>
      <c r="P361" s="38" t="s">
        <v>16</v>
      </c>
      <c r="Q361">
        <v>2025</v>
      </c>
      <c r="R361" t="s">
        <v>131</v>
      </c>
      <c r="S361" t="s">
        <v>14</v>
      </c>
      <c r="T361" t="s">
        <v>532</v>
      </c>
      <c r="U361" t="str">
        <f>IFERROR(_xlfn.XLOOKUP(A361,'2025 EOY'!A:A,'2025 EOY'!B:B),"No")</f>
        <v>No</v>
      </c>
    </row>
    <row r="362" spans="1:29" x14ac:dyDescent="0.35">
      <c r="A362" s="37" t="s">
        <v>127</v>
      </c>
      <c r="B362" s="12">
        <v>45659</v>
      </c>
      <c r="C362" s="10" t="s">
        <v>15</v>
      </c>
      <c r="D362" s="4" t="s">
        <v>128</v>
      </c>
      <c r="E362" s="253">
        <v>-300</v>
      </c>
      <c r="F362" s="172">
        <v>45716</v>
      </c>
      <c r="G362" s="172">
        <v>45716</v>
      </c>
      <c r="H362" s="15">
        <v>0.35</v>
      </c>
      <c r="I362" s="191">
        <v>0.22</v>
      </c>
      <c r="J362" s="9">
        <v>38.999999999999993</v>
      </c>
      <c r="K362">
        <v>-105</v>
      </c>
      <c r="L362" s="14" t="s">
        <v>62</v>
      </c>
      <c r="M362" s="8" t="s">
        <v>129</v>
      </c>
      <c r="N362">
        <v>-66</v>
      </c>
      <c r="O362" s="38" t="s">
        <v>11</v>
      </c>
      <c r="P362" s="38" t="s">
        <v>16</v>
      </c>
      <c r="Q362">
        <v>2025</v>
      </c>
      <c r="R362" t="s">
        <v>129</v>
      </c>
      <c r="S362" t="s">
        <v>14</v>
      </c>
      <c r="T362" t="s">
        <v>533</v>
      </c>
      <c r="U362" t="str">
        <f>IFERROR(_xlfn.XLOOKUP(A362,'2025 EOY'!A:A,'2025 EOY'!B:B),"No")</f>
        <v>No</v>
      </c>
    </row>
    <row r="363" spans="1:29" x14ac:dyDescent="0.35">
      <c r="A363" t="s">
        <v>278</v>
      </c>
      <c r="B363" s="174">
        <v>45657</v>
      </c>
      <c r="C363" s="4" t="s">
        <v>3</v>
      </c>
      <c r="D363" t="s">
        <v>128</v>
      </c>
      <c r="E363" s="253">
        <v>0</v>
      </c>
      <c r="F363" s="16">
        <v>45657</v>
      </c>
      <c r="G363" s="181">
        <v>45657</v>
      </c>
      <c r="H363" s="15"/>
      <c r="I363" s="192">
        <v>0.15</v>
      </c>
      <c r="J363">
        <v>-291.00000000002012</v>
      </c>
      <c r="K363">
        <v>0</v>
      </c>
      <c r="L363" s="14" t="s">
        <v>59</v>
      </c>
      <c r="M363" s="8" t="s">
        <v>131</v>
      </c>
      <c r="N363">
        <v>0</v>
      </c>
      <c r="O363" s="38" t="s">
        <v>4</v>
      </c>
      <c r="P363" s="38" t="s">
        <v>3</v>
      </c>
      <c r="Q363">
        <v>2024</v>
      </c>
      <c r="R363" t="s">
        <v>129</v>
      </c>
      <c r="S363" t="s">
        <v>14</v>
      </c>
      <c r="T363" t="s">
        <v>534</v>
      </c>
      <c r="U363" t="str">
        <f>IFERROR(_xlfn.XLOOKUP(A363,'2025 EOY'!A:A,'2025 EOY'!B:B),"No")</f>
        <v>No</v>
      </c>
    </row>
    <row r="364" spans="1:29" x14ac:dyDescent="0.35">
      <c r="A364" t="s">
        <v>278</v>
      </c>
      <c r="B364" s="174">
        <v>45657</v>
      </c>
      <c r="C364" s="4" t="s">
        <v>7</v>
      </c>
      <c r="D364" t="s">
        <v>128</v>
      </c>
      <c r="E364" s="253">
        <v>0</v>
      </c>
      <c r="F364" s="16">
        <v>45657</v>
      </c>
      <c r="G364" s="181">
        <v>45657</v>
      </c>
      <c r="H364" s="15"/>
      <c r="I364" s="192">
        <v>0.35</v>
      </c>
      <c r="J364">
        <v>1154.7000000000251</v>
      </c>
      <c r="K364">
        <v>0</v>
      </c>
      <c r="L364" s="14" t="s">
        <v>59</v>
      </c>
      <c r="M364" s="8" t="s">
        <v>131</v>
      </c>
      <c r="N364">
        <v>0</v>
      </c>
      <c r="O364" s="38" t="s">
        <v>4</v>
      </c>
      <c r="P364" s="38" t="s">
        <v>7</v>
      </c>
      <c r="Q364">
        <v>2024</v>
      </c>
      <c r="R364" t="s">
        <v>129</v>
      </c>
      <c r="S364" t="s">
        <v>14</v>
      </c>
      <c r="T364" t="s">
        <v>535</v>
      </c>
      <c r="U364" t="str">
        <f>IFERROR(_xlfn.XLOOKUP(A364,'2025 EOY'!A:A,'2025 EOY'!B:B),"No")</f>
        <v>No</v>
      </c>
    </row>
    <row r="365" spans="1:29" x14ac:dyDescent="0.35">
      <c r="A365" t="s">
        <v>278</v>
      </c>
      <c r="B365" s="174">
        <v>45657</v>
      </c>
      <c r="C365" s="4" t="s">
        <v>10</v>
      </c>
      <c r="D365" t="s">
        <v>128</v>
      </c>
      <c r="E365" s="253">
        <v>0</v>
      </c>
      <c r="F365" s="16">
        <v>45657</v>
      </c>
      <c r="G365" s="181">
        <v>45657</v>
      </c>
      <c r="H365" s="15"/>
      <c r="I365" s="192">
        <v>-3.9</v>
      </c>
      <c r="J365">
        <v>3468.2900000000263</v>
      </c>
      <c r="K365">
        <v>0</v>
      </c>
      <c r="L365" s="14" t="s">
        <v>59</v>
      </c>
      <c r="M365" s="8" t="s">
        <v>131</v>
      </c>
      <c r="N365">
        <v>0</v>
      </c>
      <c r="O365" s="38" t="s">
        <v>11</v>
      </c>
      <c r="P365" s="38" t="s">
        <v>10</v>
      </c>
      <c r="Q365">
        <v>2024</v>
      </c>
      <c r="R365" t="s">
        <v>129</v>
      </c>
      <c r="S365" t="s">
        <v>14</v>
      </c>
      <c r="T365" t="s">
        <v>536</v>
      </c>
      <c r="U365" t="str">
        <f>IFERROR(_xlfn.XLOOKUP(A365,'2025 EOY'!A:A,'2025 EOY'!B:B),"No")</f>
        <v>No</v>
      </c>
    </row>
    <row r="366" spans="1:29" x14ac:dyDescent="0.35">
      <c r="A366" t="s">
        <v>278</v>
      </c>
      <c r="B366" s="174">
        <v>45657</v>
      </c>
      <c r="C366" s="4" t="s">
        <v>15</v>
      </c>
      <c r="D366" t="s">
        <v>128</v>
      </c>
      <c r="E366" s="253">
        <v>0</v>
      </c>
      <c r="F366" s="16">
        <v>45657</v>
      </c>
      <c r="G366" s="181">
        <v>45657</v>
      </c>
      <c r="H366" s="15"/>
      <c r="I366" s="37"/>
      <c r="J366">
        <v>-5808.7999999999993</v>
      </c>
      <c r="K366">
        <v>0</v>
      </c>
      <c r="L366" s="14" t="s">
        <v>59</v>
      </c>
      <c r="M366" s="8" t="s">
        <v>131</v>
      </c>
      <c r="N366">
        <v>0</v>
      </c>
      <c r="O366" s="38" t="s">
        <v>11</v>
      </c>
      <c r="P366" s="38" t="s">
        <v>16</v>
      </c>
      <c r="Q366">
        <v>2024</v>
      </c>
      <c r="R366" t="s">
        <v>129</v>
      </c>
      <c r="S366" t="s">
        <v>14</v>
      </c>
      <c r="T366" t="s">
        <v>537</v>
      </c>
      <c r="U366" t="str">
        <f>IFERROR(_xlfn.XLOOKUP(A366,'2025 EOY'!A:A,'2025 EOY'!B:B),"No")</f>
        <v>No</v>
      </c>
    </row>
    <row r="367" spans="1:29" x14ac:dyDescent="0.35">
      <c r="A367" t="s">
        <v>278</v>
      </c>
      <c r="B367" s="174">
        <v>45657</v>
      </c>
      <c r="C367" s="4" t="s">
        <v>19</v>
      </c>
      <c r="D367" t="s">
        <v>128</v>
      </c>
      <c r="E367" s="253">
        <v>0</v>
      </c>
      <c r="F367" s="16">
        <v>45657</v>
      </c>
      <c r="G367" s="181">
        <v>45657</v>
      </c>
      <c r="H367" s="15"/>
      <c r="I367" s="37"/>
      <c r="J367">
        <v>-3984.2</v>
      </c>
      <c r="K367">
        <v>0</v>
      </c>
      <c r="L367" s="14" t="s">
        <v>59</v>
      </c>
      <c r="M367" s="8" t="s">
        <v>131</v>
      </c>
      <c r="N367">
        <v>0</v>
      </c>
      <c r="O367" s="38" t="s">
        <v>19</v>
      </c>
      <c r="P367" s="38" t="s">
        <v>19</v>
      </c>
      <c r="Q367">
        <v>2024</v>
      </c>
      <c r="R367" t="s">
        <v>129</v>
      </c>
      <c r="S367" t="s">
        <v>96</v>
      </c>
      <c r="T367" t="s">
        <v>538</v>
      </c>
      <c r="U367" t="str">
        <f>IFERROR(_xlfn.XLOOKUP(A367,'2025 EOY'!A:A,'2025 EOY'!B:B),"No")</f>
        <v>No</v>
      </c>
    </row>
    <row r="368" spans="1:29" x14ac:dyDescent="0.35">
      <c r="A368" t="s">
        <v>278</v>
      </c>
      <c r="B368" s="174">
        <v>45657</v>
      </c>
      <c r="C368" s="4" t="s">
        <v>55</v>
      </c>
      <c r="D368" t="s">
        <v>128</v>
      </c>
      <c r="E368" s="253">
        <v>0</v>
      </c>
      <c r="F368" s="16">
        <v>45657</v>
      </c>
      <c r="G368" s="181">
        <v>45657</v>
      </c>
      <c r="H368" s="15"/>
      <c r="I368" s="37"/>
      <c r="J368">
        <v>-650</v>
      </c>
      <c r="K368">
        <v>0</v>
      </c>
      <c r="L368" s="14" t="s">
        <v>59</v>
      </c>
      <c r="M368" s="8" t="s">
        <v>131</v>
      </c>
      <c r="N368">
        <v>0</v>
      </c>
      <c r="O368" s="38" t="s">
        <v>55</v>
      </c>
      <c r="P368" s="38" t="s">
        <v>55</v>
      </c>
      <c r="Q368">
        <v>2024</v>
      </c>
      <c r="R368" t="s">
        <v>129</v>
      </c>
      <c r="S368" t="s">
        <v>14</v>
      </c>
      <c r="T368" t="s">
        <v>539</v>
      </c>
      <c r="U368" t="str">
        <f>IFERROR(_xlfn.XLOOKUP(A368,'2025 EOY'!A:A,'2025 EOY'!B:B),"No")</f>
        <v>No</v>
      </c>
      <c r="V368">
        <v>0.8</v>
      </c>
      <c r="W368" s="18" t="s">
        <v>540</v>
      </c>
      <c r="X368" s="18">
        <v>-1.9400000000000039</v>
      </c>
      <c r="Y368" s="106"/>
      <c r="Z368" s="105"/>
      <c r="AA368" s="107"/>
      <c r="AB368" s="106"/>
      <c r="AC368" s="106"/>
    </row>
    <row r="369" spans="1:29" x14ac:dyDescent="0.35">
      <c r="A369" t="s">
        <v>278</v>
      </c>
      <c r="B369" s="174">
        <v>45657</v>
      </c>
      <c r="C369" s="4" t="s">
        <v>25</v>
      </c>
      <c r="D369" t="s">
        <v>128</v>
      </c>
      <c r="E369" s="253">
        <v>0</v>
      </c>
      <c r="F369" s="16">
        <v>45657</v>
      </c>
      <c r="G369" s="181">
        <v>45657</v>
      </c>
      <c r="H369" s="15"/>
      <c r="I369" s="192">
        <v>0.15</v>
      </c>
      <c r="J369">
        <v>0</v>
      </c>
      <c r="K369">
        <v>0</v>
      </c>
      <c r="L369" s="14" t="s">
        <v>59</v>
      </c>
      <c r="M369" s="8" t="s">
        <v>131</v>
      </c>
      <c r="N369">
        <v>0</v>
      </c>
      <c r="O369" s="38" t="s">
        <v>4</v>
      </c>
      <c r="P369" s="38" t="s">
        <v>3</v>
      </c>
      <c r="Q369">
        <v>2024</v>
      </c>
      <c r="R369" t="s">
        <v>129</v>
      </c>
      <c r="S369" t="s">
        <v>14</v>
      </c>
      <c r="T369" t="s">
        <v>541</v>
      </c>
      <c r="U369" t="str">
        <f>IFERROR(_xlfn.XLOOKUP(A369,'2025 EOY'!A:A,'2025 EOY'!B:B),"No")</f>
        <v>No</v>
      </c>
      <c r="V369">
        <v>0.49</v>
      </c>
      <c r="X369">
        <v>-1.3</v>
      </c>
      <c r="Y369" s="106"/>
      <c r="Z369" s="105"/>
      <c r="AA369" s="106"/>
      <c r="AB369" s="106"/>
      <c r="AC369" s="106"/>
    </row>
    <row r="370" spans="1:29" x14ac:dyDescent="0.35">
      <c r="A370" t="s">
        <v>278</v>
      </c>
      <c r="B370" s="174">
        <v>45657</v>
      </c>
      <c r="C370" s="4" t="s">
        <v>36</v>
      </c>
      <c r="D370" t="s">
        <v>128</v>
      </c>
      <c r="E370" s="253">
        <v>0</v>
      </c>
      <c r="F370" s="16">
        <v>45657</v>
      </c>
      <c r="G370" s="181">
        <v>45657</v>
      </c>
      <c r="H370" s="15"/>
      <c r="I370" s="37"/>
      <c r="J370">
        <v>-2849.7933333333331</v>
      </c>
      <c r="K370">
        <v>0</v>
      </c>
      <c r="L370" s="14" t="s">
        <v>59</v>
      </c>
      <c r="M370" s="8" t="s">
        <v>131</v>
      </c>
      <c r="N370">
        <v>0</v>
      </c>
      <c r="O370" s="38" t="s">
        <v>29</v>
      </c>
      <c r="P370" s="38" t="s">
        <v>29</v>
      </c>
      <c r="Q370">
        <v>2024</v>
      </c>
      <c r="R370" t="s">
        <v>129</v>
      </c>
      <c r="S370" t="s">
        <v>14</v>
      </c>
      <c r="T370" t="s">
        <v>542</v>
      </c>
      <c r="U370" t="str">
        <f>IFERROR(_xlfn.XLOOKUP(A370,'2025 EOY'!A:A,'2025 EOY'!B:B),"No")</f>
        <v>No</v>
      </c>
      <c r="V370" s="18">
        <v>1.29</v>
      </c>
      <c r="X370" s="18">
        <v>0.6400000000000039</v>
      </c>
      <c r="Y370" s="106"/>
      <c r="Z370" s="105"/>
      <c r="AA370" s="106"/>
      <c r="AB370" s="106"/>
      <c r="AC370" s="106"/>
    </row>
    <row r="371" spans="1:29" x14ac:dyDescent="0.35">
      <c r="A371" t="s">
        <v>278</v>
      </c>
      <c r="B371" s="174">
        <v>45657</v>
      </c>
      <c r="C371" s="4" t="s">
        <v>39</v>
      </c>
      <c r="D371" t="s">
        <v>128</v>
      </c>
      <c r="E371" s="253">
        <v>0</v>
      </c>
      <c r="F371" s="16">
        <v>45657</v>
      </c>
      <c r="G371" s="181">
        <v>45657</v>
      </c>
      <c r="H371" s="15"/>
      <c r="I371" s="37"/>
      <c r="J371">
        <v>1733.179233621755</v>
      </c>
      <c r="K371">
        <v>0</v>
      </c>
      <c r="L371" s="14" t="s">
        <v>59</v>
      </c>
      <c r="M371" s="8" t="s">
        <v>131</v>
      </c>
      <c r="N371">
        <v>0</v>
      </c>
      <c r="O371" s="38" t="s">
        <v>29</v>
      </c>
      <c r="P371" s="38" t="s">
        <v>29</v>
      </c>
      <c r="Q371">
        <v>2024</v>
      </c>
      <c r="R371" t="s">
        <v>129</v>
      </c>
      <c r="S371" t="s">
        <v>14</v>
      </c>
      <c r="T371" t="s">
        <v>543</v>
      </c>
      <c r="U371" t="str">
        <f>IFERROR(_xlfn.XLOOKUP(A371,'2025 EOY'!A:A,'2025 EOY'!B:B),"No")</f>
        <v>No</v>
      </c>
      <c r="V371">
        <v>0.23999999999999488</v>
      </c>
      <c r="Y371" s="106"/>
      <c r="Z371" s="105"/>
      <c r="AA371" s="106"/>
      <c r="AB371" s="106"/>
      <c r="AC371" s="106"/>
    </row>
    <row r="372" spans="1:29" x14ac:dyDescent="0.35">
      <c r="A372" t="s">
        <v>278</v>
      </c>
      <c r="B372" s="174">
        <v>45657</v>
      </c>
      <c r="C372" s="4" t="s">
        <v>28</v>
      </c>
      <c r="D372" t="s">
        <v>128</v>
      </c>
      <c r="E372" s="253">
        <v>0</v>
      </c>
      <c r="F372" s="16">
        <v>45657</v>
      </c>
      <c r="G372" s="181">
        <v>45657</v>
      </c>
      <c r="H372" s="15"/>
      <c r="I372" s="37"/>
      <c r="J372">
        <v>-1050</v>
      </c>
      <c r="K372">
        <v>0</v>
      </c>
      <c r="L372" s="14" t="s">
        <v>59</v>
      </c>
      <c r="M372" s="8" t="s">
        <v>131</v>
      </c>
      <c r="N372">
        <v>0</v>
      </c>
      <c r="O372" s="38" t="s">
        <v>29</v>
      </c>
      <c r="P372" s="38" t="s">
        <v>29</v>
      </c>
      <c r="Q372">
        <v>2024</v>
      </c>
      <c r="R372" t="s">
        <v>129</v>
      </c>
      <c r="S372" t="s">
        <v>14</v>
      </c>
      <c r="T372" t="s">
        <v>544</v>
      </c>
      <c r="U372" t="str">
        <f>IFERROR(_xlfn.XLOOKUP(A372,'2025 EOY'!A:A,'2025 EOY'!B:B),"No")</f>
        <v>No</v>
      </c>
      <c r="V372">
        <v>0.30000000000001137</v>
      </c>
      <c r="Y372" s="106"/>
      <c r="Z372" s="105"/>
      <c r="AA372" s="107"/>
      <c r="AB372" s="106"/>
      <c r="AC372" s="106"/>
    </row>
    <row r="373" spans="1:29" x14ac:dyDescent="0.35">
      <c r="A373" t="s">
        <v>278</v>
      </c>
      <c r="B373" s="174">
        <v>45657</v>
      </c>
      <c r="C373" s="4" t="s">
        <v>55</v>
      </c>
      <c r="D373" t="s">
        <v>128</v>
      </c>
      <c r="E373" s="253">
        <v>0</v>
      </c>
      <c r="F373" s="16">
        <v>45657</v>
      </c>
      <c r="G373" s="181">
        <v>45657</v>
      </c>
      <c r="H373" s="15"/>
      <c r="I373" s="37"/>
      <c r="J373">
        <v>-949</v>
      </c>
      <c r="K373">
        <v>0</v>
      </c>
      <c r="L373" s="14" t="s">
        <v>59</v>
      </c>
      <c r="M373" s="8" t="s">
        <v>131</v>
      </c>
      <c r="N373">
        <v>0</v>
      </c>
      <c r="O373" s="38" t="s">
        <v>55</v>
      </c>
      <c r="P373" s="38" t="s">
        <v>55</v>
      </c>
      <c r="Q373">
        <v>2024</v>
      </c>
      <c r="R373" t="s">
        <v>129</v>
      </c>
      <c r="S373" t="s">
        <v>14</v>
      </c>
      <c r="T373" t="s">
        <v>545</v>
      </c>
      <c r="U373" t="str">
        <f>IFERROR(_xlfn.XLOOKUP(A373,'2025 EOY'!A:A,'2025 EOY'!B:B),"No")</f>
        <v>No</v>
      </c>
      <c r="V373" s="98">
        <v>-3.7700000000000102</v>
      </c>
      <c r="Y373" s="106"/>
      <c r="Z373" s="105"/>
      <c r="AA373" s="106"/>
      <c r="AB373" s="106"/>
      <c r="AC373" s="106"/>
    </row>
    <row r="374" spans="1:29" x14ac:dyDescent="0.35">
      <c r="A374" t="s">
        <v>278</v>
      </c>
      <c r="B374" s="174">
        <v>45862</v>
      </c>
      <c r="C374" s="4" t="s">
        <v>19</v>
      </c>
      <c r="D374" t="s">
        <v>128</v>
      </c>
      <c r="E374" s="253">
        <v>0</v>
      </c>
      <c r="F374" s="16">
        <v>45657</v>
      </c>
      <c r="G374" s="181">
        <v>45657</v>
      </c>
      <c r="H374" s="15"/>
      <c r="I374" s="37"/>
      <c r="J374">
        <v>650</v>
      </c>
      <c r="K374">
        <v>0</v>
      </c>
      <c r="L374" s="14" t="s">
        <v>59</v>
      </c>
      <c r="M374" s="8" t="s">
        <v>131</v>
      </c>
      <c r="N374">
        <v>0</v>
      </c>
      <c r="O374" s="38" t="s">
        <v>19</v>
      </c>
      <c r="P374" s="38" t="s">
        <v>19</v>
      </c>
      <c r="Q374">
        <v>2024</v>
      </c>
      <c r="R374" t="s">
        <v>129</v>
      </c>
      <c r="S374" t="s">
        <v>96</v>
      </c>
      <c r="T374" t="s">
        <v>546</v>
      </c>
      <c r="U374" t="str">
        <f>IFERROR(_xlfn.XLOOKUP(A374,'2025 EOY'!A:A,'2025 EOY'!B:B),"No")</f>
        <v>No</v>
      </c>
      <c r="V374" s="98">
        <v>-3.75</v>
      </c>
      <c r="Y374" s="106"/>
      <c r="Z374" s="105"/>
      <c r="AA374" s="106"/>
      <c r="AB374" s="106"/>
      <c r="AC374" s="106"/>
    </row>
    <row r="375" spans="1:29" x14ac:dyDescent="0.35">
      <c r="A375" t="s">
        <v>278</v>
      </c>
      <c r="B375" s="174">
        <v>45883</v>
      </c>
      <c r="C375" s="4" t="s">
        <v>19</v>
      </c>
      <c r="D375" t="s">
        <v>128</v>
      </c>
      <c r="E375" s="253">
        <v>0</v>
      </c>
      <c r="F375" s="16">
        <v>45657</v>
      </c>
      <c r="G375" s="181">
        <v>45657</v>
      </c>
      <c r="H375" s="15"/>
      <c r="I375" s="37"/>
      <c r="K375">
        <v>0</v>
      </c>
      <c r="L375" s="14" t="s">
        <v>59</v>
      </c>
      <c r="M375" s="8" t="s">
        <v>131</v>
      </c>
      <c r="N375">
        <v>0</v>
      </c>
      <c r="O375" s="38" t="s">
        <v>19</v>
      </c>
      <c r="P375" s="38" t="s">
        <v>19</v>
      </c>
      <c r="Q375">
        <v>2024</v>
      </c>
      <c r="R375" t="s">
        <v>129</v>
      </c>
      <c r="S375" t="s">
        <v>96</v>
      </c>
      <c r="T375" t="s">
        <v>547</v>
      </c>
      <c r="U375" t="str">
        <f>IFERROR(_xlfn.XLOOKUP(A375,'2025 EOY'!A:A,'2025 EOY'!B:B),"No")</f>
        <v>No</v>
      </c>
      <c r="V375" s="98">
        <v>-3.77</v>
      </c>
      <c r="Y375" s="106"/>
      <c r="Z375" s="105"/>
      <c r="AA375" s="106"/>
      <c r="AB375" s="106"/>
      <c r="AC375" s="106"/>
    </row>
    <row r="376" spans="1:29" x14ac:dyDescent="0.35">
      <c r="A376" s="20" t="s">
        <v>278</v>
      </c>
      <c r="B376" s="182">
        <v>45657</v>
      </c>
      <c r="C376" s="217" t="s">
        <v>19</v>
      </c>
      <c r="D376" s="20" t="s">
        <v>128</v>
      </c>
      <c r="E376" s="269">
        <v>0</v>
      </c>
      <c r="F376" s="183">
        <v>45657</v>
      </c>
      <c r="G376" s="184">
        <v>45657</v>
      </c>
      <c r="H376" s="215"/>
      <c r="I376" s="113"/>
      <c r="J376" s="20">
        <v>-4012</v>
      </c>
      <c r="K376" s="20">
        <v>0</v>
      </c>
      <c r="L376" s="14" t="s">
        <v>59</v>
      </c>
      <c r="M376" s="153" t="s">
        <v>131</v>
      </c>
      <c r="N376" s="20">
        <v>0</v>
      </c>
      <c r="O376" s="154" t="s">
        <v>19</v>
      </c>
      <c r="P376" s="154" t="s">
        <v>19</v>
      </c>
      <c r="Q376">
        <v>2024</v>
      </c>
      <c r="R376" t="s">
        <v>129</v>
      </c>
      <c r="S376" t="s">
        <v>96</v>
      </c>
      <c r="T376" t="s">
        <v>548</v>
      </c>
      <c r="U376" t="str">
        <f>IFERROR(_xlfn.XLOOKUP(A376,'2025 EOY'!A:A,'2025 EOY'!B:B),"No")</f>
        <v>No</v>
      </c>
      <c r="V376" s="98"/>
      <c r="Y376" s="106"/>
      <c r="Z376" s="105"/>
      <c r="AA376" s="106"/>
      <c r="AB376" s="106"/>
      <c r="AC376" s="106"/>
    </row>
    <row r="377" spans="1:29" x14ac:dyDescent="0.35">
      <c r="A377" s="20" t="s">
        <v>278</v>
      </c>
      <c r="B377" s="182">
        <v>45943</v>
      </c>
      <c r="C377" s="217" t="s">
        <v>19</v>
      </c>
      <c r="D377" s="20" t="s">
        <v>128</v>
      </c>
      <c r="E377" s="269">
        <v>0</v>
      </c>
      <c r="F377" s="183">
        <v>45657</v>
      </c>
      <c r="G377" s="184">
        <v>45657</v>
      </c>
      <c r="H377" s="215"/>
      <c r="I377" s="113"/>
      <c r="J377" s="20">
        <v>500</v>
      </c>
      <c r="K377" s="20">
        <v>0</v>
      </c>
      <c r="L377" s="14" t="s">
        <v>59</v>
      </c>
      <c r="M377" s="153" t="s">
        <v>131</v>
      </c>
      <c r="N377" s="20">
        <v>0</v>
      </c>
      <c r="O377" s="154" t="s">
        <v>19</v>
      </c>
      <c r="P377" s="154" t="s">
        <v>19</v>
      </c>
      <c r="Q377">
        <v>2024</v>
      </c>
      <c r="R377" t="s">
        <v>129</v>
      </c>
      <c r="S377" t="s">
        <v>96</v>
      </c>
      <c r="T377" t="s">
        <v>549</v>
      </c>
      <c r="U377" t="str">
        <f>IFERROR(_xlfn.XLOOKUP(A377,'2025 EOY'!A:A,'2025 EOY'!B:B),"No")</f>
        <v>No</v>
      </c>
      <c r="V377" s="98"/>
      <c r="Y377" s="106"/>
      <c r="Z377" s="105"/>
      <c r="AA377" s="106"/>
      <c r="AB377" s="106"/>
      <c r="AC377" s="106"/>
    </row>
    <row r="378" spans="1:29" x14ac:dyDescent="0.35">
      <c r="A378" s="20" t="s">
        <v>278</v>
      </c>
      <c r="B378" s="182">
        <v>45947</v>
      </c>
      <c r="C378" s="217" t="s">
        <v>19</v>
      </c>
      <c r="D378" s="20" t="s">
        <v>128</v>
      </c>
      <c r="E378" s="269">
        <v>0</v>
      </c>
      <c r="F378" s="183">
        <v>45657</v>
      </c>
      <c r="G378" s="184">
        <v>45657</v>
      </c>
      <c r="H378" s="215"/>
      <c r="I378" s="113"/>
      <c r="J378" s="20">
        <v>500</v>
      </c>
      <c r="K378" s="20">
        <v>0</v>
      </c>
      <c r="L378" s="14" t="s">
        <v>59</v>
      </c>
      <c r="M378" s="153" t="s">
        <v>131</v>
      </c>
      <c r="N378" s="20">
        <v>0</v>
      </c>
      <c r="O378" s="154" t="s">
        <v>19</v>
      </c>
      <c r="P378" s="154" t="s">
        <v>19</v>
      </c>
      <c r="Q378">
        <v>2024</v>
      </c>
      <c r="R378" t="s">
        <v>129</v>
      </c>
      <c r="S378" t="s">
        <v>96</v>
      </c>
      <c r="T378" t="s">
        <v>550</v>
      </c>
      <c r="U378" t="str">
        <f>IFERROR(_xlfn.XLOOKUP(A378,'2025 EOY'!A:A,'2025 EOY'!B:B),"No")</f>
        <v>No</v>
      </c>
      <c r="V378" s="98"/>
      <c r="Y378" s="106"/>
      <c r="Z378" s="105"/>
      <c r="AA378" s="106"/>
      <c r="AB378" s="106"/>
      <c r="AC378" s="106"/>
    </row>
    <row r="379" spans="1:29" x14ac:dyDescent="0.35">
      <c r="A379" s="20" t="s">
        <v>278</v>
      </c>
      <c r="B379" s="182">
        <v>45960</v>
      </c>
      <c r="C379" s="217" t="s">
        <v>19</v>
      </c>
      <c r="D379" s="20" t="s">
        <v>128</v>
      </c>
      <c r="E379" s="269">
        <v>0</v>
      </c>
      <c r="F379" s="183">
        <v>45657</v>
      </c>
      <c r="G379" s="184">
        <v>45657</v>
      </c>
      <c r="H379" s="215"/>
      <c r="I379" s="113"/>
      <c r="J379" s="20">
        <v>500</v>
      </c>
      <c r="K379" s="20">
        <v>0</v>
      </c>
      <c r="L379" s="14" t="s">
        <v>59</v>
      </c>
      <c r="M379" s="153" t="s">
        <v>131</v>
      </c>
      <c r="N379" s="20">
        <v>0</v>
      </c>
      <c r="O379" s="154" t="s">
        <v>19</v>
      </c>
      <c r="P379" s="154" t="s">
        <v>19</v>
      </c>
      <c r="Q379">
        <v>2024</v>
      </c>
      <c r="R379" t="s">
        <v>129</v>
      </c>
      <c r="S379" t="s">
        <v>96</v>
      </c>
      <c r="T379" t="s">
        <v>551</v>
      </c>
      <c r="U379" t="str">
        <f>IFERROR(_xlfn.XLOOKUP(A379,'2025 EOY'!A:A,'2025 EOY'!B:B),"No")</f>
        <v>No</v>
      </c>
      <c r="V379" s="98"/>
      <c r="Y379" s="106"/>
      <c r="Z379" s="105"/>
      <c r="AA379" s="106"/>
      <c r="AB379" s="106"/>
      <c r="AC379" s="106"/>
    </row>
    <row r="380" spans="1:29" x14ac:dyDescent="0.35">
      <c r="A380" s="20" t="s">
        <v>278</v>
      </c>
      <c r="B380" s="182">
        <v>45961</v>
      </c>
      <c r="C380" s="217" t="s">
        <v>28</v>
      </c>
      <c r="D380" s="20" t="s">
        <v>128</v>
      </c>
      <c r="E380" s="269">
        <v>0</v>
      </c>
      <c r="F380" s="183">
        <v>45657</v>
      </c>
      <c r="G380" s="184">
        <v>45657</v>
      </c>
      <c r="H380" s="215"/>
      <c r="I380" s="113"/>
      <c r="J380" s="20">
        <v>500</v>
      </c>
      <c r="K380" s="20">
        <v>0</v>
      </c>
      <c r="L380" s="14" t="s">
        <v>59</v>
      </c>
      <c r="M380" s="153" t="s">
        <v>131</v>
      </c>
      <c r="N380" s="20">
        <v>0</v>
      </c>
      <c r="O380" s="154" t="s">
        <v>29</v>
      </c>
      <c r="P380" s="154" t="s">
        <v>29</v>
      </c>
      <c r="Q380">
        <v>2024</v>
      </c>
      <c r="R380" t="s">
        <v>129</v>
      </c>
      <c r="S380" t="s">
        <v>14</v>
      </c>
      <c r="T380" t="s">
        <v>552</v>
      </c>
      <c r="U380" t="str">
        <f>IFERROR(_xlfn.XLOOKUP(A380,'2025 EOY'!A:A,'2025 EOY'!B:B),"No")</f>
        <v>No</v>
      </c>
      <c r="V380" s="98"/>
      <c r="Y380" s="106"/>
      <c r="Z380" s="105"/>
      <c r="AA380" s="106"/>
      <c r="AB380" s="106"/>
      <c r="AC380" s="106"/>
    </row>
    <row r="381" spans="1:29" x14ac:dyDescent="0.35">
      <c r="A381" s="20" t="s">
        <v>278</v>
      </c>
      <c r="B381" s="182">
        <v>45978</v>
      </c>
      <c r="C381" s="217" t="s">
        <v>7</v>
      </c>
      <c r="D381" s="20" t="s">
        <v>128</v>
      </c>
      <c r="E381" s="269">
        <v>0</v>
      </c>
      <c r="F381" s="183">
        <v>45657</v>
      </c>
      <c r="G381" s="184">
        <v>45657</v>
      </c>
      <c r="H381" s="215"/>
      <c r="I381" s="192">
        <v>0.35</v>
      </c>
      <c r="J381" s="20">
        <v>2000</v>
      </c>
      <c r="K381" s="20">
        <v>0</v>
      </c>
      <c r="L381" s="14" t="s">
        <v>59</v>
      </c>
      <c r="M381" s="153" t="s">
        <v>131</v>
      </c>
      <c r="N381" s="20">
        <v>0</v>
      </c>
      <c r="O381" s="154" t="s">
        <v>4</v>
      </c>
      <c r="P381" s="154" t="s">
        <v>7</v>
      </c>
      <c r="Q381">
        <v>2024</v>
      </c>
      <c r="R381" t="s">
        <v>129</v>
      </c>
      <c r="S381" t="s">
        <v>14</v>
      </c>
      <c r="T381" t="s">
        <v>553</v>
      </c>
      <c r="U381" t="str">
        <f>IFERROR(_xlfn.XLOOKUP(A381,'2025 EOY'!A:A,'2025 EOY'!B:B),"No")</f>
        <v>No</v>
      </c>
      <c r="V381" s="98"/>
      <c r="Y381" s="106"/>
      <c r="Z381" s="105"/>
      <c r="AA381" s="106"/>
      <c r="AB381" s="106"/>
      <c r="AC381" s="106"/>
    </row>
    <row r="382" spans="1:29" x14ac:dyDescent="0.35">
      <c r="A382" s="20" t="s">
        <v>278</v>
      </c>
      <c r="B382" s="182">
        <v>45978</v>
      </c>
      <c r="C382" s="217" t="s">
        <v>3</v>
      </c>
      <c r="D382" s="20" t="s">
        <v>128</v>
      </c>
      <c r="E382" s="269">
        <v>0</v>
      </c>
      <c r="F382" s="183">
        <v>45657</v>
      </c>
      <c r="G382" s="184">
        <v>45657</v>
      </c>
      <c r="H382" s="215"/>
      <c r="I382" s="192">
        <v>0.15</v>
      </c>
      <c r="J382" s="20">
        <v>2720.8</v>
      </c>
      <c r="K382" s="20">
        <v>0</v>
      </c>
      <c r="L382" s="14" t="s">
        <v>59</v>
      </c>
      <c r="M382" s="153" t="s">
        <v>131</v>
      </c>
      <c r="N382" s="20">
        <v>0</v>
      </c>
      <c r="O382" s="154" t="s">
        <v>4</v>
      </c>
      <c r="P382" s="154" t="s">
        <v>3</v>
      </c>
      <c r="Q382">
        <v>2024</v>
      </c>
      <c r="R382" t="s">
        <v>129</v>
      </c>
      <c r="S382" t="s">
        <v>14</v>
      </c>
      <c r="T382" t="s">
        <v>554</v>
      </c>
      <c r="U382" t="str">
        <f>IFERROR(_xlfn.XLOOKUP(A382,'2025 EOY'!A:A,'2025 EOY'!B:B),"No")</f>
        <v>No</v>
      </c>
      <c r="V382" s="98"/>
      <c r="Y382" s="106"/>
      <c r="Z382" s="105"/>
      <c r="AA382" s="106"/>
      <c r="AB382" s="106"/>
      <c r="AC382" s="106"/>
    </row>
    <row r="383" spans="1:29" x14ac:dyDescent="0.35">
      <c r="A383" s="21" t="s">
        <v>127</v>
      </c>
      <c r="B383" s="175">
        <v>45660</v>
      </c>
      <c r="C383" s="30" t="s">
        <v>22</v>
      </c>
      <c r="D383" s="23" t="s">
        <v>128</v>
      </c>
      <c r="E383" s="256">
        <v>-1000</v>
      </c>
      <c r="F383" s="92" t="s">
        <v>464</v>
      </c>
      <c r="G383" s="24">
        <v>45688</v>
      </c>
      <c r="H383" s="207">
        <v>0.44</v>
      </c>
      <c r="I383" s="196">
        <v>0.99</v>
      </c>
      <c r="J383" s="25">
        <v>-550</v>
      </c>
      <c r="K383" s="26">
        <v>-440</v>
      </c>
      <c r="L383" s="14" t="s">
        <v>70</v>
      </c>
      <c r="M383" s="27" t="s">
        <v>129</v>
      </c>
      <c r="N383" s="26">
        <v>-990</v>
      </c>
      <c r="O383" s="28" t="s">
        <v>11</v>
      </c>
      <c r="P383" s="38" t="s">
        <v>16</v>
      </c>
      <c r="Q383">
        <v>2025</v>
      </c>
      <c r="R383" t="s">
        <v>129</v>
      </c>
      <c r="S383" t="s">
        <v>14</v>
      </c>
      <c r="T383" t="s">
        <v>555</v>
      </c>
      <c r="U383" t="str">
        <f>IFERROR(_xlfn.XLOOKUP(A383,'2025 EOY'!A:A,'2025 EOY'!B:B),"No")</f>
        <v>No</v>
      </c>
      <c r="V383" s="18">
        <v>-1.9400000000000039</v>
      </c>
      <c r="Y383" s="106"/>
      <c r="Z383" s="105"/>
      <c r="AA383" s="106"/>
      <c r="AB383" s="106"/>
      <c r="AC383" s="106"/>
    </row>
    <row r="384" spans="1:29" x14ac:dyDescent="0.35">
      <c r="A384" s="37" t="s">
        <v>127</v>
      </c>
      <c r="B384" s="12">
        <v>45660</v>
      </c>
      <c r="C384" s="30" t="s">
        <v>22</v>
      </c>
      <c r="D384" s="4" t="s">
        <v>128</v>
      </c>
      <c r="E384" s="253">
        <v>1000</v>
      </c>
      <c r="F384" s="173" t="s">
        <v>466</v>
      </c>
      <c r="G384" s="172">
        <v>45688</v>
      </c>
      <c r="H384" s="15">
        <v>0.56999999999999995</v>
      </c>
      <c r="I384" s="191">
        <v>1.43</v>
      </c>
      <c r="J384" s="9">
        <v>860</v>
      </c>
      <c r="K384">
        <v>570</v>
      </c>
      <c r="L384" s="14" t="s">
        <v>71</v>
      </c>
      <c r="M384" s="8" t="s">
        <v>131</v>
      </c>
      <c r="N384">
        <v>1430</v>
      </c>
      <c r="O384" s="38" t="s">
        <v>11</v>
      </c>
      <c r="P384" s="38" t="s">
        <v>16</v>
      </c>
      <c r="Q384">
        <v>2025</v>
      </c>
      <c r="R384" t="s">
        <v>131</v>
      </c>
      <c r="S384" t="s">
        <v>14</v>
      </c>
      <c r="T384" t="s">
        <v>556</v>
      </c>
      <c r="U384" t="str">
        <f>IFERROR(_xlfn.XLOOKUP(A384,'2025 EOY'!A:A,'2025 EOY'!B:B),"No")</f>
        <v>No</v>
      </c>
      <c r="X384" s="105"/>
      <c r="Y384" s="106"/>
      <c r="Z384" s="105"/>
      <c r="AA384" s="106"/>
      <c r="AB384" s="106"/>
      <c r="AC384" s="106"/>
    </row>
    <row r="385" spans="1:32" x14ac:dyDescent="0.35">
      <c r="A385" s="37" t="s">
        <v>127</v>
      </c>
      <c r="B385" s="12">
        <v>45660</v>
      </c>
      <c r="C385" s="10" t="s">
        <v>15</v>
      </c>
      <c r="D385" s="4" t="s">
        <v>128</v>
      </c>
      <c r="E385" s="253">
        <v>400</v>
      </c>
      <c r="F385" s="173">
        <v>45716</v>
      </c>
      <c r="G385" s="172">
        <v>45716</v>
      </c>
      <c r="H385" s="15">
        <v>0.53869</v>
      </c>
      <c r="I385" s="191">
        <v>0.22</v>
      </c>
      <c r="J385" s="9">
        <v>-127.47600000000001</v>
      </c>
      <c r="K385">
        <v>215.476</v>
      </c>
      <c r="L385" s="14" t="s">
        <v>62</v>
      </c>
      <c r="M385" s="8" t="s">
        <v>131</v>
      </c>
      <c r="N385">
        <v>88</v>
      </c>
      <c r="O385" s="38" t="s">
        <v>11</v>
      </c>
      <c r="P385" s="38" t="s">
        <v>16</v>
      </c>
      <c r="Q385">
        <v>2025</v>
      </c>
      <c r="R385" t="s">
        <v>131</v>
      </c>
      <c r="S385" t="s">
        <v>14</v>
      </c>
      <c r="T385" t="s">
        <v>557</v>
      </c>
      <c r="U385" t="str">
        <f>IFERROR(_xlfn.XLOOKUP(A385,'2025 EOY'!A:A,'2025 EOY'!B:B),"No")</f>
        <v>No</v>
      </c>
      <c r="X385" s="105"/>
      <c r="Y385" s="106"/>
      <c r="Z385" s="105"/>
      <c r="AA385" s="106"/>
      <c r="AB385" s="106"/>
      <c r="AC385" s="106"/>
    </row>
    <row r="386" spans="1:32" x14ac:dyDescent="0.35">
      <c r="A386" s="37" t="s">
        <v>127</v>
      </c>
      <c r="B386" s="12">
        <v>45660</v>
      </c>
      <c r="C386" s="10" t="s">
        <v>15</v>
      </c>
      <c r="D386" s="4" t="s">
        <v>128</v>
      </c>
      <c r="E386" s="253">
        <v>-400</v>
      </c>
      <c r="F386" s="173">
        <v>45747</v>
      </c>
      <c r="G386" s="172">
        <v>45747</v>
      </c>
      <c r="H386" s="15">
        <v>0.35</v>
      </c>
      <c r="I386" s="191">
        <v>1.1299999999999999</v>
      </c>
      <c r="J386" s="9">
        <v>-311.99999999999994</v>
      </c>
      <c r="K386">
        <v>-140</v>
      </c>
      <c r="L386" s="14" t="s">
        <v>63</v>
      </c>
      <c r="M386" s="8" t="s">
        <v>129</v>
      </c>
      <c r="N386">
        <v>-451.99999999999994</v>
      </c>
      <c r="O386" s="38" t="s">
        <v>11</v>
      </c>
      <c r="P386" s="38" t="s">
        <v>16</v>
      </c>
      <c r="Q386">
        <v>2025</v>
      </c>
      <c r="R386" t="s">
        <v>129</v>
      </c>
      <c r="S386" t="s">
        <v>14</v>
      </c>
      <c r="T386" t="s">
        <v>558</v>
      </c>
      <c r="U386" t="str">
        <f>IFERROR(_xlfn.XLOOKUP(A386,'2025 EOY'!A:A,'2025 EOY'!B:B),"No")</f>
        <v>No</v>
      </c>
      <c r="X386" s="105"/>
      <c r="Y386" s="106"/>
      <c r="Z386" s="105"/>
      <c r="AA386" s="106"/>
      <c r="AB386" s="106"/>
      <c r="AC386" s="106"/>
    </row>
    <row r="387" spans="1:32" x14ac:dyDescent="0.35">
      <c r="A387" s="37" t="s">
        <v>127</v>
      </c>
      <c r="B387" s="12">
        <v>45660</v>
      </c>
      <c r="C387" s="10" t="s">
        <v>3</v>
      </c>
      <c r="D387" s="4" t="s">
        <v>128</v>
      </c>
      <c r="E387" s="253">
        <v>-250</v>
      </c>
      <c r="F387" s="172">
        <v>45716</v>
      </c>
      <c r="G387" s="172">
        <v>45747</v>
      </c>
      <c r="H387" s="15">
        <v>0.78</v>
      </c>
      <c r="I387" s="192">
        <v>0.49</v>
      </c>
      <c r="J387" s="9">
        <v>72.500000000000014</v>
      </c>
      <c r="K387">
        <v>-195</v>
      </c>
      <c r="L387" s="14" t="s">
        <v>54</v>
      </c>
      <c r="M387" s="8" t="s">
        <v>129</v>
      </c>
      <c r="N387">
        <v>-122.5</v>
      </c>
      <c r="O387" s="38" t="s">
        <v>4</v>
      </c>
      <c r="P387" s="38" t="s">
        <v>3</v>
      </c>
      <c r="Q387">
        <v>2025</v>
      </c>
      <c r="R387" t="s">
        <v>129</v>
      </c>
      <c r="S387" t="s">
        <v>14</v>
      </c>
      <c r="T387" t="s">
        <v>559</v>
      </c>
      <c r="U387" t="str">
        <f>IFERROR(_xlfn.XLOOKUP(A387,'2025 EOY'!A:A,'2025 EOY'!B:B),"No")</f>
        <v>No</v>
      </c>
      <c r="X387" s="105"/>
      <c r="Y387" s="106"/>
      <c r="Z387" s="105"/>
      <c r="AA387" s="106"/>
      <c r="AB387" s="106"/>
      <c r="AC387" s="106"/>
    </row>
    <row r="388" spans="1:32" x14ac:dyDescent="0.35">
      <c r="A388" s="37" t="s">
        <v>127</v>
      </c>
      <c r="B388" s="12">
        <v>45660</v>
      </c>
      <c r="C388" s="10" t="s">
        <v>3</v>
      </c>
      <c r="D388" s="4" t="s">
        <v>128</v>
      </c>
      <c r="E388" s="253">
        <v>-250</v>
      </c>
      <c r="F388" s="172">
        <v>45747</v>
      </c>
      <c r="G388" s="172">
        <v>45777</v>
      </c>
      <c r="H388" s="15">
        <v>0.6</v>
      </c>
      <c r="I388" s="192">
        <v>0.15</v>
      </c>
      <c r="J388" s="9">
        <v>112.49999999999999</v>
      </c>
      <c r="K388">
        <v>-150</v>
      </c>
      <c r="L388" s="14" t="s">
        <v>56</v>
      </c>
      <c r="M388" s="8" t="s">
        <v>129</v>
      </c>
      <c r="N388">
        <v>-37.5</v>
      </c>
      <c r="O388" s="38" t="s">
        <v>4</v>
      </c>
      <c r="P388" s="38" t="s">
        <v>3</v>
      </c>
      <c r="Q388">
        <v>2025</v>
      </c>
      <c r="R388" t="s">
        <v>129</v>
      </c>
      <c r="S388" t="s">
        <v>14</v>
      </c>
      <c r="T388" t="s">
        <v>560</v>
      </c>
      <c r="U388" t="str">
        <f>IFERROR(_xlfn.XLOOKUP(A388,'2025 EOY'!A:A,'2025 EOY'!B:B),"No")</f>
        <v>No</v>
      </c>
      <c r="X388" s="105"/>
      <c r="Y388" s="106"/>
      <c r="Z388" s="105"/>
      <c r="AA388" s="107"/>
      <c r="AB388" s="106"/>
      <c r="AC388" s="106"/>
    </row>
    <row r="389" spans="1:32" x14ac:dyDescent="0.35">
      <c r="A389" s="37" t="s">
        <v>127</v>
      </c>
      <c r="B389" s="12">
        <v>45660</v>
      </c>
      <c r="C389" s="10" t="s">
        <v>3</v>
      </c>
      <c r="D389" s="4" t="s">
        <v>128</v>
      </c>
      <c r="E389" s="253">
        <v>-250</v>
      </c>
      <c r="F389" s="172">
        <v>45716</v>
      </c>
      <c r="G389" s="172">
        <v>45747</v>
      </c>
      <c r="H389" s="15">
        <v>0.8</v>
      </c>
      <c r="I389" s="192">
        <v>0.49</v>
      </c>
      <c r="J389" s="9">
        <v>77.500000000000014</v>
      </c>
      <c r="K389">
        <v>-200</v>
      </c>
      <c r="L389" s="14" t="s">
        <v>54</v>
      </c>
      <c r="M389" s="8" t="s">
        <v>129</v>
      </c>
      <c r="N389">
        <v>-122.5</v>
      </c>
      <c r="O389" s="38" t="s">
        <v>4</v>
      </c>
      <c r="P389" s="38" t="s">
        <v>3</v>
      </c>
      <c r="Q389">
        <v>2025</v>
      </c>
      <c r="R389" t="s">
        <v>129</v>
      </c>
      <c r="S389" t="s">
        <v>14</v>
      </c>
      <c r="T389" t="s">
        <v>561</v>
      </c>
      <c r="U389" t="str">
        <f>IFERROR(_xlfn.XLOOKUP(A389,'2025 EOY'!A:A,'2025 EOY'!B:B),"No")</f>
        <v>No</v>
      </c>
      <c r="Y389" s="106"/>
      <c r="Z389" s="105"/>
      <c r="AA389" s="106"/>
      <c r="AB389" s="106"/>
      <c r="AC389" s="106"/>
    </row>
    <row r="390" spans="1:32" x14ac:dyDescent="0.35">
      <c r="A390" s="37" t="s">
        <v>127</v>
      </c>
      <c r="B390" s="12">
        <v>45660</v>
      </c>
      <c r="C390" s="10" t="s">
        <v>3</v>
      </c>
      <c r="D390" s="4" t="s">
        <v>128</v>
      </c>
      <c r="E390" s="253">
        <v>-250</v>
      </c>
      <c r="F390" s="172">
        <v>45747</v>
      </c>
      <c r="G390" s="172">
        <v>45777</v>
      </c>
      <c r="H390" s="15">
        <v>0.6</v>
      </c>
      <c r="I390" s="192">
        <v>0.15</v>
      </c>
      <c r="J390" s="9">
        <v>112.49999999999999</v>
      </c>
      <c r="K390">
        <v>-150</v>
      </c>
      <c r="L390" s="14" t="s">
        <v>56</v>
      </c>
      <c r="M390" s="8" t="s">
        <v>129</v>
      </c>
      <c r="N390">
        <v>-37.5</v>
      </c>
      <c r="O390" s="38" t="s">
        <v>4</v>
      </c>
      <c r="P390" s="38" t="s">
        <v>3</v>
      </c>
      <c r="Q390">
        <v>2025</v>
      </c>
      <c r="R390" t="s">
        <v>129</v>
      </c>
      <c r="S390" t="s">
        <v>14</v>
      </c>
      <c r="T390" t="s">
        <v>562</v>
      </c>
      <c r="U390" t="str">
        <f>IFERROR(_xlfn.XLOOKUP(A390,'2025 EOY'!A:A,'2025 EOY'!B:B),"No")</f>
        <v>No</v>
      </c>
      <c r="Y390" s="106"/>
      <c r="Z390" s="105"/>
      <c r="AA390" s="106"/>
      <c r="AB390" s="106"/>
      <c r="AC390" s="106"/>
    </row>
    <row r="391" spans="1:32" x14ac:dyDescent="0.35">
      <c r="A391" s="37" t="s">
        <v>127</v>
      </c>
      <c r="B391" s="176">
        <v>45660</v>
      </c>
      <c r="C391" s="30" t="s">
        <v>10</v>
      </c>
      <c r="D391" s="31" t="s">
        <v>128</v>
      </c>
      <c r="E391" s="257">
        <v>-250</v>
      </c>
      <c r="F391" s="32">
        <v>45777</v>
      </c>
      <c r="G391" s="32">
        <v>45777</v>
      </c>
      <c r="H391" s="213">
        <v>-3.27</v>
      </c>
      <c r="I391" s="192">
        <v>-3.42</v>
      </c>
      <c r="J391" s="33">
        <v>37.499999999999979</v>
      </c>
      <c r="K391" s="34">
        <v>817.5</v>
      </c>
      <c r="L391" s="14" t="s">
        <v>64</v>
      </c>
      <c r="M391" s="35" t="s">
        <v>129</v>
      </c>
      <c r="N391" s="34">
        <v>855</v>
      </c>
      <c r="O391" s="36" t="s">
        <v>11</v>
      </c>
      <c r="P391" s="38" t="s">
        <v>10</v>
      </c>
      <c r="Q391">
        <v>2025</v>
      </c>
      <c r="R391" t="s">
        <v>129</v>
      </c>
      <c r="S391" t="s">
        <v>14</v>
      </c>
      <c r="T391" t="s">
        <v>563</v>
      </c>
      <c r="U391" t="str">
        <f>IFERROR(_xlfn.XLOOKUP(A391,'2025 EOY'!A:A,'2025 EOY'!B:B),"No")</f>
        <v>No</v>
      </c>
      <c r="Y391" s="106"/>
      <c r="Z391" s="105"/>
      <c r="AA391" s="107"/>
      <c r="AB391" s="106"/>
      <c r="AC391" s="106"/>
    </row>
    <row r="392" spans="1:32" x14ac:dyDescent="0.35">
      <c r="A392" t="s">
        <v>127</v>
      </c>
      <c r="B392" s="174">
        <v>45663</v>
      </c>
      <c r="C392" s="10" t="s">
        <v>7</v>
      </c>
      <c r="D392" s="4" t="s">
        <v>128</v>
      </c>
      <c r="E392" s="253">
        <v>2725</v>
      </c>
      <c r="F392" s="172">
        <v>45747</v>
      </c>
      <c r="G392" s="172">
        <v>45777</v>
      </c>
      <c r="H392" s="15">
        <v>0.6</v>
      </c>
      <c r="I392" s="192">
        <v>1.0900000000000001</v>
      </c>
      <c r="J392" s="9">
        <v>1335.2500000000002</v>
      </c>
      <c r="K392">
        <v>1635</v>
      </c>
      <c r="L392" s="14" t="s">
        <v>56</v>
      </c>
      <c r="M392" s="8" t="s">
        <v>131</v>
      </c>
      <c r="N392">
        <v>2970.25</v>
      </c>
      <c r="O392" s="38" t="s">
        <v>4</v>
      </c>
      <c r="P392" s="38" t="s">
        <v>7</v>
      </c>
      <c r="Q392">
        <v>2025</v>
      </c>
      <c r="R392" t="s">
        <v>131</v>
      </c>
      <c r="S392" t="s">
        <v>14</v>
      </c>
      <c r="T392" t="s">
        <v>564</v>
      </c>
      <c r="U392" t="str">
        <f>IFERROR(_xlfn.XLOOKUP(A392,'2025 EOY'!A:A,'2025 EOY'!B:B),"No")</f>
        <v>No</v>
      </c>
    </row>
    <row r="393" spans="1:32" x14ac:dyDescent="0.35">
      <c r="A393" t="s">
        <v>127</v>
      </c>
      <c r="B393" s="174">
        <v>45663</v>
      </c>
      <c r="C393" s="10" t="s">
        <v>7</v>
      </c>
      <c r="D393" s="4" t="s">
        <v>128</v>
      </c>
      <c r="E393" s="253">
        <v>-500</v>
      </c>
      <c r="F393" s="172">
        <v>45808</v>
      </c>
      <c r="G393" s="172">
        <v>45838</v>
      </c>
      <c r="H393" s="15">
        <v>0.38</v>
      </c>
      <c r="I393" s="192">
        <v>-0.03</v>
      </c>
      <c r="J393" s="9">
        <v>205.00000000000003</v>
      </c>
      <c r="K393">
        <v>-190</v>
      </c>
      <c r="L393" s="14" t="s">
        <v>58</v>
      </c>
      <c r="M393" s="8" t="s">
        <v>129</v>
      </c>
      <c r="N393">
        <v>15</v>
      </c>
      <c r="O393" s="38" t="s">
        <v>4</v>
      </c>
      <c r="P393" s="38" t="s">
        <v>7</v>
      </c>
      <c r="Q393">
        <v>2025</v>
      </c>
      <c r="R393" t="s">
        <v>129</v>
      </c>
      <c r="S393" t="s">
        <v>14</v>
      </c>
      <c r="T393" t="s">
        <v>565</v>
      </c>
      <c r="U393" t="str">
        <f>IFERROR(_xlfn.XLOOKUP(A393,'2025 EOY'!A:A,'2025 EOY'!B:B),"No")</f>
        <v>No</v>
      </c>
    </row>
    <row r="394" spans="1:32" x14ac:dyDescent="0.35">
      <c r="A394" s="37" t="s">
        <v>127</v>
      </c>
      <c r="B394" s="12">
        <v>45663</v>
      </c>
      <c r="C394" s="10" t="s">
        <v>15</v>
      </c>
      <c r="D394" s="4" t="s">
        <v>128</v>
      </c>
      <c r="E394" s="253">
        <v>300</v>
      </c>
      <c r="F394" s="173">
        <v>45716</v>
      </c>
      <c r="G394" s="172">
        <v>45716</v>
      </c>
      <c r="H394" s="15">
        <v>0.58869000000000005</v>
      </c>
      <c r="I394" s="191">
        <v>0.22</v>
      </c>
      <c r="J394" s="9">
        <v>-110.60700000000003</v>
      </c>
      <c r="K394">
        <v>176.60700000000003</v>
      </c>
      <c r="L394" s="14" t="s">
        <v>62</v>
      </c>
      <c r="M394" s="8" t="s">
        <v>131</v>
      </c>
      <c r="N394">
        <v>66</v>
      </c>
      <c r="O394" s="38" t="s">
        <v>11</v>
      </c>
      <c r="P394" s="38" t="s">
        <v>16</v>
      </c>
      <c r="Q394">
        <v>2025</v>
      </c>
      <c r="R394" t="s">
        <v>131</v>
      </c>
      <c r="S394" t="s">
        <v>14</v>
      </c>
      <c r="T394" t="s">
        <v>566</v>
      </c>
      <c r="U394" t="str">
        <f>IFERROR(_xlfn.XLOOKUP(A394,'2025 EOY'!A:A,'2025 EOY'!B:B),"No")</f>
        <v>No</v>
      </c>
    </row>
    <row r="395" spans="1:32" x14ac:dyDescent="0.35">
      <c r="A395" s="37" t="s">
        <v>127</v>
      </c>
      <c r="B395" s="12">
        <v>45663</v>
      </c>
      <c r="C395" s="10" t="s">
        <v>15</v>
      </c>
      <c r="D395" s="4" t="s">
        <v>128</v>
      </c>
      <c r="E395" s="253">
        <v>-300</v>
      </c>
      <c r="F395" s="173">
        <v>45747</v>
      </c>
      <c r="G395" s="172">
        <v>45747</v>
      </c>
      <c r="H395" s="15">
        <v>0.38</v>
      </c>
      <c r="I395" s="191">
        <v>1.1299999999999999</v>
      </c>
      <c r="J395" s="9">
        <v>-224.99999999999997</v>
      </c>
      <c r="K395">
        <v>-114</v>
      </c>
      <c r="L395" s="14" t="s">
        <v>63</v>
      </c>
      <c r="M395" s="8" t="s">
        <v>129</v>
      </c>
      <c r="N395">
        <v>-338.99999999999994</v>
      </c>
      <c r="O395" s="38" t="s">
        <v>11</v>
      </c>
      <c r="P395" s="38" t="s">
        <v>16</v>
      </c>
      <c r="Q395">
        <v>2025</v>
      </c>
      <c r="R395" t="s">
        <v>129</v>
      </c>
      <c r="S395" t="s">
        <v>14</v>
      </c>
      <c r="T395" t="s">
        <v>567</v>
      </c>
      <c r="U395" t="str">
        <f>IFERROR(_xlfn.XLOOKUP(A395,'2025 EOY'!A:A,'2025 EOY'!B:B),"No")</f>
        <v>No</v>
      </c>
    </row>
    <row r="396" spans="1:32" x14ac:dyDescent="0.35">
      <c r="A396" s="37" t="s">
        <v>127</v>
      </c>
      <c r="B396" s="12">
        <v>45664</v>
      </c>
      <c r="C396" s="10" t="s">
        <v>15</v>
      </c>
      <c r="D396" s="4" t="s">
        <v>128</v>
      </c>
      <c r="E396" s="253">
        <v>700</v>
      </c>
      <c r="F396" s="173">
        <v>45716</v>
      </c>
      <c r="G396" s="172">
        <v>45716</v>
      </c>
      <c r="H396" s="15">
        <v>0.64868999999999999</v>
      </c>
      <c r="I396" s="191">
        <v>0.22</v>
      </c>
      <c r="J396" s="9">
        <v>-300.08300000000003</v>
      </c>
      <c r="K396">
        <v>454.08299999999997</v>
      </c>
      <c r="L396" s="14" t="s">
        <v>62</v>
      </c>
      <c r="M396" s="8" t="s">
        <v>131</v>
      </c>
      <c r="N396">
        <v>154</v>
      </c>
      <c r="O396" s="38" t="s">
        <v>11</v>
      </c>
      <c r="P396" s="38" t="s">
        <v>16</v>
      </c>
      <c r="Q396">
        <v>2025</v>
      </c>
      <c r="R396" t="s">
        <v>131</v>
      </c>
      <c r="S396" t="s">
        <v>14</v>
      </c>
      <c r="T396" t="s">
        <v>568</v>
      </c>
      <c r="U396" t="str">
        <f>IFERROR(_xlfn.XLOOKUP(A396,'2025 EOY'!A:A,'2025 EOY'!B:B),"No")</f>
        <v>No</v>
      </c>
    </row>
    <row r="397" spans="1:32" x14ac:dyDescent="0.35">
      <c r="A397" s="37" t="s">
        <v>127</v>
      </c>
      <c r="B397" s="12">
        <v>45665</v>
      </c>
      <c r="C397" s="10" t="s">
        <v>15</v>
      </c>
      <c r="D397" s="4" t="s">
        <v>128</v>
      </c>
      <c r="E397" s="253">
        <v>800</v>
      </c>
      <c r="F397" s="173">
        <v>45716</v>
      </c>
      <c r="G397" s="172">
        <v>45716</v>
      </c>
      <c r="H397" s="15">
        <v>0.66769000000000001</v>
      </c>
      <c r="I397" s="191">
        <v>0.22</v>
      </c>
      <c r="J397" s="9">
        <v>-358.15200000000004</v>
      </c>
      <c r="K397">
        <v>534.15200000000004</v>
      </c>
      <c r="L397" s="14" t="s">
        <v>62</v>
      </c>
      <c r="M397" s="8" t="s">
        <v>131</v>
      </c>
      <c r="N397">
        <v>176</v>
      </c>
      <c r="O397" s="38" t="s">
        <v>11</v>
      </c>
      <c r="P397" s="38" t="s">
        <v>16</v>
      </c>
      <c r="Q397">
        <v>2025</v>
      </c>
      <c r="R397" t="s">
        <v>131</v>
      </c>
      <c r="S397" t="s">
        <v>14</v>
      </c>
      <c r="T397" t="s">
        <v>569</v>
      </c>
      <c r="U397" t="str">
        <f>IFERROR(_xlfn.XLOOKUP(A397,'2025 EOY'!A:A,'2025 EOY'!B:B),"No")</f>
        <v>No</v>
      </c>
      <c r="AB397" t="s">
        <v>570</v>
      </c>
    </row>
    <row r="398" spans="1:32" x14ac:dyDescent="0.35">
      <c r="A398" s="37" t="s">
        <v>127</v>
      </c>
      <c r="B398" s="12">
        <v>45664</v>
      </c>
      <c r="C398" s="10" t="s">
        <v>15</v>
      </c>
      <c r="D398" s="4" t="s">
        <v>128</v>
      </c>
      <c r="E398" s="253">
        <v>-700</v>
      </c>
      <c r="F398" s="173">
        <v>45747</v>
      </c>
      <c r="G398" s="172">
        <v>45747</v>
      </c>
      <c r="H398" s="15">
        <v>0.40500000000000003</v>
      </c>
      <c r="I398" s="191">
        <v>1.1299999999999999</v>
      </c>
      <c r="J398" s="9">
        <v>-507.49999999999989</v>
      </c>
      <c r="K398">
        <v>-283.5</v>
      </c>
      <c r="L398" s="14" t="s">
        <v>63</v>
      </c>
      <c r="M398" s="8" t="s">
        <v>129</v>
      </c>
      <c r="N398">
        <v>-790.99999999999989</v>
      </c>
      <c r="O398" s="38" t="s">
        <v>11</v>
      </c>
      <c r="P398" s="38" t="s">
        <v>16</v>
      </c>
      <c r="Q398">
        <v>2025</v>
      </c>
      <c r="R398" t="s">
        <v>129</v>
      </c>
      <c r="S398" t="s">
        <v>14</v>
      </c>
      <c r="T398" t="s">
        <v>571</v>
      </c>
      <c r="U398" t="str">
        <f>IFERROR(_xlfn.XLOOKUP(A398,'2025 EOY'!A:A,'2025 EOY'!B:B),"No")</f>
        <v>No</v>
      </c>
      <c r="AC398" t="s">
        <v>572</v>
      </c>
    </row>
    <row r="399" spans="1:32" x14ac:dyDescent="0.35">
      <c r="A399" s="37" t="s">
        <v>127</v>
      </c>
      <c r="B399" s="12">
        <v>45665</v>
      </c>
      <c r="C399" s="10" t="s">
        <v>15</v>
      </c>
      <c r="D399" s="4" t="s">
        <v>128</v>
      </c>
      <c r="E399" s="253">
        <v>-800</v>
      </c>
      <c r="F399" s="173">
        <v>45747</v>
      </c>
      <c r="G399" s="172">
        <v>45747</v>
      </c>
      <c r="H399" s="15">
        <v>0.44629999999999997</v>
      </c>
      <c r="I399" s="191">
        <v>1.1299999999999999</v>
      </c>
      <c r="J399" s="9">
        <v>-546.96</v>
      </c>
      <c r="K399">
        <v>-357.03999999999996</v>
      </c>
      <c r="L399" s="14" t="s">
        <v>63</v>
      </c>
      <c r="M399" s="8" t="s">
        <v>129</v>
      </c>
      <c r="N399">
        <v>-903.99999999999989</v>
      </c>
      <c r="O399" s="38" t="s">
        <v>11</v>
      </c>
      <c r="P399" s="38" t="s">
        <v>16</v>
      </c>
      <c r="Q399">
        <v>2025</v>
      </c>
      <c r="R399" t="s">
        <v>129</v>
      </c>
      <c r="S399" t="s">
        <v>14</v>
      </c>
      <c r="T399" t="s">
        <v>573</v>
      </c>
      <c r="U399" t="str">
        <f>IFERROR(_xlfn.XLOOKUP(A399,'2025 EOY'!A:A,'2025 EOY'!B:B),"No")</f>
        <v>No</v>
      </c>
      <c r="AB399" s="4" t="s">
        <v>574</v>
      </c>
      <c r="AC399" s="112">
        <v>3.71</v>
      </c>
      <c r="AE399" s="112">
        <v>3.71</v>
      </c>
    </row>
    <row r="400" spans="1:32" x14ac:dyDescent="0.35">
      <c r="A400" s="37" t="s">
        <v>127</v>
      </c>
      <c r="B400" s="12">
        <v>45664</v>
      </c>
      <c r="C400" s="10" t="s">
        <v>22</v>
      </c>
      <c r="D400" s="4" t="s">
        <v>128</v>
      </c>
      <c r="E400" s="253">
        <v>700</v>
      </c>
      <c r="F400" s="173" t="s">
        <v>575</v>
      </c>
      <c r="G400" s="172">
        <v>45688</v>
      </c>
      <c r="H400" s="15">
        <v>0.72</v>
      </c>
      <c r="I400" s="191">
        <v>0.36199999999999999</v>
      </c>
      <c r="J400" s="9">
        <v>-250.6</v>
      </c>
      <c r="K400">
        <v>504</v>
      </c>
      <c r="L400" s="14" t="s">
        <v>72</v>
      </c>
      <c r="M400" s="8" t="s">
        <v>131</v>
      </c>
      <c r="N400">
        <v>253.4</v>
      </c>
      <c r="O400" s="38" t="s">
        <v>11</v>
      </c>
      <c r="P400" s="38" t="s">
        <v>16</v>
      </c>
      <c r="Q400">
        <v>2025</v>
      </c>
      <c r="R400" t="s">
        <v>131</v>
      </c>
      <c r="S400" t="s">
        <v>14</v>
      </c>
      <c r="T400" t="s">
        <v>576</v>
      </c>
      <c r="U400" t="str">
        <f>IFERROR(_xlfn.XLOOKUP(A400,'2025 EOY'!A:A,'2025 EOY'!B:B),"No")</f>
        <v>No</v>
      </c>
      <c r="AB400" s="4" t="s">
        <v>577</v>
      </c>
      <c r="AC400" s="112">
        <v>5.29</v>
      </c>
      <c r="AD400" s="91">
        <v>1.58</v>
      </c>
      <c r="AE400" s="112">
        <v>4.91</v>
      </c>
      <c r="AF400" s="91">
        <v>1.2000000000000002</v>
      </c>
    </row>
    <row r="401" spans="1:32" x14ac:dyDescent="0.35">
      <c r="A401" s="21" t="s">
        <v>127</v>
      </c>
      <c r="B401" s="175">
        <v>45666</v>
      </c>
      <c r="C401" s="22" t="s">
        <v>15</v>
      </c>
      <c r="D401" s="23" t="s">
        <v>128</v>
      </c>
      <c r="E401" s="256">
        <v>500</v>
      </c>
      <c r="F401" s="92">
        <v>45716</v>
      </c>
      <c r="G401" s="24">
        <v>45716</v>
      </c>
      <c r="H401" s="207">
        <v>0.67869000000000002</v>
      </c>
      <c r="I401" s="196">
        <v>0.22</v>
      </c>
      <c r="J401" s="25">
        <v>-229.34500000000003</v>
      </c>
      <c r="K401" s="26">
        <v>339.34500000000003</v>
      </c>
      <c r="L401" s="14" t="s">
        <v>62</v>
      </c>
      <c r="M401" s="27" t="s">
        <v>131</v>
      </c>
      <c r="N401" s="26">
        <v>110</v>
      </c>
      <c r="O401" s="28" t="s">
        <v>11</v>
      </c>
      <c r="P401" s="38" t="s">
        <v>16</v>
      </c>
      <c r="Q401">
        <v>2025</v>
      </c>
      <c r="R401" t="s">
        <v>131</v>
      </c>
      <c r="S401" t="s">
        <v>14</v>
      </c>
      <c r="T401" t="s">
        <v>578</v>
      </c>
      <c r="U401" t="str">
        <f>IFERROR(_xlfn.XLOOKUP(A401,'2025 EOY'!A:A,'2025 EOY'!B:B),"No")</f>
        <v>No</v>
      </c>
      <c r="AB401" s="4" t="s">
        <v>579</v>
      </c>
      <c r="AC401" s="4">
        <v>5.34</v>
      </c>
      <c r="AD401" s="91">
        <v>4.9999999999999822E-2</v>
      </c>
      <c r="AE401" s="4">
        <v>5.34</v>
      </c>
      <c r="AF401" s="91">
        <v>0.42999999999999972</v>
      </c>
    </row>
    <row r="402" spans="1:32" x14ac:dyDescent="0.35">
      <c r="A402" s="37" t="s">
        <v>127</v>
      </c>
      <c r="B402" s="12">
        <v>45666</v>
      </c>
      <c r="C402" s="10" t="s">
        <v>15</v>
      </c>
      <c r="D402" s="4" t="s">
        <v>128</v>
      </c>
      <c r="E402" s="253">
        <v>-500</v>
      </c>
      <c r="F402" s="173">
        <v>45747</v>
      </c>
      <c r="G402" s="172">
        <v>45747</v>
      </c>
      <c r="H402" s="15">
        <v>0.42</v>
      </c>
      <c r="I402" s="191">
        <v>1.1299999999999999</v>
      </c>
      <c r="J402" s="9">
        <v>-355</v>
      </c>
      <c r="K402">
        <v>-210</v>
      </c>
      <c r="L402" s="14" t="s">
        <v>63</v>
      </c>
      <c r="M402" s="8" t="s">
        <v>129</v>
      </c>
      <c r="N402">
        <v>-565</v>
      </c>
      <c r="O402" s="38" t="s">
        <v>11</v>
      </c>
      <c r="P402" s="38" t="s">
        <v>16</v>
      </c>
      <c r="Q402">
        <v>2025</v>
      </c>
      <c r="R402" t="s">
        <v>129</v>
      </c>
      <c r="S402" t="s">
        <v>14</v>
      </c>
      <c r="T402" t="s">
        <v>580</v>
      </c>
      <c r="U402" t="str">
        <f>IFERROR(_xlfn.XLOOKUP(A402,'2025 EOY'!A:A,'2025 EOY'!B:B),"No")</f>
        <v>No</v>
      </c>
      <c r="AB402" s="4"/>
      <c r="AC402" s="4">
        <v>1.63</v>
      </c>
      <c r="AE402" s="4"/>
      <c r="AF402" s="91">
        <v>1.63</v>
      </c>
    </row>
    <row r="403" spans="1:32" x14ac:dyDescent="0.35">
      <c r="A403" s="37" t="s">
        <v>127</v>
      </c>
      <c r="B403" s="12">
        <v>45665</v>
      </c>
      <c r="C403" s="10" t="s">
        <v>22</v>
      </c>
      <c r="D403" s="4" t="s">
        <v>128</v>
      </c>
      <c r="E403" s="253">
        <v>300</v>
      </c>
      <c r="F403" s="173" t="s">
        <v>575</v>
      </c>
      <c r="G403" s="172">
        <v>45688</v>
      </c>
      <c r="H403" s="15">
        <v>0.45</v>
      </c>
      <c r="I403" s="191">
        <v>0.36199999999999999</v>
      </c>
      <c r="J403" s="9">
        <v>-26.400000000000006</v>
      </c>
      <c r="K403">
        <v>135</v>
      </c>
      <c r="L403" s="14" t="s">
        <v>72</v>
      </c>
      <c r="M403" s="8" t="s">
        <v>131</v>
      </c>
      <c r="N403">
        <v>108.6</v>
      </c>
      <c r="O403" s="38" t="s">
        <v>11</v>
      </c>
      <c r="P403" s="38" t="s">
        <v>16</v>
      </c>
      <c r="Q403">
        <v>2025</v>
      </c>
      <c r="R403" t="s">
        <v>131</v>
      </c>
      <c r="S403" t="s">
        <v>14</v>
      </c>
      <c r="T403" t="s">
        <v>581</v>
      </c>
      <c r="U403" t="str">
        <f>IFERROR(_xlfn.XLOOKUP(A403,'2025 EOY'!A:A,'2025 EOY'!B:B),"No")</f>
        <v>No</v>
      </c>
    </row>
    <row r="404" spans="1:32" x14ac:dyDescent="0.35">
      <c r="A404" s="37" t="s">
        <v>127</v>
      </c>
      <c r="B404" s="12">
        <v>45665</v>
      </c>
      <c r="C404" s="10" t="s">
        <v>3</v>
      </c>
      <c r="D404" s="4" t="s">
        <v>128</v>
      </c>
      <c r="E404" s="253">
        <v>2000</v>
      </c>
      <c r="F404" s="172">
        <v>45716</v>
      </c>
      <c r="G404" s="172">
        <v>45747</v>
      </c>
      <c r="H404" s="15">
        <v>0.65</v>
      </c>
      <c r="I404" s="192">
        <v>0.49</v>
      </c>
      <c r="J404" s="9">
        <v>-320.00000000000006</v>
      </c>
      <c r="K404">
        <v>1300</v>
      </c>
      <c r="L404" s="14" t="s">
        <v>54</v>
      </c>
      <c r="M404" s="8" t="s">
        <v>131</v>
      </c>
      <c r="N404">
        <v>980</v>
      </c>
      <c r="O404" s="38" t="s">
        <v>4</v>
      </c>
      <c r="P404" s="38" t="s">
        <v>3</v>
      </c>
      <c r="Q404">
        <v>2025</v>
      </c>
      <c r="R404" t="s">
        <v>131</v>
      </c>
      <c r="S404" t="s">
        <v>14</v>
      </c>
      <c r="T404" t="s">
        <v>582</v>
      </c>
      <c r="U404" t="str">
        <f>IFERROR(_xlfn.XLOOKUP(A404,'2025 EOY'!A:A,'2025 EOY'!B:B),"No")</f>
        <v>No</v>
      </c>
    </row>
    <row r="405" spans="1:32" x14ac:dyDescent="0.35">
      <c r="A405" s="37" t="s">
        <v>127</v>
      </c>
      <c r="B405" s="12">
        <v>45665</v>
      </c>
      <c r="C405" s="10" t="s">
        <v>10</v>
      </c>
      <c r="D405" s="4" t="s">
        <v>128</v>
      </c>
      <c r="E405" s="253">
        <v>2000</v>
      </c>
      <c r="F405" s="172">
        <v>45747</v>
      </c>
      <c r="G405" s="172">
        <v>45747</v>
      </c>
      <c r="H405" s="120">
        <v>-3.49</v>
      </c>
      <c r="I405" s="192">
        <v>-4.2300000000000004</v>
      </c>
      <c r="J405" s="9">
        <v>-1480.0000000000005</v>
      </c>
      <c r="K405">
        <v>-6980</v>
      </c>
      <c r="L405" s="14" t="s">
        <v>63</v>
      </c>
      <c r="M405" s="8" t="s">
        <v>131</v>
      </c>
      <c r="N405">
        <v>-8460</v>
      </c>
      <c r="O405" s="38" t="s">
        <v>11</v>
      </c>
      <c r="P405" s="38" t="s">
        <v>10</v>
      </c>
      <c r="Q405">
        <v>2025</v>
      </c>
      <c r="R405" t="s">
        <v>131</v>
      </c>
      <c r="S405" t="s">
        <v>14</v>
      </c>
      <c r="T405" t="s">
        <v>583</v>
      </c>
      <c r="U405" t="str">
        <f>IFERROR(_xlfn.XLOOKUP(A405,'2025 EOY'!A:A,'2025 EOY'!B:B),"No")</f>
        <v>No</v>
      </c>
    </row>
    <row r="406" spans="1:32" x14ac:dyDescent="0.35">
      <c r="A406" s="37" t="s">
        <v>127</v>
      </c>
      <c r="B406" s="12">
        <v>45665</v>
      </c>
      <c r="C406" s="10" t="s">
        <v>7</v>
      </c>
      <c r="D406" s="4" t="s">
        <v>128</v>
      </c>
      <c r="E406" s="253">
        <v>2000</v>
      </c>
      <c r="F406" s="172">
        <v>45747</v>
      </c>
      <c r="G406" s="172">
        <v>45777</v>
      </c>
      <c r="H406" s="15">
        <v>0.57999999999999996</v>
      </c>
      <c r="I406" s="192">
        <v>1.0900000000000001</v>
      </c>
      <c r="J406" s="9">
        <v>1020.0000000000002</v>
      </c>
      <c r="K406">
        <v>1160</v>
      </c>
      <c r="L406" s="14" t="s">
        <v>56</v>
      </c>
      <c r="M406" s="8" t="s">
        <v>131</v>
      </c>
      <c r="N406">
        <v>2180</v>
      </c>
      <c r="O406" s="38" t="s">
        <v>4</v>
      </c>
      <c r="P406" s="38" t="s">
        <v>7</v>
      </c>
      <c r="Q406">
        <v>2025</v>
      </c>
      <c r="R406" t="s">
        <v>131</v>
      </c>
      <c r="S406" t="s">
        <v>14</v>
      </c>
      <c r="T406" t="s">
        <v>584</v>
      </c>
      <c r="U406" t="str">
        <f>IFERROR(_xlfn.XLOOKUP(A406,'2025 EOY'!A:A,'2025 EOY'!B:B),"No")</f>
        <v>No</v>
      </c>
      <c r="W406" s="98"/>
    </row>
    <row r="407" spans="1:32" x14ac:dyDescent="0.35">
      <c r="A407" s="37" t="s">
        <v>127</v>
      </c>
      <c r="B407" s="12">
        <v>45665</v>
      </c>
      <c r="C407" s="10" t="s">
        <v>10</v>
      </c>
      <c r="D407" s="4" t="s">
        <v>128</v>
      </c>
      <c r="E407" s="253">
        <v>300</v>
      </c>
      <c r="F407" s="172">
        <v>45747</v>
      </c>
      <c r="G407" s="172">
        <v>45747</v>
      </c>
      <c r="H407" s="120">
        <v>-3.5</v>
      </c>
      <c r="I407" s="192">
        <v>-4.2300000000000004</v>
      </c>
      <c r="J407" s="9">
        <v>-219.00000000000011</v>
      </c>
      <c r="K407">
        <v>-1050</v>
      </c>
      <c r="L407" s="14" t="s">
        <v>63</v>
      </c>
      <c r="M407" s="8" t="s">
        <v>131</v>
      </c>
      <c r="N407">
        <v>-1269.0000000000002</v>
      </c>
      <c r="O407" s="38" t="s">
        <v>11</v>
      </c>
      <c r="P407" s="38" t="s">
        <v>10</v>
      </c>
      <c r="Q407">
        <v>2025</v>
      </c>
      <c r="R407" t="s">
        <v>131</v>
      </c>
      <c r="S407" t="s">
        <v>14</v>
      </c>
      <c r="T407" t="s">
        <v>585</v>
      </c>
      <c r="U407" t="str">
        <f>IFERROR(_xlfn.XLOOKUP(A407,'2025 EOY'!A:A,'2025 EOY'!B:B),"No")</f>
        <v>No</v>
      </c>
    </row>
    <row r="408" spans="1:32" x14ac:dyDescent="0.35">
      <c r="A408" s="37" t="s">
        <v>127</v>
      </c>
      <c r="B408" s="12">
        <v>45665</v>
      </c>
      <c r="C408" s="10" t="s">
        <v>7</v>
      </c>
      <c r="D408" s="4" t="s">
        <v>128</v>
      </c>
      <c r="E408" s="253">
        <v>2000</v>
      </c>
      <c r="F408" s="172">
        <v>45777</v>
      </c>
      <c r="G408" s="172">
        <v>45808</v>
      </c>
      <c r="H408" s="15">
        <v>0.47</v>
      </c>
      <c r="I408" s="192">
        <v>0.37</v>
      </c>
      <c r="J408" s="9">
        <v>-199.99999999999994</v>
      </c>
      <c r="K408">
        <v>940</v>
      </c>
      <c r="L408" s="14" t="s">
        <v>57</v>
      </c>
      <c r="M408" s="8" t="s">
        <v>131</v>
      </c>
      <c r="N408">
        <v>740</v>
      </c>
      <c r="O408" s="38" t="s">
        <v>4</v>
      </c>
      <c r="P408" s="38" t="s">
        <v>7</v>
      </c>
      <c r="Q408">
        <v>2025</v>
      </c>
      <c r="R408" t="s">
        <v>131</v>
      </c>
      <c r="S408" t="s">
        <v>14</v>
      </c>
      <c r="T408" t="s">
        <v>586</v>
      </c>
      <c r="U408" t="str">
        <f>IFERROR(_xlfn.XLOOKUP(A408,'2025 EOY'!A:A,'2025 EOY'!B:B),"No")</f>
        <v>No</v>
      </c>
    </row>
    <row r="409" spans="1:32" x14ac:dyDescent="0.35">
      <c r="A409" s="21" t="s">
        <v>188</v>
      </c>
      <c r="B409" s="175">
        <v>45666</v>
      </c>
      <c r="C409" s="99" t="s">
        <v>28</v>
      </c>
      <c r="D409" s="22" t="s">
        <v>268</v>
      </c>
      <c r="E409" s="256">
        <v>-2000</v>
      </c>
      <c r="F409" s="24">
        <v>45716</v>
      </c>
      <c r="G409" s="24">
        <v>45716</v>
      </c>
      <c r="H409" s="207">
        <v>6400</v>
      </c>
      <c r="I409" s="199">
        <v>9300</v>
      </c>
      <c r="J409" s="25">
        <v>-2900</v>
      </c>
      <c r="K409" s="26">
        <v>-12800000</v>
      </c>
      <c r="L409" s="14" t="s">
        <v>62</v>
      </c>
      <c r="M409" s="27" t="s">
        <v>129</v>
      </c>
      <c r="N409" s="26">
        <v>-18600000</v>
      </c>
      <c r="O409" s="28" t="s">
        <v>29</v>
      </c>
      <c r="P409" s="38" t="s">
        <v>29</v>
      </c>
      <c r="Q409">
        <v>2025</v>
      </c>
      <c r="R409" t="s">
        <v>129</v>
      </c>
      <c r="S409" t="s">
        <v>14</v>
      </c>
      <c r="T409" t="s">
        <v>587</v>
      </c>
      <c r="U409" t="str">
        <f>IFERROR(_xlfn.XLOOKUP(A409,'2025 EOY'!A:A,'2025 EOY'!B:B),"No")</f>
        <v>No</v>
      </c>
    </row>
    <row r="410" spans="1:32" x14ac:dyDescent="0.35">
      <c r="A410" s="21" t="s">
        <v>188</v>
      </c>
      <c r="B410" s="175">
        <v>45666</v>
      </c>
      <c r="C410" s="99" t="s">
        <v>28</v>
      </c>
      <c r="D410" s="22" t="s">
        <v>128</v>
      </c>
      <c r="E410" s="256">
        <v>2000</v>
      </c>
      <c r="F410" s="24">
        <v>45716</v>
      </c>
      <c r="G410" s="24">
        <v>45716</v>
      </c>
      <c r="H410" s="207">
        <v>9300</v>
      </c>
      <c r="I410" s="199">
        <v>9300</v>
      </c>
      <c r="J410" s="25">
        <v>0</v>
      </c>
      <c r="K410" s="26">
        <v>18600000</v>
      </c>
      <c r="L410" s="14" t="s">
        <v>62</v>
      </c>
      <c r="M410" s="27" t="s">
        <v>131</v>
      </c>
      <c r="N410" s="26">
        <v>18600000</v>
      </c>
      <c r="O410" s="28" t="s">
        <v>29</v>
      </c>
      <c r="P410" s="38" t="s">
        <v>29</v>
      </c>
      <c r="Q410">
        <v>2025</v>
      </c>
      <c r="R410" t="s">
        <v>131</v>
      </c>
      <c r="S410" t="s">
        <v>14</v>
      </c>
      <c r="T410" t="s">
        <v>588</v>
      </c>
      <c r="U410" t="str">
        <f>IFERROR(_xlfn.XLOOKUP(A410,'2025 EOY'!A:A,'2025 EOY'!B:B),"No")</f>
        <v>No</v>
      </c>
    </row>
    <row r="411" spans="1:32" x14ac:dyDescent="0.35">
      <c r="A411" s="37" t="s">
        <v>188</v>
      </c>
      <c r="B411" s="12">
        <v>45666</v>
      </c>
      <c r="C411" s="10" t="s">
        <v>19</v>
      </c>
      <c r="D411" s="10" t="s">
        <v>268</v>
      </c>
      <c r="E411" s="259">
        <v>2068</v>
      </c>
      <c r="F411" s="172">
        <v>45716</v>
      </c>
      <c r="G411" s="172">
        <v>45716</v>
      </c>
      <c r="H411" s="15">
        <v>3.2747775628626692</v>
      </c>
      <c r="I411" s="192">
        <v>3.95</v>
      </c>
      <c r="J411" s="9">
        <v>1396.3600000000006</v>
      </c>
      <c r="K411">
        <v>6772.24</v>
      </c>
      <c r="L411" s="14" t="s">
        <v>62</v>
      </c>
      <c r="M411" s="8" t="s">
        <v>131</v>
      </c>
      <c r="N411">
        <v>8168.6</v>
      </c>
      <c r="O411" s="38" t="s">
        <v>19</v>
      </c>
      <c r="P411" s="38" t="s">
        <v>19</v>
      </c>
      <c r="Q411">
        <v>2025</v>
      </c>
      <c r="R411" t="s">
        <v>131</v>
      </c>
      <c r="S411" t="s">
        <v>96</v>
      </c>
      <c r="T411" t="s">
        <v>589</v>
      </c>
      <c r="U411" t="str">
        <f>IFERROR(_xlfn.XLOOKUP(A411,'2025 EOY'!A:A,'2025 EOY'!B:B),"No")</f>
        <v>No</v>
      </c>
    </row>
    <row r="412" spans="1:32" x14ac:dyDescent="0.35">
      <c r="A412" s="37" t="s">
        <v>188</v>
      </c>
      <c r="B412" s="12">
        <v>45666</v>
      </c>
      <c r="C412" s="10" t="s">
        <v>3</v>
      </c>
      <c r="D412" s="4" t="s">
        <v>268</v>
      </c>
      <c r="E412" s="253">
        <v>-2068</v>
      </c>
      <c r="F412" s="172">
        <v>45716</v>
      </c>
      <c r="G412" s="172">
        <v>45747</v>
      </c>
      <c r="H412" s="15">
        <v>0.68000000000000682</v>
      </c>
      <c r="I412" s="192">
        <v>0.49</v>
      </c>
      <c r="J412" s="9">
        <v>392.92000000001411</v>
      </c>
      <c r="K412">
        <v>-1406.2400000000141</v>
      </c>
      <c r="L412" s="14" t="s">
        <v>54</v>
      </c>
      <c r="M412" s="8" t="s">
        <v>129</v>
      </c>
      <c r="N412">
        <v>-1013.3199999999999</v>
      </c>
      <c r="O412" s="38" t="s">
        <v>4</v>
      </c>
      <c r="P412" s="38" t="s">
        <v>3</v>
      </c>
      <c r="Q412">
        <v>2025</v>
      </c>
      <c r="R412" t="s">
        <v>129</v>
      </c>
      <c r="S412" t="s">
        <v>14</v>
      </c>
      <c r="T412" t="s">
        <v>590</v>
      </c>
      <c r="U412" t="str">
        <f>IFERROR(_xlfn.XLOOKUP(A412,'2025 EOY'!A:A,'2025 EOY'!B:B),"No")</f>
        <v>No</v>
      </c>
    </row>
    <row r="413" spans="1:32" x14ac:dyDescent="0.35">
      <c r="A413" s="37" t="s">
        <v>188</v>
      </c>
      <c r="B413" s="12">
        <v>45666</v>
      </c>
      <c r="C413" s="10" t="s">
        <v>3</v>
      </c>
      <c r="D413" s="4" t="s">
        <v>268</v>
      </c>
      <c r="E413" s="253">
        <v>-2068</v>
      </c>
      <c r="F413" s="172">
        <v>45747</v>
      </c>
      <c r="G413" s="172">
        <v>45777</v>
      </c>
      <c r="H413" s="15">
        <v>0.53999999999999204</v>
      </c>
      <c r="I413" s="192">
        <v>0.15</v>
      </c>
      <c r="J413" s="9">
        <v>806.5199999999835</v>
      </c>
      <c r="K413">
        <v>-1116.7199999999834</v>
      </c>
      <c r="L413" s="14" t="s">
        <v>56</v>
      </c>
      <c r="M413" s="8" t="s">
        <v>129</v>
      </c>
      <c r="N413">
        <v>-310.2</v>
      </c>
      <c r="O413" s="38" t="s">
        <v>4</v>
      </c>
      <c r="P413" s="38" t="s">
        <v>3</v>
      </c>
      <c r="Q413">
        <v>2025</v>
      </c>
      <c r="R413" t="s">
        <v>129</v>
      </c>
      <c r="S413" t="s">
        <v>14</v>
      </c>
      <c r="T413" t="s">
        <v>591</v>
      </c>
      <c r="U413" t="str">
        <f>IFERROR(_xlfn.XLOOKUP(A413,'2025 EOY'!A:A,'2025 EOY'!B:B),"No")</f>
        <v>No</v>
      </c>
    </row>
    <row r="414" spans="1:32" x14ac:dyDescent="0.35">
      <c r="A414" s="37" t="s">
        <v>188</v>
      </c>
      <c r="B414" s="12">
        <v>45666</v>
      </c>
      <c r="C414" s="10" t="s">
        <v>10</v>
      </c>
      <c r="D414" s="4" t="s">
        <v>268</v>
      </c>
      <c r="E414" s="253">
        <v>-2068</v>
      </c>
      <c r="F414" s="172">
        <v>45777</v>
      </c>
      <c r="G414" s="172">
        <v>45777</v>
      </c>
      <c r="H414" s="15">
        <v>-3.5499999999999972</v>
      </c>
      <c r="I414" s="192">
        <v>-3.42</v>
      </c>
      <c r="J414" s="9">
        <v>-268.83999999999429</v>
      </c>
      <c r="K414">
        <v>7341.3999999999942</v>
      </c>
      <c r="L414" s="14" t="s">
        <v>64</v>
      </c>
      <c r="M414" s="8" t="s">
        <v>129</v>
      </c>
      <c r="N414">
        <v>7072.5599999999995</v>
      </c>
      <c r="O414" s="38" t="s">
        <v>11</v>
      </c>
      <c r="P414" s="38" t="s">
        <v>10</v>
      </c>
      <c r="Q414">
        <v>2025</v>
      </c>
      <c r="R414" t="s">
        <v>129</v>
      </c>
      <c r="S414" t="s">
        <v>14</v>
      </c>
      <c r="T414" t="s">
        <v>592</v>
      </c>
      <c r="U414" t="str">
        <f>IFERROR(_xlfn.XLOOKUP(A414,'2025 EOY'!A:A,'2025 EOY'!B:B),"No")</f>
        <v>No</v>
      </c>
    </row>
    <row r="415" spans="1:32" x14ac:dyDescent="0.35">
      <c r="A415" s="37" t="s">
        <v>188</v>
      </c>
      <c r="B415" s="12">
        <v>45666</v>
      </c>
      <c r="C415" s="10" t="s">
        <v>7</v>
      </c>
      <c r="D415" s="4" t="s">
        <v>268</v>
      </c>
      <c r="E415" s="253">
        <v>-2068</v>
      </c>
      <c r="F415" s="172">
        <v>45777</v>
      </c>
      <c r="G415" s="172">
        <v>45808</v>
      </c>
      <c r="H415" s="15">
        <v>0.54</v>
      </c>
      <c r="I415" s="192">
        <v>0.37</v>
      </c>
      <c r="J415" s="9">
        <v>351.56000000000006</v>
      </c>
      <c r="K415">
        <v>-1116.72</v>
      </c>
      <c r="L415" s="14" t="s">
        <v>57</v>
      </c>
      <c r="M415" s="8" t="s">
        <v>129</v>
      </c>
      <c r="N415">
        <v>-765.16</v>
      </c>
      <c r="O415" s="38" t="s">
        <v>4</v>
      </c>
      <c r="P415" s="38" t="s">
        <v>7</v>
      </c>
      <c r="Q415">
        <v>2025</v>
      </c>
      <c r="R415" t="s">
        <v>129</v>
      </c>
      <c r="S415" t="s">
        <v>14</v>
      </c>
      <c r="T415" t="s">
        <v>593</v>
      </c>
      <c r="U415" t="str">
        <f>IFERROR(_xlfn.XLOOKUP(A415,'2025 EOY'!A:A,'2025 EOY'!B:B),"No")</f>
        <v>No</v>
      </c>
    </row>
    <row r="416" spans="1:32" x14ac:dyDescent="0.35">
      <c r="A416" s="37" t="s">
        <v>188</v>
      </c>
      <c r="B416" s="12">
        <v>45666</v>
      </c>
      <c r="C416" s="10" t="s">
        <v>3</v>
      </c>
      <c r="D416" s="4" t="s">
        <v>128</v>
      </c>
      <c r="E416" s="253">
        <v>2000</v>
      </c>
      <c r="F416" s="172">
        <v>45716</v>
      </c>
      <c r="G416" s="172">
        <v>45747</v>
      </c>
      <c r="H416" s="15">
        <v>0.68000000000000682</v>
      </c>
      <c r="I416" s="192">
        <v>0.49</v>
      </c>
      <c r="J416" s="9">
        <v>-380.00000000001364</v>
      </c>
      <c r="K416">
        <v>1360.0000000000136</v>
      </c>
      <c r="L416" s="14" t="s">
        <v>54</v>
      </c>
      <c r="M416" s="8" t="s">
        <v>131</v>
      </c>
      <c r="N416">
        <v>980</v>
      </c>
      <c r="O416" s="38" t="s">
        <v>4</v>
      </c>
      <c r="P416" s="38" t="s">
        <v>3</v>
      </c>
      <c r="Q416">
        <v>2025</v>
      </c>
      <c r="R416" t="s">
        <v>131</v>
      </c>
      <c r="S416" t="s">
        <v>14</v>
      </c>
      <c r="T416" t="s">
        <v>594</v>
      </c>
      <c r="U416" t="str">
        <f>IFERROR(_xlfn.XLOOKUP(A416,'2025 EOY'!A:A,'2025 EOY'!B:B),"No")</f>
        <v>No</v>
      </c>
    </row>
    <row r="417" spans="1:21" x14ac:dyDescent="0.35">
      <c r="A417" s="37" t="s">
        <v>188</v>
      </c>
      <c r="B417" s="12">
        <v>45666</v>
      </c>
      <c r="C417" s="10" t="s">
        <v>3</v>
      </c>
      <c r="D417" s="4" t="s">
        <v>128</v>
      </c>
      <c r="E417" s="253">
        <v>2000</v>
      </c>
      <c r="F417" s="172">
        <v>45747</v>
      </c>
      <c r="G417" s="172">
        <v>45777</v>
      </c>
      <c r="H417" s="15">
        <v>0.53999999999999204</v>
      </c>
      <c r="I417" s="192">
        <v>0.15</v>
      </c>
      <c r="J417" s="9">
        <v>-779.99999999998408</v>
      </c>
      <c r="K417">
        <v>1079.9999999999841</v>
      </c>
      <c r="L417" s="14" t="s">
        <v>56</v>
      </c>
      <c r="M417" s="8" t="s">
        <v>131</v>
      </c>
      <c r="N417">
        <v>300</v>
      </c>
      <c r="O417" s="38" t="s">
        <v>4</v>
      </c>
      <c r="P417" s="38" t="s">
        <v>3</v>
      </c>
      <c r="Q417">
        <v>2025</v>
      </c>
      <c r="R417" t="s">
        <v>131</v>
      </c>
      <c r="S417" t="s">
        <v>14</v>
      </c>
      <c r="T417" t="s">
        <v>595</v>
      </c>
      <c r="U417" t="str">
        <f>IFERROR(_xlfn.XLOOKUP(A417,'2025 EOY'!A:A,'2025 EOY'!B:B),"No")</f>
        <v>No</v>
      </c>
    </row>
    <row r="418" spans="1:21" x14ac:dyDescent="0.35">
      <c r="A418" s="37" t="s">
        <v>188</v>
      </c>
      <c r="B418" s="12">
        <v>45666</v>
      </c>
      <c r="C418" s="10" t="s">
        <v>10</v>
      </c>
      <c r="D418" s="4" t="s">
        <v>128</v>
      </c>
      <c r="E418" s="253">
        <v>2000</v>
      </c>
      <c r="F418" s="172">
        <v>45777</v>
      </c>
      <c r="G418" s="172">
        <v>45777</v>
      </c>
      <c r="H418" s="15">
        <v>-3.5499999999999972</v>
      </c>
      <c r="I418" s="192">
        <v>-3.42</v>
      </c>
      <c r="J418" s="9">
        <v>259.99999999999443</v>
      </c>
      <c r="K418">
        <v>-7099.9999999999945</v>
      </c>
      <c r="L418" s="14" t="s">
        <v>64</v>
      </c>
      <c r="M418" s="8" t="s">
        <v>131</v>
      </c>
      <c r="N418">
        <v>-6840</v>
      </c>
      <c r="O418" s="38" t="s">
        <v>11</v>
      </c>
      <c r="P418" s="38" t="s">
        <v>10</v>
      </c>
      <c r="Q418">
        <v>2025</v>
      </c>
      <c r="R418" t="s">
        <v>131</v>
      </c>
      <c r="S418" t="s">
        <v>14</v>
      </c>
      <c r="T418" t="s">
        <v>596</v>
      </c>
      <c r="U418" t="str">
        <f>IFERROR(_xlfn.XLOOKUP(A418,'2025 EOY'!A:A,'2025 EOY'!B:B),"No")</f>
        <v>No</v>
      </c>
    </row>
    <row r="419" spans="1:21" x14ac:dyDescent="0.35">
      <c r="A419" s="37" t="s">
        <v>188</v>
      </c>
      <c r="B419" s="12">
        <v>45666</v>
      </c>
      <c r="C419" s="10" t="s">
        <v>7</v>
      </c>
      <c r="D419" s="4" t="s">
        <v>128</v>
      </c>
      <c r="E419" s="253">
        <v>2000</v>
      </c>
      <c r="F419" s="172">
        <v>45777</v>
      </c>
      <c r="G419" s="172">
        <v>45808</v>
      </c>
      <c r="H419" s="15">
        <v>0.54</v>
      </c>
      <c r="I419" s="192">
        <v>0.37</v>
      </c>
      <c r="J419" s="9">
        <v>-340.00000000000006</v>
      </c>
      <c r="K419">
        <v>1080</v>
      </c>
      <c r="L419" s="14" t="s">
        <v>57</v>
      </c>
      <c r="M419" s="8" t="s">
        <v>131</v>
      </c>
      <c r="N419">
        <v>740</v>
      </c>
      <c r="O419" s="38" t="s">
        <v>4</v>
      </c>
      <c r="P419" s="38" t="s">
        <v>7</v>
      </c>
      <c r="Q419">
        <v>2025</v>
      </c>
      <c r="R419" t="s">
        <v>131</v>
      </c>
      <c r="S419" t="s">
        <v>14</v>
      </c>
      <c r="T419" t="s">
        <v>597</v>
      </c>
      <c r="U419" t="str">
        <f>IFERROR(_xlfn.XLOOKUP(A419,'2025 EOY'!A:A,'2025 EOY'!B:B),"No")</f>
        <v>No</v>
      </c>
    </row>
    <row r="420" spans="1:21" x14ac:dyDescent="0.35">
      <c r="A420" s="37" t="s">
        <v>127</v>
      </c>
      <c r="B420" s="12">
        <v>45681</v>
      </c>
      <c r="C420" s="10" t="s">
        <v>15</v>
      </c>
      <c r="D420" s="4" t="s">
        <v>128</v>
      </c>
      <c r="E420" s="253">
        <v>-1500</v>
      </c>
      <c r="F420" s="173">
        <v>45716</v>
      </c>
      <c r="G420" s="172">
        <v>45716</v>
      </c>
      <c r="H420" s="15">
        <v>0.96631</v>
      </c>
      <c r="I420" s="191">
        <v>0.22</v>
      </c>
      <c r="J420" s="9">
        <v>1119.4650000000001</v>
      </c>
      <c r="K420">
        <v>-1449.4649999999999</v>
      </c>
      <c r="L420" s="14" t="s">
        <v>62</v>
      </c>
      <c r="M420" s="8" t="s">
        <v>129</v>
      </c>
      <c r="N420">
        <v>-330</v>
      </c>
      <c r="O420" s="38" t="s">
        <v>11</v>
      </c>
      <c r="P420" s="38" t="s">
        <v>16</v>
      </c>
      <c r="Q420">
        <v>2025</v>
      </c>
      <c r="R420" t="s">
        <v>129</v>
      </c>
      <c r="S420" t="s">
        <v>14</v>
      </c>
      <c r="T420" t="s">
        <v>598</v>
      </c>
      <c r="U420" t="str">
        <f>IFERROR(_xlfn.XLOOKUP(A420,'2025 EOY'!A:A,'2025 EOY'!B:B),"No")</f>
        <v>No</v>
      </c>
    </row>
    <row r="421" spans="1:21" x14ac:dyDescent="0.35">
      <c r="A421" s="37" t="s">
        <v>127</v>
      </c>
      <c r="B421" s="12">
        <v>45679</v>
      </c>
      <c r="C421" s="10" t="s">
        <v>15</v>
      </c>
      <c r="D421" s="4" t="s">
        <v>128</v>
      </c>
      <c r="E421" s="253">
        <v>-300</v>
      </c>
      <c r="F421" s="173">
        <v>45747</v>
      </c>
      <c r="G421" s="172">
        <v>45747</v>
      </c>
      <c r="H421" s="15">
        <v>0.80830999999999997</v>
      </c>
      <c r="I421" s="191">
        <v>1.1299999999999999</v>
      </c>
      <c r="J421" s="9">
        <v>-96.506999999999977</v>
      </c>
      <c r="K421">
        <v>-242.49299999999999</v>
      </c>
      <c r="L421" s="14" t="s">
        <v>63</v>
      </c>
      <c r="M421" s="8" t="s">
        <v>129</v>
      </c>
      <c r="N421">
        <v>-338.99999999999994</v>
      </c>
      <c r="O421" s="38" t="s">
        <v>11</v>
      </c>
      <c r="P421" s="38" t="s">
        <v>16</v>
      </c>
      <c r="Q421">
        <v>2025</v>
      </c>
      <c r="R421" t="s">
        <v>129</v>
      </c>
      <c r="S421" t="s">
        <v>14</v>
      </c>
      <c r="T421" t="s">
        <v>599</v>
      </c>
      <c r="U421" t="str">
        <f>IFERROR(_xlfn.XLOOKUP(A421,'2025 EOY'!A:A,'2025 EOY'!B:B),"No")</f>
        <v>No</v>
      </c>
    </row>
    <row r="422" spans="1:21" x14ac:dyDescent="0.35">
      <c r="A422" s="37" t="s">
        <v>127</v>
      </c>
      <c r="B422" s="12">
        <v>45666</v>
      </c>
      <c r="C422" s="10" t="s">
        <v>10</v>
      </c>
      <c r="D422" s="4" t="s">
        <v>128</v>
      </c>
      <c r="E422" s="253">
        <v>300</v>
      </c>
      <c r="F422" s="172">
        <v>45747</v>
      </c>
      <c r="G422" s="172">
        <v>45747</v>
      </c>
      <c r="H422" s="120">
        <v>-3.53</v>
      </c>
      <c r="I422" s="192">
        <v>-4.2300000000000004</v>
      </c>
      <c r="J422" s="9">
        <v>-210.0000000000002</v>
      </c>
      <c r="K422">
        <v>-1059</v>
      </c>
      <c r="L422" s="14" t="s">
        <v>63</v>
      </c>
      <c r="M422" s="8" t="s">
        <v>131</v>
      </c>
      <c r="N422">
        <v>-1269.0000000000002</v>
      </c>
      <c r="O422" s="38" t="s">
        <v>11</v>
      </c>
      <c r="P422" s="38" t="s">
        <v>10</v>
      </c>
      <c r="Q422">
        <v>2025</v>
      </c>
      <c r="R422" t="s">
        <v>131</v>
      </c>
      <c r="S422" t="s">
        <v>14</v>
      </c>
      <c r="T422" t="s">
        <v>600</v>
      </c>
      <c r="U422" t="str">
        <f>IFERROR(_xlfn.XLOOKUP(A422,'2025 EOY'!A:A,'2025 EOY'!B:B),"No")</f>
        <v>No</v>
      </c>
    </row>
    <row r="423" spans="1:21" x14ac:dyDescent="0.35">
      <c r="A423" s="37" t="s">
        <v>127</v>
      </c>
      <c r="B423" s="12">
        <v>45666</v>
      </c>
      <c r="C423" s="10" t="s">
        <v>10</v>
      </c>
      <c r="D423" s="4" t="s">
        <v>128</v>
      </c>
      <c r="E423" s="253">
        <v>250</v>
      </c>
      <c r="F423" s="172">
        <v>45747</v>
      </c>
      <c r="G423" s="172">
        <v>45747</v>
      </c>
      <c r="H423" s="120">
        <v>-3.56</v>
      </c>
      <c r="I423" s="192">
        <v>-4.2300000000000004</v>
      </c>
      <c r="J423" s="9">
        <v>-167.50000000000009</v>
      </c>
      <c r="K423">
        <v>-890</v>
      </c>
      <c r="L423" s="14" t="s">
        <v>63</v>
      </c>
      <c r="M423" s="8" t="s">
        <v>131</v>
      </c>
      <c r="N423">
        <v>-1057.5</v>
      </c>
      <c r="O423" s="38" t="s">
        <v>11</v>
      </c>
      <c r="P423" s="38" t="s">
        <v>10</v>
      </c>
      <c r="Q423">
        <v>2025</v>
      </c>
      <c r="R423" t="s">
        <v>131</v>
      </c>
      <c r="S423" t="s">
        <v>14</v>
      </c>
      <c r="T423" t="s">
        <v>601</v>
      </c>
      <c r="U423" t="str">
        <f>IFERROR(_xlfn.XLOOKUP(A423,'2025 EOY'!A:A,'2025 EOY'!B:B),"No")</f>
        <v>No</v>
      </c>
    </row>
    <row r="424" spans="1:21" x14ac:dyDescent="0.35">
      <c r="A424" s="29" t="s">
        <v>127</v>
      </c>
      <c r="B424" s="176">
        <v>45666</v>
      </c>
      <c r="C424" s="30" t="s">
        <v>10</v>
      </c>
      <c r="D424" s="31" t="s">
        <v>128</v>
      </c>
      <c r="E424" s="257">
        <v>250</v>
      </c>
      <c r="F424" s="32">
        <v>45747</v>
      </c>
      <c r="G424" s="32">
        <v>45747</v>
      </c>
      <c r="H424" s="213">
        <v>-3.59</v>
      </c>
      <c r="I424" s="192">
        <v>-4.2300000000000004</v>
      </c>
      <c r="J424" s="33">
        <v>-160.00000000000014</v>
      </c>
      <c r="K424" s="34">
        <v>-897.5</v>
      </c>
      <c r="L424" s="14" t="s">
        <v>63</v>
      </c>
      <c r="M424" s="35" t="s">
        <v>131</v>
      </c>
      <c r="N424" s="34">
        <v>-1057.5</v>
      </c>
      <c r="O424" s="36" t="s">
        <v>11</v>
      </c>
      <c r="P424" s="38" t="s">
        <v>10</v>
      </c>
      <c r="Q424">
        <v>2025</v>
      </c>
      <c r="R424" t="s">
        <v>131</v>
      </c>
      <c r="S424" t="s">
        <v>14</v>
      </c>
      <c r="T424" t="s">
        <v>602</v>
      </c>
      <c r="U424" t="str">
        <f>IFERROR(_xlfn.XLOOKUP(A424,'2025 EOY'!A:A,'2025 EOY'!B:B),"No")</f>
        <v>No</v>
      </c>
    </row>
    <row r="425" spans="1:21" x14ac:dyDescent="0.35">
      <c r="A425" s="37" t="s">
        <v>603</v>
      </c>
      <c r="B425" s="12">
        <v>45667</v>
      </c>
      <c r="C425" s="10" t="s">
        <v>19</v>
      </c>
      <c r="D425" s="4" t="s">
        <v>128</v>
      </c>
      <c r="E425" s="253">
        <v>700</v>
      </c>
      <c r="F425" s="172">
        <v>45747</v>
      </c>
      <c r="G425" s="172">
        <v>45747</v>
      </c>
      <c r="H425" s="120">
        <v>0</v>
      </c>
      <c r="I425" s="192">
        <v>0.42</v>
      </c>
      <c r="J425" s="9">
        <v>294</v>
      </c>
      <c r="K425">
        <v>0</v>
      </c>
      <c r="L425" s="14" t="s">
        <v>63</v>
      </c>
      <c r="M425" s="8" t="s">
        <v>131</v>
      </c>
      <c r="N425">
        <v>294</v>
      </c>
      <c r="O425" s="38" t="s">
        <v>19</v>
      </c>
      <c r="P425" s="38" t="s">
        <v>19</v>
      </c>
      <c r="Q425">
        <v>2025</v>
      </c>
      <c r="R425" t="s">
        <v>131</v>
      </c>
      <c r="S425" t="s">
        <v>96</v>
      </c>
      <c r="T425" t="s">
        <v>604</v>
      </c>
      <c r="U425" t="str">
        <f>IFERROR(_xlfn.XLOOKUP(A425,'2025 EOY'!A:A,'2025 EOY'!B:B),"No")</f>
        <v>No</v>
      </c>
    </row>
    <row r="426" spans="1:21" x14ac:dyDescent="0.35">
      <c r="A426" s="37" t="s">
        <v>605</v>
      </c>
      <c r="B426" s="12">
        <v>45667</v>
      </c>
      <c r="C426" s="10" t="s">
        <v>19</v>
      </c>
      <c r="D426" s="4" t="s">
        <v>128</v>
      </c>
      <c r="E426" s="253">
        <v>700</v>
      </c>
      <c r="F426" s="172">
        <v>45747</v>
      </c>
      <c r="G426" s="172">
        <v>45747</v>
      </c>
      <c r="H426" s="120">
        <v>0</v>
      </c>
      <c r="I426" s="192">
        <v>0.42</v>
      </c>
      <c r="J426" s="9">
        <v>294</v>
      </c>
      <c r="K426">
        <v>0</v>
      </c>
      <c r="L426" s="14" t="s">
        <v>63</v>
      </c>
      <c r="M426" s="8" t="s">
        <v>131</v>
      </c>
      <c r="N426">
        <v>294</v>
      </c>
      <c r="O426" s="38" t="s">
        <v>19</v>
      </c>
      <c r="P426" s="38" t="s">
        <v>19</v>
      </c>
      <c r="Q426">
        <v>2025</v>
      </c>
      <c r="R426" t="s">
        <v>131</v>
      </c>
      <c r="S426" t="s">
        <v>96</v>
      </c>
      <c r="T426" t="s">
        <v>606</v>
      </c>
      <c r="U426" t="str">
        <f>IFERROR(_xlfn.XLOOKUP(A426,'2025 EOY'!A:A,'2025 EOY'!B:B),"No")</f>
        <v>No</v>
      </c>
    </row>
    <row r="427" spans="1:21" x14ac:dyDescent="0.35">
      <c r="A427" s="37" t="s">
        <v>603</v>
      </c>
      <c r="B427" s="12">
        <v>45667</v>
      </c>
      <c r="C427" s="10" t="s">
        <v>10</v>
      </c>
      <c r="D427" s="4" t="s">
        <v>128</v>
      </c>
      <c r="E427" s="253">
        <v>700</v>
      </c>
      <c r="F427" s="172">
        <v>45747</v>
      </c>
      <c r="G427" s="172">
        <v>45747</v>
      </c>
      <c r="H427" s="120">
        <v>-4.01</v>
      </c>
      <c r="I427" s="192">
        <v>-4.2300000000000004</v>
      </c>
      <c r="J427" s="9">
        <v>-154.00000000000045</v>
      </c>
      <c r="K427">
        <v>-2807</v>
      </c>
      <c r="L427" s="14" t="s">
        <v>63</v>
      </c>
      <c r="M427" s="8" t="s">
        <v>131</v>
      </c>
      <c r="N427">
        <v>-2961.0000000000005</v>
      </c>
      <c r="O427" s="38" t="s">
        <v>11</v>
      </c>
      <c r="P427" s="38" t="s">
        <v>10</v>
      </c>
      <c r="Q427">
        <v>2025</v>
      </c>
      <c r="R427" t="s">
        <v>131</v>
      </c>
      <c r="S427" t="s">
        <v>14</v>
      </c>
      <c r="T427" t="s">
        <v>607</v>
      </c>
      <c r="U427" t="str">
        <f>IFERROR(_xlfn.XLOOKUP(A427,'2025 EOY'!A:A,'2025 EOY'!B:B),"No")</f>
        <v>No</v>
      </c>
    </row>
    <row r="428" spans="1:21" x14ac:dyDescent="0.35">
      <c r="A428" s="37" t="s">
        <v>605</v>
      </c>
      <c r="B428" s="12">
        <v>45667</v>
      </c>
      <c r="C428" s="10" t="s">
        <v>10</v>
      </c>
      <c r="D428" s="4" t="s">
        <v>128</v>
      </c>
      <c r="E428" s="253">
        <v>700</v>
      </c>
      <c r="F428" s="172">
        <v>45747</v>
      </c>
      <c r="G428" s="172">
        <v>45747</v>
      </c>
      <c r="H428" s="120">
        <v>-4.01</v>
      </c>
      <c r="I428" s="192">
        <v>-4.2300000000000004</v>
      </c>
      <c r="J428" s="9">
        <v>-154.00000000000045</v>
      </c>
      <c r="K428">
        <v>-2807</v>
      </c>
      <c r="L428" s="14" t="s">
        <v>63</v>
      </c>
      <c r="M428" s="8" t="s">
        <v>131</v>
      </c>
      <c r="N428">
        <v>-2961.0000000000005</v>
      </c>
      <c r="O428" s="38" t="s">
        <v>11</v>
      </c>
      <c r="P428" s="38" t="s">
        <v>10</v>
      </c>
      <c r="Q428">
        <v>2025</v>
      </c>
      <c r="R428" t="s">
        <v>131</v>
      </c>
      <c r="S428" t="s">
        <v>14</v>
      </c>
      <c r="T428" t="s">
        <v>608</v>
      </c>
      <c r="U428" t="str">
        <f>IFERROR(_xlfn.XLOOKUP(A428,'2025 EOY'!A:A,'2025 EOY'!B:B),"No")</f>
        <v>No</v>
      </c>
    </row>
    <row r="429" spans="1:21" x14ac:dyDescent="0.35">
      <c r="A429" s="37" t="s">
        <v>603</v>
      </c>
      <c r="B429" s="12">
        <v>45667</v>
      </c>
      <c r="C429" s="10" t="s">
        <v>10</v>
      </c>
      <c r="D429" s="4" t="s">
        <v>268</v>
      </c>
      <c r="E429" s="253">
        <v>-700</v>
      </c>
      <c r="F429" s="172">
        <v>45747</v>
      </c>
      <c r="G429" s="172">
        <v>45747</v>
      </c>
      <c r="H429" s="120">
        <v>-4.01</v>
      </c>
      <c r="I429" s="192">
        <v>-4.2300000000000004</v>
      </c>
      <c r="J429" s="9">
        <v>154.00000000000045</v>
      </c>
      <c r="K429">
        <v>2807</v>
      </c>
      <c r="L429" s="14" t="s">
        <v>63</v>
      </c>
      <c r="M429" s="8" t="s">
        <v>129</v>
      </c>
      <c r="N429">
        <v>2961.0000000000005</v>
      </c>
      <c r="O429" s="38" t="s">
        <v>11</v>
      </c>
      <c r="P429" s="38" t="s">
        <v>10</v>
      </c>
      <c r="Q429">
        <v>2025</v>
      </c>
      <c r="R429" t="s">
        <v>129</v>
      </c>
      <c r="S429" t="s">
        <v>14</v>
      </c>
      <c r="T429" t="s">
        <v>609</v>
      </c>
      <c r="U429" t="str">
        <f>IFERROR(_xlfn.XLOOKUP(A429,'2025 EOY'!A:A,'2025 EOY'!B:B),"No")</f>
        <v>No</v>
      </c>
    </row>
    <row r="430" spans="1:21" x14ac:dyDescent="0.35">
      <c r="A430" s="37" t="s">
        <v>605</v>
      </c>
      <c r="B430" s="12">
        <v>45667</v>
      </c>
      <c r="C430" s="10" t="s">
        <v>10</v>
      </c>
      <c r="D430" s="4" t="s">
        <v>268</v>
      </c>
      <c r="E430" s="253">
        <v>-700</v>
      </c>
      <c r="F430" s="172">
        <v>45747</v>
      </c>
      <c r="G430" s="172">
        <v>45747</v>
      </c>
      <c r="H430" s="120">
        <v>-4.01</v>
      </c>
      <c r="I430" s="192">
        <v>-4.2300000000000004</v>
      </c>
      <c r="J430" s="9">
        <v>154.00000000000045</v>
      </c>
      <c r="K430">
        <v>2807</v>
      </c>
      <c r="L430" s="14" t="s">
        <v>63</v>
      </c>
      <c r="M430" s="8" t="s">
        <v>129</v>
      </c>
      <c r="N430">
        <v>2961.0000000000005</v>
      </c>
      <c r="O430" s="38" t="s">
        <v>11</v>
      </c>
      <c r="P430" s="38" t="s">
        <v>10</v>
      </c>
      <c r="Q430">
        <v>2025</v>
      </c>
      <c r="R430" t="s">
        <v>129</v>
      </c>
      <c r="S430" t="s">
        <v>14</v>
      </c>
      <c r="T430" t="s">
        <v>610</v>
      </c>
      <c r="U430" t="str">
        <f>IFERROR(_xlfn.XLOOKUP(A430,'2025 EOY'!A:A,'2025 EOY'!B:B),"No")</f>
        <v>No</v>
      </c>
    </row>
    <row r="431" spans="1:21" x14ac:dyDescent="0.35">
      <c r="A431" s="37" t="s">
        <v>603</v>
      </c>
      <c r="B431" s="12">
        <v>45667</v>
      </c>
      <c r="C431" s="47" t="s">
        <v>36</v>
      </c>
      <c r="D431" s="10" t="s">
        <v>268</v>
      </c>
      <c r="E431" s="253">
        <v>-700</v>
      </c>
      <c r="F431" s="172">
        <v>45747</v>
      </c>
      <c r="G431" s="172">
        <v>45747</v>
      </c>
      <c r="H431" s="212">
        <v>138</v>
      </c>
      <c r="I431" s="192">
        <v>150</v>
      </c>
      <c r="J431" s="9">
        <v>-168</v>
      </c>
      <c r="K431">
        <v>-96600</v>
      </c>
      <c r="L431" s="14" t="s">
        <v>63</v>
      </c>
      <c r="M431" s="8" t="s">
        <v>129</v>
      </c>
      <c r="N431">
        <v>-105000</v>
      </c>
      <c r="O431" s="38" t="s">
        <v>29</v>
      </c>
      <c r="P431" s="38" t="s">
        <v>29</v>
      </c>
      <c r="Q431">
        <v>2025</v>
      </c>
      <c r="R431" t="s">
        <v>129</v>
      </c>
      <c r="S431" t="s">
        <v>14</v>
      </c>
      <c r="T431" t="s">
        <v>611</v>
      </c>
      <c r="U431" t="str">
        <f>IFERROR(_xlfn.XLOOKUP(A431,'2025 EOY'!A:A,'2025 EOY'!B:B),"No")</f>
        <v>No</v>
      </c>
    </row>
    <row r="432" spans="1:21" x14ac:dyDescent="0.35">
      <c r="A432" s="37" t="s">
        <v>603</v>
      </c>
      <c r="B432" s="12">
        <v>45707</v>
      </c>
      <c r="C432" s="47" t="s">
        <v>36</v>
      </c>
      <c r="D432" s="10" t="s">
        <v>128</v>
      </c>
      <c r="E432" s="253">
        <v>700</v>
      </c>
      <c r="F432" s="172">
        <v>45747</v>
      </c>
      <c r="G432" s="172">
        <v>45747</v>
      </c>
      <c r="H432" s="212">
        <v>150</v>
      </c>
      <c r="I432" s="192">
        <v>150</v>
      </c>
      <c r="J432" s="9">
        <v>0</v>
      </c>
      <c r="K432">
        <v>105000</v>
      </c>
      <c r="L432" s="14" t="s">
        <v>63</v>
      </c>
      <c r="M432" s="8" t="s">
        <v>131</v>
      </c>
      <c r="N432">
        <v>105000</v>
      </c>
      <c r="O432" s="38" t="s">
        <v>29</v>
      </c>
      <c r="P432" s="38" t="s">
        <v>29</v>
      </c>
      <c r="Q432">
        <v>2025</v>
      </c>
      <c r="R432" t="s">
        <v>131</v>
      </c>
      <c r="S432" t="s">
        <v>14</v>
      </c>
      <c r="T432" t="s">
        <v>612</v>
      </c>
      <c r="U432" t="str">
        <f>IFERROR(_xlfn.XLOOKUP(A432,'2025 EOY'!A:A,'2025 EOY'!B:B),"No")</f>
        <v>No</v>
      </c>
    </row>
    <row r="433" spans="1:23" x14ac:dyDescent="0.35">
      <c r="A433" s="37" t="s">
        <v>603</v>
      </c>
      <c r="B433" s="12">
        <v>45667</v>
      </c>
      <c r="C433" s="47" t="s">
        <v>39</v>
      </c>
      <c r="D433" s="10" t="s">
        <v>268</v>
      </c>
      <c r="E433" s="253">
        <v>700</v>
      </c>
      <c r="F433" s="172">
        <v>45747</v>
      </c>
      <c r="G433" s="172">
        <v>45747</v>
      </c>
      <c r="H433" s="212">
        <v>114</v>
      </c>
      <c r="I433" s="192">
        <v>111.45</v>
      </c>
      <c r="J433" s="9">
        <v>-35.69999999999996</v>
      </c>
      <c r="K433">
        <v>79800</v>
      </c>
      <c r="L433" s="14" t="s">
        <v>63</v>
      </c>
      <c r="M433" s="8" t="s">
        <v>131</v>
      </c>
      <c r="N433">
        <v>78015</v>
      </c>
      <c r="O433" s="38" t="s">
        <v>29</v>
      </c>
      <c r="P433" s="38" t="s">
        <v>29</v>
      </c>
      <c r="Q433">
        <v>2025</v>
      </c>
      <c r="R433" t="s">
        <v>131</v>
      </c>
      <c r="S433" t="s">
        <v>14</v>
      </c>
      <c r="T433" t="s">
        <v>613</v>
      </c>
      <c r="U433" t="str">
        <f>IFERROR(_xlfn.XLOOKUP(A433,'2025 EOY'!A:A,'2025 EOY'!B:B),"No")</f>
        <v>No</v>
      </c>
    </row>
    <row r="434" spans="1:23" x14ac:dyDescent="0.35">
      <c r="A434" s="37" t="s">
        <v>605</v>
      </c>
      <c r="B434" s="12">
        <v>45667</v>
      </c>
      <c r="C434" s="47" t="s">
        <v>36</v>
      </c>
      <c r="D434" s="10" t="s">
        <v>268</v>
      </c>
      <c r="E434" s="253">
        <v>0</v>
      </c>
      <c r="F434" s="172">
        <v>45747</v>
      </c>
      <c r="G434" s="172">
        <v>45747</v>
      </c>
      <c r="H434" s="212">
        <v>138</v>
      </c>
      <c r="I434" s="192">
        <v>150</v>
      </c>
      <c r="J434" s="9">
        <v>-168</v>
      </c>
      <c r="K434">
        <v>0</v>
      </c>
      <c r="L434" s="14" t="s">
        <v>63</v>
      </c>
      <c r="M434" s="8" t="s">
        <v>131</v>
      </c>
      <c r="N434">
        <v>0</v>
      </c>
      <c r="O434" s="38" t="s">
        <v>29</v>
      </c>
      <c r="P434" s="38" t="s">
        <v>29</v>
      </c>
      <c r="Q434">
        <v>2025</v>
      </c>
      <c r="R434" t="s">
        <v>129</v>
      </c>
      <c r="S434" t="s">
        <v>14</v>
      </c>
      <c r="T434" t="s">
        <v>614</v>
      </c>
      <c r="U434" t="str">
        <f>IFERROR(_xlfn.XLOOKUP(A434,'2025 EOY'!A:A,'2025 EOY'!B:B),"No")</f>
        <v>No</v>
      </c>
    </row>
    <row r="435" spans="1:23" x14ac:dyDescent="0.35">
      <c r="A435" s="37" t="s">
        <v>605</v>
      </c>
      <c r="B435" s="12">
        <v>45667</v>
      </c>
      <c r="C435" s="47" t="s">
        <v>39</v>
      </c>
      <c r="D435" s="10" t="s">
        <v>268</v>
      </c>
      <c r="E435" s="253">
        <v>700</v>
      </c>
      <c r="F435" s="172">
        <v>45747</v>
      </c>
      <c r="G435" s="172">
        <v>45747</v>
      </c>
      <c r="H435" s="212">
        <v>114</v>
      </c>
      <c r="I435" s="192">
        <v>111.45</v>
      </c>
      <c r="J435" s="9">
        <v>-35.69999999999996</v>
      </c>
      <c r="K435">
        <v>79800</v>
      </c>
      <c r="L435" s="14" t="s">
        <v>63</v>
      </c>
      <c r="M435" s="8" t="s">
        <v>131</v>
      </c>
      <c r="N435">
        <v>78015</v>
      </c>
      <c r="O435" s="38" t="s">
        <v>29</v>
      </c>
      <c r="P435" s="38" t="s">
        <v>29</v>
      </c>
      <c r="Q435">
        <v>2025</v>
      </c>
      <c r="R435" t="s">
        <v>131</v>
      </c>
      <c r="S435" t="s">
        <v>14</v>
      </c>
      <c r="T435" t="s">
        <v>615</v>
      </c>
      <c r="U435" t="str">
        <f>IFERROR(_xlfn.XLOOKUP(A435,'2025 EOY'!A:A,'2025 EOY'!B:B),"No")</f>
        <v>No</v>
      </c>
    </row>
    <row r="436" spans="1:23" x14ac:dyDescent="0.35">
      <c r="A436" s="37" t="s">
        <v>127</v>
      </c>
      <c r="B436" s="12">
        <v>45683</v>
      </c>
      <c r="C436" s="10" t="s">
        <v>15</v>
      </c>
      <c r="D436" s="4" t="s">
        <v>128</v>
      </c>
      <c r="E436" s="253">
        <v>-300</v>
      </c>
      <c r="F436" s="173">
        <v>45747</v>
      </c>
      <c r="G436" s="172">
        <v>45747</v>
      </c>
      <c r="H436" s="15">
        <v>0.69130999999999998</v>
      </c>
      <c r="I436" s="191">
        <v>1.1299999999999999</v>
      </c>
      <c r="J436" s="9">
        <v>-131.60699999999997</v>
      </c>
      <c r="K436">
        <v>-207.393</v>
      </c>
      <c r="L436" s="14" t="s">
        <v>63</v>
      </c>
      <c r="M436" s="8" t="s">
        <v>129</v>
      </c>
      <c r="N436">
        <v>-338.99999999999994</v>
      </c>
      <c r="O436" s="38" t="s">
        <v>11</v>
      </c>
      <c r="P436" s="38" t="s">
        <v>16</v>
      </c>
      <c r="Q436">
        <v>2025</v>
      </c>
      <c r="R436" t="s">
        <v>129</v>
      </c>
      <c r="S436" t="s">
        <v>14</v>
      </c>
      <c r="T436" t="s">
        <v>616</v>
      </c>
      <c r="U436" t="str">
        <f>IFERROR(_xlfn.XLOOKUP(A436,'2025 EOY'!A:A,'2025 EOY'!B:B),"No")</f>
        <v>No</v>
      </c>
    </row>
    <row r="437" spans="1:23" x14ac:dyDescent="0.35">
      <c r="A437" s="37" t="s">
        <v>127</v>
      </c>
      <c r="B437" s="174">
        <v>45670</v>
      </c>
      <c r="C437" s="47" t="s">
        <v>25</v>
      </c>
      <c r="D437" t="s">
        <v>128</v>
      </c>
      <c r="E437" s="253">
        <v>-500</v>
      </c>
      <c r="F437" s="173">
        <v>45747</v>
      </c>
      <c r="G437" s="172">
        <v>45777</v>
      </c>
      <c r="H437" s="100">
        <v>1.52</v>
      </c>
      <c r="I437" s="192">
        <v>0.15</v>
      </c>
      <c r="J437" s="9">
        <v>685</v>
      </c>
      <c r="K437">
        <v>-760</v>
      </c>
      <c r="L437" s="14" t="s">
        <v>56</v>
      </c>
      <c r="M437" s="8" t="s">
        <v>129</v>
      </c>
      <c r="N437">
        <v>-75</v>
      </c>
      <c r="O437" s="38" t="s">
        <v>4</v>
      </c>
      <c r="P437" s="38" t="s">
        <v>3</v>
      </c>
      <c r="Q437">
        <v>2025</v>
      </c>
      <c r="R437" t="s">
        <v>129</v>
      </c>
      <c r="S437" t="s">
        <v>14</v>
      </c>
      <c r="T437" t="s">
        <v>617</v>
      </c>
      <c r="U437" t="str">
        <f>IFERROR(_xlfn.XLOOKUP(A437,'2025 EOY'!A:A,'2025 EOY'!B:B),"No")</f>
        <v>No</v>
      </c>
    </row>
    <row r="438" spans="1:23" x14ac:dyDescent="0.35">
      <c r="A438" s="37" t="s">
        <v>127</v>
      </c>
      <c r="B438" s="174">
        <v>45670</v>
      </c>
      <c r="C438" s="47" t="s">
        <v>25</v>
      </c>
      <c r="D438" t="s">
        <v>128</v>
      </c>
      <c r="E438" s="253">
        <v>500</v>
      </c>
      <c r="F438" s="173">
        <v>45777</v>
      </c>
      <c r="G438" s="172">
        <v>45808</v>
      </c>
      <c r="H438" s="100">
        <v>1.26</v>
      </c>
      <c r="I438" s="192">
        <v>0.25</v>
      </c>
      <c r="J438" s="9">
        <v>-505</v>
      </c>
      <c r="K438">
        <v>630</v>
      </c>
      <c r="L438" s="14" t="s">
        <v>57</v>
      </c>
      <c r="M438" s="8" t="s">
        <v>131</v>
      </c>
      <c r="N438">
        <v>125</v>
      </c>
      <c r="O438" s="38" t="s">
        <v>4</v>
      </c>
      <c r="P438" s="38" t="s">
        <v>3</v>
      </c>
      <c r="Q438">
        <v>2025</v>
      </c>
      <c r="R438" t="s">
        <v>131</v>
      </c>
      <c r="S438" t="s">
        <v>14</v>
      </c>
      <c r="T438" t="s">
        <v>618</v>
      </c>
      <c r="U438" t="str">
        <f>IFERROR(_xlfn.XLOOKUP(A438,'2025 EOY'!A:A,'2025 EOY'!B:B),"No")</f>
        <v>No</v>
      </c>
      <c r="W438">
        <v>-3500</v>
      </c>
    </row>
    <row r="439" spans="1:23" x14ac:dyDescent="0.35">
      <c r="A439" s="37" t="s">
        <v>127</v>
      </c>
      <c r="B439" s="174">
        <v>45670</v>
      </c>
      <c r="C439" s="47" t="s">
        <v>25</v>
      </c>
      <c r="D439" t="s">
        <v>128</v>
      </c>
      <c r="E439" s="253">
        <v>-1000</v>
      </c>
      <c r="F439" s="173">
        <v>45747</v>
      </c>
      <c r="G439" s="172">
        <v>45777</v>
      </c>
      <c r="H439" s="100">
        <v>1.52</v>
      </c>
      <c r="I439" s="192">
        <v>0.15</v>
      </c>
      <c r="J439" s="9">
        <v>1370</v>
      </c>
      <c r="K439">
        <v>-1520</v>
      </c>
      <c r="L439" s="14" t="s">
        <v>56</v>
      </c>
      <c r="M439" s="8" t="s">
        <v>129</v>
      </c>
      <c r="N439">
        <v>-150</v>
      </c>
      <c r="O439" s="38" t="s">
        <v>4</v>
      </c>
      <c r="P439" s="38" t="s">
        <v>3</v>
      </c>
      <c r="Q439">
        <v>2025</v>
      </c>
      <c r="R439" t="s">
        <v>129</v>
      </c>
      <c r="S439" t="s">
        <v>14</v>
      </c>
      <c r="T439" t="s">
        <v>619</v>
      </c>
      <c r="U439" t="str">
        <f>IFERROR(_xlfn.XLOOKUP(A439,'2025 EOY'!A:A,'2025 EOY'!B:B),"No")</f>
        <v>No</v>
      </c>
      <c r="W439">
        <v>350</v>
      </c>
    </row>
    <row r="440" spans="1:23" x14ac:dyDescent="0.35">
      <c r="A440" s="37" t="s">
        <v>127</v>
      </c>
      <c r="B440" s="174">
        <v>45670</v>
      </c>
      <c r="C440" s="47" t="s">
        <v>25</v>
      </c>
      <c r="D440" t="s">
        <v>128</v>
      </c>
      <c r="E440" s="253">
        <v>1000</v>
      </c>
      <c r="F440" s="173">
        <v>45777</v>
      </c>
      <c r="G440" s="172">
        <v>45808</v>
      </c>
      <c r="H440" s="100">
        <v>1.24</v>
      </c>
      <c r="I440" s="192">
        <v>0.25</v>
      </c>
      <c r="J440" s="9">
        <v>-990</v>
      </c>
      <c r="K440">
        <v>1240</v>
      </c>
      <c r="L440" s="14" t="s">
        <v>57</v>
      </c>
      <c r="M440" s="8" t="s">
        <v>131</v>
      </c>
      <c r="N440">
        <v>250</v>
      </c>
      <c r="O440" s="38" t="s">
        <v>4</v>
      </c>
      <c r="P440" s="38" t="s">
        <v>3</v>
      </c>
      <c r="Q440">
        <v>2025</v>
      </c>
      <c r="R440" t="s">
        <v>131</v>
      </c>
      <c r="S440" t="s">
        <v>14</v>
      </c>
      <c r="T440" t="s">
        <v>620</v>
      </c>
      <c r="U440" t="str">
        <f>IFERROR(_xlfn.XLOOKUP(A440,'2025 EOY'!A:A,'2025 EOY'!B:B),"No")</f>
        <v>No</v>
      </c>
      <c r="W440">
        <v>-3150</v>
      </c>
    </row>
    <row r="441" spans="1:23" x14ac:dyDescent="0.35">
      <c r="A441" s="37" t="s">
        <v>127</v>
      </c>
      <c r="B441" s="174">
        <v>45670</v>
      </c>
      <c r="C441" s="47" t="s">
        <v>25</v>
      </c>
      <c r="D441" t="s">
        <v>128</v>
      </c>
      <c r="E441" s="253">
        <v>-1000</v>
      </c>
      <c r="F441" s="173">
        <v>45747</v>
      </c>
      <c r="G441" s="172">
        <v>45777</v>
      </c>
      <c r="H441" s="100">
        <v>1.52</v>
      </c>
      <c r="I441" s="192">
        <v>0.15</v>
      </c>
      <c r="J441" s="9">
        <v>1370</v>
      </c>
      <c r="K441">
        <v>-1520</v>
      </c>
      <c r="L441" s="14" t="s">
        <v>56</v>
      </c>
      <c r="M441" s="8" t="s">
        <v>129</v>
      </c>
      <c r="N441">
        <v>-150</v>
      </c>
      <c r="O441" s="38" t="s">
        <v>4</v>
      </c>
      <c r="P441" s="38" t="s">
        <v>3</v>
      </c>
      <c r="Q441">
        <v>2025</v>
      </c>
      <c r="R441" t="s">
        <v>129</v>
      </c>
      <c r="S441" t="s">
        <v>14</v>
      </c>
      <c r="T441" t="s">
        <v>621</v>
      </c>
      <c r="U441" t="str">
        <f>IFERROR(_xlfn.XLOOKUP(A441,'2025 EOY'!A:A,'2025 EOY'!B:B),"No")</f>
        <v>No</v>
      </c>
      <c r="W441">
        <v>1667</v>
      </c>
    </row>
    <row r="442" spans="1:23" x14ac:dyDescent="0.35">
      <c r="A442" s="37" t="s">
        <v>127</v>
      </c>
      <c r="B442" s="174">
        <v>45670</v>
      </c>
      <c r="C442" s="47" t="s">
        <v>25</v>
      </c>
      <c r="D442" t="s">
        <v>128</v>
      </c>
      <c r="E442" s="253">
        <v>1000</v>
      </c>
      <c r="F442" s="173">
        <v>45777</v>
      </c>
      <c r="G442" s="172">
        <v>45808</v>
      </c>
      <c r="H442" s="100">
        <v>1.22</v>
      </c>
      <c r="I442" s="192">
        <v>0.25</v>
      </c>
      <c r="J442" s="9">
        <v>-970</v>
      </c>
      <c r="K442">
        <v>1220</v>
      </c>
      <c r="L442" s="14" t="s">
        <v>57</v>
      </c>
      <c r="M442" s="8" t="s">
        <v>131</v>
      </c>
      <c r="N442">
        <v>250</v>
      </c>
      <c r="O442" s="38" t="s">
        <v>4</v>
      </c>
      <c r="P442" s="38" t="s">
        <v>3</v>
      </c>
      <c r="Q442">
        <v>2025</v>
      </c>
      <c r="R442" t="s">
        <v>131</v>
      </c>
      <c r="S442" t="s">
        <v>14</v>
      </c>
      <c r="T442" t="s">
        <v>622</v>
      </c>
      <c r="U442" t="str">
        <f>IFERROR(_xlfn.XLOOKUP(A442,'2025 EOY'!A:A,'2025 EOY'!B:B),"No")</f>
        <v>No</v>
      </c>
      <c r="W442">
        <v>893</v>
      </c>
    </row>
    <row r="443" spans="1:23" x14ac:dyDescent="0.35">
      <c r="A443" s="37" t="s">
        <v>127</v>
      </c>
      <c r="B443" s="12">
        <v>45670</v>
      </c>
      <c r="C443" s="10" t="s">
        <v>19</v>
      </c>
      <c r="D443" s="10" t="s">
        <v>268</v>
      </c>
      <c r="E443" s="259">
        <v>0</v>
      </c>
      <c r="F443" s="172">
        <v>45716</v>
      </c>
      <c r="G443" s="172">
        <v>45716</v>
      </c>
      <c r="H443" s="15">
        <v>0</v>
      </c>
      <c r="I443" s="192">
        <v>0</v>
      </c>
      <c r="J443" s="9">
        <v>1699</v>
      </c>
      <c r="K443">
        <v>0</v>
      </c>
      <c r="L443" s="14" t="s">
        <v>62</v>
      </c>
      <c r="M443" s="8" t="s">
        <v>131</v>
      </c>
      <c r="N443">
        <v>0</v>
      </c>
      <c r="O443" s="38" t="s">
        <v>19</v>
      </c>
      <c r="P443" s="38" t="s">
        <v>19</v>
      </c>
      <c r="Q443">
        <v>2025</v>
      </c>
      <c r="R443" t="s">
        <v>129</v>
      </c>
      <c r="S443" t="s">
        <v>96</v>
      </c>
      <c r="T443" t="s">
        <v>623</v>
      </c>
      <c r="U443" t="str">
        <f>IFERROR(_xlfn.XLOOKUP(A443,'2025 EOY'!A:A,'2025 EOY'!B:B),"No")</f>
        <v>No</v>
      </c>
      <c r="W443">
        <v>-590</v>
      </c>
    </row>
    <row r="444" spans="1:23" x14ac:dyDescent="0.35">
      <c r="A444" s="37" t="s">
        <v>127</v>
      </c>
      <c r="B444" s="12">
        <v>45672</v>
      </c>
      <c r="C444" s="10" t="s">
        <v>10</v>
      </c>
      <c r="D444" s="4" t="s">
        <v>128</v>
      </c>
      <c r="E444" s="253">
        <v>3000</v>
      </c>
      <c r="F444" s="172">
        <v>45747</v>
      </c>
      <c r="G444" s="172">
        <v>45747</v>
      </c>
      <c r="H444" s="120">
        <v>-3.32</v>
      </c>
      <c r="I444" s="192">
        <v>-4.2300000000000004</v>
      </c>
      <c r="J444" s="9">
        <v>-2730.0000000000018</v>
      </c>
      <c r="K444">
        <v>-9960</v>
      </c>
      <c r="L444" s="14" t="s">
        <v>63</v>
      </c>
      <c r="M444" s="8" t="s">
        <v>131</v>
      </c>
      <c r="N444">
        <v>-12690.000000000002</v>
      </c>
      <c r="O444" s="38" t="s">
        <v>11</v>
      </c>
      <c r="P444" s="38" t="s">
        <v>10</v>
      </c>
      <c r="Q444">
        <v>2025</v>
      </c>
      <c r="R444" t="s">
        <v>131</v>
      </c>
      <c r="S444" t="s">
        <v>14</v>
      </c>
      <c r="T444" t="s">
        <v>624</v>
      </c>
      <c r="U444" t="str">
        <f>IFERROR(_xlfn.XLOOKUP(A444,'2025 EOY'!A:A,'2025 EOY'!B:B),"No")</f>
        <v>No</v>
      </c>
      <c r="W444">
        <v>372</v>
      </c>
    </row>
    <row r="445" spans="1:23" x14ac:dyDescent="0.35">
      <c r="A445" s="37" t="s">
        <v>127</v>
      </c>
      <c r="B445" s="12">
        <v>45672</v>
      </c>
      <c r="C445" s="10" t="s">
        <v>10</v>
      </c>
      <c r="D445" s="4" t="s">
        <v>128</v>
      </c>
      <c r="E445" s="253">
        <v>-1500</v>
      </c>
      <c r="F445" s="172">
        <v>45808</v>
      </c>
      <c r="G445" s="172">
        <v>45808</v>
      </c>
      <c r="H445" s="120">
        <v>-3.46</v>
      </c>
      <c r="I445" s="192">
        <v>-3.26</v>
      </c>
      <c r="J445" s="9">
        <v>-300.00000000000028</v>
      </c>
      <c r="K445">
        <v>5190</v>
      </c>
      <c r="L445" s="14" t="s">
        <v>65</v>
      </c>
      <c r="M445" s="8" t="s">
        <v>129</v>
      </c>
      <c r="N445">
        <v>4890</v>
      </c>
      <c r="O445" s="38" t="s">
        <v>11</v>
      </c>
      <c r="P445" s="38" t="s">
        <v>10</v>
      </c>
      <c r="Q445">
        <v>2025</v>
      </c>
      <c r="R445" t="s">
        <v>129</v>
      </c>
      <c r="S445" t="s">
        <v>14</v>
      </c>
      <c r="T445" t="s">
        <v>625</v>
      </c>
      <c r="U445" t="str">
        <f>IFERROR(_xlfn.XLOOKUP(A445,'2025 EOY'!A:A,'2025 EOY'!B:B),"No")</f>
        <v>No</v>
      </c>
    </row>
    <row r="446" spans="1:23" x14ac:dyDescent="0.35">
      <c r="A446" s="37" t="s">
        <v>127</v>
      </c>
      <c r="B446" s="12">
        <v>45672</v>
      </c>
      <c r="C446" s="10" t="s">
        <v>10</v>
      </c>
      <c r="D446" s="4" t="s">
        <v>128</v>
      </c>
      <c r="E446" s="253">
        <v>-1500</v>
      </c>
      <c r="F446" s="172">
        <v>45838</v>
      </c>
      <c r="G446" s="172">
        <v>45838</v>
      </c>
      <c r="H446" s="120">
        <v>-3.48</v>
      </c>
      <c r="I446" s="192">
        <v>-4.91</v>
      </c>
      <c r="J446" s="9">
        <v>2145.0000000000005</v>
      </c>
      <c r="K446">
        <v>5220</v>
      </c>
      <c r="L446" s="14" t="s">
        <v>73</v>
      </c>
      <c r="M446" s="8" t="s">
        <v>129</v>
      </c>
      <c r="N446">
        <v>7365</v>
      </c>
      <c r="O446" s="38" t="s">
        <v>11</v>
      </c>
      <c r="P446" s="38" t="s">
        <v>10</v>
      </c>
      <c r="Q446">
        <v>2025</v>
      </c>
      <c r="R446" t="s">
        <v>129</v>
      </c>
      <c r="S446" t="s">
        <v>14</v>
      </c>
      <c r="T446" t="s">
        <v>626</v>
      </c>
      <c r="U446" t="str">
        <f>IFERROR(_xlfn.XLOOKUP(A446,'2025 EOY'!A:A,'2025 EOY'!B:B),"No")</f>
        <v>No</v>
      </c>
    </row>
    <row r="447" spans="1:23" x14ac:dyDescent="0.35">
      <c r="A447" s="37" t="s">
        <v>127</v>
      </c>
      <c r="B447" s="12">
        <v>45674</v>
      </c>
      <c r="C447" s="10" t="s">
        <v>3</v>
      </c>
      <c r="D447" s="4" t="s">
        <v>128</v>
      </c>
      <c r="E447" s="253">
        <v>282</v>
      </c>
      <c r="F447" s="172">
        <v>45716</v>
      </c>
      <c r="G447" s="172">
        <v>45747</v>
      </c>
      <c r="H447" s="15">
        <v>0.49</v>
      </c>
      <c r="I447" s="192">
        <v>0.49</v>
      </c>
      <c r="J447" s="9">
        <v>0</v>
      </c>
      <c r="K447">
        <v>138.18</v>
      </c>
      <c r="L447" s="14" t="s">
        <v>54</v>
      </c>
      <c r="M447" s="8" t="s">
        <v>131</v>
      </c>
      <c r="N447">
        <v>138.18</v>
      </c>
      <c r="O447" s="38" t="s">
        <v>4</v>
      </c>
      <c r="P447" s="38" t="s">
        <v>3</v>
      </c>
      <c r="Q447">
        <v>2025</v>
      </c>
      <c r="R447" t="s">
        <v>131</v>
      </c>
      <c r="S447" t="s">
        <v>14</v>
      </c>
      <c r="T447" t="s">
        <v>627</v>
      </c>
      <c r="U447" t="str">
        <f>IFERROR(_xlfn.XLOOKUP(A447,'2025 EOY'!A:A,'2025 EOY'!B:B),"No")</f>
        <v>No</v>
      </c>
    </row>
    <row r="448" spans="1:23" x14ac:dyDescent="0.35">
      <c r="A448" s="21" t="s">
        <v>193</v>
      </c>
      <c r="B448" s="175">
        <v>45678</v>
      </c>
      <c r="C448" s="99" t="s">
        <v>28</v>
      </c>
      <c r="D448" s="22" t="s">
        <v>268</v>
      </c>
      <c r="E448" s="256">
        <v>-2100</v>
      </c>
      <c r="F448" s="24">
        <v>45716</v>
      </c>
      <c r="G448" s="24">
        <v>45716</v>
      </c>
      <c r="H448" s="207">
        <v>10400</v>
      </c>
      <c r="I448" s="200">
        <v>10050</v>
      </c>
      <c r="J448" s="25">
        <v>350</v>
      </c>
      <c r="K448">
        <v>-21840000</v>
      </c>
      <c r="L448" s="14" t="s">
        <v>62</v>
      </c>
      <c r="M448" s="27" t="s">
        <v>129</v>
      </c>
      <c r="N448" s="26">
        <v>-21105000</v>
      </c>
      <c r="O448" s="28" t="s">
        <v>29</v>
      </c>
      <c r="P448" s="38" t="s">
        <v>29</v>
      </c>
      <c r="Q448">
        <v>2025</v>
      </c>
      <c r="R448" t="s">
        <v>129</v>
      </c>
      <c r="S448" t="s">
        <v>14</v>
      </c>
      <c r="T448" t="s">
        <v>628</v>
      </c>
      <c r="U448" t="str">
        <f>IFERROR(_xlfn.XLOOKUP(A448,'2025 EOY'!A:A,'2025 EOY'!B:B),"No")</f>
        <v>No</v>
      </c>
    </row>
    <row r="449" spans="1:22" x14ac:dyDescent="0.35">
      <c r="A449" s="21" t="s">
        <v>193</v>
      </c>
      <c r="B449" s="175">
        <v>45678</v>
      </c>
      <c r="C449" s="99" t="s">
        <v>28</v>
      </c>
      <c r="D449" s="22" t="s">
        <v>268</v>
      </c>
      <c r="E449" s="256">
        <v>2100</v>
      </c>
      <c r="F449" s="24">
        <v>45716</v>
      </c>
      <c r="G449" s="24">
        <v>45716</v>
      </c>
      <c r="H449" s="207">
        <v>10050</v>
      </c>
      <c r="I449" s="200">
        <v>8200</v>
      </c>
      <c r="J449" s="25">
        <v>1850</v>
      </c>
      <c r="K449">
        <v>21105000</v>
      </c>
      <c r="L449" s="14" t="s">
        <v>62</v>
      </c>
      <c r="M449" s="27" t="s">
        <v>131</v>
      </c>
      <c r="N449" s="26">
        <v>17220000</v>
      </c>
      <c r="O449" s="28" t="s">
        <v>29</v>
      </c>
      <c r="P449" s="38" t="s">
        <v>29</v>
      </c>
      <c r="Q449">
        <v>2025</v>
      </c>
      <c r="R449" t="s">
        <v>131</v>
      </c>
      <c r="S449" t="s">
        <v>14</v>
      </c>
      <c r="T449" t="s">
        <v>629</v>
      </c>
      <c r="U449" t="str">
        <f>IFERROR(_xlfn.XLOOKUP(A449,'2025 EOY'!A:A,'2025 EOY'!B:B),"No")</f>
        <v>No</v>
      </c>
    </row>
    <row r="450" spans="1:22" x14ac:dyDescent="0.35">
      <c r="A450" s="37" t="s">
        <v>193</v>
      </c>
      <c r="B450" s="12">
        <v>45678</v>
      </c>
      <c r="C450" s="10" t="s">
        <v>19</v>
      </c>
      <c r="D450" s="10" t="s">
        <v>268</v>
      </c>
      <c r="E450" s="259">
        <v>2100</v>
      </c>
      <c r="F450" s="172">
        <v>45716</v>
      </c>
      <c r="G450" s="172">
        <v>45716</v>
      </c>
      <c r="H450" s="15">
        <v>4.050143884892087</v>
      </c>
      <c r="I450" s="192">
        <v>5.0999999999999996</v>
      </c>
      <c r="J450" s="9">
        <v>2204.6978417266164</v>
      </c>
      <c r="K450">
        <v>8505.3021582733818</v>
      </c>
      <c r="L450" s="14" t="s">
        <v>62</v>
      </c>
      <c r="M450" s="8" t="s">
        <v>131</v>
      </c>
      <c r="N450">
        <v>10710</v>
      </c>
      <c r="O450" s="38" t="s">
        <v>19</v>
      </c>
      <c r="P450" s="38" t="s">
        <v>19</v>
      </c>
      <c r="Q450">
        <v>2025</v>
      </c>
      <c r="R450" t="s">
        <v>131</v>
      </c>
      <c r="S450" t="s">
        <v>96</v>
      </c>
      <c r="T450" t="s">
        <v>630</v>
      </c>
      <c r="U450" t="str">
        <f>IFERROR(_xlfn.XLOOKUP(A450,'2025 EOY'!A:A,'2025 EOY'!B:B),"No")</f>
        <v>No</v>
      </c>
    </row>
    <row r="451" spans="1:22" x14ac:dyDescent="0.35">
      <c r="A451" s="37" t="s">
        <v>193</v>
      </c>
      <c r="B451" s="12">
        <v>45678</v>
      </c>
      <c r="C451" s="10" t="s">
        <v>3</v>
      </c>
      <c r="D451" s="4" t="s">
        <v>268</v>
      </c>
      <c r="E451" s="253">
        <v>-2100</v>
      </c>
      <c r="F451" s="172">
        <v>45747</v>
      </c>
      <c r="G451" s="172">
        <v>45777</v>
      </c>
      <c r="H451" s="15">
        <v>0.82999999999999829</v>
      </c>
      <c r="I451" s="192">
        <v>0.15</v>
      </c>
      <c r="J451" s="9">
        <v>1427.9999999999964</v>
      </c>
      <c r="K451">
        <v>-1742.9999999999964</v>
      </c>
      <c r="L451" s="14" t="s">
        <v>56</v>
      </c>
      <c r="M451" s="8" t="s">
        <v>129</v>
      </c>
      <c r="N451">
        <v>-315</v>
      </c>
      <c r="O451" s="38" t="s">
        <v>4</v>
      </c>
      <c r="P451" s="38" t="s">
        <v>3</v>
      </c>
      <c r="Q451">
        <v>2025</v>
      </c>
      <c r="R451" t="s">
        <v>129</v>
      </c>
      <c r="S451" t="s">
        <v>14</v>
      </c>
      <c r="T451" t="s">
        <v>631</v>
      </c>
      <c r="U451" t="str">
        <f>IFERROR(_xlfn.XLOOKUP(A451,'2025 EOY'!A:A,'2025 EOY'!B:B),"No")</f>
        <v>No</v>
      </c>
    </row>
    <row r="452" spans="1:22" x14ac:dyDescent="0.35">
      <c r="A452" s="37" t="s">
        <v>193</v>
      </c>
      <c r="B452" s="12">
        <v>45678</v>
      </c>
      <c r="C452" s="10" t="s">
        <v>10</v>
      </c>
      <c r="D452" s="4" t="s">
        <v>268</v>
      </c>
      <c r="E452" s="253">
        <v>-2100</v>
      </c>
      <c r="F452" s="172">
        <v>45777</v>
      </c>
      <c r="G452" s="172">
        <v>45777</v>
      </c>
      <c r="H452" s="15">
        <v>-3.4000000000000057</v>
      </c>
      <c r="I452" s="192">
        <v>-3.42</v>
      </c>
      <c r="J452" s="9">
        <v>41.999999999987914</v>
      </c>
      <c r="K452">
        <v>7140.0000000000118</v>
      </c>
      <c r="L452" s="14" t="s">
        <v>64</v>
      </c>
      <c r="M452" s="8" t="s">
        <v>129</v>
      </c>
      <c r="N452">
        <v>7182</v>
      </c>
      <c r="O452" s="38" t="s">
        <v>11</v>
      </c>
      <c r="P452" s="38" t="s">
        <v>10</v>
      </c>
      <c r="Q452">
        <v>2025</v>
      </c>
      <c r="R452" t="s">
        <v>129</v>
      </c>
      <c r="S452" t="s">
        <v>14</v>
      </c>
      <c r="T452" t="s">
        <v>632</v>
      </c>
      <c r="U452" t="str">
        <f>IFERROR(_xlfn.XLOOKUP(A452,'2025 EOY'!A:A,'2025 EOY'!B:B),"No")</f>
        <v>No</v>
      </c>
    </row>
    <row r="453" spans="1:22" x14ac:dyDescent="0.35">
      <c r="A453" s="37" t="s">
        <v>193</v>
      </c>
      <c r="B453" s="12">
        <v>45678</v>
      </c>
      <c r="C453" s="10" t="s">
        <v>7</v>
      </c>
      <c r="D453" s="4" t="s">
        <v>268</v>
      </c>
      <c r="E453" s="253">
        <v>-2100</v>
      </c>
      <c r="F453" s="172">
        <v>45777</v>
      </c>
      <c r="G453" s="172">
        <v>45808</v>
      </c>
      <c r="H453" s="15">
        <v>0.82000000000000739</v>
      </c>
      <c r="I453" s="192">
        <v>0.37</v>
      </c>
      <c r="J453" s="9">
        <v>945.00000000001558</v>
      </c>
      <c r="K453">
        <v>-1722.0000000000155</v>
      </c>
      <c r="L453" s="14" t="s">
        <v>57</v>
      </c>
      <c r="M453" s="8" t="s">
        <v>129</v>
      </c>
      <c r="N453">
        <v>-777</v>
      </c>
      <c r="O453" s="38" t="s">
        <v>4</v>
      </c>
      <c r="P453" s="38" t="s">
        <v>7</v>
      </c>
      <c r="Q453">
        <v>2025</v>
      </c>
      <c r="R453" t="s">
        <v>129</v>
      </c>
      <c r="S453" t="s">
        <v>14</v>
      </c>
      <c r="T453" t="s">
        <v>633</v>
      </c>
      <c r="U453" t="str">
        <f>IFERROR(_xlfn.XLOOKUP(A453,'2025 EOY'!A:A,'2025 EOY'!B:B),"No")</f>
        <v>No</v>
      </c>
    </row>
    <row r="454" spans="1:22" x14ac:dyDescent="0.35">
      <c r="A454" s="37" t="s">
        <v>193</v>
      </c>
      <c r="B454" s="12">
        <v>45678</v>
      </c>
      <c r="C454" s="10" t="s">
        <v>15</v>
      </c>
      <c r="D454" s="4" t="s">
        <v>268</v>
      </c>
      <c r="E454" s="253">
        <v>2100</v>
      </c>
      <c r="F454" s="173">
        <v>45747</v>
      </c>
      <c r="G454" s="172">
        <v>45747</v>
      </c>
      <c r="H454" s="15">
        <v>0.78</v>
      </c>
      <c r="I454" s="191">
        <v>1.1299999999999999</v>
      </c>
      <c r="J454" s="9">
        <v>734.99999999999977</v>
      </c>
      <c r="K454">
        <v>1638</v>
      </c>
      <c r="L454" s="14" t="s">
        <v>63</v>
      </c>
      <c r="M454" s="8" t="s">
        <v>131</v>
      </c>
      <c r="N454">
        <v>2373</v>
      </c>
      <c r="O454" s="38" t="s">
        <v>11</v>
      </c>
      <c r="P454" s="38" t="s">
        <v>16</v>
      </c>
      <c r="Q454">
        <v>2025</v>
      </c>
      <c r="R454" t="s">
        <v>131</v>
      </c>
      <c r="S454" t="s">
        <v>14</v>
      </c>
      <c r="T454" t="s">
        <v>634</v>
      </c>
      <c r="U454" t="str">
        <f>IFERROR(_xlfn.XLOOKUP(A454,'2025 EOY'!A:A,'2025 EOY'!B:B),"No")</f>
        <v>No</v>
      </c>
    </row>
    <row r="455" spans="1:22" x14ac:dyDescent="0.35">
      <c r="A455" s="37" t="s">
        <v>193</v>
      </c>
      <c r="B455" s="12">
        <v>45684</v>
      </c>
      <c r="C455" s="10" t="s">
        <v>15</v>
      </c>
      <c r="D455" s="4" t="s">
        <v>128</v>
      </c>
      <c r="E455" s="253">
        <v>-500</v>
      </c>
      <c r="F455" s="173">
        <v>45747</v>
      </c>
      <c r="G455" s="172">
        <v>45747</v>
      </c>
      <c r="H455" s="15">
        <v>0.78330999999999995</v>
      </c>
      <c r="I455" s="191">
        <v>1.1299999999999999</v>
      </c>
      <c r="J455" s="9">
        <v>-173.34499999999997</v>
      </c>
      <c r="K455">
        <v>-391.65499999999997</v>
      </c>
      <c r="L455" s="14" t="s">
        <v>63</v>
      </c>
      <c r="M455" s="8" t="s">
        <v>129</v>
      </c>
      <c r="N455">
        <v>-565</v>
      </c>
      <c r="O455" s="38" t="s">
        <v>11</v>
      </c>
      <c r="P455" s="38" t="s">
        <v>16</v>
      </c>
      <c r="Q455">
        <v>2025</v>
      </c>
      <c r="R455" t="s">
        <v>129</v>
      </c>
      <c r="S455" t="s">
        <v>14</v>
      </c>
      <c r="T455" t="s">
        <v>635</v>
      </c>
      <c r="U455" t="str">
        <f>IFERROR(_xlfn.XLOOKUP(A455,'2025 EOY'!A:A,'2025 EOY'!B:B),"No")</f>
        <v>No</v>
      </c>
    </row>
    <row r="456" spans="1:22" x14ac:dyDescent="0.35">
      <c r="A456" s="37" t="s">
        <v>127</v>
      </c>
      <c r="B456" s="12">
        <v>45680</v>
      </c>
      <c r="C456" s="10" t="s">
        <v>10</v>
      </c>
      <c r="D456" s="4" t="s">
        <v>128</v>
      </c>
      <c r="E456" s="253">
        <v>1003</v>
      </c>
      <c r="F456" s="172">
        <v>45747</v>
      </c>
      <c r="G456" s="172">
        <v>45747</v>
      </c>
      <c r="H456" s="120">
        <v>-3.64</v>
      </c>
      <c r="I456" s="192">
        <v>-4.2300000000000004</v>
      </c>
      <c r="J456" s="9">
        <v>-591.77000000000032</v>
      </c>
      <c r="K456">
        <v>-3650.92</v>
      </c>
      <c r="L456" s="14" t="s">
        <v>63</v>
      </c>
      <c r="M456" s="8" t="s">
        <v>131</v>
      </c>
      <c r="N456">
        <v>-4242.6900000000005</v>
      </c>
      <c r="O456" s="38" t="s">
        <v>11</v>
      </c>
      <c r="P456" s="38" t="s">
        <v>10</v>
      </c>
      <c r="Q456">
        <v>2025</v>
      </c>
      <c r="R456" t="s">
        <v>131</v>
      </c>
      <c r="S456" t="s">
        <v>14</v>
      </c>
      <c r="T456" t="s">
        <v>636</v>
      </c>
      <c r="U456" t="str">
        <f>IFERROR(_xlfn.XLOOKUP(A456,'2025 EOY'!A:A,'2025 EOY'!B:B),"No")</f>
        <v>No</v>
      </c>
    </row>
    <row r="457" spans="1:22" x14ac:dyDescent="0.35">
      <c r="A457" s="37" t="s">
        <v>127</v>
      </c>
      <c r="B457" s="12">
        <v>45684</v>
      </c>
      <c r="C457" s="10" t="s">
        <v>15</v>
      </c>
      <c r="D457" s="4" t="s">
        <v>128</v>
      </c>
      <c r="E457" s="253">
        <v>-300</v>
      </c>
      <c r="F457" s="173">
        <v>45716</v>
      </c>
      <c r="G457" s="172">
        <v>45716</v>
      </c>
      <c r="H457" s="15">
        <v>1.05131</v>
      </c>
      <c r="I457" s="191">
        <v>0.22</v>
      </c>
      <c r="J457" s="9">
        <v>249.393</v>
      </c>
      <c r="K457">
        <v>-315.39299999999997</v>
      </c>
      <c r="L457" s="14" t="s">
        <v>62</v>
      </c>
      <c r="M457" s="8" t="s">
        <v>129</v>
      </c>
      <c r="N457">
        <v>-66</v>
      </c>
      <c r="O457" s="38" t="s">
        <v>11</v>
      </c>
      <c r="P457" s="38" t="s">
        <v>16</v>
      </c>
      <c r="Q457">
        <v>2025</v>
      </c>
      <c r="R457" t="s">
        <v>129</v>
      </c>
      <c r="S457" t="s">
        <v>14</v>
      </c>
      <c r="T457" t="s">
        <v>637</v>
      </c>
      <c r="U457" t="str">
        <f>IFERROR(_xlfn.XLOOKUP(A457,'2025 EOY'!A:A,'2025 EOY'!B:B),"No")</f>
        <v>No</v>
      </c>
    </row>
    <row r="458" spans="1:22" x14ac:dyDescent="0.35">
      <c r="A458" s="37" t="s">
        <v>127</v>
      </c>
      <c r="B458" s="12">
        <v>45686</v>
      </c>
      <c r="C458" s="10" t="s">
        <v>15</v>
      </c>
      <c r="D458" s="4" t="s">
        <v>128</v>
      </c>
      <c r="E458" s="253">
        <v>-700</v>
      </c>
      <c r="F458" s="173">
        <v>45716</v>
      </c>
      <c r="G458" s="172">
        <v>45716</v>
      </c>
      <c r="H458" s="15">
        <v>1.04131</v>
      </c>
      <c r="I458" s="191">
        <v>0.22</v>
      </c>
      <c r="J458" s="9">
        <v>574.91700000000003</v>
      </c>
      <c r="K458">
        <v>-728.91699999999992</v>
      </c>
      <c r="L458" s="14" t="s">
        <v>62</v>
      </c>
      <c r="M458" s="8" t="s">
        <v>129</v>
      </c>
      <c r="N458">
        <v>-154</v>
      </c>
      <c r="O458" s="38" t="s">
        <v>11</v>
      </c>
      <c r="P458" s="38" t="s">
        <v>16</v>
      </c>
      <c r="Q458">
        <v>2025</v>
      </c>
      <c r="R458" t="s">
        <v>129</v>
      </c>
      <c r="S458" t="s">
        <v>14</v>
      </c>
      <c r="T458" t="s">
        <v>638</v>
      </c>
      <c r="U458" t="str">
        <f>IFERROR(_xlfn.XLOOKUP(A458,'2025 EOY'!A:A,'2025 EOY'!B:B),"No")</f>
        <v>No</v>
      </c>
    </row>
    <row r="459" spans="1:22" x14ac:dyDescent="0.35">
      <c r="A459" s="37" t="s">
        <v>193</v>
      </c>
      <c r="B459" s="12">
        <v>45681</v>
      </c>
      <c r="C459" s="10" t="s">
        <v>10</v>
      </c>
      <c r="D459" s="4" t="s">
        <v>128</v>
      </c>
      <c r="E459" s="253">
        <v>2100</v>
      </c>
      <c r="F459" s="172">
        <v>45777</v>
      </c>
      <c r="G459" s="172">
        <v>45777</v>
      </c>
      <c r="H459" s="15">
        <v>-3.59</v>
      </c>
      <c r="I459" s="192">
        <v>-3.42</v>
      </c>
      <c r="J459" s="9">
        <v>356.99999999999983</v>
      </c>
      <c r="K459">
        <v>-7539</v>
      </c>
      <c r="L459" s="14" t="s">
        <v>64</v>
      </c>
      <c r="M459" s="8" t="s">
        <v>131</v>
      </c>
      <c r="N459">
        <v>-7182</v>
      </c>
      <c r="O459" s="38" t="s">
        <v>11</v>
      </c>
      <c r="P459" s="38" t="s">
        <v>10</v>
      </c>
      <c r="Q459">
        <v>2025</v>
      </c>
      <c r="R459" t="s">
        <v>131</v>
      </c>
      <c r="S459" t="s">
        <v>14</v>
      </c>
      <c r="T459" t="s">
        <v>639</v>
      </c>
      <c r="U459" t="str">
        <f>IFERROR(_xlfn.XLOOKUP(A459,'2025 EOY'!A:A,'2025 EOY'!B:B),"No")</f>
        <v>No</v>
      </c>
    </row>
    <row r="460" spans="1:22" x14ac:dyDescent="0.35">
      <c r="A460" s="37" t="s">
        <v>127</v>
      </c>
      <c r="B460" s="12">
        <v>45681</v>
      </c>
      <c r="C460" s="10" t="s">
        <v>10</v>
      </c>
      <c r="D460" s="4" t="s">
        <v>128</v>
      </c>
      <c r="E460" s="253">
        <v>1900</v>
      </c>
      <c r="F460" s="172">
        <v>45777</v>
      </c>
      <c r="G460" s="172">
        <v>45777</v>
      </c>
      <c r="H460" s="15">
        <v>-3.59</v>
      </c>
      <c r="I460" s="192">
        <v>-3.42</v>
      </c>
      <c r="J460" s="9">
        <v>322.99999999999989</v>
      </c>
      <c r="K460">
        <v>-6821</v>
      </c>
      <c r="L460" s="14" t="s">
        <v>64</v>
      </c>
      <c r="M460" s="8" t="s">
        <v>131</v>
      </c>
      <c r="N460">
        <v>-6498</v>
      </c>
      <c r="O460" s="38" t="s">
        <v>11</v>
      </c>
      <c r="P460" s="38" t="s">
        <v>10</v>
      </c>
      <c r="Q460">
        <v>2025</v>
      </c>
      <c r="R460" t="s">
        <v>131</v>
      </c>
      <c r="S460" t="s">
        <v>14</v>
      </c>
      <c r="T460" t="s">
        <v>640</v>
      </c>
      <c r="U460" t="str">
        <f>IFERROR(_xlfn.XLOOKUP(A460,'2025 EOY'!A:A,'2025 EOY'!B:B),"No")</f>
        <v>No</v>
      </c>
    </row>
    <row r="461" spans="1:22" x14ac:dyDescent="0.35">
      <c r="A461" s="37" t="s">
        <v>193</v>
      </c>
      <c r="B461" s="12">
        <v>45685</v>
      </c>
      <c r="C461" s="10" t="s">
        <v>15</v>
      </c>
      <c r="D461" s="4" t="s">
        <v>128</v>
      </c>
      <c r="E461" s="253">
        <v>-200</v>
      </c>
      <c r="F461" s="173">
        <v>45747</v>
      </c>
      <c r="G461" s="172">
        <v>45747</v>
      </c>
      <c r="H461" s="15">
        <v>0.81130999999999998</v>
      </c>
      <c r="I461" s="191">
        <v>1.1299999999999999</v>
      </c>
      <c r="J461" s="9">
        <v>-63.737999999999985</v>
      </c>
      <c r="K461">
        <v>-162.262</v>
      </c>
      <c r="L461" s="14" t="s">
        <v>63</v>
      </c>
      <c r="M461" s="8" t="s">
        <v>129</v>
      </c>
      <c r="N461">
        <v>-225.99999999999997</v>
      </c>
      <c r="O461" s="38" t="s">
        <v>11</v>
      </c>
      <c r="P461" s="38" t="s">
        <v>16</v>
      </c>
      <c r="Q461">
        <v>2025</v>
      </c>
      <c r="R461" t="s">
        <v>129</v>
      </c>
      <c r="S461" t="s">
        <v>14</v>
      </c>
      <c r="T461" t="s">
        <v>641</v>
      </c>
      <c r="U461" t="str">
        <f>IFERROR(_xlfn.XLOOKUP(A461,'2025 EOY'!A:A,'2025 EOY'!B:B),"No")</f>
        <v>No</v>
      </c>
    </row>
    <row r="462" spans="1:22" x14ac:dyDescent="0.35">
      <c r="A462" s="21" t="s">
        <v>127</v>
      </c>
      <c r="B462" s="175">
        <v>45659</v>
      </c>
      <c r="C462" s="22" t="s">
        <v>15</v>
      </c>
      <c r="D462" s="23" t="s">
        <v>128</v>
      </c>
      <c r="E462" s="256">
        <v>-6193</v>
      </c>
      <c r="F462" s="92">
        <v>45688</v>
      </c>
      <c r="G462" s="24">
        <v>45688</v>
      </c>
      <c r="H462" s="207">
        <v>0.93</v>
      </c>
      <c r="I462" s="196">
        <v>0.93</v>
      </c>
      <c r="J462" s="25">
        <v>0</v>
      </c>
      <c r="K462" s="26">
        <v>-5759.4900000000007</v>
      </c>
      <c r="L462" s="14" t="s">
        <v>61</v>
      </c>
      <c r="M462" s="27" t="s">
        <v>129</v>
      </c>
      <c r="N462" s="26">
        <v>-5759.4900000000007</v>
      </c>
      <c r="O462" s="28" t="s">
        <v>11</v>
      </c>
      <c r="P462" s="38" t="s">
        <v>16</v>
      </c>
      <c r="Q462">
        <v>2025</v>
      </c>
      <c r="R462" t="s">
        <v>129</v>
      </c>
      <c r="S462" t="s">
        <v>14</v>
      </c>
      <c r="T462" t="s">
        <v>642</v>
      </c>
      <c r="U462" t="str">
        <f>IFERROR(_xlfn.XLOOKUP(A462,'2025 EOY'!A:A,'2025 EOY'!B:B),"No")</f>
        <v>No</v>
      </c>
    </row>
    <row r="463" spans="1:22" x14ac:dyDescent="0.35">
      <c r="A463" s="21" t="s">
        <v>127</v>
      </c>
      <c r="B463" s="175">
        <v>45684</v>
      </c>
      <c r="C463" s="22" t="s">
        <v>22</v>
      </c>
      <c r="D463" s="23" t="s">
        <v>128</v>
      </c>
      <c r="E463" s="256">
        <v>-200</v>
      </c>
      <c r="F463" s="92" t="s">
        <v>575</v>
      </c>
      <c r="G463" s="24">
        <v>45688</v>
      </c>
      <c r="H463" s="207">
        <v>0.56999999999999995</v>
      </c>
      <c r="I463" s="196">
        <v>0.36199999999999999</v>
      </c>
      <c r="J463" s="25">
        <v>41.599999999999994</v>
      </c>
      <c r="K463" s="26">
        <v>-113.99999999999999</v>
      </c>
      <c r="L463" s="14" t="s">
        <v>72</v>
      </c>
      <c r="M463" s="27" t="s">
        <v>129</v>
      </c>
      <c r="N463" s="26">
        <v>-72.399999999999991</v>
      </c>
      <c r="O463" s="28" t="s">
        <v>11</v>
      </c>
      <c r="P463" s="38" t="s">
        <v>16</v>
      </c>
      <c r="Q463">
        <v>2025</v>
      </c>
      <c r="R463" t="s">
        <v>129</v>
      </c>
      <c r="S463" t="s">
        <v>14</v>
      </c>
      <c r="T463" t="s">
        <v>643</v>
      </c>
      <c r="U463" t="str">
        <f>IFERROR(_xlfn.XLOOKUP(A463,'2025 EOY'!A:A,'2025 EOY'!B:B),"No")</f>
        <v>No</v>
      </c>
    </row>
    <row r="464" spans="1:22" x14ac:dyDescent="0.35">
      <c r="A464" s="37" t="s">
        <v>127</v>
      </c>
      <c r="B464" s="12">
        <v>45685</v>
      </c>
      <c r="C464" s="10" t="s">
        <v>22</v>
      </c>
      <c r="D464" s="4" t="s">
        <v>128</v>
      </c>
      <c r="E464" s="253">
        <v>-200</v>
      </c>
      <c r="F464" s="173" t="s">
        <v>575</v>
      </c>
      <c r="G464" s="172">
        <v>45688</v>
      </c>
      <c r="H464" s="15">
        <v>0.54500000000000004</v>
      </c>
      <c r="I464" s="191">
        <v>0.36199999999999999</v>
      </c>
      <c r="J464" s="9">
        <v>36.600000000000009</v>
      </c>
      <c r="K464">
        <v>-109.00000000000001</v>
      </c>
      <c r="L464" s="14" t="s">
        <v>72</v>
      </c>
      <c r="M464" s="8" t="s">
        <v>129</v>
      </c>
      <c r="N464">
        <v>-72.399999999999991</v>
      </c>
      <c r="O464" s="38" t="s">
        <v>11</v>
      </c>
      <c r="P464" s="38" t="s">
        <v>16</v>
      </c>
      <c r="Q464">
        <v>2025</v>
      </c>
      <c r="R464" t="s">
        <v>129</v>
      </c>
      <c r="S464" t="s">
        <v>14</v>
      </c>
      <c r="T464" t="s">
        <v>644</v>
      </c>
      <c r="U464" t="str">
        <f>IFERROR(_xlfn.XLOOKUP(A464,'2025 EOY'!A:A,'2025 EOY'!B:B),"No")</f>
        <v>No</v>
      </c>
      <c r="V464">
        <v>1.3809523809523809</v>
      </c>
    </row>
    <row r="465" spans="1:23" x14ac:dyDescent="0.35">
      <c r="A465" s="37" t="s">
        <v>127</v>
      </c>
      <c r="B465" s="12">
        <v>45686</v>
      </c>
      <c r="C465" s="10" t="s">
        <v>22</v>
      </c>
      <c r="D465" s="4" t="s">
        <v>128</v>
      </c>
      <c r="E465" s="253">
        <v>-200</v>
      </c>
      <c r="F465" s="173" t="s">
        <v>575</v>
      </c>
      <c r="G465" s="172">
        <v>45688</v>
      </c>
      <c r="H465" s="15">
        <v>0.41499999999999998</v>
      </c>
      <c r="I465" s="191">
        <v>0.36199999999999999</v>
      </c>
      <c r="J465" s="9">
        <v>10.599999999999998</v>
      </c>
      <c r="K465">
        <v>-83</v>
      </c>
      <c r="L465" s="14" t="s">
        <v>72</v>
      </c>
      <c r="M465" s="8" t="s">
        <v>129</v>
      </c>
      <c r="N465">
        <v>-72.399999999999991</v>
      </c>
      <c r="O465" s="38" t="s">
        <v>11</v>
      </c>
      <c r="P465" s="38" t="s">
        <v>16</v>
      </c>
      <c r="Q465">
        <v>2025</v>
      </c>
      <c r="R465" t="s">
        <v>129</v>
      </c>
      <c r="S465" t="s">
        <v>14</v>
      </c>
      <c r="T465" t="s">
        <v>645</v>
      </c>
      <c r="U465" t="str">
        <f>IFERROR(_xlfn.XLOOKUP(A465,'2025 EOY'!A:A,'2025 EOY'!B:B),"No")</f>
        <v>No</v>
      </c>
    </row>
    <row r="466" spans="1:23" x14ac:dyDescent="0.35">
      <c r="A466" s="37" t="s">
        <v>127</v>
      </c>
      <c r="B466" s="12">
        <v>45687</v>
      </c>
      <c r="C466" s="10" t="s">
        <v>22</v>
      </c>
      <c r="D466" s="4" t="s">
        <v>128</v>
      </c>
      <c r="E466" s="253">
        <v>-200</v>
      </c>
      <c r="F466" s="173" t="s">
        <v>575</v>
      </c>
      <c r="G466" s="172">
        <v>45688</v>
      </c>
      <c r="H466" s="15">
        <v>0.115</v>
      </c>
      <c r="I466" s="191">
        <v>0.36199999999999999</v>
      </c>
      <c r="J466" s="9">
        <v>-49.4</v>
      </c>
      <c r="K466">
        <v>-23</v>
      </c>
      <c r="L466" s="14" t="s">
        <v>72</v>
      </c>
      <c r="M466" s="8" t="s">
        <v>129</v>
      </c>
      <c r="N466">
        <v>-72.399999999999991</v>
      </c>
      <c r="O466" s="38" t="s">
        <v>11</v>
      </c>
      <c r="P466" s="38" t="s">
        <v>16</v>
      </c>
      <c r="Q466">
        <v>2025</v>
      </c>
      <c r="R466" t="s">
        <v>129</v>
      </c>
      <c r="S466" t="s">
        <v>14</v>
      </c>
      <c r="T466" t="s">
        <v>646</v>
      </c>
      <c r="U466" t="str">
        <f>IFERROR(_xlfn.XLOOKUP(A466,'2025 EOY'!A:A,'2025 EOY'!B:B),"No")</f>
        <v>No</v>
      </c>
    </row>
    <row r="467" spans="1:23" x14ac:dyDescent="0.35">
      <c r="A467" s="29" t="s">
        <v>127</v>
      </c>
      <c r="B467" s="176">
        <v>45688</v>
      </c>
      <c r="C467" s="30" t="s">
        <v>22</v>
      </c>
      <c r="D467" s="31" t="s">
        <v>128</v>
      </c>
      <c r="E467" s="253">
        <v>-200</v>
      </c>
      <c r="F467" s="74" t="s">
        <v>575</v>
      </c>
      <c r="G467" s="32">
        <v>45688</v>
      </c>
      <c r="H467" s="208">
        <v>0.16500000000000001</v>
      </c>
      <c r="I467" s="195">
        <v>0.36199999999999999</v>
      </c>
      <c r="J467" s="33">
        <v>-39.4</v>
      </c>
      <c r="K467" s="34">
        <v>-33</v>
      </c>
      <c r="L467" s="14" t="s">
        <v>72</v>
      </c>
      <c r="M467" s="35" t="s">
        <v>129</v>
      </c>
      <c r="N467" s="34">
        <v>-72.399999999999991</v>
      </c>
      <c r="O467" s="36" t="s">
        <v>11</v>
      </c>
      <c r="P467" s="38" t="s">
        <v>16</v>
      </c>
      <c r="Q467">
        <v>2025</v>
      </c>
      <c r="R467" t="s">
        <v>129</v>
      </c>
      <c r="S467" t="s">
        <v>14</v>
      </c>
      <c r="T467" t="s">
        <v>647</v>
      </c>
      <c r="U467" t="str">
        <f>IFERROR(_xlfn.XLOOKUP(A467,'2025 EOY'!A:A,'2025 EOY'!B:B),"No")</f>
        <v>No</v>
      </c>
    </row>
    <row r="468" spans="1:23" x14ac:dyDescent="0.35">
      <c r="A468" s="37" t="s">
        <v>127</v>
      </c>
      <c r="B468" s="12">
        <v>45688</v>
      </c>
      <c r="C468" s="10" t="s">
        <v>15</v>
      </c>
      <c r="D468" s="4" t="s">
        <v>128</v>
      </c>
      <c r="E468" s="253">
        <v>-1450</v>
      </c>
      <c r="F468" s="173">
        <v>45716</v>
      </c>
      <c r="G468" s="172">
        <v>45716</v>
      </c>
      <c r="H468" s="15">
        <v>0.88631000000000004</v>
      </c>
      <c r="I468" s="191">
        <v>0.22</v>
      </c>
      <c r="J468" s="9">
        <v>966.1495000000001</v>
      </c>
      <c r="K468">
        <v>-1285.1495</v>
      </c>
      <c r="L468" s="14" t="s">
        <v>62</v>
      </c>
      <c r="M468" s="8" t="s">
        <v>129</v>
      </c>
      <c r="N468">
        <v>-319</v>
      </c>
      <c r="O468" s="38" t="s">
        <v>11</v>
      </c>
      <c r="P468" s="38" t="s">
        <v>16</v>
      </c>
      <c r="Q468">
        <v>2025</v>
      </c>
      <c r="R468" t="s">
        <v>129</v>
      </c>
      <c r="S468" t="s">
        <v>14</v>
      </c>
      <c r="T468" t="s">
        <v>648</v>
      </c>
      <c r="U468" t="str">
        <f>IFERROR(_xlfn.XLOOKUP(A468,'2025 EOY'!A:A,'2025 EOY'!B:B),"No")</f>
        <v>No</v>
      </c>
      <c r="W468" s="18"/>
    </row>
    <row r="469" spans="1:23" x14ac:dyDescent="0.35">
      <c r="A469" s="37" t="s">
        <v>127</v>
      </c>
      <c r="B469" s="12">
        <v>45683</v>
      </c>
      <c r="C469" s="10" t="s">
        <v>15</v>
      </c>
      <c r="D469" s="4" t="s">
        <v>128</v>
      </c>
      <c r="E469" s="253">
        <v>100</v>
      </c>
      <c r="F469" s="173">
        <v>45747</v>
      </c>
      <c r="G469" s="172">
        <v>45747</v>
      </c>
      <c r="H469" s="15">
        <v>0.6</v>
      </c>
      <c r="I469" s="191">
        <v>1.1299999999999999</v>
      </c>
      <c r="J469" s="9">
        <v>52.999999999999993</v>
      </c>
      <c r="K469">
        <v>60</v>
      </c>
      <c r="L469" s="14" t="s">
        <v>63</v>
      </c>
      <c r="M469" s="8" t="s">
        <v>131</v>
      </c>
      <c r="N469">
        <v>112.99999999999999</v>
      </c>
      <c r="O469" s="38" t="s">
        <v>11</v>
      </c>
      <c r="P469" s="38" t="s">
        <v>16</v>
      </c>
      <c r="Q469">
        <v>2025</v>
      </c>
      <c r="R469" t="s">
        <v>131</v>
      </c>
      <c r="S469" t="s">
        <v>14</v>
      </c>
      <c r="T469" t="s">
        <v>649</v>
      </c>
      <c r="U469" t="str">
        <f>IFERROR(_xlfn.XLOOKUP(A469,'2025 EOY'!A:A,'2025 EOY'!B:B),"No")</f>
        <v>No</v>
      </c>
    </row>
    <row r="470" spans="1:23" x14ac:dyDescent="0.35">
      <c r="A470" s="37" t="s">
        <v>127</v>
      </c>
      <c r="B470" s="12">
        <v>45685</v>
      </c>
      <c r="C470" s="10" t="s">
        <v>3</v>
      </c>
      <c r="D470" s="4" t="s">
        <v>128</v>
      </c>
      <c r="E470" s="253">
        <v>-500</v>
      </c>
      <c r="F470" s="172">
        <v>45747</v>
      </c>
      <c r="G470" s="172">
        <v>45777</v>
      </c>
      <c r="H470" s="15">
        <v>0.82</v>
      </c>
      <c r="I470" s="192">
        <v>0.15</v>
      </c>
      <c r="J470" s="9">
        <v>334.99999999999994</v>
      </c>
      <c r="K470">
        <v>-410</v>
      </c>
      <c r="L470" s="14" t="s">
        <v>56</v>
      </c>
      <c r="M470" s="8" t="s">
        <v>129</v>
      </c>
      <c r="N470">
        <v>-75</v>
      </c>
      <c r="O470" s="38" t="s">
        <v>4</v>
      </c>
      <c r="P470" s="38" t="s">
        <v>3</v>
      </c>
      <c r="Q470">
        <v>2025</v>
      </c>
      <c r="R470" t="s">
        <v>129</v>
      </c>
      <c r="S470" t="s">
        <v>14</v>
      </c>
      <c r="T470" t="s">
        <v>650</v>
      </c>
      <c r="U470" t="str">
        <f>IFERROR(_xlfn.XLOOKUP(A470,'2025 EOY'!A:A,'2025 EOY'!B:B),"No")</f>
        <v>No</v>
      </c>
    </row>
    <row r="471" spans="1:23" x14ac:dyDescent="0.35">
      <c r="A471" s="37" t="s">
        <v>127</v>
      </c>
      <c r="B471" s="12">
        <v>45685</v>
      </c>
      <c r="C471" s="10" t="s">
        <v>3</v>
      </c>
      <c r="D471" s="4" t="s">
        <v>128</v>
      </c>
      <c r="E471" s="253">
        <v>-500</v>
      </c>
      <c r="F471" s="172">
        <v>45777</v>
      </c>
      <c r="G471" s="172">
        <v>45808</v>
      </c>
      <c r="H471" s="15">
        <v>0.79</v>
      </c>
      <c r="I471" s="192">
        <v>0.25</v>
      </c>
      <c r="J471" s="9">
        <v>270</v>
      </c>
      <c r="K471">
        <v>-395</v>
      </c>
      <c r="L471" s="14" t="s">
        <v>57</v>
      </c>
      <c r="M471" s="8" t="s">
        <v>129</v>
      </c>
      <c r="N471">
        <v>-125</v>
      </c>
      <c r="O471" s="38" t="s">
        <v>4</v>
      </c>
      <c r="P471" s="38" t="s">
        <v>3</v>
      </c>
      <c r="Q471">
        <v>2025</v>
      </c>
      <c r="R471" t="s">
        <v>129</v>
      </c>
      <c r="S471" t="s">
        <v>14</v>
      </c>
      <c r="T471" t="s">
        <v>651</v>
      </c>
      <c r="U471" t="str">
        <f>IFERROR(_xlfn.XLOOKUP(A471,'2025 EOY'!A:A,'2025 EOY'!B:B),"No")</f>
        <v>No</v>
      </c>
    </row>
    <row r="472" spans="1:23" x14ac:dyDescent="0.35">
      <c r="A472" s="37" t="s">
        <v>127</v>
      </c>
      <c r="B472" s="12">
        <v>45685</v>
      </c>
      <c r="C472" s="10" t="s">
        <v>10</v>
      </c>
      <c r="D472" s="4" t="s">
        <v>128</v>
      </c>
      <c r="E472" s="253">
        <v>-500</v>
      </c>
      <c r="F472" s="172">
        <v>45808</v>
      </c>
      <c r="G472" s="172">
        <v>45808</v>
      </c>
      <c r="H472" s="120">
        <v>-3.46</v>
      </c>
      <c r="I472" s="192">
        <v>-3.26</v>
      </c>
      <c r="J472" s="9">
        <v>-100.00000000000009</v>
      </c>
      <c r="K472">
        <v>1730</v>
      </c>
      <c r="L472" s="14" t="s">
        <v>65</v>
      </c>
      <c r="M472" s="8" t="s">
        <v>129</v>
      </c>
      <c r="N472">
        <v>1630</v>
      </c>
      <c r="O472" s="38" t="s">
        <v>11</v>
      </c>
      <c r="P472" s="38" t="s">
        <v>10</v>
      </c>
      <c r="Q472">
        <v>2025</v>
      </c>
      <c r="R472" t="s">
        <v>129</v>
      </c>
      <c r="S472" t="s">
        <v>14</v>
      </c>
      <c r="T472" t="s">
        <v>652</v>
      </c>
      <c r="U472" t="str">
        <f>IFERROR(_xlfn.XLOOKUP(A472,'2025 EOY'!A:A,'2025 EOY'!B:B),"No")</f>
        <v>No</v>
      </c>
    </row>
    <row r="473" spans="1:23" x14ac:dyDescent="0.35">
      <c r="A473" s="37" t="s">
        <v>127</v>
      </c>
      <c r="B473" s="12">
        <v>45663</v>
      </c>
      <c r="C473" s="10" t="s">
        <v>15</v>
      </c>
      <c r="D473" s="4" t="s">
        <v>128</v>
      </c>
      <c r="E473" s="253">
        <v>200</v>
      </c>
      <c r="F473" s="173">
        <v>45716</v>
      </c>
      <c r="G473" s="172">
        <v>45716</v>
      </c>
      <c r="H473" s="15">
        <v>1.06</v>
      </c>
      <c r="I473" s="191">
        <v>0.22</v>
      </c>
      <c r="J473" s="9">
        <v>-168.00000000000003</v>
      </c>
      <c r="K473">
        <v>212</v>
      </c>
      <c r="L473" s="14" t="s">
        <v>62</v>
      </c>
      <c r="M473" s="8" t="s">
        <v>131</v>
      </c>
      <c r="N473">
        <v>44</v>
      </c>
      <c r="O473" s="38" t="s">
        <v>11</v>
      </c>
      <c r="P473" s="38" t="s">
        <v>16</v>
      </c>
      <c r="Q473">
        <v>2025</v>
      </c>
      <c r="R473" t="s">
        <v>131</v>
      </c>
      <c r="S473" t="s">
        <v>14</v>
      </c>
      <c r="T473" t="s">
        <v>653</v>
      </c>
      <c r="U473" t="str">
        <f>IFERROR(_xlfn.XLOOKUP(A473,'2025 EOY'!A:A,'2025 EOY'!B:B),"No")</f>
        <v>No</v>
      </c>
    </row>
    <row r="474" spans="1:23" x14ac:dyDescent="0.35">
      <c r="A474" s="37" t="s">
        <v>127</v>
      </c>
      <c r="B474" s="12">
        <v>45681</v>
      </c>
      <c r="C474" s="10" t="s">
        <v>15</v>
      </c>
      <c r="D474" s="4" t="s">
        <v>128</v>
      </c>
      <c r="E474" s="253">
        <v>-600</v>
      </c>
      <c r="F474" s="173">
        <v>45716</v>
      </c>
      <c r="G474" s="172">
        <v>45716</v>
      </c>
      <c r="H474" s="15">
        <v>0.99</v>
      </c>
      <c r="I474" s="191">
        <v>0.22</v>
      </c>
      <c r="J474" s="9">
        <v>462</v>
      </c>
      <c r="K474">
        <v>-594</v>
      </c>
      <c r="L474" s="14" t="s">
        <v>62</v>
      </c>
      <c r="M474" s="8" t="s">
        <v>129</v>
      </c>
      <c r="N474">
        <v>-132</v>
      </c>
      <c r="O474" s="38" t="s">
        <v>11</v>
      </c>
      <c r="P474" s="38" t="s">
        <v>16</v>
      </c>
      <c r="Q474">
        <v>2025</v>
      </c>
      <c r="R474" t="s">
        <v>129</v>
      </c>
      <c r="S474" t="s">
        <v>14</v>
      </c>
      <c r="T474" t="s">
        <v>654</v>
      </c>
      <c r="U474" t="str">
        <f>IFERROR(_xlfn.XLOOKUP(A474,'2025 EOY'!A:A,'2025 EOY'!B:B),"No")</f>
        <v>No</v>
      </c>
    </row>
    <row r="475" spans="1:23" x14ac:dyDescent="0.35">
      <c r="A475" s="37" t="s">
        <v>127</v>
      </c>
      <c r="B475" s="12">
        <v>45686</v>
      </c>
      <c r="C475" s="10" t="s">
        <v>3</v>
      </c>
      <c r="D475" s="4" t="s">
        <v>128</v>
      </c>
      <c r="E475" s="253">
        <v>250</v>
      </c>
      <c r="F475" s="172">
        <v>45747</v>
      </c>
      <c r="G475" s="172">
        <v>45777</v>
      </c>
      <c r="H475" s="15">
        <v>0.6750000000000006</v>
      </c>
      <c r="I475" s="192">
        <v>0.15</v>
      </c>
      <c r="J475" s="9">
        <v>-131.25000000000014</v>
      </c>
      <c r="K475">
        <v>168.75000000000014</v>
      </c>
      <c r="L475" s="14" t="s">
        <v>56</v>
      </c>
      <c r="M475" s="8" t="s">
        <v>131</v>
      </c>
      <c r="N475">
        <v>37.5</v>
      </c>
      <c r="O475" s="38" t="s">
        <v>4</v>
      </c>
      <c r="P475" s="38" t="s">
        <v>3</v>
      </c>
      <c r="Q475">
        <v>2025</v>
      </c>
      <c r="R475" t="s">
        <v>131</v>
      </c>
      <c r="S475" t="s">
        <v>14</v>
      </c>
      <c r="T475" t="s">
        <v>655</v>
      </c>
      <c r="U475" t="str">
        <f>IFERROR(_xlfn.XLOOKUP(A475,'2025 EOY'!A:A,'2025 EOY'!B:B),"No")</f>
        <v>No</v>
      </c>
    </row>
    <row r="476" spans="1:23" x14ac:dyDescent="0.35">
      <c r="A476" s="37" t="s">
        <v>127</v>
      </c>
      <c r="B476" s="12">
        <v>45686</v>
      </c>
      <c r="C476" s="10" t="s">
        <v>3</v>
      </c>
      <c r="D476" s="4" t="s">
        <v>128</v>
      </c>
      <c r="E476" s="253">
        <v>250</v>
      </c>
      <c r="F476" s="172">
        <v>45777</v>
      </c>
      <c r="G476" s="172">
        <v>45808</v>
      </c>
      <c r="H476" s="15">
        <v>0.69500000000001083</v>
      </c>
      <c r="I476" s="192">
        <v>0.25</v>
      </c>
      <c r="J476" s="9">
        <v>-111.25000000000271</v>
      </c>
      <c r="K476">
        <v>173.7500000000027</v>
      </c>
      <c r="L476" s="14" t="s">
        <v>57</v>
      </c>
      <c r="M476" s="8" t="s">
        <v>131</v>
      </c>
      <c r="N476">
        <v>62.5</v>
      </c>
      <c r="O476" s="38" t="s">
        <v>4</v>
      </c>
      <c r="P476" s="38" t="s">
        <v>3</v>
      </c>
      <c r="Q476">
        <v>2025</v>
      </c>
      <c r="R476" t="s">
        <v>131</v>
      </c>
      <c r="S476" t="s">
        <v>14</v>
      </c>
      <c r="T476" t="s">
        <v>656</v>
      </c>
      <c r="U476" t="str">
        <f>IFERROR(_xlfn.XLOOKUP(A476,'2025 EOY'!A:A,'2025 EOY'!B:B),"No")</f>
        <v>No</v>
      </c>
    </row>
    <row r="477" spans="1:23" x14ac:dyDescent="0.35">
      <c r="A477" s="37" t="s">
        <v>127</v>
      </c>
      <c r="B477" s="12">
        <v>45686</v>
      </c>
      <c r="C477" s="10" t="s">
        <v>10</v>
      </c>
      <c r="D477" s="4" t="s">
        <v>128</v>
      </c>
      <c r="E477" s="253">
        <v>250</v>
      </c>
      <c r="F477" s="172">
        <v>45808</v>
      </c>
      <c r="G477" s="172">
        <v>45808</v>
      </c>
      <c r="H477" s="15">
        <v>-3.4450000000000038</v>
      </c>
      <c r="I477" s="192">
        <v>-3.26</v>
      </c>
      <c r="J477" s="9">
        <v>46.250000000001009</v>
      </c>
      <c r="K477">
        <v>-861.25000000000091</v>
      </c>
      <c r="L477" s="14" t="s">
        <v>65</v>
      </c>
      <c r="M477" s="8" t="s">
        <v>131</v>
      </c>
      <c r="N477">
        <v>-815</v>
      </c>
      <c r="O477" s="38" t="s">
        <v>11</v>
      </c>
      <c r="P477" s="38" t="s">
        <v>10</v>
      </c>
      <c r="Q477">
        <v>2025</v>
      </c>
      <c r="R477" t="s">
        <v>131</v>
      </c>
      <c r="S477" t="s">
        <v>14</v>
      </c>
      <c r="T477" t="s">
        <v>657</v>
      </c>
      <c r="U477" t="str">
        <f>IFERROR(_xlfn.XLOOKUP(A477,'2025 EOY'!A:A,'2025 EOY'!B:B),"No")</f>
        <v>No</v>
      </c>
    </row>
    <row r="478" spans="1:23" x14ac:dyDescent="0.35">
      <c r="A478" s="37" t="s">
        <v>127</v>
      </c>
      <c r="B478" s="12">
        <v>45686</v>
      </c>
      <c r="C478" s="10" t="s">
        <v>3</v>
      </c>
      <c r="D478" s="4" t="s">
        <v>128</v>
      </c>
      <c r="E478" s="259">
        <v>350</v>
      </c>
      <c r="F478" s="172">
        <v>45747</v>
      </c>
      <c r="G478" s="172">
        <v>45777</v>
      </c>
      <c r="H478" s="15">
        <v>0.66</v>
      </c>
      <c r="I478" s="192">
        <v>0.15</v>
      </c>
      <c r="J478" s="9">
        <v>-178.5</v>
      </c>
      <c r="K478">
        <v>231</v>
      </c>
      <c r="L478" s="14" t="s">
        <v>56</v>
      </c>
      <c r="M478" s="8" t="s">
        <v>131</v>
      </c>
      <c r="N478">
        <v>52.5</v>
      </c>
      <c r="O478" s="38" t="s">
        <v>4</v>
      </c>
      <c r="P478" s="38" t="s">
        <v>3</v>
      </c>
      <c r="Q478">
        <v>2025</v>
      </c>
      <c r="R478" t="s">
        <v>131</v>
      </c>
      <c r="S478" t="s">
        <v>14</v>
      </c>
      <c r="T478" t="s">
        <v>658</v>
      </c>
      <c r="U478" t="str">
        <f>IFERROR(_xlfn.XLOOKUP(A478,'2025 EOY'!A:A,'2025 EOY'!B:B),"No")</f>
        <v>No</v>
      </c>
    </row>
    <row r="479" spans="1:23" x14ac:dyDescent="0.35">
      <c r="A479" s="37" t="s">
        <v>127</v>
      </c>
      <c r="B479" s="12">
        <v>45686</v>
      </c>
      <c r="C479" s="10" t="s">
        <v>3</v>
      </c>
      <c r="D479" s="4" t="s">
        <v>128</v>
      </c>
      <c r="E479" s="259">
        <v>350</v>
      </c>
      <c r="F479" s="172">
        <v>45747</v>
      </c>
      <c r="G479" s="172">
        <v>45777</v>
      </c>
      <c r="H479" s="15">
        <v>0.64</v>
      </c>
      <c r="I479" s="192">
        <v>0.15</v>
      </c>
      <c r="J479" s="9">
        <v>-171.5</v>
      </c>
      <c r="K479">
        <v>224</v>
      </c>
      <c r="L479" s="14" t="s">
        <v>56</v>
      </c>
      <c r="M479" s="8" t="s">
        <v>131</v>
      </c>
      <c r="N479">
        <v>52.5</v>
      </c>
      <c r="O479" s="38" t="s">
        <v>4</v>
      </c>
      <c r="P479" s="38" t="s">
        <v>3</v>
      </c>
      <c r="Q479">
        <v>2025</v>
      </c>
      <c r="R479" t="s">
        <v>131</v>
      </c>
      <c r="S479" t="s">
        <v>14</v>
      </c>
      <c r="T479" t="s">
        <v>659</v>
      </c>
      <c r="U479" t="str">
        <f>IFERROR(_xlfn.XLOOKUP(A479,'2025 EOY'!A:A,'2025 EOY'!B:B),"No")</f>
        <v>No</v>
      </c>
    </row>
    <row r="480" spans="1:23" x14ac:dyDescent="0.35">
      <c r="A480" s="37" t="s">
        <v>127</v>
      </c>
      <c r="B480" s="12">
        <v>45686</v>
      </c>
      <c r="C480" s="10" t="s">
        <v>10</v>
      </c>
      <c r="D480" s="4" t="s">
        <v>128</v>
      </c>
      <c r="E480" s="253">
        <v>100</v>
      </c>
      <c r="F480" s="172">
        <v>45747</v>
      </c>
      <c r="G480" s="172">
        <v>45747</v>
      </c>
      <c r="H480" s="15">
        <v>-3.96</v>
      </c>
      <c r="I480" s="192">
        <v>-4.2300000000000004</v>
      </c>
      <c r="J480" s="9">
        <v>-27.000000000000046</v>
      </c>
      <c r="K480">
        <v>-396</v>
      </c>
      <c r="L480" s="14" t="s">
        <v>63</v>
      </c>
      <c r="M480" s="8" t="s">
        <v>131</v>
      </c>
      <c r="N480">
        <v>-423.00000000000006</v>
      </c>
      <c r="O480" s="38" t="s">
        <v>11</v>
      </c>
      <c r="P480" s="38" t="s">
        <v>10</v>
      </c>
      <c r="Q480">
        <v>2025</v>
      </c>
      <c r="R480" t="s">
        <v>131</v>
      </c>
      <c r="S480" t="s">
        <v>14</v>
      </c>
      <c r="T480" t="s">
        <v>660</v>
      </c>
      <c r="U480" t="str">
        <f>IFERROR(_xlfn.XLOOKUP(A480,'2025 EOY'!A:A,'2025 EOY'!B:B),"No")</f>
        <v>No</v>
      </c>
    </row>
    <row r="481" spans="1:21" x14ac:dyDescent="0.35">
      <c r="A481" s="37" t="s">
        <v>127</v>
      </c>
      <c r="B481" s="12">
        <v>45686</v>
      </c>
      <c r="C481" s="10" t="s">
        <v>10</v>
      </c>
      <c r="D481" s="4" t="s">
        <v>128</v>
      </c>
      <c r="E481" s="253">
        <v>100</v>
      </c>
      <c r="F481" s="172">
        <v>45747</v>
      </c>
      <c r="G481" s="172">
        <v>45747</v>
      </c>
      <c r="H481" s="15">
        <v>-3.96</v>
      </c>
      <c r="I481" s="192">
        <v>-4.2300000000000004</v>
      </c>
      <c r="J481" s="9">
        <v>-27.000000000000046</v>
      </c>
      <c r="K481">
        <v>-396</v>
      </c>
      <c r="L481" s="14" t="s">
        <v>63</v>
      </c>
      <c r="M481" s="8" t="s">
        <v>131</v>
      </c>
      <c r="N481">
        <v>-423.00000000000006</v>
      </c>
      <c r="O481" s="38" t="s">
        <v>11</v>
      </c>
      <c r="P481" s="38" t="s">
        <v>10</v>
      </c>
      <c r="Q481">
        <v>2025</v>
      </c>
      <c r="R481" t="s">
        <v>131</v>
      </c>
      <c r="S481" t="s">
        <v>14</v>
      </c>
      <c r="T481" t="s">
        <v>661</v>
      </c>
      <c r="U481" t="str">
        <f>IFERROR(_xlfn.XLOOKUP(A481,'2025 EOY'!A:A,'2025 EOY'!B:B),"No")</f>
        <v>No</v>
      </c>
    </row>
    <row r="482" spans="1:21" x14ac:dyDescent="0.35">
      <c r="A482" s="37" t="s">
        <v>127</v>
      </c>
      <c r="B482" s="12">
        <v>45686</v>
      </c>
      <c r="C482" s="10" t="s">
        <v>10</v>
      </c>
      <c r="D482" s="4" t="s">
        <v>128</v>
      </c>
      <c r="E482" s="253">
        <v>200</v>
      </c>
      <c r="F482" s="172">
        <v>45747</v>
      </c>
      <c r="G482" s="172">
        <v>45747</v>
      </c>
      <c r="H482" s="15">
        <v>-3.98</v>
      </c>
      <c r="I482" s="192">
        <v>-4.2300000000000004</v>
      </c>
      <c r="J482" s="9">
        <v>-50.000000000000085</v>
      </c>
      <c r="K482">
        <v>-796</v>
      </c>
      <c r="L482" s="14" t="s">
        <v>63</v>
      </c>
      <c r="M482" s="8" t="s">
        <v>131</v>
      </c>
      <c r="N482">
        <v>-846.00000000000011</v>
      </c>
      <c r="O482" s="38" t="s">
        <v>11</v>
      </c>
      <c r="P482" s="38" t="s">
        <v>10</v>
      </c>
      <c r="Q482">
        <v>2025</v>
      </c>
      <c r="R482" t="s">
        <v>131</v>
      </c>
      <c r="S482" t="s">
        <v>14</v>
      </c>
      <c r="T482" t="s">
        <v>662</v>
      </c>
      <c r="U482" t="str">
        <f>IFERROR(_xlfn.XLOOKUP(A482,'2025 EOY'!A:A,'2025 EOY'!B:B),"No")</f>
        <v>No</v>
      </c>
    </row>
    <row r="483" spans="1:21" x14ac:dyDescent="0.35">
      <c r="A483" s="37" t="s">
        <v>127</v>
      </c>
      <c r="B483" s="12">
        <v>45686</v>
      </c>
      <c r="C483" s="10" t="s">
        <v>15</v>
      </c>
      <c r="D483" s="4" t="s">
        <v>128</v>
      </c>
      <c r="E483" s="253">
        <v>-500</v>
      </c>
      <c r="F483" s="173">
        <v>45716</v>
      </c>
      <c r="G483" s="172">
        <v>45716</v>
      </c>
      <c r="H483" s="15">
        <v>1.06</v>
      </c>
      <c r="I483" s="191">
        <v>0.22</v>
      </c>
      <c r="J483" s="9">
        <v>420.00000000000006</v>
      </c>
      <c r="K483">
        <v>-530</v>
      </c>
      <c r="L483" s="14" t="s">
        <v>62</v>
      </c>
      <c r="M483" s="8" t="s">
        <v>129</v>
      </c>
      <c r="N483">
        <v>-110</v>
      </c>
      <c r="O483" s="38" t="s">
        <v>11</v>
      </c>
      <c r="P483" s="38" t="s">
        <v>16</v>
      </c>
      <c r="Q483">
        <v>2025</v>
      </c>
      <c r="R483" t="s">
        <v>129</v>
      </c>
      <c r="S483" t="s">
        <v>14</v>
      </c>
      <c r="T483" t="s">
        <v>663</v>
      </c>
      <c r="U483" t="str">
        <f>IFERROR(_xlfn.XLOOKUP(A483,'2025 EOY'!A:A,'2025 EOY'!B:B),"No")</f>
        <v>No</v>
      </c>
    </row>
    <row r="484" spans="1:21" x14ac:dyDescent="0.35">
      <c r="A484" s="37" t="s">
        <v>127</v>
      </c>
      <c r="B484" s="12">
        <v>45688</v>
      </c>
      <c r="C484" s="10" t="s">
        <v>3</v>
      </c>
      <c r="D484" s="4" t="s">
        <v>128</v>
      </c>
      <c r="E484" s="259">
        <v>350</v>
      </c>
      <c r="F484" s="172">
        <v>45747</v>
      </c>
      <c r="G484" s="172">
        <v>45777</v>
      </c>
      <c r="H484" s="15">
        <v>0.62</v>
      </c>
      <c r="I484" s="192">
        <v>0.15</v>
      </c>
      <c r="J484" s="9">
        <v>-164.5</v>
      </c>
      <c r="K484">
        <v>217</v>
      </c>
      <c r="L484" s="14" t="s">
        <v>56</v>
      </c>
      <c r="M484" s="8" t="s">
        <v>131</v>
      </c>
      <c r="N484">
        <v>52.5</v>
      </c>
      <c r="O484" s="38" t="s">
        <v>4</v>
      </c>
      <c r="P484" s="38" t="s">
        <v>3</v>
      </c>
      <c r="Q484">
        <v>2025</v>
      </c>
      <c r="R484" t="s">
        <v>131</v>
      </c>
      <c r="S484" t="s">
        <v>14</v>
      </c>
      <c r="T484" t="s">
        <v>664</v>
      </c>
      <c r="U484" t="str">
        <f>IFERROR(_xlfn.XLOOKUP(A484,'2025 EOY'!A:A,'2025 EOY'!B:B),"No")</f>
        <v>No</v>
      </c>
    </row>
    <row r="485" spans="1:21" x14ac:dyDescent="0.35">
      <c r="A485" s="37" t="s">
        <v>193</v>
      </c>
      <c r="B485" s="12">
        <v>45688</v>
      </c>
      <c r="C485" s="10" t="s">
        <v>7</v>
      </c>
      <c r="D485" s="4" t="s">
        <v>268</v>
      </c>
      <c r="E485" s="253">
        <v>26</v>
      </c>
      <c r="F485" s="172">
        <v>45747</v>
      </c>
      <c r="G485" s="172">
        <v>45777</v>
      </c>
      <c r="H485" s="15">
        <v>0.98</v>
      </c>
      <c r="I485" s="192">
        <v>1.0900000000000001</v>
      </c>
      <c r="J485" s="9">
        <v>2.8600000000000025</v>
      </c>
      <c r="K485">
        <v>25.48</v>
      </c>
      <c r="L485" s="14" t="s">
        <v>56</v>
      </c>
      <c r="M485" s="8" t="s">
        <v>131</v>
      </c>
      <c r="N485">
        <v>28.340000000000003</v>
      </c>
      <c r="O485" s="38" t="s">
        <v>4</v>
      </c>
      <c r="P485" s="38" t="s">
        <v>7</v>
      </c>
      <c r="Q485">
        <v>2025</v>
      </c>
      <c r="R485" t="s">
        <v>131</v>
      </c>
      <c r="S485" t="s">
        <v>14</v>
      </c>
      <c r="T485" t="s">
        <v>665</v>
      </c>
      <c r="U485" t="str">
        <f>IFERROR(_xlfn.XLOOKUP(A485,'2025 EOY'!A:A,'2025 EOY'!B:B),"No")</f>
        <v>No</v>
      </c>
    </row>
    <row r="486" spans="1:21" x14ac:dyDescent="0.35">
      <c r="A486" s="37" t="s">
        <v>127</v>
      </c>
      <c r="B486" s="12">
        <v>45686</v>
      </c>
      <c r="C486" s="10" t="s">
        <v>10</v>
      </c>
      <c r="D486" s="4" t="s">
        <v>128</v>
      </c>
      <c r="E486" s="253">
        <v>111</v>
      </c>
      <c r="F486" s="172">
        <v>45747</v>
      </c>
      <c r="G486" s="172">
        <v>45747</v>
      </c>
      <c r="H486" s="15">
        <v>-4.04</v>
      </c>
      <c r="I486" s="192">
        <v>-4.2300000000000004</v>
      </c>
      <c r="J486" s="9">
        <v>-21.090000000000042</v>
      </c>
      <c r="K486">
        <v>-448.44</v>
      </c>
      <c r="L486" s="14" t="s">
        <v>63</v>
      </c>
      <c r="M486" s="8" t="s">
        <v>131</v>
      </c>
      <c r="N486">
        <v>-469.53000000000003</v>
      </c>
      <c r="O486" s="38" t="s">
        <v>11</v>
      </c>
      <c r="P486" s="38" t="s">
        <v>10</v>
      </c>
      <c r="Q486">
        <v>2025</v>
      </c>
      <c r="R486" t="s">
        <v>131</v>
      </c>
      <c r="S486" t="s">
        <v>14</v>
      </c>
      <c r="T486" t="s">
        <v>666</v>
      </c>
      <c r="U486" t="str">
        <f>IFERROR(_xlfn.XLOOKUP(A486,'2025 EOY'!A:A,'2025 EOY'!B:B),"No")</f>
        <v>No</v>
      </c>
    </row>
    <row r="487" spans="1:21" x14ac:dyDescent="0.35">
      <c r="A487" s="37" t="s">
        <v>127</v>
      </c>
      <c r="B487" s="12">
        <v>45691</v>
      </c>
      <c r="C487" s="10" t="s">
        <v>3</v>
      </c>
      <c r="D487" s="4" t="s">
        <v>128</v>
      </c>
      <c r="E487" s="259">
        <v>300</v>
      </c>
      <c r="F487" s="172">
        <v>45747</v>
      </c>
      <c r="G487" s="172">
        <v>45777</v>
      </c>
      <c r="H487" s="15">
        <v>0.55000000000000004</v>
      </c>
      <c r="I487" s="192">
        <v>0.15</v>
      </c>
      <c r="J487" s="9">
        <v>-120</v>
      </c>
      <c r="K487">
        <v>165</v>
      </c>
      <c r="L487" s="14" t="s">
        <v>56</v>
      </c>
      <c r="M487" s="8" t="s">
        <v>131</v>
      </c>
      <c r="N487">
        <v>45</v>
      </c>
      <c r="O487" s="38" t="s">
        <v>4</v>
      </c>
      <c r="P487" s="38" t="s">
        <v>3</v>
      </c>
      <c r="Q487">
        <v>2025</v>
      </c>
      <c r="R487" t="s">
        <v>131</v>
      </c>
      <c r="S487" t="s">
        <v>14</v>
      </c>
      <c r="T487" t="s">
        <v>667</v>
      </c>
      <c r="U487" t="str">
        <f>IFERROR(_xlfn.XLOOKUP(A487,'2025 EOY'!A:A,'2025 EOY'!B:B),"No")</f>
        <v>No</v>
      </c>
    </row>
    <row r="488" spans="1:21" x14ac:dyDescent="0.35">
      <c r="A488" s="37" t="s">
        <v>127</v>
      </c>
      <c r="B488" s="12">
        <v>45691</v>
      </c>
      <c r="C488" s="10" t="s">
        <v>3</v>
      </c>
      <c r="D488" s="4" t="s">
        <v>128</v>
      </c>
      <c r="E488" s="259">
        <v>300</v>
      </c>
      <c r="F488" s="172">
        <v>45747</v>
      </c>
      <c r="G488" s="172">
        <v>45777</v>
      </c>
      <c r="H488" s="15">
        <v>0.54</v>
      </c>
      <c r="I488" s="192">
        <v>0.15</v>
      </c>
      <c r="J488" s="9">
        <v>-117</v>
      </c>
      <c r="K488">
        <v>162</v>
      </c>
      <c r="L488" s="14" t="s">
        <v>56</v>
      </c>
      <c r="M488" s="8" t="s">
        <v>131</v>
      </c>
      <c r="N488">
        <v>45</v>
      </c>
      <c r="O488" s="38" t="s">
        <v>4</v>
      </c>
      <c r="P488" s="38" t="s">
        <v>3</v>
      </c>
      <c r="Q488">
        <v>2025</v>
      </c>
      <c r="R488" t="s">
        <v>131</v>
      </c>
      <c r="S488" t="s">
        <v>14</v>
      </c>
      <c r="T488" t="s">
        <v>668</v>
      </c>
      <c r="U488" t="str">
        <f>IFERROR(_xlfn.XLOOKUP(A488,'2025 EOY'!A:A,'2025 EOY'!B:B),"No")</f>
        <v>No</v>
      </c>
    </row>
    <row r="489" spans="1:21" x14ac:dyDescent="0.35">
      <c r="A489" s="37" t="s">
        <v>127</v>
      </c>
      <c r="B489" s="12">
        <v>45691</v>
      </c>
      <c r="C489" s="10" t="s">
        <v>3</v>
      </c>
      <c r="D489" s="4" t="s">
        <v>128</v>
      </c>
      <c r="E489" s="259">
        <v>184</v>
      </c>
      <c r="F489" s="172">
        <v>45747</v>
      </c>
      <c r="G489" s="172">
        <v>45777</v>
      </c>
      <c r="H489" s="15">
        <v>0.53</v>
      </c>
      <c r="I489" s="192">
        <v>0.15</v>
      </c>
      <c r="J489" s="9">
        <v>-69.92</v>
      </c>
      <c r="K489">
        <v>97.52000000000001</v>
      </c>
      <c r="L489" s="14" t="s">
        <v>56</v>
      </c>
      <c r="M489" s="8" t="s">
        <v>131</v>
      </c>
      <c r="N489">
        <v>27.599999999999998</v>
      </c>
      <c r="O489" s="38" t="s">
        <v>4</v>
      </c>
      <c r="P489" s="38" t="s">
        <v>3</v>
      </c>
      <c r="Q489">
        <v>2025</v>
      </c>
      <c r="R489" t="s">
        <v>131</v>
      </c>
      <c r="S489" t="s">
        <v>14</v>
      </c>
      <c r="T489" t="s">
        <v>669</v>
      </c>
      <c r="U489" t="str">
        <f>IFERROR(_xlfn.XLOOKUP(A489,'2025 EOY'!A:A,'2025 EOY'!B:B),"No")</f>
        <v>No</v>
      </c>
    </row>
    <row r="490" spans="1:21" x14ac:dyDescent="0.35">
      <c r="A490" s="37" t="s">
        <v>127</v>
      </c>
      <c r="B490" s="12">
        <v>45692</v>
      </c>
      <c r="C490" s="10" t="s">
        <v>3</v>
      </c>
      <c r="D490" s="4" t="s">
        <v>128</v>
      </c>
      <c r="E490" s="259">
        <v>116</v>
      </c>
      <c r="F490" s="172">
        <v>45747</v>
      </c>
      <c r="G490" s="172">
        <v>45777</v>
      </c>
      <c r="H490" s="15">
        <v>0.53</v>
      </c>
      <c r="I490" s="192">
        <v>0.15</v>
      </c>
      <c r="J490" s="9">
        <v>-44.08</v>
      </c>
      <c r="K490">
        <v>61.480000000000004</v>
      </c>
      <c r="L490" s="14" t="s">
        <v>56</v>
      </c>
      <c r="M490" s="8" t="s">
        <v>131</v>
      </c>
      <c r="N490">
        <v>17.399999999999999</v>
      </c>
      <c r="O490" s="38" t="s">
        <v>4</v>
      </c>
      <c r="P490" s="38" t="s">
        <v>3</v>
      </c>
      <c r="Q490">
        <v>2025</v>
      </c>
      <c r="R490" t="s">
        <v>131</v>
      </c>
      <c r="S490" t="s">
        <v>14</v>
      </c>
      <c r="T490" t="s">
        <v>670</v>
      </c>
      <c r="U490" t="str">
        <f>IFERROR(_xlfn.XLOOKUP(A490,'2025 EOY'!A:A,'2025 EOY'!B:B),"No")</f>
        <v>No</v>
      </c>
    </row>
    <row r="491" spans="1:21" x14ac:dyDescent="0.35">
      <c r="A491" s="37" t="s">
        <v>127</v>
      </c>
      <c r="B491" s="12">
        <v>45692</v>
      </c>
      <c r="C491" s="10" t="s">
        <v>3</v>
      </c>
      <c r="D491" s="4" t="s">
        <v>128</v>
      </c>
      <c r="E491" s="259">
        <v>300</v>
      </c>
      <c r="F491" s="172">
        <v>45747</v>
      </c>
      <c r="G491" s="172">
        <v>45777</v>
      </c>
      <c r="H491" s="15">
        <v>0.52</v>
      </c>
      <c r="I491" s="192">
        <v>0.15</v>
      </c>
      <c r="J491" s="9">
        <v>-111</v>
      </c>
      <c r="K491">
        <v>156</v>
      </c>
      <c r="L491" s="14" t="s">
        <v>56</v>
      </c>
      <c r="M491" s="8" t="s">
        <v>131</v>
      </c>
      <c r="N491">
        <v>45</v>
      </c>
      <c r="O491" s="38" t="s">
        <v>4</v>
      </c>
      <c r="P491" s="38" t="s">
        <v>3</v>
      </c>
      <c r="Q491">
        <v>2025</v>
      </c>
      <c r="R491" t="s">
        <v>131</v>
      </c>
      <c r="S491" t="s">
        <v>14</v>
      </c>
      <c r="T491" t="s">
        <v>671</v>
      </c>
      <c r="U491" t="str">
        <f>IFERROR(_xlfn.XLOOKUP(A491,'2025 EOY'!A:A,'2025 EOY'!B:B),"No")</f>
        <v>No</v>
      </c>
    </row>
    <row r="492" spans="1:21" x14ac:dyDescent="0.35">
      <c r="A492" s="37" t="s">
        <v>127</v>
      </c>
      <c r="B492" s="12">
        <v>45692</v>
      </c>
      <c r="C492" s="10" t="s">
        <v>3</v>
      </c>
      <c r="D492" s="4" t="s">
        <v>128</v>
      </c>
      <c r="E492" s="259">
        <v>300</v>
      </c>
      <c r="F492" s="172">
        <v>45747</v>
      </c>
      <c r="G492" s="172">
        <v>45777</v>
      </c>
      <c r="H492" s="15">
        <v>0.5</v>
      </c>
      <c r="I492" s="192">
        <v>0.15</v>
      </c>
      <c r="J492" s="9">
        <v>-105</v>
      </c>
      <c r="K492">
        <v>150</v>
      </c>
      <c r="L492" s="14" t="s">
        <v>56</v>
      </c>
      <c r="M492" s="8" t="s">
        <v>131</v>
      </c>
      <c r="N492">
        <v>45</v>
      </c>
      <c r="O492" s="38" t="s">
        <v>4</v>
      </c>
      <c r="P492" s="38" t="s">
        <v>3</v>
      </c>
      <c r="Q492">
        <v>2025</v>
      </c>
      <c r="R492" t="s">
        <v>131</v>
      </c>
      <c r="S492" t="s">
        <v>14</v>
      </c>
      <c r="T492" t="s">
        <v>672</v>
      </c>
      <c r="U492" t="str">
        <f>IFERROR(_xlfn.XLOOKUP(A492,'2025 EOY'!A:A,'2025 EOY'!B:B),"No")</f>
        <v>No</v>
      </c>
    </row>
    <row r="493" spans="1:21" x14ac:dyDescent="0.35">
      <c r="A493" s="37" t="s">
        <v>127</v>
      </c>
      <c r="B493" s="174">
        <v>45692</v>
      </c>
      <c r="C493" s="47" t="s">
        <v>25</v>
      </c>
      <c r="D493" t="s">
        <v>128</v>
      </c>
      <c r="E493" s="253">
        <v>500</v>
      </c>
      <c r="F493" s="173">
        <v>45747</v>
      </c>
      <c r="G493" s="172">
        <v>45777</v>
      </c>
      <c r="H493" s="100">
        <v>0.4</v>
      </c>
      <c r="I493" s="192">
        <v>0.15</v>
      </c>
      <c r="J493" s="9">
        <v>-125</v>
      </c>
      <c r="K493">
        <v>200</v>
      </c>
      <c r="L493" s="14" t="s">
        <v>56</v>
      </c>
      <c r="M493" s="8" t="s">
        <v>131</v>
      </c>
      <c r="N493">
        <v>75</v>
      </c>
      <c r="O493" s="38" t="s">
        <v>4</v>
      </c>
      <c r="P493" s="38" t="s">
        <v>3</v>
      </c>
      <c r="Q493">
        <v>2025</v>
      </c>
      <c r="R493" t="s">
        <v>131</v>
      </c>
      <c r="S493" t="s">
        <v>14</v>
      </c>
      <c r="T493" t="s">
        <v>673</v>
      </c>
      <c r="U493" t="str">
        <f>IFERROR(_xlfn.XLOOKUP(A493,'2025 EOY'!A:A,'2025 EOY'!B:B),"No")</f>
        <v>No</v>
      </c>
    </row>
    <row r="494" spans="1:21" x14ac:dyDescent="0.35">
      <c r="A494" s="37" t="s">
        <v>127</v>
      </c>
      <c r="B494" s="174">
        <v>45692</v>
      </c>
      <c r="C494" s="47" t="s">
        <v>25</v>
      </c>
      <c r="D494" t="s">
        <v>128</v>
      </c>
      <c r="E494" s="253">
        <v>-500</v>
      </c>
      <c r="F494" s="173">
        <v>45777</v>
      </c>
      <c r="G494" s="172">
        <v>45808</v>
      </c>
      <c r="H494" s="100">
        <v>0.51</v>
      </c>
      <c r="I494" s="192">
        <v>0.25</v>
      </c>
      <c r="J494" s="9">
        <v>130</v>
      </c>
      <c r="K494">
        <v>-255</v>
      </c>
      <c r="L494" s="14" t="s">
        <v>57</v>
      </c>
      <c r="M494" s="8" t="s">
        <v>129</v>
      </c>
      <c r="N494">
        <v>-125</v>
      </c>
      <c r="O494" s="38" t="s">
        <v>4</v>
      </c>
      <c r="P494" s="38" t="s">
        <v>3</v>
      </c>
      <c r="Q494">
        <v>2025</v>
      </c>
      <c r="R494" t="s">
        <v>129</v>
      </c>
      <c r="S494" t="s">
        <v>14</v>
      </c>
      <c r="T494" t="s">
        <v>674</v>
      </c>
      <c r="U494" t="str">
        <f>IFERROR(_xlfn.XLOOKUP(A494,'2025 EOY'!A:A,'2025 EOY'!B:B),"No")</f>
        <v>No</v>
      </c>
    </row>
    <row r="495" spans="1:21" x14ac:dyDescent="0.35">
      <c r="A495" s="37" t="s">
        <v>127</v>
      </c>
      <c r="B495" s="12">
        <v>45692</v>
      </c>
      <c r="C495" s="10" t="s">
        <v>10</v>
      </c>
      <c r="D495" s="4" t="s">
        <v>128</v>
      </c>
      <c r="E495" s="253">
        <v>500</v>
      </c>
      <c r="F495" s="172">
        <v>45808</v>
      </c>
      <c r="G495" s="172">
        <v>45808</v>
      </c>
      <c r="H495" s="15">
        <v>-3.7</v>
      </c>
      <c r="I495" s="192">
        <v>-3.26</v>
      </c>
      <c r="J495" s="9">
        <v>220.0000000000002</v>
      </c>
      <c r="K495">
        <v>-1850</v>
      </c>
      <c r="L495" s="14" t="s">
        <v>65</v>
      </c>
      <c r="M495" s="8" t="s">
        <v>131</v>
      </c>
      <c r="N495">
        <v>-1630</v>
      </c>
      <c r="O495" s="38" t="s">
        <v>11</v>
      </c>
      <c r="P495" s="38" t="s">
        <v>10</v>
      </c>
      <c r="Q495">
        <v>2025</v>
      </c>
      <c r="R495" t="s">
        <v>131</v>
      </c>
      <c r="S495" t="s">
        <v>14</v>
      </c>
      <c r="T495" t="s">
        <v>675</v>
      </c>
      <c r="U495" t="str">
        <f>IFERROR(_xlfn.XLOOKUP(A495,'2025 EOY'!A:A,'2025 EOY'!B:B),"No")</f>
        <v>No</v>
      </c>
    </row>
    <row r="496" spans="1:21" x14ac:dyDescent="0.35">
      <c r="A496" s="37" t="s">
        <v>127</v>
      </c>
      <c r="B496" s="12">
        <v>45692</v>
      </c>
      <c r="C496" s="10" t="s">
        <v>3</v>
      </c>
      <c r="D496" s="4" t="s">
        <v>128</v>
      </c>
      <c r="E496" s="259">
        <v>2000</v>
      </c>
      <c r="F496" s="172">
        <v>45747</v>
      </c>
      <c r="G496" s="172">
        <v>45777</v>
      </c>
      <c r="H496" s="15">
        <v>0.39</v>
      </c>
      <c r="I496" s="192">
        <v>0.15</v>
      </c>
      <c r="J496" s="9">
        <v>-480.00000000000006</v>
      </c>
      <c r="K496">
        <v>780</v>
      </c>
      <c r="L496" s="14" t="s">
        <v>56</v>
      </c>
      <c r="M496" s="8" t="s">
        <v>131</v>
      </c>
      <c r="N496">
        <v>300</v>
      </c>
      <c r="O496" s="38" t="s">
        <v>4</v>
      </c>
      <c r="P496" s="38" t="s">
        <v>3</v>
      </c>
      <c r="Q496">
        <v>2025</v>
      </c>
      <c r="R496" t="s">
        <v>131</v>
      </c>
      <c r="S496" t="s">
        <v>14</v>
      </c>
      <c r="T496" t="s">
        <v>676</v>
      </c>
      <c r="U496" t="str">
        <f>IFERROR(_xlfn.XLOOKUP(A496,'2025 EOY'!A:A,'2025 EOY'!B:B),"No")</f>
        <v>No</v>
      </c>
    </row>
    <row r="497" spans="1:21" x14ac:dyDescent="0.35">
      <c r="A497" s="37" t="s">
        <v>127</v>
      </c>
      <c r="B497" s="12">
        <v>45693</v>
      </c>
      <c r="C497" s="10" t="s">
        <v>10</v>
      </c>
      <c r="D497" s="4" t="s">
        <v>128</v>
      </c>
      <c r="E497" s="253">
        <v>250</v>
      </c>
      <c r="F497" s="172">
        <v>45808</v>
      </c>
      <c r="G497" s="172">
        <v>45808</v>
      </c>
      <c r="H497" s="15">
        <v>-3.7</v>
      </c>
      <c r="I497" s="192">
        <v>-3.26</v>
      </c>
      <c r="J497" s="9">
        <v>110.0000000000001</v>
      </c>
      <c r="K497">
        <v>-925</v>
      </c>
      <c r="L497" s="14" t="s">
        <v>65</v>
      </c>
      <c r="M497" s="8" t="s">
        <v>131</v>
      </c>
      <c r="N497">
        <v>-815</v>
      </c>
      <c r="O497" s="38" t="s">
        <v>11</v>
      </c>
      <c r="P497" s="38" t="s">
        <v>10</v>
      </c>
      <c r="Q497">
        <v>2025</v>
      </c>
      <c r="R497" t="s">
        <v>131</v>
      </c>
      <c r="S497" t="s">
        <v>14</v>
      </c>
      <c r="T497" t="s">
        <v>677</v>
      </c>
      <c r="U497" t="str">
        <f>IFERROR(_xlfn.XLOOKUP(A497,'2025 EOY'!A:A,'2025 EOY'!B:B),"No")</f>
        <v>No</v>
      </c>
    </row>
    <row r="498" spans="1:21" x14ac:dyDescent="0.35">
      <c r="A498" s="37" t="s">
        <v>193</v>
      </c>
      <c r="B498" s="12">
        <v>45693</v>
      </c>
      <c r="C498" s="10" t="s">
        <v>7</v>
      </c>
      <c r="D498" s="4" t="s">
        <v>128</v>
      </c>
      <c r="E498" s="253">
        <v>500</v>
      </c>
      <c r="F498" s="172">
        <v>45777</v>
      </c>
      <c r="G498" s="172">
        <v>45808</v>
      </c>
      <c r="H498" s="15">
        <v>0.52</v>
      </c>
      <c r="I498" s="192">
        <v>0.37</v>
      </c>
      <c r="J498" s="9">
        <v>-75.000000000000014</v>
      </c>
      <c r="K498">
        <v>260</v>
      </c>
      <c r="L498" s="14" t="s">
        <v>57</v>
      </c>
      <c r="M498" s="8" t="s">
        <v>131</v>
      </c>
      <c r="N498">
        <v>185</v>
      </c>
      <c r="O498" s="38" t="s">
        <v>4</v>
      </c>
      <c r="P498" s="38" t="s">
        <v>7</v>
      </c>
      <c r="Q498">
        <v>2025</v>
      </c>
      <c r="R498" t="s">
        <v>131</v>
      </c>
      <c r="S498" t="s">
        <v>14</v>
      </c>
      <c r="T498" t="s">
        <v>678</v>
      </c>
      <c r="U498" t="str">
        <f>IFERROR(_xlfn.XLOOKUP(A498,'2025 EOY'!A:A,'2025 EOY'!B:B),"No")</f>
        <v>No</v>
      </c>
    </row>
    <row r="499" spans="1:21" x14ac:dyDescent="0.35">
      <c r="A499" s="37" t="s">
        <v>127</v>
      </c>
      <c r="B499" s="12">
        <v>45693</v>
      </c>
      <c r="C499" s="10" t="s">
        <v>10</v>
      </c>
      <c r="D499" s="4" t="s">
        <v>128</v>
      </c>
      <c r="E499" s="253">
        <v>250</v>
      </c>
      <c r="F499" s="172">
        <v>45808</v>
      </c>
      <c r="G499" s="172">
        <v>45808</v>
      </c>
      <c r="H499" s="15">
        <v>-3.75</v>
      </c>
      <c r="I499" s="192">
        <v>-3.26</v>
      </c>
      <c r="J499" s="9">
        <v>122.50000000000006</v>
      </c>
      <c r="K499">
        <v>-937.5</v>
      </c>
      <c r="L499" s="14" t="s">
        <v>65</v>
      </c>
      <c r="M499" s="8" t="s">
        <v>131</v>
      </c>
      <c r="N499">
        <v>-815</v>
      </c>
      <c r="O499" s="38" t="s">
        <v>11</v>
      </c>
      <c r="P499" s="38" t="s">
        <v>10</v>
      </c>
      <c r="Q499">
        <v>2025</v>
      </c>
      <c r="R499" t="s">
        <v>131</v>
      </c>
      <c r="S499" t="s">
        <v>14</v>
      </c>
      <c r="T499" t="s">
        <v>679</v>
      </c>
      <c r="U499" t="str">
        <f>IFERROR(_xlfn.XLOOKUP(A499,'2025 EOY'!A:A,'2025 EOY'!B:B),"No")</f>
        <v>No</v>
      </c>
    </row>
    <row r="500" spans="1:21" x14ac:dyDescent="0.35">
      <c r="A500" s="37" t="s">
        <v>195</v>
      </c>
      <c r="B500" s="12">
        <v>45694</v>
      </c>
      <c r="C500" s="10" t="s">
        <v>19</v>
      </c>
      <c r="D500" s="10" t="s">
        <v>268</v>
      </c>
      <c r="E500" s="259">
        <v>700</v>
      </c>
      <c r="F500" s="172">
        <v>45716</v>
      </c>
      <c r="G500" s="172">
        <v>45716</v>
      </c>
      <c r="H500" s="15">
        <v>0</v>
      </c>
      <c r="I500" s="201">
        <v>0.64</v>
      </c>
      <c r="J500" s="9">
        <v>448</v>
      </c>
      <c r="K500">
        <v>0</v>
      </c>
      <c r="L500" s="14" t="s">
        <v>62</v>
      </c>
      <c r="M500" s="8" t="s">
        <v>131</v>
      </c>
      <c r="N500">
        <v>448</v>
      </c>
      <c r="O500" s="38" t="s">
        <v>19</v>
      </c>
      <c r="P500" s="38" t="s">
        <v>19</v>
      </c>
      <c r="Q500">
        <v>2025</v>
      </c>
      <c r="R500" t="s">
        <v>131</v>
      </c>
      <c r="S500" t="s">
        <v>96</v>
      </c>
      <c r="T500" t="s">
        <v>680</v>
      </c>
      <c r="U500" t="str">
        <f>IFERROR(_xlfn.XLOOKUP(A500,'2025 EOY'!A:A,'2025 EOY'!B:B),"No")</f>
        <v>No</v>
      </c>
    </row>
    <row r="501" spans="1:21" x14ac:dyDescent="0.35">
      <c r="A501" s="37" t="s">
        <v>195</v>
      </c>
      <c r="B501" s="12">
        <v>45694</v>
      </c>
      <c r="C501" s="10" t="s">
        <v>3</v>
      </c>
      <c r="D501" s="4" t="s">
        <v>268</v>
      </c>
      <c r="E501" s="253">
        <v>-700</v>
      </c>
      <c r="F501" s="172">
        <v>45747</v>
      </c>
      <c r="G501" s="172">
        <v>45777</v>
      </c>
      <c r="H501" s="15">
        <v>0.23999999999999488</v>
      </c>
      <c r="I501" s="192">
        <v>0.15</v>
      </c>
      <c r="J501" s="9">
        <v>62.999999999996426</v>
      </c>
      <c r="K501">
        <v>-167.99999999999642</v>
      </c>
      <c r="L501" s="14" t="s">
        <v>56</v>
      </c>
      <c r="M501" s="8" t="s">
        <v>129</v>
      </c>
      <c r="N501">
        <v>-105</v>
      </c>
      <c r="O501" s="38" t="s">
        <v>4</v>
      </c>
      <c r="P501" s="38" t="s">
        <v>3</v>
      </c>
      <c r="Q501">
        <v>2025</v>
      </c>
      <c r="R501" t="s">
        <v>129</v>
      </c>
      <c r="S501" t="s">
        <v>14</v>
      </c>
      <c r="T501" t="s">
        <v>681</v>
      </c>
      <c r="U501" t="str">
        <f>IFERROR(_xlfn.XLOOKUP(A501,'2025 EOY'!A:A,'2025 EOY'!B:B),"No")</f>
        <v>No</v>
      </c>
    </row>
    <row r="502" spans="1:21" x14ac:dyDescent="0.35">
      <c r="A502" s="37" t="s">
        <v>195</v>
      </c>
      <c r="B502" s="12">
        <v>45694</v>
      </c>
      <c r="C502" s="10" t="s">
        <v>3</v>
      </c>
      <c r="D502" s="4" t="s">
        <v>268</v>
      </c>
      <c r="E502" s="253">
        <v>-700</v>
      </c>
      <c r="F502" s="172">
        <v>45777</v>
      </c>
      <c r="G502" s="172">
        <v>45808</v>
      </c>
      <c r="H502" s="15">
        <v>0.30000000000001137</v>
      </c>
      <c r="I502" s="192">
        <v>0.25</v>
      </c>
      <c r="J502" s="9">
        <v>35.000000000007958</v>
      </c>
      <c r="K502">
        <v>-210.00000000000796</v>
      </c>
      <c r="L502" s="14" t="s">
        <v>57</v>
      </c>
      <c r="M502" s="8" t="s">
        <v>129</v>
      </c>
      <c r="N502">
        <v>-175</v>
      </c>
      <c r="O502" s="38" t="s">
        <v>4</v>
      </c>
      <c r="P502" s="38" t="s">
        <v>3</v>
      </c>
      <c r="Q502">
        <v>2025</v>
      </c>
      <c r="R502" t="s">
        <v>129</v>
      </c>
      <c r="S502" t="s">
        <v>14</v>
      </c>
      <c r="T502" t="s">
        <v>682</v>
      </c>
      <c r="U502" t="str">
        <f>IFERROR(_xlfn.XLOOKUP(A502,'2025 EOY'!A:A,'2025 EOY'!B:B),"No")</f>
        <v>No</v>
      </c>
    </row>
    <row r="503" spans="1:21" x14ac:dyDescent="0.35">
      <c r="A503" s="37" t="s">
        <v>195</v>
      </c>
      <c r="B503" s="12">
        <v>45694</v>
      </c>
      <c r="C503" s="10" t="s">
        <v>10</v>
      </c>
      <c r="D503" s="4" t="s">
        <v>128</v>
      </c>
      <c r="E503" s="253">
        <v>-700</v>
      </c>
      <c r="F503" s="172">
        <v>45808</v>
      </c>
      <c r="G503" s="172">
        <v>45808</v>
      </c>
      <c r="H503" s="15">
        <v>-3.7700000000000102</v>
      </c>
      <c r="I503" s="192">
        <v>-3.26</v>
      </c>
      <c r="J503" s="9">
        <v>-357.00000000000733</v>
      </c>
      <c r="K503">
        <v>2639.0000000000073</v>
      </c>
      <c r="L503" s="14" t="s">
        <v>65</v>
      </c>
      <c r="M503" s="8" t="s">
        <v>129</v>
      </c>
      <c r="N503">
        <v>2282</v>
      </c>
      <c r="O503" s="38" t="s">
        <v>11</v>
      </c>
      <c r="P503" s="38" t="s">
        <v>10</v>
      </c>
      <c r="Q503">
        <v>2025</v>
      </c>
      <c r="R503" t="s">
        <v>129</v>
      </c>
      <c r="S503" t="s">
        <v>14</v>
      </c>
      <c r="T503" t="s">
        <v>683</v>
      </c>
      <c r="U503" t="str">
        <f>IFERROR(_xlfn.XLOOKUP(A503,'2025 EOY'!A:A,'2025 EOY'!B:B),"No")</f>
        <v>No</v>
      </c>
    </row>
    <row r="504" spans="1:21" x14ac:dyDescent="0.35">
      <c r="A504" s="37" t="s">
        <v>195</v>
      </c>
      <c r="B504" s="12">
        <v>45694</v>
      </c>
      <c r="C504" s="10" t="s">
        <v>10</v>
      </c>
      <c r="D504" s="4" t="s">
        <v>128</v>
      </c>
      <c r="E504" s="253">
        <v>500</v>
      </c>
      <c r="F504" s="172">
        <v>45808</v>
      </c>
      <c r="G504" s="172">
        <v>45808</v>
      </c>
      <c r="H504" s="15">
        <v>-3.75</v>
      </c>
      <c r="I504" s="192">
        <v>-3.26</v>
      </c>
      <c r="J504" s="9">
        <v>245.00000000000011</v>
      </c>
      <c r="K504">
        <v>-1875</v>
      </c>
      <c r="L504" s="14" t="s">
        <v>65</v>
      </c>
      <c r="M504" s="8" t="s">
        <v>131</v>
      </c>
      <c r="N504">
        <v>-1630</v>
      </c>
      <c r="O504" s="38" t="s">
        <v>11</v>
      </c>
      <c r="P504" s="38" t="s">
        <v>10</v>
      </c>
      <c r="Q504">
        <v>2025</v>
      </c>
      <c r="R504" t="s">
        <v>131</v>
      </c>
      <c r="S504" t="s">
        <v>14</v>
      </c>
      <c r="T504" t="s">
        <v>684</v>
      </c>
      <c r="U504" t="str">
        <f>IFERROR(_xlfn.XLOOKUP(A504,'2025 EOY'!A:A,'2025 EOY'!B:B),"No")</f>
        <v>No</v>
      </c>
    </row>
    <row r="505" spans="1:21" x14ac:dyDescent="0.35">
      <c r="A505" s="37" t="s">
        <v>195</v>
      </c>
      <c r="B505" s="12">
        <v>45694</v>
      </c>
      <c r="C505" s="10" t="s">
        <v>10</v>
      </c>
      <c r="D505" s="4" t="s">
        <v>128</v>
      </c>
      <c r="E505" s="253">
        <v>200</v>
      </c>
      <c r="F505" s="172">
        <v>45808</v>
      </c>
      <c r="G505" s="172">
        <v>45808</v>
      </c>
      <c r="H505" s="15">
        <v>-3.77</v>
      </c>
      <c r="I505" s="192">
        <v>-3.26</v>
      </c>
      <c r="J505" s="9">
        <v>102.00000000000004</v>
      </c>
      <c r="K505">
        <v>-754</v>
      </c>
      <c r="L505" s="14" t="s">
        <v>65</v>
      </c>
      <c r="M505" s="8" t="s">
        <v>131</v>
      </c>
      <c r="N505">
        <v>-652</v>
      </c>
      <c r="O505" s="38" t="s">
        <v>11</v>
      </c>
      <c r="P505" s="38" t="s">
        <v>10</v>
      </c>
      <c r="Q505">
        <v>2025</v>
      </c>
      <c r="R505" t="s">
        <v>131</v>
      </c>
      <c r="S505" t="s">
        <v>14</v>
      </c>
      <c r="T505" t="s">
        <v>685</v>
      </c>
      <c r="U505" t="str">
        <f>IFERROR(_xlfn.XLOOKUP(A505,'2025 EOY'!A:A,'2025 EOY'!B:B),"No")</f>
        <v>No</v>
      </c>
    </row>
    <row r="506" spans="1:21" x14ac:dyDescent="0.35">
      <c r="A506" s="37" t="s">
        <v>127</v>
      </c>
      <c r="B506" s="12">
        <v>45694</v>
      </c>
      <c r="C506" s="10" t="s">
        <v>3</v>
      </c>
      <c r="D506" s="4" t="s">
        <v>128</v>
      </c>
      <c r="E506" s="259">
        <v>-932</v>
      </c>
      <c r="F506" s="172">
        <v>45747</v>
      </c>
      <c r="G506" s="172">
        <v>45777</v>
      </c>
      <c r="H506" s="15">
        <v>0.23999999999999488</v>
      </c>
      <c r="I506" s="192">
        <v>0.15</v>
      </c>
      <c r="J506" s="9">
        <v>83.879999999995235</v>
      </c>
      <c r="K506">
        <v>-223.67999999999523</v>
      </c>
      <c r="L506" s="14" t="s">
        <v>56</v>
      </c>
      <c r="M506" s="8" t="s">
        <v>129</v>
      </c>
      <c r="N506">
        <v>-139.79999999999998</v>
      </c>
      <c r="O506" s="38" t="s">
        <v>4</v>
      </c>
      <c r="P506" s="38" t="s">
        <v>3</v>
      </c>
      <c r="Q506">
        <v>2025</v>
      </c>
      <c r="R506" t="s">
        <v>129</v>
      </c>
      <c r="S506" t="s">
        <v>14</v>
      </c>
      <c r="T506" t="s">
        <v>686</v>
      </c>
      <c r="U506" t="str">
        <f>IFERROR(_xlfn.XLOOKUP(A506,'2025 EOY'!A:A,'2025 EOY'!B:B),"No")</f>
        <v>No</v>
      </c>
    </row>
    <row r="507" spans="1:21" x14ac:dyDescent="0.35">
      <c r="A507" s="37" t="s">
        <v>127</v>
      </c>
      <c r="B507" s="174">
        <v>45694</v>
      </c>
      <c r="C507" s="47" t="s">
        <v>25</v>
      </c>
      <c r="D507" t="s">
        <v>128</v>
      </c>
      <c r="E507" s="253">
        <v>932</v>
      </c>
      <c r="F507" s="173">
        <v>45747</v>
      </c>
      <c r="G507" s="172">
        <v>45777</v>
      </c>
      <c r="H507" s="100">
        <v>0.23999999999999488</v>
      </c>
      <c r="I507" s="192">
        <v>0.15</v>
      </c>
      <c r="J507" s="9">
        <v>-83.879999999995235</v>
      </c>
      <c r="K507">
        <v>223.67999999999523</v>
      </c>
      <c r="L507" s="14" t="s">
        <v>56</v>
      </c>
      <c r="M507" s="8" t="s">
        <v>131</v>
      </c>
      <c r="N507">
        <v>139.79999999999998</v>
      </c>
      <c r="O507" s="38" t="s">
        <v>4</v>
      </c>
      <c r="P507" s="38" t="s">
        <v>3</v>
      </c>
      <c r="Q507">
        <v>2025</v>
      </c>
      <c r="R507" t="s">
        <v>131</v>
      </c>
      <c r="S507" t="s">
        <v>14</v>
      </c>
      <c r="T507" t="s">
        <v>687</v>
      </c>
      <c r="U507" t="str">
        <f>IFERROR(_xlfn.XLOOKUP(A507,'2025 EOY'!A:A,'2025 EOY'!B:B),"No")</f>
        <v>No</v>
      </c>
    </row>
    <row r="508" spans="1:21" x14ac:dyDescent="0.35">
      <c r="A508" s="37" t="s">
        <v>127</v>
      </c>
      <c r="B508" s="12">
        <v>45694</v>
      </c>
      <c r="C508" s="10" t="s">
        <v>3</v>
      </c>
      <c r="D508" s="4" t="s">
        <v>128</v>
      </c>
      <c r="E508" s="259">
        <v>932</v>
      </c>
      <c r="F508" s="172">
        <v>45777</v>
      </c>
      <c r="G508" s="172">
        <v>45808</v>
      </c>
      <c r="H508" s="15">
        <v>0.30000000000001137</v>
      </c>
      <c r="I508" s="192">
        <v>0.25</v>
      </c>
      <c r="J508" s="9">
        <v>-46.600000000010596</v>
      </c>
      <c r="K508">
        <v>279.6000000000106</v>
      </c>
      <c r="L508" s="14" t="s">
        <v>57</v>
      </c>
      <c r="M508" s="8" t="s">
        <v>131</v>
      </c>
      <c r="N508">
        <v>233</v>
      </c>
      <c r="O508" s="38" t="s">
        <v>4</v>
      </c>
      <c r="P508" s="38" t="s">
        <v>3</v>
      </c>
      <c r="Q508">
        <v>2025</v>
      </c>
      <c r="R508" t="s">
        <v>131</v>
      </c>
      <c r="S508" t="s">
        <v>14</v>
      </c>
      <c r="T508" t="s">
        <v>688</v>
      </c>
      <c r="U508" t="str">
        <f>IFERROR(_xlfn.XLOOKUP(A508,'2025 EOY'!A:A,'2025 EOY'!B:B),"No")</f>
        <v>No</v>
      </c>
    </row>
    <row r="509" spans="1:21" x14ac:dyDescent="0.35">
      <c r="A509" s="37" t="s">
        <v>127</v>
      </c>
      <c r="B509" s="174">
        <v>45694</v>
      </c>
      <c r="C509" s="47" t="s">
        <v>25</v>
      </c>
      <c r="D509" t="s">
        <v>128</v>
      </c>
      <c r="E509" s="253">
        <v>-932</v>
      </c>
      <c r="F509" s="173">
        <v>45777</v>
      </c>
      <c r="G509" s="172">
        <v>45808</v>
      </c>
      <c r="H509" s="100">
        <v>0.30000000000001137</v>
      </c>
      <c r="I509" s="192">
        <v>0.25</v>
      </c>
      <c r="J509" s="9">
        <v>46.600000000010596</v>
      </c>
      <c r="K509">
        <v>-279.6000000000106</v>
      </c>
      <c r="L509" s="14" t="s">
        <v>57</v>
      </c>
      <c r="M509" s="8" t="s">
        <v>129</v>
      </c>
      <c r="N509">
        <v>-233</v>
      </c>
      <c r="O509" s="38" t="s">
        <v>4</v>
      </c>
      <c r="P509" s="38" t="s">
        <v>3</v>
      </c>
      <c r="Q509">
        <v>2025</v>
      </c>
      <c r="R509" t="s">
        <v>129</v>
      </c>
      <c r="S509" t="s">
        <v>14</v>
      </c>
      <c r="T509" t="s">
        <v>689</v>
      </c>
      <c r="U509" t="str">
        <f>IFERROR(_xlfn.XLOOKUP(A509,'2025 EOY'!A:A,'2025 EOY'!B:B),"No")</f>
        <v>No</v>
      </c>
    </row>
    <row r="510" spans="1:21" x14ac:dyDescent="0.35">
      <c r="A510" s="21" t="s">
        <v>690</v>
      </c>
      <c r="B510" s="175">
        <v>45695</v>
      </c>
      <c r="C510" s="99" t="s">
        <v>28</v>
      </c>
      <c r="D510" s="22" t="s">
        <v>268</v>
      </c>
      <c r="E510" s="256">
        <v>-2000</v>
      </c>
      <c r="F510" s="24">
        <v>45747</v>
      </c>
      <c r="G510" s="24">
        <v>45747</v>
      </c>
      <c r="H510" s="207">
        <v>9250</v>
      </c>
      <c r="I510" s="200">
        <v>9250</v>
      </c>
      <c r="J510" s="25">
        <v>0</v>
      </c>
      <c r="K510">
        <v>-18500000</v>
      </c>
      <c r="L510" s="14" t="s">
        <v>63</v>
      </c>
      <c r="M510" s="27" t="s">
        <v>129</v>
      </c>
      <c r="N510" s="26">
        <v>-18500000</v>
      </c>
      <c r="O510" s="28" t="s">
        <v>29</v>
      </c>
      <c r="P510" s="38" t="s">
        <v>29</v>
      </c>
      <c r="Q510">
        <v>2025</v>
      </c>
      <c r="R510" t="s">
        <v>129</v>
      </c>
      <c r="S510" t="s">
        <v>14</v>
      </c>
      <c r="T510" t="s">
        <v>691</v>
      </c>
      <c r="U510" t="str">
        <f>IFERROR(_xlfn.XLOOKUP(A510,'2025 EOY'!A:A,'2025 EOY'!B:B),"No")</f>
        <v>No</v>
      </c>
    </row>
    <row r="511" spans="1:21" x14ac:dyDescent="0.35">
      <c r="A511" s="21" t="s">
        <v>690</v>
      </c>
      <c r="B511" s="175">
        <v>45695</v>
      </c>
      <c r="C511" s="99" t="s">
        <v>28</v>
      </c>
      <c r="D511" s="22" t="s">
        <v>268</v>
      </c>
      <c r="E511" s="256">
        <v>2000</v>
      </c>
      <c r="F511" s="24">
        <v>45747</v>
      </c>
      <c r="G511" s="24">
        <v>45747</v>
      </c>
      <c r="H511" s="207">
        <v>8300</v>
      </c>
      <c r="I511" s="200">
        <v>9250</v>
      </c>
      <c r="J511" s="25">
        <v>950</v>
      </c>
      <c r="K511">
        <v>16600000</v>
      </c>
      <c r="L511" s="14" t="s">
        <v>63</v>
      </c>
      <c r="M511" s="27" t="s">
        <v>131</v>
      </c>
      <c r="N511" s="26">
        <v>18500000</v>
      </c>
      <c r="O511" s="28" t="s">
        <v>29</v>
      </c>
      <c r="P511" s="38" t="s">
        <v>29</v>
      </c>
      <c r="Q511">
        <v>2025</v>
      </c>
      <c r="R511" t="s">
        <v>131</v>
      </c>
      <c r="S511" t="s">
        <v>14</v>
      </c>
      <c r="T511" t="s">
        <v>692</v>
      </c>
      <c r="U511" t="str">
        <f>IFERROR(_xlfn.XLOOKUP(A511,'2025 EOY'!A:A,'2025 EOY'!B:B),"No")</f>
        <v>No</v>
      </c>
    </row>
    <row r="512" spans="1:21" x14ac:dyDescent="0.35">
      <c r="A512" s="37" t="s">
        <v>690</v>
      </c>
      <c r="B512" s="12">
        <v>45695</v>
      </c>
      <c r="C512" s="10" t="s">
        <v>19</v>
      </c>
      <c r="D512" s="10" t="s">
        <v>268</v>
      </c>
      <c r="E512" s="259">
        <v>1400</v>
      </c>
      <c r="F512" s="172">
        <v>45747</v>
      </c>
      <c r="G512" s="172">
        <v>45747</v>
      </c>
      <c r="H512" s="15">
        <v>4.1647619047619049</v>
      </c>
      <c r="I512" s="192">
        <v>4.91</v>
      </c>
      <c r="J512" s="9">
        <v>1043.3333333333333</v>
      </c>
      <c r="K512">
        <v>5197.3333333333339</v>
      </c>
      <c r="L512" s="14" t="s">
        <v>63</v>
      </c>
      <c r="M512" s="8" t="s">
        <v>131</v>
      </c>
      <c r="N512">
        <v>6874</v>
      </c>
      <c r="O512" s="38" t="s">
        <v>19</v>
      </c>
      <c r="P512" s="38" t="s">
        <v>19</v>
      </c>
      <c r="Q512">
        <v>2025</v>
      </c>
      <c r="R512" t="s">
        <v>131</v>
      </c>
      <c r="S512" t="s">
        <v>96</v>
      </c>
      <c r="T512" t="s">
        <v>693</v>
      </c>
      <c r="U512" t="str">
        <f>IFERROR(_xlfn.XLOOKUP(A512,'2025 EOY'!A:A,'2025 EOY'!B:B),"No")</f>
        <v>No</v>
      </c>
    </row>
    <row r="513" spans="1:21" x14ac:dyDescent="0.35">
      <c r="A513" s="37" t="s">
        <v>690</v>
      </c>
      <c r="B513" s="12">
        <v>45695</v>
      </c>
      <c r="C513" s="10" t="s">
        <v>19</v>
      </c>
      <c r="D513" s="10" t="s">
        <v>268</v>
      </c>
      <c r="E513" s="259">
        <v>700</v>
      </c>
      <c r="F513" s="172">
        <v>45747</v>
      </c>
      <c r="G513" s="172">
        <v>45747</v>
      </c>
      <c r="H513" s="15">
        <v>3.7147619047619052</v>
      </c>
      <c r="I513" s="192">
        <v>4.6100000000000003</v>
      </c>
      <c r="J513" s="9">
        <v>626.66666666666663</v>
      </c>
      <c r="K513">
        <v>2283.666666666667</v>
      </c>
      <c r="L513" s="14" t="s">
        <v>63</v>
      </c>
      <c r="M513" s="8" t="s">
        <v>131</v>
      </c>
      <c r="N513">
        <v>3227</v>
      </c>
      <c r="O513" s="38" t="s">
        <v>19</v>
      </c>
      <c r="P513" s="38" t="s">
        <v>19</v>
      </c>
      <c r="Q513">
        <v>2025</v>
      </c>
      <c r="R513" t="s">
        <v>131</v>
      </c>
      <c r="S513" t="s">
        <v>96</v>
      </c>
      <c r="T513" t="s">
        <v>694</v>
      </c>
      <c r="U513" t="str">
        <f>IFERROR(_xlfn.XLOOKUP(A513,'2025 EOY'!A:A,'2025 EOY'!B:B),"No")</f>
        <v>No</v>
      </c>
    </row>
    <row r="514" spans="1:21" x14ac:dyDescent="0.35">
      <c r="A514" s="37" t="s">
        <v>690</v>
      </c>
      <c r="B514" s="12">
        <v>45695</v>
      </c>
      <c r="C514" s="10" t="s">
        <v>3</v>
      </c>
      <c r="D514" s="4" t="s">
        <v>268</v>
      </c>
      <c r="E514" s="253">
        <v>-2100</v>
      </c>
      <c r="F514" s="172">
        <v>45747</v>
      </c>
      <c r="G514" s="172">
        <v>45777</v>
      </c>
      <c r="H514" s="15">
        <v>0.25</v>
      </c>
      <c r="I514" s="192">
        <v>0.15</v>
      </c>
      <c r="J514" s="9">
        <v>210</v>
      </c>
      <c r="K514">
        <v>-525</v>
      </c>
      <c r="L514" s="14" t="s">
        <v>56</v>
      </c>
      <c r="M514" s="8" t="s">
        <v>129</v>
      </c>
      <c r="N514">
        <v>-315</v>
      </c>
      <c r="O514" s="38" t="s">
        <v>4</v>
      </c>
      <c r="P514" s="38" t="s">
        <v>3</v>
      </c>
      <c r="Q514">
        <v>2025</v>
      </c>
      <c r="R514" t="s">
        <v>129</v>
      </c>
      <c r="S514" t="s">
        <v>14</v>
      </c>
      <c r="T514" t="s">
        <v>695</v>
      </c>
      <c r="U514" t="str">
        <f>IFERROR(_xlfn.XLOOKUP(A514,'2025 EOY'!A:A,'2025 EOY'!B:B),"No")</f>
        <v>No</v>
      </c>
    </row>
    <row r="515" spans="1:21" x14ac:dyDescent="0.35">
      <c r="A515" s="37" t="s">
        <v>690</v>
      </c>
      <c r="B515" s="12">
        <v>45695</v>
      </c>
      <c r="C515" s="10" t="s">
        <v>3</v>
      </c>
      <c r="D515" s="4" t="s">
        <v>268</v>
      </c>
      <c r="E515" s="253">
        <v>-2100</v>
      </c>
      <c r="F515" s="172">
        <v>45777</v>
      </c>
      <c r="G515" s="172">
        <v>45808</v>
      </c>
      <c r="H515" s="15">
        <v>0.28999999999999998</v>
      </c>
      <c r="I515" s="192">
        <v>0.25</v>
      </c>
      <c r="J515" s="9">
        <v>83.999999999999957</v>
      </c>
      <c r="K515">
        <v>-609</v>
      </c>
      <c r="L515" s="14" t="s">
        <v>57</v>
      </c>
      <c r="M515" s="8" t="s">
        <v>129</v>
      </c>
      <c r="N515">
        <v>-525</v>
      </c>
      <c r="O515" s="38" t="s">
        <v>4</v>
      </c>
      <c r="P515" s="38" t="s">
        <v>3</v>
      </c>
      <c r="Q515">
        <v>2025</v>
      </c>
      <c r="R515" t="s">
        <v>129</v>
      </c>
      <c r="S515" t="s">
        <v>14</v>
      </c>
      <c r="T515" t="s">
        <v>696</v>
      </c>
      <c r="U515" t="str">
        <f>IFERROR(_xlfn.XLOOKUP(A515,'2025 EOY'!A:A,'2025 EOY'!B:B),"No")</f>
        <v>No</v>
      </c>
    </row>
    <row r="516" spans="1:21" x14ac:dyDescent="0.35">
      <c r="A516" s="37" t="s">
        <v>690</v>
      </c>
      <c r="B516" s="12">
        <v>45695</v>
      </c>
      <c r="C516" s="10" t="s">
        <v>10</v>
      </c>
      <c r="D516" s="4" t="s">
        <v>268</v>
      </c>
      <c r="E516" s="253">
        <v>-2100</v>
      </c>
      <c r="F516" s="172">
        <v>45808</v>
      </c>
      <c r="G516" s="172">
        <v>45808</v>
      </c>
      <c r="H516" s="15">
        <v>-3.78</v>
      </c>
      <c r="I516" s="192">
        <v>-3.26</v>
      </c>
      <c r="J516" s="9">
        <v>-1092</v>
      </c>
      <c r="K516">
        <v>7938</v>
      </c>
      <c r="L516" s="14" t="s">
        <v>65</v>
      </c>
      <c r="M516" s="8" t="s">
        <v>129</v>
      </c>
      <c r="N516">
        <v>6846</v>
      </c>
      <c r="O516" s="38" t="s">
        <v>11</v>
      </c>
      <c r="P516" s="38" t="s">
        <v>10</v>
      </c>
      <c r="Q516">
        <v>2025</v>
      </c>
      <c r="R516" t="s">
        <v>129</v>
      </c>
      <c r="S516" t="s">
        <v>14</v>
      </c>
      <c r="T516" t="s">
        <v>697</v>
      </c>
      <c r="U516" t="str">
        <f>IFERROR(_xlfn.XLOOKUP(A516,'2025 EOY'!A:A,'2025 EOY'!B:B),"No")</f>
        <v>No</v>
      </c>
    </row>
    <row r="517" spans="1:21" x14ac:dyDescent="0.35">
      <c r="A517" s="37" t="s">
        <v>690</v>
      </c>
      <c r="B517" s="12">
        <v>45695</v>
      </c>
      <c r="C517" s="10" t="s">
        <v>7</v>
      </c>
      <c r="D517" s="4" t="s">
        <v>268</v>
      </c>
      <c r="E517" s="253">
        <v>-1999</v>
      </c>
      <c r="F517" s="172">
        <v>45808</v>
      </c>
      <c r="G517" s="172">
        <v>45838</v>
      </c>
      <c r="H517" s="15">
        <v>0.48</v>
      </c>
      <c r="I517" s="192">
        <v>-0.03</v>
      </c>
      <c r="J517" s="9">
        <v>1019.49</v>
      </c>
      <c r="K517">
        <v>-959.52</v>
      </c>
      <c r="L517" s="14" t="s">
        <v>58</v>
      </c>
      <c r="M517" s="8" t="s">
        <v>129</v>
      </c>
      <c r="N517">
        <v>59.97</v>
      </c>
      <c r="O517" s="38" t="s">
        <v>4</v>
      </c>
      <c r="P517" s="38" t="s">
        <v>7</v>
      </c>
      <c r="Q517">
        <v>2025</v>
      </c>
      <c r="R517" t="s">
        <v>129</v>
      </c>
      <c r="S517" t="s">
        <v>14</v>
      </c>
      <c r="T517" t="s">
        <v>698</v>
      </c>
      <c r="U517" t="str">
        <f>IFERROR(_xlfn.XLOOKUP(A517,'2025 EOY'!A:A,'2025 EOY'!B:B),"No")</f>
        <v>No</v>
      </c>
    </row>
    <row r="518" spans="1:21" x14ac:dyDescent="0.35">
      <c r="A518" s="37" t="s">
        <v>690</v>
      </c>
      <c r="B518" s="12">
        <v>45695</v>
      </c>
      <c r="C518" s="10" t="s">
        <v>7</v>
      </c>
      <c r="D518" s="4" t="s">
        <v>268</v>
      </c>
      <c r="E518" s="253">
        <v>100</v>
      </c>
      <c r="F518" s="172">
        <v>45838</v>
      </c>
      <c r="G518" s="172">
        <v>45869</v>
      </c>
      <c r="H518" s="215">
        <v>0.48</v>
      </c>
      <c r="I518" s="192">
        <v>2.06</v>
      </c>
      <c r="J518" s="9">
        <v>158</v>
      </c>
      <c r="K518">
        <v>48</v>
      </c>
      <c r="L518" s="14" t="s">
        <v>74</v>
      </c>
      <c r="M518" s="8" t="s">
        <v>131</v>
      </c>
      <c r="N518">
        <v>206</v>
      </c>
      <c r="O518" s="38" t="s">
        <v>4</v>
      </c>
      <c r="P518" s="38" t="s">
        <v>7</v>
      </c>
      <c r="Q518">
        <v>2025</v>
      </c>
      <c r="R518" t="s">
        <v>131</v>
      </c>
      <c r="S518" t="s">
        <v>14</v>
      </c>
      <c r="T518" t="s">
        <v>699</v>
      </c>
      <c r="U518" t="str">
        <f>IFERROR(_xlfn.XLOOKUP(A518,'2025 EOY'!A:A,'2025 EOY'!B:B),"No")</f>
        <v>No</v>
      </c>
    </row>
    <row r="519" spans="1:21" x14ac:dyDescent="0.35">
      <c r="A519" s="37" t="s">
        <v>690</v>
      </c>
      <c r="B519" s="12">
        <v>45695</v>
      </c>
      <c r="C519" s="10" t="s">
        <v>3</v>
      </c>
      <c r="D519" s="4" t="s">
        <v>128</v>
      </c>
      <c r="E519" s="253">
        <v>2100</v>
      </c>
      <c r="F519" s="172">
        <v>45747</v>
      </c>
      <c r="G519" s="172">
        <v>45777</v>
      </c>
      <c r="H519" s="15">
        <v>0.26000000000000512</v>
      </c>
      <c r="I519" s="192">
        <v>0.15</v>
      </c>
      <c r="J519" s="9">
        <v>-231.00000000001074</v>
      </c>
      <c r="K519">
        <v>546.00000000001069</v>
      </c>
      <c r="L519" s="14" t="s">
        <v>56</v>
      </c>
      <c r="M519" s="8" t="s">
        <v>131</v>
      </c>
      <c r="N519">
        <v>315</v>
      </c>
      <c r="O519" s="38" t="s">
        <v>4</v>
      </c>
      <c r="P519" s="38" t="s">
        <v>3</v>
      </c>
      <c r="Q519">
        <v>2025</v>
      </c>
      <c r="R519" t="s">
        <v>131</v>
      </c>
      <c r="S519" t="s">
        <v>14</v>
      </c>
      <c r="T519" t="s">
        <v>700</v>
      </c>
      <c r="U519" t="str">
        <f>IFERROR(_xlfn.XLOOKUP(A519,'2025 EOY'!A:A,'2025 EOY'!B:B),"No")</f>
        <v>No</v>
      </c>
    </row>
    <row r="520" spans="1:21" x14ac:dyDescent="0.35">
      <c r="A520" s="37" t="s">
        <v>690</v>
      </c>
      <c r="B520" s="12">
        <v>45695</v>
      </c>
      <c r="C520" s="10" t="s">
        <v>3</v>
      </c>
      <c r="D520" s="4" t="s">
        <v>128</v>
      </c>
      <c r="E520" s="253">
        <v>2100</v>
      </c>
      <c r="F520" s="172">
        <v>45777</v>
      </c>
      <c r="G520" s="172">
        <v>45808</v>
      </c>
      <c r="H520" s="15">
        <v>0.31999999999999318</v>
      </c>
      <c r="I520" s="192">
        <v>0.25</v>
      </c>
      <c r="J520" s="9">
        <v>-146.99999999998568</v>
      </c>
      <c r="K520">
        <v>671.99999999998568</v>
      </c>
      <c r="L520" s="14" t="s">
        <v>57</v>
      </c>
      <c r="M520" s="8" t="s">
        <v>131</v>
      </c>
      <c r="N520">
        <v>525</v>
      </c>
      <c r="O520" s="38" t="s">
        <v>4</v>
      </c>
      <c r="P520" s="38" t="s">
        <v>3</v>
      </c>
      <c r="Q520">
        <v>2025</v>
      </c>
      <c r="R520" t="s">
        <v>131</v>
      </c>
      <c r="S520" t="s">
        <v>14</v>
      </c>
      <c r="T520" t="s">
        <v>701</v>
      </c>
      <c r="U520" t="str">
        <f>IFERROR(_xlfn.XLOOKUP(A520,'2025 EOY'!A:A,'2025 EOY'!B:B),"No")</f>
        <v>No</v>
      </c>
    </row>
    <row r="521" spans="1:21" x14ac:dyDescent="0.35">
      <c r="A521" s="37" t="s">
        <v>690</v>
      </c>
      <c r="B521" s="12">
        <v>45695</v>
      </c>
      <c r="C521" s="10" t="s">
        <v>10</v>
      </c>
      <c r="D521" s="4" t="s">
        <v>128</v>
      </c>
      <c r="E521" s="253">
        <v>2100</v>
      </c>
      <c r="F521" s="172">
        <v>45808</v>
      </c>
      <c r="G521" s="172">
        <v>45808</v>
      </c>
      <c r="H521" s="15">
        <v>-3.8400000000000034</v>
      </c>
      <c r="I521" s="192">
        <v>-3.26</v>
      </c>
      <c r="J521" s="9">
        <v>1218.0000000000075</v>
      </c>
      <c r="K521">
        <v>-8064.0000000000073</v>
      </c>
      <c r="L521" s="14" t="s">
        <v>65</v>
      </c>
      <c r="M521" s="8" t="s">
        <v>131</v>
      </c>
      <c r="N521">
        <v>-6846</v>
      </c>
      <c r="O521" s="38" t="s">
        <v>11</v>
      </c>
      <c r="P521" s="38" t="s">
        <v>10</v>
      </c>
      <c r="Q521">
        <v>2025</v>
      </c>
      <c r="R521" t="s">
        <v>131</v>
      </c>
      <c r="S521" t="s">
        <v>14</v>
      </c>
      <c r="T521" t="s">
        <v>702</v>
      </c>
      <c r="U521" t="str">
        <f>IFERROR(_xlfn.XLOOKUP(A521,'2025 EOY'!A:A,'2025 EOY'!B:B),"No")</f>
        <v>No</v>
      </c>
    </row>
    <row r="522" spans="1:21" x14ac:dyDescent="0.35">
      <c r="A522" s="37" t="s">
        <v>690</v>
      </c>
      <c r="B522" s="12">
        <v>45695</v>
      </c>
      <c r="C522" s="10" t="s">
        <v>7</v>
      </c>
      <c r="D522" s="4" t="s">
        <v>128</v>
      </c>
      <c r="E522" s="253">
        <v>2100</v>
      </c>
      <c r="F522" s="172">
        <v>45808</v>
      </c>
      <c r="G522" s="172">
        <v>45838</v>
      </c>
      <c r="H522" s="15">
        <v>0.43000000000000682</v>
      </c>
      <c r="I522" s="192">
        <v>-0.03</v>
      </c>
      <c r="J522" s="9">
        <v>-966.00000000001432</v>
      </c>
      <c r="K522">
        <v>903.00000000001432</v>
      </c>
      <c r="L522" s="14" t="s">
        <v>58</v>
      </c>
      <c r="M522" s="8" t="s">
        <v>131</v>
      </c>
      <c r="N522">
        <v>-63</v>
      </c>
      <c r="O522" s="38" t="s">
        <v>4</v>
      </c>
      <c r="P522" s="38" t="s">
        <v>7</v>
      </c>
      <c r="Q522">
        <v>2025</v>
      </c>
      <c r="R522" t="s">
        <v>131</v>
      </c>
      <c r="S522" t="s">
        <v>14</v>
      </c>
      <c r="T522" t="s">
        <v>703</v>
      </c>
      <c r="U522" t="str">
        <f>IFERROR(_xlfn.XLOOKUP(A522,'2025 EOY'!A:A,'2025 EOY'!B:B),"No")</f>
        <v>No</v>
      </c>
    </row>
    <row r="523" spans="1:21" x14ac:dyDescent="0.35">
      <c r="A523" s="37" t="s">
        <v>690</v>
      </c>
      <c r="B523" s="12">
        <v>45695</v>
      </c>
      <c r="C523" s="10" t="s">
        <v>44</v>
      </c>
      <c r="D523" s="10" t="s">
        <v>268</v>
      </c>
      <c r="E523" s="259">
        <v>-700</v>
      </c>
      <c r="F523" s="172">
        <v>45747</v>
      </c>
      <c r="G523" s="172">
        <v>45747</v>
      </c>
      <c r="H523" s="15">
        <v>1.55</v>
      </c>
      <c r="I523" s="191">
        <v>1.488909090909091</v>
      </c>
      <c r="J523" s="9">
        <v>42.763636363636358</v>
      </c>
      <c r="K523">
        <v>-1085</v>
      </c>
      <c r="L523" s="14" t="s">
        <v>63</v>
      </c>
      <c r="M523" s="8" t="s">
        <v>129</v>
      </c>
      <c r="N523">
        <v>-1042.2363636363636</v>
      </c>
      <c r="O523" s="38" t="s">
        <v>11</v>
      </c>
      <c r="P523" s="38" t="s">
        <v>44</v>
      </c>
      <c r="Q523">
        <v>2025</v>
      </c>
      <c r="R523" t="s">
        <v>129</v>
      </c>
      <c r="S523" t="s">
        <v>14</v>
      </c>
      <c r="T523" t="s">
        <v>704</v>
      </c>
      <c r="U523" t="str">
        <f>IFERROR(_xlfn.XLOOKUP(A523,'2025 EOY'!A:A,'2025 EOY'!B:B),"No")</f>
        <v>No</v>
      </c>
    </row>
    <row r="524" spans="1:21" x14ac:dyDescent="0.35">
      <c r="A524" s="37" t="s">
        <v>127</v>
      </c>
      <c r="B524" s="174">
        <v>45699</v>
      </c>
      <c r="C524" s="47" t="s">
        <v>25</v>
      </c>
      <c r="D524" t="s">
        <v>128</v>
      </c>
      <c r="E524" s="253">
        <v>300</v>
      </c>
      <c r="F524" s="173">
        <v>45747</v>
      </c>
      <c r="G524" s="172">
        <v>45777</v>
      </c>
      <c r="H524" s="100">
        <v>0.24</v>
      </c>
      <c r="I524" s="192">
        <v>0.15</v>
      </c>
      <c r="J524" s="9">
        <v>-27</v>
      </c>
      <c r="K524">
        <v>72</v>
      </c>
      <c r="L524" s="14" t="s">
        <v>56</v>
      </c>
      <c r="M524" s="8" t="s">
        <v>131</v>
      </c>
      <c r="N524">
        <v>45</v>
      </c>
      <c r="O524" s="38" t="s">
        <v>4</v>
      </c>
      <c r="P524" s="38" t="s">
        <v>3</v>
      </c>
      <c r="Q524">
        <v>2025</v>
      </c>
      <c r="R524" t="s">
        <v>131</v>
      </c>
      <c r="S524" t="s">
        <v>14</v>
      </c>
      <c r="T524" t="s">
        <v>705</v>
      </c>
      <c r="U524" t="str">
        <f>IFERROR(_xlfn.XLOOKUP(A524,'2025 EOY'!A:A,'2025 EOY'!B:B),"No")</f>
        <v>No</v>
      </c>
    </row>
    <row r="525" spans="1:21" x14ac:dyDescent="0.35">
      <c r="A525" s="37" t="s">
        <v>127</v>
      </c>
      <c r="B525" s="174">
        <v>45699</v>
      </c>
      <c r="C525" s="47" t="s">
        <v>25</v>
      </c>
      <c r="D525" t="s">
        <v>128</v>
      </c>
      <c r="E525" s="253">
        <v>-300</v>
      </c>
      <c r="F525" s="173">
        <v>45777</v>
      </c>
      <c r="G525" s="172">
        <v>45808</v>
      </c>
      <c r="H525" s="100">
        <v>0.32</v>
      </c>
      <c r="I525" s="192">
        <v>0.25</v>
      </c>
      <c r="J525" s="9">
        <v>21.000000000000004</v>
      </c>
      <c r="K525">
        <v>-96</v>
      </c>
      <c r="L525" s="14" t="s">
        <v>57</v>
      </c>
      <c r="M525" s="8" t="s">
        <v>129</v>
      </c>
      <c r="N525">
        <v>-75</v>
      </c>
      <c r="O525" s="38" t="s">
        <v>4</v>
      </c>
      <c r="P525" s="38" t="s">
        <v>3</v>
      </c>
      <c r="Q525">
        <v>2025</v>
      </c>
      <c r="R525" t="s">
        <v>129</v>
      </c>
      <c r="S525" t="s">
        <v>14</v>
      </c>
      <c r="T525" t="s">
        <v>706</v>
      </c>
      <c r="U525" t="str">
        <f>IFERROR(_xlfn.XLOOKUP(A525,'2025 EOY'!A:A,'2025 EOY'!B:B),"No")</f>
        <v>No</v>
      </c>
    </row>
    <row r="526" spans="1:21" x14ac:dyDescent="0.35">
      <c r="A526" s="37" t="s">
        <v>127</v>
      </c>
      <c r="B526" s="12">
        <v>45699</v>
      </c>
      <c r="C526" s="10" t="s">
        <v>10</v>
      </c>
      <c r="D526" s="4" t="s">
        <v>128</v>
      </c>
      <c r="E526" s="253">
        <v>71</v>
      </c>
      <c r="F526" s="172">
        <v>45808</v>
      </c>
      <c r="G526" s="172">
        <v>45808</v>
      </c>
      <c r="H526" s="15">
        <v>-3.85</v>
      </c>
      <c r="I526" s="192">
        <v>-3.26</v>
      </c>
      <c r="J526" s="9">
        <v>41.890000000000022</v>
      </c>
      <c r="K526">
        <v>-273.35000000000002</v>
      </c>
      <c r="L526" s="14" t="s">
        <v>65</v>
      </c>
      <c r="M526" s="8" t="s">
        <v>131</v>
      </c>
      <c r="N526">
        <v>-231.45999999999998</v>
      </c>
      <c r="O526" s="38" t="s">
        <v>11</v>
      </c>
      <c r="P526" s="38" t="s">
        <v>10</v>
      </c>
      <c r="Q526">
        <v>2025</v>
      </c>
      <c r="R526" t="s">
        <v>131</v>
      </c>
      <c r="S526" t="s">
        <v>14</v>
      </c>
      <c r="T526" t="s">
        <v>707</v>
      </c>
      <c r="U526" t="str">
        <f>IFERROR(_xlfn.XLOOKUP(A526,'2025 EOY'!A:A,'2025 EOY'!B:B),"No")</f>
        <v>No</v>
      </c>
    </row>
    <row r="527" spans="1:21" x14ac:dyDescent="0.35">
      <c r="A527" s="37" t="s">
        <v>127</v>
      </c>
      <c r="B527" s="12">
        <v>45700</v>
      </c>
      <c r="C527" s="10" t="s">
        <v>10</v>
      </c>
      <c r="D527" s="4" t="s">
        <v>128</v>
      </c>
      <c r="E527" s="253">
        <v>179</v>
      </c>
      <c r="F527" s="172">
        <v>45808</v>
      </c>
      <c r="G527" s="172">
        <v>45808</v>
      </c>
      <c r="H527" s="15">
        <v>-3.85</v>
      </c>
      <c r="I527" s="192">
        <v>-3.26</v>
      </c>
      <c r="J527" s="9">
        <v>105.61000000000006</v>
      </c>
      <c r="K527">
        <v>-689.15</v>
      </c>
      <c r="L527" s="14" t="s">
        <v>65</v>
      </c>
      <c r="M527" s="8" t="s">
        <v>131</v>
      </c>
      <c r="N527">
        <v>-583.54</v>
      </c>
      <c r="O527" s="38" t="s">
        <v>11</v>
      </c>
      <c r="P527" s="38" t="s">
        <v>10</v>
      </c>
      <c r="Q527">
        <v>2025</v>
      </c>
      <c r="R527" t="s">
        <v>131</v>
      </c>
      <c r="S527" t="s">
        <v>14</v>
      </c>
      <c r="T527" t="s">
        <v>708</v>
      </c>
      <c r="U527" t="str">
        <f>IFERROR(_xlfn.XLOOKUP(A527,'2025 EOY'!A:A,'2025 EOY'!B:B),"No")</f>
        <v>No</v>
      </c>
    </row>
    <row r="528" spans="1:21" x14ac:dyDescent="0.35">
      <c r="A528" s="37" t="s">
        <v>127</v>
      </c>
      <c r="B528" s="12">
        <v>45700</v>
      </c>
      <c r="C528" s="10" t="s">
        <v>10</v>
      </c>
      <c r="D528" s="4" t="s">
        <v>128</v>
      </c>
      <c r="E528" s="253">
        <v>50</v>
      </c>
      <c r="F528" s="172">
        <v>45777</v>
      </c>
      <c r="G528" s="172">
        <v>45777</v>
      </c>
      <c r="H528" s="15">
        <v>-3.95</v>
      </c>
      <c r="I528" s="192">
        <v>-3.42</v>
      </c>
      <c r="J528" s="9">
        <v>26.500000000000014</v>
      </c>
      <c r="K528">
        <v>-197.5</v>
      </c>
      <c r="L528" s="14" t="s">
        <v>64</v>
      </c>
      <c r="M528" s="8" t="s">
        <v>131</v>
      </c>
      <c r="N528">
        <v>-171</v>
      </c>
      <c r="O528" s="38" t="s">
        <v>11</v>
      </c>
      <c r="P528" s="38" t="s">
        <v>10</v>
      </c>
      <c r="Q528">
        <v>2025</v>
      </c>
      <c r="R528" t="s">
        <v>131</v>
      </c>
      <c r="S528" t="s">
        <v>14</v>
      </c>
      <c r="T528" t="s">
        <v>709</v>
      </c>
      <c r="U528" t="str">
        <f>IFERROR(_xlfn.XLOOKUP(A528,'2025 EOY'!A:A,'2025 EOY'!B:B),"No")</f>
        <v>No</v>
      </c>
    </row>
    <row r="529" spans="1:21" x14ac:dyDescent="0.35">
      <c r="A529" s="37" t="s">
        <v>127</v>
      </c>
      <c r="B529" s="174">
        <v>45701</v>
      </c>
      <c r="C529" s="47" t="s">
        <v>25</v>
      </c>
      <c r="D529" t="s">
        <v>128</v>
      </c>
      <c r="E529" s="253">
        <v>268</v>
      </c>
      <c r="F529" s="173">
        <v>45747</v>
      </c>
      <c r="G529" s="172">
        <v>45777</v>
      </c>
      <c r="H529" s="100">
        <v>0.13</v>
      </c>
      <c r="I529" s="192">
        <v>0.15</v>
      </c>
      <c r="J529" s="9">
        <v>5.3599999999999977</v>
      </c>
      <c r="K529">
        <v>34.840000000000003</v>
      </c>
      <c r="L529" s="14" t="s">
        <v>56</v>
      </c>
      <c r="M529" s="8" t="s">
        <v>131</v>
      </c>
      <c r="N529">
        <v>40.199999999999996</v>
      </c>
      <c r="O529" s="38" t="s">
        <v>4</v>
      </c>
      <c r="P529" s="38" t="s">
        <v>3</v>
      </c>
      <c r="Q529">
        <v>2025</v>
      </c>
      <c r="R529" t="s">
        <v>131</v>
      </c>
      <c r="S529" t="s">
        <v>14</v>
      </c>
      <c r="T529" t="s">
        <v>710</v>
      </c>
      <c r="U529" t="str">
        <f>IFERROR(_xlfn.XLOOKUP(A529,'2025 EOY'!A:A,'2025 EOY'!B:B),"No")</f>
        <v>No</v>
      </c>
    </row>
    <row r="530" spans="1:21" x14ac:dyDescent="0.35">
      <c r="A530" s="37" t="s">
        <v>127</v>
      </c>
      <c r="B530" s="174">
        <v>45701</v>
      </c>
      <c r="C530" s="47" t="s">
        <v>25</v>
      </c>
      <c r="D530" t="s">
        <v>128</v>
      </c>
      <c r="E530" s="253">
        <v>-268</v>
      </c>
      <c r="F530" s="173">
        <v>45777</v>
      </c>
      <c r="G530" s="172">
        <v>45808</v>
      </c>
      <c r="H530" s="100">
        <v>0.23</v>
      </c>
      <c r="I530" s="192">
        <v>0.25</v>
      </c>
      <c r="J530" s="9">
        <v>-5.3599999999999977</v>
      </c>
      <c r="K530">
        <v>-61.64</v>
      </c>
      <c r="L530" s="14" t="s">
        <v>57</v>
      </c>
      <c r="M530" s="8" t="s">
        <v>129</v>
      </c>
      <c r="N530">
        <v>-67</v>
      </c>
      <c r="O530" s="38" t="s">
        <v>4</v>
      </c>
      <c r="P530" s="38" t="s">
        <v>3</v>
      </c>
      <c r="Q530">
        <v>2025</v>
      </c>
      <c r="R530" t="s">
        <v>129</v>
      </c>
      <c r="S530" t="s">
        <v>14</v>
      </c>
      <c r="T530" t="s">
        <v>711</v>
      </c>
      <c r="U530" t="str">
        <f>IFERROR(_xlfn.XLOOKUP(A530,'2025 EOY'!A:A,'2025 EOY'!B:B),"No")</f>
        <v>No</v>
      </c>
    </row>
    <row r="531" spans="1:21" x14ac:dyDescent="0.35">
      <c r="A531" s="37" t="s">
        <v>127</v>
      </c>
      <c r="B531" s="174">
        <v>45701</v>
      </c>
      <c r="C531" s="10" t="s">
        <v>3</v>
      </c>
      <c r="D531" t="s">
        <v>128</v>
      </c>
      <c r="E531" s="253">
        <v>-500</v>
      </c>
      <c r="F531" s="173">
        <v>45777</v>
      </c>
      <c r="G531" s="172">
        <v>45808</v>
      </c>
      <c r="H531" s="100">
        <v>0.28000000000000003</v>
      </c>
      <c r="I531" s="192">
        <v>0.25</v>
      </c>
      <c r="J531" s="9">
        <v>15.000000000000014</v>
      </c>
      <c r="K531">
        <v>-140</v>
      </c>
      <c r="L531" s="14" t="s">
        <v>57</v>
      </c>
      <c r="M531" s="8" t="s">
        <v>129</v>
      </c>
      <c r="N531">
        <v>-125</v>
      </c>
      <c r="O531" s="38" t="s">
        <v>4</v>
      </c>
      <c r="P531" s="38" t="s">
        <v>3</v>
      </c>
      <c r="Q531">
        <v>2025</v>
      </c>
      <c r="R531" t="s">
        <v>129</v>
      </c>
      <c r="S531" t="s">
        <v>14</v>
      </c>
      <c r="T531" t="s">
        <v>712</v>
      </c>
      <c r="U531" t="str">
        <f>IFERROR(_xlfn.XLOOKUP(A531,'2025 EOY'!A:A,'2025 EOY'!B:B),"No")</f>
        <v>No</v>
      </c>
    </row>
    <row r="532" spans="1:21" x14ac:dyDescent="0.35">
      <c r="A532" s="37" t="s">
        <v>127</v>
      </c>
      <c r="B532" s="174">
        <v>45701</v>
      </c>
      <c r="C532" s="10" t="s">
        <v>3</v>
      </c>
      <c r="D532" t="s">
        <v>128</v>
      </c>
      <c r="E532" s="253">
        <v>-500</v>
      </c>
      <c r="F532" s="173">
        <v>45808</v>
      </c>
      <c r="G532" s="172">
        <v>45838</v>
      </c>
      <c r="H532" s="100">
        <v>0.32</v>
      </c>
      <c r="I532" s="192">
        <v>0.67</v>
      </c>
      <c r="J532" s="9">
        <v>-175.00000000000003</v>
      </c>
      <c r="K532">
        <v>-160</v>
      </c>
      <c r="L532" s="14" t="s">
        <v>58</v>
      </c>
      <c r="M532" s="8" t="s">
        <v>129</v>
      </c>
      <c r="N532">
        <v>-335</v>
      </c>
      <c r="O532" s="38" t="s">
        <v>4</v>
      </c>
      <c r="P532" s="38" t="s">
        <v>3</v>
      </c>
      <c r="Q532">
        <v>2025</v>
      </c>
      <c r="R532" t="s">
        <v>129</v>
      </c>
      <c r="S532" t="s">
        <v>14</v>
      </c>
      <c r="T532" t="s">
        <v>713</v>
      </c>
      <c r="U532" t="str">
        <f>IFERROR(_xlfn.XLOOKUP(A532,'2025 EOY'!A:A,'2025 EOY'!B:B),"No")</f>
        <v>No</v>
      </c>
    </row>
    <row r="533" spans="1:21" x14ac:dyDescent="0.35">
      <c r="A533" s="37" t="s">
        <v>127</v>
      </c>
      <c r="B533" s="174">
        <v>45702</v>
      </c>
      <c r="C533" s="47" t="s">
        <v>25</v>
      </c>
      <c r="D533" t="s">
        <v>128</v>
      </c>
      <c r="E533" s="253">
        <v>250</v>
      </c>
      <c r="F533" s="173">
        <v>45747</v>
      </c>
      <c r="G533" s="172">
        <v>45777</v>
      </c>
      <c r="H533" s="100">
        <v>0.03</v>
      </c>
      <c r="I533" s="192">
        <v>0.15</v>
      </c>
      <c r="J533" s="9">
        <v>30</v>
      </c>
      <c r="K533">
        <v>7.5</v>
      </c>
      <c r="L533" s="14" t="s">
        <v>56</v>
      </c>
      <c r="M533" s="8" t="s">
        <v>131</v>
      </c>
      <c r="N533">
        <v>37.5</v>
      </c>
      <c r="O533" s="38" t="s">
        <v>4</v>
      </c>
      <c r="P533" s="38" t="s">
        <v>3</v>
      </c>
      <c r="Q533">
        <v>2025</v>
      </c>
      <c r="R533" t="s">
        <v>131</v>
      </c>
      <c r="S533" t="s">
        <v>14</v>
      </c>
      <c r="T533" t="s">
        <v>714</v>
      </c>
      <c r="U533" t="str">
        <f>IFERROR(_xlfn.XLOOKUP(A533,'2025 EOY'!A:A,'2025 EOY'!B:B),"No")</f>
        <v>No</v>
      </c>
    </row>
    <row r="534" spans="1:21" x14ac:dyDescent="0.35">
      <c r="A534" s="37" t="s">
        <v>127</v>
      </c>
      <c r="B534" s="174">
        <v>45702</v>
      </c>
      <c r="C534" s="47" t="s">
        <v>25</v>
      </c>
      <c r="D534" t="s">
        <v>128</v>
      </c>
      <c r="E534" s="253">
        <v>-250</v>
      </c>
      <c r="F534" s="173">
        <v>45777</v>
      </c>
      <c r="G534" s="172">
        <v>45808</v>
      </c>
      <c r="H534" s="100">
        <v>0.15</v>
      </c>
      <c r="I534" s="192">
        <v>0.25</v>
      </c>
      <c r="J534" s="9">
        <v>-25</v>
      </c>
      <c r="K534">
        <v>-37.5</v>
      </c>
      <c r="L534" s="14" t="s">
        <v>57</v>
      </c>
      <c r="M534" s="8" t="s">
        <v>129</v>
      </c>
      <c r="N534">
        <v>-62.5</v>
      </c>
      <c r="O534" s="38" t="s">
        <v>4</v>
      </c>
      <c r="P534" s="38" t="s">
        <v>3</v>
      </c>
      <c r="Q534">
        <v>2025</v>
      </c>
      <c r="R534" t="s">
        <v>129</v>
      </c>
      <c r="S534" t="s">
        <v>14</v>
      </c>
      <c r="T534" t="s">
        <v>715</v>
      </c>
      <c r="U534" t="str">
        <f>IFERROR(_xlfn.XLOOKUP(A534,'2025 EOY'!A:A,'2025 EOY'!B:B),"No")</f>
        <v>No</v>
      </c>
    </row>
    <row r="535" spans="1:21" x14ac:dyDescent="0.35">
      <c r="A535" s="37" t="s">
        <v>127</v>
      </c>
      <c r="B535" s="174">
        <v>45702</v>
      </c>
      <c r="C535" s="47" t="s">
        <v>25</v>
      </c>
      <c r="D535" t="s">
        <v>128</v>
      </c>
      <c r="E535" s="253">
        <v>250</v>
      </c>
      <c r="F535" s="173">
        <v>45747</v>
      </c>
      <c r="G535" s="172">
        <v>45777</v>
      </c>
      <c r="H535" s="100">
        <v>0.03</v>
      </c>
      <c r="I535" s="192">
        <v>0.15</v>
      </c>
      <c r="J535" s="9">
        <v>30</v>
      </c>
      <c r="K535">
        <v>7.5</v>
      </c>
      <c r="L535" s="14" t="s">
        <v>56</v>
      </c>
      <c r="M535" s="8" t="s">
        <v>131</v>
      </c>
      <c r="N535">
        <v>37.5</v>
      </c>
      <c r="O535" s="38" t="s">
        <v>4</v>
      </c>
      <c r="P535" s="38" t="s">
        <v>3</v>
      </c>
      <c r="Q535">
        <v>2025</v>
      </c>
      <c r="R535" t="s">
        <v>131</v>
      </c>
      <c r="S535" t="s">
        <v>14</v>
      </c>
      <c r="T535" t="s">
        <v>716</v>
      </c>
      <c r="U535" t="str">
        <f>IFERROR(_xlfn.XLOOKUP(A535,'2025 EOY'!A:A,'2025 EOY'!B:B),"No")</f>
        <v>No</v>
      </c>
    </row>
    <row r="536" spans="1:21" x14ac:dyDescent="0.35">
      <c r="A536" s="37" t="s">
        <v>127</v>
      </c>
      <c r="B536" s="174">
        <v>45702</v>
      </c>
      <c r="C536" s="47" t="s">
        <v>25</v>
      </c>
      <c r="D536" t="s">
        <v>128</v>
      </c>
      <c r="E536" s="253">
        <v>-250</v>
      </c>
      <c r="F536" s="173">
        <v>45777</v>
      </c>
      <c r="G536" s="172">
        <v>45808</v>
      </c>
      <c r="H536" s="100">
        <v>0.16</v>
      </c>
      <c r="I536" s="192">
        <v>0.25</v>
      </c>
      <c r="J536" s="9">
        <v>-22.5</v>
      </c>
      <c r="K536">
        <v>-40</v>
      </c>
      <c r="L536" s="14" t="s">
        <v>57</v>
      </c>
      <c r="M536" s="8" t="s">
        <v>129</v>
      </c>
      <c r="N536">
        <v>-62.5</v>
      </c>
      <c r="O536" s="38" t="s">
        <v>4</v>
      </c>
      <c r="P536" s="38" t="s">
        <v>3</v>
      </c>
      <c r="Q536">
        <v>2025</v>
      </c>
      <c r="R536" t="s">
        <v>129</v>
      </c>
      <c r="S536" t="s">
        <v>14</v>
      </c>
      <c r="T536" t="s">
        <v>717</v>
      </c>
      <c r="U536" t="str">
        <f>IFERROR(_xlfn.XLOOKUP(A536,'2025 EOY'!A:A,'2025 EOY'!B:B),"No")</f>
        <v>No</v>
      </c>
    </row>
    <row r="537" spans="1:21" x14ac:dyDescent="0.35">
      <c r="A537" s="37" t="s">
        <v>127</v>
      </c>
      <c r="B537" s="12">
        <v>45702</v>
      </c>
      <c r="C537" s="10" t="s">
        <v>10</v>
      </c>
      <c r="D537" s="4" t="s">
        <v>128</v>
      </c>
      <c r="E537" s="253">
        <v>50</v>
      </c>
      <c r="F537" s="172">
        <v>45777</v>
      </c>
      <c r="G537" s="172">
        <v>45777</v>
      </c>
      <c r="H537" s="15">
        <v>-3.97</v>
      </c>
      <c r="I537" s="192">
        <v>-3.42</v>
      </c>
      <c r="J537" s="9">
        <v>27.500000000000014</v>
      </c>
      <c r="K537">
        <v>-198.5</v>
      </c>
      <c r="L537" s="14" t="s">
        <v>64</v>
      </c>
      <c r="M537" s="8" t="s">
        <v>131</v>
      </c>
      <c r="N537">
        <v>-171</v>
      </c>
      <c r="O537" s="38" t="s">
        <v>11</v>
      </c>
      <c r="P537" s="38" t="s">
        <v>10</v>
      </c>
      <c r="Q537">
        <v>2025</v>
      </c>
      <c r="R537" t="s">
        <v>131</v>
      </c>
      <c r="S537" t="s">
        <v>14</v>
      </c>
      <c r="T537" t="s">
        <v>718</v>
      </c>
      <c r="U537" t="str">
        <f>IFERROR(_xlfn.XLOOKUP(A537,'2025 EOY'!A:A,'2025 EOY'!B:B),"No")</f>
        <v>No</v>
      </c>
    </row>
    <row r="538" spans="1:21" x14ac:dyDescent="0.35">
      <c r="A538" s="37" t="s">
        <v>127</v>
      </c>
      <c r="B538" s="12">
        <v>45702</v>
      </c>
      <c r="C538" s="10" t="s">
        <v>10</v>
      </c>
      <c r="D538" s="4" t="s">
        <v>128</v>
      </c>
      <c r="E538" s="253">
        <v>50</v>
      </c>
      <c r="F538" s="172">
        <v>45777</v>
      </c>
      <c r="G538" s="172">
        <v>45777</v>
      </c>
      <c r="H538" s="15">
        <v>-4.0199999999999996</v>
      </c>
      <c r="I538" s="192">
        <v>-3.42</v>
      </c>
      <c r="J538" s="9">
        <v>29.999999999999982</v>
      </c>
      <c r="K538">
        <v>-200.99999999999997</v>
      </c>
      <c r="L538" s="14" t="s">
        <v>64</v>
      </c>
      <c r="M538" s="8" t="s">
        <v>131</v>
      </c>
      <c r="N538">
        <v>-171</v>
      </c>
      <c r="O538" s="38" t="s">
        <v>11</v>
      </c>
      <c r="P538" s="38" t="s">
        <v>10</v>
      </c>
      <c r="Q538">
        <v>2025</v>
      </c>
      <c r="R538" t="s">
        <v>131</v>
      </c>
      <c r="S538" t="s">
        <v>14</v>
      </c>
      <c r="T538" t="s">
        <v>719</v>
      </c>
      <c r="U538" t="str">
        <f>IFERROR(_xlfn.XLOOKUP(A538,'2025 EOY'!A:A,'2025 EOY'!B:B),"No")</f>
        <v>No</v>
      </c>
    </row>
    <row r="539" spans="1:21" x14ac:dyDescent="0.35">
      <c r="A539" s="37" t="s">
        <v>127</v>
      </c>
      <c r="B539" s="12">
        <v>45705</v>
      </c>
      <c r="C539" s="10" t="s">
        <v>10</v>
      </c>
      <c r="D539" s="4" t="s">
        <v>128</v>
      </c>
      <c r="E539" s="253">
        <v>50</v>
      </c>
      <c r="F539" s="172">
        <v>45777</v>
      </c>
      <c r="G539" s="172">
        <v>45777</v>
      </c>
      <c r="H539" s="15">
        <v>-4.07</v>
      </c>
      <c r="I539" s="192">
        <v>-3.42</v>
      </c>
      <c r="J539" s="9">
        <v>32.500000000000014</v>
      </c>
      <c r="K539">
        <v>-203.5</v>
      </c>
      <c r="L539" s="14" t="s">
        <v>64</v>
      </c>
      <c r="M539" s="8" t="s">
        <v>131</v>
      </c>
      <c r="N539">
        <v>-171</v>
      </c>
      <c r="O539" s="38" t="s">
        <v>11</v>
      </c>
      <c r="P539" s="38" t="s">
        <v>10</v>
      </c>
      <c r="Q539">
        <v>2025</v>
      </c>
      <c r="R539" t="s">
        <v>131</v>
      </c>
      <c r="S539" t="s">
        <v>14</v>
      </c>
      <c r="T539" t="s">
        <v>720</v>
      </c>
      <c r="U539" t="str">
        <f>IFERROR(_xlfn.XLOOKUP(A539,'2025 EOY'!A:A,'2025 EOY'!B:B),"No")</f>
        <v>No</v>
      </c>
    </row>
    <row r="540" spans="1:21" x14ac:dyDescent="0.35">
      <c r="A540" s="37" t="s">
        <v>127</v>
      </c>
      <c r="B540" s="12">
        <v>45705</v>
      </c>
      <c r="C540" s="10" t="s">
        <v>10</v>
      </c>
      <c r="D540" s="4" t="s">
        <v>128</v>
      </c>
      <c r="E540" s="253">
        <v>250</v>
      </c>
      <c r="F540" s="172">
        <v>45808</v>
      </c>
      <c r="G540" s="172">
        <v>45808</v>
      </c>
      <c r="H540" s="15">
        <v>-3.9</v>
      </c>
      <c r="I540" s="192">
        <v>-3.26</v>
      </c>
      <c r="J540" s="9">
        <v>160.00000000000003</v>
      </c>
      <c r="K540">
        <v>-975</v>
      </c>
      <c r="L540" s="14" t="s">
        <v>65</v>
      </c>
      <c r="M540" s="8" t="s">
        <v>131</v>
      </c>
      <c r="N540">
        <v>-815</v>
      </c>
      <c r="O540" s="38" t="s">
        <v>11</v>
      </c>
      <c r="P540" s="38" t="s">
        <v>10</v>
      </c>
      <c r="Q540">
        <v>2025</v>
      </c>
      <c r="R540" t="s">
        <v>131</v>
      </c>
      <c r="S540" t="s">
        <v>14</v>
      </c>
      <c r="T540" t="s">
        <v>721</v>
      </c>
      <c r="U540" t="str">
        <f>IFERROR(_xlfn.XLOOKUP(A540,'2025 EOY'!A:A,'2025 EOY'!B:B),"No")</f>
        <v>No</v>
      </c>
    </row>
    <row r="541" spans="1:21" x14ac:dyDescent="0.35">
      <c r="A541" s="37" t="s">
        <v>199</v>
      </c>
      <c r="B541" s="12">
        <v>45706</v>
      </c>
      <c r="C541" s="10" t="s">
        <v>19</v>
      </c>
      <c r="D541" s="10" t="s">
        <v>268</v>
      </c>
      <c r="E541" s="259">
        <v>700</v>
      </c>
      <c r="F541" s="172">
        <v>45716</v>
      </c>
      <c r="G541" s="172">
        <v>45716</v>
      </c>
      <c r="H541" s="15">
        <v>-1.99</v>
      </c>
      <c r="I541" s="201">
        <v>-1.9</v>
      </c>
      <c r="J541" s="9">
        <v>63.000000000000057</v>
      </c>
      <c r="K541">
        <v>-1393</v>
      </c>
      <c r="L541" s="14" t="s">
        <v>62</v>
      </c>
      <c r="M541" s="8" t="s">
        <v>131</v>
      </c>
      <c r="N541">
        <v>-1330</v>
      </c>
      <c r="O541" s="38" t="s">
        <v>19</v>
      </c>
      <c r="P541" s="38" t="s">
        <v>19</v>
      </c>
      <c r="Q541">
        <v>2025</v>
      </c>
      <c r="R541" t="s">
        <v>131</v>
      </c>
      <c r="S541" t="s">
        <v>96</v>
      </c>
      <c r="T541" t="s">
        <v>722</v>
      </c>
      <c r="U541" t="str">
        <f>IFERROR(_xlfn.XLOOKUP(A541,'2025 EOY'!A:A,'2025 EOY'!B:B),"No")</f>
        <v>No</v>
      </c>
    </row>
    <row r="542" spans="1:21" x14ac:dyDescent="0.35">
      <c r="A542" s="37" t="s">
        <v>199</v>
      </c>
      <c r="B542" s="12">
        <v>45706</v>
      </c>
      <c r="C542" s="10" t="s">
        <v>3</v>
      </c>
      <c r="D542" s="4" t="s">
        <v>268</v>
      </c>
      <c r="E542" s="253">
        <v>-700</v>
      </c>
      <c r="F542" s="172">
        <v>45747</v>
      </c>
      <c r="G542" s="172">
        <v>45777</v>
      </c>
      <c r="H542" s="15">
        <v>0.01</v>
      </c>
      <c r="I542" s="192">
        <v>0.15</v>
      </c>
      <c r="J542" s="9">
        <v>-97.999999999999986</v>
      </c>
      <c r="K542">
        <v>-7</v>
      </c>
      <c r="L542" s="14" t="s">
        <v>56</v>
      </c>
      <c r="M542" s="8" t="s">
        <v>129</v>
      </c>
      <c r="N542">
        <v>-105</v>
      </c>
      <c r="O542" s="38" t="s">
        <v>4</v>
      </c>
      <c r="P542" s="38" t="s">
        <v>3</v>
      </c>
      <c r="Q542">
        <v>2025</v>
      </c>
      <c r="R542" t="s">
        <v>129</v>
      </c>
      <c r="S542" t="s">
        <v>14</v>
      </c>
      <c r="T542" t="s">
        <v>723</v>
      </c>
      <c r="U542" t="str">
        <f>IFERROR(_xlfn.XLOOKUP(A542,'2025 EOY'!A:A,'2025 EOY'!B:B),"No")</f>
        <v>No</v>
      </c>
    </row>
    <row r="543" spans="1:21" x14ac:dyDescent="0.35">
      <c r="A543" s="37" t="s">
        <v>199</v>
      </c>
      <c r="B543" s="12">
        <v>45706</v>
      </c>
      <c r="C543" s="10" t="s">
        <v>3</v>
      </c>
      <c r="D543" s="4" t="s">
        <v>268</v>
      </c>
      <c r="E543" s="253">
        <v>-700</v>
      </c>
      <c r="F543" s="172">
        <v>45777</v>
      </c>
      <c r="G543" s="172">
        <v>45808</v>
      </c>
      <c r="H543" s="15">
        <v>0.23</v>
      </c>
      <c r="I543" s="192">
        <v>0.25</v>
      </c>
      <c r="J543" s="9">
        <v>-13.999999999999993</v>
      </c>
      <c r="K543">
        <v>-161</v>
      </c>
      <c r="L543" s="14" t="s">
        <v>57</v>
      </c>
      <c r="M543" s="8" t="s">
        <v>129</v>
      </c>
      <c r="N543">
        <v>-175</v>
      </c>
      <c r="O543" s="38" t="s">
        <v>4</v>
      </c>
      <c r="P543" s="38" t="s">
        <v>3</v>
      </c>
      <c r="Q543">
        <v>2025</v>
      </c>
      <c r="R543" t="s">
        <v>129</v>
      </c>
      <c r="S543" t="s">
        <v>14</v>
      </c>
      <c r="T543" t="s">
        <v>724</v>
      </c>
      <c r="U543" t="str">
        <f>IFERROR(_xlfn.XLOOKUP(A543,'2025 EOY'!A:A,'2025 EOY'!B:B),"No")</f>
        <v>No</v>
      </c>
    </row>
    <row r="544" spans="1:21" x14ac:dyDescent="0.35">
      <c r="A544" s="37" t="s">
        <v>199</v>
      </c>
      <c r="B544" s="12">
        <v>45706</v>
      </c>
      <c r="C544" s="10" t="s">
        <v>10</v>
      </c>
      <c r="D544" s="4" t="s">
        <v>268</v>
      </c>
      <c r="E544" s="253">
        <v>-700</v>
      </c>
      <c r="F544" s="172">
        <v>45808</v>
      </c>
      <c r="G544" s="172">
        <v>45808</v>
      </c>
      <c r="H544" s="15">
        <v>-3.83</v>
      </c>
      <c r="I544" s="192">
        <v>-3.26</v>
      </c>
      <c r="J544" s="9">
        <v>-399.00000000000023</v>
      </c>
      <c r="K544">
        <v>2681</v>
      </c>
      <c r="L544" s="14" t="s">
        <v>65</v>
      </c>
      <c r="M544" s="8" t="s">
        <v>129</v>
      </c>
      <c r="N544">
        <v>2282</v>
      </c>
      <c r="O544" s="38" t="s">
        <v>11</v>
      </c>
      <c r="P544" s="38" t="s">
        <v>10</v>
      </c>
      <c r="Q544">
        <v>2025</v>
      </c>
      <c r="R544" t="s">
        <v>129</v>
      </c>
      <c r="S544" t="s">
        <v>14</v>
      </c>
      <c r="T544" t="s">
        <v>725</v>
      </c>
      <c r="U544" t="str">
        <f>IFERROR(_xlfn.XLOOKUP(A544,'2025 EOY'!A:A,'2025 EOY'!B:B),"No")</f>
        <v>No</v>
      </c>
    </row>
    <row r="545" spans="1:21" x14ac:dyDescent="0.35">
      <c r="A545" s="113" t="s">
        <v>127</v>
      </c>
      <c r="B545" s="174">
        <v>45706</v>
      </c>
      <c r="C545" s="10" t="s">
        <v>3</v>
      </c>
      <c r="D545" t="s">
        <v>128</v>
      </c>
      <c r="E545" s="253">
        <v>650</v>
      </c>
      <c r="F545" s="173">
        <v>45747</v>
      </c>
      <c r="G545" s="172">
        <v>45777</v>
      </c>
      <c r="H545" s="100">
        <v>0.03</v>
      </c>
      <c r="I545" s="192">
        <v>0.15</v>
      </c>
      <c r="J545" s="9">
        <v>78</v>
      </c>
      <c r="K545">
        <v>19.5</v>
      </c>
      <c r="L545" s="14" t="s">
        <v>56</v>
      </c>
      <c r="M545" s="8" t="s">
        <v>131</v>
      </c>
      <c r="N545">
        <v>97.5</v>
      </c>
      <c r="O545" s="38" t="s">
        <v>4</v>
      </c>
      <c r="P545" s="38" t="s">
        <v>3</v>
      </c>
      <c r="Q545">
        <v>2025</v>
      </c>
      <c r="R545" t="s">
        <v>131</v>
      </c>
      <c r="S545" t="s">
        <v>14</v>
      </c>
      <c r="T545" t="s">
        <v>726</v>
      </c>
      <c r="U545" t="str">
        <f>IFERROR(_xlfn.XLOOKUP(A545,'2025 EOY'!A:A,'2025 EOY'!B:B),"No")</f>
        <v>No</v>
      </c>
    </row>
    <row r="546" spans="1:21" x14ac:dyDescent="0.35">
      <c r="A546" s="37" t="s">
        <v>127</v>
      </c>
      <c r="B546" s="174">
        <v>45706</v>
      </c>
      <c r="C546" s="4" t="s">
        <v>55</v>
      </c>
      <c r="D546" t="s">
        <v>128</v>
      </c>
      <c r="E546" s="253">
        <v>0</v>
      </c>
      <c r="F546" s="16">
        <v>45657</v>
      </c>
      <c r="G546" s="181">
        <v>45657</v>
      </c>
      <c r="H546" s="15"/>
      <c r="I546" s="37"/>
      <c r="J546">
        <v>650</v>
      </c>
      <c r="K546">
        <v>0</v>
      </c>
      <c r="L546" s="14" t="s">
        <v>59</v>
      </c>
      <c r="M546" s="8" t="s">
        <v>131</v>
      </c>
      <c r="N546">
        <v>0</v>
      </c>
      <c r="O546" s="38" t="s">
        <v>55</v>
      </c>
      <c r="P546" s="38" t="s">
        <v>55</v>
      </c>
      <c r="Q546">
        <v>2024</v>
      </c>
      <c r="R546" t="s">
        <v>129</v>
      </c>
      <c r="S546" t="s">
        <v>14</v>
      </c>
      <c r="T546" t="s">
        <v>727</v>
      </c>
      <c r="U546" t="str">
        <f>IFERROR(_xlfn.XLOOKUP(A546,'2025 EOY'!A:A,'2025 EOY'!B:B),"No")</f>
        <v>No</v>
      </c>
    </row>
    <row r="547" spans="1:21" x14ac:dyDescent="0.35">
      <c r="A547" s="37" t="s">
        <v>127</v>
      </c>
      <c r="B547" s="174">
        <v>45706</v>
      </c>
      <c r="C547" s="10" t="s">
        <v>3</v>
      </c>
      <c r="D547" t="s">
        <v>128</v>
      </c>
      <c r="E547" s="253">
        <v>50</v>
      </c>
      <c r="F547" s="173">
        <v>45747</v>
      </c>
      <c r="G547" s="172">
        <v>45777</v>
      </c>
      <c r="H547" s="100">
        <v>0</v>
      </c>
      <c r="I547" s="192">
        <v>0.15</v>
      </c>
      <c r="J547" s="9">
        <v>7.5</v>
      </c>
      <c r="K547">
        <v>0</v>
      </c>
      <c r="L547" s="14" t="s">
        <v>56</v>
      </c>
      <c r="M547" s="8" t="s">
        <v>131</v>
      </c>
      <c r="N547">
        <v>7.5</v>
      </c>
      <c r="O547" s="38" t="s">
        <v>4</v>
      </c>
      <c r="P547" s="38" t="s">
        <v>3</v>
      </c>
      <c r="Q547">
        <v>2025</v>
      </c>
      <c r="R547" t="s">
        <v>131</v>
      </c>
      <c r="S547" t="s">
        <v>14</v>
      </c>
      <c r="T547" t="s">
        <v>728</v>
      </c>
      <c r="U547" t="str">
        <f>IFERROR(_xlfn.XLOOKUP(A547,'2025 EOY'!A:A,'2025 EOY'!B:B),"No")</f>
        <v>No</v>
      </c>
    </row>
    <row r="548" spans="1:21" x14ac:dyDescent="0.35">
      <c r="A548" s="37" t="s">
        <v>127</v>
      </c>
      <c r="B548" s="12">
        <v>45707</v>
      </c>
      <c r="C548" s="10" t="s">
        <v>3</v>
      </c>
      <c r="D548" s="4" t="s">
        <v>128</v>
      </c>
      <c r="E548" s="259">
        <v>-500</v>
      </c>
      <c r="F548" s="172">
        <v>45777</v>
      </c>
      <c r="G548" s="172">
        <v>45808</v>
      </c>
      <c r="H548" s="15">
        <v>0.25</v>
      </c>
      <c r="I548" s="192">
        <v>0.25</v>
      </c>
      <c r="J548" s="9">
        <v>0</v>
      </c>
      <c r="K548">
        <v>-125</v>
      </c>
      <c r="L548" s="14" t="s">
        <v>57</v>
      </c>
      <c r="M548" s="8" t="s">
        <v>129</v>
      </c>
      <c r="N548">
        <v>-125</v>
      </c>
      <c r="O548" s="38" t="s">
        <v>4</v>
      </c>
      <c r="P548" s="38" t="s">
        <v>3</v>
      </c>
      <c r="Q548">
        <v>2025</v>
      </c>
      <c r="R548" t="s">
        <v>129</v>
      </c>
      <c r="S548" t="s">
        <v>14</v>
      </c>
      <c r="T548" t="s">
        <v>729</v>
      </c>
      <c r="U548" t="str">
        <f>IFERROR(_xlfn.XLOOKUP(A548,'2025 EOY'!A:A,'2025 EOY'!B:B),"No")</f>
        <v>No</v>
      </c>
    </row>
    <row r="549" spans="1:21" x14ac:dyDescent="0.35">
      <c r="A549" s="37" t="s">
        <v>127</v>
      </c>
      <c r="B549" s="12">
        <v>45713</v>
      </c>
      <c r="C549" s="10" t="s">
        <v>7</v>
      </c>
      <c r="D549" s="4" t="s">
        <v>128</v>
      </c>
      <c r="E549" s="253">
        <v>2000</v>
      </c>
      <c r="F549" s="172">
        <v>45777</v>
      </c>
      <c r="G549" s="172">
        <v>45808</v>
      </c>
      <c r="H549" s="15">
        <v>0.48</v>
      </c>
      <c r="I549" s="192">
        <v>0.37</v>
      </c>
      <c r="J549" s="9">
        <v>-219.99999999999997</v>
      </c>
      <c r="K549">
        <v>960</v>
      </c>
      <c r="L549" s="14" t="s">
        <v>57</v>
      </c>
      <c r="M549" s="8" t="s">
        <v>131</v>
      </c>
      <c r="N549">
        <v>740</v>
      </c>
      <c r="O549" s="38" t="s">
        <v>4</v>
      </c>
      <c r="P549" s="38" t="s">
        <v>7</v>
      </c>
      <c r="Q549">
        <v>2025</v>
      </c>
      <c r="R549" t="s">
        <v>131</v>
      </c>
      <c r="S549" t="s">
        <v>14</v>
      </c>
      <c r="T549" t="s">
        <v>730</v>
      </c>
      <c r="U549" t="str">
        <f>IFERROR(_xlfn.XLOOKUP(A549,'2025 EOY'!A:A,'2025 EOY'!B:B),"No")</f>
        <v>No</v>
      </c>
    </row>
    <row r="550" spans="1:21" x14ac:dyDescent="0.35">
      <c r="A550" s="37" t="s">
        <v>127</v>
      </c>
      <c r="B550" s="12">
        <v>45716</v>
      </c>
      <c r="C550" s="10" t="s">
        <v>7</v>
      </c>
      <c r="D550" s="4" t="s">
        <v>268</v>
      </c>
      <c r="E550" s="253">
        <v>-253</v>
      </c>
      <c r="F550" s="172">
        <v>45777</v>
      </c>
      <c r="G550" s="172">
        <v>45808</v>
      </c>
      <c r="H550" s="120">
        <v>0.48</v>
      </c>
      <c r="I550" s="192">
        <v>0.37</v>
      </c>
      <c r="J550" s="9">
        <v>27.83</v>
      </c>
      <c r="K550">
        <v>-121.44</v>
      </c>
      <c r="L550" s="14" t="s">
        <v>57</v>
      </c>
      <c r="M550" s="8" t="s">
        <v>129</v>
      </c>
      <c r="N550">
        <v>-93.61</v>
      </c>
      <c r="O550" s="38" t="s">
        <v>4</v>
      </c>
      <c r="P550" s="38" t="s">
        <v>7</v>
      </c>
      <c r="Q550">
        <v>2025</v>
      </c>
      <c r="R550" t="s">
        <v>129</v>
      </c>
      <c r="S550" t="s">
        <v>14</v>
      </c>
      <c r="T550" t="s">
        <v>731</v>
      </c>
      <c r="U550" t="str">
        <f>IFERROR(_xlfn.XLOOKUP(A550,'2025 EOY'!A:A,'2025 EOY'!B:B),"No")</f>
        <v>No</v>
      </c>
    </row>
    <row r="551" spans="1:21" x14ac:dyDescent="0.35">
      <c r="A551" s="37" t="s">
        <v>127</v>
      </c>
      <c r="B551" s="12">
        <v>45719</v>
      </c>
      <c r="C551" s="30" t="s">
        <v>22</v>
      </c>
      <c r="D551" s="4" t="s">
        <v>128</v>
      </c>
      <c r="E551" s="253">
        <v>200</v>
      </c>
      <c r="F551" t="s">
        <v>143</v>
      </c>
      <c r="G551" s="172">
        <v>45688</v>
      </c>
      <c r="H551" s="15">
        <v>1.1499999999999999</v>
      </c>
      <c r="I551" s="191">
        <v>1.32</v>
      </c>
      <c r="J551" s="9">
        <v>34.000000000000028</v>
      </c>
      <c r="K551">
        <v>229.99999999999997</v>
      </c>
      <c r="L551" s="14" t="s">
        <v>35</v>
      </c>
      <c r="M551" s="8" t="s">
        <v>131</v>
      </c>
      <c r="N551">
        <v>264</v>
      </c>
      <c r="O551" s="38" t="s">
        <v>11</v>
      </c>
      <c r="P551" s="38" t="s">
        <v>16</v>
      </c>
      <c r="Q551">
        <v>2025</v>
      </c>
      <c r="R551" t="s">
        <v>131</v>
      </c>
      <c r="S551" t="s">
        <v>14</v>
      </c>
      <c r="T551" t="s">
        <v>732</v>
      </c>
      <c r="U551" t="str">
        <f>IFERROR(_xlfn.XLOOKUP(A551,'2025 EOY'!A:A,'2025 EOY'!B:B),"No")</f>
        <v>No</v>
      </c>
    </row>
    <row r="552" spans="1:21" x14ac:dyDescent="0.35">
      <c r="A552" s="37" t="s">
        <v>127</v>
      </c>
      <c r="B552" s="12">
        <v>45719</v>
      </c>
      <c r="C552" s="30" t="s">
        <v>22</v>
      </c>
      <c r="D552" s="4" t="s">
        <v>128</v>
      </c>
      <c r="E552" s="253">
        <v>-200</v>
      </c>
      <c r="F552" t="s">
        <v>145</v>
      </c>
      <c r="G552" s="172">
        <v>45688</v>
      </c>
      <c r="H552" s="15">
        <v>0.7</v>
      </c>
      <c r="I552" s="191">
        <v>0.54</v>
      </c>
      <c r="J552" s="9">
        <v>31.999999999999986</v>
      </c>
      <c r="K552">
        <v>-140</v>
      </c>
      <c r="L552" s="14" t="s">
        <v>38</v>
      </c>
      <c r="M552" s="8" t="s">
        <v>129</v>
      </c>
      <c r="N552">
        <v>-108</v>
      </c>
      <c r="O552" s="38" t="s">
        <v>11</v>
      </c>
      <c r="P552" s="38" t="s">
        <v>16</v>
      </c>
      <c r="Q552">
        <v>2025</v>
      </c>
      <c r="R552" t="s">
        <v>129</v>
      </c>
      <c r="S552" t="s">
        <v>14</v>
      </c>
      <c r="T552" t="s">
        <v>733</v>
      </c>
      <c r="U552" t="str">
        <f>IFERROR(_xlfn.XLOOKUP(A552,'2025 EOY'!A:A,'2025 EOY'!B:B),"No")</f>
        <v>No</v>
      </c>
    </row>
    <row r="553" spans="1:21" x14ac:dyDescent="0.35">
      <c r="A553" s="37" t="s">
        <v>127</v>
      </c>
      <c r="B553" s="12">
        <v>45719</v>
      </c>
      <c r="C553" s="10" t="s">
        <v>10</v>
      </c>
      <c r="D553" s="4" t="s">
        <v>128</v>
      </c>
      <c r="E553" s="253">
        <v>18</v>
      </c>
      <c r="F553" s="172">
        <v>45777</v>
      </c>
      <c r="G553" s="172">
        <v>45777</v>
      </c>
      <c r="H553" s="15">
        <v>-3.42</v>
      </c>
      <c r="I553" s="192">
        <v>-3.42</v>
      </c>
      <c r="J553" s="9">
        <v>0</v>
      </c>
      <c r="K553">
        <v>-61.56</v>
      </c>
      <c r="L553" s="14" t="s">
        <v>64</v>
      </c>
      <c r="M553" s="8" t="s">
        <v>131</v>
      </c>
      <c r="N553">
        <v>-61.56</v>
      </c>
      <c r="O553" s="38" t="s">
        <v>11</v>
      </c>
      <c r="P553" s="38" t="s">
        <v>10</v>
      </c>
      <c r="Q553">
        <v>2025</v>
      </c>
      <c r="R553" t="s">
        <v>131</v>
      </c>
      <c r="S553" t="s">
        <v>14</v>
      </c>
      <c r="T553" t="s">
        <v>734</v>
      </c>
      <c r="U553" t="str">
        <f>IFERROR(_xlfn.XLOOKUP(A553,'2025 EOY'!A:A,'2025 EOY'!B:B),"No")</f>
        <v>No</v>
      </c>
    </row>
    <row r="554" spans="1:21" x14ac:dyDescent="0.35">
      <c r="A554" s="37" t="s">
        <v>127</v>
      </c>
      <c r="B554" s="12">
        <v>45716</v>
      </c>
      <c r="C554" s="10" t="s">
        <v>15</v>
      </c>
      <c r="D554" s="4" t="s">
        <v>128</v>
      </c>
      <c r="E554" s="253">
        <v>-222</v>
      </c>
      <c r="F554" s="173">
        <v>45716</v>
      </c>
      <c r="G554" s="172">
        <v>45716</v>
      </c>
      <c r="H554" s="15">
        <v>0.22</v>
      </c>
      <c r="I554" s="191">
        <v>0.22</v>
      </c>
      <c r="J554" s="9">
        <v>0</v>
      </c>
      <c r="K554">
        <v>-48.84</v>
      </c>
      <c r="L554" s="14" t="s">
        <v>62</v>
      </c>
      <c r="M554" s="8" t="s">
        <v>129</v>
      </c>
      <c r="N554">
        <v>-48.84</v>
      </c>
      <c r="O554" s="38" t="s">
        <v>11</v>
      </c>
      <c r="P554" s="38" t="s">
        <v>16</v>
      </c>
      <c r="Q554">
        <v>2025</v>
      </c>
      <c r="R554" t="s">
        <v>129</v>
      </c>
      <c r="S554" t="s">
        <v>14</v>
      </c>
      <c r="T554" t="s">
        <v>735</v>
      </c>
      <c r="U554" t="str">
        <f>IFERROR(_xlfn.XLOOKUP(A554,'2025 EOY'!A:A,'2025 EOY'!B:B),"No")</f>
        <v>No</v>
      </c>
    </row>
    <row r="555" spans="1:21" x14ac:dyDescent="0.35">
      <c r="A555" s="37" t="s">
        <v>736</v>
      </c>
      <c r="B555" s="12">
        <v>45706</v>
      </c>
      <c r="C555" s="10" t="s">
        <v>19</v>
      </c>
      <c r="D555" s="10" t="s">
        <v>268</v>
      </c>
      <c r="E555" s="259">
        <v>700</v>
      </c>
      <c r="F555" s="172">
        <v>45716</v>
      </c>
      <c r="G555" s="172">
        <v>45716</v>
      </c>
      <c r="H555" s="15">
        <v>1.45</v>
      </c>
      <c r="I555" s="201">
        <v>1.45</v>
      </c>
      <c r="J555" s="9">
        <v>0</v>
      </c>
      <c r="K555">
        <v>1015</v>
      </c>
      <c r="L555" s="14" t="s">
        <v>62</v>
      </c>
      <c r="M555" s="8" t="s">
        <v>131</v>
      </c>
      <c r="N555">
        <v>1015</v>
      </c>
      <c r="O555" s="38" t="s">
        <v>19</v>
      </c>
      <c r="P555" s="38" t="s">
        <v>19</v>
      </c>
      <c r="Q555">
        <v>2025</v>
      </c>
      <c r="R555" t="s">
        <v>131</v>
      </c>
      <c r="S555" t="s">
        <v>96</v>
      </c>
      <c r="T555" t="s">
        <v>737</v>
      </c>
      <c r="U555" t="str">
        <f>IFERROR(_xlfn.XLOOKUP(A555,'2025 EOY'!A:A,'2025 EOY'!B:B),"No")</f>
        <v>No</v>
      </c>
    </row>
    <row r="556" spans="1:21" x14ac:dyDescent="0.35">
      <c r="A556" s="37" t="s">
        <v>736</v>
      </c>
      <c r="B556" s="12">
        <v>45706</v>
      </c>
      <c r="C556" s="10" t="s">
        <v>3</v>
      </c>
      <c r="D556" s="4" t="s">
        <v>268</v>
      </c>
      <c r="E556" s="253">
        <v>-700</v>
      </c>
      <c r="F556" s="172">
        <v>45747</v>
      </c>
      <c r="G556" s="172">
        <v>45777</v>
      </c>
      <c r="H556" s="15">
        <v>0.01</v>
      </c>
      <c r="I556" s="192">
        <v>0.15</v>
      </c>
      <c r="J556" s="9">
        <v>-97.999999999999986</v>
      </c>
      <c r="K556">
        <v>-7</v>
      </c>
      <c r="L556" s="14" t="s">
        <v>56</v>
      </c>
      <c r="M556" s="8" t="s">
        <v>129</v>
      </c>
      <c r="N556">
        <v>-105</v>
      </c>
      <c r="O556" s="38" t="s">
        <v>4</v>
      </c>
      <c r="P556" s="38" t="s">
        <v>3</v>
      </c>
      <c r="Q556">
        <v>2025</v>
      </c>
      <c r="R556" t="s">
        <v>129</v>
      </c>
      <c r="S556" t="s">
        <v>14</v>
      </c>
      <c r="T556" t="s">
        <v>738</v>
      </c>
      <c r="U556" t="str">
        <f>IFERROR(_xlfn.XLOOKUP(A556,'2025 EOY'!A:A,'2025 EOY'!B:B),"No")</f>
        <v>No</v>
      </c>
    </row>
    <row r="557" spans="1:21" x14ac:dyDescent="0.35">
      <c r="A557" s="113" t="s">
        <v>736</v>
      </c>
      <c r="B557" s="12">
        <v>45706</v>
      </c>
      <c r="C557" s="10" t="s">
        <v>3</v>
      </c>
      <c r="D557" s="4" t="s">
        <v>128</v>
      </c>
      <c r="E557" s="253">
        <v>350</v>
      </c>
      <c r="F557" s="172">
        <v>45747</v>
      </c>
      <c r="G557" s="172">
        <v>45777</v>
      </c>
      <c r="H557" s="15">
        <v>0.03</v>
      </c>
      <c r="I557" s="192">
        <v>0.15</v>
      </c>
      <c r="J557" s="9">
        <v>42</v>
      </c>
      <c r="K557">
        <v>10.5</v>
      </c>
      <c r="L557" s="14" t="s">
        <v>56</v>
      </c>
      <c r="M557" s="8" t="s">
        <v>131</v>
      </c>
      <c r="N557">
        <v>52.5</v>
      </c>
      <c r="O557" s="38" t="s">
        <v>4</v>
      </c>
      <c r="P557" s="38" t="s">
        <v>3</v>
      </c>
      <c r="Q557">
        <v>2025</v>
      </c>
      <c r="R557" t="s">
        <v>131</v>
      </c>
      <c r="S557" t="s">
        <v>14</v>
      </c>
      <c r="T557" t="s">
        <v>739</v>
      </c>
      <c r="U557" t="str">
        <f>IFERROR(_xlfn.XLOOKUP(A557,'2025 EOY'!A:A,'2025 EOY'!B:B),"No")</f>
        <v>No</v>
      </c>
    </row>
    <row r="558" spans="1:21" x14ac:dyDescent="0.35">
      <c r="A558" s="37" t="s">
        <v>736</v>
      </c>
      <c r="B558" s="12">
        <v>45706</v>
      </c>
      <c r="C558" s="10" t="s">
        <v>3</v>
      </c>
      <c r="D558" s="4" t="s">
        <v>128</v>
      </c>
      <c r="E558" s="253">
        <v>350</v>
      </c>
      <c r="F558" s="172">
        <v>45747</v>
      </c>
      <c r="G558" s="172">
        <v>45777</v>
      </c>
      <c r="H558" s="15">
        <v>0.01</v>
      </c>
      <c r="I558" s="192">
        <v>0.15</v>
      </c>
      <c r="J558" s="9">
        <v>48.999999999999993</v>
      </c>
      <c r="K558">
        <v>3.5</v>
      </c>
      <c r="L558" s="14" t="s">
        <v>56</v>
      </c>
      <c r="M558" s="8" t="s">
        <v>131</v>
      </c>
      <c r="N558">
        <v>52.5</v>
      </c>
      <c r="O558" s="38" t="s">
        <v>4</v>
      </c>
      <c r="P558" s="38" t="s">
        <v>3</v>
      </c>
      <c r="Q558">
        <v>2025</v>
      </c>
      <c r="R558" t="s">
        <v>131</v>
      </c>
      <c r="S558" t="s">
        <v>14</v>
      </c>
      <c r="T558" t="s">
        <v>740</v>
      </c>
      <c r="U558" t="str">
        <f>IFERROR(_xlfn.XLOOKUP(A558,'2025 EOY'!A:A,'2025 EOY'!B:B),"No")</f>
        <v>No</v>
      </c>
    </row>
    <row r="559" spans="1:21" x14ac:dyDescent="0.35">
      <c r="A559" t="s">
        <v>736</v>
      </c>
      <c r="B559" s="12">
        <v>45719</v>
      </c>
      <c r="C559" s="10" t="s">
        <v>3</v>
      </c>
      <c r="D559" s="4" t="s">
        <v>268</v>
      </c>
      <c r="E559" s="253">
        <v>-700</v>
      </c>
      <c r="F559" s="172">
        <v>45777</v>
      </c>
      <c r="G559" s="172">
        <v>45808</v>
      </c>
      <c r="H559" s="15">
        <v>0.32</v>
      </c>
      <c r="I559" s="192">
        <v>0.25</v>
      </c>
      <c r="J559" s="9">
        <v>49.000000000000007</v>
      </c>
      <c r="K559">
        <v>-224</v>
      </c>
      <c r="L559" s="14" t="s">
        <v>57</v>
      </c>
      <c r="M559" s="8" t="s">
        <v>129</v>
      </c>
      <c r="N559">
        <v>-175</v>
      </c>
      <c r="O559" s="38" t="s">
        <v>4</v>
      </c>
      <c r="P559" s="38" t="s">
        <v>3</v>
      </c>
      <c r="Q559">
        <v>2025</v>
      </c>
      <c r="R559" t="s">
        <v>129</v>
      </c>
      <c r="S559" t="s">
        <v>14</v>
      </c>
      <c r="T559" t="s">
        <v>741</v>
      </c>
      <c r="U559" t="str">
        <f>IFERROR(_xlfn.XLOOKUP(A559,'2025 EOY'!A:A,'2025 EOY'!B:B),"No")</f>
        <v>No</v>
      </c>
    </row>
    <row r="560" spans="1:21" x14ac:dyDescent="0.35">
      <c r="A560" t="s">
        <v>736</v>
      </c>
      <c r="B560" s="12">
        <v>45719</v>
      </c>
      <c r="C560" s="10" t="s">
        <v>10</v>
      </c>
      <c r="D560" s="4" t="s">
        <v>268</v>
      </c>
      <c r="E560" s="253">
        <v>-700</v>
      </c>
      <c r="F560" s="172">
        <v>45808</v>
      </c>
      <c r="G560" s="172">
        <v>45808</v>
      </c>
      <c r="H560" s="15">
        <v>-3.55</v>
      </c>
      <c r="I560" s="192">
        <v>-3.26</v>
      </c>
      <c r="J560" s="9">
        <v>-203.00000000000003</v>
      </c>
      <c r="K560">
        <v>2485</v>
      </c>
      <c r="L560" s="14" t="s">
        <v>65</v>
      </c>
      <c r="M560" s="8" t="s">
        <v>129</v>
      </c>
      <c r="N560">
        <v>2282</v>
      </c>
      <c r="O560" s="38" t="s">
        <v>11</v>
      </c>
      <c r="P560" s="38" t="s">
        <v>10</v>
      </c>
      <c r="Q560">
        <v>2025</v>
      </c>
      <c r="R560" t="s">
        <v>129</v>
      </c>
      <c r="S560" t="s">
        <v>14</v>
      </c>
      <c r="T560" t="s">
        <v>742</v>
      </c>
      <c r="U560" t="str">
        <f>IFERROR(_xlfn.XLOOKUP(A560,'2025 EOY'!A:A,'2025 EOY'!B:B),"No")</f>
        <v>No</v>
      </c>
    </row>
    <row r="561" spans="1:21" x14ac:dyDescent="0.35">
      <c r="A561" t="s">
        <v>736</v>
      </c>
      <c r="B561" s="12">
        <v>45719</v>
      </c>
      <c r="C561" s="10" t="s">
        <v>7</v>
      </c>
      <c r="D561" s="4" t="s">
        <v>268</v>
      </c>
      <c r="E561" s="253">
        <v>-700</v>
      </c>
      <c r="F561" s="172">
        <v>45808</v>
      </c>
      <c r="G561" s="172">
        <v>45838</v>
      </c>
      <c r="H561" s="15">
        <v>0.46</v>
      </c>
      <c r="I561" s="192">
        <v>-0.03</v>
      </c>
      <c r="J561" s="9">
        <v>343</v>
      </c>
      <c r="K561">
        <v>-322</v>
      </c>
      <c r="L561" s="14" t="s">
        <v>58</v>
      </c>
      <c r="M561" s="8" t="s">
        <v>129</v>
      </c>
      <c r="N561">
        <v>21</v>
      </c>
      <c r="O561" s="38" t="s">
        <v>4</v>
      </c>
      <c r="P561" s="38" t="s">
        <v>7</v>
      </c>
      <c r="Q561">
        <v>2025</v>
      </c>
      <c r="R561" t="s">
        <v>129</v>
      </c>
      <c r="S561" t="s">
        <v>14</v>
      </c>
      <c r="T561" t="s">
        <v>743</v>
      </c>
      <c r="U561" t="str">
        <f>IFERROR(_xlfn.XLOOKUP(A561,'2025 EOY'!A:A,'2025 EOY'!B:B),"No")</f>
        <v>No</v>
      </c>
    </row>
    <row r="562" spans="1:21" x14ac:dyDescent="0.35">
      <c r="A562" t="s">
        <v>736</v>
      </c>
      <c r="B562" s="12">
        <v>45719</v>
      </c>
      <c r="C562" s="10" t="s">
        <v>15</v>
      </c>
      <c r="D562" s="4" t="s">
        <v>268</v>
      </c>
      <c r="E562" s="253">
        <v>700</v>
      </c>
      <c r="F562" s="173">
        <v>45777</v>
      </c>
      <c r="G562" s="172">
        <v>45777</v>
      </c>
      <c r="H562" s="15">
        <v>0.47</v>
      </c>
      <c r="I562" s="191">
        <v>1.42</v>
      </c>
      <c r="J562" s="9">
        <v>665</v>
      </c>
      <c r="K562">
        <v>329</v>
      </c>
      <c r="L562" s="14" t="s">
        <v>64</v>
      </c>
      <c r="M562" s="8" t="s">
        <v>131</v>
      </c>
      <c r="N562">
        <v>994</v>
      </c>
      <c r="O562" s="38" t="s">
        <v>11</v>
      </c>
      <c r="P562" s="38" t="s">
        <v>16</v>
      </c>
      <c r="Q562">
        <v>2025</v>
      </c>
      <c r="R562" t="s">
        <v>131</v>
      </c>
      <c r="S562" t="s">
        <v>14</v>
      </c>
      <c r="T562" t="s">
        <v>744</v>
      </c>
      <c r="U562" t="str">
        <f>IFERROR(_xlfn.XLOOKUP(A562,'2025 EOY'!A:A,'2025 EOY'!B:B),"No")</f>
        <v>No</v>
      </c>
    </row>
    <row r="563" spans="1:21" x14ac:dyDescent="0.35">
      <c r="A563" t="s">
        <v>736</v>
      </c>
      <c r="B563" s="12">
        <v>45719</v>
      </c>
      <c r="C563" s="47" t="s">
        <v>36</v>
      </c>
      <c r="D563" s="10" t="s">
        <v>268</v>
      </c>
      <c r="E563" s="253">
        <v>-700</v>
      </c>
      <c r="F563" s="172">
        <v>45777</v>
      </c>
      <c r="G563" s="172">
        <v>45777</v>
      </c>
      <c r="H563" s="212">
        <v>138</v>
      </c>
      <c r="I563" s="192">
        <v>138</v>
      </c>
      <c r="J563" s="9">
        <v>0</v>
      </c>
      <c r="K563">
        <v>-96600</v>
      </c>
      <c r="L563" s="14" t="s">
        <v>64</v>
      </c>
      <c r="M563" s="8" t="s">
        <v>129</v>
      </c>
      <c r="N563">
        <v>-96600</v>
      </c>
      <c r="O563" s="38" t="s">
        <v>29</v>
      </c>
      <c r="P563" s="38" t="s">
        <v>29</v>
      </c>
      <c r="Q563">
        <v>2025</v>
      </c>
      <c r="R563" t="s">
        <v>129</v>
      </c>
      <c r="S563" t="s">
        <v>14</v>
      </c>
      <c r="T563" t="s">
        <v>745</v>
      </c>
      <c r="U563" t="str">
        <f>IFERROR(_xlfn.XLOOKUP(A563,'2025 EOY'!A:A,'2025 EOY'!B:B),"No")</f>
        <v>No</v>
      </c>
    </row>
    <row r="564" spans="1:21" x14ac:dyDescent="0.35">
      <c r="A564" t="s">
        <v>736</v>
      </c>
      <c r="B564" s="12">
        <v>45719</v>
      </c>
      <c r="C564" s="47" t="s">
        <v>36</v>
      </c>
      <c r="D564" s="10" t="s">
        <v>128</v>
      </c>
      <c r="E564" s="253">
        <v>700</v>
      </c>
      <c r="F564" s="172">
        <v>45777</v>
      </c>
      <c r="G564" s="172">
        <v>45777</v>
      </c>
      <c r="H564" s="212">
        <v>137.5</v>
      </c>
      <c r="I564" s="192">
        <v>138</v>
      </c>
      <c r="J564" s="9">
        <v>7</v>
      </c>
      <c r="K564">
        <v>96250</v>
      </c>
      <c r="L564" s="14" t="s">
        <v>64</v>
      </c>
      <c r="M564" s="8" t="s">
        <v>131</v>
      </c>
      <c r="N564">
        <v>96600</v>
      </c>
      <c r="O564" s="38" t="s">
        <v>29</v>
      </c>
      <c r="P564" s="38" t="s">
        <v>29</v>
      </c>
      <c r="Q564">
        <v>2025</v>
      </c>
      <c r="R564" t="s">
        <v>131</v>
      </c>
      <c r="S564" t="s">
        <v>14</v>
      </c>
      <c r="T564" t="s">
        <v>746</v>
      </c>
      <c r="U564" t="str">
        <f>IFERROR(_xlfn.XLOOKUP(A564,'2025 EOY'!A:A,'2025 EOY'!B:B),"No")</f>
        <v>No</v>
      </c>
    </row>
    <row r="565" spans="1:21" x14ac:dyDescent="0.35">
      <c r="A565" s="37" t="s">
        <v>127</v>
      </c>
      <c r="B565" s="12">
        <v>45716</v>
      </c>
      <c r="C565" s="47" t="s">
        <v>39</v>
      </c>
      <c r="D565" s="10" t="s">
        <v>128</v>
      </c>
      <c r="E565" s="253">
        <v>-2800</v>
      </c>
      <c r="F565" s="172">
        <v>45716</v>
      </c>
      <c r="G565" s="172">
        <v>45716</v>
      </c>
      <c r="H565" s="212">
        <v>109.1</v>
      </c>
      <c r="I565" s="192">
        <v>109</v>
      </c>
      <c r="J565" s="9">
        <v>-1.3999999999999204</v>
      </c>
      <c r="K565">
        <v>-305480</v>
      </c>
      <c r="L565" s="14" t="s">
        <v>62</v>
      </c>
      <c r="M565" s="8" t="s">
        <v>129</v>
      </c>
      <c r="N565">
        <v>-305200</v>
      </c>
      <c r="O565" s="38" t="s">
        <v>29</v>
      </c>
      <c r="P565" s="38" t="s">
        <v>29</v>
      </c>
      <c r="Q565">
        <v>2025</v>
      </c>
      <c r="R565" t="s">
        <v>129</v>
      </c>
      <c r="S565" t="s">
        <v>14</v>
      </c>
      <c r="T565" t="s">
        <v>747</v>
      </c>
      <c r="U565" t="str">
        <f>IFERROR(_xlfn.XLOOKUP(A565,'2025 EOY'!A:A,'2025 EOY'!B:B),"No")</f>
        <v>No</v>
      </c>
    </row>
    <row r="566" spans="1:21" x14ac:dyDescent="0.35">
      <c r="A566" s="37" t="s">
        <v>690</v>
      </c>
      <c r="B566" s="12">
        <v>45695</v>
      </c>
      <c r="C566" s="10" t="s">
        <v>44</v>
      </c>
      <c r="D566" s="10" t="s">
        <v>268</v>
      </c>
      <c r="E566" s="259">
        <v>700</v>
      </c>
      <c r="F566" s="172">
        <v>45747</v>
      </c>
      <c r="G566" s="172">
        <v>45747</v>
      </c>
      <c r="H566" s="15">
        <v>1.51</v>
      </c>
      <c r="I566" s="191">
        <v>1.488909090909091</v>
      </c>
      <c r="J566" s="9">
        <v>-14.763636363636333</v>
      </c>
      <c r="K566">
        <v>1057</v>
      </c>
      <c r="L566" s="14" t="s">
        <v>63</v>
      </c>
      <c r="M566" s="8" t="s">
        <v>131</v>
      </c>
      <c r="N566">
        <v>1042.2363636363636</v>
      </c>
      <c r="O566" s="38" t="s">
        <v>11</v>
      </c>
      <c r="P566" s="38" t="s">
        <v>44</v>
      </c>
      <c r="Q566">
        <v>2025</v>
      </c>
      <c r="R566" t="s">
        <v>131</v>
      </c>
      <c r="S566" t="s">
        <v>14</v>
      </c>
      <c r="T566" t="s">
        <v>748</v>
      </c>
      <c r="U566" t="str">
        <f>IFERROR(_xlfn.XLOOKUP(A566,'2025 EOY'!A:A,'2025 EOY'!B:B),"No")</f>
        <v>No</v>
      </c>
    </row>
    <row r="567" spans="1:21" x14ac:dyDescent="0.35">
      <c r="A567" s="37" t="s">
        <v>749</v>
      </c>
      <c r="B567" s="12">
        <v>45706</v>
      </c>
      <c r="C567" s="10" t="s">
        <v>19</v>
      </c>
      <c r="D567" s="10" t="s">
        <v>268</v>
      </c>
      <c r="E567" s="259">
        <v>685</v>
      </c>
      <c r="F567" s="172">
        <v>45716</v>
      </c>
      <c r="G567" s="172">
        <v>45716</v>
      </c>
      <c r="H567" s="15">
        <v>-0.91999999999999993</v>
      </c>
      <c r="I567" s="201">
        <v>-0.55000000000000004</v>
      </c>
      <c r="J567" s="9">
        <v>253.44999999999993</v>
      </c>
      <c r="K567">
        <v>-630.19999999999993</v>
      </c>
      <c r="L567" s="14" t="s">
        <v>62</v>
      </c>
      <c r="M567" s="8" t="s">
        <v>131</v>
      </c>
      <c r="N567">
        <v>-376.75000000000006</v>
      </c>
      <c r="O567" s="38" t="s">
        <v>19</v>
      </c>
      <c r="P567" s="38" t="s">
        <v>19</v>
      </c>
      <c r="Q567">
        <v>2025</v>
      </c>
      <c r="R567" t="s">
        <v>131</v>
      </c>
      <c r="S567" t="s">
        <v>96</v>
      </c>
      <c r="T567" t="s">
        <v>750</v>
      </c>
      <c r="U567" t="str">
        <f>IFERROR(_xlfn.XLOOKUP(A567,'2025 EOY'!A:A,'2025 EOY'!B:B),"No")</f>
        <v>No</v>
      </c>
    </row>
    <row r="568" spans="1:21" x14ac:dyDescent="0.35">
      <c r="A568" s="37" t="s">
        <v>749</v>
      </c>
      <c r="B568" s="12">
        <v>45706</v>
      </c>
      <c r="C568" s="10" t="s">
        <v>3</v>
      </c>
      <c r="D568" s="4" t="s">
        <v>268</v>
      </c>
      <c r="E568" s="253">
        <v>700</v>
      </c>
      <c r="F568" s="172">
        <v>45747</v>
      </c>
      <c r="G568" s="172">
        <v>45777</v>
      </c>
      <c r="H568" s="15">
        <v>0.01</v>
      </c>
      <c r="I568" s="192">
        <v>0.15</v>
      </c>
      <c r="J568" s="9">
        <v>97.999999999999986</v>
      </c>
      <c r="K568">
        <v>7</v>
      </c>
      <c r="L568" s="14" t="s">
        <v>56</v>
      </c>
      <c r="M568" s="8" t="s">
        <v>131</v>
      </c>
      <c r="N568">
        <v>105</v>
      </c>
      <c r="O568" s="38" t="s">
        <v>4</v>
      </c>
      <c r="P568" s="38" t="s">
        <v>3</v>
      </c>
      <c r="Q568">
        <v>2025</v>
      </c>
      <c r="R568" t="s">
        <v>131</v>
      </c>
      <c r="S568" t="s">
        <v>14</v>
      </c>
      <c r="T568" t="s">
        <v>751</v>
      </c>
      <c r="U568" t="str">
        <f>IFERROR(_xlfn.XLOOKUP(A568,'2025 EOY'!A:A,'2025 EOY'!B:B),"No")</f>
        <v>No</v>
      </c>
    </row>
    <row r="569" spans="1:21" x14ac:dyDescent="0.35">
      <c r="A569" s="37" t="s">
        <v>749</v>
      </c>
      <c r="B569" s="12">
        <v>45706</v>
      </c>
      <c r="C569" s="10" t="s">
        <v>3</v>
      </c>
      <c r="D569" s="4" t="s">
        <v>128</v>
      </c>
      <c r="E569" s="253">
        <v>-700</v>
      </c>
      <c r="F569" s="172">
        <v>45747</v>
      </c>
      <c r="G569" s="172">
        <v>45777</v>
      </c>
      <c r="H569" s="15">
        <v>0.01</v>
      </c>
      <c r="I569" s="192">
        <v>0.15</v>
      </c>
      <c r="J569" s="9">
        <v>-97.999999999999986</v>
      </c>
      <c r="K569">
        <v>-7</v>
      </c>
      <c r="L569" s="14" t="s">
        <v>56</v>
      </c>
      <c r="M569" s="8" t="s">
        <v>129</v>
      </c>
      <c r="N569">
        <v>-105</v>
      </c>
      <c r="O569" s="38" t="s">
        <v>4</v>
      </c>
      <c r="P569" s="38" t="s">
        <v>3</v>
      </c>
      <c r="Q569">
        <v>2025</v>
      </c>
      <c r="R569" t="s">
        <v>129</v>
      </c>
      <c r="S569" t="s">
        <v>14</v>
      </c>
      <c r="T569" t="s">
        <v>752</v>
      </c>
      <c r="U569" t="str">
        <f>IFERROR(_xlfn.XLOOKUP(A569,'2025 EOY'!A:A,'2025 EOY'!B:B),"No")</f>
        <v>No</v>
      </c>
    </row>
    <row r="570" spans="1:21" x14ac:dyDescent="0.35">
      <c r="A570" s="37" t="s">
        <v>749</v>
      </c>
      <c r="B570" s="12">
        <v>45720</v>
      </c>
      <c r="C570" s="10" t="s">
        <v>3</v>
      </c>
      <c r="D570" s="4" t="s">
        <v>268</v>
      </c>
      <c r="E570" s="253">
        <v>-685</v>
      </c>
      <c r="F570" s="172">
        <v>45777</v>
      </c>
      <c r="G570" s="172">
        <v>45808</v>
      </c>
      <c r="H570" s="15">
        <v>0.47</v>
      </c>
      <c r="I570" s="192">
        <v>0.25</v>
      </c>
      <c r="J570" s="9">
        <v>150.69999999999999</v>
      </c>
      <c r="K570">
        <v>-321.95</v>
      </c>
      <c r="L570" s="14" t="s">
        <v>57</v>
      </c>
      <c r="M570" s="8" t="s">
        <v>129</v>
      </c>
      <c r="N570">
        <v>-171.25</v>
      </c>
      <c r="O570" s="38" t="s">
        <v>4</v>
      </c>
      <c r="P570" s="38" t="s">
        <v>3</v>
      </c>
      <c r="Q570">
        <v>2025</v>
      </c>
      <c r="R570" t="s">
        <v>129</v>
      </c>
      <c r="S570" t="s">
        <v>14</v>
      </c>
      <c r="T570" t="s">
        <v>753</v>
      </c>
      <c r="U570" t="str">
        <f>IFERROR(_xlfn.XLOOKUP(A570,'2025 EOY'!A:A,'2025 EOY'!B:B),"No")</f>
        <v>No</v>
      </c>
    </row>
    <row r="571" spans="1:21" x14ac:dyDescent="0.35">
      <c r="A571" s="37" t="s">
        <v>749</v>
      </c>
      <c r="B571" s="12">
        <v>45720</v>
      </c>
      <c r="C571" s="10" t="s">
        <v>3</v>
      </c>
      <c r="D571" s="4" t="s">
        <v>268</v>
      </c>
      <c r="E571" s="253">
        <v>-685</v>
      </c>
      <c r="F571" s="172">
        <v>45808</v>
      </c>
      <c r="G571" s="172">
        <v>45838</v>
      </c>
      <c r="H571" s="15">
        <v>0.44</v>
      </c>
      <c r="I571" s="192">
        <v>0.67</v>
      </c>
      <c r="J571" s="9">
        <v>-157.55000000000004</v>
      </c>
      <c r="K571">
        <v>-301.39999999999998</v>
      </c>
      <c r="L571" s="14" t="s">
        <v>58</v>
      </c>
      <c r="M571" s="8" t="s">
        <v>129</v>
      </c>
      <c r="N571">
        <v>-458.95000000000005</v>
      </c>
      <c r="O571" s="38" t="s">
        <v>4</v>
      </c>
      <c r="P571" s="38" t="s">
        <v>3</v>
      </c>
      <c r="Q571">
        <v>2025</v>
      </c>
      <c r="R571" t="s">
        <v>129</v>
      </c>
      <c r="S571" t="s">
        <v>14</v>
      </c>
      <c r="T571" t="s">
        <v>754</v>
      </c>
      <c r="U571" t="str">
        <f>IFERROR(_xlfn.XLOOKUP(A571,'2025 EOY'!A:A,'2025 EOY'!B:B),"No")</f>
        <v>No</v>
      </c>
    </row>
    <row r="572" spans="1:21" x14ac:dyDescent="0.35">
      <c r="A572" s="37" t="s">
        <v>749</v>
      </c>
      <c r="B572" s="12">
        <v>45720</v>
      </c>
      <c r="C572" s="10" t="s">
        <v>10</v>
      </c>
      <c r="D572" s="4" t="s">
        <v>268</v>
      </c>
      <c r="E572" s="253">
        <v>-685</v>
      </c>
      <c r="F572" s="172">
        <v>45838</v>
      </c>
      <c r="G572" s="172">
        <v>45838</v>
      </c>
      <c r="H572" s="15">
        <v>-3.4</v>
      </c>
      <c r="I572" s="192">
        <v>-4.91</v>
      </c>
      <c r="J572" s="9">
        <v>1034.3500000000001</v>
      </c>
      <c r="K572">
        <v>2329</v>
      </c>
      <c r="L572" s="14" t="s">
        <v>73</v>
      </c>
      <c r="M572" s="8" t="s">
        <v>129</v>
      </c>
      <c r="N572">
        <v>3363.35</v>
      </c>
      <c r="O572" s="38" t="s">
        <v>11</v>
      </c>
      <c r="P572" s="38" t="s">
        <v>10</v>
      </c>
      <c r="Q572">
        <v>2025</v>
      </c>
      <c r="R572" t="s">
        <v>129</v>
      </c>
      <c r="S572" t="s">
        <v>14</v>
      </c>
      <c r="T572" t="s">
        <v>755</v>
      </c>
      <c r="U572" t="str">
        <f>IFERROR(_xlfn.XLOOKUP(A572,'2025 EOY'!A:A,'2025 EOY'!B:B),"No")</f>
        <v>No</v>
      </c>
    </row>
    <row r="573" spans="1:21" x14ac:dyDescent="0.35">
      <c r="A573" t="s">
        <v>736</v>
      </c>
      <c r="B573" s="12">
        <v>45719</v>
      </c>
      <c r="C573" s="10" t="s">
        <v>15</v>
      </c>
      <c r="D573" s="4" t="s">
        <v>128</v>
      </c>
      <c r="E573" s="253">
        <v>-700</v>
      </c>
      <c r="F573" s="173">
        <v>45777</v>
      </c>
      <c r="G573" s="172">
        <v>45777</v>
      </c>
      <c r="H573" s="15">
        <v>0.37</v>
      </c>
      <c r="I573" s="191">
        <v>1.42</v>
      </c>
      <c r="J573" s="9">
        <v>-734.99999999999989</v>
      </c>
      <c r="K573">
        <v>-259</v>
      </c>
      <c r="L573" s="14" t="s">
        <v>64</v>
      </c>
      <c r="M573" s="8" t="s">
        <v>129</v>
      </c>
      <c r="N573">
        <v>-994</v>
      </c>
      <c r="O573" s="38" t="s">
        <v>11</v>
      </c>
      <c r="P573" s="38" t="s">
        <v>16</v>
      </c>
      <c r="Q573">
        <v>2025</v>
      </c>
      <c r="R573" t="s">
        <v>129</v>
      </c>
      <c r="S573" t="s">
        <v>14</v>
      </c>
      <c r="T573" t="s">
        <v>756</v>
      </c>
      <c r="U573" t="str">
        <f>IFERROR(_xlfn.XLOOKUP(A573,'2025 EOY'!A:A,'2025 EOY'!B:B),"No")</f>
        <v>No</v>
      </c>
    </row>
    <row r="574" spans="1:21" x14ac:dyDescent="0.35">
      <c r="A574" t="s">
        <v>201</v>
      </c>
      <c r="B574" s="12">
        <v>45706</v>
      </c>
      <c r="C574" s="10" t="s">
        <v>19</v>
      </c>
      <c r="D574" s="10" t="s">
        <v>268</v>
      </c>
      <c r="E574" s="259">
        <v>2100</v>
      </c>
      <c r="F574" s="172">
        <v>45716</v>
      </c>
      <c r="G574" s="172">
        <v>45716</v>
      </c>
      <c r="H574" s="15">
        <v>0.44095238095238093</v>
      </c>
      <c r="I574" s="201">
        <v>0.45</v>
      </c>
      <c r="J574" s="9">
        <v>19.000000000000071</v>
      </c>
      <c r="K574">
        <v>926</v>
      </c>
      <c r="L574" s="14" t="s">
        <v>62</v>
      </c>
      <c r="M574" s="8" t="s">
        <v>131</v>
      </c>
      <c r="N574">
        <v>945</v>
      </c>
      <c r="O574" s="38" t="s">
        <v>19</v>
      </c>
      <c r="P574" s="38" t="s">
        <v>19</v>
      </c>
      <c r="Q574">
        <v>2025</v>
      </c>
      <c r="R574" t="s">
        <v>131</v>
      </c>
      <c r="S574" t="s">
        <v>96</v>
      </c>
      <c r="T574" t="s">
        <v>757</v>
      </c>
      <c r="U574" t="str">
        <f>IFERROR(_xlfn.XLOOKUP(A574,'2025 EOY'!A:A,'2025 EOY'!B:B),"No")</f>
        <v>No</v>
      </c>
    </row>
    <row r="575" spans="1:21" x14ac:dyDescent="0.35">
      <c r="A575" t="s">
        <v>201</v>
      </c>
      <c r="B575" s="12">
        <v>45706</v>
      </c>
      <c r="C575" s="10" t="s">
        <v>3</v>
      </c>
      <c r="D575" s="4" t="s">
        <v>268</v>
      </c>
      <c r="E575" s="253">
        <v>-2100</v>
      </c>
      <c r="F575" s="172">
        <v>45747</v>
      </c>
      <c r="G575" s="172">
        <v>45777</v>
      </c>
      <c r="H575" s="15">
        <v>0.01</v>
      </c>
      <c r="I575" s="192">
        <v>0.15</v>
      </c>
      <c r="J575" s="9">
        <v>-293.99999999999994</v>
      </c>
      <c r="K575">
        <v>-21</v>
      </c>
      <c r="L575" s="14" t="s">
        <v>56</v>
      </c>
      <c r="M575" s="8" t="s">
        <v>129</v>
      </c>
      <c r="N575">
        <v>-315</v>
      </c>
      <c r="O575" s="38" t="s">
        <v>4</v>
      </c>
      <c r="P575" s="38" t="s">
        <v>3</v>
      </c>
      <c r="Q575">
        <v>2025</v>
      </c>
      <c r="R575" t="s">
        <v>129</v>
      </c>
      <c r="S575" t="s">
        <v>14</v>
      </c>
      <c r="T575" t="s">
        <v>758</v>
      </c>
      <c r="U575" t="str">
        <f>IFERROR(_xlfn.XLOOKUP(A575,'2025 EOY'!A:A,'2025 EOY'!B:B),"No")</f>
        <v>No</v>
      </c>
    </row>
    <row r="576" spans="1:21" x14ac:dyDescent="0.35">
      <c r="A576" t="s">
        <v>201</v>
      </c>
      <c r="B576" s="12">
        <v>45706</v>
      </c>
      <c r="C576" s="10" t="s">
        <v>3</v>
      </c>
      <c r="D576" s="4" t="s">
        <v>128</v>
      </c>
      <c r="E576" s="253">
        <v>372</v>
      </c>
      <c r="F576" s="172">
        <v>45747</v>
      </c>
      <c r="G576" s="172">
        <v>45777</v>
      </c>
      <c r="H576" s="15">
        <v>0.15</v>
      </c>
      <c r="I576" s="192">
        <v>0.15</v>
      </c>
      <c r="J576" s="9">
        <v>0</v>
      </c>
      <c r="K576">
        <v>55.8</v>
      </c>
      <c r="L576" s="14" t="s">
        <v>56</v>
      </c>
      <c r="M576" s="8" t="s">
        <v>131</v>
      </c>
      <c r="N576">
        <v>55.8</v>
      </c>
      <c r="O576" s="38" t="s">
        <v>4</v>
      </c>
      <c r="P576" s="38" t="s">
        <v>3</v>
      </c>
      <c r="Q576">
        <v>2025</v>
      </c>
      <c r="R576" t="s">
        <v>131</v>
      </c>
      <c r="S576" t="s">
        <v>14</v>
      </c>
      <c r="T576" t="s">
        <v>759</v>
      </c>
      <c r="U576" t="str">
        <f>IFERROR(_xlfn.XLOOKUP(A576,'2025 EOY'!A:A,'2025 EOY'!B:B),"No")</f>
        <v>No</v>
      </c>
    </row>
    <row r="577" spans="1:21" x14ac:dyDescent="0.35">
      <c r="A577" t="s">
        <v>201</v>
      </c>
      <c r="B577" s="12">
        <v>45706</v>
      </c>
      <c r="C577" s="10" t="s">
        <v>3</v>
      </c>
      <c r="D577" s="4" t="s">
        <v>128</v>
      </c>
      <c r="E577" s="253">
        <v>1728</v>
      </c>
      <c r="F577" s="172">
        <v>45747</v>
      </c>
      <c r="G577" s="172">
        <v>45777</v>
      </c>
      <c r="H577" s="15">
        <v>0.15</v>
      </c>
      <c r="I577" s="192">
        <v>0.15</v>
      </c>
      <c r="J577" s="9">
        <v>0</v>
      </c>
      <c r="K577">
        <v>259.2</v>
      </c>
      <c r="L577" s="14" t="s">
        <v>56</v>
      </c>
      <c r="M577" s="8" t="s">
        <v>131</v>
      </c>
      <c r="N577">
        <v>259.2</v>
      </c>
      <c r="O577" s="38" t="s">
        <v>4</v>
      </c>
      <c r="P577" s="38" t="s">
        <v>3</v>
      </c>
      <c r="Q577">
        <v>2025</v>
      </c>
      <c r="R577" t="s">
        <v>131</v>
      </c>
      <c r="S577" t="s">
        <v>14</v>
      </c>
      <c r="T577" t="s">
        <v>760</v>
      </c>
      <c r="U577" t="str">
        <f>IFERROR(_xlfn.XLOOKUP(A577,'2025 EOY'!A:A,'2025 EOY'!B:B),"No")</f>
        <v>No</v>
      </c>
    </row>
    <row r="578" spans="1:21" x14ac:dyDescent="0.35">
      <c r="A578" t="s">
        <v>201</v>
      </c>
      <c r="B578" s="12">
        <v>45721</v>
      </c>
      <c r="C578" s="10" t="s">
        <v>3</v>
      </c>
      <c r="D578" s="4" t="s">
        <v>268</v>
      </c>
      <c r="E578" s="253">
        <v>-2100</v>
      </c>
      <c r="F578" s="172">
        <v>45777</v>
      </c>
      <c r="G578" s="172">
        <v>45808</v>
      </c>
      <c r="H578" s="15">
        <v>0.39</v>
      </c>
      <c r="I578" s="192">
        <v>0.25</v>
      </c>
      <c r="J578" s="9">
        <v>294</v>
      </c>
      <c r="K578">
        <v>-819</v>
      </c>
      <c r="L578" s="14" t="s">
        <v>57</v>
      </c>
      <c r="M578" s="8" t="s">
        <v>129</v>
      </c>
      <c r="N578">
        <v>-525</v>
      </c>
      <c r="O578" s="38" t="s">
        <v>4</v>
      </c>
      <c r="P578" s="38" t="s">
        <v>3</v>
      </c>
      <c r="Q578">
        <v>2025</v>
      </c>
      <c r="R578" t="s">
        <v>129</v>
      </c>
      <c r="S578" t="s">
        <v>14</v>
      </c>
      <c r="T578" t="s">
        <v>761</v>
      </c>
      <c r="U578" t="str">
        <f>IFERROR(_xlfn.XLOOKUP(A578,'2025 EOY'!A:A,'2025 EOY'!B:B),"No")</f>
        <v>No</v>
      </c>
    </row>
    <row r="579" spans="1:21" x14ac:dyDescent="0.35">
      <c r="A579" t="s">
        <v>201</v>
      </c>
      <c r="B579" s="12">
        <v>45721</v>
      </c>
      <c r="C579" s="10" t="s">
        <v>3</v>
      </c>
      <c r="D579" s="4" t="s">
        <v>268</v>
      </c>
      <c r="E579" s="253">
        <v>-2100</v>
      </c>
      <c r="F579" s="172">
        <v>45808</v>
      </c>
      <c r="G579" s="172">
        <v>45838</v>
      </c>
      <c r="H579" s="15">
        <v>0.39</v>
      </c>
      <c r="I579" s="192">
        <v>0.67</v>
      </c>
      <c r="J579" s="9">
        <v>-588</v>
      </c>
      <c r="K579">
        <v>-819</v>
      </c>
      <c r="L579" s="14" t="s">
        <v>58</v>
      </c>
      <c r="M579" s="8" t="s">
        <v>129</v>
      </c>
      <c r="N579">
        <v>-1407</v>
      </c>
      <c r="O579" s="38" t="s">
        <v>4</v>
      </c>
      <c r="P579" s="38" t="s">
        <v>3</v>
      </c>
      <c r="Q579">
        <v>2025</v>
      </c>
      <c r="R579" t="s">
        <v>129</v>
      </c>
      <c r="S579" t="s">
        <v>14</v>
      </c>
      <c r="T579" t="s">
        <v>762</v>
      </c>
      <c r="U579" t="str">
        <f>IFERROR(_xlfn.XLOOKUP(A579,'2025 EOY'!A:A,'2025 EOY'!B:B),"No")</f>
        <v>No</v>
      </c>
    </row>
    <row r="580" spans="1:21" x14ac:dyDescent="0.35">
      <c r="A580" t="s">
        <v>201</v>
      </c>
      <c r="B580" s="12">
        <v>45721</v>
      </c>
      <c r="C580" s="10" t="s">
        <v>10</v>
      </c>
      <c r="D580" s="4" t="s">
        <v>268</v>
      </c>
      <c r="E580" s="253">
        <v>-2100</v>
      </c>
      <c r="F580" s="172">
        <v>45838</v>
      </c>
      <c r="G580" s="172">
        <v>45838</v>
      </c>
      <c r="H580" s="15">
        <v>-3.42</v>
      </c>
      <c r="I580" s="192">
        <v>-4.91</v>
      </c>
      <c r="J580" s="9">
        <v>3129.0000000000005</v>
      </c>
      <c r="K580">
        <v>7182</v>
      </c>
      <c r="L580" s="14" t="s">
        <v>73</v>
      </c>
      <c r="M580" s="8" t="s">
        <v>129</v>
      </c>
      <c r="N580">
        <v>10311</v>
      </c>
      <c r="O580" s="38" t="s">
        <v>11</v>
      </c>
      <c r="P580" s="38" t="s">
        <v>10</v>
      </c>
      <c r="Q580">
        <v>2025</v>
      </c>
      <c r="R580" t="s">
        <v>129</v>
      </c>
      <c r="S580" t="s">
        <v>14</v>
      </c>
      <c r="T580" t="s">
        <v>763</v>
      </c>
      <c r="U580" t="str">
        <f>IFERROR(_xlfn.XLOOKUP(A580,'2025 EOY'!A:A,'2025 EOY'!B:B),"No")</f>
        <v>No</v>
      </c>
    </row>
    <row r="581" spans="1:21" x14ac:dyDescent="0.35">
      <c r="A581" t="s">
        <v>201</v>
      </c>
      <c r="B581" s="12">
        <v>45721</v>
      </c>
      <c r="C581" s="10" t="s">
        <v>15</v>
      </c>
      <c r="D581" s="4" t="s">
        <v>268</v>
      </c>
      <c r="E581" s="253">
        <v>2100</v>
      </c>
      <c r="F581" s="173">
        <v>45777</v>
      </c>
      <c r="G581" s="172">
        <v>45777</v>
      </c>
      <c r="H581" s="15">
        <v>0.45</v>
      </c>
      <c r="I581" s="191">
        <v>1.42</v>
      </c>
      <c r="J581" s="9">
        <v>2037</v>
      </c>
      <c r="K581">
        <v>945</v>
      </c>
      <c r="L581" s="14" t="s">
        <v>64</v>
      </c>
      <c r="M581" s="8" t="s">
        <v>131</v>
      </c>
      <c r="N581">
        <v>2982</v>
      </c>
      <c r="O581" s="38" t="s">
        <v>11</v>
      </c>
      <c r="P581" s="38" t="s">
        <v>16</v>
      </c>
      <c r="Q581">
        <v>2025</v>
      </c>
      <c r="R581" t="s">
        <v>131</v>
      </c>
      <c r="S581" t="s">
        <v>14</v>
      </c>
      <c r="T581" t="s">
        <v>764</v>
      </c>
      <c r="U581" t="str">
        <f>IFERROR(_xlfn.XLOOKUP(A581,'2025 EOY'!A:A,'2025 EOY'!B:B),"No")</f>
        <v>No</v>
      </c>
    </row>
    <row r="582" spans="1:21" x14ac:dyDescent="0.35">
      <c r="A582" t="s">
        <v>201</v>
      </c>
      <c r="B582" s="12">
        <v>45721</v>
      </c>
      <c r="C582" s="10" t="s">
        <v>15</v>
      </c>
      <c r="D582" s="4" t="s">
        <v>128</v>
      </c>
      <c r="E582" s="253">
        <v>-1700</v>
      </c>
      <c r="F582" s="173">
        <v>45777</v>
      </c>
      <c r="G582" s="172">
        <v>45777</v>
      </c>
      <c r="H582" s="15">
        <v>0.45130999999999999</v>
      </c>
      <c r="I582" s="191">
        <v>1.42</v>
      </c>
      <c r="J582" s="9">
        <v>-1646.7729999999999</v>
      </c>
      <c r="K582">
        <v>-767.22699999999998</v>
      </c>
      <c r="L582" s="14" t="s">
        <v>64</v>
      </c>
      <c r="M582" s="8" t="s">
        <v>129</v>
      </c>
      <c r="N582">
        <v>-2414</v>
      </c>
      <c r="O582" s="38" t="s">
        <v>11</v>
      </c>
      <c r="P582" s="38" t="s">
        <v>16</v>
      </c>
      <c r="Q582">
        <v>2025</v>
      </c>
      <c r="R582" t="s">
        <v>129</v>
      </c>
      <c r="S582" t="s">
        <v>14</v>
      </c>
      <c r="T582" t="s">
        <v>765</v>
      </c>
      <c r="U582" t="str">
        <f>IFERROR(_xlfn.XLOOKUP(A582,'2025 EOY'!A:A,'2025 EOY'!B:B),"No")</f>
        <v>No</v>
      </c>
    </row>
    <row r="583" spans="1:21" x14ac:dyDescent="0.35">
      <c r="A583" t="s">
        <v>201</v>
      </c>
      <c r="B583" s="12">
        <v>45721</v>
      </c>
      <c r="C583" s="10" t="s">
        <v>3</v>
      </c>
      <c r="D583" s="4" t="s">
        <v>128</v>
      </c>
      <c r="E583" s="253">
        <v>600</v>
      </c>
      <c r="F583" s="172">
        <v>45777</v>
      </c>
      <c r="G583" s="172">
        <v>45808</v>
      </c>
      <c r="H583" s="15">
        <v>0.37</v>
      </c>
      <c r="I583" s="192">
        <v>0.25</v>
      </c>
      <c r="J583" s="9">
        <v>-72</v>
      </c>
      <c r="K583">
        <v>222</v>
      </c>
      <c r="L583" s="14" t="s">
        <v>57</v>
      </c>
      <c r="M583" s="8" t="s">
        <v>131</v>
      </c>
      <c r="N583">
        <v>150</v>
      </c>
      <c r="O583" s="38" t="s">
        <v>4</v>
      </c>
      <c r="P583" s="38" t="s">
        <v>3</v>
      </c>
      <c r="Q583">
        <v>2025</v>
      </c>
      <c r="R583" t="s">
        <v>131</v>
      </c>
      <c r="S583" t="s">
        <v>14</v>
      </c>
      <c r="T583" t="s">
        <v>766</v>
      </c>
      <c r="U583" t="str">
        <f>IFERROR(_xlfn.XLOOKUP(A583,'2025 EOY'!A:A,'2025 EOY'!B:B),"No")</f>
        <v>No</v>
      </c>
    </row>
    <row r="584" spans="1:21" x14ac:dyDescent="0.35">
      <c r="A584" t="s">
        <v>201</v>
      </c>
      <c r="B584" s="12">
        <v>45721</v>
      </c>
      <c r="C584" s="10" t="s">
        <v>3</v>
      </c>
      <c r="D584" s="4" t="s">
        <v>128</v>
      </c>
      <c r="E584" s="253">
        <v>600</v>
      </c>
      <c r="F584" s="172">
        <v>45808</v>
      </c>
      <c r="G584" s="172">
        <v>45838</v>
      </c>
      <c r="H584" s="15">
        <v>0.38</v>
      </c>
      <c r="I584" s="192">
        <v>0.67</v>
      </c>
      <c r="J584" s="9">
        <v>174.00000000000003</v>
      </c>
      <c r="K584">
        <v>228</v>
      </c>
      <c r="L584" s="14" t="s">
        <v>58</v>
      </c>
      <c r="M584" s="8" t="s">
        <v>131</v>
      </c>
      <c r="N584">
        <v>402</v>
      </c>
      <c r="O584" s="38" t="s">
        <v>4</v>
      </c>
      <c r="P584" s="38" t="s">
        <v>3</v>
      </c>
      <c r="Q584">
        <v>2025</v>
      </c>
      <c r="R584" t="s">
        <v>131</v>
      </c>
      <c r="S584" t="s">
        <v>14</v>
      </c>
      <c r="T584" t="s">
        <v>767</v>
      </c>
      <c r="U584" t="str">
        <f>IFERROR(_xlfn.XLOOKUP(A584,'2025 EOY'!A:A,'2025 EOY'!B:B),"No")</f>
        <v>No</v>
      </c>
    </row>
    <row r="585" spans="1:21" x14ac:dyDescent="0.35">
      <c r="A585" t="s">
        <v>201</v>
      </c>
      <c r="B585" s="12">
        <v>45721</v>
      </c>
      <c r="C585" s="10" t="s">
        <v>3</v>
      </c>
      <c r="D585" s="4" t="s">
        <v>128</v>
      </c>
      <c r="E585" s="253">
        <v>600</v>
      </c>
      <c r="F585" s="172">
        <v>45777</v>
      </c>
      <c r="G585" s="172">
        <v>45808</v>
      </c>
      <c r="H585" s="15">
        <v>0.36</v>
      </c>
      <c r="I585" s="192">
        <v>0.25</v>
      </c>
      <c r="J585" s="9">
        <v>-65.999999999999986</v>
      </c>
      <c r="K585">
        <v>216</v>
      </c>
      <c r="L585" s="14" t="s">
        <v>57</v>
      </c>
      <c r="M585" s="8" t="s">
        <v>131</v>
      </c>
      <c r="N585">
        <v>150</v>
      </c>
      <c r="O585" s="38" t="s">
        <v>4</v>
      </c>
      <c r="P585" s="38" t="s">
        <v>3</v>
      </c>
      <c r="Q585">
        <v>2025</v>
      </c>
      <c r="R585" t="s">
        <v>131</v>
      </c>
      <c r="S585" t="s">
        <v>14</v>
      </c>
      <c r="T585" t="s">
        <v>768</v>
      </c>
      <c r="U585" t="str">
        <f>IFERROR(_xlfn.XLOOKUP(A585,'2025 EOY'!A:A,'2025 EOY'!B:B),"No")</f>
        <v>No</v>
      </c>
    </row>
    <row r="586" spans="1:21" x14ac:dyDescent="0.35">
      <c r="A586" t="s">
        <v>201</v>
      </c>
      <c r="B586" s="12">
        <v>45721</v>
      </c>
      <c r="C586" s="10" t="s">
        <v>3</v>
      </c>
      <c r="D586" s="4" t="s">
        <v>128</v>
      </c>
      <c r="E586" s="253">
        <v>600</v>
      </c>
      <c r="F586" s="172">
        <v>45808</v>
      </c>
      <c r="G586" s="172">
        <v>45838</v>
      </c>
      <c r="H586" s="15">
        <v>0.37</v>
      </c>
      <c r="I586" s="192">
        <v>0.67</v>
      </c>
      <c r="J586" s="9">
        <v>180.00000000000003</v>
      </c>
      <c r="K586">
        <v>222</v>
      </c>
      <c r="L586" s="14" t="s">
        <v>58</v>
      </c>
      <c r="M586" s="8" t="s">
        <v>131</v>
      </c>
      <c r="N586">
        <v>402</v>
      </c>
      <c r="O586" s="38" t="s">
        <v>4</v>
      </c>
      <c r="P586" s="38" t="s">
        <v>3</v>
      </c>
      <c r="Q586">
        <v>2025</v>
      </c>
      <c r="R586" t="s">
        <v>131</v>
      </c>
      <c r="S586" t="s">
        <v>14</v>
      </c>
      <c r="T586" t="s">
        <v>769</v>
      </c>
      <c r="U586" t="str">
        <f>IFERROR(_xlfn.XLOOKUP(A586,'2025 EOY'!A:A,'2025 EOY'!B:B),"No")</f>
        <v>No</v>
      </c>
    </row>
    <row r="587" spans="1:21" x14ac:dyDescent="0.35">
      <c r="A587" t="s">
        <v>201</v>
      </c>
      <c r="B587" s="12">
        <v>45721</v>
      </c>
      <c r="C587" s="10" t="s">
        <v>10</v>
      </c>
      <c r="D587" s="4" t="s">
        <v>128</v>
      </c>
      <c r="E587" s="253">
        <v>500</v>
      </c>
      <c r="F587" s="172">
        <v>45869</v>
      </c>
      <c r="G587" s="172">
        <v>45869</v>
      </c>
      <c r="H587" s="15">
        <v>-3.46</v>
      </c>
      <c r="I587" s="192">
        <v>-3.11</v>
      </c>
      <c r="J587" s="9">
        <v>175.00000000000006</v>
      </c>
      <c r="K587">
        <v>-1730</v>
      </c>
      <c r="L587" s="14" t="s">
        <v>75</v>
      </c>
      <c r="M587" s="8" t="s">
        <v>131</v>
      </c>
      <c r="N587">
        <v>-1555</v>
      </c>
      <c r="O587" s="38" t="s">
        <v>11</v>
      </c>
      <c r="P587" s="38" t="s">
        <v>10</v>
      </c>
      <c r="Q587">
        <v>2025</v>
      </c>
      <c r="R587" t="s">
        <v>131</v>
      </c>
      <c r="S587" t="s">
        <v>14</v>
      </c>
      <c r="T587" t="s">
        <v>770</v>
      </c>
      <c r="U587" t="str">
        <f>IFERROR(_xlfn.XLOOKUP(A587,'2025 EOY'!A:A,'2025 EOY'!B:B),"No")</f>
        <v>No</v>
      </c>
    </row>
    <row r="588" spans="1:21" x14ac:dyDescent="0.35">
      <c r="A588" t="s">
        <v>201</v>
      </c>
      <c r="B588" s="12">
        <v>45721</v>
      </c>
      <c r="C588" s="10" t="s">
        <v>3</v>
      </c>
      <c r="D588" s="4" t="s">
        <v>128</v>
      </c>
      <c r="E588" s="253">
        <v>1600</v>
      </c>
      <c r="F588" s="172">
        <v>45777</v>
      </c>
      <c r="G588" s="172">
        <v>45808</v>
      </c>
      <c r="H588" s="15">
        <v>0.40000000000000568</v>
      </c>
      <c r="I588" s="192">
        <v>0.25</v>
      </c>
      <c r="J588" s="9">
        <v>-240.00000000000909</v>
      </c>
      <c r="K588">
        <v>640.00000000000909</v>
      </c>
      <c r="L588" s="14" t="s">
        <v>57</v>
      </c>
      <c r="M588" s="8" t="s">
        <v>131</v>
      </c>
      <c r="N588">
        <v>400</v>
      </c>
      <c r="O588" s="38" t="s">
        <v>4</v>
      </c>
      <c r="P588" s="38" t="s">
        <v>3</v>
      </c>
      <c r="Q588">
        <v>2025</v>
      </c>
      <c r="R588" t="s">
        <v>131</v>
      </c>
      <c r="S588" t="s">
        <v>14</v>
      </c>
      <c r="T588" t="s">
        <v>771</v>
      </c>
      <c r="U588" t="str">
        <f>IFERROR(_xlfn.XLOOKUP(A588,'2025 EOY'!A:A,'2025 EOY'!B:B),"No")</f>
        <v>No</v>
      </c>
    </row>
    <row r="589" spans="1:21" x14ac:dyDescent="0.35">
      <c r="A589" t="s">
        <v>201</v>
      </c>
      <c r="B589" s="12">
        <v>45721</v>
      </c>
      <c r="C589" s="10" t="s">
        <v>3</v>
      </c>
      <c r="D589" s="4" t="s">
        <v>128</v>
      </c>
      <c r="E589" s="253">
        <v>1600</v>
      </c>
      <c r="F589" s="172">
        <v>45808</v>
      </c>
      <c r="G589" s="172">
        <v>45838</v>
      </c>
      <c r="H589" s="15">
        <v>0.39000000000000057</v>
      </c>
      <c r="I589" s="192">
        <v>0.67</v>
      </c>
      <c r="J589" s="9">
        <v>447.99999999999915</v>
      </c>
      <c r="K589">
        <v>624.00000000000091</v>
      </c>
      <c r="L589" s="14" t="s">
        <v>58</v>
      </c>
      <c r="M589" s="8" t="s">
        <v>131</v>
      </c>
      <c r="N589">
        <v>1072</v>
      </c>
      <c r="O589" s="38" t="s">
        <v>4</v>
      </c>
      <c r="P589" s="38" t="s">
        <v>3</v>
      </c>
      <c r="Q589">
        <v>2025</v>
      </c>
      <c r="R589" t="s">
        <v>131</v>
      </c>
      <c r="S589" t="s">
        <v>14</v>
      </c>
      <c r="T589" t="s">
        <v>772</v>
      </c>
      <c r="U589" t="str">
        <f>IFERROR(_xlfn.XLOOKUP(A589,'2025 EOY'!A:A,'2025 EOY'!B:B),"No")</f>
        <v>No</v>
      </c>
    </row>
    <row r="590" spans="1:21" x14ac:dyDescent="0.35">
      <c r="A590" t="s">
        <v>201</v>
      </c>
      <c r="B590" s="12">
        <v>45721</v>
      </c>
      <c r="C590" s="10" t="s">
        <v>10</v>
      </c>
      <c r="D590" s="4" t="s">
        <v>128</v>
      </c>
      <c r="E590" s="253">
        <v>1600</v>
      </c>
      <c r="F590" s="172">
        <v>45838</v>
      </c>
      <c r="G590" s="172">
        <v>45838</v>
      </c>
      <c r="H590" s="15">
        <v>-3.3800000000000097</v>
      </c>
      <c r="I590" s="192">
        <v>-4.91</v>
      </c>
      <c r="J590" s="9">
        <v>-2447.9999999999845</v>
      </c>
      <c r="K590">
        <v>-5408.0000000000155</v>
      </c>
      <c r="L590" s="14" t="s">
        <v>73</v>
      </c>
      <c r="M590" s="8" t="s">
        <v>131</v>
      </c>
      <c r="N590">
        <v>-7856</v>
      </c>
      <c r="O590" s="38" t="s">
        <v>11</v>
      </c>
      <c r="P590" s="38" t="s">
        <v>10</v>
      </c>
      <c r="Q590">
        <v>2025</v>
      </c>
      <c r="R590" t="s">
        <v>131</v>
      </c>
      <c r="S590" t="s">
        <v>14</v>
      </c>
      <c r="T590" t="s">
        <v>773</v>
      </c>
      <c r="U590" t="str">
        <f>IFERROR(_xlfn.XLOOKUP(A590,'2025 EOY'!A:A,'2025 EOY'!B:B),"No")</f>
        <v>No</v>
      </c>
    </row>
    <row r="591" spans="1:21" x14ac:dyDescent="0.35">
      <c r="A591" t="s">
        <v>201</v>
      </c>
      <c r="B591" s="12">
        <v>45722</v>
      </c>
      <c r="C591" s="10" t="s">
        <v>3</v>
      </c>
      <c r="D591" s="4" t="s">
        <v>128</v>
      </c>
      <c r="E591" s="253">
        <v>500</v>
      </c>
      <c r="F591" s="172">
        <v>45777</v>
      </c>
      <c r="G591" s="172">
        <v>45808</v>
      </c>
      <c r="H591" s="15">
        <v>0.34</v>
      </c>
      <c r="I591" s="192">
        <v>0.25</v>
      </c>
      <c r="J591" s="9">
        <v>-45.000000000000014</v>
      </c>
      <c r="K591">
        <v>170</v>
      </c>
      <c r="L591" s="14" t="s">
        <v>57</v>
      </c>
      <c r="M591" s="8" t="s">
        <v>131</v>
      </c>
      <c r="N591">
        <v>125</v>
      </c>
      <c r="O591" s="38" t="s">
        <v>4</v>
      </c>
      <c r="P591" s="38" t="s">
        <v>3</v>
      </c>
      <c r="Q591">
        <v>2025</v>
      </c>
      <c r="R591" t="s">
        <v>131</v>
      </c>
      <c r="S591" t="s">
        <v>14</v>
      </c>
      <c r="T591" t="s">
        <v>774</v>
      </c>
      <c r="U591" t="str">
        <f>IFERROR(_xlfn.XLOOKUP(A591,'2025 EOY'!A:A,'2025 EOY'!B:B),"No")</f>
        <v>No</v>
      </c>
    </row>
    <row r="592" spans="1:21" x14ac:dyDescent="0.35">
      <c r="A592" t="s">
        <v>201</v>
      </c>
      <c r="B592" s="12">
        <v>45722</v>
      </c>
      <c r="C592" s="10" t="s">
        <v>3</v>
      </c>
      <c r="D592" s="4" t="s">
        <v>128</v>
      </c>
      <c r="E592" s="253">
        <v>500</v>
      </c>
      <c r="F592" s="172">
        <v>45808</v>
      </c>
      <c r="G592" s="172">
        <v>45838</v>
      </c>
      <c r="H592" s="15">
        <v>0.39</v>
      </c>
      <c r="I592" s="192">
        <v>0.67</v>
      </c>
      <c r="J592" s="9">
        <v>140</v>
      </c>
      <c r="K592">
        <v>195</v>
      </c>
      <c r="L592" s="14" t="s">
        <v>58</v>
      </c>
      <c r="M592" s="8" t="s">
        <v>131</v>
      </c>
      <c r="N592">
        <v>335</v>
      </c>
      <c r="O592" s="38" t="s">
        <v>4</v>
      </c>
      <c r="P592" s="38" t="s">
        <v>3</v>
      </c>
      <c r="Q592">
        <v>2025</v>
      </c>
      <c r="R592" t="s">
        <v>131</v>
      </c>
      <c r="S592" t="s">
        <v>14</v>
      </c>
      <c r="T592" t="s">
        <v>775</v>
      </c>
      <c r="U592" t="str">
        <f>IFERROR(_xlfn.XLOOKUP(A592,'2025 EOY'!A:A,'2025 EOY'!B:B),"No")</f>
        <v>No</v>
      </c>
    </row>
    <row r="593" spans="1:21" x14ac:dyDescent="0.35">
      <c r="A593" t="s">
        <v>201</v>
      </c>
      <c r="B593" s="12">
        <v>45722</v>
      </c>
      <c r="C593" s="10" t="s">
        <v>15</v>
      </c>
      <c r="D593" s="4" t="s">
        <v>128</v>
      </c>
      <c r="E593" s="253">
        <v>-500</v>
      </c>
      <c r="F593" s="173">
        <v>45777</v>
      </c>
      <c r="G593" s="172">
        <v>45777</v>
      </c>
      <c r="H593" s="15">
        <v>0.48499999999999999</v>
      </c>
      <c r="I593" s="191">
        <v>1.42</v>
      </c>
      <c r="J593" s="9">
        <v>-467.49999999999994</v>
      </c>
      <c r="K593">
        <v>-242.5</v>
      </c>
      <c r="L593" s="14" t="s">
        <v>64</v>
      </c>
      <c r="M593" s="8" t="s">
        <v>129</v>
      </c>
      <c r="N593">
        <v>-710</v>
      </c>
      <c r="O593" s="38" t="s">
        <v>11</v>
      </c>
      <c r="P593" s="38" t="s">
        <v>16</v>
      </c>
      <c r="Q593">
        <v>2025</v>
      </c>
      <c r="R593" t="s">
        <v>129</v>
      </c>
      <c r="S593" t="s">
        <v>14</v>
      </c>
      <c r="T593" t="s">
        <v>776</v>
      </c>
      <c r="U593" t="str">
        <f>IFERROR(_xlfn.XLOOKUP(A593,'2025 EOY'!A:A,'2025 EOY'!B:B),"No")</f>
        <v>No</v>
      </c>
    </row>
    <row r="594" spans="1:21" x14ac:dyDescent="0.35">
      <c r="A594" t="s">
        <v>201</v>
      </c>
      <c r="B594" s="12">
        <v>45722</v>
      </c>
      <c r="C594" s="10" t="s">
        <v>3</v>
      </c>
      <c r="D594" s="4" t="s">
        <v>128</v>
      </c>
      <c r="E594" s="253">
        <v>500</v>
      </c>
      <c r="F594" s="172">
        <v>45777</v>
      </c>
      <c r="G594" s="172">
        <v>45808</v>
      </c>
      <c r="H594" s="15">
        <v>0.34</v>
      </c>
      <c r="I594" s="192">
        <v>0.25</v>
      </c>
      <c r="J594" s="9">
        <v>-45.000000000000014</v>
      </c>
      <c r="K594">
        <v>170</v>
      </c>
      <c r="L594" s="14" t="s">
        <v>57</v>
      </c>
      <c r="M594" s="8" t="s">
        <v>131</v>
      </c>
      <c r="N594">
        <v>125</v>
      </c>
      <c r="O594" s="38" t="s">
        <v>4</v>
      </c>
      <c r="P594" s="38" t="s">
        <v>3</v>
      </c>
      <c r="Q594">
        <v>2025</v>
      </c>
      <c r="R594" t="s">
        <v>131</v>
      </c>
      <c r="S594" t="s">
        <v>14</v>
      </c>
      <c r="T594" t="s">
        <v>777</v>
      </c>
      <c r="U594" t="str">
        <f>IFERROR(_xlfn.XLOOKUP(A594,'2025 EOY'!A:A,'2025 EOY'!B:B),"No")</f>
        <v>No</v>
      </c>
    </row>
    <row r="595" spans="1:21" x14ac:dyDescent="0.35">
      <c r="A595" t="s">
        <v>201</v>
      </c>
      <c r="B595" s="12">
        <v>45722</v>
      </c>
      <c r="C595" s="10" t="s">
        <v>3</v>
      </c>
      <c r="D595" s="4" t="s">
        <v>128</v>
      </c>
      <c r="E595" s="253">
        <v>500</v>
      </c>
      <c r="F595" s="172">
        <v>45808</v>
      </c>
      <c r="G595" s="172">
        <v>45838</v>
      </c>
      <c r="H595" s="15">
        <v>0.39</v>
      </c>
      <c r="I595" s="192">
        <v>0.67</v>
      </c>
      <c r="J595" s="9">
        <v>140</v>
      </c>
      <c r="K595">
        <v>195</v>
      </c>
      <c r="L595" s="14" t="s">
        <v>58</v>
      </c>
      <c r="M595" s="8" t="s">
        <v>131</v>
      </c>
      <c r="N595">
        <v>335</v>
      </c>
      <c r="O595" s="38" t="s">
        <v>4</v>
      </c>
      <c r="P595" s="38" t="s">
        <v>3</v>
      </c>
      <c r="Q595">
        <v>2025</v>
      </c>
      <c r="R595" t="s">
        <v>131</v>
      </c>
      <c r="S595" t="s">
        <v>14</v>
      </c>
      <c r="T595" t="s">
        <v>778</v>
      </c>
      <c r="U595" t="str">
        <f>IFERROR(_xlfn.XLOOKUP(A595,'2025 EOY'!A:A,'2025 EOY'!B:B),"No")</f>
        <v>No</v>
      </c>
    </row>
    <row r="596" spans="1:21" x14ac:dyDescent="0.35">
      <c r="A596" t="s">
        <v>127</v>
      </c>
      <c r="B596" s="12">
        <v>45723</v>
      </c>
      <c r="C596" s="10" t="s">
        <v>10</v>
      </c>
      <c r="D596" s="4" t="s">
        <v>128</v>
      </c>
      <c r="E596" s="253">
        <v>250</v>
      </c>
      <c r="F596" s="172">
        <v>45808</v>
      </c>
      <c r="G596" s="172">
        <v>45808</v>
      </c>
      <c r="H596" s="15">
        <v>-3.5</v>
      </c>
      <c r="I596" s="192">
        <v>-3.26</v>
      </c>
      <c r="J596" s="9">
        <v>60.000000000000057</v>
      </c>
      <c r="K596">
        <v>-875</v>
      </c>
      <c r="L596" s="14" t="s">
        <v>65</v>
      </c>
      <c r="M596" s="8" t="s">
        <v>131</v>
      </c>
      <c r="N596">
        <v>-815</v>
      </c>
      <c r="O596" s="38" t="s">
        <v>11</v>
      </c>
      <c r="P596" s="38" t="s">
        <v>10</v>
      </c>
      <c r="Q596">
        <v>2025</v>
      </c>
      <c r="R596" t="s">
        <v>131</v>
      </c>
      <c r="S596" t="s">
        <v>14</v>
      </c>
      <c r="T596" t="s">
        <v>779</v>
      </c>
      <c r="U596" t="str">
        <f>IFERROR(_xlfn.XLOOKUP(A596,'2025 EOY'!A:A,'2025 EOY'!B:B),"No")</f>
        <v>No</v>
      </c>
    </row>
    <row r="597" spans="1:21" x14ac:dyDescent="0.35">
      <c r="A597" t="s">
        <v>127</v>
      </c>
      <c r="B597" s="12">
        <v>45723</v>
      </c>
      <c r="C597" s="10" t="s">
        <v>10</v>
      </c>
      <c r="D597" s="4" t="s">
        <v>128</v>
      </c>
      <c r="E597" s="253">
        <v>250</v>
      </c>
      <c r="F597" s="172">
        <v>45808</v>
      </c>
      <c r="G597" s="172">
        <v>45808</v>
      </c>
      <c r="H597" s="15">
        <v>-3.51</v>
      </c>
      <c r="I597" s="192">
        <v>-3.26</v>
      </c>
      <c r="J597" s="9">
        <v>62.5</v>
      </c>
      <c r="K597">
        <v>-877.5</v>
      </c>
      <c r="L597" s="14" t="s">
        <v>65</v>
      </c>
      <c r="M597" s="8" t="s">
        <v>131</v>
      </c>
      <c r="N597">
        <v>-815</v>
      </c>
      <c r="O597" s="38" t="s">
        <v>11</v>
      </c>
      <c r="P597" s="38" t="s">
        <v>10</v>
      </c>
      <c r="Q597">
        <v>2025</v>
      </c>
      <c r="R597" t="s">
        <v>131</v>
      </c>
      <c r="S597" t="s">
        <v>14</v>
      </c>
      <c r="T597" t="s">
        <v>780</v>
      </c>
      <c r="U597" t="str">
        <f>IFERROR(_xlfn.XLOOKUP(A597,'2025 EOY'!A:A,'2025 EOY'!B:B),"No")</f>
        <v>No</v>
      </c>
    </row>
    <row r="598" spans="1:21" x14ac:dyDescent="0.35">
      <c r="A598" t="s">
        <v>127</v>
      </c>
      <c r="B598" s="12">
        <v>45723</v>
      </c>
      <c r="C598" s="10" t="s">
        <v>10</v>
      </c>
      <c r="D598" s="4" t="s">
        <v>128</v>
      </c>
      <c r="E598" s="253">
        <v>250</v>
      </c>
      <c r="F598" s="172">
        <v>45808</v>
      </c>
      <c r="G598" s="172">
        <v>45808</v>
      </c>
      <c r="H598" s="15">
        <v>-3.52</v>
      </c>
      <c r="I598" s="192">
        <v>-3.26</v>
      </c>
      <c r="J598" s="9">
        <v>65.000000000000057</v>
      </c>
      <c r="K598">
        <v>-880</v>
      </c>
      <c r="L598" s="14" t="s">
        <v>65</v>
      </c>
      <c r="M598" s="8" t="s">
        <v>131</v>
      </c>
      <c r="N598">
        <v>-815</v>
      </c>
      <c r="O598" s="38" t="s">
        <v>11</v>
      </c>
      <c r="P598" s="38" t="s">
        <v>10</v>
      </c>
      <c r="Q598">
        <v>2025</v>
      </c>
      <c r="R598" t="s">
        <v>131</v>
      </c>
      <c r="S598" t="s">
        <v>14</v>
      </c>
      <c r="T598" t="s">
        <v>781</v>
      </c>
      <c r="U598" t="str">
        <f>IFERROR(_xlfn.XLOOKUP(A598,'2025 EOY'!A:A,'2025 EOY'!B:B),"No")</f>
        <v>No</v>
      </c>
    </row>
    <row r="599" spans="1:21" x14ac:dyDescent="0.35">
      <c r="A599" t="s">
        <v>127</v>
      </c>
      <c r="B599" s="12">
        <v>45723</v>
      </c>
      <c r="C599" s="10" t="s">
        <v>10</v>
      </c>
      <c r="D599" s="4" t="s">
        <v>128</v>
      </c>
      <c r="E599" s="253">
        <v>250</v>
      </c>
      <c r="F599" s="172">
        <v>45808</v>
      </c>
      <c r="G599" s="172">
        <v>45808</v>
      </c>
      <c r="H599" s="15">
        <v>-3.53</v>
      </c>
      <c r="I599" s="192">
        <v>-3.26</v>
      </c>
      <c r="J599" s="9">
        <v>67.5</v>
      </c>
      <c r="K599">
        <v>-882.5</v>
      </c>
      <c r="L599" s="14" t="s">
        <v>65</v>
      </c>
      <c r="M599" s="8" t="s">
        <v>131</v>
      </c>
      <c r="N599">
        <v>-815</v>
      </c>
      <c r="O599" s="38" t="s">
        <v>11</v>
      </c>
      <c r="P599" s="38" t="s">
        <v>10</v>
      </c>
      <c r="Q599">
        <v>2025</v>
      </c>
      <c r="R599" t="s">
        <v>131</v>
      </c>
      <c r="S599" t="s">
        <v>14</v>
      </c>
      <c r="T599" t="s">
        <v>782</v>
      </c>
      <c r="U599" t="str">
        <f>IFERROR(_xlfn.XLOOKUP(A599,'2025 EOY'!A:A,'2025 EOY'!B:B),"No")</f>
        <v>No</v>
      </c>
    </row>
    <row r="600" spans="1:21" x14ac:dyDescent="0.35">
      <c r="A600" t="s">
        <v>127</v>
      </c>
      <c r="B600" s="12">
        <v>45723</v>
      </c>
      <c r="C600" s="10" t="s">
        <v>10</v>
      </c>
      <c r="D600" s="4" t="s">
        <v>128</v>
      </c>
      <c r="E600" s="253">
        <v>250</v>
      </c>
      <c r="F600" s="172">
        <v>45808</v>
      </c>
      <c r="G600" s="172">
        <v>45808</v>
      </c>
      <c r="H600" s="15">
        <v>-3.55</v>
      </c>
      <c r="I600" s="192">
        <v>-3.26</v>
      </c>
      <c r="J600" s="9">
        <v>72.500000000000014</v>
      </c>
      <c r="K600">
        <v>-887.5</v>
      </c>
      <c r="L600" s="14" t="s">
        <v>65</v>
      </c>
      <c r="M600" s="8" t="s">
        <v>131</v>
      </c>
      <c r="N600">
        <v>-815</v>
      </c>
      <c r="O600" s="38" t="s">
        <v>11</v>
      </c>
      <c r="P600" s="38" t="s">
        <v>10</v>
      </c>
      <c r="Q600">
        <v>2025</v>
      </c>
      <c r="R600" t="s">
        <v>131</v>
      </c>
      <c r="S600" t="s">
        <v>14</v>
      </c>
      <c r="T600" t="s">
        <v>783</v>
      </c>
      <c r="U600" t="str">
        <f>IFERROR(_xlfn.XLOOKUP(A600,'2025 EOY'!A:A,'2025 EOY'!B:B),"No")</f>
        <v>No</v>
      </c>
    </row>
    <row r="601" spans="1:21" x14ac:dyDescent="0.35">
      <c r="A601" s="21" t="s">
        <v>784</v>
      </c>
      <c r="B601" s="175">
        <v>45723</v>
      </c>
      <c r="C601" s="99" t="s">
        <v>28</v>
      </c>
      <c r="D601" s="22" t="s">
        <v>268</v>
      </c>
      <c r="E601" s="256">
        <v>-2000</v>
      </c>
      <c r="F601" s="24">
        <v>45777</v>
      </c>
      <c r="G601" s="24">
        <v>45777</v>
      </c>
      <c r="H601" s="207">
        <v>7300</v>
      </c>
      <c r="I601" s="200">
        <v>7300</v>
      </c>
      <c r="J601" s="25">
        <v>0</v>
      </c>
      <c r="K601">
        <v>-14600000</v>
      </c>
      <c r="L601" s="14" t="s">
        <v>64</v>
      </c>
      <c r="M601" s="27" t="s">
        <v>129</v>
      </c>
      <c r="N601" s="26">
        <v>-14600000</v>
      </c>
      <c r="O601" s="28" t="s">
        <v>29</v>
      </c>
      <c r="P601" s="38" t="s">
        <v>29</v>
      </c>
      <c r="Q601">
        <v>2025</v>
      </c>
      <c r="R601" t="s">
        <v>129</v>
      </c>
      <c r="S601" t="s">
        <v>14</v>
      </c>
      <c r="T601" t="s">
        <v>785</v>
      </c>
      <c r="U601" t="str">
        <f>IFERROR(_xlfn.XLOOKUP(A601,'2025 EOY'!A:A,'2025 EOY'!B:B),"No")</f>
        <v>No</v>
      </c>
    </row>
    <row r="602" spans="1:21" x14ac:dyDescent="0.35">
      <c r="A602" s="21" t="s">
        <v>784</v>
      </c>
      <c r="B602" s="175">
        <v>45723</v>
      </c>
      <c r="C602" s="99" t="s">
        <v>28</v>
      </c>
      <c r="D602" s="22" t="s">
        <v>268</v>
      </c>
      <c r="E602" s="256">
        <v>2000</v>
      </c>
      <c r="F602" s="24">
        <v>45777</v>
      </c>
      <c r="G602" s="24">
        <v>45777</v>
      </c>
      <c r="H602" s="207">
        <v>7300</v>
      </c>
      <c r="I602" s="200">
        <v>7300</v>
      </c>
      <c r="J602" s="25">
        <v>0</v>
      </c>
      <c r="K602">
        <v>14600000</v>
      </c>
      <c r="L602" s="14" t="s">
        <v>64</v>
      </c>
      <c r="M602" s="27" t="s">
        <v>131</v>
      </c>
      <c r="N602" s="26">
        <v>14600000</v>
      </c>
      <c r="O602" s="28" t="s">
        <v>29</v>
      </c>
      <c r="P602" s="38" t="s">
        <v>29</v>
      </c>
      <c r="Q602">
        <v>2025</v>
      </c>
      <c r="R602" t="s">
        <v>131</v>
      </c>
      <c r="S602" t="s">
        <v>14</v>
      </c>
      <c r="T602" t="s">
        <v>786</v>
      </c>
      <c r="U602" t="str">
        <f>IFERROR(_xlfn.XLOOKUP(A602,'2025 EOY'!A:A,'2025 EOY'!B:B),"No")</f>
        <v>No</v>
      </c>
    </row>
    <row r="603" spans="1:21" x14ac:dyDescent="0.35">
      <c r="A603" s="37" t="s">
        <v>784</v>
      </c>
      <c r="B603" s="12">
        <v>45723</v>
      </c>
      <c r="C603" s="10" t="s">
        <v>19</v>
      </c>
      <c r="D603" s="10" t="s">
        <v>268</v>
      </c>
      <c r="E603" s="259">
        <v>1400</v>
      </c>
      <c r="F603" s="172">
        <v>45747</v>
      </c>
      <c r="G603" s="172">
        <v>45747</v>
      </c>
      <c r="H603" s="15">
        <v>3.6555301211162043</v>
      </c>
      <c r="I603" s="192">
        <v>3.98</v>
      </c>
      <c r="J603" s="9">
        <v>454.2578304373136</v>
      </c>
      <c r="K603">
        <v>125.07997716895008</v>
      </c>
      <c r="L603" s="14" t="s">
        <v>63</v>
      </c>
      <c r="M603" s="8" t="s">
        <v>131</v>
      </c>
      <c r="N603">
        <v>579.33780760626371</v>
      </c>
      <c r="O603" s="38" t="s">
        <v>19</v>
      </c>
      <c r="P603" s="38" t="s">
        <v>19</v>
      </c>
      <c r="Q603">
        <v>2025</v>
      </c>
      <c r="R603" t="s">
        <v>131</v>
      </c>
      <c r="S603" t="s">
        <v>96</v>
      </c>
      <c r="T603" t="s">
        <v>787</v>
      </c>
      <c r="U603" t="str">
        <f>IFERROR(_xlfn.XLOOKUP(A603,'2025 EOY'!A:A,'2025 EOY'!B:B),"No")</f>
        <v>No</v>
      </c>
    </row>
    <row r="604" spans="1:21" x14ac:dyDescent="0.35">
      <c r="A604" s="37" t="s">
        <v>784</v>
      </c>
      <c r="B604" s="12">
        <v>45723</v>
      </c>
      <c r="C604" s="10" t="s">
        <v>19</v>
      </c>
      <c r="D604" s="10" t="s">
        <v>268</v>
      </c>
      <c r="E604" s="259">
        <v>700</v>
      </c>
      <c r="F604" s="172">
        <v>45747</v>
      </c>
      <c r="G604" s="172">
        <v>45747</v>
      </c>
      <c r="H604" s="15">
        <v>3.2355301211162044</v>
      </c>
      <c r="I604" s="192">
        <v>3.68</v>
      </c>
      <c r="J604" s="9">
        <v>311.12891521865686</v>
      </c>
      <c r="K604">
        <v>-231.46001141552489</v>
      </c>
      <c r="L604" s="14" t="s">
        <v>63</v>
      </c>
      <c r="M604" s="8" t="s">
        <v>131</v>
      </c>
      <c r="N604">
        <v>79.668903803131968</v>
      </c>
      <c r="O604" s="38" t="s">
        <v>19</v>
      </c>
      <c r="P604" s="38" t="s">
        <v>19</v>
      </c>
      <c r="Q604">
        <v>2025</v>
      </c>
      <c r="R604" t="s">
        <v>131</v>
      </c>
      <c r="S604" t="s">
        <v>96</v>
      </c>
      <c r="T604" t="s">
        <v>788</v>
      </c>
      <c r="U604" t="str">
        <f>IFERROR(_xlfn.XLOOKUP(A604,'2025 EOY'!A:A,'2025 EOY'!B:B),"No")</f>
        <v>No</v>
      </c>
    </row>
    <row r="605" spans="1:21" x14ac:dyDescent="0.35">
      <c r="A605" s="37" t="s">
        <v>784</v>
      </c>
      <c r="B605" s="12">
        <v>45723</v>
      </c>
      <c r="C605" s="10" t="s">
        <v>3</v>
      </c>
      <c r="D605" s="4" t="s">
        <v>268</v>
      </c>
      <c r="E605" s="253">
        <v>-1400</v>
      </c>
      <c r="F605" s="172">
        <v>45777</v>
      </c>
      <c r="G605" s="172">
        <v>45808</v>
      </c>
      <c r="H605" s="15">
        <v>0.37</v>
      </c>
      <c r="I605" s="192">
        <v>0.25</v>
      </c>
      <c r="J605" s="9">
        <v>168</v>
      </c>
      <c r="K605">
        <v>-518</v>
      </c>
      <c r="L605" s="14" t="s">
        <v>57</v>
      </c>
      <c r="M605" s="8" t="s">
        <v>129</v>
      </c>
      <c r="N605">
        <v>-350</v>
      </c>
      <c r="O605" s="38" t="s">
        <v>4</v>
      </c>
      <c r="P605" s="38" t="s">
        <v>3</v>
      </c>
      <c r="Q605">
        <v>2025</v>
      </c>
      <c r="R605" t="s">
        <v>129</v>
      </c>
      <c r="S605" t="s">
        <v>14</v>
      </c>
      <c r="T605" t="s">
        <v>789</v>
      </c>
      <c r="U605" t="str">
        <f>IFERROR(_xlfn.XLOOKUP(A605,'2025 EOY'!A:A,'2025 EOY'!B:B),"No")</f>
        <v>No</v>
      </c>
    </row>
    <row r="606" spans="1:21" x14ac:dyDescent="0.35">
      <c r="A606" s="37" t="s">
        <v>784</v>
      </c>
      <c r="B606" s="12">
        <v>45723</v>
      </c>
      <c r="C606" s="10" t="s">
        <v>3</v>
      </c>
      <c r="D606" s="4" t="s">
        <v>268</v>
      </c>
      <c r="E606" s="253">
        <v>-1400</v>
      </c>
      <c r="F606" s="172">
        <v>45808</v>
      </c>
      <c r="G606" s="172">
        <v>45838</v>
      </c>
      <c r="H606" s="15">
        <v>0.43</v>
      </c>
      <c r="I606" s="192">
        <v>0.67</v>
      </c>
      <c r="J606" s="9">
        <v>-336.00000000000006</v>
      </c>
      <c r="K606">
        <v>-602</v>
      </c>
      <c r="L606" s="14" t="s">
        <v>58</v>
      </c>
      <c r="M606" s="8" t="s">
        <v>129</v>
      </c>
      <c r="N606">
        <v>-938</v>
      </c>
      <c r="O606" s="38" t="s">
        <v>4</v>
      </c>
      <c r="P606" s="38" t="s">
        <v>3</v>
      </c>
      <c r="Q606">
        <v>2025</v>
      </c>
      <c r="R606" t="s">
        <v>129</v>
      </c>
      <c r="S606" t="s">
        <v>14</v>
      </c>
      <c r="T606" t="s">
        <v>790</v>
      </c>
      <c r="U606" t="str">
        <f>IFERROR(_xlfn.XLOOKUP(A606,'2025 EOY'!A:A,'2025 EOY'!B:B),"No")</f>
        <v>No</v>
      </c>
    </row>
    <row r="607" spans="1:21" x14ac:dyDescent="0.35">
      <c r="A607" s="37" t="s">
        <v>784</v>
      </c>
      <c r="B607" s="12">
        <v>45723</v>
      </c>
      <c r="C607" s="10" t="s">
        <v>10</v>
      </c>
      <c r="D607" s="4" t="s">
        <v>268</v>
      </c>
      <c r="E607" s="253">
        <v>-1400</v>
      </c>
      <c r="F607" s="172">
        <v>45838</v>
      </c>
      <c r="G607" s="172">
        <v>45838</v>
      </c>
      <c r="H607" s="15">
        <v>-3.48</v>
      </c>
      <c r="I607" s="192">
        <v>-4.91</v>
      </c>
      <c r="J607" s="9">
        <v>2002.0000000000002</v>
      </c>
      <c r="K607">
        <v>4872</v>
      </c>
      <c r="L607" s="14" t="s">
        <v>73</v>
      </c>
      <c r="M607" s="8" t="s">
        <v>129</v>
      </c>
      <c r="N607">
        <v>6874</v>
      </c>
      <c r="O607" s="38" t="s">
        <v>11</v>
      </c>
      <c r="P607" s="38" t="s">
        <v>10</v>
      </c>
      <c r="Q607">
        <v>2025</v>
      </c>
      <c r="R607" t="s">
        <v>129</v>
      </c>
      <c r="S607" t="s">
        <v>14</v>
      </c>
      <c r="T607" t="s">
        <v>791</v>
      </c>
      <c r="U607" t="str">
        <f>IFERROR(_xlfn.XLOOKUP(A607,'2025 EOY'!A:A,'2025 EOY'!B:B),"No")</f>
        <v>No</v>
      </c>
    </row>
    <row r="608" spans="1:21" x14ac:dyDescent="0.35">
      <c r="A608" s="37" t="s">
        <v>784</v>
      </c>
      <c r="B608" s="12">
        <v>45723</v>
      </c>
      <c r="C608" s="10" t="s">
        <v>7</v>
      </c>
      <c r="D608" s="4" t="s">
        <v>268</v>
      </c>
      <c r="E608" s="253">
        <v>-2100</v>
      </c>
      <c r="F608" s="172">
        <v>45838</v>
      </c>
      <c r="G608" s="172">
        <v>45869</v>
      </c>
      <c r="H608" s="15">
        <v>0.46</v>
      </c>
      <c r="I608" s="192">
        <v>2.06</v>
      </c>
      <c r="J608" s="9">
        <v>-3360</v>
      </c>
      <c r="K608">
        <v>-966</v>
      </c>
      <c r="L608" s="14" t="s">
        <v>74</v>
      </c>
      <c r="M608" s="8" t="s">
        <v>129</v>
      </c>
      <c r="N608">
        <v>-4326</v>
      </c>
      <c r="O608" s="38" t="s">
        <v>4</v>
      </c>
      <c r="P608" s="38" t="s">
        <v>7</v>
      </c>
      <c r="Q608">
        <v>2025</v>
      </c>
      <c r="R608" t="s">
        <v>129</v>
      </c>
      <c r="S608" t="s">
        <v>14</v>
      </c>
      <c r="T608" t="s">
        <v>792</v>
      </c>
      <c r="U608" t="str">
        <f>IFERROR(_xlfn.XLOOKUP(A608,'2025 EOY'!A:A,'2025 EOY'!B:B),"No")</f>
        <v>No</v>
      </c>
    </row>
    <row r="609" spans="1:21" x14ac:dyDescent="0.35">
      <c r="A609" s="37" t="s">
        <v>784</v>
      </c>
      <c r="B609" s="12">
        <v>45723</v>
      </c>
      <c r="C609" s="10" t="s">
        <v>10</v>
      </c>
      <c r="D609" s="4" t="s">
        <v>128</v>
      </c>
      <c r="E609" s="253">
        <v>500</v>
      </c>
      <c r="F609" s="172">
        <v>45838</v>
      </c>
      <c r="G609" s="172">
        <v>45838</v>
      </c>
      <c r="H609" s="15">
        <v>-3.48</v>
      </c>
      <c r="I609" s="192">
        <v>-4.91</v>
      </c>
      <c r="J609" s="9">
        <v>-715.00000000000011</v>
      </c>
      <c r="K609">
        <v>-1740</v>
      </c>
      <c r="L609" s="14" t="s">
        <v>73</v>
      </c>
      <c r="M609" s="8" t="s">
        <v>131</v>
      </c>
      <c r="N609">
        <v>-2455</v>
      </c>
      <c r="O609" s="38" t="s">
        <v>11</v>
      </c>
      <c r="P609" s="38" t="s">
        <v>10</v>
      </c>
      <c r="Q609">
        <v>2025</v>
      </c>
      <c r="R609" t="s">
        <v>131</v>
      </c>
      <c r="S609" t="s">
        <v>14</v>
      </c>
      <c r="T609" t="s">
        <v>793</v>
      </c>
      <c r="U609" t="str">
        <f>IFERROR(_xlfn.XLOOKUP(A609,'2025 EOY'!A:A,'2025 EOY'!B:B),"No")</f>
        <v>No</v>
      </c>
    </row>
    <row r="610" spans="1:21" x14ac:dyDescent="0.35">
      <c r="A610" s="37" t="s">
        <v>784</v>
      </c>
      <c r="B610" s="12">
        <v>45723</v>
      </c>
      <c r="C610" s="10" t="s">
        <v>10</v>
      </c>
      <c r="D610" s="4" t="s">
        <v>128</v>
      </c>
      <c r="E610" s="253">
        <v>500</v>
      </c>
      <c r="F610" s="172">
        <v>45869</v>
      </c>
      <c r="G610" s="172">
        <v>45869</v>
      </c>
      <c r="H610" s="15">
        <v>-3.48</v>
      </c>
      <c r="I610" s="192">
        <v>-3.11</v>
      </c>
      <c r="J610" s="9">
        <v>185.00000000000006</v>
      </c>
      <c r="K610">
        <v>-1740</v>
      </c>
      <c r="L610" s="14" t="s">
        <v>75</v>
      </c>
      <c r="M610" s="8" t="s">
        <v>131</v>
      </c>
      <c r="N610">
        <v>-1555</v>
      </c>
      <c r="O610" s="38" t="s">
        <v>11</v>
      </c>
      <c r="P610" s="38" t="s">
        <v>10</v>
      </c>
      <c r="Q610">
        <v>2025</v>
      </c>
      <c r="R610" t="s">
        <v>131</v>
      </c>
      <c r="S610" t="s">
        <v>14</v>
      </c>
      <c r="T610" t="s">
        <v>794</v>
      </c>
      <c r="U610" t="str">
        <f>IFERROR(_xlfn.XLOOKUP(A610,'2025 EOY'!A:A,'2025 EOY'!B:B),"No")</f>
        <v>No</v>
      </c>
    </row>
    <row r="611" spans="1:21" x14ac:dyDescent="0.35">
      <c r="A611" t="s">
        <v>201</v>
      </c>
      <c r="B611" s="12">
        <v>45722</v>
      </c>
      <c r="C611" s="10" t="s">
        <v>15</v>
      </c>
      <c r="D611" s="4" t="s">
        <v>128</v>
      </c>
      <c r="E611" s="253">
        <v>-100</v>
      </c>
      <c r="F611" s="173">
        <v>45777</v>
      </c>
      <c r="G611" s="172">
        <v>45777</v>
      </c>
      <c r="H611" s="15">
        <v>0.61</v>
      </c>
      <c r="I611" s="191">
        <v>1.42</v>
      </c>
      <c r="J611" s="9">
        <v>-81</v>
      </c>
      <c r="K611">
        <v>-61</v>
      </c>
      <c r="L611" s="14" t="s">
        <v>64</v>
      </c>
      <c r="M611" s="8" t="s">
        <v>129</v>
      </c>
      <c r="N611">
        <v>-142</v>
      </c>
      <c r="O611" s="38" t="s">
        <v>11</v>
      </c>
      <c r="P611" s="38" t="s">
        <v>16</v>
      </c>
      <c r="Q611">
        <v>2025</v>
      </c>
      <c r="R611" t="s">
        <v>129</v>
      </c>
      <c r="S611" t="s">
        <v>14</v>
      </c>
      <c r="T611" t="s">
        <v>795</v>
      </c>
      <c r="U611" t="str">
        <f>IFERROR(_xlfn.XLOOKUP(A611,'2025 EOY'!A:A,'2025 EOY'!B:B),"No")</f>
        <v>No</v>
      </c>
    </row>
    <row r="612" spans="1:21" x14ac:dyDescent="0.35">
      <c r="A612" s="37" t="s">
        <v>784</v>
      </c>
      <c r="B612" s="12">
        <v>45727</v>
      </c>
      <c r="C612" s="10" t="s">
        <v>10</v>
      </c>
      <c r="D612" s="4" t="s">
        <v>128</v>
      </c>
      <c r="E612" s="253">
        <v>250</v>
      </c>
      <c r="F612" s="172">
        <v>45838</v>
      </c>
      <c r="G612" s="172">
        <v>45838</v>
      </c>
      <c r="H612" s="15">
        <v>-3.55</v>
      </c>
      <c r="I612" s="192">
        <v>-4.91</v>
      </c>
      <c r="J612" s="9">
        <v>-340.00000000000006</v>
      </c>
      <c r="K612">
        <v>-887.5</v>
      </c>
      <c r="L612" s="14" t="s">
        <v>73</v>
      </c>
      <c r="M612" s="8" t="s">
        <v>131</v>
      </c>
      <c r="N612">
        <v>-1227.5</v>
      </c>
      <c r="O612" s="38" t="s">
        <v>11</v>
      </c>
      <c r="P612" s="38" t="s">
        <v>10</v>
      </c>
      <c r="Q612">
        <v>2025</v>
      </c>
      <c r="R612" t="s">
        <v>131</v>
      </c>
      <c r="S612" t="s">
        <v>14</v>
      </c>
      <c r="T612" t="s">
        <v>796</v>
      </c>
      <c r="U612" t="str">
        <f>IFERROR(_xlfn.XLOOKUP(A612,'2025 EOY'!A:A,'2025 EOY'!B:B),"No")</f>
        <v>No</v>
      </c>
    </row>
    <row r="613" spans="1:21" x14ac:dyDescent="0.35">
      <c r="A613" s="37" t="s">
        <v>784</v>
      </c>
      <c r="B613" s="12">
        <v>45727</v>
      </c>
      <c r="C613" s="10" t="s">
        <v>10</v>
      </c>
      <c r="D613" s="4" t="s">
        <v>128</v>
      </c>
      <c r="E613" s="253">
        <v>217</v>
      </c>
      <c r="F613" s="172">
        <v>45838</v>
      </c>
      <c r="G613" s="172">
        <v>45838</v>
      </c>
      <c r="H613" s="15">
        <v>-3.56</v>
      </c>
      <c r="I613" s="192">
        <v>-4.91</v>
      </c>
      <c r="J613" s="9">
        <v>-292.95000000000005</v>
      </c>
      <c r="K613">
        <v>-772.52</v>
      </c>
      <c r="L613" s="14" t="s">
        <v>73</v>
      </c>
      <c r="M613" s="8" t="s">
        <v>131</v>
      </c>
      <c r="N613">
        <v>-1065.47</v>
      </c>
      <c r="O613" s="38" t="s">
        <v>11</v>
      </c>
      <c r="P613" s="38" t="s">
        <v>10</v>
      </c>
      <c r="Q613">
        <v>2025</v>
      </c>
      <c r="R613" t="s">
        <v>131</v>
      </c>
      <c r="S613" t="s">
        <v>14</v>
      </c>
      <c r="T613" t="s">
        <v>797</v>
      </c>
      <c r="U613" t="str">
        <f>IFERROR(_xlfn.XLOOKUP(A613,'2025 EOY'!A:A,'2025 EOY'!B:B),"No")</f>
        <v>No</v>
      </c>
    </row>
    <row r="614" spans="1:21" x14ac:dyDescent="0.35">
      <c r="A614" s="37" t="s">
        <v>784</v>
      </c>
      <c r="B614" s="12">
        <v>45726</v>
      </c>
      <c r="C614" s="10" t="s">
        <v>10</v>
      </c>
      <c r="D614" s="4" t="s">
        <v>128</v>
      </c>
      <c r="E614" s="253">
        <v>500</v>
      </c>
      <c r="F614" s="172">
        <v>45838</v>
      </c>
      <c r="G614" s="172">
        <v>45838</v>
      </c>
      <c r="H614" s="15">
        <v>-3.52</v>
      </c>
      <c r="I614" s="192">
        <v>-4.91</v>
      </c>
      <c r="J614" s="9">
        <v>-695.00000000000011</v>
      </c>
      <c r="K614">
        <v>-1760</v>
      </c>
      <c r="L614" s="14" t="s">
        <v>73</v>
      </c>
      <c r="M614" s="8" t="s">
        <v>131</v>
      </c>
      <c r="N614">
        <v>-2455</v>
      </c>
      <c r="O614" s="38" t="s">
        <v>11</v>
      </c>
      <c r="P614" s="38" t="s">
        <v>10</v>
      </c>
      <c r="Q614">
        <v>2025</v>
      </c>
      <c r="R614" t="s">
        <v>131</v>
      </c>
      <c r="S614" t="s">
        <v>14</v>
      </c>
      <c r="T614" t="s">
        <v>798</v>
      </c>
      <c r="U614" t="str">
        <f>IFERROR(_xlfn.XLOOKUP(A614,'2025 EOY'!A:A,'2025 EOY'!B:B),"No")</f>
        <v>No</v>
      </c>
    </row>
    <row r="615" spans="1:21" x14ac:dyDescent="0.35">
      <c r="A615" s="37" t="s">
        <v>127</v>
      </c>
      <c r="B615" s="12">
        <v>45727</v>
      </c>
      <c r="C615" s="10" t="s">
        <v>7</v>
      </c>
      <c r="D615" s="4" t="s">
        <v>128</v>
      </c>
      <c r="E615" s="253">
        <v>0.01</v>
      </c>
      <c r="F615" s="172">
        <v>45838</v>
      </c>
      <c r="G615" s="172">
        <v>45869</v>
      </c>
      <c r="H615" s="15">
        <v>0.46</v>
      </c>
      <c r="I615" s="192">
        <v>2.06</v>
      </c>
      <c r="J615" s="9">
        <v>113.60000000000001</v>
      </c>
      <c r="K615">
        <v>4.5999999999999999E-3</v>
      </c>
      <c r="L615" s="14" t="s">
        <v>74</v>
      </c>
      <c r="M615" s="8" t="s">
        <v>131</v>
      </c>
      <c r="N615">
        <v>2.06E-2</v>
      </c>
      <c r="O615" s="38" t="s">
        <v>4</v>
      </c>
      <c r="P615" s="38" t="s">
        <v>7</v>
      </c>
      <c r="Q615">
        <v>2025</v>
      </c>
      <c r="R615" t="s">
        <v>131</v>
      </c>
      <c r="S615" t="s">
        <v>14</v>
      </c>
      <c r="T615" t="s">
        <v>799</v>
      </c>
      <c r="U615" t="str">
        <f>IFERROR(_xlfn.XLOOKUP(A615,'2025 EOY'!A:A,'2025 EOY'!B:B),"No")</f>
        <v>No</v>
      </c>
    </row>
    <row r="616" spans="1:21" x14ac:dyDescent="0.35">
      <c r="A616" s="37" t="s">
        <v>127</v>
      </c>
      <c r="B616" s="12">
        <v>45727</v>
      </c>
      <c r="C616" s="10" t="s">
        <v>10</v>
      </c>
      <c r="D616" s="4" t="s">
        <v>128</v>
      </c>
      <c r="E616" s="253">
        <v>200</v>
      </c>
      <c r="F616" s="172">
        <v>45808</v>
      </c>
      <c r="G616" s="172">
        <v>45808</v>
      </c>
      <c r="H616" s="15">
        <v>-3.65</v>
      </c>
      <c r="I616" s="192">
        <v>-3.26</v>
      </c>
      <c r="J616" s="9">
        <v>78.000000000000028</v>
      </c>
      <c r="K616">
        <v>-730</v>
      </c>
      <c r="L616" s="14" t="s">
        <v>65</v>
      </c>
      <c r="M616" s="8" t="s">
        <v>131</v>
      </c>
      <c r="N616">
        <v>-652</v>
      </c>
      <c r="O616" s="38" t="s">
        <v>11</v>
      </c>
      <c r="P616" s="38" t="s">
        <v>10</v>
      </c>
      <c r="Q616">
        <v>2025</v>
      </c>
      <c r="R616" t="s">
        <v>131</v>
      </c>
      <c r="S616" t="s">
        <v>14</v>
      </c>
      <c r="T616" t="s">
        <v>800</v>
      </c>
      <c r="U616" t="str">
        <f>IFERROR(_xlfn.XLOOKUP(A616,'2025 EOY'!A:A,'2025 EOY'!B:B),"No")</f>
        <v>No</v>
      </c>
    </row>
    <row r="617" spans="1:21" x14ac:dyDescent="0.35">
      <c r="A617" s="37" t="s">
        <v>127</v>
      </c>
      <c r="B617" s="12">
        <v>45729</v>
      </c>
      <c r="C617" s="10" t="s">
        <v>3</v>
      </c>
      <c r="D617" s="4" t="s">
        <v>128</v>
      </c>
      <c r="E617" s="253">
        <v>250</v>
      </c>
      <c r="F617" s="172">
        <v>45777</v>
      </c>
      <c r="G617" s="172">
        <v>45808</v>
      </c>
      <c r="H617" s="15">
        <v>0.3</v>
      </c>
      <c r="I617" s="192">
        <v>0.25</v>
      </c>
      <c r="J617" s="9">
        <v>-12.499999999999996</v>
      </c>
      <c r="K617">
        <v>75</v>
      </c>
      <c r="L617" s="14" t="s">
        <v>57</v>
      </c>
      <c r="M617" s="8" t="s">
        <v>131</v>
      </c>
      <c r="N617">
        <v>62.5</v>
      </c>
      <c r="O617" s="38" t="s">
        <v>4</v>
      </c>
      <c r="P617" s="38" t="s">
        <v>3</v>
      </c>
      <c r="Q617">
        <v>2025</v>
      </c>
      <c r="R617" t="s">
        <v>131</v>
      </c>
      <c r="S617" t="s">
        <v>14</v>
      </c>
      <c r="T617" t="s">
        <v>801</v>
      </c>
      <c r="U617" t="str">
        <f>IFERROR(_xlfn.XLOOKUP(A617,'2025 EOY'!A:A,'2025 EOY'!B:B),"No")</f>
        <v>No</v>
      </c>
    </row>
    <row r="618" spans="1:21" x14ac:dyDescent="0.35">
      <c r="A618" s="37" t="s">
        <v>127</v>
      </c>
      <c r="B618" s="12">
        <v>45729</v>
      </c>
      <c r="C618" s="10" t="s">
        <v>3</v>
      </c>
      <c r="D618" s="4" t="s">
        <v>128</v>
      </c>
      <c r="E618" s="253">
        <v>250</v>
      </c>
      <c r="F618" s="172">
        <v>45777</v>
      </c>
      <c r="G618" s="172">
        <v>45808</v>
      </c>
      <c r="H618" s="15">
        <v>0.28999999999999998</v>
      </c>
      <c r="I618" s="192">
        <v>0.25</v>
      </c>
      <c r="J618" s="9">
        <v>-9.9999999999999947</v>
      </c>
      <c r="K618">
        <v>72.5</v>
      </c>
      <c r="L618" s="14" t="s">
        <v>57</v>
      </c>
      <c r="M618" s="8" t="s">
        <v>131</v>
      </c>
      <c r="N618">
        <v>62.5</v>
      </c>
      <c r="O618" s="38" t="s">
        <v>4</v>
      </c>
      <c r="P618" s="38" t="s">
        <v>3</v>
      </c>
      <c r="Q618">
        <v>2025</v>
      </c>
      <c r="R618" t="s">
        <v>131</v>
      </c>
      <c r="S618" t="s">
        <v>14</v>
      </c>
      <c r="T618" t="s">
        <v>802</v>
      </c>
      <c r="U618" t="str">
        <f>IFERROR(_xlfn.XLOOKUP(A618,'2025 EOY'!A:A,'2025 EOY'!B:B),"No")</f>
        <v>No</v>
      </c>
    </row>
    <row r="619" spans="1:21" x14ac:dyDescent="0.35">
      <c r="A619" s="37" t="s">
        <v>127</v>
      </c>
      <c r="B619" s="12">
        <v>45729</v>
      </c>
      <c r="C619" s="10" t="s">
        <v>3</v>
      </c>
      <c r="D619" s="4" t="s">
        <v>128</v>
      </c>
      <c r="E619" s="253">
        <v>250</v>
      </c>
      <c r="F619" s="172">
        <v>45777</v>
      </c>
      <c r="G619" s="172">
        <v>45808</v>
      </c>
      <c r="H619" s="15">
        <v>0.28000000000000003</v>
      </c>
      <c r="I619" s="192">
        <v>0.25</v>
      </c>
      <c r="J619" s="9">
        <v>-7.5000000000000071</v>
      </c>
      <c r="K619">
        <v>70</v>
      </c>
      <c r="L619" s="14" t="s">
        <v>57</v>
      </c>
      <c r="M619" s="8" t="s">
        <v>131</v>
      </c>
      <c r="N619">
        <v>62.5</v>
      </c>
      <c r="O619" s="38" t="s">
        <v>4</v>
      </c>
      <c r="P619" s="38" t="s">
        <v>3</v>
      </c>
      <c r="Q619">
        <v>2025</v>
      </c>
      <c r="R619" t="s">
        <v>131</v>
      </c>
      <c r="S619" t="s">
        <v>14</v>
      </c>
      <c r="T619" t="s">
        <v>803</v>
      </c>
      <c r="U619" t="str">
        <f>IFERROR(_xlfn.XLOOKUP(A619,'2025 EOY'!A:A,'2025 EOY'!B:B),"No")</f>
        <v>No</v>
      </c>
    </row>
    <row r="620" spans="1:21" x14ac:dyDescent="0.35">
      <c r="A620" s="37" t="s">
        <v>127</v>
      </c>
      <c r="B620" s="12">
        <v>45729</v>
      </c>
      <c r="C620" s="10" t="s">
        <v>3</v>
      </c>
      <c r="D620" s="4" t="s">
        <v>128</v>
      </c>
      <c r="E620" s="253">
        <v>250</v>
      </c>
      <c r="F620" s="172">
        <v>45777</v>
      </c>
      <c r="G620" s="172">
        <v>45808</v>
      </c>
      <c r="H620" s="15">
        <v>0.27</v>
      </c>
      <c r="I620" s="192">
        <v>0.25</v>
      </c>
      <c r="J620" s="9">
        <v>-5.0000000000000044</v>
      </c>
      <c r="K620">
        <v>67.5</v>
      </c>
      <c r="L620" s="14" t="s">
        <v>57</v>
      </c>
      <c r="M620" s="8" t="s">
        <v>131</v>
      </c>
      <c r="N620">
        <v>62.5</v>
      </c>
      <c r="O620" s="38" t="s">
        <v>4</v>
      </c>
      <c r="P620" s="38" t="s">
        <v>3</v>
      </c>
      <c r="Q620">
        <v>2025</v>
      </c>
      <c r="R620" t="s">
        <v>131</v>
      </c>
      <c r="S620" t="s">
        <v>14</v>
      </c>
      <c r="T620" t="s">
        <v>804</v>
      </c>
      <c r="U620" t="str">
        <f>IFERROR(_xlfn.XLOOKUP(A620,'2025 EOY'!A:A,'2025 EOY'!B:B),"No")</f>
        <v>No</v>
      </c>
    </row>
    <row r="621" spans="1:21" x14ac:dyDescent="0.35">
      <c r="A621" s="37" t="s">
        <v>127</v>
      </c>
      <c r="B621" s="12">
        <v>45729</v>
      </c>
      <c r="C621" s="10" t="s">
        <v>3</v>
      </c>
      <c r="D621" s="4" t="s">
        <v>128</v>
      </c>
      <c r="E621" s="253">
        <v>250</v>
      </c>
      <c r="F621" s="172">
        <v>45777</v>
      </c>
      <c r="G621" s="172">
        <v>45808</v>
      </c>
      <c r="H621" s="15">
        <v>0.26</v>
      </c>
      <c r="I621" s="192">
        <v>0.25</v>
      </c>
      <c r="J621" s="9">
        <v>-2.5000000000000022</v>
      </c>
      <c r="K621">
        <v>65</v>
      </c>
      <c r="L621" s="14" t="s">
        <v>57</v>
      </c>
      <c r="M621" s="8" t="s">
        <v>131</v>
      </c>
      <c r="N621">
        <v>62.5</v>
      </c>
      <c r="O621" s="38" t="s">
        <v>4</v>
      </c>
      <c r="P621" s="38" t="s">
        <v>3</v>
      </c>
      <c r="Q621">
        <v>2025</v>
      </c>
      <c r="R621" t="s">
        <v>131</v>
      </c>
      <c r="S621" t="s">
        <v>14</v>
      </c>
      <c r="T621" t="s">
        <v>805</v>
      </c>
      <c r="U621" t="str">
        <f>IFERROR(_xlfn.XLOOKUP(A621,'2025 EOY'!A:A,'2025 EOY'!B:B),"No")</f>
        <v>No</v>
      </c>
    </row>
    <row r="622" spans="1:21" x14ac:dyDescent="0.35">
      <c r="A622" s="37" t="s">
        <v>127</v>
      </c>
      <c r="B622" s="12">
        <v>45733</v>
      </c>
      <c r="C622" s="10" t="s">
        <v>3</v>
      </c>
      <c r="D622" s="4" t="s">
        <v>128</v>
      </c>
      <c r="E622" s="253">
        <v>250</v>
      </c>
      <c r="F622" s="172">
        <v>45777</v>
      </c>
      <c r="G622" s="172">
        <v>45808</v>
      </c>
      <c r="H622" s="15">
        <v>0.25</v>
      </c>
      <c r="I622" s="192">
        <v>0.25</v>
      </c>
      <c r="J622" s="9">
        <v>0</v>
      </c>
      <c r="K622">
        <v>62.5</v>
      </c>
      <c r="L622" s="14" t="s">
        <v>57</v>
      </c>
      <c r="M622" s="8" t="s">
        <v>131</v>
      </c>
      <c r="N622">
        <v>62.5</v>
      </c>
      <c r="O622" s="38" t="s">
        <v>4</v>
      </c>
      <c r="P622" s="38" t="s">
        <v>3</v>
      </c>
      <c r="Q622">
        <v>2025</v>
      </c>
      <c r="R622" t="s">
        <v>131</v>
      </c>
      <c r="S622" t="s">
        <v>14</v>
      </c>
      <c r="T622" t="s">
        <v>806</v>
      </c>
      <c r="U622" t="str">
        <f>IFERROR(_xlfn.XLOOKUP(A622,'2025 EOY'!A:A,'2025 EOY'!B:B),"No")</f>
        <v>No</v>
      </c>
    </row>
    <row r="623" spans="1:21" x14ac:dyDescent="0.35">
      <c r="A623" s="37" t="s">
        <v>127</v>
      </c>
      <c r="B623" s="12">
        <v>45729</v>
      </c>
      <c r="C623" s="10" t="s">
        <v>10</v>
      </c>
      <c r="D623" s="4" t="s">
        <v>128</v>
      </c>
      <c r="E623" s="253">
        <v>250</v>
      </c>
      <c r="F623" s="172">
        <v>45838</v>
      </c>
      <c r="G623" s="172">
        <v>45838</v>
      </c>
      <c r="H623" s="15">
        <v>-3.52</v>
      </c>
      <c r="I623" s="192">
        <v>-4.91</v>
      </c>
      <c r="J623" s="9">
        <v>-347.50000000000006</v>
      </c>
      <c r="K623">
        <v>-880</v>
      </c>
      <c r="L623" s="14" t="s">
        <v>73</v>
      </c>
      <c r="M623" s="8" t="s">
        <v>131</v>
      </c>
      <c r="N623">
        <v>-1227.5</v>
      </c>
      <c r="O623" s="38" t="s">
        <v>11</v>
      </c>
      <c r="P623" s="38" t="s">
        <v>10</v>
      </c>
      <c r="Q623">
        <v>2025</v>
      </c>
      <c r="R623" t="s">
        <v>131</v>
      </c>
      <c r="S623" t="s">
        <v>14</v>
      </c>
      <c r="T623" t="s">
        <v>807</v>
      </c>
      <c r="U623" t="str">
        <f>IFERROR(_xlfn.XLOOKUP(A623,'2025 EOY'!A:A,'2025 EOY'!B:B),"No")</f>
        <v>No</v>
      </c>
    </row>
    <row r="624" spans="1:21" x14ac:dyDescent="0.35">
      <c r="A624" s="37" t="s">
        <v>127</v>
      </c>
      <c r="B624" s="12">
        <v>45729</v>
      </c>
      <c r="C624" s="10" t="s">
        <v>10</v>
      </c>
      <c r="D624" s="4" t="s">
        <v>128</v>
      </c>
      <c r="E624" s="253">
        <v>250</v>
      </c>
      <c r="F624" s="172">
        <v>45838</v>
      </c>
      <c r="G624" s="172">
        <v>45838</v>
      </c>
      <c r="H624" s="15">
        <v>-3.53</v>
      </c>
      <c r="I624" s="192">
        <v>-4.91</v>
      </c>
      <c r="J624" s="9">
        <v>-345.00000000000006</v>
      </c>
      <c r="K624">
        <v>-882.5</v>
      </c>
      <c r="L624" s="14" t="s">
        <v>73</v>
      </c>
      <c r="M624" s="8" t="s">
        <v>131</v>
      </c>
      <c r="N624">
        <v>-1227.5</v>
      </c>
      <c r="O624" s="38" t="s">
        <v>11</v>
      </c>
      <c r="P624" s="38" t="s">
        <v>10</v>
      </c>
      <c r="Q624">
        <v>2025</v>
      </c>
      <c r="R624" t="s">
        <v>131</v>
      </c>
      <c r="S624" t="s">
        <v>14</v>
      </c>
      <c r="T624" t="s">
        <v>808</v>
      </c>
      <c r="U624" t="str">
        <f>IFERROR(_xlfn.XLOOKUP(A624,'2025 EOY'!A:A,'2025 EOY'!B:B),"No")</f>
        <v>No</v>
      </c>
    </row>
    <row r="625" spans="1:21" x14ac:dyDescent="0.35">
      <c r="A625" s="37" t="s">
        <v>127</v>
      </c>
      <c r="B625" s="12">
        <v>45729</v>
      </c>
      <c r="C625" s="10" t="s">
        <v>10</v>
      </c>
      <c r="D625" s="4" t="s">
        <v>128</v>
      </c>
      <c r="E625" s="253">
        <v>250</v>
      </c>
      <c r="F625" s="172">
        <v>45838</v>
      </c>
      <c r="G625" s="172">
        <v>45838</v>
      </c>
      <c r="H625" s="15">
        <v>-3.54</v>
      </c>
      <c r="I625" s="192">
        <v>-4.91</v>
      </c>
      <c r="J625" s="9">
        <v>-342.5</v>
      </c>
      <c r="K625">
        <v>-885</v>
      </c>
      <c r="L625" s="14" t="s">
        <v>73</v>
      </c>
      <c r="M625" s="8" t="s">
        <v>131</v>
      </c>
      <c r="N625">
        <v>-1227.5</v>
      </c>
      <c r="O625" s="38" t="s">
        <v>11</v>
      </c>
      <c r="P625" s="38" t="s">
        <v>10</v>
      </c>
      <c r="Q625">
        <v>2025</v>
      </c>
      <c r="R625" t="s">
        <v>131</v>
      </c>
      <c r="S625" t="s">
        <v>14</v>
      </c>
      <c r="T625" t="s">
        <v>809</v>
      </c>
      <c r="U625" t="str">
        <f>IFERROR(_xlfn.XLOOKUP(A625,'2025 EOY'!A:A,'2025 EOY'!B:B),"No")</f>
        <v>No</v>
      </c>
    </row>
    <row r="626" spans="1:21" x14ac:dyDescent="0.35">
      <c r="A626" s="37" t="s">
        <v>127</v>
      </c>
      <c r="B626" s="12">
        <v>45729</v>
      </c>
      <c r="C626" s="10" t="s">
        <v>10</v>
      </c>
      <c r="D626" s="4" t="s">
        <v>128</v>
      </c>
      <c r="E626" s="253">
        <v>250</v>
      </c>
      <c r="F626" s="172">
        <v>45838</v>
      </c>
      <c r="G626" s="172">
        <v>45838</v>
      </c>
      <c r="H626" s="15">
        <v>-3.55</v>
      </c>
      <c r="I626" s="192">
        <v>-4.91</v>
      </c>
      <c r="J626" s="9">
        <v>-340.00000000000006</v>
      </c>
      <c r="K626">
        <v>-887.5</v>
      </c>
      <c r="L626" s="14" t="s">
        <v>73</v>
      </c>
      <c r="M626" s="8" t="s">
        <v>131</v>
      </c>
      <c r="N626">
        <v>-1227.5</v>
      </c>
      <c r="O626" s="38" t="s">
        <v>11</v>
      </c>
      <c r="P626" s="38" t="s">
        <v>10</v>
      </c>
      <c r="Q626">
        <v>2025</v>
      </c>
      <c r="R626" t="s">
        <v>131</v>
      </c>
      <c r="S626" t="s">
        <v>14</v>
      </c>
      <c r="T626" t="s">
        <v>810</v>
      </c>
      <c r="U626" t="str">
        <f>IFERROR(_xlfn.XLOOKUP(A626,'2025 EOY'!A:A,'2025 EOY'!B:B),"No")</f>
        <v>No</v>
      </c>
    </row>
    <row r="627" spans="1:21" x14ac:dyDescent="0.35">
      <c r="A627" s="37" t="s">
        <v>127</v>
      </c>
      <c r="B627" s="12">
        <v>45734</v>
      </c>
      <c r="C627" s="10" t="s">
        <v>3</v>
      </c>
      <c r="D627" s="4" t="s">
        <v>128</v>
      </c>
      <c r="E627" s="253">
        <v>500</v>
      </c>
      <c r="F627" s="172">
        <v>45777</v>
      </c>
      <c r="G627" s="172">
        <v>45808</v>
      </c>
      <c r="H627" s="15">
        <v>0.15</v>
      </c>
      <c r="I627" s="192">
        <v>0.25</v>
      </c>
      <c r="J627" s="9">
        <v>50</v>
      </c>
      <c r="K627">
        <v>75</v>
      </c>
      <c r="L627" s="14" t="s">
        <v>57</v>
      </c>
      <c r="M627" s="8" t="s">
        <v>131</v>
      </c>
      <c r="N627">
        <v>125</v>
      </c>
      <c r="O627" s="38" t="s">
        <v>4</v>
      </c>
      <c r="P627" s="38" t="s">
        <v>3</v>
      </c>
      <c r="Q627">
        <v>2025</v>
      </c>
      <c r="R627" t="s">
        <v>131</v>
      </c>
      <c r="S627" t="s">
        <v>14</v>
      </c>
      <c r="T627" t="s">
        <v>811</v>
      </c>
      <c r="U627" t="str">
        <f>IFERROR(_xlfn.XLOOKUP(A627,'2025 EOY'!A:A,'2025 EOY'!B:B),"No")</f>
        <v>No</v>
      </c>
    </row>
    <row r="628" spans="1:21" x14ac:dyDescent="0.35">
      <c r="A628" s="37" t="s">
        <v>127</v>
      </c>
      <c r="B628" s="12">
        <v>45734</v>
      </c>
      <c r="C628" s="10" t="s">
        <v>3</v>
      </c>
      <c r="D628" s="4" t="s">
        <v>128</v>
      </c>
      <c r="E628" s="253">
        <v>400</v>
      </c>
      <c r="F628" s="172">
        <v>45777</v>
      </c>
      <c r="G628" s="172">
        <v>45808</v>
      </c>
      <c r="H628" s="15">
        <v>0.12</v>
      </c>
      <c r="I628" s="192">
        <v>0.25</v>
      </c>
      <c r="J628" s="9">
        <v>52</v>
      </c>
      <c r="K628">
        <v>48</v>
      </c>
      <c r="L628" s="14" t="s">
        <v>57</v>
      </c>
      <c r="M628" s="8" t="s">
        <v>131</v>
      </c>
      <c r="N628">
        <v>100</v>
      </c>
      <c r="O628" s="38" t="s">
        <v>4</v>
      </c>
      <c r="P628" s="38" t="s">
        <v>3</v>
      </c>
      <c r="Q628">
        <v>2025</v>
      </c>
      <c r="R628" t="s">
        <v>131</v>
      </c>
      <c r="S628" t="s">
        <v>14</v>
      </c>
      <c r="T628" t="s">
        <v>812</v>
      </c>
      <c r="U628" t="str">
        <f>IFERROR(_xlfn.XLOOKUP(A628,'2025 EOY'!A:A,'2025 EOY'!B:B),"No")</f>
        <v>No</v>
      </c>
    </row>
    <row r="629" spans="1:21" x14ac:dyDescent="0.35">
      <c r="A629" s="37" t="s">
        <v>127</v>
      </c>
      <c r="B629" s="12">
        <v>45734</v>
      </c>
      <c r="C629" s="10" t="s">
        <v>3</v>
      </c>
      <c r="D629" s="4" t="s">
        <v>128</v>
      </c>
      <c r="E629" s="253">
        <v>250</v>
      </c>
      <c r="F629" s="172">
        <v>45777</v>
      </c>
      <c r="G629" s="172">
        <v>45808</v>
      </c>
      <c r="H629" s="15">
        <v>0.11</v>
      </c>
      <c r="I629" s="192">
        <v>0.25</v>
      </c>
      <c r="J629" s="9">
        <v>35</v>
      </c>
      <c r="K629">
        <v>27.5</v>
      </c>
      <c r="L629" s="14" t="s">
        <v>57</v>
      </c>
      <c r="M629" s="8" t="s">
        <v>131</v>
      </c>
      <c r="N629">
        <v>62.5</v>
      </c>
      <c r="O629" s="38" t="s">
        <v>4</v>
      </c>
      <c r="P629" s="38" t="s">
        <v>3</v>
      </c>
      <c r="Q629">
        <v>2025</v>
      </c>
      <c r="R629" t="s">
        <v>131</v>
      </c>
      <c r="S629" t="s">
        <v>14</v>
      </c>
      <c r="T629" t="s">
        <v>813</v>
      </c>
      <c r="U629" t="str">
        <f>IFERROR(_xlfn.XLOOKUP(A629,'2025 EOY'!A:A,'2025 EOY'!B:B),"No")</f>
        <v>No</v>
      </c>
    </row>
    <row r="630" spans="1:21" x14ac:dyDescent="0.35">
      <c r="A630" s="37" t="s">
        <v>127</v>
      </c>
      <c r="B630" s="12">
        <v>45734</v>
      </c>
      <c r="C630" s="10" t="s">
        <v>3</v>
      </c>
      <c r="D630" s="4" t="s">
        <v>128</v>
      </c>
      <c r="E630" s="253">
        <v>153</v>
      </c>
      <c r="F630" s="172">
        <v>45777</v>
      </c>
      <c r="G630" s="172">
        <v>45808</v>
      </c>
      <c r="H630" s="15">
        <v>0.11</v>
      </c>
      <c r="I630" s="192">
        <v>0.25</v>
      </c>
      <c r="J630" s="9">
        <v>21.42</v>
      </c>
      <c r="K630">
        <v>16.830000000000002</v>
      </c>
      <c r="L630" s="14" t="s">
        <v>57</v>
      </c>
      <c r="M630" s="8" t="s">
        <v>131</v>
      </c>
      <c r="N630">
        <v>38.25</v>
      </c>
      <c r="O630" s="38" t="s">
        <v>4</v>
      </c>
      <c r="P630" s="38" t="s">
        <v>3</v>
      </c>
      <c r="Q630">
        <v>2025</v>
      </c>
      <c r="R630" t="s">
        <v>131</v>
      </c>
      <c r="S630" t="s">
        <v>14</v>
      </c>
      <c r="T630" t="s">
        <v>814</v>
      </c>
      <c r="U630" t="str">
        <f>IFERROR(_xlfn.XLOOKUP(A630,'2025 EOY'!A:A,'2025 EOY'!B:B),"No")</f>
        <v>No</v>
      </c>
    </row>
    <row r="631" spans="1:21" x14ac:dyDescent="0.35">
      <c r="A631" s="37" t="s">
        <v>127</v>
      </c>
      <c r="B631" s="12">
        <v>45734</v>
      </c>
      <c r="C631" s="10" t="s">
        <v>3</v>
      </c>
      <c r="D631" s="4" t="s">
        <v>128</v>
      </c>
      <c r="E631" s="253">
        <v>-1323</v>
      </c>
      <c r="F631" s="172">
        <v>45808</v>
      </c>
      <c r="G631" s="172">
        <v>45838</v>
      </c>
      <c r="H631" s="15">
        <v>0.37</v>
      </c>
      <c r="I631" s="192">
        <v>0.67</v>
      </c>
      <c r="J631" s="9">
        <v>-396.90000000000003</v>
      </c>
      <c r="K631">
        <v>-489.51</v>
      </c>
      <c r="L631" s="14" t="s">
        <v>58</v>
      </c>
      <c r="M631" s="8" t="s">
        <v>129</v>
      </c>
      <c r="N631">
        <v>-886.41000000000008</v>
      </c>
      <c r="O631" s="38" t="s">
        <v>4</v>
      </c>
      <c r="P631" s="38" t="s">
        <v>3</v>
      </c>
      <c r="Q631">
        <v>2025</v>
      </c>
      <c r="R631" t="s">
        <v>129</v>
      </c>
      <c r="S631" t="s">
        <v>14</v>
      </c>
      <c r="T631" t="s">
        <v>815</v>
      </c>
      <c r="U631" t="str">
        <f>IFERROR(_xlfn.XLOOKUP(A631,'2025 EOY'!A:A,'2025 EOY'!B:B),"No")</f>
        <v>No</v>
      </c>
    </row>
    <row r="632" spans="1:21" x14ac:dyDescent="0.35">
      <c r="A632" s="37" t="s">
        <v>127</v>
      </c>
      <c r="B632" s="12">
        <v>45734</v>
      </c>
      <c r="C632" s="10" t="s">
        <v>3</v>
      </c>
      <c r="D632" s="4" t="s">
        <v>128</v>
      </c>
      <c r="E632" s="253">
        <v>-2302</v>
      </c>
      <c r="F632" s="172">
        <v>45808</v>
      </c>
      <c r="G632" s="172">
        <v>45838</v>
      </c>
      <c r="H632" s="15">
        <v>0.37</v>
      </c>
      <c r="I632" s="192">
        <v>0.67</v>
      </c>
      <c r="J632" s="9">
        <v>-690.60000000000014</v>
      </c>
      <c r="K632">
        <v>-851.74</v>
      </c>
      <c r="L632" s="14" t="s">
        <v>58</v>
      </c>
      <c r="M632" s="8" t="s">
        <v>129</v>
      </c>
      <c r="N632">
        <v>-1542.3400000000001</v>
      </c>
      <c r="O632" s="38" t="s">
        <v>4</v>
      </c>
      <c r="P632" s="38" t="s">
        <v>3</v>
      </c>
      <c r="Q632">
        <v>2025</v>
      </c>
      <c r="R632" t="s">
        <v>129</v>
      </c>
      <c r="S632" t="s">
        <v>14</v>
      </c>
      <c r="T632" t="s">
        <v>816</v>
      </c>
      <c r="U632" t="str">
        <f>IFERROR(_xlfn.XLOOKUP(A632,'2025 EOY'!A:A,'2025 EOY'!B:B),"No")</f>
        <v>No</v>
      </c>
    </row>
    <row r="633" spans="1:21" x14ac:dyDescent="0.35">
      <c r="A633" s="37" t="s">
        <v>817</v>
      </c>
      <c r="B633" s="12">
        <v>45706</v>
      </c>
      <c r="C633" s="10" t="s">
        <v>19</v>
      </c>
      <c r="D633" s="10" t="s">
        <v>268</v>
      </c>
      <c r="E633" s="259">
        <v>735</v>
      </c>
      <c r="F633" s="172">
        <v>45777</v>
      </c>
      <c r="G633" s="172">
        <v>45777</v>
      </c>
      <c r="H633" s="15">
        <v>1.27</v>
      </c>
      <c r="I633" s="201">
        <v>1.75</v>
      </c>
      <c r="J633" s="9">
        <v>352.8</v>
      </c>
      <c r="K633">
        <v>933.45</v>
      </c>
      <c r="L633" s="14" t="s">
        <v>64</v>
      </c>
      <c r="M633" s="8" t="s">
        <v>131</v>
      </c>
      <c r="N633">
        <v>1286.25</v>
      </c>
      <c r="O633" s="38" t="s">
        <v>19</v>
      </c>
      <c r="P633" s="38" t="s">
        <v>19</v>
      </c>
      <c r="Q633">
        <v>2025</v>
      </c>
      <c r="R633" t="s">
        <v>131</v>
      </c>
      <c r="S633" t="s">
        <v>96</v>
      </c>
      <c r="T633" t="s">
        <v>818</v>
      </c>
      <c r="U633" t="str">
        <f>IFERROR(_xlfn.XLOOKUP(A633,'2025 EOY'!A:A,'2025 EOY'!B:B),"No")</f>
        <v>No</v>
      </c>
    </row>
    <row r="634" spans="1:21" x14ac:dyDescent="0.35">
      <c r="A634" s="37" t="s">
        <v>817</v>
      </c>
      <c r="B634" s="12">
        <v>45706</v>
      </c>
      <c r="C634" s="10" t="s">
        <v>3</v>
      </c>
      <c r="D634" s="4" t="s">
        <v>268</v>
      </c>
      <c r="E634" s="253">
        <v>-735</v>
      </c>
      <c r="F634" s="172">
        <v>45808</v>
      </c>
      <c r="G634" s="172">
        <v>45838</v>
      </c>
      <c r="H634" s="15">
        <v>0.42</v>
      </c>
      <c r="I634" s="192">
        <v>0.67</v>
      </c>
      <c r="J634" s="9">
        <v>-183.75000000000003</v>
      </c>
      <c r="K634">
        <v>-308.7</v>
      </c>
      <c r="L634" s="14" t="s">
        <v>58</v>
      </c>
      <c r="M634" s="8" t="s">
        <v>129</v>
      </c>
      <c r="N634">
        <v>-492.45000000000005</v>
      </c>
      <c r="O634" s="38" t="s">
        <v>4</v>
      </c>
      <c r="P634" s="38" t="s">
        <v>3</v>
      </c>
      <c r="Q634">
        <v>2025</v>
      </c>
      <c r="R634" t="s">
        <v>129</v>
      </c>
      <c r="S634" t="s">
        <v>14</v>
      </c>
      <c r="T634" t="s">
        <v>819</v>
      </c>
      <c r="U634" t="str">
        <f>IFERROR(_xlfn.XLOOKUP(A634,'2025 EOY'!A:A,'2025 EOY'!B:B),"No")</f>
        <v>No</v>
      </c>
    </row>
    <row r="635" spans="1:21" x14ac:dyDescent="0.35">
      <c r="A635" s="37" t="s">
        <v>817</v>
      </c>
      <c r="B635" s="12">
        <v>45719</v>
      </c>
      <c r="C635" s="10" t="s">
        <v>10</v>
      </c>
      <c r="D635" s="4" t="s">
        <v>268</v>
      </c>
      <c r="E635" s="253">
        <v>-735</v>
      </c>
      <c r="F635" s="172">
        <v>45838</v>
      </c>
      <c r="G635" s="172">
        <v>45838</v>
      </c>
      <c r="H635" s="15">
        <v>-3.76</v>
      </c>
      <c r="I635" s="192">
        <v>-4.91</v>
      </c>
      <c r="J635" s="9">
        <v>845.25000000000023</v>
      </c>
      <c r="K635">
        <v>2763.6</v>
      </c>
      <c r="L635" s="14" t="s">
        <v>73</v>
      </c>
      <c r="M635" s="8" t="s">
        <v>129</v>
      </c>
      <c r="N635">
        <v>3608.85</v>
      </c>
      <c r="O635" s="38" t="s">
        <v>11</v>
      </c>
      <c r="P635" s="38" t="s">
        <v>10</v>
      </c>
      <c r="Q635">
        <v>2025</v>
      </c>
      <c r="R635" t="s">
        <v>129</v>
      </c>
      <c r="S635" t="s">
        <v>14</v>
      </c>
      <c r="T635" t="s">
        <v>820</v>
      </c>
      <c r="U635" t="str">
        <f>IFERROR(_xlfn.XLOOKUP(A635,'2025 EOY'!A:A,'2025 EOY'!B:B),"No")</f>
        <v>No</v>
      </c>
    </row>
    <row r="636" spans="1:21" x14ac:dyDescent="0.35">
      <c r="A636" s="37" t="s">
        <v>817</v>
      </c>
      <c r="B636" s="12">
        <v>45719</v>
      </c>
      <c r="C636" s="10" t="s">
        <v>15</v>
      </c>
      <c r="D636" s="4" t="s">
        <v>268</v>
      </c>
      <c r="E636" s="253">
        <v>735</v>
      </c>
      <c r="F636" s="173">
        <v>45777</v>
      </c>
      <c r="G636" s="172">
        <v>45777</v>
      </c>
      <c r="H636" s="15">
        <v>0.75</v>
      </c>
      <c r="I636" s="191">
        <v>1.42</v>
      </c>
      <c r="J636" s="9">
        <v>492.44999999999993</v>
      </c>
      <c r="K636">
        <v>551.25</v>
      </c>
      <c r="L636" s="14" t="s">
        <v>64</v>
      </c>
      <c r="M636" s="8" t="s">
        <v>131</v>
      </c>
      <c r="N636">
        <v>1043.7</v>
      </c>
      <c r="O636" s="38" t="s">
        <v>11</v>
      </c>
      <c r="P636" s="38" t="s">
        <v>16</v>
      </c>
      <c r="Q636">
        <v>2025</v>
      </c>
      <c r="R636" t="s">
        <v>131</v>
      </c>
      <c r="S636" t="s">
        <v>14</v>
      </c>
      <c r="T636" t="s">
        <v>821</v>
      </c>
      <c r="U636" t="str">
        <f>IFERROR(_xlfn.XLOOKUP(A636,'2025 EOY'!A:A,'2025 EOY'!B:B),"No")</f>
        <v>No</v>
      </c>
    </row>
    <row r="637" spans="1:21" x14ac:dyDescent="0.35">
      <c r="A637" s="37" t="s">
        <v>817</v>
      </c>
      <c r="B637" s="12">
        <v>45719</v>
      </c>
      <c r="C637" s="10" t="s">
        <v>15</v>
      </c>
      <c r="D637" s="4" t="s">
        <v>128</v>
      </c>
      <c r="E637" s="253">
        <v>-700</v>
      </c>
      <c r="F637" s="173">
        <v>45777</v>
      </c>
      <c r="G637" s="172">
        <v>45777</v>
      </c>
      <c r="H637" s="15">
        <v>0.72</v>
      </c>
      <c r="I637" s="191">
        <v>1.42</v>
      </c>
      <c r="J637" s="9">
        <v>-489.99999999999994</v>
      </c>
      <c r="K637">
        <v>-504</v>
      </c>
      <c r="L637" s="14" t="s">
        <v>64</v>
      </c>
      <c r="M637" s="8" t="s">
        <v>129</v>
      </c>
      <c r="N637">
        <v>-994</v>
      </c>
      <c r="O637" s="38" t="s">
        <v>11</v>
      </c>
      <c r="P637" s="38" t="s">
        <v>16</v>
      </c>
      <c r="Q637">
        <v>2025</v>
      </c>
      <c r="R637" t="s">
        <v>129</v>
      </c>
      <c r="S637" t="s">
        <v>14</v>
      </c>
      <c r="T637" t="s">
        <v>822</v>
      </c>
      <c r="U637" t="str">
        <f>IFERROR(_xlfn.XLOOKUP(A637,'2025 EOY'!A:A,'2025 EOY'!B:B),"No")</f>
        <v>No</v>
      </c>
    </row>
    <row r="638" spans="1:21" x14ac:dyDescent="0.35">
      <c r="A638" s="37" t="s">
        <v>823</v>
      </c>
      <c r="B638" s="12">
        <v>45706</v>
      </c>
      <c r="C638" s="10" t="s">
        <v>19</v>
      </c>
      <c r="D638" s="10" t="s">
        <v>268</v>
      </c>
      <c r="E638" s="259">
        <v>700</v>
      </c>
      <c r="F638" s="172">
        <v>45777</v>
      </c>
      <c r="G638" s="172">
        <v>45777</v>
      </c>
      <c r="H638" s="15">
        <v>-1.5899999999999999</v>
      </c>
      <c r="I638" s="201">
        <v>-1.5</v>
      </c>
      <c r="J638" s="9">
        <v>27.999999999999869</v>
      </c>
      <c r="K638">
        <v>-1077.9999999999998</v>
      </c>
      <c r="L638" s="14" t="s">
        <v>64</v>
      </c>
      <c r="M638" s="8" t="s">
        <v>131</v>
      </c>
      <c r="N638">
        <v>-1050</v>
      </c>
      <c r="O638" s="38" t="s">
        <v>19</v>
      </c>
      <c r="P638" s="38" t="s">
        <v>19</v>
      </c>
      <c r="Q638">
        <v>2025</v>
      </c>
      <c r="R638" t="s">
        <v>131</v>
      </c>
      <c r="S638" t="s">
        <v>96</v>
      </c>
      <c r="T638" t="s">
        <v>824</v>
      </c>
      <c r="U638" t="str">
        <f>IFERROR(_xlfn.XLOOKUP(A638,'2025 EOY'!A:A,'2025 EOY'!B:B),"No")</f>
        <v>No</v>
      </c>
    </row>
    <row r="639" spans="1:21" x14ac:dyDescent="0.35">
      <c r="A639" s="37" t="s">
        <v>823</v>
      </c>
      <c r="B639" s="12">
        <v>45706</v>
      </c>
      <c r="C639" s="10" t="s">
        <v>3</v>
      </c>
      <c r="D639" s="4" t="s">
        <v>268</v>
      </c>
      <c r="E639" s="253">
        <v>-700</v>
      </c>
      <c r="F639" s="172">
        <v>45808</v>
      </c>
      <c r="G639" s="172">
        <v>45838</v>
      </c>
      <c r="H639" s="15">
        <v>0.42</v>
      </c>
      <c r="I639" s="192">
        <v>0.67</v>
      </c>
      <c r="J639" s="9">
        <v>-175.00000000000003</v>
      </c>
      <c r="K639">
        <v>-294</v>
      </c>
      <c r="L639" s="14" t="s">
        <v>58</v>
      </c>
      <c r="M639" s="8" t="s">
        <v>129</v>
      </c>
      <c r="N639">
        <v>-469</v>
      </c>
      <c r="O639" s="38" t="s">
        <v>4</v>
      </c>
      <c r="P639" s="38" t="s">
        <v>3</v>
      </c>
      <c r="Q639">
        <v>2025</v>
      </c>
      <c r="R639" t="s">
        <v>129</v>
      </c>
      <c r="S639" t="s">
        <v>14</v>
      </c>
      <c r="T639" t="s">
        <v>825</v>
      </c>
      <c r="U639" t="str">
        <f>IFERROR(_xlfn.XLOOKUP(A639,'2025 EOY'!A:A,'2025 EOY'!B:B),"No")</f>
        <v>No</v>
      </c>
    </row>
    <row r="640" spans="1:21" x14ac:dyDescent="0.35">
      <c r="A640" s="37" t="s">
        <v>823</v>
      </c>
      <c r="B640" s="12">
        <v>45719</v>
      </c>
      <c r="C640" s="10" t="s">
        <v>10</v>
      </c>
      <c r="D640" s="4" t="s">
        <v>268</v>
      </c>
      <c r="E640" s="253">
        <v>-700</v>
      </c>
      <c r="F640" s="172">
        <v>45838</v>
      </c>
      <c r="G640" s="172">
        <v>45838</v>
      </c>
      <c r="H640" s="15">
        <v>-3.76</v>
      </c>
      <c r="I640" s="192">
        <v>-4.91</v>
      </c>
      <c r="J640" s="9">
        <v>805.00000000000023</v>
      </c>
      <c r="K640">
        <v>2632</v>
      </c>
      <c r="L640" s="14" t="s">
        <v>73</v>
      </c>
      <c r="M640" s="8" t="s">
        <v>129</v>
      </c>
      <c r="N640">
        <v>3437</v>
      </c>
      <c r="O640" s="38" t="s">
        <v>11</v>
      </c>
      <c r="P640" s="38" t="s">
        <v>10</v>
      </c>
      <c r="Q640">
        <v>2025</v>
      </c>
      <c r="R640" t="s">
        <v>129</v>
      </c>
      <c r="S640" t="s">
        <v>14</v>
      </c>
      <c r="T640" t="s">
        <v>826</v>
      </c>
      <c r="U640" t="str">
        <f>IFERROR(_xlfn.XLOOKUP(A640,'2025 EOY'!A:A,'2025 EOY'!B:B),"No")</f>
        <v>No</v>
      </c>
    </row>
    <row r="641" spans="1:21" x14ac:dyDescent="0.35">
      <c r="A641" s="37" t="s">
        <v>127</v>
      </c>
      <c r="B641" s="12">
        <v>45742</v>
      </c>
      <c r="C641" s="10" t="s">
        <v>15</v>
      </c>
      <c r="D641" s="4" t="s">
        <v>128</v>
      </c>
      <c r="E641" s="253">
        <v>500</v>
      </c>
      <c r="F641" s="173">
        <v>45777</v>
      </c>
      <c r="G641" s="172">
        <v>45777</v>
      </c>
      <c r="H641" s="15">
        <v>0.92</v>
      </c>
      <c r="I641" s="191">
        <v>1.42</v>
      </c>
      <c r="J641" s="9">
        <v>249.99999999999994</v>
      </c>
      <c r="K641">
        <v>460</v>
      </c>
      <c r="L641" s="14" t="s">
        <v>64</v>
      </c>
      <c r="M641" s="8" t="s">
        <v>131</v>
      </c>
      <c r="N641">
        <v>710</v>
      </c>
      <c r="O641" s="38" t="s">
        <v>11</v>
      </c>
      <c r="P641" s="38" t="s">
        <v>16</v>
      </c>
      <c r="Q641">
        <v>2025</v>
      </c>
      <c r="R641" t="s">
        <v>131</v>
      </c>
      <c r="S641" t="s">
        <v>14</v>
      </c>
      <c r="T641" t="s">
        <v>827</v>
      </c>
      <c r="U641" t="str">
        <f>IFERROR(_xlfn.XLOOKUP(A641,'2025 EOY'!A:A,'2025 EOY'!B:B),"No")</f>
        <v>No</v>
      </c>
    </row>
    <row r="642" spans="1:21" x14ac:dyDescent="0.35">
      <c r="A642" s="37" t="s">
        <v>127</v>
      </c>
      <c r="B642" s="12">
        <v>45742</v>
      </c>
      <c r="C642" s="10" t="s">
        <v>15</v>
      </c>
      <c r="D642" s="4" t="s">
        <v>128</v>
      </c>
      <c r="E642" s="253">
        <v>-500</v>
      </c>
      <c r="F642" s="173">
        <v>45808</v>
      </c>
      <c r="G642" s="172">
        <v>45808</v>
      </c>
      <c r="H642" s="15">
        <v>0.82</v>
      </c>
      <c r="I642" s="191">
        <v>0.14121300000000001</v>
      </c>
      <c r="J642" s="9">
        <v>339.39349999999996</v>
      </c>
      <c r="K642">
        <v>-410</v>
      </c>
      <c r="L642" s="14" t="s">
        <v>65</v>
      </c>
      <c r="M642" s="8" t="s">
        <v>129</v>
      </c>
      <c r="N642">
        <v>-70.606499999999997</v>
      </c>
      <c r="O642" s="38" t="s">
        <v>11</v>
      </c>
      <c r="P642" s="38" t="s">
        <v>16</v>
      </c>
      <c r="Q642">
        <v>2025</v>
      </c>
      <c r="R642" t="s">
        <v>129</v>
      </c>
      <c r="S642" t="s">
        <v>14</v>
      </c>
      <c r="T642" t="s">
        <v>828</v>
      </c>
      <c r="U642" t="str">
        <f>IFERROR(_xlfn.XLOOKUP(A642,'2025 EOY'!A:A,'2025 EOY'!B:B),"No")</f>
        <v>No</v>
      </c>
    </row>
    <row r="643" spans="1:21" x14ac:dyDescent="0.35">
      <c r="A643" s="37" t="s">
        <v>127</v>
      </c>
      <c r="B643" s="12">
        <v>45744</v>
      </c>
      <c r="C643" s="10" t="s">
        <v>7</v>
      </c>
      <c r="D643" s="4" t="s">
        <v>268</v>
      </c>
      <c r="E643" s="253">
        <v>729</v>
      </c>
      <c r="F643" s="172">
        <v>45808</v>
      </c>
      <c r="G643" s="172">
        <v>45838</v>
      </c>
      <c r="H643" s="15">
        <v>0.86</v>
      </c>
      <c r="I643" s="192">
        <v>-0.03</v>
      </c>
      <c r="J643" s="9">
        <v>-648.81000000000006</v>
      </c>
      <c r="K643">
        <v>626.93999999999994</v>
      </c>
      <c r="L643" s="14" t="s">
        <v>58</v>
      </c>
      <c r="M643" s="8" t="s">
        <v>131</v>
      </c>
      <c r="N643">
        <v>-21.869999999999997</v>
      </c>
      <c r="O643" s="38" t="s">
        <v>4</v>
      </c>
      <c r="P643" s="38" t="s">
        <v>7</v>
      </c>
      <c r="Q643">
        <v>2025</v>
      </c>
      <c r="R643" t="s">
        <v>131</v>
      </c>
      <c r="S643" t="s">
        <v>14</v>
      </c>
      <c r="T643" t="s">
        <v>829</v>
      </c>
      <c r="U643" t="str">
        <f>IFERROR(_xlfn.XLOOKUP(A643,'2025 EOY'!A:A,'2025 EOY'!B:B),"No")</f>
        <v>No</v>
      </c>
    </row>
    <row r="644" spans="1:21" x14ac:dyDescent="0.35">
      <c r="A644" s="37" t="s">
        <v>127</v>
      </c>
      <c r="B644" s="12">
        <v>45744</v>
      </c>
      <c r="C644" s="10" t="s">
        <v>10</v>
      </c>
      <c r="D644" s="4" t="s">
        <v>268</v>
      </c>
      <c r="E644" s="253">
        <v>900</v>
      </c>
      <c r="F644" s="172">
        <v>45808</v>
      </c>
      <c r="G644" s="172">
        <v>45808</v>
      </c>
      <c r="H644" s="15">
        <v>-4.25</v>
      </c>
      <c r="I644" s="192">
        <v>-3.26</v>
      </c>
      <c r="J644" s="9">
        <v>891.00000000000023</v>
      </c>
      <c r="K644">
        <v>-3825</v>
      </c>
      <c r="L644" s="14" t="s">
        <v>65</v>
      </c>
      <c r="M644" s="8" t="s">
        <v>131</v>
      </c>
      <c r="N644">
        <v>-2934</v>
      </c>
      <c r="O644" s="38" t="s">
        <v>11</v>
      </c>
      <c r="P644" s="38" t="s">
        <v>10</v>
      </c>
      <c r="Q644">
        <v>2025</v>
      </c>
      <c r="R644" t="s">
        <v>131</v>
      </c>
      <c r="S644" t="s">
        <v>14</v>
      </c>
      <c r="T644" t="s">
        <v>830</v>
      </c>
      <c r="U644" t="str">
        <f>IFERROR(_xlfn.XLOOKUP(A644,'2025 EOY'!A:A,'2025 EOY'!B:B),"No")</f>
        <v>No</v>
      </c>
    </row>
    <row r="645" spans="1:21" x14ac:dyDescent="0.35">
      <c r="A645" s="37" t="s">
        <v>127</v>
      </c>
      <c r="B645" s="12">
        <v>45744</v>
      </c>
      <c r="C645" s="10" t="s">
        <v>15</v>
      </c>
      <c r="D645" s="4" t="s">
        <v>128</v>
      </c>
      <c r="E645" s="253">
        <v>-1000</v>
      </c>
      <c r="F645" s="173">
        <v>45808</v>
      </c>
      <c r="G645" s="172">
        <v>45808</v>
      </c>
      <c r="H645" s="15">
        <v>1</v>
      </c>
      <c r="I645" s="191">
        <v>0.14121300000000001</v>
      </c>
      <c r="J645" s="9">
        <v>858.78699999999992</v>
      </c>
      <c r="K645">
        <v>-1000</v>
      </c>
      <c r="L645" s="14" t="s">
        <v>65</v>
      </c>
      <c r="M645" s="8" t="s">
        <v>129</v>
      </c>
      <c r="N645">
        <v>-141.21299999999999</v>
      </c>
      <c r="O645" s="38" t="s">
        <v>11</v>
      </c>
      <c r="P645" s="38" t="s">
        <v>16</v>
      </c>
      <c r="Q645">
        <v>2025</v>
      </c>
      <c r="R645" t="s">
        <v>129</v>
      </c>
      <c r="S645" t="s">
        <v>14</v>
      </c>
      <c r="T645" t="s">
        <v>831</v>
      </c>
      <c r="U645" t="str">
        <f>IFERROR(_xlfn.XLOOKUP(A645,'2025 EOY'!A:A,'2025 EOY'!B:B),"No")</f>
        <v>No</v>
      </c>
    </row>
    <row r="646" spans="1:21" x14ac:dyDescent="0.35">
      <c r="A646" s="37" t="s">
        <v>690</v>
      </c>
      <c r="B646" s="12">
        <v>45695</v>
      </c>
      <c r="C646" s="10" t="s">
        <v>7</v>
      </c>
      <c r="D646" s="4" t="s">
        <v>268</v>
      </c>
      <c r="E646" s="253">
        <v>370</v>
      </c>
      <c r="F646" s="172">
        <v>45808</v>
      </c>
      <c r="G646" s="172">
        <v>45838</v>
      </c>
      <c r="H646" s="15">
        <v>0.48</v>
      </c>
      <c r="I646" s="192">
        <v>-0.03</v>
      </c>
      <c r="J646" s="9">
        <v>-188.70000000000002</v>
      </c>
      <c r="K646">
        <v>177.6</v>
      </c>
      <c r="L646" s="14" t="s">
        <v>58</v>
      </c>
      <c r="M646" s="8" t="s">
        <v>131</v>
      </c>
      <c r="N646">
        <v>-11.1</v>
      </c>
      <c r="O646" s="38" t="s">
        <v>4</v>
      </c>
      <c r="P646" s="38" t="s">
        <v>7</v>
      </c>
      <c r="Q646">
        <v>2025</v>
      </c>
      <c r="R646" t="s">
        <v>131</v>
      </c>
      <c r="S646" t="s">
        <v>14</v>
      </c>
      <c r="T646" t="s">
        <v>832</v>
      </c>
      <c r="U646" t="str">
        <f>IFERROR(_xlfn.XLOOKUP(A646,'2025 EOY'!A:A,'2025 EOY'!B:B),"No")</f>
        <v>No</v>
      </c>
    </row>
    <row r="647" spans="1:21" x14ac:dyDescent="0.35">
      <c r="A647" s="37" t="s">
        <v>833</v>
      </c>
      <c r="B647" s="12">
        <v>45747</v>
      </c>
      <c r="C647" s="10" t="s">
        <v>19</v>
      </c>
      <c r="D647" s="10" t="s">
        <v>268</v>
      </c>
      <c r="E647" s="259">
        <v>692</v>
      </c>
      <c r="F647" s="172">
        <v>45777</v>
      </c>
      <c r="G647" s="172">
        <v>45777</v>
      </c>
      <c r="H647" s="120">
        <v>2.34</v>
      </c>
      <c r="I647" s="201">
        <v>2.4</v>
      </c>
      <c r="J647" s="9">
        <v>41.520000000000039</v>
      </c>
      <c r="K647">
        <v>1619.28</v>
      </c>
      <c r="L647" s="14" t="s">
        <v>64</v>
      </c>
      <c r="M647" s="8" t="s">
        <v>131</v>
      </c>
      <c r="N647">
        <v>1660.8</v>
      </c>
      <c r="O647" s="38" t="s">
        <v>19</v>
      </c>
      <c r="P647" s="38" t="s">
        <v>19</v>
      </c>
      <c r="Q647">
        <v>2025</v>
      </c>
      <c r="R647" t="s">
        <v>131</v>
      </c>
      <c r="S647" t="s">
        <v>96</v>
      </c>
      <c r="T647" t="s">
        <v>834</v>
      </c>
      <c r="U647" t="str">
        <f>IFERROR(_xlfn.XLOOKUP(A647,'2025 EOY'!A:A,'2025 EOY'!B:B),"No")</f>
        <v>No</v>
      </c>
    </row>
    <row r="648" spans="1:21" x14ac:dyDescent="0.35">
      <c r="A648" s="37" t="s">
        <v>833</v>
      </c>
      <c r="B648" s="12">
        <v>45747</v>
      </c>
      <c r="C648" s="10" t="s">
        <v>3</v>
      </c>
      <c r="D648" s="4" t="s">
        <v>268</v>
      </c>
      <c r="E648" s="253">
        <v>-692</v>
      </c>
      <c r="F648" s="172">
        <v>45808</v>
      </c>
      <c r="G648" s="172">
        <v>45838</v>
      </c>
      <c r="H648" s="15">
        <v>0.52</v>
      </c>
      <c r="I648" s="192">
        <v>0.67</v>
      </c>
      <c r="J648" s="9">
        <v>-103.80000000000001</v>
      </c>
      <c r="K648">
        <v>-359.84000000000003</v>
      </c>
      <c r="L648" s="14" t="s">
        <v>58</v>
      </c>
      <c r="M648" s="8" t="s">
        <v>129</v>
      </c>
      <c r="N648">
        <v>-463.64000000000004</v>
      </c>
      <c r="O648" s="38" t="s">
        <v>4</v>
      </c>
      <c r="P648" s="38" t="s">
        <v>3</v>
      </c>
      <c r="Q648">
        <v>2025</v>
      </c>
      <c r="R648" t="s">
        <v>129</v>
      </c>
      <c r="S648" t="s">
        <v>14</v>
      </c>
      <c r="T648" t="s">
        <v>835</v>
      </c>
      <c r="U648" t="str">
        <f>IFERROR(_xlfn.XLOOKUP(A648,'2025 EOY'!A:A,'2025 EOY'!B:B),"No")</f>
        <v>No</v>
      </c>
    </row>
    <row r="649" spans="1:21" x14ac:dyDescent="0.35">
      <c r="A649" s="37" t="s">
        <v>833</v>
      </c>
      <c r="B649" s="12">
        <v>45747</v>
      </c>
      <c r="C649" s="10" t="s">
        <v>10</v>
      </c>
      <c r="D649" s="4" t="s">
        <v>268</v>
      </c>
      <c r="E649" s="253">
        <v>-692</v>
      </c>
      <c r="F649" s="172">
        <v>45838</v>
      </c>
      <c r="G649" s="172">
        <v>45838</v>
      </c>
      <c r="H649" s="15">
        <v>-3.78</v>
      </c>
      <c r="I649" s="192">
        <v>-4.91</v>
      </c>
      <c r="J649" s="9">
        <v>781.96000000000026</v>
      </c>
      <c r="K649">
        <v>2615.7599999999998</v>
      </c>
      <c r="L649" s="14" t="s">
        <v>73</v>
      </c>
      <c r="M649" s="8" t="s">
        <v>129</v>
      </c>
      <c r="N649">
        <v>3397.7200000000003</v>
      </c>
      <c r="O649" s="38" t="s">
        <v>11</v>
      </c>
      <c r="P649" s="38" t="s">
        <v>10</v>
      </c>
      <c r="Q649">
        <v>2025</v>
      </c>
      <c r="R649" t="s">
        <v>129</v>
      </c>
      <c r="S649" t="s">
        <v>14</v>
      </c>
      <c r="T649" t="s">
        <v>836</v>
      </c>
      <c r="U649" t="str">
        <f>IFERROR(_xlfn.XLOOKUP(A649,'2025 EOY'!A:A,'2025 EOY'!B:B),"No")</f>
        <v>No</v>
      </c>
    </row>
    <row r="650" spans="1:21" x14ac:dyDescent="0.35">
      <c r="A650" s="37" t="s">
        <v>833</v>
      </c>
      <c r="B650" s="12">
        <v>45747</v>
      </c>
      <c r="C650" s="10" t="s">
        <v>15</v>
      </c>
      <c r="D650" s="4" t="s">
        <v>268</v>
      </c>
      <c r="E650" s="253">
        <v>692</v>
      </c>
      <c r="F650" s="173">
        <v>45808</v>
      </c>
      <c r="G650" s="172">
        <v>45808</v>
      </c>
      <c r="H650" s="15">
        <v>1.05</v>
      </c>
      <c r="I650" s="191">
        <v>0.14121300000000001</v>
      </c>
      <c r="J650" s="9">
        <v>-628.88060400000006</v>
      </c>
      <c r="K650">
        <v>726.6</v>
      </c>
      <c r="L650" s="14" t="s">
        <v>65</v>
      </c>
      <c r="M650" s="8" t="s">
        <v>131</v>
      </c>
      <c r="N650">
        <v>97.719396000000003</v>
      </c>
      <c r="O650" s="38" t="s">
        <v>11</v>
      </c>
      <c r="P650" s="38" t="s">
        <v>16</v>
      </c>
      <c r="Q650">
        <v>2025</v>
      </c>
      <c r="R650" t="s">
        <v>131</v>
      </c>
      <c r="S650" t="s">
        <v>14</v>
      </c>
      <c r="T650" t="s">
        <v>837</v>
      </c>
      <c r="U650" t="str">
        <f>IFERROR(_xlfn.XLOOKUP(A650,'2025 EOY'!A:A,'2025 EOY'!B:B),"No")</f>
        <v>No</v>
      </c>
    </row>
    <row r="651" spans="1:21" x14ac:dyDescent="0.35">
      <c r="A651" s="37" t="s">
        <v>833</v>
      </c>
      <c r="B651" s="12">
        <v>45747</v>
      </c>
      <c r="C651" s="47" t="s">
        <v>36</v>
      </c>
      <c r="D651" s="10" t="s">
        <v>268</v>
      </c>
      <c r="E651" s="253">
        <v>-700</v>
      </c>
      <c r="F651" s="172">
        <v>45777</v>
      </c>
      <c r="G651" s="172">
        <v>45777</v>
      </c>
      <c r="H651" s="212">
        <v>185</v>
      </c>
      <c r="I651" s="202">
        <v>167.5</v>
      </c>
      <c r="J651" s="9">
        <v>245.00000000000003</v>
      </c>
      <c r="K651">
        <v>-129500</v>
      </c>
      <c r="L651" s="14" t="s">
        <v>64</v>
      </c>
      <c r="M651" s="8" t="s">
        <v>129</v>
      </c>
      <c r="N651">
        <v>-117250</v>
      </c>
      <c r="O651" s="38" t="s">
        <v>29</v>
      </c>
      <c r="P651" s="38" t="s">
        <v>29</v>
      </c>
      <c r="Q651">
        <v>2025</v>
      </c>
      <c r="R651" t="s">
        <v>129</v>
      </c>
      <c r="S651" t="s">
        <v>14</v>
      </c>
      <c r="T651" t="s">
        <v>838</v>
      </c>
      <c r="U651" t="str">
        <f>IFERROR(_xlfn.XLOOKUP(A651,'2025 EOY'!A:A,'2025 EOY'!B:B),"No")</f>
        <v>No</v>
      </c>
    </row>
    <row r="652" spans="1:21" x14ac:dyDescent="0.35">
      <c r="A652" s="37" t="s">
        <v>833</v>
      </c>
      <c r="B652" s="12">
        <v>45747</v>
      </c>
      <c r="C652" s="47" t="s">
        <v>36</v>
      </c>
      <c r="D652" s="10" t="s">
        <v>268</v>
      </c>
      <c r="E652" s="253">
        <v>700</v>
      </c>
      <c r="F652" s="172">
        <v>45777</v>
      </c>
      <c r="G652" s="172">
        <v>45777</v>
      </c>
      <c r="H652" s="212">
        <v>167.5</v>
      </c>
      <c r="I652" s="202">
        <v>167.5</v>
      </c>
      <c r="J652" s="9">
        <v>0</v>
      </c>
      <c r="K652">
        <v>117250</v>
      </c>
      <c r="L652" s="14" t="s">
        <v>64</v>
      </c>
      <c r="M652" s="8" t="s">
        <v>131</v>
      </c>
      <c r="N652">
        <v>117250</v>
      </c>
      <c r="O652" s="38" t="s">
        <v>29</v>
      </c>
      <c r="P652" s="38" t="s">
        <v>29</v>
      </c>
      <c r="Q652">
        <v>2025</v>
      </c>
      <c r="R652" t="s">
        <v>131</v>
      </c>
      <c r="S652" t="s">
        <v>14</v>
      </c>
      <c r="T652" t="s">
        <v>839</v>
      </c>
      <c r="U652" t="str">
        <f>IFERROR(_xlfn.XLOOKUP(A652,'2025 EOY'!A:A,'2025 EOY'!B:B),"No")</f>
        <v>No</v>
      </c>
    </row>
    <row r="653" spans="1:21" x14ac:dyDescent="0.35">
      <c r="A653" s="37" t="s">
        <v>833</v>
      </c>
      <c r="B653" s="12">
        <v>45747</v>
      </c>
      <c r="C653" s="10" t="s">
        <v>7</v>
      </c>
      <c r="D653" s="4" t="s">
        <v>268</v>
      </c>
      <c r="E653" s="253">
        <v>-692</v>
      </c>
      <c r="F653" s="172">
        <v>45838</v>
      </c>
      <c r="G653" s="172">
        <v>45869</v>
      </c>
      <c r="H653" s="15">
        <v>0.72</v>
      </c>
      <c r="I653" s="192">
        <v>2.06</v>
      </c>
      <c r="J653" s="9">
        <v>-927.28000000000009</v>
      </c>
      <c r="K653">
        <v>-498.24</v>
      </c>
      <c r="L653" s="14" t="s">
        <v>74</v>
      </c>
      <c r="M653" s="8" t="s">
        <v>129</v>
      </c>
      <c r="N653">
        <v>-1425.52</v>
      </c>
      <c r="O653" s="38" t="s">
        <v>4</v>
      </c>
      <c r="P653" s="38" t="s">
        <v>7</v>
      </c>
      <c r="Q653">
        <v>2025</v>
      </c>
      <c r="R653" t="s">
        <v>129</v>
      </c>
      <c r="S653" t="s">
        <v>14</v>
      </c>
      <c r="T653" t="s">
        <v>840</v>
      </c>
      <c r="U653" t="str">
        <f>IFERROR(_xlfn.XLOOKUP(A653,'2025 EOY'!A:A,'2025 EOY'!B:B),"No")</f>
        <v>No</v>
      </c>
    </row>
    <row r="654" spans="1:21" x14ac:dyDescent="0.35">
      <c r="A654" s="37" t="s">
        <v>127</v>
      </c>
      <c r="B654" s="12">
        <v>45747</v>
      </c>
      <c r="C654" s="47" t="s">
        <v>39</v>
      </c>
      <c r="D654" s="10" t="s">
        <v>128</v>
      </c>
      <c r="E654" s="253">
        <v>-1400</v>
      </c>
      <c r="F654" s="172">
        <v>45747</v>
      </c>
      <c r="G654" s="172">
        <v>45747</v>
      </c>
      <c r="H654" s="212">
        <v>111.45</v>
      </c>
      <c r="I654" s="192">
        <v>111.45</v>
      </c>
      <c r="J654" s="9">
        <v>0</v>
      </c>
      <c r="K654">
        <v>-156030</v>
      </c>
      <c r="L654" s="14" t="s">
        <v>63</v>
      </c>
      <c r="M654" s="8" t="s">
        <v>129</v>
      </c>
      <c r="N654">
        <v>-156030</v>
      </c>
      <c r="O654" s="38" t="s">
        <v>29</v>
      </c>
      <c r="P654" s="38" t="s">
        <v>29</v>
      </c>
      <c r="Q654">
        <v>2025</v>
      </c>
      <c r="R654" t="s">
        <v>129</v>
      </c>
      <c r="S654" t="s">
        <v>14</v>
      </c>
      <c r="T654" t="s">
        <v>841</v>
      </c>
      <c r="U654" t="str">
        <f>IFERROR(_xlfn.XLOOKUP(A654,'2025 EOY'!A:A,'2025 EOY'!B:B),"No")</f>
        <v>No</v>
      </c>
    </row>
    <row r="655" spans="1:21" x14ac:dyDescent="0.35">
      <c r="A655" t="s">
        <v>127</v>
      </c>
      <c r="B655" s="12">
        <v>45747</v>
      </c>
      <c r="C655" s="10" t="s">
        <v>22</v>
      </c>
      <c r="D655" s="4" t="s">
        <v>128</v>
      </c>
      <c r="E655" s="253">
        <v>500</v>
      </c>
      <c r="F655" s="185" t="s">
        <v>135</v>
      </c>
      <c r="G655" s="172">
        <v>11414</v>
      </c>
      <c r="H655" s="15">
        <v>2.12</v>
      </c>
      <c r="I655" s="191">
        <v>2.2599999999999998</v>
      </c>
      <c r="J655" s="9">
        <v>69.999999999999844</v>
      </c>
      <c r="K655">
        <v>1060</v>
      </c>
      <c r="L655" s="14" t="s">
        <v>21</v>
      </c>
      <c r="M655" s="8" t="s">
        <v>131</v>
      </c>
      <c r="N655">
        <v>1130</v>
      </c>
      <c r="O655" t="s">
        <v>11</v>
      </c>
      <c r="P655" s="38" t="s">
        <v>16</v>
      </c>
      <c r="Q655">
        <v>2025</v>
      </c>
      <c r="R655" t="s">
        <v>131</v>
      </c>
      <c r="S655" t="s">
        <v>14</v>
      </c>
      <c r="T655" t="s">
        <v>842</v>
      </c>
      <c r="U655" t="str">
        <f>IFERROR(_xlfn.XLOOKUP(A655,'2025 EOY'!A:A,'2025 EOY'!B:B),"No")</f>
        <v>No</v>
      </c>
    </row>
    <row r="656" spans="1:21" x14ac:dyDescent="0.35">
      <c r="A656" t="s">
        <v>127</v>
      </c>
      <c r="B656" s="12">
        <v>45747</v>
      </c>
      <c r="C656" s="10" t="s">
        <v>22</v>
      </c>
      <c r="D656" s="4" t="s">
        <v>128</v>
      </c>
      <c r="E656" s="253">
        <v>-500</v>
      </c>
      <c r="F656" s="172" t="s">
        <v>137</v>
      </c>
      <c r="G656" s="172">
        <v>11414</v>
      </c>
      <c r="H656" s="15">
        <v>1.82</v>
      </c>
      <c r="I656" s="191">
        <v>1.86</v>
      </c>
      <c r="J656" s="9">
        <v>-20.000000000000018</v>
      </c>
      <c r="K656">
        <v>-910</v>
      </c>
      <c r="L656" s="14" t="s">
        <v>24</v>
      </c>
      <c r="M656" s="8" t="s">
        <v>129</v>
      </c>
      <c r="N656">
        <v>-930</v>
      </c>
      <c r="O656" t="s">
        <v>11</v>
      </c>
      <c r="P656" s="38" t="s">
        <v>16</v>
      </c>
      <c r="Q656">
        <v>2025</v>
      </c>
      <c r="R656" t="s">
        <v>129</v>
      </c>
      <c r="S656" t="s">
        <v>14</v>
      </c>
      <c r="T656" t="s">
        <v>843</v>
      </c>
      <c r="U656" t="str">
        <f>IFERROR(_xlfn.XLOOKUP(A656,'2025 EOY'!A:A,'2025 EOY'!B:B),"No")</f>
        <v>No</v>
      </c>
    </row>
    <row r="657" spans="1:21" x14ac:dyDescent="0.35">
      <c r="A657" s="21"/>
      <c r="B657" s="175">
        <v>45748</v>
      </c>
      <c r="C657" s="22" t="s">
        <v>19</v>
      </c>
      <c r="D657" s="22" t="s">
        <v>268</v>
      </c>
      <c r="E657" s="262"/>
      <c r="F657" s="24">
        <v>45777</v>
      </c>
      <c r="G657" s="24">
        <v>45777</v>
      </c>
      <c r="H657" s="207">
        <v>2.5400000000000005</v>
      </c>
      <c r="I657" s="203">
        <v>2.5499999999999998</v>
      </c>
      <c r="J657" s="25">
        <v>0</v>
      </c>
      <c r="K657" s="26">
        <v>0</v>
      </c>
      <c r="L657" s="14" t="s">
        <v>64</v>
      </c>
      <c r="M657" s="27" t="s">
        <v>131</v>
      </c>
      <c r="N657" s="26">
        <v>0</v>
      </c>
      <c r="O657" s="28" t="s">
        <v>19</v>
      </c>
      <c r="P657" s="38" t="s">
        <v>19</v>
      </c>
      <c r="Q657">
        <v>2025</v>
      </c>
      <c r="R657" t="s">
        <v>129</v>
      </c>
      <c r="S657" t="s">
        <v>96</v>
      </c>
      <c r="T657" t="s">
        <v>844</v>
      </c>
      <c r="U657" t="str">
        <f>IFERROR(_xlfn.XLOOKUP(A657,'2025 EOY'!A:A,'2025 EOY'!B:B),"No")</f>
        <v>No</v>
      </c>
    </row>
    <row r="658" spans="1:21" x14ac:dyDescent="0.35">
      <c r="A658" s="37"/>
      <c r="B658" s="12">
        <v>45748</v>
      </c>
      <c r="C658" s="10" t="s">
        <v>3</v>
      </c>
      <c r="D658" s="4" t="s">
        <v>268</v>
      </c>
      <c r="F658" s="172">
        <v>45808</v>
      </c>
      <c r="G658" s="172">
        <v>45838</v>
      </c>
      <c r="H658" s="15">
        <v>0.5</v>
      </c>
      <c r="I658" s="192">
        <v>0.67</v>
      </c>
      <c r="J658" s="9">
        <v>0</v>
      </c>
      <c r="K658">
        <v>0</v>
      </c>
      <c r="L658" s="14" t="s">
        <v>58</v>
      </c>
      <c r="M658" s="8" t="s">
        <v>131</v>
      </c>
      <c r="N658">
        <v>0</v>
      </c>
      <c r="O658" s="38" t="s">
        <v>4</v>
      </c>
      <c r="P658" s="38" t="s">
        <v>3</v>
      </c>
      <c r="Q658">
        <v>2025</v>
      </c>
      <c r="R658" t="s">
        <v>129</v>
      </c>
      <c r="S658" t="s">
        <v>14</v>
      </c>
      <c r="T658" t="s">
        <v>845</v>
      </c>
      <c r="U658" t="str">
        <f>IFERROR(_xlfn.XLOOKUP(A658,'2025 EOY'!A:A,'2025 EOY'!B:B),"No")</f>
        <v>No</v>
      </c>
    </row>
    <row r="659" spans="1:21" x14ac:dyDescent="0.35">
      <c r="A659" s="37"/>
      <c r="B659" s="12">
        <v>45748</v>
      </c>
      <c r="C659" s="10" t="s">
        <v>3</v>
      </c>
      <c r="D659" s="4" t="s">
        <v>268</v>
      </c>
      <c r="F659" s="172">
        <v>45838</v>
      </c>
      <c r="G659" s="172">
        <v>45869</v>
      </c>
      <c r="H659" s="15">
        <v>0.6</v>
      </c>
      <c r="I659" s="192">
        <v>0.55000000000000004</v>
      </c>
      <c r="J659" s="9">
        <v>0</v>
      </c>
      <c r="K659">
        <v>0</v>
      </c>
      <c r="L659" s="14" t="s">
        <v>74</v>
      </c>
      <c r="M659" s="8" t="s">
        <v>131</v>
      </c>
      <c r="N659">
        <v>0</v>
      </c>
      <c r="O659" s="38" t="s">
        <v>4</v>
      </c>
      <c r="P659" s="38" t="s">
        <v>3</v>
      </c>
      <c r="Q659">
        <v>2025</v>
      </c>
      <c r="R659" t="s">
        <v>129</v>
      </c>
      <c r="S659" t="s">
        <v>14</v>
      </c>
      <c r="T659" t="s">
        <v>846</v>
      </c>
      <c r="U659" t="str">
        <f>IFERROR(_xlfn.XLOOKUP(A659,'2025 EOY'!A:A,'2025 EOY'!B:B),"No")</f>
        <v>No</v>
      </c>
    </row>
    <row r="660" spans="1:21" x14ac:dyDescent="0.35">
      <c r="A660" s="37"/>
      <c r="B660" s="12">
        <v>45748</v>
      </c>
      <c r="C660" s="10" t="s">
        <v>10</v>
      </c>
      <c r="D660" s="4" t="s">
        <v>268</v>
      </c>
      <c r="F660" s="172">
        <v>45869</v>
      </c>
      <c r="G660" s="172">
        <v>45869</v>
      </c>
      <c r="H660" s="15">
        <v>-3.6</v>
      </c>
      <c r="I660" s="192">
        <v>-3.11</v>
      </c>
      <c r="J660" s="9">
        <v>0</v>
      </c>
      <c r="K660">
        <v>0</v>
      </c>
      <c r="L660" s="14" t="s">
        <v>75</v>
      </c>
      <c r="M660" s="8" t="s">
        <v>131</v>
      </c>
      <c r="N660">
        <v>0</v>
      </c>
      <c r="O660" s="38" t="s">
        <v>11</v>
      </c>
      <c r="P660" s="38" t="s">
        <v>10</v>
      </c>
      <c r="Q660">
        <v>2025</v>
      </c>
      <c r="R660" t="s">
        <v>129</v>
      </c>
      <c r="S660" t="s">
        <v>14</v>
      </c>
      <c r="T660" t="s">
        <v>847</v>
      </c>
      <c r="U660" t="str">
        <f>IFERROR(_xlfn.XLOOKUP(A660,'2025 EOY'!A:A,'2025 EOY'!B:B),"No")</f>
        <v>No</v>
      </c>
    </row>
    <row r="661" spans="1:21" x14ac:dyDescent="0.35">
      <c r="A661" s="37"/>
      <c r="B661" s="12">
        <v>45748</v>
      </c>
      <c r="C661" s="10" t="s">
        <v>15</v>
      </c>
      <c r="D661" s="4" t="s">
        <v>268</v>
      </c>
      <c r="F661" s="173">
        <v>45808</v>
      </c>
      <c r="G661" s="172">
        <v>45808</v>
      </c>
      <c r="H661" s="15">
        <v>0.9</v>
      </c>
      <c r="I661" s="191">
        <v>0.14121300000000001</v>
      </c>
      <c r="J661" s="9">
        <v>0</v>
      </c>
      <c r="K661">
        <v>0</v>
      </c>
      <c r="L661" s="14" t="s">
        <v>65</v>
      </c>
      <c r="M661" s="8" t="s">
        <v>131</v>
      </c>
      <c r="N661">
        <v>0</v>
      </c>
      <c r="O661" s="38" t="s">
        <v>11</v>
      </c>
      <c r="P661" s="38" t="s">
        <v>16</v>
      </c>
      <c r="Q661">
        <v>2025</v>
      </c>
      <c r="R661" t="s">
        <v>129</v>
      </c>
      <c r="S661" t="s">
        <v>14</v>
      </c>
      <c r="T661" t="s">
        <v>848</v>
      </c>
      <c r="U661" t="str">
        <f>IFERROR(_xlfn.XLOOKUP(A661,'2025 EOY'!A:A,'2025 EOY'!B:B),"No")</f>
        <v>No</v>
      </c>
    </row>
    <row r="662" spans="1:21" x14ac:dyDescent="0.35">
      <c r="A662" s="29"/>
      <c r="B662" s="176">
        <v>45748</v>
      </c>
      <c r="C662" s="94" t="s">
        <v>36</v>
      </c>
      <c r="D662" s="30" t="s">
        <v>268</v>
      </c>
      <c r="E662" s="257"/>
      <c r="F662" s="32">
        <v>45777</v>
      </c>
      <c r="G662" s="32">
        <v>45777</v>
      </c>
      <c r="H662" s="208">
        <v>185</v>
      </c>
      <c r="I662" s="204">
        <v>185</v>
      </c>
      <c r="J662" s="33">
        <v>0</v>
      </c>
      <c r="K662" s="34">
        <v>0</v>
      </c>
      <c r="L662" s="14" t="s">
        <v>64</v>
      </c>
      <c r="M662" s="35" t="s">
        <v>131</v>
      </c>
      <c r="N662" s="34">
        <v>0</v>
      </c>
      <c r="O662" s="36" t="s">
        <v>29</v>
      </c>
      <c r="P662" s="38" t="s">
        <v>29</v>
      </c>
      <c r="Q662">
        <v>2025</v>
      </c>
      <c r="R662" t="s">
        <v>129</v>
      </c>
      <c r="S662" t="s">
        <v>14</v>
      </c>
      <c r="T662" t="s">
        <v>849</v>
      </c>
      <c r="U662" t="str">
        <f>IFERROR(_xlfn.XLOOKUP(A662,'2025 EOY'!A:A,'2025 EOY'!B:B),"No")</f>
        <v>No</v>
      </c>
    </row>
    <row r="663" spans="1:21" x14ac:dyDescent="0.35">
      <c r="A663" s="37" t="s">
        <v>127</v>
      </c>
      <c r="B663" s="12">
        <v>45747</v>
      </c>
      <c r="C663" s="10" t="s">
        <v>15</v>
      </c>
      <c r="D663" s="4" t="s">
        <v>128</v>
      </c>
      <c r="E663" s="253">
        <v>-279</v>
      </c>
      <c r="F663" s="173">
        <v>45747</v>
      </c>
      <c r="G663" s="172">
        <v>45747</v>
      </c>
      <c r="H663" s="15">
        <v>1.1299999999999999</v>
      </c>
      <c r="I663" s="191">
        <v>1.1299999999999999</v>
      </c>
      <c r="J663" s="9">
        <v>0</v>
      </c>
      <c r="K663">
        <v>-315.27</v>
      </c>
      <c r="L663" s="14" t="s">
        <v>63</v>
      </c>
      <c r="M663" s="8" t="s">
        <v>129</v>
      </c>
      <c r="N663">
        <v>-315.27</v>
      </c>
      <c r="O663" s="38" t="s">
        <v>11</v>
      </c>
      <c r="P663" s="38" t="s">
        <v>16</v>
      </c>
      <c r="Q663">
        <v>2025</v>
      </c>
      <c r="R663" t="s">
        <v>129</v>
      </c>
      <c r="S663" t="s">
        <v>14</v>
      </c>
      <c r="T663" t="s">
        <v>850</v>
      </c>
      <c r="U663" t="str">
        <f>IFERROR(_xlfn.XLOOKUP(A663,'2025 EOY'!A:A,'2025 EOY'!B:B),"No")</f>
        <v>No</v>
      </c>
    </row>
    <row r="664" spans="1:21" x14ac:dyDescent="0.35">
      <c r="A664" s="37" t="s">
        <v>127</v>
      </c>
      <c r="B664" s="174">
        <v>45749</v>
      </c>
      <c r="C664" s="47" t="s">
        <v>25</v>
      </c>
      <c r="D664" t="s">
        <v>128</v>
      </c>
      <c r="E664" s="253">
        <v>1000</v>
      </c>
      <c r="F664" s="173">
        <v>45808</v>
      </c>
      <c r="G664" s="172">
        <v>45838</v>
      </c>
      <c r="H664" s="100">
        <v>0.5</v>
      </c>
      <c r="I664" s="192">
        <v>0.67</v>
      </c>
      <c r="J664" s="9">
        <v>170.00000000000003</v>
      </c>
      <c r="K664">
        <v>500</v>
      </c>
      <c r="L664" s="14" t="s">
        <v>58</v>
      </c>
      <c r="M664" s="8" t="s">
        <v>131</v>
      </c>
      <c r="N664">
        <v>670</v>
      </c>
      <c r="O664" s="38" t="s">
        <v>4</v>
      </c>
      <c r="P664" s="38" t="s">
        <v>3</v>
      </c>
      <c r="Q664">
        <v>2025</v>
      </c>
      <c r="R664" t="s">
        <v>131</v>
      </c>
      <c r="S664" t="s">
        <v>14</v>
      </c>
      <c r="T664" t="s">
        <v>851</v>
      </c>
      <c r="U664" t="str">
        <f>IFERROR(_xlfn.XLOOKUP(A664,'2025 EOY'!A:A,'2025 EOY'!B:B),"No")</f>
        <v>No</v>
      </c>
    </row>
    <row r="665" spans="1:21" x14ac:dyDescent="0.35">
      <c r="A665" s="37" t="s">
        <v>127</v>
      </c>
      <c r="B665" s="174">
        <v>45749</v>
      </c>
      <c r="C665" s="47" t="s">
        <v>25</v>
      </c>
      <c r="D665" t="s">
        <v>128</v>
      </c>
      <c r="E665" s="253">
        <v>-1000</v>
      </c>
      <c r="F665" s="173">
        <v>45838</v>
      </c>
      <c r="G665" s="172">
        <v>45869</v>
      </c>
      <c r="H665" s="100">
        <v>0.63</v>
      </c>
      <c r="I665" s="192">
        <v>0.55000000000000004</v>
      </c>
      <c r="J665" s="9">
        <v>79.999999999999957</v>
      </c>
      <c r="K665">
        <v>-630</v>
      </c>
      <c r="L665" s="14" t="s">
        <v>74</v>
      </c>
      <c r="M665" s="8" t="s">
        <v>129</v>
      </c>
      <c r="N665">
        <v>-550</v>
      </c>
      <c r="O665" s="38" t="s">
        <v>4</v>
      </c>
      <c r="P665" s="38" t="s">
        <v>3</v>
      </c>
      <c r="Q665">
        <v>2025</v>
      </c>
      <c r="R665" t="s">
        <v>129</v>
      </c>
      <c r="S665" t="s">
        <v>14</v>
      </c>
      <c r="T665" t="s">
        <v>852</v>
      </c>
      <c r="U665" t="str">
        <f>IFERROR(_xlfn.XLOOKUP(A665,'2025 EOY'!A:A,'2025 EOY'!B:B),"No")</f>
        <v>No</v>
      </c>
    </row>
    <row r="666" spans="1:21" x14ac:dyDescent="0.35">
      <c r="A666" s="37" t="s">
        <v>127</v>
      </c>
      <c r="B666" s="12">
        <v>45750</v>
      </c>
      <c r="C666" s="10" t="s">
        <v>7</v>
      </c>
      <c r="D666" s="4" t="s">
        <v>128</v>
      </c>
      <c r="E666" s="253">
        <v>500</v>
      </c>
      <c r="F666" s="172">
        <v>45838</v>
      </c>
      <c r="G666" s="172">
        <v>45869</v>
      </c>
      <c r="H666" s="15">
        <v>0.75</v>
      </c>
      <c r="I666" s="192">
        <v>2.06</v>
      </c>
      <c r="J666" s="9">
        <v>655</v>
      </c>
      <c r="K666">
        <v>375</v>
      </c>
      <c r="L666" s="14" t="s">
        <v>74</v>
      </c>
      <c r="M666" s="8" t="s">
        <v>131</v>
      </c>
      <c r="N666">
        <v>1030</v>
      </c>
      <c r="O666" s="38" t="s">
        <v>4</v>
      </c>
      <c r="P666" s="38" t="s">
        <v>7</v>
      </c>
      <c r="Q666">
        <v>2025</v>
      </c>
      <c r="R666" t="s">
        <v>131</v>
      </c>
      <c r="S666" t="s">
        <v>14</v>
      </c>
      <c r="T666" t="s">
        <v>853</v>
      </c>
      <c r="U666" t="str">
        <f>IFERROR(_xlfn.XLOOKUP(A666,'2025 EOY'!A:A,'2025 EOY'!B:B),"No")</f>
        <v>No</v>
      </c>
    </row>
    <row r="667" spans="1:21" x14ac:dyDescent="0.35">
      <c r="A667" s="37" t="s">
        <v>127</v>
      </c>
      <c r="B667" s="12">
        <v>45750</v>
      </c>
      <c r="C667" s="10" t="s">
        <v>7</v>
      </c>
      <c r="D667" s="4" t="s">
        <v>128</v>
      </c>
      <c r="E667" s="253">
        <v>500</v>
      </c>
      <c r="F667" s="172">
        <v>45838</v>
      </c>
      <c r="G667" s="172">
        <v>45869</v>
      </c>
      <c r="H667" s="15">
        <v>0.74</v>
      </c>
      <c r="I667" s="192">
        <v>2.06</v>
      </c>
      <c r="J667" s="9">
        <v>660</v>
      </c>
      <c r="K667">
        <v>370</v>
      </c>
      <c r="L667" s="14" t="s">
        <v>74</v>
      </c>
      <c r="M667" s="8" t="s">
        <v>131</v>
      </c>
      <c r="N667">
        <v>1030</v>
      </c>
      <c r="O667" s="38" t="s">
        <v>4</v>
      </c>
      <c r="P667" s="38" t="s">
        <v>7</v>
      </c>
      <c r="Q667">
        <v>2025</v>
      </c>
      <c r="R667" t="s">
        <v>131</v>
      </c>
      <c r="S667" t="s">
        <v>14</v>
      </c>
      <c r="T667" t="s">
        <v>854</v>
      </c>
      <c r="U667" t="str">
        <f>IFERROR(_xlfn.XLOOKUP(A667,'2025 EOY'!A:A,'2025 EOY'!B:B),"No")</f>
        <v>No</v>
      </c>
    </row>
    <row r="668" spans="1:21" x14ac:dyDescent="0.35">
      <c r="A668" s="37" t="s">
        <v>127</v>
      </c>
      <c r="B668" s="12">
        <v>45750</v>
      </c>
      <c r="C668" s="10" t="s">
        <v>7</v>
      </c>
      <c r="D668" s="4" t="s">
        <v>128</v>
      </c>
      <c r="E668" s="253">
        <v>500</v>
      </c>
      <c r="F668" s="172">
        <v>45838</v>
      </c>
      <c r="G668" s="172">
        <v>45869</v>
      </c>
      <c r="H668" s="15">
        <v>0.73</v>
      </c>
      <c r="I668" s="192">
        <v>2.06</v>
      </c>
      <c r="J668" s="9">
        <v>665</v>
      </c>
      <c r="K668">
        <v>365</v>
      </c>
      <c r="L668" s="14" t="s">
        <v>74</v>
      </c>
      <c r="M668" s="8" t="s">
        <v>131</v>
      </c>
      <c r="N668">
        <v>1030</v>
      </c>
      <c r="O668" s="38" t="s">
        <v>4</v>
      </c>
      <c r="P668" s="38" t="s">
        <v>7</v>
      </c>
      <c r="Q668">
        <v>2025</v>
      </c>
      <c r="R668" t="s">
        <v>131</v>
      </c>
      <c r="S668" t="s">
        <v>14</v>
      </c>
      <c r="T668" t="s">
        <v>855</v>
      </c>
      <c r="U668" t="str">
        <f>IFERROR(_xlfn.XLOOKUP(A668,'2025 EOY'!A:A,'2025 EOY'!B:B),"No")</f>
        <v>No</v>
      </c>
    </row>
    <row r="669" spans="1:21" x14ac:dyDescent="0.35">
      <c r="A669" s="37" t="s">
        <v>127</v>
      </c>
      <c r="B669" s="12">
        <v>45750</v>
      </c>
      <c r="C669" s="10" t="s">
        <v>7</v>
      </c>
      <c r="D669" s="4" t="s">
        <v>128</v>
      </c>
      <c r="E669" s="253">
        <v>500</v>
      </c>
      <c r="F669" s="172">
        <v>45838</v>
      </c>
      <c r="G669" s="172">
        <v>45869</v>
      </c>
      <c r="H669" s="15">
        <v>0.72</v>
      </c>
      <c r="I669" s="192">
        <v>2.06</v>
      </c>
      <c r="J669" s="9">
        <v>670</v>
      </c>
      <c r="K669">
        <v>360</v>
      </c>
      <c r="L669" s="14" t="s">
        <v>74</v>
      </c>
      <c r="M669" s="8" t="s">
        <v>131</v>
      </c>
      <c r="N669">
        <v>1030</v>
      </c>
      <c r="O669" s="38" t="s">
        <v>4</v>
      </c>
      <c r="P669" s="38" t="s">
        <v>7</v>
      </c>
      <c r="Q669">
        <v>2025</v>
      </c>
      <c r="R669" t="s">
        <v>131</v>
      </c>
      <c r="S669" t="s">
        <v>14</v>
      </c>
      <c r="T669" t="s">
        <v>856</v>
      </c>
      <c r="U669" t="str">
        <f>IFERROR(_xlfn.XLOOKUP(A669,'2025 EOY'!A:A,'2025 EOY'!B:B),"No")</f>
        <v>No</v>
      </c>
    </row>
    <row r="670" spans="1:21" x14ac:dyDescent="0.35">
      <c r="A670" s="37" t="s">
        <v>127</v>
      </c>
      <c r="B670" s="12">
        <v>45750</v>
      </c>
      <c r="C670" s="10" t="s">
        <v>7</v>
      </c>
      <c r="D670" s="4" t="s">
        <v>128</v>
      </c>
      <c r="E670" s="253">
        <v>500</v>
      </c>
      <c r="F670" s="172">
        <v>45838</v>
      </c>
      <c r="G670" s="172">
        <v>45869</v>
      </c>
      <c r="H670" s="15">
        <v>0.71</v>
      </c>
      <c r="I670" s="192">
        <v>2.06</v>
      </c>
      <c r="J670" s="9">
        <v>675</v>
      </c>
      <c r="K670">
        <v>355</v>
      </c>
      <c r="L670" s="14" t="s">
        <v>74</v>
      </c>
      <c r="M670" s="8" t="s">
        <v>131</v>
      </c>
      <c r="N670">
        <v>1030</v>
      </c>
      <c r="O670" s="38" t="s">
        <v>4</v>
      </c>
      <c r="P670" s="38" t="s">
        <v>7</v>
      </c>
      <c r="Q670">
        <v>2025</v>
      </c>
      <c r="R670" t="s">
        <v>131</v>
      </c>
      <c r="S670" t="s">
        <v>14</v>
      </c>
      <c r="T670" t="s">
        <v>857</v>
      </c>
      <c r="U670" t="str">
        <f>IFERROR(_xlfn.XLOOKUP(A670,'2025 EOY'!A:A,'2025 EOY'!B:B),"No")</f>
        <v>No</v>
      </c>
    </row>
    <row r="671" spans="1:21" x14ac:dyDescent="0.35">
      <c r="A671" s="37" t="s">
        <v>127</v>
      </c>
      <c r="B671" s="12">
        <v>45750</v>
      </c>
      <c r="C671" s="10" t="s">
        <v>7</v>
      </c>
      <c r="D671" s="4" t="s">
        <v>128</v>
      </c>
      <c r="E671" s="253">
        <v>500</v>
      </c>
      <c r="F671" s="172">
        <v>45838</v>
      </c>
      <c r="G671" s="172">
        <v>45869</v>
      </c>
      <c r="H671" s="15">
        <v>0.7</v>
      </c>
      <c r="I671" s="192">
        <v>2.06</v>
      </c>
      <c r="J671" s="9">
        <v>680</v>
      </c>
      <c r="K671">
        <v>350</v>
      </c>
      <c r="L671" s="14" t="s">
        <v>74</v>
      </c>
      <c r="M671" s="8" t="s">
        <v>131</v>
      </c>
      <c r="N671">
        <v>1030</v>
      </c>
      <c r="O671" s="38" t="s">
        <v>4</v>
      </c>
      <c r="P671" s="38" t="s">
        <v>7</v>
      </c>
      <c r="Q671">
        <v>2025</v>
      </c>
      <c r="R671" t="s">
        <v>131</v>
      </c>
      <c r="S671" t="s">
        <v>14</v>
      </c>
      <c r="T671" t="s">
        <v>858</v>
      </c>
      <c r="U671" t="str">
        <f>IFERROR(_xlfn.XLOOKUP(A671,'2025 EOY'!A:A,'2025 EOY'!B:B),"No")</f>
        <v>No</v>
      </c>
    </row>
    <row r="672" spans="1:21" x14ac:dyDescent="0.35">
      <c r="A672" s="37" t="s">
        <v>859</v>
      </c>
      <c r="B672" s="12">
        <v>45750</v>
      </c>
      <c r="C672" s="10" t="s">
        <v>15</v>
      </c>
      <c r="D672" s="4" t="s">
        <v>128</v>
      </c>
      <c r="E672" s="253">
        <v>-100</v>
      </c>
      <c r="F672" s="173">
        <v>45808</v>
      </c>
      <c r="G672" s="172">
        <v>45808</v>
      </c>
      <c r="H672" s="15">
        <v>1</v>
      </c>
      <c r="I672" s="191">
        <v>0.14121300000000001</v>
      </c>
      <c r="J672" s="9">
        <v>85.878699999999995</v>
      </c>
      <c r="K672">
        <v>-100</v>
      </c>
      <c r="L672" s="14" t="s">
        <v>65</v>
      </c>
      <c r="M672" s="8" t="s">
        <v>129</v>
      </c>
      <c r="N672">
        <v>-14.1213</v>
      </c>
      <c r="O672" s="38" t="s">
        <v>11</v>
      </c>
      <c r="P672" s="38" t="s">
        <v>16</v>
      </c>
      <c r="Q672">
        <v>2025</v>
      </c>
      <c r="R672" t="s">
        <v>129</v>
      </c>
      <c r="S672" t="s">
        <v>14</v>
      </c>
      <c r="T672" t="s">
        <v>860</v>
      </c>
      <c r="U672" t="str">
        <f>IFERROR(_xlfn.XLOOKUP(A672,'2025 EOY'!A:A,'2025 EOY'!B:B),"No")</f>
        <v>No</v>
      </c>
    </row>
    <row r="673" spans="1:21" x14ac:dyDescent="0.35">
      <c r="A673" s="37" t="s">
        <v>859</v>
      </c>
      <c r="B673" s="12">
        <v>45751</v>
      </c>
      <c r="C673" s="10" t="s">
        <v>19</v>
      </c>
      <c r="D673" s="10" t="s">
        <v>268</v>
      </c>
      <c r="E673" s="259">
        <v>2054</v>
      </c>
      <c r="F673" s="172">
        <v>45777</v>
      </c>
      <c r="G673" s="172">
        <v>45777</v>
      </c>
      <c r="H673" s="15">
        <v>2.8180579322033896</v>
      </c>
      <c r="I673" s="201">
        <v>2.54</v>
      </c>
      <c r="J673" s="9">
        <v>-571.13099274576223</v>
      </c>
      <c r="K673">
        <v>5833.36</v>
      </c>
      <c r="L673" s="14" t="s">
        <v>64</v>
      </c>
      <c r="M673" s="8" t="s">
        <v>131</v>
      </c>
      <c r="N673">
        <v>5217.16</v>
      </c>
      <c r="O673" s="38" t="s">
        <v>19</v>
      </c>
      <c r="P673" s="38" t="s">
        <v>19</v>
      </c>
      <c r="Q673">
        <v>2025</v>
      </c>
      <c r="R673" t="s">
        <v>131</v>
      </c>
      <c r="S673" t="s">
        <v>96</v>
      </c>
      <c r="T673" t="s">
        <v>861</v>
      </c>
      <c r="U673" t="str">
        <f>IFERROR(_xlfn.XLOOKUP(A673,'2025 EOY'!A:A,'2025 EOY'!B:B),"No")</f>
        <v>No</v>
      </c>
    </row>
    <row r="674" spans="1:21" x14ac:dyDescent="0.35">
      <c r="A674" s="37" t="s">
        <v>859</v>
      </c>
      <c r="B674" s="12">
        <v>45751</v>
      </c>
      <c r="C674" s="10" t="s">
        <v>3</v>
      </c>
      <c r="D674" s="4" t="s">
        <v>268</v>
      </c>
      <c r="E674" s="253">
        <v>-2065</v>
      </c>
      <c r="F674" s="172">
        <v>45808</v>
      </c>
      <c r="G674" s="172">
        <v>45838</v>
      </c>
      <c r="H674" s="15">
        <v>0.48</v>
      </c>
      <c r="I674" s="192">
        <v>0.67</v>
      </c>
      <c r="J674" s="9">
        <v>-392.35000000000014</v>
      </c>
      <c r="K674">
        <v>-991.19999999999993</v>
      </c>
      <c r="L674" s="14" t="s">
        <v>58</v>
      </c>
      <c r="M674" s="8" t="s">
        <v>129</v>
      </c>
      <c r="N674">
        <v>-1383.5500000000002</v>
      </c>
      <c r="O674" s="38" t="s">
        <v>4</v>
      </c>
      <c r="P674" s="38" t="s">
        <v>3</v>
      </c>
      <c r="Q674">
        <v>2025</v>
      </c>
      <c r="R674" t="s">
        <v>129</v>
      </c>
      <c r="S674" t="s">
        <v>14</v>
      </c>
      <c r="T674" t="s">
        <v>862</v>
      </c>
      <c r="U674" t="str">
        <f>IFERROR(_xlfn.XLOOKUP(A674,'2025 EOY'!A:A,'2025 EOY'!B:B),"No")</f>
        <v>No</v>
      </c>
    </row>
    <row r="675" spans="1:21" x14ac:dyDescent="0.35">
      <c r="A675" s="37" t="s">
        <v>859</v>
      </c>
      <c r="B675" s="12">
        <v>45751</v>
      </c>
      <c r="C675" s="10" t="s">
        <v>3</v>
      </c>
      <c r="D675" s="4" t="s">
        <v>268</v>
      </c>
      <c r="E675" s="253">
        <v>-2054</v>
      </c>
      <c r="F675" s="172">
        <v>45838</v>
      </c>
      <c r="G675" s="172">
        <v>45869</v>
      </c>
      <c r="H675" s="15">
        <v>0.55000000000000004</v>
      </c>
      <c r="I675" s="192">
        <v>0.55000000000000004</v>
      </c>
      <c r="J675" s="9">
        <v>0</v>
      </c>
      <c r="K675">
        <v>-1129.7</v>
      </c>
      <c r="L675" s="14" t="s">
        <v>74</v>
      </c>
      <c r="M675" s="8" t="s">
        <v>129</v>
      </c>
      <c r="N675">
        <v>-1129.7</v>
      </c>
      <c r="O675" s="38" t="s">
        <v>4</v>
      </c>
      <c r="P675" s="38" t="s">
        <v>3</v>
      </c>
      <c r="Q675">
        <v>2025</v>
      </c>
      <c r="R675" t="s">
        <v>129</v>
      </c>
      <c r="S675" t="s">
        <v>14</v>
      </c>
      <c r="T675" t="s">
        <v>863</v>
      </c>
      <c r="U675" t="str">
        <f>IFERROR(_xlfn.XLOOKUP(A675,'2025 EOY'!A:A,'2025 EOY'!B:B),"No")</f>
        <v>No</v>
      </c>
    </row>
    <row r="676" spans="1:21" x14ac:dyDescent="0.35">
      <c r="A676" s="37" t="s">
        <v>859</v>
      </c>
      <c r="B676" s="12">
        <v>45751</v>
      </c>
      <c r="C676" s="10" t="s">
        <v>10</v>
      </c>
      <c r="D676" s="4" t="s">
        <v>268</v>
      </c>
      <c r="E676" s="253">
        <v>-2054</v>
      </c>
      <c r="F676" s="172">
        <v>45869</v>
      </c>
      <c r="G676" s="172">
        <v>45869</v>
      </c>
      <c r="H676" s="15">
        <v>-3.5</v>
      </c>
      <c r="I676" s="192">
        <v>-3.11</v>
      </c>
      <c r="J676" s="9">
        <v>-801.06000000000029</v>
      </c>
      <c r="K676">
        <v>7189</v>
      </c>
      <c r="L676" s="14" t="s">
        <v>75</v>
      </c>
      <c r="M676" s="8" t="s">
        <v>129</v>
      </c>
      <c r="N676">
        <v>6387.94</v>
      </c>
      <c r="O676" s="38" t="s">
        <v>11</v>
      </c>
      <c r="P676" s="38" t="s">
        <v>10</v>
      </c>
      <c r="Q676">
        <v>2025</v>
      </c>
      <c r="R676" t="s">
        <v>129</v>
      </c>
      <c r="S676" t="s">
        <v>14</v>
      </c>
      <c r="T676" t="s">
        <v>864</v>
      </c>
      <c r="U676" t="str">
        <f>IFERROR(_xlfn.XLOOKUP(A676,'2025 EOY'!A:A,'2025 EOY'!B:B),"No")</f>
        <v>No</v>
      </c>
    </row>
    <row r="677" spans="1:21" x14ac:dyDescent="0.35">
      <c r="A677" s="37" t="s">
        <v>859</v>
      </c>
      <c r="B677" s="12">
        <v>45751</v>
      </c>
      <c r="C677" s="10" t="s">
        <v>15</v>
      </c>
      <c r="D677" s="4" t="s">
        <v>268</v>
      </c>
      <c r="E677" s="253">
        <v>2054</v>
      </c>
      <c r="F677" s="173">
        <v>45808</v>
      </c>
      <c r="G677" s="172">
        <v>45808</v>
      </c>
      <c r="H677" s="15">
        <v>1.04</v>
      </c>
      <c r="I677" s="191">
        <v>0.14121300000000001</v>
      </c>
      <c r="J677" s="9">
        <v>-1846.1084980000001</v>
      </c>
      <c r="K677">
        <v>2136.16</v>
      </c>
      <c r="L677" s="14" t="s">
        <v>65</v>
      </c>
      <c r="M677" s="8" t="s">
        <v>131</v>
      </c>
      <c r="N677">
        <v>290.05150200000003</v>
      </c>
      <c r="O677" s="38" t="s">
        <v>11</v>
      </c>
      <c r="P677" s="38" t="s">
        <v>16</v>
      </c>
      <c r="Q677">
        <v>2025</v>
      </c>
      <c r="R677" t="s">
        <v>131</v>
      </c>
      <c r="S677" t="s">
        <v>14</v>
      </c>
      <c r="T677" t="s">
        <v>865</v>
      </c>
      <c r="U677" t="str">
        <f>IFERROR(_xlfn.XLOOKUP(A677,'2025 EOY'!A:A,'2025 EOY'!B:B),"No")</f>
        <v>No</v>
      </c>
    </row>
    <row r="678" spans="1:21" x14ac:dyDescent="0.35">
      <c r="A678" s="37" t="s">
        <v>859</v>
      </c>
      <c r="B678" s="186">
        <v>45751</v>
      </c>
      <c r="C678" s="10" t="s">
        <v>3</v>
      </c>
      <c r="D678" s="4" t="s">
        <v>128</v>
      </c>
      <c r="E678" s="253">
        <v>500</v>
      </c>
      <c r="F678" s="172">
        <v>45808</v>
      </c>
      <c r="G678" s="172">
        <v>45838</v>
      </c>
      <c r="H678" s="15">
        <v>0.34</v>
      </c>
      <c r="I678" s="192">
        <v>0.67</v>
      </c>
      <c r="J678" s="9">
        <v>165</v>
      </c>
      <c r="K678">
        <v>170</v>
      </c>
      <c r="L678" s="14" t="s">
        <v>58</v>
      </c>
      <c r="M678" s="8" t="s">
        <v>131</v>
      </c>
      <c r="N678">
        <v>335</v>
      </c>
      <c r="O678" s="38" t="s">
        <v>4</v>
      </c>
      <c r="P678" s="38" t="s">
        <v>3</v>
      </c>
      <c r="Q678">
        <v>2025</v>
      </c>
      <c r="R678" t="s">
        <v>131</v>
      </c>
      <c r="S678" t="s">
        <v>14</v>
      </c>
      <c r="T678" t="s">
        <v>866</v>
      </c>
      <c r="U678" t="str">
        <f>IFERROR(_xlfn.XLOOKUP(A678,'2025 EOY'!A:A,'2025 EOY'!B:B),"No")</f>
        <v>No</v>
      </c>
    </row>
    <row r="679" spans="1:21" x14ac:dyDescent="0.35">
      <c r="A679" s="37" t="s">
        <v>859</v>
      </c>
      <c r="B679" s="12">
        <v>45751</v>
      </c>
      <c r="C679" s="10" t="s">
        <v>3</v>
      </c>
      <c r="D679" s="4" t="s">
        <v>128</v>
      </c>
      <c r="E679" s="253">
        <v>500</v>
      </c>
      <c r="F679" s="172">
        <v>45808</v>
      </c>
      <c r="G679" s="172">
        <v>45838</v>
      </c>
      <c r="H679" s="15">
        <v>0.33</v>
      </c>
      <c r="I679" s="192">
        <v>0.67</v>
      </c>
      <c r="J679" s="9">
        <v>170</v>
      </c>
      <c r="K679">
        <v>165</v>
      </c>
      <c r="L679" s="14" t="s">
        <v>58</v>
      </c>
      <c r="M679" s="8" t="s">
        <v>131</v>
      </c>
      <c r="N679">
        <v>335</v>
      </c>
      <c r="O679" s="38" t="s">
        <v>4</v>
      </c>
      <c r="P679" s="38" t="s">
        <v>3</v>
      </c>
      <c r="Q679">
        <v>2025</v>
      </c>
      <c r="R679" t="s">
        <v>131</v>
      </c>
      <c r="S679" t="s">
        <v>14</v>
      </c>
      <c r="T679" t="s">
        <v>867</v>
      </c>
      <c r="U679" t="str">
        <f>IFERROR(_xlfn.XLOOKUP(A679,'2025 EOY'!A:A,'2025 EOY'!B:B),"No")</f>
        <v>No</v>
      </c>
    </row>
    <row r="680" spans="1:21" x14ac:dyDescent="0.35">
      <c r="A680" s="37" t="s">
        <v>859</v>
      </c>
      <c r="B680" s="12">
        <v>45751</v>
      </c>
      <c r="C680" s="10" t="s">
        <v>3</v>
      </c>
      <c r="D680" s="4" t="s">
        <v>128</v>
      </c>
      <c r="E680" s="253">
        <v>1302</v>
      </c>
      <c r="F680" s="172">
        <v>45808</v>
      </c>
      <c r="G680" s="172">
        <v>45838</v>
      </c>
      <c r="H680" s="15">
        <v>0.32</v>
      </c>
      <c r="I680" s="192">
        <v>0.67</v>
      </c>
      <c r="J680" s="9">
        <v>455.70000000000005</v>
      </c>
      <c r="K680">
        <v>416.64</v>
      </c>
      <c r="L680" s="14" t="s">
        <v>58</v>
      </c>
      <c r="M680" s="8" t="s">
        <v>131</v>
      </c>
      <c r="N680">
        <v>872.34</v>
      </c>
      <c r="O680" s="38" t="s">
        <v>4</v>
      </c>
      <c r="P680" s="38" t="s">
        <v>3</v>
      </c>
      <c r="Q680">
        <v>2025</v>
      </c>
      <c r="R680" t="s">
        <v>131</v>
      </c>
      <c r="S680" t="s">
        <v>14</v>
      </c>
      <c r="T680" t="s">
        <v>868</v>
      </c>
      <c r="U680" t="str">
        <f>IFERROR(_xlfn.XLOOKUP(A680,'2025 EOY'!A:A,'2025 EOY'!B:B),"No")</f>
        <v>No</v>
      </c>
    </row>
    <row r="681" spans="1:21" x14ac:dyDescent="0.35">
      <c r="A681" s="37" t="s">
        <v>859</v>
      </c>
      <c r="B681" s="12">
        <v>45751</v>
      </c>
      <c r="C681" s="10" t="s">
        <v>3</v>
      </c>
      <c r="D681" s="4" t="s">
        <v>128</v>
      </c>
      <c r="E681" s="253">
        <v>450</v>
      </c>
      <c r="F681" s="172">
        <v>45808</v>
      </c>
      <c r="G681" s="172">
        <v>45838</v>
      </c>
      <c r="H681" s="15">
        <v>0.32</v>
      </c>
      <c r="I681" s="192">
        <v>0.67</v>
      </c>
      <c r="J681" s="9">
        <v>157.50000000000003</v>
      </c>
      <c r="K681">
        <v>144</v>
      </c>
      <c r="L681" s="14" t="s">
        <v>58</v>
      </c>
      <c r="M681" s="8" t="s">
        <v>131</v>
      </c>
      <c r="N681">
        <v>301.5</v>
      </c>
      <c r="O681" s="38" t="s">
        <v>4</v>
      </c>
      <c r="P681" s="38" t="s">
        <v>3</v>
      </c>
      <c r="Q681">
        <v>2025</v>
      </c>
      <c r="R681" t="s">
        <v>131</v>
      </c>
      <c r="S681" t="s">
        <v>14</v>
      </c>
      <c r="T681" t="s">
        <v>869</v>
      </c>
      <c r="U681" t="str">
        <f>IFERROR(_xlfn.XLOOKUP(A681,'2025 EOY'!A:A,'2025 EOY'!B:B),"No")</f>
        <v>No</v>
      </c>
    </row>
    <row r="682" spans="1:21" x14ac:dyDescent="0.35">
      <c r="A682" s="37" t="s">
        <v>859</v>
      </c>
      <c r="B682" s="12">
        <v>45751</v>
      </c>
      <c r="C682" s="10" t="s">
        <v>15</v>
      </c>
      <c r="D682" s="4" t="s">
        <v>128</v>
      </c>
      <c r="E682" s="253">
        <v>-2000</v>
      </c>
      <c r="F682" s="173">
        <v>45808</v>
      </c>
      <c r="G682" s="172">
        <v>45808</v>
      </c>
      <c r="H682" s="15">
        <v>0.83</v>
      </c>
      <c r="I682" s="205">
        <v>0.14121300000000001</v>
      </c>
      <c r="J682" s="9">
        <v>1377.5739999999998</v>
      </c>
      <c r="K682">
        <v>-1660</v>
      </c>
      <c r="L682" s="14" t="s">
        <v>65</v>
      </c>
      <c r="M682" s="8" t="s">
        <v>129</v>
      </c>
      <c r="N682">
        <v>-282.42599999999999</v>
      </c>
      <c r="O682" s="38" t="s">
        <v>11</v>
      </c>
      <c r="P682" s="38" t="s">
        <v>16</v>
      </c>
      <c r="Q682">
        <v>2025</v>
      </c>
      <c r="R682" t="s">
        <v>129</v>
      </c>
      <c r="S682" t="s">
        <v>14</v>
      </c>
      <c r="T682" t="s">
        <v>870</v>
      </c>
      <c r="U682" t="str">
        <f>IFERROR(_xlfn.XLOOKUP(A682,'2025 EOY'!A:A,'2025 EOY'!B:B),"No")</f>
        <v>No</v>
      </c>
    </row>
    <row r="683" spans="1:21" x14ac:dyDescent="0.35">
      <c r="A683" s="37" t="s">
        <v>127</v>
      </c>
      <c r="B683" s="12">
        <v>45754</v>
      </c>
      <c r="C683" s="10" t="s">
        <v>3</v>
      </c>
      <c r="D683" s="4" t="s">
        <v>128</v>
      </c>
      <c r="E683" s="253">
        <v>1191</v>
      </c>
      <c r="F683" s="172">
        <v>45808</v>
      </c>
      <c r="G683" s="172">
        <v>45838</v>
      </c>
      <c r="H683" s="15">
        <v>0.32</v>
      </c>
      <c r="I683" s="192">
        <v>0.67</v>
      </c>
      <c r="J683" s="9">
        <v>416.85</v>
      </c>
      <c r="K683">
        <v>381.12</v>
      </c>
      <c r="L683" s="14" t="s">
        <v>58</v>
      </c>
      <c r="M683" s="8" t="s">
        <v>131</v>
      </c>
      <c r="N683">
        <v>797.97</v>
      </c>
      <c r="O683" s="38" t="s">
        <v>4</v>
      </c>
      <c r="P683" s="38" t="s">
        <v>3</v>
      </c>
      <c r="Q683">
        <v>2025</v>
      </c>
      <c r="R683" t="s">
        <v>131</v>
      </c>
      <c r="S683" t="s">
        <v>14</v>
      </c>
      <c r="T683" t="s">
        <v>871</v>
      </c>
      <c r="U683" t="str">
        <f>IFERROR(_xlfn.XLOOKUP(A683,'2025 EOY'!A:A,'2025 EOY'!B:B),"No")</f>
        <v>No</v>
      </c>
    </row>
    <row r="684" spans="1:21" x14ac:dyDescent="0.35">
      <c r="A684" s="37" t="s">
        <v>127</v>
      </c>
      <c r="B684" s="12">
        <v>45755</v>
      </c>
      <c r="C684" s="10" t="s">
        <v>3</v>
      </c>
      <c r="D684" s="4" t="s">
        <v>128</v>
      </c>
      <c r="E684" s="253">
        <v>1000</v>
      </c>
      <c r="F684" s="172">
        <v>45838</v>
      </c>
      <c r="G684" s="172">
        <v>45869</v>
      </c>
      <c r="H684" s="15">
        <v>0.32</v>
      </c>
      <c r="I684" s="192">
        <v>0.55000000000000004</v>
      </c>
      <c r="J684" s="9">
        <v>230.00000000000003</v>
      </c>
      <c r="K684">
        <v>320</v>
      </c>
      <c r="L684" s="14" t="s">
        <v>74</v>
      </c>
      <c r="M684" s="8" t="s">
        <v>131</v>
      </c>
      <c r="N684">
        <v>550</v>
      </c>
      <c r="O684" s="38" t="s">
        <v>4</v>
      </c>
      <c r="P684" s="38" t="s">
        <v>3</v>
      </c>
      <c r="Q684">
        <v>2025</v>
      </c>
      <c r="R684" t="s">
        <v>131</v>
      </c>
      <c r="S684" t="s">
        <v>14</v>
      </c>
      <c r="T684" t="s">
        <v>872</v>
      </c>
      <c r="U684" t="str">
        <f>IFERROR(_xlfn.XLOOKUP(A684,'2025 EOY'!A:A,'2025 EOY'!B:B),"No")</f>
        <v>No</v>
      </c>
    </row>
    <row r="685" spans="1:21" x14ac:dyDescent="0.35">
      <c r="A685" s="37" t="s">
        <v>127</v>
      </c>
      <c r="B685" s="12">
        <v>45755</v>
      </c>
      <c r="C685" s="10" t="s">
        <v>3</v>
      </c>
      <c r="D685" s="4" t="s">
        <v>128</v>
      </c>
      <c r="E685" s="253">
        <v>1000</v>
      </c>
      <c r="F685" s="172">
        <v>45869</v>
      </c>
      <c r="G685" s="172">
        <v>45900</v>
      </c>
      <c r="H685" s="15">
        <v>0.32</v>
      </c>
      <c r="I685" s="192">
        <v>1.64</v>
      </c>
      <c r="J685" s="9">
        <v>1319.9999999999998</v>
      </c>
      <c r="K685">
        <v>320</v>
      </c>
      <c r="L685" s="14" t="s">
        <v>76</v>
      </c>
      <c r="M685" s="8" t="s">
        <v>131</v>
      </c>
      <c r="N685">
        <v>1640</v>
      </c>
      <c r="O685" s="38" t="s">
        <v>4</v>
      </c>
      <c r="P685" s="38" t="s">
        <v>3</v>
      </c>
      <c r="Q685">
        <v>2025</v>
      </c>
      <c r="R685" t="s">
        <v>131</v>
      </c>
      <c r="S685" t="s">
        <v>14</v>
      </c>
      <c r="T685" t="s">
        <v>873</v>
      </c>
      <c r="U685" t="str">
        <f>IFERROR(_xlfn.XLOOKUP(A685,'2025 EOY'!A:A,'2025 EOY'!B:B),"No")</f>
        <v>No</v>
      </c>
    </row>
    <row r="686" spans="1:21" x14ac:dyDescent="0.35">
      <c r="A686" s="37" t="s">
        <v>127</v>
      </c>
      <c r="B686" s="12">
        <v>45755</v>
      </c>
      <c r="C686" s="10" t="s">
        <v>3</v>
      </c>
      <c r="D686" s="4" t="s">
        <v>128</v>
      </c>
      <c r="E686" s="253">
        <v>1000</v>
      </c>
      <c r="F686" s="172">
        <v>45900</v>
      </c>
      <c r="G686" s="172">
        <v>45930</v>
      </c>
      <c r="H686" s="15">
        <v>0.32</v>
      </c>
      <c r="I686" s="192">
        <v>1.25</v>
      </c>
      <c r="J686" s="9">
        <v>929.99999999999989</v>
      </c>
      <c r="K686">
        <v>320</v>
      </c>
      <c r="L686" s="14" t="s">
        <v>77</v>
      </c>
      <c r="M686" s="8" t="s">
        <v>131</v>
      </c>
      <c r="N686">
        <v>1250</v>
      </c>
      <c r="O686" s="38" t="s">
        <v>4</v>
      </c>
      <c r="P686" s="38" t="s">
        <v>3</v>
      </c>
      <c r="Q686">
        <v>2025</v>
      </c>
      <c r="R686" t="s">
        <v>131</v>
      </c>
      <c r="S686" t="s">
        <v>14</v>
      </c>
      <c r="T686" t="s">
        <v>874</v>
      </c>
      <c r="U686" t="str">
        <f>IFERROR(_xlfn.XLOOKUP(A686,'2025 EOY'!A:A,'2025 EOY'!B:B),"No")</f>
        <v>No</v>
      </c>
    </row>
    <row r="687" spans="1:21" x14ac:dyDescent="0.35">
      <c r="A687" s="37" t="s">
        <v>127</v>
      </c>
      <c r="B687" s="12">
        <v>45755</v>
      </c>
      <c r="C687" s="10" t="s">
        <v>3</v>
      </c>
      <c r="D687" s="4" t="s">
        <v>128</v>
      </c>
      <c r="E687" s="253">
        <v>1000</v>
      </c>
      <c r="F687" s="172">
        <v>45930</v>
      </c>
      <c r="G687" s="172">
        <v>45961</v>
      </c>
      <c r="H687" s="15">
        <v>0.32</v>
      </c>
      <c r="I687" s="192">
        <v>0.57999999999999996</v>
      </c>
      <c r="J687" s="9">
        <v>259.99999999999994</v>
      </c>
      <c r="K687">
        <v>320</v>
      </c>
      <c r="L687" s="14" t="s">
        <v>78</v>
      </c>
      <c r="M687" s="8" t="s">
        <v>131</v>
      </c>
      <c r="N687">
        <v>580</v>
      </c>
      <c r="O687" s="38" t="s">
        <v>4</v>
      </c>
      <c r="P687" s="38" t="s">
        <v>3</v>
      </c>
      <c r="Q687">
        <v>2025</v>
      </c>
      <c r="R687" t="s">
        <v>131</v>
      </c>
      <c r="S687" t="s">
        <v>14</v>
      </c>
      <c r="T687" t="s">
        <v>875</v>
      </c>
      <c r="U687" t="str">
        <f>IFERROR(_xlfn.XLOOKUP(A687,'2025 EOY'!A:A,'2025 EOY'!B:B),"No")</f>
        <v>No</v>
      </c>
    </row>
    <row r="688" spans="1:21" x14ac:dyDescent="0.35">
      <c r="A688" s="37" t="s">
        <v>127</v>
      </c>
      <c r="B688" s="12">
        <v>45755</v>
      </c>
      <c r="C688" s="10" t="s">
        <v>3</v>
      </c>
      <c r="D688" s="4" t="s">
        <v>128</v>
      </c>
      <c r="E688" s="253">
        <v>1000</v>
      </c>
      <c r="F688" s="172">
        <v>45961</v>
      </c>
      <c r="G688" s="172">
        <v>45991</v>
      </c>
      <c r="H688" s="15">
        <v>0.32</v>
      </c>
      <c r="I688" s="192">
        <v>0.28000000000000003</v>
      </c>
      <c r="J688" s="9">
        <v>-39.999999999999979</v>
      </c>
      <c r="K688">
        <v>320</v>
      </c>
      <c r="L688" s="14" t="s">
        <v>79</v>
      </c>
      <c r="M688" s="8" t="s">
        <v>131</v>
      </c>
      <c r="N688">
        <v>280</v>
      </c>
      <c r="O688" s="38" t="s">
        <v>4</v>
      </c>
      <c r="P688" s="38" t="s">
        <v>3</v>
      </c>
      <c r="Q688">
        <v>2025</v>
      </c>
      <c r="R688" t="s">
        <v>131</v>
      </c>
      <c r="S688" t="s">
        <v>14</v>
      </c>
      <c r="T688" t="s">
        <v>876</v>
      </c>
      <c r="U688" t="str">
        <f>IFERROR(_xlfn.XLOOKUP(A688,'2025 EOY'!A:A,'2025 EOY'!B:B),"No")</f>
        <v>No</v>
      </c>
    </row>
    <row r="689" spans="1:21" x14ac:dyDescent="0.35">
      <c r="A689" s="37" t="s">
        <v>127</v>
      </c>
      <c r="B689" s="12">
        <v>45755</v>
      </c>
      <c r="C689" s="10" t="s">
        <v>3</v>
      </c>
      <c r="D689" s="4" t="s">
        <v>128</v>
      </c>
      <c r="E689" s="253">
        <v>1000</v>
      </c>
      <c r="F689" s="172">
        <v>45991</v>
      </c>
      <c r="G689" s="172">
        <v>46022</v>
      </c>
      <c r="H689" s="15">
        <v>0.32</v>
      </c>
      <c r="I689" s="192">
        <v>0.5</v>
      </c>
      <c r="J689" s="9">
        <v>180</v>
      </c>
      <c r="K689">
        <v>320</v>
      </c>
      <c r="L689" s="14" t="s">
        <v>13</v>
      </c>
      <c r="M689" s="8" t="s">
        <v>131</v>
      </c>
      <c r="N689">
        <v>500</v>
      </c>
      <c r="O689" s="38" t="s">
        <v>4</v>
      </c>
      <c r="P689" s="38" t="s">
        <v>3</v>
      </c>
      <c r="Q689">
        <v>2025</v>
      </c>
      <c r="R689" t="s">
        <v>131</v>
      </c>
      <c r="S689" t="s">
        <v>14</v>
      </c>
      <c r="T689" t="s">
        <v>877</v>
      </c>
      <c r="U689" t="str">
        <f>IFERROR(_xlfn.XLOOKUP(A689,'2025 EOY'!A:A,'2025 EOY'!B:B),"No")</f>
        <v>No</v>
      </c>
    </row>
    <row r="690" spans="1:21" x14ac:dyDescent="0.35">
      <c r="A690" s="37" t="s">
        <v>127</v>
      </c>
      <c r="B690" s="12">
        <v>45755</v>
      </c>
      <c r="C690" s="10" t="s">
        <v>3</v>
      </c>
      <c r="D690" s="4" t="s">
        <v>128</v>
      </c>
      <c r="E690" s="253">
        <v>-1000</v>
      </c>
      <c r="F690" s="172">
        <v>45930</v>
      </c>
      <c r="G690" s="172">
        <v>45961</v>
      </c>
      <c r="H690" s="15">
        <v>0.13999999999999999</v>
      </c>
      <c r="I690" s="192">
        <v>0.57999999999999996</v>
      </c>
      <c r="J690" s="9">
        <v>-439.99999999999994</v>
      </c>
      <c r="K690">
        <v>-139.99999999999997</v>
      </c>
      <c r="L690" s="14" t="s">
        <v>78</v>
      </c>
      <c r="M690" s="8" t="s">
        <v>129</v>
      </c>
      <c r="N690">
        <v>-580</v>
      </c>
      <c r="O690" s="38" t="s">
        <v>4</v>
      </c>
      <c r="P690" s="38" t="s">
        <v>3</v>
      </c>
      <c r="Q690">
        <v>2025</v>
      </c>
      <c r="R690" t="s">
        <v>129</v>
      </c>
      <c r="S690" t="s">
        <v>14</v>
      </c>
      <c r="T690" t="s">
        <v>878</v>
      </c>
      <c r="U690" t="str">
        <f>IFERROR(_xlfn.XLOOKUP(A690,'2025 EOY'!A:A,'2025 EOY'!B:B),"No")</f>
        <v>No</v>
      </c>
    </row>
    <row r="691" spans="1:21" x14ac:dyDescent="0.35">
      <c r="A691" s="37" t="s">
        <v>127</v>
      </c>
      <c r="B691" s="12">
        <v>45755</v>
      </c>
      <c r="C691" s="10" t="s">
        <v>3</v>
      </c>
      <c r="D691" s="4" t="s">
        <v>128</v>
      </c>
      <c r="E691" s="253">
        <v>-1000</v>
      </c>
      <c r="F691" s="172">
        <v>45961</v>
      </c>
      <c r="G691" s="172">
        <v>45991</v>
      </c>
      <c r="H691" s="15">
        <v>0.13999999999999999</v>
      </c>
      <c r="I691" s="192">
        <v>0.28000000000000003</v>
      </c>
      <c r="J691" s="9">
        <v>-140.00000000000003</v>
      </c>
      <c r="K691">
        <v>-139.99999999999997</v>
      </c>
      <c r="L691" s="14" t="s">
        <v>79</v>
      </c>
      <c r="M691" s="8" t="s">
        <v>129</v>
      </c>
      <c r="N691">
        <v>-280</v>
      </c>
      <c r="O691" s="38" t="s">
        <v>4</v>
      </c>
      <c r="P691" s="38" t="s">
        <v>3</v>
      </c>
      <c r="Q691">
        <v>2025</v>
      </c>
      <c r="R691" t="s">
        <v>129</v>
      </c>
      <c r="S691" t="s">
        <v>14</v>
      </c>
      <c r="T691" t="s">
        <v>879</v>
      </c>
      <c r="U691" t="str">
        <f>IFERROR(_xlfn.XLOOKUP(A691,'2025 EOY'!A:A,'2025 EOY'!B:B),"No")</f>
        <v>No</v>
      </c>
    </row>
    <row r="692" spans="1:21" x14ac:dyDescent="0.35">
      <c r="A692" s="37" t="s">
        <v>127</v>
      </c>
      <c r="B692" s="12">
        <v>45755</v>
      </c>
      <c r="C692" s="10" t="s">
        <v>3</v>
      </c>
      <c r="D692" s="4" t="s">
        <v>128</v>
      </c>
      <c r="E692" s="253">
        <v>-1000</v>
      </c>
      <c r="F692" s="172">
        <v>45991</v>
      </c>
      <c r="G692" s="172">
        <v>46022</v>
      </c>
      <c r="H692" s="15">
        <v>0.13999999999999999</v>
      </c>
      <c r="I692" s="192">
        <v>0.5</v>
      </c>
      <c r="J692" s="9">
        <v>-360</v>
      </c>
      <c r="K692">
        <v>-139.99999999999997</v>
      </c>
      <c r="L692" s="14" t="s">
        <v>13</v>
      </c>
      <c r="M692" s="8" t="s">
        <v>129</v>
      </c>
      <c r="N692">
        <v>-500</v>
      </c>
      <c r="O692" s="38" t="s">
        <v>4</v>
      </c>
      <c r="P692" s="38" t="s">
        <v>3</v>
      </c>
      <c r="Q692">
        <v>2025</v>
      </c>
      <c r="R692" t="s">
        <v>129</v>
      </c>
      <c r="S692" t="s">
        <v>14</v>
      </c>
      <c r="T692" t="s">
        <v>880</v>
      </c>
      <c r="U692" t="str">
        <f>IFERROR(_xlfn.XLOOKUP(A692,'2025 EOY'!A:A,'2025 EOY'!B:B),"No")</f>
        <v>No</v>
      </c>
    </row>
    <row r="693" spans="1:21" x14ac:dyDescent="0.35">
      <c r="A693" s="37" t="s">
        <v>127</v>
      </c>
      <c r="B693" s="12">
        <v>45756</v>
      </c>
      <c r="C693" s="10" t="s">
        <v>7</v>
      </c>
      <c r="D693" s="4" t="s">
        <v>128</v>
      </c>
      <c r="E693" s="253">
        <v>-250</v>
      </c>
      <c r="F693" s="172">
        <v>45838</v>
      </c>
      <c r="G693" s="172">
        <v>45869</v>
      </c>
      <c r="H693" s="15">
        <v>0.4</v>
      </c>
      <c r="I693" s="192">
        <v>2.06</v>
      </c>
      <c r="J693" s="9">
        <v>-415.00000000000006</v>
      </c>
      <c r="K693">
        <v>-100</v>
      </c>
      <c r="L693" s="14" t="s">
        <v>74</v>
      </c>
      <c r="M693" s="8" t="s">
        <v>129</v>
      </c>
      <c r="N693">
        <v>-515</v>
      </c>
      <c r="O693" s="38" t="s">
        <v>4</v>
      </c>
      <c r="P693" s="38" t="s">
        <v>7</v>
      </c>
      <c r="Q693">
        <v>2025</v>
      </c>
      <c r="R693" t="s">
        <v>129</v>
      </c>
      <c r="S693" t="s">
        <v>14</v>
      </c>
      <c r="T693" t="s">
        <v>881</v>
      </c>
      <c r="U693" t="str">
        <f>IFERROR(_xlfn.XLOOKUP(A693,'2025 EOY'!A:A,'2025 EOY'!B:B),"No")</f>
        <v>No</v>
      </c>
    </row>
    <row r="694" spans="1:21" x14ac:dyDescent="0.35">
      <c r="A694" s="37" t="s">
        <v>127</v>
      </c>
      <c r="B694" s="12">
        <v>45756</v>
      </c>
      <c r="C694" s="10" t="s">
        <v>7</v>
      </c>
      <c r="D694" s="4" t="s">
        <v>128</v>
      </c>
      <c r="E694" s="253">
        <v>-250</v>
      </c>
      <c r="F694" s="172">
        <v>45838</v>
      </c>
      <c r="G694" s="172">
        <v>45869</v>
      </c>
      <c r="H694" s="15">
        <v>0.41</v>
      </c>
      <c r="I694" s="192">
        <v>2.06</v>
      </c>
      <c r="J694" s="9">
        <v>-412.50000000000006</v>
      </c>
      <c r="K694">
        <v>-102.5</v>
      </c>
      <c r="L694" s="14" t="s">
        <v>74</v>
      </c>
      <c r="M694" s="8" t="s">
        <v>129</v>
      </c>
      <c r="N694">
        <v>-515</v>
      </c>
      <c r="O694" s="38" t="s">
        <v>4</v>
      </c>
      <c r="P694" s="38" t="s">
        <v>7</v>
      </c>
      <c r="Q694">
        <v>2025</v>
      </c>
      <c r="R694" t="s">
        <v>129</v>
      </c>
      <c r="S694" t="s">
        <v>14</v>
      </c>
      <c r="T694" t="s">
        <v>882</v>
      </c>
      <c r="U694" t="str">
        <f>IFERROR(_xlfn.XLOOKUP(A694,'2025 EOY'!A:A,'2025 EOY'!B:B),"No")</f>
        <v>No</v>
      </c>
    </row>
    <row r="695" spans="1:21" x14ac:dyDescent="0.35">
      <c r="A695" s="37" t="s">
        <v>127</v>
      </c>
      <c r="B695" s="12">
        <v>45756</v>
      </c>
      <c r="C695" s="10" t="s">
        <v>7</v>
      </c>
      <c r="D695" s="4" t="s">
        <v>128</v>
      </c>
      <c r="E695" s="253">
        <v>-200</v>
      </c>
      <c r="F695" s="172">
        <v>45838</v>
      </c>
      <c r="G695" s="172">
        <v>45869</v>
      </c>
      <c r="H695" s="15">
        <v>0.42</v>
      </c>
      <c r="I695" s="192">
        <v>2.06</v>
      </c>
      <c r="J695" s="9">
        <v>-328</v>
      </c>
      <c r="K695">
        <v>-84</v>
      </c>
      <c r="L695" s="14" t="s">
        <v>74</v>
      </c>
      <c r="M695" s="8" t="s">
        <v>129</v>
      </c>
      <c r="N695">
        <v>-412</v>
      </c>
      <c r="O695" s="38" t="s">
        <v>4</v>
      </c>
      <c r="P695" s="38" t="s">
        <v>7</v>
      </c>
      <c r="Q695">
        <v>2025</v>
      </c>
      <c r="R695" t="s">
        <v>129</v>
      </c>
      <c r="S695" t="s">
        <v>14</v>
      </c>
      <c r="T695" t="s">
        <v>883</v>
      </c>
      <c r="U695" t="str">
        <f>IFERROR(_xlfn.XLOOKUP(A695,'2025 EOY'!A:A,'2025 EOY'!B:B),"No")</f>
        <v>No</v>
      </c>
    </row>
    <row r="696" spans="1:21" x14ac:dyDescent="0.35">
      <c r="A696" s="37" t="s">
        <v>127</v>
      </c>
      <c r="B696" s="12">
        <v>45756</v>
      </c>
      <c r="C696" s="10" t="s">
        <v>7</v>
      </c>
      <c r="D696" s="4" t="s">
        <v>128</v>
      </c>
      <c r="E696" s="253">
        <v>-150</v>
      </c>
      <c r="F696" s="172">
        <v>45838</v>
      </c>
      <c r="G696" s="172">
        <v>45869</v>
      </c>
      <c r="H696" s="15">
        <v>0.43</v>
      </c>
      <c r="I696" s="192">
        <v>2.06</v>
      </c>
      <c r="J696" s="9">
        <v>-244.50000000000003</v>
      </c>
      <c r="K696">
        <v>-64.5</v>
      </c>
      <c r="L696" s="14" t="s">
        <v>74</v>
      </c>
      <c r="M696" s="8" t="s">
        <v>129</v>
      </c>
      <c r="N696">
        <v>-309</v>
      </c>
      <c r="O696" s="38" t="s">
        <v>4</v>
      </c>
      <c r="P696" s="38" t="s">
        <v>7</v>
      </c>
      <c r="Q696">
        <v>2025</v>
      </c>
      <c r="R696" t="s">
        <v>129</v>
      </c>
      <c r="S696" t="s">
        <v>14</v>
      </c>
      <c r="T696" t="s">
        <v>884</v>
      </c>
      <c r="U696" t="str">
        <f>IFERROR(_xlfn.XLOOKUP(A696,'2025 EOY'!A:A,'2025 EOY'!B:B),"No")</f>
        <v>No</v>
      </c>
    </row>
    <row r="697" spans="1:21" x14ac:dyDescent="0.35">
      <c r="A697" s="37" t="s">
        <v>127</v>
      </c>
      <c r="B697" s="12">
        <v>45756</v>
      </c>
      <c r="C697" s="10" t="s">
        <v>7</v>
      </c>
      <c r="D697" s="4" t="s">
        <v>128</v>
      </c>
      <c r="E697" s="253">
        <v>-150</v>
      </c>
      <c r="F697" s="172">
        <v>45838</v>
      </c>
      <c r="G697" s="172">
        <v>45869</v>
      </c>
      <c r="H697" s="15">
        <v>0.44</v>
      </c>
      <c r="I697" s="192">
        <v>2.06</v>
      </c>
      <c r="J697" s="9">
        <v>-243.00000000000003</v>
      </c>
      <c r="K697">
        <v>-66</v>
      </c>
      <c r="L697" s="14" t="s">
        <v>74</v>
      </c>
      <c r="M697" s="8" t="s">
        <v>129</v>
      </c>
      <c r="N697">
        <v>-309</v>
      </c>
      <c r="O697" s="38" t="s">
        <v>4</v>
      </c>
      <c r="P697" s="38" t="s">
        <v>7</v>
      </c>
      <c r="Q697">
        <v>2025</v>
      </c>
      <c r="R697" t="s">
        <v>129</v>
      </c>
      <c r="S697" t="s">
        <v>14</v>
      </c>
      <c r="T697" t="s">
        <v>885</v>
      </c>
      <c r="U697" t="str">
        <f>IFERROR(_xlfn.XLOOKUP(A697,'2025 EOY'!A:A,'2025 EOY'!B:B),"No")</f>
        <v>No</v>
      </c>
    </row>
    <row r="698" spans="1:21" x14ac:dyDescent="0.35">
      <c r="A698" s="37" t="s">
        <v>127</v>
      </c>
      <c r="B698" s="12">
        <v>45756</v>
      </c>
      <c r="C698" s="10" t="s">
        <v>3</v>
      </c>
      <c r="D698" s="4" t="s">
        <v>128</v>
      </c>
      <c r="E698" s="253">
        <v>-1000</v>
      </c>
      <c r="F698" s="172">
        <v>45838</v>
      </c>
      <c r="G698" s="172">
        <v>45869</v>
      </c>
      <c r="H698" s="15">
        <v>0.22666666666666668</v>
      </c>
      <c r="I698" s="192">
        <v>0.55000000000000004</v>
      </c>
      <c r="J698" s="9">
        <v>-323.33333333333337</v>
      </c>
      <c r="K698">
        <v>-226.66666666666669</v>
      </c>
      <c r="L698" s="14" t="s">
        <v>74</v>
      </c>
      <c r="M698" s="8" t="s">
        <v>129</v>
      </c>
      <c r="N698">
        <v>-550</v>
      </c>
      <c r="O698" s="38" t="s">
        <v>4</v>
      </c>
      <c r="P698" s="38" t="s">
        <v>3</v>
      </c>
      <c r="Q698">
        <v>2025</v>
      </c>
      <c r="R698" t="s">
        <v>129</v>
      </c>
      <c r="S698" t="s">
        <v>14</v>
      </c>
      <c r="T698" t="s">
        <v>886</v>
      </c>
      <c r="U698" t="str">
        <f>IFERROR(_xlfn.XLOOKUP(A698,'2025 EOY'!A:A,'2025 EOY'!B:B),"No")</f>
        <v>No</v>
      </c>
    </row>
    <row r="699" spans="1:21" x14ac:dyDescent="0.35">
      <c r="A699" s="37" t="s">
        <v>127</v>
      </c>
      <c r="B699" s="12">
        <v>45756</v>
      </c>
      <c r="C699" s="10" t="s">
        <v>3</v>
      </c>
      <c r="D699" s="4" t="s">
        <v>128</v>
      </c>
      <c r="E699" s="253">
        <v>-1000</v>
      </c>
      <c r="F699" s="172">
        <v>45869</v>
      </c>
      <c r="G699" s="172">
        <v>45900</v>
      </c>
      <c r="H699" s="15">
        <v>0.22666666666666668</v>
      </c>
      <c r="I699" s="192">
        <v>1.64</v>
      </c>
      <c r="J699" s="9">
        <v>-1413.333333333333</v>
      </c>
      <c r="K699">
        <v>-226.66666666666669</v>
      </c>
      <c r="L699" s="14" t="s">
        <v>76</v>
      </c>
      <c r="M699" s="8" t="s">
        <v>129</v>
      </c>
      <c r="N699">
        <v>-1640</v>
      </c>
      <c r="O699" s="38" t="s">
        <v>4</v>
      </c>
      <c r="P699" s="38" t="s">
        <v>3</v>
      </c>
      <c r="Q699">
        <v>2025</v>
      </c>
      <c r="R699" t="s">
        <v>129</v>
      </c>
      <c r="S699" t="s">
        <v>14</v>
      </c>
      <c r="T699" t="s">
        <v>887</v>
      </c>
      <c r="U699" t="str">
        <f>IFERROR(_xlfn.XLOOKUP(A699,'2025 EOY'!A:A,'2025 EOY'!B:B),"No")</f>
        <v>No</v>
      </c>
    </row>
    <row r="700" spans="1:21" x14ac:dyDescent="0.35">
      <c r="A700" s="37" t="s">
        <v>127</v>
      </c>
      <c r="B700" s="12">
        <v>45756</v>
      </c>
      <c r="C700" s="10" t="s">
        <v>3</v>
      </c>
      <c r="D700" s="4" t="s">
        <v>128</v>
      </c>
      <c r="E700" s="253">
        <v>-1000</v>
      </c>
      <c r="F700" s="172">
        <v>45900</v>
      </c>
      <c r="G700" s="172">
        <v>45930</v>
      </c>
      <c r="H700" s="15">
        <v>0.22666666666666668</v>
      </c>
      <c r="I700" s="192">
        <v>1.25</v>
      </c>
      <c r="J700" s="9">
        <v>-1023.3333333333335</v>
      </c>
      <c r="K700">
        <v>-226.66666666666669</v>
      </c>
      <c r="L700" s="14" t="s">
        <v>77</v>
      </c>
      <c r="M700" s="8" t="s">
        <v>129</v>
      </c>
      <c r="N700">
        <v>-1250</v>
      </c>
      <c r="O700" s="38" t="s">
        <v>4</v>
      </c>
      <c r="P700" s="38" t="s">
        <v>3</v>
      </c>
      <c r="Q700">
        <v>2025</v>
      </c>
      <c r="R700" t="s">
        <v>129</v>
      </c>
      <c r="S700" t="s">
        <v>14</v>
      </c>
      <c r="T700" t="s">
        <v>888</v>
      </c>
      <c r="U700" t="str">
        <f>IFERROR(_xlfn.XLOOKUP(A700,'2025 EOY'!A:A,'2025 EOY'!B:B),"No")</f>
        <v>No</v>
      </c>
    </row>
    <row r="701" spans="1:21" x14ac:dyDescent="0.35">
      <c r="A701" s="37" t="s">
        <v>127</v>
      </c>
      <c r="B701" s="12">
        <v>45756</v>
      </c>
      <c r="C701" s="10" t="s">
        <v>3</v>
      </c>
      <c r="D701" s="4" t="s">
        <v>128</v>
      </c>
      <c r="E701" s="253">
        <v>2000</v>
      </c>
      <c r="F701" s="172">
        <v>45808</v>
      </c>
      <c r="G701" s="172">
        <v>45838</v>
      </c>
      <c r="H701" s="15">
        <v>0.46</v>
      </c>
      <c r="I701" s="192">
        <v>0.67</v>
      </c>
      <c r="J701" s="9">
        <v>420.00000000000006</v>
      </c>
      <c r="K701">
        <v>920</v>
      </c>
      <c r="L701" s="14" t="s">
        <v>58</v>
      </c>
      <c r="M701" s="8" t="s">
        <v>131</v>
      </c>
      <c r="N701">
        <v>1340</v>
      </c>
      <c r="O701" s="38" t="s">
        <v>4</v>
      </c>
      <c r="P701" s="38" t="s">
        <v>3</v>
      </c>
      <c r="Q701">
        <v>2025</v>
      </c>
      <c r="R701" t="s">
        <v>131</v>
      </c>
      <c r="S701" t="s">
        <v>14</v>
      </c>
      <c r="T701" t="s">
        <v>889</v>
      </c>
      <c r="U701" t="str">
        <f>IFERROR(_xlfn.XLOOKUP(A701,'2025 EOY'!A:A,'2025 EOY'!B:B),"No")</f>
        <v>No</v>
      </c>
    </row>
    <row r="702" spans="1:21" x14ac:dyDescent="0.35">
      <c r="A702" s="37" t="s">
        <v>127</v>
      </c>
      <c r="B702" s="12">
        <v>45756</v>
      </c>
      <c r="C702" s="10" t="s">
        <v>3</v>
      </c>
      <c r="D702" s="4" t="s">
        <v>128</v>
      </c>
      <c r="E702" s="253">
        <v>-2000</v>
      </c>
      <c r="F702" s="172">
        <v>45838</v>
      </c>
      <c r="G702" s="172">
        <v>45869</v>
      </c>
      <c r="H702" s="15">
        <v>0.42</v>
      </c>
      <c r="I702" s="192">
        <v>0.55000000000000004</v>
      </c>
      <c r="J702" s="9">
        <v>-260.00000000000011</v>
      </c>
      <c r="K702">
        <v>-840</v>
      </c>
      <c r="L702" s="14" t="s">
        <v>74</v>
      </c>
      <c r="M702" s="8" t="s">
        <v>129</v>
      </c>
      <c r="N702">
        <v>-1100</v>
      </c>
      <c r="O702" s="38" t="s">
        <v>4</v>
      </c>
      <c r="P702" s="38" t="s">
        <v>3</v>
      </c>
      <c r="Q702">
        <v>2025</v>
      </c>
      <c r="R702" t="s">
        <v>129</v>
      </c>
      <c r="S702" t="s">
        <v>14</v>
      </c>
      <c r="T702" t="s">
        <v>890</v>
      </c>
      <c r="U702" t="str">
        <f>IFERROR(_xlfn.XLOOKUP(A702,'2025 EOY'!A:A,'2025 EOY'!B:B),"No")</f>
        <v>No</v>
      </c>
    </row>
    <row r="703" spans="1:21" x14ac:dyDescent="0.35">
      <c r="A703" s="37" t="s">
        <v>127</v>
      </c>
      <c r="B703" s="12">
        <v>45756</v>
      </c>
      <c r="C703" s="10" t="s">
        <v>3</v>
      </c>
      <c r="D703" s="4" t="s">
        <v>128</v>
      </c>
      <c r="E703" s="253">
        <v>2000</v>
      </c>
      <c r="F703" s="172">
        <v>45808</v>
      </c>
      <c r="G703" s="172">
        <v>45838</v>
      </c>
      <c r="H703" s="15">
        <v>0.46</v>
      </c>
      <c r="I703" s="192">
        <v>0.67</v>
      </c>
      <c r="J703" s="9">
        <v>420.00000000000006</v>
      </c>
      <c r="K703">
        <v>920</v>
      </c>
      <c r="L703" s="14" t="s">
        <v>58</v>
      </c>
      <c r="M703" s="8" t="s">
        <v>131</v>
      </c>
      <c r="N703">
        <v>1340</v>
      </c>
      <c r="O703" s="38" t="s">
        <v>4</v>
      </c>
      <c r="P703" s="38" t="s">
        <v>3</v>
      </c>
      <c r="Q703">
        <v>2025</v>
      </c>
      <c r="R703" t="s">
        <v>131</v>
      </c>
      <c r="S703" t="s">
        <v>14</v>
      </c>
      <c r="T703" t="s">
        <v>891</v>
      </c>
      <c r="U703" t="str">
        <f>IFERROR(_xlfn.XLOOKUP(A703,'2025 EOY'!A:A,'2025 EOY'!B:B),"No")</f>
        <v>No</v>
      </c>
    </row>
    <row r="704" spans="1:21" x14ac:dyDescent="0.35">
      <c r="A704" s="37" t="s">
        <v>127</v>
      </c>
      <c r="B704" s="12">
        <v>45756</v>
      </c>
      <c r="C704" s="10" t="s">
        <v>3</v>
      </c>
      <c r="D704" s="4" t="s">
        <v>128</v>
      </c>
      <c r="E704" s="253">
        <v>-2000</v>
      </c>
      <c r="F704" s="172">
        <v>45838</v>
      </c>
      <c r="G704" s="172">
        <v>45869</v>
      </c>
      <c r="H704" s="15">
        <v>0.42</v>
      </c>
      <c r="I704" s="192">
        <v>0.55000000000000004</v>
      </c>
      <c r="J704" s="9">
        <v>-260.00000000000011</v>
      </c>
      <c r="K704">
        <v>-840</v>
      </c>
      <c r="L704" s="14" t="s">
        <v>74</v>
      </c>
      <c r="M704" s="8" t="s">
        <v>129</v>
      </c>
      <c r="N704">
        <v>-1100</v>
      </c>
      <c r="O704" s="38" t="s">
        <v>4</v>
      </c>
      <c r="P704" s="38" t="s">
        <v>3</v>
      </c>
      <c r="Q704">
        <v>2025</v>
      </c>
      <c r="R704" t="s">
        <v>129</v>
      </c>
      <c r="S704" t="s">
        <v>14</v>
      </c>
      <c r="T704" t="s">
        <v>892</v>
      </c>
      <c r="U704" t="str">
        <f>IFERROR(_xlfn.XLOOKUP(A704,'2025 EOY'!A:A,'2025 EOY'!B:B),"No")</f>
        <v>No</v>
      </c>
    </row>
    <row r="705" spans="1:22" x14ac:dyDescent="0.35">
      <c r="A705" s="37" t="s">
        <v>127</v>
      </c>
      <c r="B705" s="12">
        <v>45756</v>
      </c>
      <c r="C705" s="10" t="s">
        <v>3</v>
      </c>
      <c r="D705" s="4" t="s">
        <v>128</v>
      </c>
      <c r="E705" s="253">
        <v>1000</v>
      </c>
      <c r="F705" s="172">
        <v>45808</v>
      </c>
      <c r="G705" s="172">
        <v>45838</v>
      </c>
      <c r="H705" s="15">
        <v>0.49</v>
      </c>
      <c r="I705" s="192">
        <v>0.67</v>
      </c>
      <c r="J705" s="9">
        <v>180.00000000000006</v>
      </c>
      <c r="K705">
        <v>490</v>
      </c>
      <c r="L705" s="14" t="s">
        <v>58</v>
      </c>
      <c r="M705" s="8" t="s">
        <v>131</v>
      </c>
      <c r="N705">
        <v>670</v>
      </c>
      <c r="O705" s="38" t="s">
        <v>4</v>
      </c>
      <c r="P705" s="38" t="s">
        <v>3</v>
      </c>
      <c r="Q705">
        <v>2025</v>
      </c>
      <c r="R705" t="s">
        <v>131</v>
      </c>
      <c r="S705" t="s">
        <v>14</v>
      </c>
      <c r="T705" t="s">
        <v>893</v>
      </c>
      <c r="U705" t="str">
        <f>IFERROR(_xlfn.XLOOKUP(A705,'2025 EOY'!A:A,'2025 EOY'!B:B),"No")</f>
        <v>No</v>
      </c>
    </row>
    <row r="706" spans="1:22" x14ac:dyDescent="0.35">
      <c r="A706" s="37" t="s">
        <v>127</v>
      </c>
      <c r="B706" s="12">
        <v>45756</v>
      </c>
      <c r="C706" s="10" t="s">
        <v>3</v>
      </c>
      <c r="D706" s="4" t="s">
        <v>128</v>
      </c>
      <c r="E706" s="253">
        <v>1000</v>
      </c>
      <c r="F706" s="172">
        <v>45838</v>
      </c>
      <c r="G706" s="172">
        <v>45869</v>
      </c>
      <c r="H706" s="15">
        <v>0.49</v>
      </c>
      <c r="I706" s="192">
        <v>0.55000000000000004</v>
      </c>
      <c r="J706" s="9">
        <v>60.000000000000057</v>
      </c>
      <c r="K706">
        <v>490</v>
      </c>
      <c r="L706" s="14" t="s">
        <v>74</v>
      </c>
      <c r="M706" s="8" t="s">
        <v>131</v>
      </c>
      <c r="N706">
        <v>550</v>
      </c>
      <c r="O706" s="38" t="s">
        <v>4</v>
      </c>
      <c r="P706" s="38" t="s">
        <v>3</v>
      </c>
      <c r="Q706">
        <v>2025</v>
      </c>
      <c r="R706" t="s">
        <v>131</v>
      </c>
      <c r="S706" t="s">
        <v>14</v>
      </c>
      <c r="T706" t="s">
        <v>894</v>
      </c>
      <c r="U706" t="str">
        <f>IFERROR(_xlfn.XLOOKUP(A706,'2025 EOY'!A:A,'2025 EOY'!B:B),"No")</f>
        <v>No</v>
      </c>
    </row>
    <row r="707" spans="1:22" x14ac:dyDescent="0.35">
      <c r="A707" s="37" t="s">
        <v>127</v>
      </c>
      <c r="B707" s="12">
        <v>45756</v>
      </c>
      <c r="C707" s="94" t="s">
        <v>36</v>
      </c>
      <c r="D707" s="30" t="s">
        <v>128</v>
      </c>
      <c r="E707" s="257"/>
      <c r="F707" s="32">
        <v>45777</v>
      </c>
      <c r="G707" s="32">
        <v>45777</v>
      </c>
      <c r="H707" s="208">
        <v>185</v>
      </c>
      <c r="I707" s="204">
        <v>185</v>
      </c>
      <c r="J707" s="33">
        <v>-600</v>
      </c>
      <c r="K707" s="34">
        <v>0</v>
      </c>
      <c r="L707" s="14" t="s">
        <v>64</v>
      </c>
      <c r="M707" s="35" t="s">
        <v>131</v>
      </c>
      <c r="N707" s="34">
        <v>0</v>
      </c>
      <c r="O707" s="36" t="s">
        <v>29</v>
      </c>
      <c r="P707" s="38" t="s">
        <v>29</v>
      </c>
      <c r="Q707">
        <v>2025</v>
      </c>
      <c r="R707" t="s">
        <v>129</v>
      </c>
      <c r="S707" t="s">
        <v>14</v>
      </c>
      <c r="T707" t="s">
        <v>895</v>
      </c>
      <c r="U707" t="str">
        <f>IFERROR(_xlfn.XLOOKUP(A707,'2025 EOY'!A:A,'2025 EOY'!B:B),"No")</f>
        <v>No</v>
      </c>
    </row>
    <row r="708" spans="1:22" x14ac:dyDescent="0.35">
      <c r="A708" s="37" t="s">
        <v>127</v>
      </c>
      <c r="B708" s="12">
        <v>45756</v>
      </c>
      <c r="C708" s="47" t="s">
        <v>3</v>
      </c>
      <c r="D708" t="s">
        <v>128</v>
      </c>
      <c r="F708" s="173">
        <v>45808</v>
      </c>
      <c r="G708" s="172">
        <v>45838</v>
      </c>
      <c r="H708" s="100">
        <v>0.46</v>
      </c>
      <c r="I708" s="192">
        <v>0.67</v>
      </c>
      <c r="J708" s="9">
        <v>600</v>
      </c>
      <c r="K708">
        <v>0</v>
      </c>
      <c r="L708" s="14" t="s">
        <v>58</v>
      </c>
      <c r="M708" s="8" t="s">
        <v>131</v>
      </c>
      <c r="N708">
        <v>0</v>
      </c>
      <c r="O708" s="38" t="s">
        <v>4</v>
      </c>
      <c r="P708" s="38" t="s">
        <v>3</v>
      </c>
      <c r="Q708">
        <v>2025</v>
      </c>
      <c r="R708" t="s">
        <v>129</v>
      </c>
      <c r="S708" t="s">
        <v>14</v>
      </c>
      <c r="T708" t="s">
        <v>896</v>
      </c>
      <c r="U708" t="str">
        <f>IFERROR(_xlfn.XLOOKUP(A708,'2025 EOY'!A:A,'2025 EOY'!B:B),"No")</f>
        <v>No</v>
      </c>
    </row>
    <row r="709" spans="1:22" x14ac:dyDescent="0.35">
      <c r="A709" s="37" t="s">
        <v>127</v>
      </c>
      <c r="B709" s="12">
        <v>45757</v>
      </c>
      <c r="C709" s="10" t="s">
        <v>10</v>
      </c>
      <c r="D709" s="4" t="s">
        <v>128</v>
      </c>
      <c r="E709" s="253">
        <v>500</v>
      </c>
      <c r="F709" s="172">
        <v>45838</v>
      </c>
      <c r="G709" s="172">
        <v>45838</v>
      </c>
      <c r="H709" s="15">
        <v>-3.75</v>
      </c>
      <c r="I709" s="192">
        <v>-4.91</v>
      </c>
      <c r="J709" s="9">
        <v>-580.00000000000011</v>
      </c>
      <c r="K709">
        <v>-1875</v>
      </c>
      <c r="L709" s="14" t="s">
        <v>73</v>
      </c>
      <c r="M709" s="8" t="s">
        <v>131</v>
      </c>
      <c r="N709">
        <v>-2455</v>
      </c>
      <c r="O709" s="38" t="s">
        <v>11</v>
      </c>
      <c r="P709" s="38" t="s">
        <v>10</v>
      </c>
      <c r="Q709">
        <v>2025</v>
      </c>
      <c r="R709" t="s">
        <v>131</v>
      </c>
      <c r="S709" t="s">
        <v>14</v>
      </c>
      <c r="T709" t="s">
        <v>897</v>
      </c>
      <c r="U709" t="str">
        <f>IFERROR(_xlfn.XLOOKUP(A709,'2025 EOY'!A:A,'2025 EOY'!B:B),"No")</f>
        <v>No</v>
      </c>
    </row>
    <row r="710" spans="1:22" x14ac:dyDescent="0.35">
      <c r="A710" s="37" t="s">
        <v>127</v>
      </c>
      <c r="B710" s="12">
        <v>45757</v>
      </c>
      <c r="C710" s="10" t="s">
        <v>10</v>
      </c>
      <c r="D710" s="4" t="s">
        <v>128</v>
      </c>
      <c r="E710" s="253">
        <v>250</v>
      </c>
      <c r="F710" s="172">
        <v>45838</v>
      </c>
      <c r="G710" s="172">
        <v>45838</v>
      </c>
      <c r="H710" s="15">
        <v>-3.78</v>
      </c>
      <c r="I710" s="192">
        <v>-4.91</v>
      </c>
      <c r="J710" s="9">
        <v>-282.50000000000006</v>
      </c>
      <c r="K710">
        <v>-945</v>
      </c>
      <c r="L710" s="14" t="s">
        <v>73</v>
      </c>
      <c r="M710" s="8" t="s">
        <v>131</v>
      </c>
      <c r="N710">
        <v>-1227.5</v>
      </c>
      <c r="O710" s="38" t="s">
        <v>11</v>
      </c>
      <c r="P710" s="38" t="s">
        <v>10</v>
      </c>
      <c r="Q710">
        <v>2025</v>
      </c>
      <c r="R710" t="s">
        <v>131</v>
      </c>
      <c r="S710" t="s">
        <v>14</v>
      </c>
      <c r="T710" t="s">
        <v>898</v>
      </c>
      <c r="U710" t="str">
        <f>IFERROR(_xlfn.XLOOKUP(A710,'2025 EOY'!A:A,'2025 EOY'!B:B),"No")</f>
        <v>No</v>
      </c>
    </row>
    <row r="711" spans="1:22" x14ac:dyDescent="0.35">
      <c r="A711" s="37" t="s">
        <v>127</v>
      </c>
      <c r="B711" s="12">
        <v>45757</v>
      </c>
      <c r="C711" s="10" t="s">
        <v>3</v>
      </c>
      <c r="D711" s="4" t="s">
        <v>128</v>
      </c>
      <c r="E711" s="253">
        <v>500</v>
      </c>
      <c r="F711" s="172">
        <v>45838</v>
      </c>
      <c r="G711" s="172">
        <v>45869</v>
      </c>
      <c r="H711" s="15">
        <v>0.43</v>
      </c>
      <c r="I711" s="192">
        <v>0.55000000000000004</v>
      </c>
      <c r="J711" s="9">
        <v>60.000000000000028</v>
      </c>
      <c r="K711">
        <v>215</v>
      </c>
      <c r="L711" s="14" t="s">
        <v>74</v>
      </c>
      <c r="M711" s="8" t="s">
        <v>131</v>
      </c>
      <c r="N711">
        <v>275</v>
      </c>
      <c r="O711" s="38" t="s">
        <v>4</v>
      </c>
      <c r="P711" s="38" t="s">
        <v>3</v>
      </c>
      <c r="Q711">
        <v>2025</v>
      </c>
      <c r="R711" t="s">
        <v>131</v>
      </c>
      <c r="S711" t="s">
        <v>14</v>
      </c>
      <c r="T711" t="s">
        <v>899</v>
      </c>
      <c r="U711" t="str">
        <f>IFERROR(_xlfn.XLOOKUP(A711,'2025 EOY'!A:A,'2025 EOY'!B:B),"No")</f>
        <v>No</v>
      </c>
    </row>
    <row r="712" spans="1:22" x14ac:dyDescent="0.35">
      <c r="A712" s="37" t="s">
        <v>127</v>
      </c>
      <c r="B712" s="12">
        <v>45757</v>
      </c>
      <c r="C712" s="10" t="s">
        <v>3</v>
      </c>
      <c r="D712" s="4" t="s">
        <v>128</v>
      </c>
      <c r="F712" s="172">
        <v>45838</v>
      </c>
      <c r="G712" s="172">
        <v>45869</v>
      </c>
      <c r="H712" s="15">
        <v>0.42</v>
      </c>
      <c r="I712" s="192">
        <v>0.55000000000000004</v>
      </c>
      <c r="J712" s="9">
        <v>0</v>
      </c>
      <c r="K712">
        <v>0</v>
      </c>
      <c r="L712" s="14" t="s">
        <v>74</v>
      </c>
      <c r="M712" s="8" t="s">
        <v>131</v>
      </c>
      <c r="N712">
        <v>0</v>
      </c>
      <c r="O712" s="38" t="s">
        <v>4</v>
      </c>
      <c r="P712" s="38" t="s">
        <v>3</v>
      </c>
      <c r="Q712">
        <v>2025</v>
      </c>
      <c r="R712" t="s">
        <v>129</v>
      </c>
      <c r="S712" t="s">
        <v>14</v>
      </c>
      <c r="T712" t="s">
        <v>900</v>
      </c>
      <c r="U712" t="str">
        <f>IFERROR(_xlfn.XLOOKUP(A712,'2025 EOY'!A:A,'2025 EOY'!B:B),"No")</f>
        <v>No</v>
      </c>
    </row>
    <row r="713" spans="1:22" x14ac:dyDescent="0.35">
      <c r="A713" s="37" t="s">
        <v>127</v>
      </c>
      <c r="B713" s="12">
        <v>45757</v>
      </c>
      <c r="C713" s="10" t="s">
        <v>15</v>
      </c>
      <c r="D713" s="4" t="s">
        <v>128</v>
      </c>
      <c r="E713" s="253">
        <v>-800</v>
      </c>
      <c r="F713" s="173">
        <v>45808</v>
      </c>
      <c r="G713" s="172">
        <v>45808</v>
      </c>
      <c r="H713" s="15">
        <v>0.85</v>
      </c>
      <c r="I713" s="191">
        <v>0.14121300000000001</v>
      </c>
      <c r="J713" s="9">
        <v>567.02959999999996</v>
      </c>
      <c r="K713">
        <v>-680</v>
      </c>
      <c r="L713" s="14" t="s">
        <v>65</v>
      </c>
      <c r="M713" s="8" t="s">
        <v>129</v>
      </c>
      <c r="N713">
        <v>-112.9704</v>
      </c>
      <c r="O713" s="38" t="s">
        <v>11</v>
      </c>
      <c r="P713" s="38" t="s">
        <v>16</v>
      </c>
      <c r="Q713">
        <v>2025</v>
      </c>
      <c r="R713" t="s">
        <v>129</v>
      </c>
      <c r="S713" t="s">
        <v>14</v>
      </c>
      <c r="T713" t="s">
        <v>901</v>
      </c>
      <c r="U713" t="str">
        <f>IFERROR(_xlfn.XLOOKUP(A713,'2025 EOY'!A:A,'2025 EOY'!B:B),"No")</f>
        <v>No</v>
      </c>
    </row>
    <row r="714" spans="1:22" x14ac:dyDescent="0.35">
      <c r="A714" s="37" t="s">
        <v>127</v>
      </c>
      <c r="B714" s="174">
        <v>45749</v>
      </c>
      <c r="C714" s="47" t="s">
        <v>25</v>
      </c>
      <c r="D714" t="s">
        <v>128</v>
      </c>
      <c r="E714" s="253">
        <v>-1000</v>
      </c>
      <c r="F714" s="173">
        <v>45808</v>
      </c>
      <c r="G714" s="172">
        <v>45838</v>
      </c>
      <c r="H714" s="100">
        <v>0.44</v>
      </c>
      <c r="I714" s="192">
        <v>0.67</v>
      </c>
      <c r="J714" s="9">
        <v>-230.00000000000003</v>
      </c>
      <c r="K714">
        <v>-440</v>
      </c>
      <c r="L714" s="14" t="s">
        <v>58</v>
      </c>
      <c r="M714" s="8" t="s">
        <v>129</v>
      </c>
      <c r="N714">
        <v>-670</v>
      </c>
      <c r="O714" s="38" t="s">
        <v>4</v>
      </c>
      <c r="P714" s="38" t="s">
        <v>3</v>
      </c>
      <c r="Q714">
        <v>2025</v>
      </c>
      <c r="R714" t="s">
        <v>129</v>
      </c>
      <c r="S714" t="s">
        <v>14</v>
      </c>
      <c r="T714" t="s">
        <v>902</v>
      </c>
      <c r="U714" t="str">
        <f>IFERROR(_xlfn.XLOOKUP(A714,'2025 EOY'!A:A,'2025 EOY'!B:B),"No")</f>
        <v>No</v>
      </c>
    </row>
    <row r="715" spans="1:22" x14ac:dyDescent="0.35">
      <c r="A715" s="37" t="s">
        <v>127</v>
      </c>
      <c r="B715" s="174">
        <v>45749</v>
      </c>
      <c r="C715" s="47" t="s">
        <v>25</v>
      </c>
      <c r="D715" t="s">
        <v>128</v>
      </c>
      <c r="E715" s="253">
        <v>1000</v>
      </c>
      <c r="F715" s="173">
        <v>45838</v>
      </c>
      <c r="G715" s="172">
        <v>45869</v>
      </c>
      <c r="H715" s="100">
        <v>0.45</v>
      </c>
      <c r="I715" s="192">
        <v>0.55000000000000004</v>
      </c>
      <c r="J715" s="9">
        <v>100.00000000000003</v>
      </c>
      <c r="K715">
        <v>450</v>
      </c>
      <c r="L715" s="14" t="s">
        <v>74</v>
      </c>
      <c r="M715" s="8" t="s">
        <v>131</v>
      </c>
      <c r="N715">
        <v>550</v>
      </c>
      <c r="O715" s="38" t="s">
        <v>4</v>
      </c>
      <c r="P715" s="38" t="s">
        <v>3</v>
      </c>
      <c r="Q715">
        <v>2025</v>
      </c>
      <c r="R715" t="s">
        <v>131</v>
      </c>
      <c r="S715" t="s">
        <v>14</v>
      </c>
      <c r="T715" t="s">
        <v>903</v>
      </c>
      <c r="U715" t="str">
        <f>IFERROR(_xlfn.XLOOKUP(A715,'2025 EOY'!A:A,'2025 EOY'!B:B),"No")</f>
        <v>No</v>
      </c>
    </row>
    <row r="716" spans="1:22" x14ac:dyDescent="0.35">
      <c r="A716" s="37" t="s">
        <v>127</v>
      </c>
      <c r="B716" s="174">
        <v>45749</v>
      </c>
      <c r="C716" s="47" t="s">
        <v>3</v>
      </c>
      <c r="D716" t="s">
        <v>128</v>
      </c>
      <c r="E716" s="253">
        <v>1000</v>
      </c>
      <c r="F716" s="173">
        <v>45808</v>
      </c>
      <c r="G716" s="172">
        <v>45838</v>
      </c>
      <c r="H716" s="100">
        <v>0.44</v>
      </c>
      <c r="I716" s="192">
        <v>0.67</v>
      </c>
      <c r="J716" s="9">
        <v>230.00000000000003</v>
      </c>
      <c r="K716">
        <v>440</v>
      </c>
      <c r="L716" s="14" t="s">
        <v>58</v>
      </c>
      <c r="M716" s="8" t="s">
        <v>131</v>
      </c>
      <c r="N716">
        <v>670</v>
      </c>
      <c r="O716" s="38" t="s">
        <v>4</v>
      </c>
      <c r="P716" s="38" t="s">
        <v>3</v>
      </c>
      <c r="Q716">
        <v>2025</v>
      </c>
      <c r="R716" t="s">
        <v>131</v>
      </c>
      <c r="S716" t="s">
        <v>14</v>
      </c>
      <c r="T716" t="s">
        <v>904</v>
      </c>
      <c r="U716" t="str">
        <f>IFERROR(_xlfn.XLOOKUP(A716,'2025 EOY'!A:A,'2025 EOY'!B:B),"No")</f>
        <v>No</v>
      </c>
    </row>
    <row r="717" spans="1:22" x14ac:dyDescent="0.35">
      <c r="A717" s="37" t="s">
        <v>127</v>
      </c>
      <c r="B717" s="174">
        <v>45749</v>
      </c>
      <c r="C717" s="47" t="s">
        <v>3</v>
      </c>
      <c r="D717" t="s">
        <v>128</v>
      </c>
      <c r="E717" s="253">
        <v>-1000</v>
      </c>
      <c r="F717" s="173">
        <v>45838</v>
      </c>
      <c r="G717" s="172">
        <v>45869</v>
      </c>
      <c r="H717" s="100">
        <v>0.45</v>
      </c>
      <c r="I717" s="192">
        <v>0.55000000000000004</v>
      </c>
      <c r="J717" s="9">
        <v>-100.00000000000003</v>
      </c>
      <c r="K717">
        <v>-450</v>
      </c>
      <c r="L717" s="14" t="s">
        <v>74</v>
      </c>
      <c r="M717" s="8" t="s">
        <v>129</v>
      </c>
      <c r="N717">
        <v>-550</v>
      </c>
      <c r="O717" s="38" t="s">
        <v>4</v>
      </c>
      <c r="P717" s="38" t="s">
        <v>3</v>
      </c>
      <c r="Q717">
        <v>2025</v>
      </c>
      <c r="R717" t="s">
        <v>129</v>
      </c>
      <c r="S717" t="s">
        <v>14</v>
      </c>
      <c r="T717" t="s">
        <v>905</v>
      </c>
      <c r="U717" t="str">
        <f>IFERROR(_xlfn.XLOOKUP(A717,'2025 EOY'!A:A,'2025 EOY'!B:B),"No")</f>
        <v>No</v>
      </c>
      <c r="V717" s="3">
        <v>45821</v>
      </c>
    </row>
    <row r="718" spans="1:22" x14ac:dyDescent="0.35">
      <c r="A718" s="37" t="s">
        <v>127</v>
      </c>
      <c r="B718" s="12">
        <v>45758</v>
      </c>
      <c r="C718" s="10" t="s">
        <v>3</v>
      </c>
      <c r="D718" s="4" t="s">
        <v>128</v>
      </c>
      <c r="E718" s="253">
        <v>2000</v>
      </c>
      <c r="F718" s="172">
        <v>45838</v>
      </c>
      <c r="G718" s="172">
        <v>45869</v>
      </c>
      <c r="H718" s="15">
        <v>0.56000000000000005</v>
      </c>
      <c r="I718" s="192">
        <v>0.55000000000000004</v>
      </c>
      <c r="J718" s="9">
        <v>-20.000000000000018</v>
      </c>
      <c r="K718">
        <v>1120</v>
      </c>
      <c r="L718" s="14" t="s">
        <v>74</v>
      </c>
      <c r="M718" s="8" t="s">
        <v>131</v>
      </c>
      <c r="N718">
        <v>1100</v>
      </c>
      <c r="O718" s="38" t="s">
        <v>4</v>
      </c>
      <c r="P718" s="38" t="s">
        <v>3</v>
      </c>
      <c r="Q718">
        <v>2025</v>
      </c>
      <c r="R718" t="s">
        <v>131</v>
      </c>
      <c r="S718" t="s">
        <v>14</v>
      </c>
      <c r="T718" t="s">
        <v>906</v>
      </c>
      <c r="U718" t="str">
        <f>IFERROR(_xlfn.XLOOKUP(A718,'2025 EOY'!A:A,'2025 EOY'!B:B),"No")</f>
        <v>No</v>
      </c>
    </row>
    <row r="719" spans="1:22" x14ac:dyDescent="0.35">
      <c r="A719" s="37" t="s">
        <v>127</v>
      </c>
      <c r="B719" s="12">
        <v>45758</v>
      </c>
      <c r="C719" s="10" t="s">
        <v>7</v>
      </c>
      <c r="D719" s="4" t="s">
        <v>128</v>
      </c>
      <c r="E719" s="253">
        <v>2000</v>
      </c>
      <c r="F719" s="172">
        <v>45869</v>
      </c>
      <c r="G719" s="172">
        <v>45900</v>
      </c>
      <c r="H719" s="15">
        <v>0.59</v>
      </c>
      <c r="I719" s="192">
        <v>1.1200000000000001</v>
      </c>
      <c r="J719" s="9">
        <v>1060.0000000000002</v>
      </c>
      <c r="K719">
        <v>1180</v>
      </c>
      <c r="L719" s="14" t="s">
        <v>76</v>
      </c>
      <c r="M719" s="8" t="s">
        <v>131</v>
      </c>
      <c r="N719">
        <v>2240</v>
      </c>
      <c r="O719" s="38" t="s">
        <v>4</v>
      </c>
      <c r="P719" s="38" t="s">
        <v>7</v>
      </c>
      <c r="Q719">
        <v>2025</v>
      </c>
      <c r="R719" t="s">
        <v>131</v>
      </c>
      <c r="S719" t="s">
        <v>14</v>
      </c>
      <c r="T719" t="s">
        <v>907</v>
      </c>
      <c r="U719" t="str">
        <f>IFERROR(_xlfn.XLOOKUP(A719,'2025 EOY'!A:A,'2025 EOY'!B:B),"No")</f>
        <v>No</v>
      </c>
    </row>
    <row r="720" spans="1:22" x14ac:dyDescent="0.35">
      <c r="A720" s="37" t="s">
        <v>127</v>
      </c>
      <c r="B720" s="12">
        <v>45761</v>
      </c>
      <c r="C720" s="10" t="s">
        <v>3</v>
      </c>
      <c r="D720" s="4" t="s">
        <v>128</v>
      </c>
      <c r="E720" s="253">
        <v>-1500</v>
      </c>
      <c r="F720" s="172">
        <v>45808</v>
      </c>
      <c r="G720" s="172">
        <v>45838</v>
      </c>
      <c r="H720" s="15">
        <v>0.48</v>
      </c>
      <c r="I720" s="192">
        <v>0.67</v>
      </c>
      <c r="J720" s="9">
        <v>-285.00000000000011</v>
      </c>
      <c r="K720">
        <v>-720</v>
      </c>
      <c r="L720" s="14" t="s">
        <v>58</v>
      </c>
      <c r="M720" s="8" t="s">
        <v>129</v>
      </c>
      <c r="N720">
        <v>-1005.0000000000001</v>
      </c>
      <c r="O720" s="38" t="s">
        <v>4</v>
      </c>
      <c r="P720" s="38" t="s">
        <v>3</v>
      </c>
      <c r="Q720">
        <v>2025</v>
      </c>
      <c r="R720" t="s">
        <v>129</v>
      </c>
      <c r="S720" t="s">
        <v>14</v>
      </c>
      <c r="T720" t="s">
        <v>908</v>
      </c>
      <c r="U720" t="str">
        <f>IFERROR(_xlfn.XLOOKUP(A720,'2025 EOY'!A:A,'2025 EOY'!B:B),"No")</f>
        <v>No</v>
      </c>
    </row>
    <row r="721" spans="1:21" x14ac:dyDescent="0.35">
      <c r="A721" s="37" t="s">
        <v>127</v>
      </c>
      <c r="B721" s="12">
        <v>45761</v>
      </c>
      <c r="C721" s="10" t="s">
        <v>3</v>
      </c>
      <c r="D721" s="4" t="s">
        <v>128</v>
      </c>
      <c r="E721" s="253">
        <v>1500</v>
      </c>
      <c r="F721" s="172">
        <v>45838</v>
      </c>
      <c r="G721" s="172">
        <v>45869</v>
      </c>
      <c r="H721" s="15">
        <v>0.45</v>
      </c>
      <c r="I721" s="192">
        <v>0.55000000000000004</v>
      </c>
      <c r="J721" s="9">
        <v>150.00000000000006</v>
      </c>
      <c r="K721">
        <v>675</v>
      </c>
      <c r="L721" s="14" t="s">
        <v>74</v>
      </c>
      <c r="M721" s="8" t="s">
        <v>131</v>
      </c>
      <c r="N721">
        <v>825.00000000000011</v>
      </c>
      <c r="O721" s="38" t="s">
        <v>4</v>
      </c>
      <c r="P721" s="38" t="s">
        <v>3</v>
      </c>
      <c r="Q721">
        <v>2025</v>
      </c>
      <c r="R721" t="s">
        <v>131</v>
      </c>
      <c r="S721" t="s">
        <v>14</v>
      </c>
      <c r="T721" t="s">
        <v>909</v>
      </c>
      <c r="U721" t="str">
        <f>IFERROR(_xlfn.XLOOKUP(A721,'2025 EOY'!A:A,'2025 EOY'!B:B),"No")</f>
        <v>No</v>
      </c>
    </row>
    <row r="722" spans="1:21" x14ac:dyDescent="0.35">
      <c r="A722" s="37" t="s">
        <v>127</v>
      </c>
      <c r="B722" s="12">
        <v>45763</v>
      </c>
      <c r="C722" s="10" t="s">
        <v>3</v>
      </c>
      <c r="D722" s="4" t="s">
        <v>128</v>
      </c>
      <c r="E722" s="253">
        <v>500</v>
      </c>
      <c r="F722" s="172">
        <v>45808</v>
      </c>
      <c r="G722" s="172">
        <v>45838</v>
      </c>
      <c r="H722" s="15">
        <v>0.56999999999999995</v>
      </c>
      <c r="I722" s="192">
        <v>0.67</v>
      </c>
      <c r="J722" s="9">
        <v>50.000000000000043</v>
      </c>
      <c r="K722">
        <v>285</v>
      </c>
      <c r="L722" s="14" t="s">
        <v>58</v>
      </c>
      <c r="M722" s="8" t="s">
        <v>131</v>
      </c>
      <c r="N722">
        <v>335</v>
      </c>
      <c r="O722" s="38" t="s">
        <v>4</v>
      </c>
      <c r="P722" s="38" t="s">
        <v>3</v>
      </c>
      <c r="Q722">
        <v>2025</v>
      </c>
      <c r="R722" t="s">
        <v>131</v>
      </c>
      <c r="S722" t="s">
        <v>14</v>
      </c>
      <c r="T722" t="s">
        <v>910</v>
      </c>
      <c r="U722" t="str">
        <f>IFERROR(_xlfn.XLOOKUP(A722,'2025 EOY'!A:A,'2025 EOY'!B:B),"No")</f>
        <v>No</v>
      </c>
    </row>
    <row r="723" spans="1:21" x14ac:dyDescent="0.35">
      <c r="A723" s="37" t="s">
        <v>127</v>
      </c>
      <c r="B723" s="12">
        <v>45763</v>
      </c>
      <c r="C723" s="10" t="s">
        <v>3</v>
      </c>
      <c r="D723" s="4" t="s">
        <v>128</v>
      </c>
      <c r="E723" s="253">
        <v>500</v>
      </c>
      <c r="F723" s="172">
        <v>45838</v>
      </c>
      <c r="G723" s="172">
        <v>45869</v>
      </c>
      <c r="H723" s="15">
        <v>0.52</v>
      </c>
      <c r="I723" s="192">
        <v>0.55000000000000004</v>
      </c>
      <c r="J723" s="9">
        <v>15.000000000000014</v>
      </c>
      <c r="K723">
        <v>260</v>
      </c>
      <c r="L723" s="14" t="s">
        <v>74</v>
      </c>
      <c r="M723" s="8" t="s">
        <v>131</v>
      </c>
      <c r="N723">
        <v>275</v>
      </c>
      <c r="O723" s="38" t="s">
        <v>4</v>
      </c>
      <c r="P723" s="38" t="s">
        <v>3</v>
      </c>
      <c r="Q723">
        <v>2025</v>
      </c>
      <c r="R723" t="s">
        <v>131</v>
      </c>
      <c r="S723" t="s">
        <v>14</v>
      </c>
      <c r="T723" t="s">
        <v>911</v>
      </c>
      <c r="U723" t="str">
        <f>IFERROR(_xlfn.XLOOKUP(A723,'2025 EOY'!A:A,'2025 EOY'!B:B),"No")</f>
        <v>No</v>
      </c>
    </row>
    <row r="724" spans="1:21" x14ac:dyDescent="0.35">
      <c r="A724" s="37" t="s">
        <v>127</v>
      </c>
      <c r="B724" s="12">
        <v>45763</v>
      </c>
      <c r="C724" s="10" t="s">
        <v>7</v>
      </c>
      <c r="D724" s="4" t="s">
        <v>128</v>
      </c>
      <c r="E724" s="253">
        <v>500</v>
      </c>
      <c r="F724" s="172">
        <v>45838</v>
      </c>
      <c r="G724" s="172">
        <v>45869</v>
      </c>
      <c r="H724" s="15">
        <v>0.88</v>
      </c>
      <c r="I724" s="192">
        <v>2.06</v>
      </c>
      <c r="J724" s="9">
        <v>590.00000000000011</v>
      </c>
      <c r="K724">
        <v>440</v>
      </c>
      <c r="L724" s="14" t="s">
        <v>74</v>
      </c>
      <c r="M724" s="8" t="s">
        <v>131</v>
      </c>
      <c r="N724">
        <v>1030</v>
      </c>
      <c r="O724" s="38" t="s">
        <v>4</v>
      </c>
      <c r="P724" s="38" t="s">
        <v>7</v>
      </c>
      <c r="Q724">
        <v>2025</v>
      </c>
      <c r="R724" t="s">
        <v>131</v>
      </c>
      <c r="S724" t="s">
        <v>14</v>
      </c>
      <c r="T724" t="s">
        <v>912</v>
      </c>
      <c r="U724" t="str">
        <f>IFERROR(_xlfn.XLOOKUP(A724,'2025 EOY'!A:A,'2025 EOY'!B:B),"No")</f>
        <v>No</v>
      </c>
    </row>
    <row r="725" spans="1:21" x14ac:dyDescent="0.35">
      <c r="A725" s="37" t="s">
        <v>913</v>
      </c>
      <c r="B725" s="12">
        <v>45764</v>
      </c>
      <c r="C725" s="10" t="s">
        <v>19</v>
      </c>
      <c r="D725" s="10" t="s">
        <v>268</v>
      </c>
      <c r="E725" s="259">
        <v>1198</v>
      </c>
      <c r="F725" s="172">
        <v>45808</v>
      </c>
      <c r="G725" s="172">
        <v>45808</v>
      </c>
      <c r="H725" s="15">
        <v>4.4113465826466314</v>
      </c>
      <c r="I725" s="201">
        <v>4.3600000000000003</v>
      </c>
      <c r="J725" s="9">
        <v>-61.513206010664007</v>
      </c>
      <c r="K725">
        <v>5344.4562772661166</v>
      </c>
      <c r="L725" s="14" t="s">
        <v>65</v>
      </c>
      <c r="M725" s="8" t="s">
        <v>131</v>
      </c>
      <c r="N725">
        <v>5223.2800000000007</v>
      </c>
      <c r="O725" s="38" t="s">
        <v>19</v>
      </c>
      <c r="P725" s="38" t="s">
        <v>19</v>
      </c>
      <c r="Q725">
        <v>2025</v>
      </c>
      <c r="R725" t="s">
        <v>131</v>
      </c>
      <c r="S725" t="s">
        <v>96</v>
      </c>
      <c r="T725" t="s">
        <v>914</v>
      </c>
      <c r="U725" t="str">
        <f>IFERROR(_xlfn.XLOOKUP(A725,'2025 EOY'!A:A,'2025 EOY'!B:B),"No")</f>
        <v>No</v>
      </c>
    </row>
    <row r="726" spans="1:21" x14ac:dyDescent="0.35">
      <c r="A726" s="37" t="s">
        <v>913</v>
      </c>
      <c r="B726" s="12">
        <v>45764</v>
      </c>
      <c r="C726" s="10" t="s">
        <v>19</v>
      </c>
      <c r="D726" s="10" t="s">
        <v>268</v>
      </c>
      <c r="E726" s="259">
        <v>550</v>
      </c>
      <c r="F726" s="172">
        <v>45808</v>
      </c>
      <c r="G726" s="172">
        <v>45808</v>
      </c>
      <c r="H726" s="15">
        <v>4.511346582646631</v>
      </c>
      <c r="I726" s="201">
        <v>4.3600000000000003</v>
      </c>
      <c r="J726" s="9">
        <v>-83.240620455646891</v>
      </c>
      <c r="K726">
        <v>2508.631846825012</v>
      </c>
      <c r="L726" s="14" t="s">
        <v>65</v>
      </c>
      <c r="M726" s="8" t="s">
        <v>131</v>
      </c>
      <c r="N726">
        <v>2398</v>
      </c>
      <c r="O726" s="38" t="s">
        <v>19</v>
      </c>
      <c r="P726" s="38" t="s">
        <v>19</v>
      </c>
      <c r="Q726">
        <v>2025</v>
      </c>
      <c r="R726" t="s">
        <v>131</v>
      </c>
      <c r="S726" t="s">
        <v>96</v>
      </c>
      <c r="T726" t="s">
        <v>915</v>
      </c>
      <c r="U726" t="str">
        <f>IFERROR(_xlfn.XLOOKUP(A726,'2025 EOY'!A:A,'2025 EOY'!B:B),"No")</f>
        <v>No</v>
      </c>
    </row>
    <row r="727" spans="1:21" x14ac:dyDescent="0.35">
      <c r="A727" s="37" t="s">
        <v>913</v>
      </c>
      <c r="B727" s="12">
        <v>45764</v>
      </c>
      <c r="C727" s="10" t="s">
        <v>19</v>
      </c>
      <c r="D727" s="10" t="s">
        <v>268</v>
      </c>
      <c r="E727" s="259">
        <v>315</v>
      </c>
      <c r="F727" s="172">
        <v>45808</v>
      </c>
      <c r="G727" s="172">
        <v>45808</v>
      </c>
      <c r="H727" s="15">
        <v>4.3113465826466308</v>
      </c>
      <c r="I727" s="201">
        <v>4.16</v>
      </c>
      <c r="J727" s="9">
        <v>-47.674173533688673</v>
      </c>
      <c r="K727">
        <v>1373.7618759088705</v>
      </c>
      <c r="L727" s="14" t="s">
        <v>65</v>
      </c>
      <c r="M727" s="8" t="s">
        <v>131</v>
      </c>
      <c r="N727">
        <v>1310.4000000000001</v>
      </c>
      <c r="O727" s="38" t="s">
        <v>19</v>
      </c>
      <c r="P727" s="38" t="s">
        <v>19</v>
      </c>
      <c r="Q727">
        <v>2025</v>
      </c>
      <c r="R727" t="s">
        <v>131</v>
      </c>
      <c r="S727" t="s">
        <v>96</v>
      </c>
      <c r="T727" t="s">
        <v>916</v>
      </c>
      <c r="U727" t="str">
        <f>IFERROR(_xlfn.XLOOKUP(A727,'2025 EOY'!A:A,'2025 EOY'!B:B),"No")</f>
        <v>No</v>
      </c>
    </row>
    <row r="728" spans="1:21" x14ac:dyDescent="0.35">
      <c r="A728" s="37" t="s">
        <v>913</v>
      </c>
      <c r="B728" s="12">
        <v>45764</v>
      </c>
      <c r="C728" s="10" t="s">
        <v>3</v>
      </c>
      <c r="D728" s="4" t="s">
        <v>268</v>
      </c>
      <c r="E728" s="253">
        <v>-2100</v>
      </c>
      <c r="F728" s="172">
        <v>45808</v>
      </c>
      <c r="G728" s="172">
        <v>45838</v>
      </c>
      <c r="H728" s="15">
        <v>0.65</v>
      </c>
      <c r="I728" s="192">
        <v>0.67</v>
      </c>
      <c r="J728" s="9">
        <v>-42.000000000000036</v>
      </c>
      <c r="K728">
        <v>-1365</v>
      </c>
      <c r="L728" s="14" t="s">
        <v>58</v>
      </c>
      <c r="M728" s="8" t="s">
        <v>129</v>
      </c>
      <c r="N728">
        <v>-1407</v>
      </c>
      <c r="O728" s="38" t="s">
        <v>4</v>
      </c>
      <c r="P728" s="38" t="s">
        <v>3</v>
      </c>
      <c r="Q728">
        <v>2025</v>
      </c>
      <c r="R728" t="s">
        <v>129</v>
      </c>
      <c r="S728" t="s">
        <v>14</v>
      </c>
      <c r="T728" t="s">
        <v>917</v>
      </c>
      <c r="U728" t="str">
        <f>IFERROR(_xlfn.XLOOKUP(A728,'2025 EOY'!A:A,'2025 EOY'!B:B),"No")</f>
        <v>No</v>
      </c>
    </row>
    <row r="729" spans="1:21" x14ac:dyDescent="0.35">
      <c r="A729" s="37" t="s">
        <v>913</v>
      </c>
      <c r="B729" s="12">
        <v>45764</v>
      </c>
      <c r="C729" s="10" t="s">
        <v>3</v>
      </c>
      <c r="D729" s="4" t="s">
        <v>268</v>
      </c>
      <c r="E729" s="253">
        <v>-2100</v>
      </c>
      <c r="F729" s="172">
        <v>45838</v>
      </c>
      <c r="G729" s="172">
        <v>45869</v>
      </c>
      <c r="H729" s="15">
        <v>0.63</v>
      </c>
      <c r="I729" s="192">
        <v>0.55000000000000004</v>
      </c>
      <c r="J729" s="9">
        <v>167.99999999999991</v>
      </c>
      <c r="K729">
        <v>-1323</v>
      </c>
      <c r="L729" s="14" t="s">
        <v>74</v>
      </c>
      <c r="M729" s="8" t="s">
        <v>129</v>
      </c>
      <c r="N729">
        <v>-1155</v>
      </c>
      <c r="O729" s="38" t="s">
        <v>4</v>
      </c>
      <c r="P729" s="38" t="s">
        <v>3</v>
      </c>
      <c r="Q729">
        <v>2025</v>
      </c>
      <c r="R729" t="s">
        <v>129</v>
      </c>
      <c r="S729" t="s">
        <v>14</v>
      </c>
      <c r="T729" t="s">
        <v>918</v>
      </c>
      <c r="U729" t="str">
        <f>IFERROR(_xlfn.XLOOKUP(A729,'2025 EOY'!A:A,'2025 EOY'!B:B),"No")</f>
        <v>No</v>
      </c>
    </row>
    <row r="730" spans="1:21" x14ac:dyDescent="0.35">
      <c r="A730" s="37" t="s">
        <v>913</v>
      </c>
      <c r="B730" s="12">
        <v>45764</v>
      </c>
      <c r="C730" s="10" t="s">
        <v>10</v>
      </c>
      <c r="D730" s="4" t="s">
        <v>268</v>
      </c>
      <c r="E730" s="253">
        <v>-2063</v>
      </c>
      <c r="F730" s="172">
        <v>45869</v>
      </c>
      <c r="G730" s="172">
        <v>45869</v>
      </c>
      <c r="H730" s="15">
        <v>-3.69</v>
      </c>
      <c r="I730" s="192">
        <v>-3.11</v>
      </c>
      <c r="J730" s="9">
        <v>-1196.5400000000002</v>
      </c>
      <c r="K730">
        <v>7612.47</v>
      </c>
      <c r="L730" s="14" t="s">
        <v>75</v>
      </c>
      <c r="M730" s="8" t="s">
        <v>129</v>
      </c>
      <c r="N730">
        <v>6415.9299999999994</v>
      </c>
      <c r="O730" s="38" t="s">
        <v>11</v>
      </c>
      <c r="P730" s="38" t="s">
        <v>10</v>
      </c>
      <c r="Q730">
        <v>2025</v>
      </c>
      <c r="R730" t="s">
        <v>129</v>
      </c>
      <c r="S730" t="s">
        <v>14</v>
      </c>
      <c r="T730" t="s">
        <v>919</v>
      </c>
      <c r="U730" t="str">
        <f>IFERROR(_xlfn.XLOOKUP(A730,'2025 EOY'!A:A,'2025 EOY'!B:B),"No")</f>
        <v>No</v>
      </c>
    </row>
    <row r="731" spans="1:21" x14ac:dyDescent="0.35">
      <c r="A731" s="37" t="s">
        <v>913</v>
      </c>
      <c r="B731" s="12">
        <v>45764</v>
      </c>
      <c r="C731" s="10" t="s">
        <v>7</v>
      </c>
      <c r="D731" s="4" t="s">
        <v>268</v>
      </c>
      <c r="E731" s="253">
        <v>-2063</v>
      </c>
      <c r="F731" s="172">
        <v>45869</v>
      </c>
      <c r="G731" s="172">
        <v>45900</v>
      </c>
      <c r="H731" s="15">
        <v>0.64</v>
      </c>
      <c r="I731" s="192">
        <v>1.1200000000000001</v>
      </c>
      <c r="J731" s="9">
        <v>-990.24000000000024</v>
      </c>
      <c r="K731">
        <v>-1320.32</v>
      </c>
      <c r="L731" s="14" t="s">
        <v>76</v>
      </c>
      <c r="M731" s="8" t="s">
        <v>129</v>
      </c>
      <c r="N731">
        <v>-2310.5600000000004</v>
      </c>
      <c r="O731" s="38" t="s">
        <v>4</v>
      </c>
      <c r="P731" s="38" t="s">
        <v>7</v>
      </c>
      <c r="Q731">
        <v>2025</v>
      </c>
      <c r="R731" t="s">
        <v>129</v>
      </c>
      <c r="S731" t="s">
        <v>14</v>
      </c>
      <c r="T731" t="s">
        <v>920</v>
      </c>
      <c r="U731" t="str">
        <f>IFERROR(_xlfn.XLOOKUP(A731,'2025 EOY'!A:A,'2025 EOY'!B:B),"No")</f>
        <v>No</v>
      </c>
    </row>
    <row r="732" spans="1:21" x14ac:dyDescent="0.35">
      <c r="A732" s="37" t="s">
        <v>913</v>
      </c>
      <c r="B732" s="12">
        <v>45764</v>
      </c>
      <c r="C732" s="10" t="s">
        <v>7</v>
      </c>
      <c r="D732" s="4" t="s">
        <v>268</v>
      </c>
      <c r="E732" s="253">
        <v>-2063</v>
      </c>
      <c r="F732" s="172">
        <v>45900</v>
      </c>
      <c r="G732" s="172">
        <v>45930</v>
      </c>
      <c r="H732" s="15">
        <v>0.46</v>
      </c>
      <c r="I732" s="192">
        <v>0.87</v>
      </c>
      <c r="J732" s="9">
        <v>-845.82999999999993</v>
      </c>
      <c r="K732">
        <v>-948.98</v>
      </c>
      <c r="L732" s="14" t="s">
        <v>77</v>
      </c>
      <c r="M732" s="8" t="s">
        <v>129</v>
      </c>
      <c r="N732">
        <v>-1794.81</v>
      </c>
      <c r="O732" s="38" t="s">
        <v>4</v>
      </c>
      <c r="P732" s="38" t="s">
        <v>7</v>
      </c>
      <c r="Q732">
        <v>2025</v>
      </c>
      <c r="R732" t="s">
        <v>129</v>
      </c>
      <c r="S732" t="s">
        <v>14</v>
      </c>
      <c r="T732" t="s">
        <v>921</v>
      </c>
      <c r="U732" t="str">
        <f>IFERROR(_xlfn.XLOOKUP(A732,'2025 EOY'!A:A,'2025 EOY'!B:B),"No")</f>
        <v>No</v>
      </c>
    </row>
    <row r="733" spans="1:21" x14ac:dyDescent="0.35">
      <c r="A733" s="37" t="s">
        <v>922</v>
      </c>
      <c r="B733" s="12">
        <v>45764</v>
      </c>
      <c r="C733" s="10" t="s">
        <v>19</v>
      </c>
      <c r="D733" s="10" t="s">
        <v>268</v>
      </c>
      <c r="E733" s="259">
        <v>700</v>
      </c>
      <c r="F733" s="172">
        <v>45808</v>
      </c>
      <c r="G733" s="172">
        <v>45808</v>
      </c>
      <c r="H733" s="120">
        <v>2.33</v>
      </c>
      <c r="I733" s="201">
        <v>2</v>
      </c>
      <c r="J733" s="9">
        <v>-231.00000000000006</v>
      </c>
      <c r="K733">
        <v>1631</v>
      </c>
      <c r="L733" s="14" t="s">
        <v>65</v>
      </c>
      <c r="M733" s="8" t="s">
        <v>131</v>
      </c>
      <c r="N733">
        <v>1400</v>
      </c>
      <c r="O733" s="38" t="s">
        <v>19</v>
      </c>
      <c r="P733" s="38" t="s">
        <v>19</v>
      </c>
      <c r="Q733">
        <v>2025</v>
      </c>
      <c r="R733" t="s">
        <v>131</v>
      </c>
      <c r="S733" t="s">
        <v>96</v>
      </c>
      <c r="T733" t="s">
        <v>923</v>
      </c>
      <c r="U733" t="str">
        <f>IFERROR(_xlfn.XLOOKUP(A733,'2025 EOY'!A:A,'2025 EOY'!B:B),"No")</f>
        <v>No</v>
      </c>
    </row>
    <row r="734" spans="1:21" x14ac:dyDescent="0.35">
      <c r="A734" s="37" t="s">
        <v>922</v>
      </c>
      <c r="B734" s="12">
        <v>45764</v>
      </c>
      <c r="C734" s="10" t="s">
        <v>3</v>
      </c>
      <c r="D734" s="4" t="s">
        <v>268</v>
      </c>
      <c r="E734" s="253">
        <v>-700</v>
      </c>
      <c r="F734" s="172">
        <v>45808</v>
      </c>
      <c r="G734" s="172">
        <v>45838</v>
      </c>
      <c r="H734" s="15">
        <v>0.64</v>
      </c>
      <c r="I734" s="192">
        <v>0.67</v>
      </c>
      <c r="J734" s="9">
        <v>-21.000000000000018</v>
      </c>
      <c r="K734">
        <v>-448</v>
      </c>
      <c r="L734" s="14" t="s">
        <v>58</v>
      </c>
      <c r="M734" s="8" t="s">
        <v>129</v>
      </c>
      <c r="N734">
        <v>-469</v>
      </c>
      <c r="O734" s="38" t="s">
        <v>4</v>
      </c>
      <c r="P734" s="38" t="s">
        <v>3</v>
      </c>
      <c r="Q734">
        <v>2025</v>
      </c>
      <c r="R734" t="s">
        <v>129</v>
      </c>
      <c r="S734" t="s">
        <v>14</v>
      </c>
      <c r="T734" t="s">
        <v>924</v>
      </c>
      <c r="U734" t="str">
        <f>IFERROR(_xlfn.XLOOKUP(A734,'2025 EOY'!A:A,'2025 EOY'!B:B),"No")</f>
        <v>No</v>
      </c>
    </row>
    <row r="735" spans="1:21" x14ac:dyDescent="0.35">
      <c r="A735" s="37" t="s">
        <v>922</v>
      </c>
      <c r="B735" s="12">
        <v>45764</v>
      </c>
      <c r="C735" s="10" t="s">
        <v>10</v>
      </c>
      <c r="D735" s="4" t="s">
        <v>268</v>
      </c>
      <c r="E735" s="253">
        <v>-700</v>
      </c>
      <c r="F735" s="172">
        <v>45838</v>
      </c>
      <c r="G735" s="172">
        <v>45838</v>
      </c>
      <c r="H735" s="15">
        <v>-3.96</v>
      </c>
      <c r="I735" s="192">
        <v>-4.91</v>
      </c>
      <c r="J735" s="9">
        <v>665.00000000000011</v>
      </c>
      <c r="K735">
        <v>2772</v>
      </c>
      <c r="L735" s="14" t="s">
        <v>73</v>
      </c>
      <c r="M735" s="8" t="s">
        <v>129</v>
      </c>
      <c r="N735">
        <v>3437</v>
      </c>
      <c r="O735" s="38" t="s">
        <v>11</v>
      </c>
      <c r="P735" s="38" t="s">
        <v>10</v>
      </c>
      <c r="Q735">
        <v>2025</v>
      </c>
      <c r="R735" t="s">
        <v>129</v>
      </c>
      <c r="S735" t="s">
        <v>14</v>
      </c>
      <c r="T735" t="s">
        <v>925</v>
      </c>
      <c r="U735" t="str">
        <f>IFERROR(_xlfn.XLOOKUP(A735,'2025 EOY'!A:A,'2025 EOY'!B:B),"No")</f>
        <v>No</v>
      </c>
    </row>
    <row r="736" spans="1:21" x14ac:dyDescent="0.35">
      <c r="A736" s="37" t="s">
        <v>922</v>
      </c>
      <c r="B736" s="12">
        <v>45764</v>
      </c>
      <c r="C736" s="10" t="s">
        <v>7</v>
      </c>
      <c r="D736" s="4" t="s">
        <v>268</v>
      </c>
      <c r="E736" s="253">
        <v>-700</v>
      </c>
      <c r="F736" s="172">
        <v>45838</v>
      </c>
      <c r="G736" s="172">
        <v>45869</v>
      </c>
      <c r="H736" s="15">
        <v>0.88</v>
      </c>
      <c r="I736" s="192">
        <v>2.06</v>
      </c>
      <c r="J736" s="9">
        <v>-826.00000000000011</v>
      </c>
      <c r="K736">
        <v>-616</v>
      </c>
      <c r="L736" s="14" t="s">
        <v>74</v>
      </c>
      <c r="M736" s="8" t="s">
        <v>129</v>
      </c>
      <c r="N736">
        <v>-1442</v>
      </c>
      <c r="O736" s="38" t="s">
        <v>4</v>
      </c>
      <c r="P736" s="38" t="s">
        <v>7</v>
      </c>
      <c r="Q736">
        <v>2025</v>
      </c>
      <c r="R736" t="s">
        <v>129</v>
      </c>
      <c r="S736" t="s">
        <v>14</v>
      </c>
      <c r="T736" t="s">
        <v>926</v>
      </c>
      <c r="U736" t="str">
        <f>IFERROR(_xlfn.XLOOKUP(A736,'2025 EOY'!A:A,'2025 EOY'!B:B),"No")</f>
        <v>No</v>
      </c>
    </row>
    <row r="737" spans="1:21" x14ac:dyDescent="0.35">
      <c r="A737" s="37" t="s">
        <v>922</v>
      </c>
      <c r="B737" s="12">
        <v>45764</v>
      </c>
      <c r="C737" s="10" t="s">
        <v>15</v>
      </c>
      <c r="D737" s="4" t="s">
        <v>268</v>
      </c>
      <c r="E737" s="253">
        <v>700</v>
      </c>
      <c r="F737" s="173">
        <v>45808</v>
      </c>
      <c r="G737" s="172">
        <v>45808</v>
      </c>
      <c r="H737" s="15">
        <v>1.26</v>
      </c>
      <c r="I737" s="191">
        <v>0.14121300000000001</v>
      </c>
      <c r="J737" s="9">
        <v>-783.15089999999998</v>
      </c>
      <c r="K737">
        <v>882</v>
      </c>
      <c r="L737" s="14" t="s">
        <v>65</v>
      </c>
      <c r="M737" s="8" t="s">
        <v>131</v>
      </c>
      <c r="N737">
        <v>98.849100000000007</v>
      </c>
      <c r="O737" s="38" t="s">
        <v>11</v>
      </c>
      <c r="P737" s="38" t="s">
        <v>16</v>
      </c>
      <c r="Q737">
        <v>2025</v>
      </c>
      <c r="R737" t="s">
        <v>131</v>
      </c>
      <c r="S737" t="s">
        <v>14</v>
      </c>
      <c r="T737" t="s">
        <v>927</v>
      </c>
      <c r="U737" t="str">
        <f>IFERROR(_xlfn.XLOOKUP(A737,'2025 EOY'!A:A,'2025 EOY'!B:B),"No")</f>
        <v>No</v>
      </c>
    </row>
    <row r="738" spans="1:21" x14ac:dyDescent="0.35">
      <c r="A738" s="37" t="s">
        <v>928</v>
      </c>
      <c r="B738" s="12">
        <v>45764</v>
      </c>
      <c r="C738" s="10" t="s">
        <v>19</v>
      </c>
      <c r="D738" s="10" t="s">
        <v>268</v>
      </c>
      <c r="E738" s="259">
        <v>700</v>
      </c>
      <c r="F738" s="172">
        <v>45808</v>
      </c>
      <c r="G738" s="172">
        <v>45808</v>
      </c>
      <c r="H738" s="120">
        <v>2.33</v>
      </c>
      <c r="I738" s="201">
        <v>2</v>
      </c>
      <c r="J738" s="9">
        <v>-231.00000000000006</v>
      </c>
      <c r="K738">
        <v>1631</v>
      </c>
      <c r="L738" s="14" t="s">
        <v>65</v>
      </c>
      <c r="M738" s="8" t="s">
        <v>131</v>
      </c>
      <c r="N738">
        <v>1400</v>
      </c>
      <c r="O738" s="38" t="s">
        <v>19</v>
      </c>
      <c r="P738" s="38" t="s">
        <v>19</v>
      </c>
      <c r="Q738">
        <v>2025</v>
      </c>
      <c r="R738" t="s">
        <v>131</v>
      </c>
      <c r="S738" t="s">
        <v>96</v>
      </c>
      <c r="T738" t="s">
        <v>929</v>
      </c>
      <c r="U738" t="str">
        <f>IFERROR(_xlfn.XLOOKUP(A738,'2025 EOY'!A:A,'2025 EOY'!B:B),"No")</f>
        <v>No</v>
      </c>
    </row>
    <row r="739" spans="1:21" x14ac:dyDescent="0.35">
      <c r="A739" s="37" t="s">
        <v>928</v>
      </c>
      <c r="B739" s="12">
        <v>45764</v>
      </c>
      <c r="C739" s="10" t="s">
        <v>3</v>
      </c>
      <c r="D739" s="4" t="s">
        <v>268</v>
      </c>
      <c r="E739" s="253">
        <v>-700</v>
      </c>
      <c r="F739" s="172">
        <v>45808</v>
      </c>
      <c r="G739" s="172">
        <v>45838</v>
      </c>
      <c r="H739" s="15">
        <v>0.64</v>
      </c>
      <c r="I739" s="192">
        <v>0.67</v>
      </c>
      <c r="J739" s="9">
        <v>-21.000000000000018</v>
      </c>
      <c r="K739">
        <v>-448</v>
      </c>
      <c r="L739" s="14" t="s">
        <v>58</v>
      </c>
      <c r="M739" s="8" t="s">
        <v>129</v>
      </c>
      <c r="N739">
        <v>-469</v>
      </c>
      <c r="O739" s="38" t="s">
        <v>4</v>
      </c>
      <c r="P739" s="38" t="s">
        <v>3</v>
      </c>
      <c r="Q739">
        <v>2025</v>
      </c>
      <c r="R739" t="s">
        <v>129</v>
      </c>
      <c r="S739" t="s">
        <v>14</v>
      </c>
      <c r="T739" t="s">
        <v>930</v>
      </c>
      <c r="U739" t="str">
        <f>IFERROR(_xlfn.XLOOKUP(A739,'2025 EOY'!A:A,'2025 EOY'!B:B),"No")</f>
        <v>No</v>
      </c>
    </row>
    <row r="740" spans="1:21" x14ac:dyDescent="0.35">
      <c r="A740" s="37" t="s">
        <v>928</v>
      </c>
      <c r="B740" s="12">
        <v>45764</v>
      </c>
      <c r="C740" s="10" t="s">
        <v>10</v>
      </c>
      <c r="D740" s="4" t="s">
        <v>268</v>
      </c>
      <c r="E740" s="253">
        <v>-700</v>
      </c>
      <c r="F740" s="172">
        <v>45838</v>
      </c>
      <c r="G740" s="172">
        <v>45838</v>
      </c>
      <c r="H740" s="15">
        <v>-3.96</v>
      </c>
      <c r="I740" s="192">
        <v>-4.91</v>
      </c>
      <c r="J740" s="9">
        <v>665.00000000000011</v>
      </c>
      <c r="K740">
        <v>2772</v>
      </c>
      <c r="L740" s="14" t="s">
        <v>73</v>
      </c>
      <c r="M740" s="8" t="s">
        <v>129</v>
      </c>
      <c r="N740">
        <v>3437</v>
      </c>
      <c r="O740" s="38" t="s">
        <v>11</v>
      </c>
      <c r="P740" s="38" t="s">
        <v>10</v>
      </c>
      <c r="Q740">
        <v>2025</v>
      </c>
      <c r="R740" t="s">
        <v>129</v>
      </c>
      <c r="S740" t="s">
        <v>14</v>
      </c>
      <c r="T740" t="s">
        <v>931</v>
      </c>
      <c r="U740" t="str">
        <f>IFERROR(_xlfn.XLOOKUP(A740,'2025 EOY'!A:A,'2025 EOY'!B:B),"No")</f>
        <v>No</v>
      </c>
    </row>
    <row r="741" spans="1:21" x14ac:dyDescent="0.35">
      <c r="A741" s="37" t="s">
        <v>928</v>
      </c>
      <c r="B741" s="12">
        <v>45764</v>
      </c>
      <c r="C741" s="10" t="s">
        <v>7</v>
      </c>
      <c r="D741" s="4" t="s">
        <v>268</v>
      </c>
      <c r="E741" s="253">
        <v>-700</v>
      </c>
      <c r="F741" s="172">
        <v>45838</v>
      </c>
      <c r="G741" s="172">
        <v>45869</v>
      </c>
      <c r="H741" s="15">
        <v>0.88</v>
      </c>
      <c r="I741" s="192">
        <v>2.06</v>
      </c>
      <c r="J741" s="9">
        <v>-826.00000000000011</v>
      </c>
      <c r="K741">
        <v>-616</v>
      </c>
      <c r="L741" s="14" t="s">
        <v>74</v>
      </c>
      <c r="M741" s="8" t="s">
        <v>129</v>
      </c>
      <c r="N741">
        <v>-1442</v>
      </c>
      <c r="O741" s="38" t="s">
        <v>4</v>
      </c>
      <c r="P741" s="38" t="s">
        <v>7</v>
      </c>
      <c r="Q741">
        <v>2025</v>
      </c>
      <c r="R741" t="s">
        <v>129</v>
      </c>
      <c r="S741" t="s">
        <v>14</v>
      </c>
      <c r="T741" t="s">
        <v>932</v>
      </c>
      <c r="U741" t="str">
        <f>IFERROR(_xlfn.XLOOKUP(A741,'2025 EOY'!A:A,'2025 EOY'!B:B),"No")</f>
        <v>No</v>
      </c>
    </row>
    <row r="742" spans="1:21" x14ac:dyDescent="0.35">
      <c r="A742" s="37" t="s">
        <v>928</v>
      </c>
      <c r="B742" s="12">
        <v>45764</v>
      </c>
      <c r="C742" s="10" t="s">
        <v>15</v>
      </c>
      <c r="D742" s="4" t="s">
        <v>268</v>
      </c>
      <c r="E742" s="253">
        <v>700</v>
      </c>
      <c r="F742" s="173">
        <v>45808</v>
      </c>
      <c r="G742" s="172">
        <v>45808</v>
      </c>
      <c r="H742" s="15">
        <v>1.26</v>
      </c>
      <c r="I742" s="191">
        <v>0.14121300000000001</v>
      </c>
      <c r="J742" s="9">
        <v>-783.15089999999998</v>
      </c>
      <c r="K742">
        <v>882</v>
      </c>
      <c r="L742" s="14" t="s">
        <v>65</v>
      </c>
      <c r="M742" s="8" t="s">
        <v>131</v>
      </c>
      <c r="N742">
        <v>98.849100000000007</v>
      </c>
      <c r="O742" s="38" t="s">
        <v>11</v>
      </c>
      <c r="P742" s="38" t="s">
        <v>16</v>
      </c>
      <c r="Q742">
        <v>2025</v>
      </c>
      <c r="R742" t="s">
        <v>131</v>
      </c>
      <c r="S742" t="s">
        <v>14</v>
      </c>
      <c r="T742" t="s">
        <v>933</v>
      </c>
      <c r="U742" t="str">
        <f>IFERROR(_xlfn.XLOOKUP(A742,'2025 EOY'!A:A,'2025 EOY'!B:B),"No")</f>
        <v>No</v>
      </c>
    </row>
    <row r="743" spans="1:21" x14ac:dyDescent="0.35">
      <c r="A743" s="37" t="s">
        <v>127</v>
      </c>
      <c r="B743" s="12">
        <v>45763</v>
      </c>
      <c r="C743" s="10" t="s">
        <v>3</v>
      </c>
      <c r="D743" s="4" t="s">
        <v>128</v>
      </c>
      <c r="E743" s="253">
        <v>2000</v>
      </c>
      <c r="F743" s="172">
        <v>45808</v>
      </c>
      <c r="G743" s="172">
        <v>45838</v>
      </c>
      <c r="H743" s="15">
        <v>0.67</v>
      </c>
      <c r="I743" s="192">
        <v>0.67</v>
      </c>
      <c r="J743" s="9">
        <v>0</v>
      </c>
      <c r="K743">
        <v>1340</v>
      </c>
      <c r="L743" s="14" t="s">
        <v>58</v>
      </c>
      <c r="M743" s="8" t="s">
        <v>131</v>
      </c>
      <c r="N743">
        <v>1340</v>
      </c>
      <c r="O743" s="38" t="s">
        <v>4</v>
      </c>
      <c r="P743" s="38" t="s">
        <v>3</v>
      </c>
      <c r="Q743">
        <v>2025</v>
      </c>
      <c r="R743" t="s">
        <v>131</v>
      </c>
      <c r="S743" t="s">
        <v>14</v>
      </c>
      <c r="T743" t="s">
        <v>934</v>
      </c>
      <c r="U743" t="str">
        <f>IFERROR(_xlfn.XLOOKUP(A743,'2025 EOY'!A:A,'2025 EOY'!B:B),"No")</f>
        <v>No</v>
      </c>
    </row>
    <row r="744" spans="1:21" x14ac:dyDescent="0.35">
      <c r="A744" s="37" t="s">
        <v>127</v>
      </c>
      <c r="B744" s="12">
        <v>45764</v>
      </c>
      <c r="C744" s="10" t="s">
        <v>44</v>
      </c>
      <c r="D744" s="10" t="s">
        <v>268</v>
      </c>
      <c r="E744" s="259">
        <v>-865</v>
      </c>
      <c r="F744" s="172">
        <v>45808</v>
      </c>
      <c r="G744" s="172">
        <v>45808</v>
      </c>
      <c r="H744" s="15">
        <v>1.3</v>
      </c>
      <c r="I744" s="191">
        <v>1.0900000000000001</v>
      </c>
      <c r="J744" s="9">
        <v>181.64999999999998</v>
      </c>
      <c r="K744">
        <v>-1124.5</v>
      </c>
      <c r="L744" s="14" t="s">
        <v>65</v>
      </c>
      <c r="M744" s="8" t="s">
        <v>129</v>
      </c>
      <c r="N744">
        <v>-942.85</v>
      </c>
      <c r="O744" s="38" t="s">
        <v>11</v>
      </c>
      <c r="P744" s="38" t="s">
        <v>44</v>
      </c>
      <c r="Q744">
        <v>2025</v>
      </c>
      <c r="R744" t="s">
        <v>129</v>
      </c>
      <c r="S744" t="s">
        <v>14</v>
      </c>
      <c r="T744" t="s">
        <v>935</v>
      </c>
      <c r="U744" t="str">
        <f>IFERROR(_xlfn.XLOOKUP(A744,'2025 EOY'!A:A,'2025 EOY'!B:B),"No")</f>
        <v>No</v>
      </c>
    </row>
    <row r="745" spans="1:21" x14ac:dyDescent="0.35">
      <c r="A745" s="37" t="s">
        <v>127</v>
      </c>
      <c r="B745" s="12">
        <v>45772</v>
      </c>
      <c r="C745" s="10" t="s">
        <v>44</v>
      </c>
      <c r="D745" s="10" t="s">
        <v>128</v>
      </c>
      <c r="E745" s="259">
        <v>865</v>
      </c>
      <c r="F745" s="172">
        <v>45808</v>
      </c>
      <c r="G745" s="172">
        <v>45808</v>
      </c>
      <c r="H745" s="15">
        <v>1.0900000000000001</v>
      </c>
      <c r="I745" s="191">
        <v>1.0900000000000001</v>
      </c>
      <c r="J745" s="9">
        <v>0</v>
      </c>
      <c r="K745">
        <v>942.85</v>
      </c>
      <c r="L745" s="14" t="s">
        <v>65</v>
      </c>
      <c r="M745" s="8" t="s">
        <v>131</v>
      </c>
      <c r="N745">
        <v>942.85</v>
      </c>
      <c r="O745" s="38" t="s">
        <v>11</v>
      </c>
      <c r="P745" s="38" t="s">
        <v>44</v>
      </c>
      <c r="Q745">
        <v>2025</v>
      </c>
      <c r="R745" t="s">
        <v>131</v>
      </c>
      <c r="S745" t="s">
        <v>14</v>
      </c>
      <c r="T745" t="s">
        <v>936</v>
      </c>
      <c r="U745" t="str">
        <f>IFERROR(_xlfn.XLOOKUP(A745,'2025 EOY'!A:A,'2025 EOY'!B:B),"No")</f>
        <v>No</v>
      </c>
    </row>
    <row r="746" spans="1:21" x14ac:dyDescent="0.35">
      <c r="A746" s="37" t="s">
        <v>127</v>
      </c>
      <c r="B746" s="12">
        <v>45764</v>
      </c>
      <c r="C746" s="10" t="s">
        <v>3</v>
      </c>
      <c r="D746" s="4" t="s">
        <v>128</v>
      </c>
      <c r="E746" s="253">
        <v>2000</v>
      </c>
      <c r="F746" s="172">
        <v>45808</v>
      </c>
      <c r="G746" s="172">
        <v>45838</v>
      </c>
      <c r="H746" s="15">
        <v>0.67</v>
      </c>
      <c r="I746" s="192">
        <v>0.67</v>
      </c>
      <c r="J746" s="9">
        <v>0</v>
      </c>
      <c r="K746">
        <v>1340</v>
      </c>
      <c r="L746" s="14" t="s">
        <v>58</v>
      </c>
      <c r="M746" s="8" t="s">
        <v>131</v>
      </c>
      <c r="N746">
        <v>1340</v>
      </c>
      <c r="O746" s="38" t="s">
        <v>4</v>
      </c>
      <c r="P746" s="38" t="s">
        <v>3</v>
      </c>
      <c r="Q746">
        <v>2025</v>
      </c>
      <c r="R746" t="s">
        <v>131</v>
      </c>
      <c r="S746" t="s">
        <v>14</v>
      </c>
      <c r="T746" t="s">
        <v>937</v>
      </c>
      <c r="U746" t="str">
        <f>IFERROR(_xlfn.XLOOKUP(A746,'2025 EOY'!A:A,'2025 EOY'!B:B),"No")</f>
        <v>No</v>
      </c>
    </row>
    <row r="747" spans="1:21" x14ac:dyDescent="0.35">
      <c r="A747" s="37" t="s">
        <v>127</v>
      </c>
      <c r="B747" s="12">
        <v>45764</v>
      </c>
      <c r="C747" s="10" t="s">
        <v>3</v>
      </c>
      <c r="D747" s="4" t="s">
        <v>128</v>
      </c>
      <c r="E747" s="253">
        <v>2000</v>
      </c>
      <c r="F747" s="172">
        <v>45838</v>
      </c>
      <c r="G747" s="172">
        <v>45869</v>
      </c>
      <c r="H747" s="15">
        <v>0.67</v>
      </c>
      <c r="I747" s="192">
        <v>0.55000000000000004</v>
      </c>
      <c r="J747" s="9">
        <v>-240</v>
      </c>
      <c r="K747">
        <v>1340</v>
      </c>
      <c r="L747" s="14" t="s">
        <v>74</v>
      </c>
      <c r="M747" s="8" t="s">
        <v>131</v>
      </c>
      <c r="N747">
        <v>1100</v>
      </c>
      <c r="O747" s="38" t="s">
        <v>4</v>
      </c>
      <c r="P747" s="38" t="s">
        <v>3</v>
      </c>
      <c r="Q747">
        <v>2025</v>
      </c>
      <c r="R747" t="s">
        <v>131</v>
      </c>
      <c r="S747" t="s">
        <v>14</v>
      </c>
      <c r="T747" t="s">
        <v>938</v>
      </c>
      <c r="U747" t="str">
        <f>IFERROR(_xlfn.XLOOKUP(A747,'2025 EOY'!A:A,'2025 EOY'!B:B),"No")</f>
        <v>No</v>
      </c>
    </row>
    <row r="748" spans="1:21" x14ac:dyDescent="0.35">
      <c r="A748" s="37" t="s">
        <v>127</v>
      </c>
      <c r="B748" s="12">
        <v>45764</v>
      </c>
      <c r="C748" s="10" t="s">
        <v>3</v>
      </c>
      <c r="D748" s="4" t="s">
        <v>128</v>
      </c>
      <c r="E748" s="253">
        <v>986</v>
      </c>
      <c r="F748" s="172">
        <v>45808</v>
      </c>
      <c r="G748" s="172">
        <v>45838</v>
      </c>
      <c r="H748" s="15">
        <v>0.67</v>
      </c>
      <c r="I748" s="192">
        <v>0.67</v>
      </c>
      <c r="J748" s="9">
        <v>0</v>
      </c>
      <c r="K748">
        <v>660.62</v>
      </c>
      <c r="L748" s="14" t="s">
        <v>58</v>
      </c>
      <c r="M748" s="8" t="s">
        <v>131</v>
      </c>
      <c r="N748">
        <v>660.62</v>
      </c>
      <c r="O748" s="38" t="s">
        <v>4</v>
      </c>
      <c r="P748" s="38" t="s">
        <v>3</v>
      </c>
      <c r="Q748">
        <v>2025</v>
      </c>
      <c r="R748" t="s">
        <v>131</v>
      </c>
      <c r="S748" t="s">
        <v>14</v>
      </c>
      <c r="T748" t="s">
        <v>939</v>
      </c>
      <c r="U748" t="str">
        <f>IFERROR(_xlfn.XLOOKUP(A748,'2025 EOY'!A:A,'2025 EOY'!B:B),"No")</f>
        <v>No</v>
      </c>
    </row>
    <row r="749" spans="1:21" x14ac:dyDescent="0.35">
      <c r="A749" s="37" t="s">
        <v>127</v>
      </c>
      <c r="B749" s="12">
        <v>45764</v>
      </c>
      <c r="C749" s="10" t="s">
        <v>3</v>
      </c>
      <c r="D749" s="4" t="s">
        <v>128</v>
      </c>
      <c r="E749" s="253">
        <v>986</v>
      </c>
      <c r="F749" s="172">
        <v>45838</v>
      </c>
      <c r="G749" s="172">
        <v>45869</v>
      </c>
      <c r="H749" s="15">
        <v>0.67</v>
      </c>
      <c r="I749" s="192">
        <v>0.55000000000000004</v>
      </c>
      <c r="J749" s="9">
        <v>-118.32</v>
      </c>
      <c r="K749">
        <v>660.62</v>
      </c>
      <c r="L749" s="14" t="s">
        <v>74</v>
      </c>
      <c r="M749" s="8" t="s">
        <v>131</v>
      </c>
      <c r="N749">
        <v>542.30000000000007</v>
      </c>
      <c r="O749" s="38" t="s">
        <v>4</v>
      </c>
      <c r="P749" s="38" t="s">
        <v>3</v>
      </c>
      <c r="Q749">
        <v>2025</v>
      </c>
      <c r="R749" t="s">
        <v>131</v>
      </c>
      <c r="S749" t="s">
        <v>14</v>
      </c>
      <c r="T749" t="s">
        <v>940</v>
      </c>
      <c r="U749" t="str">
        <f>IFERROR(_xlfn.XLOOKUP(A749,'2025 EOY'!A:A,'2025 EOY'!B:B),"No")</f>
        <v>No</v>
      </c>
    </row>
    <row r="750" spans="1:21" x14ac:dyDescent="0.35">
      <c r="A750" s="37" t="s">
        <v>127</v>
      </c>
      <c r="B750" s="12">
        <v>45764</v>
      </c>
      <c r="C750" s="10" t="s">
        <v>3</v>
      </c>
      <c r="D750" s="4" t="s">
        <v>128</v>
      </c>
      <c r="E750" s="253">
        <v>-1727</v>
      </c>
      <c r="F750" s="172">
        <v>45808</v>
      </c>
      <c r="G750" s="172">
        <v>45838</v>
      </c>
      <c r="H750" s="15">
        <v>0.67</v>
      </c>
      <c r="I750" s="192">
        <v>0.67</v>
      </c>
      <c r="J750" s="9">
        <v>0</v>
      </c>
      <c r="K750">
        <v>-1157.0900000000001</v>
      </c>
      <c r="L750" s="14" t="s">
        <v>58</v>
      </c>
      <c r="M750" s="8" t="s">
        <v>129</v>
      </c>
      <c r="N750">
        <v>-1157.0900000000001</v>
      </c>
      <c r="O750" s="38" t="s">
        <v>4</v>
      </c>
      <c r="P750" s="38" t="s">
        <v>3</v>
      </c>
      <c r="Q750">
        <v>2025</v>
      </c>
      <c r="R750" t="s">
        <v>129</v>
      </c>
      <c r="S750" t="s">
        <v>14</v>
      </c>
      <c r="T750" t="s">
        <v>941</v>
      </c>
      <c r="U750" t="str">
        <f>IFERROR(_xlfn.XLOOKUP(A750,'2025 EOY'!A:A,'2025 EOY'!B:B),"No")</f>
        <v>No</v>
      </c>
    </row>
    <row r="751" spans="1:21" x14ac:dyDescent="0.35">
      <c r="A751" s="37" t="s">
        <v>127</v>
      </c>
      <c r="B751" s="12">
        <v>45764</v>
      </c>
      <c r="C751" s="10" t="s">
        <v>3</v>
      </c>
      <c r="D751" s="4" t="s">
        <v>128</v>
      </c>
      <c r="E751" s="253">
        <v>-930</v>
      </c>
      <c r="F751" s="172">
        <v>45838</v>
      </c>
      <c r="G751" s="172">
        <v>45869</v>
      </c>
      <c r="H751" s="15">
        <v>0.73</v>
      </c>
      <c r="I751" s="192">
        <v>0.55000000000000004</v>
      </c>
      <c r="J751" s="9">
        <v>167.39999999999995</v>
      </c>
      <c r="K751">
        <v>-678.9</v>
      </c>
      <c r="L751" s="14" t="s">
        <v>74</v>
      </c>
      <c r="M751" s="8" t="s">
        <v>129</v>
      </c>
      <c r="N751">
        <v>-511.50000000000006</v>
      </c>
      <c r="O751" s="38" t="s">
        <v>4</v>
      </c>
      <c r="P751" s="38" t="s">
        <v>3</v>
      </c>
      <c r="Q751">
        <v>2025</v>
      </c>
      <c r="R751" t="s">
        <v>129</v>
      </c>
      <c r="S751" t="s">
        <v>14</v>
      </c>
      <c r="T751" t="s">
        <v>942</v>
      </c>
      <c r="U751" t="str">
        <f>IFERROR(_xlfn.XLOOKUP(A751,'2025 EOY'!A:A,'2025 EOY'!B:B),"No")</f>
        <v>No</v>
      </c>
    </row>
    <row r="752" spans="1:21" x14ac:dyDescent="0.35">
      <c r="A752" s="37" t="s">
        <v>928</v>
      </c>
      <c r="B752" s="12">
        <v>45769</v>
      </c>
      <c r="C752" s="10" t="s">
        <v>10</v>
      </c>
      <c r="D752" s="4" t="s">
        <v>128</v>
      </c>
      <c r="E752" s="253">
        <v>269</v>
      </c>
      <c r="F752" s="172">
        <v>45838</v>
      </c>
      <c r="G752" s="172">
        <v>45838</v>
      </c>
      <c r="H752" s="15">
        <v>-3.85</v>
      </c>
      <c r="I752" s="192">
        <v>-4.91</v>
      </c>
      <c r="J752" s="9">
        <v>-285.14</v>
      </c>
      <c r="K752">
        <v>-1035.6500000000001</v>
      </c>
      <c r="L752" s="14" t="s">
        <v>73</v>
      </c>
      <c r="M752" s="8" t="s">
        <v>131</v>
      </c>
      <c r="N752">
        <v>-1320.79</v>
      </c>
      <c r="O752" s="38" t="s">
        <v>11</v>
      </c>
      <c r="P752" s="38" t="s">
        <v>10</v>
      </c>
      <c r="Q752">
        <v>2025</v>
      </c>
      <c r="R752" t="s">
        <v>131</v>
      </c>
      <c r="S752" t="s">
        <v>14</v>
      </c>
      <c r="T752" t="s">
        <v>943</v>
      </c>
      <c r="U752" t="str">
        <f>IFERROR(_xlfn.XLOOKUP(A752,'2025 EOY'!A:A,'2025 EOY'!B:B),"No")</f>
        <v>No</v>
      </c>
    </row>
    <row r="753" spans="1:21" x14ac:dyDescent="0.35">
      <c r="A753" s="37" t="s">
        <v>928</v>
      </c>
      <c r="B753" s="12">
        <v>45769</v>
      </c>
      <c r="C753" s="10" t="s">
        <v>7</v>
      </c>
      <c r="D753" s="4" t="s">
        <v>128</v>
      </c>
      <c r="E753" s="253">
        <v>-500</v>
      </c>
      <c r="F753" s="172">
        <v>45838</v>
      </c>
      <c r="G753" s="172">
        <v>45869</v>
      </c>
      <c r="H753" s="15">
        <v>0.9</v>
      </c>
      <c r="I753" s="192">
        <v>2.06</v>
      </c>
      <c r="J753" s="9">
        <v>-580.00000000000011</v>
      </c>
      <c r="K753">
        <v>-450</v>
      </c>
      <c r="L753" s="14" t="s">
        <v>74</v>
      </c>
      <c r="M753" s="8" t="s">
        <v>129</v>
      </c>
      <c r="N753">
        <v>-1030</v>
      </c>
      <c r="O753" s="38" t="s">
        <v>4</v>
      </c>
      <c r="P753" s="38" t="s">
        <v>7</v>
      </c>
      <c r="Q753">
        <v>2025</v>
      </c>
      <c r="R753" t="s">
        <v>129</v>
      </c>
      <c r="S753" t="s">
        <v>14</v>
      </c>
      <c r="T753" t="s">
        <v>944</v>
      </c>
      <c r="U753" t="str">
        <f>IFERROR(_xlfn.XLOOKUP(A753,'2025 EOY'!A:A,'2025 EOY'!B:B),"No")</f>
        <v>No</v>
      </c>
    </row>
    <row r="754" spans="1:21" x14ac:dyDescent="0.35">
      <c r="A754" s="37" t="s">
        <v>928</v>
      </c>
      <c r="B754" s="12">
        <v>45764</v>
      </c>
      <c r="C754" s="10" t="s">
        <v>15</v>
      </c>
      <c r="D754" s="4" t="s">
        <v>128</v>
      </c>
      <c r="E754" s="253">
        <v>-500</v>
      </c>
      <c r="F754" s="173">
        <v>45838</v>
      </c>
      <c r="G754" s="172">
        <v>45838</v>
      </c>
      <c r="H754" s="15">
        <v>1.01</v>
      </c>
      <c r="I754" s="191">
        <v>1.72</v>
      </c>
      <c r="J754" s="9">
        <v>-355</v>
      </c>
      <c r="K754">
        <v>-505</v>
      </c>
      <c r="L754" s="14" t="s">
        <v>73</v>
      </c>
      <c r="M754" s="8" t="s">
        <v>129</v>
      </c>
      <c r="N754">
        <v>-860</v>
      </c>
      <c r="O754" s="38" t="s">
        <v>11</v>
      </c>
      <c r="P754" s="38" t="s">
        <v>16</v>
      </c>
      <c r="Q754">
        <v>2025</v>
      </c>
      <c r="R754" t="s">
        <v>129</v>
      </c>
      <c r="S754" t="s">
        <v>14</v>
      </c>
      <c r="T754" t="s">
        <v>945</v>
      </c>
      <c r="U754" t="str">
        <f>IFERROR(_xlfn.XLOOKUP(A754,'2025 EOY'!A:A,'2025 EOY'!B:B),"No")</f>
        <v>No</v>
      </c>
    </row>
    <row r="755" spans="1:21" x14ac:dyDescent="0.35">
      <c r="A755" s="37" t="s">
        <v>946</v>
      </c>
      <c r="B755" s="12">
        <v>45769</v>
      </c>
      <c r="C755" s="10" t="s">
        <v>3</v>
      </c>
      <c r="D755" s="4" t="s">
        <v>128</v>
      </c>
      <c r="E755" s="253">
        <v>1000</v>
      </c>
      <c r="F755" s="172">
        <v>45838</v>
      </c>
      <c r="G755" s="172">
        <v>45869</v>
      </c>
      <c r="H755" s="15">
        <v>0.73</v>
      </c>
      <c r="I755" s="192">
        <v>0.55000000000000004</v>
      </c>
      <c r="J755" s="9">
        <v>-179.99999999999994</v>
      </c>
      <c r="K755">
        <v>730</v>
      </c>
      <c r="L755" s="14" t="s">
        <v>74</v>
      </c>
      <c r="M755" s="8" t="s">
        <v>131</v>
      </c>
      <c r="N755">
        <v>550</v>
      </c>
      <c r="O755" s="38" t="s">
        <v>4</v>
      </c>
      <c r="P755" s="38" t="s">
        <v>3</v>
      </c>
      <c r="Q755">
        <v>2025</v>
      </c>
      <c r="R755" t="s">
        <v>131</v>
      </c>
      <c r="S755" t="s">
        <v>14</v>
      </c>
      <c r="T755" t="s">
        <v>947</v>
      </c>
      <c r="U755" t="str">
        <f>IFERROR(_xlfn.XLOOKUP(A755,'2025 EOY'!A:A,'2025 EOY'!B:B),"No")</f>
        <v>No</v>
      </c>
    </row>
    <row r="756" spans="1:21" x14ac:dyDescent="0.35">
      <c r="A756" s="37" t="s">
        <v>946</v>
      </c>
      <c r="B756" s="12">
        <v>45769</v>
      </c>
      <c r="C756" s="10" t="s">
        <v>19</v>
      </c>
      <c r="D756" s="10" t="s">
        <v>268</v>
      </c>
      <c r="E756" s="259">
        <v>2100</v>
      </c>
      <c r="F756" s="172">
        <v>45808</v>
      </c>
      <c r="G756" s="172">
        <v>45808</v>
      </c>
      <c r="H756" s="15">
        <v>3.2150207761904763</v>
      </c>
      <c r="I756" s="201">
        <v>3.46</v>
      </c>
      <c r="J756" s="9">
        <v>609.00000000000011</v>
      </c>
      <c r="K756">
        <v>6657</v>
      </c>
      <c r="L756" s="14" t="s">
        <v>65</v>
      </c>
      <c r="M756" s="8" t="s">
        <v>131</v>
      </c>
      <c r="N756">
        <v>7266</v>
      </c>
      <c r="O756" s="38" t="s">
        <v>19</v>
      </c>
      <c r="P756" s="38" t="s">
        <v>19</v>
      </c>
      <c r="Q756">
        <v>2025</v>
      </c>
      <c r="R756" t="s">
        <v>131</v>
      </c>
      <c r="S756" t="s">
        <v>96</v>
      </c>
      <c r="T756" t="s">
        <v>948</v>
      </c>
      <c r="U756" t="str">
        <f>IFERROR(_xlfn.XLOOKUP(A756,'2025 EOY'!A:A,'2025 EOY'!B:B),"No")</f>
        <v>No</v>
      </c>
    </row>
    <row r="757" spans="1:21" x14ac:dyDescent="0.35">
      <c r="A757" s="37" t="s">
        <v>946</v>
      </c>
      <c r="B757" s="12">
        <v>45769</v>
      </c>
      <c r="C757" s="10" t="s">
        <v>3</v>
      </c>
      <c r="D757" s="4" t="s">
        <v>268</v>
      </c>
      <c r="E757" s="253">
        <v>-2075</v>
      </c>
      <c r="F757" s="172">
        <v>45838</v>
      </c>
      <c r="G757" s="172">
        <v>45869</v>
      </c>
      <c r="H757" s="15">
        <v>0.73</v>
      </c>
      <c r="I757" s="192">
        <v>0.55000000000000004</v>
      </c>
      <c r="J757" s="9">
        <v>373.49999999999989</v>
      </c>
      <c r="K757">
        <v>-1514.75</v>
      </c>
      <c r="L757" s="14" t="s">
        <v>74</v>
      </c>
      <c r="M757" s="8" t="s">
        <v>129</v>
      </c>
      <c r="N757">
        <v>-1141.25</v>
      </c>
      <c r="O757" s="38" t="s">
        <v>4</v>
      </c>
      <c r="P757" s="38" t="s">
        <v>3</v>
      </c>
      <c r="Q757">
        <v>2025</v>
      </c>
      <c r="R757" t="s">
        <v>129</v>
      </c>
      <c r="S757" t="s">
        <v>14</v>
      </c>
      <c r="T757" t="s">
        <v>949</v>
      </c>
      <c r="U757" t="str">
        <f>IFERROR(_xlfn.XLOOKUP(A757,'2025 EOY'!A:A,'2025 EOY'!B:B),"No")</f>
        <v>No</v>
      </c>
    </row>
    <row r="758" spans="1:21" x14ac:dyDescent="0.35">
      <c r="A758" s="37" t="s">
        <v>946</v>
      </c>
      <c r="B758" s="12">
        <v>45769</v>
      </c>
      <c r="C758" s="10" t="s">
        <v>10</v>
      </c>
      <c r="D758" s="4" t="s">
        <v>268</v>
      </c>
      <c r="E758" s="253">
        <v>-2100</v>
      </c>
      <c r="F758" s="172">
        <v>45869</v>
      </c>
      <c r="G758" s="172">
        <v>45869</v>
      </c>
      <c r="H758" s="15">
        <v>-3.54</v>
      </c>
      <c r="I758" s="192">
        <v>-3.11</v>
      </c>
      <c r="J758" s="9">
        <v>-903.00000000000034</v>
      </c>
      <c r="K758">
        <v>7434</v>
      </c>
      <c r="L758" s="14" t="s">
        <v>75</v>
      </c>
      <c r="M758" s="8" t="s">
        <v>129</v>
      </c>
      <c r="N758">
        <v>6531</v>
      </c>
      <c r="O758" s="38" t="s">
        <v>11</v>
      </c>
      <c r="P758" s="38" t="s">
        <v>10</v>
      </c>
      <c r="Q758">
        <v>2025</v>
      </c>
      <c r="R758" t="s">
        <v>129</v>
      </c>
      <c r="S758" t="s">
        <v>14</v>
      </c>
      <c r="T758" t="s">
        <v>950</v>
      </c>
      <c r="U758" t="str">
        <f>IFERROR(_xlfn.XLOOKUP(A758,'2025 EOY'!A:A,'2025 EOY'!B:B),"No")</f>
        <v>No</v>
      </c>
    </row>
    <row r="759" spans="1:21" x14ac:dyDescent="0.35">
      <c r="A759" s="37" t="s">
        <v>946</v>
      </c>
      <c r="B759" s="12">
        <v>45769</v>
      </c>
      <c r="C759" s="10" t="s">
        <v>7</v>
      </c>
      <c r="D759" s="4" t="s">
        <v>268</v>
      </c>
      <c r="E759" s="253">
        <v>-2100</v>
      </c>
      <c r="F759" s="172">
        <v>45869</v>
      </c>
      <c r="G759" s="172">
        <v>45900</v>
      </c>
      <c r="H759" s="15">
        <v>0.69</v>
      </c>
      <c r="I759" s="192">
        <v>1.1200000000000001</v>
      </c>
      <c r="J759" s="9">
        <v>-903.00000000000034</v>
      </c>
      <c r="K759">
        <v>-1449</v>
      </c>
      <c r="L759" s="14" t="s">
        <v>76</v>
      </c>
      <c r="M759" s="8" t="s">
        <v>129</v>
      </c>
      <c r="N759">
        <v>-2352</v>
      </c>
      <c r="O759" s="38" t="s">
        <v>4</v>
      </c>
      <c r="P759" s="38" t="s">
        <v>7</v>
      </c>
      <c r="Q759">
        <v>2025</v>
      </c>
      <c r="R759" t="s">
        <v>129</v>
      </c>
      <c r="S759" t="s">
        <v>14</v>
      </c>
      <c r="T759" t="s">
        <v>951</v>
      </c>
      <c r="U759" t="str">
        <f>IFERROR(_xlfn.XLOOKUP(A759,'2025 EOY'!A:A,'2025 EOY'!B:B),"No")</f>
        <v>No</v>
      </c>
    </row>
    <row r="760" spans="1:21" x14ac:dyDescent="0.35">
      <c r="A760" s="37" t="s">
        <v>946</v>
      </c>
      <c r="B760" s="12">
        <v>45769</v>
      </c>
      <c r="C760" s="10" t="s">
        <v>15</v>
      </c>
      <c r="D760" s="4" t="s">
        <v>268</v>
      </c>
      <c r="E760" s="253">
        <v>2100</v>
      </c>
      <c r="F760" s="173">
        <v>45838</v>
      </c>
      <c r="G760" s="172">
        <v>45838</v>
      </c>
      <c r="H760" s="15">
        <v>1.01</v>
      </c>
      <c r="I760" s="191">
        <v>1.72</v>
      </c>
      <c r="J760" s="9">
        <v>1491</v>
      </c>
      <c r="K760">
        <v>2121</v>
      </c>
      <c r="L760" s="14" t="s">
        <v>73</v>
      </c>
      <c r="M760" s="8" t="s">
        <v>131</v>
      </c>
      <c r="N760">
        <v>3612</v>
      </c>
      <c r="O760" s="38" t="s">
        <v>11</v>
      </c>
      <c r="P760" s="38" t="s">
        <v>16</v>
      </c>
      <c r="Q760">
        <v>2025</v>
      </c>
      <c r="R760" t="s">
        <v>131</v>
      </c>
      <c r="S760" t="s">
        <v>14</v>
      </c>
      <c r="T760" t="s">
        <v>952</v>
      </c>
      <c r="U760" t="str">
        <f>IFERROR(_xlfn.XLOOKUP(A760,'2025 EOY'!A:A,'2025 EOY'!B:B),"No")</f>
        <v>No</v>
      </c>
    </row>
    <row r="761" spans="1:21" x14ac:dyDescent="0.35">
      <c r="A761" s="37" t="s">
        <v>946</v>
      </c>
      <c r="B761" s="12">
        <v>45769</v>
      </c>
      <c r="C761" s="10" t="s">
        <v>10</v>
      </c>
      <c r="D761" s="4" t="s">
        <v>128</v>
      </c>
      <c r="E761" s="253">
        <v>700</v>
      </c>
      <c r="F761" s="172">
        <v>45838</v>
      </c>
      <c r="G761" s="172">
        <v>45838</v>
      </c>
      <c r="H761" s="15">
        <v>-3.81</v>
      </c>
      <c r="I761" s="192">
        <v>-4.91</v>
      </c>
      <c r="J761" s="9">
        <v>-770.00000000000011</v>
      </c>
      <c r="K761">
        <v>-2667</v>
      </c>
      <c r="L761" s="14" t="s">
        <v>73</v>
      </c>
      <c r="M761" s="8" t="s">
        <v>131</v>
      </c>
      <c r="N761">
        <v>-3437</v>
      </c>
      <c r="O761" s="38" t="s">
        <v>11</v>
      </c>
      <c r="P761" s="38" t="s">
        <v>10</v>
      </c>
      <c r="Q761">
        <v>2025</v>
      </c>
      <c r="R761" t="s">
        <v>131</v>
      </c>
      <c r="S761" t="s">
        <v>14</v>
      </c>
      <c r="T761" t="s">
        <v>953</v>
      </c>
      <c r="U761" t="str">
        <f>IFERROR(_xlfn.XLOOKUP(A761,'2025 EOY'!A:A,'2025 EOY'!B:B),"No")</f>
        <v>No</v>
      </c>
    </row>
    <row r="762" spans="1:21" x14ac:dyDescent="0.35">
      <c r="A762" s="37" t="s">
        <v>946</v>
      </c>
      <c r="B762" s="12">
        <v>45769</v>
      </c>
      <c r="C762" s="10" t="s">
        <v>10</v>
      </c>
      <c r="D762" s="4" t="s">
        <v>128</v>
      </c>
      <c r="E762" s="253">
        <v>700</v>
      </c>
      <c r="F762" s="172">
        <v>45838</v>
      </c>
      <c r="G762" s="172">
        <v>45838</v>
      </c>
      <c r="H762" s="15">
        <v>-3.85</v>
      </c>
      <c r="I762" s="192">
        <v>-4.91</v>
      </c>
      <c r="J762" s="9">
        <v>-742</v>
      </c>
      <c r="K762">
        <v>-2695</v>
      </c>
      <c r="L762" s="14" t="s">
        <v>73</v>
      </c>
      <c r="M762" s="8" t="s">
        <v>131</v>
      </c>
      <c r="N762">
        <v>-3437</v>
      </c>
      <c r="O762" s="38" t="s">
        <v>11</v>
      </c>
      <c r="P762" s="38" t="s">
        <v>10</v>
      </c>
      <c r="Q762">
        <v>2025</v>
      </c>
      <c r="R762" t="s">
        <v>131</v>
      </c>
      <c r="S762" t="s">
        <v>14</v>
      </c>
      <c r="T762" t="s">
        <v>954</v>
      </c>
      <c r="U762" t="str">
        <f>IFERROR(_xlfn.XLOOKUP(A762,'2025 EOY'!A:A,'2025 EOY'!B:B),"No")</f>
        <v>No</v>
      </c>
    </row>
    <row r="763" spans="1:21" x14ac:dyDescent="0.35">
      <c r="A763" s="37" t="s">
        <v>946</v>
      </c>
      <c r="B763" s="12">
        <v>45769</v>
      </c>
      <c r="C763" s="10" t="s">
        <v>3</v>
      </c>
      <c r="D763" s="4" t="s">
        <v>128</v>
      </c>
      <c r="E763" s="253">
        <v>1000</v>
      </c>
      <c r="F763" s="172">
        <v>45838</v>
      </c>
      <c r="G763" s="172">
        <v>45869</v>
      </c>
      <c r="H763" s="15">
        <v>0.69</v>
      </c>
      <c r="I763" s="192">
        <v>0.55000000000000004</v>
      </c>
      <c r="J763" s="9">
        <v>-139.99999999999991</v>
      </c>
      <c r="K763">
        <v>690</v>
      </c>
      <c r="L763" s="14" t="s">
        <v>74</v>
      </c>
      <c r="M763" s="8" t="s">
        <v>131</v>
      </c>
      <c r="N763">
        <v>550</v>
      </c>
      <c r="O763" s="38" t="s">
        <v>4</v>
      </c>
      <c r="P763" s="38" t="s">
        <v>3</v>
      </c>
      <c r="Q763">
        <v>2025</v>
      </c>
      <c r="R763" t="s">
        <v>131</v>
      </c>
      <c r="S763" t="s">
        <v>14</v>
      </c>
      <c r="T763" t="s">
        <v>955</v>
      </c>
      <c r="U763" t="str">
        <f>IFERROR(_xlfn.XLOOKUP(A763,'2025 EOY'!A:A,'2025 EOY'!B:B),"No")</f>
        <v>No</v>
      </c>
    </row>
    <row r="764" spans="1:21" x14ac:dyDescent="0.35">
      <c r="A764" s="37" t="s">
        <v>913</v>
      </c>
      <c r="B764" s="12">
        <v>45770</v>
      </c>
      <c r="C764" s="10" t="s">
        <v>28</v>
      </c>
      <c r="D764" s="10" t="s">
        <v>268</v>
      </c>
      <c r="E764" s="253">
        <v>-2000</v>
      </c>
      <c r="F764" s="172">
        <v>45808</v>
      </c>
      <c r="G764" s="172">
        <v>45808</v>
      </c>
      <c r="H764" s="15">
        <v>8300</v>
      </c>
      <c r="I764" s="192">
        <v>8300</v>
      </c>
      <c r="J764" s="9">
        <v>0</v>
      </c>
      <c r="K764">
        <v>-16600000</v>
      </c>
      <c r="L764" s="14" t="s">
        <v>65</v>
      </c>
      <c r="M764" s="8" t="s">
        <v>129</v>
      </c>
      <c r="N764">
        <v>-16600000</v>
      </c>
      <c r="O764" t="s">
        <v>29</v>
      </c>
      <c r="P764" s="38" t="s">
        <v>29</v>
      </c>
      <c r="Q764">
        <v>2025</v>
      </c>
      <c r="R764" t="s">
        <v>129</v>
      </c>
      <c r="S764" t="s">
        <v>14</v>
      </c>
      <c r="T764" t="s">
        <v>956</v>
      </c>
      <c r="U764" t="str">
        <f>IFERROR(_xlfn.XLOOKUP(A764,'2025 EOY'!A:A,'2025 EOY'!B:B),"No")</f>
        <v>No</v>
      </c>
    </row>
    <row r="765" spans="1:21" x14ac:dyDescent="0.35">
      <c r="A765" s="37" t="s">
        <v>946</v>
      </c>
      <c r="B765" s="12">
        <v>45770</v>
      </c>
      <c r="C765" s="10" t="s">
        <v>28</v>
      </c>
      <c r="D765" s="10" t="s">
        <v>268</v>
      </c>
      <c r="E765" s="253">
        <v>-2000</v>
      </c>
      <c r="F765" s="172">
        <v>45808</v>
      </c>
      <c r="G765" s="172">
        <v>45808</v>
      </c>
      <c r="H765" s="15">
        <v>8300</v>
      </c>
      <c r="I765" s="192">
        <v>8300</v>
      </c>
      <c r="J765" s="9">
        <v>0</v>
      </c>
      <c r="K765">
        <v>-16600000</v>
      </c>
      <c r="L765" s="14" t="s">
        <v>65</v>
      </c>
      <c r="M765" s="8" t="s">
        <v>129</v>
      </c>
      <c r="N765">
        <v>-16600000</v>
      </c>
      <c r="O765" t="s">
        <v>29</v>
      </c>
      <c r="P765" s="38" t="s">
        <v>29</v>
      </c>
      <c r="Q765">
        <v>2025</v>
      </c>
      <c r="R765" t="s">
        <v>129</v>
      </c>
      <c r="S765" t="s">
        <v>14</v>
      </c>
      <c r="T765" t="s">
        <v>957</v>
      </c>
      <c r="U765" t="str">
        <f>IFERROR(_xlfn.XLOOKUP(A765,'2025 EOY'!A:A,'2025 EOY'!B:B),"No")</f>
        <v>No</v>
      </c>
    </row>
    <row r="766" spans="1:21" x14ac:dyDescent="0.35">
      <c r="A766" s="37" t="s">
        <v>946</v>
      </c>
      <c r="B766" s="12">
        <v>45769</v>
      </c>
      <c r="C766" s="10" t="s">
        <v>15</v>
      </c>
      <c r="D766" s="4" t="s">
        <v>128</v>
      </c>
      <c r="E766" s="253">
        <v>-500</v>
      </c>
      <c r="F766" s="173">
        <v>45808</v>
      </c>
      <c r="G766" s="172">
        <v>45808</v>
      </c>
      <c r="H766" s="15">
        <v>1.07</v>
      </c>
      <c r="I766" s="191">
        <v>0.14121300000000001</v>
      </c>
      <c r="J766" s="9">
        <v>464.39350000000002</v>
      </c>
      <c r="K766">
        <v>-535</v>
      </c>
      <c r="L766" s="14" t="s">
        <v>65</v>
      </c>
      <c r="M766" s="8" t="s">
        <v>129</v>
      </c>
      <c r="N766">
        <v>-70.606499999999997</v>
      </c>
      <c r="O766" s="38" t="s">
        <v>11</v>
      </c>
      <c r="P766" s="38" t="s">
        <v>16</v>
      </c>
      <c r="Q766">
        <v>2025</v>
      </c>
      <c r="R766" t="s">
        <v>129</v>
      </c>
      <c r="S766" t="s">
        <v>14</v>
      </c>
      <c r="T766" t="s">
        <v>958</v>
      </c>
      <c r="U766" t="str">
        <f>IFERROR(_xlfn.XLOOKUP(A766,'2025 EOY'!A:A,'2025 EOY'!B:B),"No")</f>
        <v>No</v>
      </c>
    </row>
    <row r="767" spans="1:21" x14ac:dyDescent="0.35">
      <c r="A767" s="37" t="s">
        <v>946</v>
      </c>
      <c r="B767" s="12">
        <v>45769</v>
      </c>
      <c r="C767" s="10" t="s">
        <v>15</v>
      </c>
      <c r="D767" s="4" t="s">
        <v>128</v>
      </c>
      <c r="E767" s="253">
        <v>-200</v>
      </c>
      <c r="F767" s="173">
        <v>45808</v>
      </c>
      <c r="G767" s="172">
        <v>45808</v>
      </c>
      <c r="H767" s="15">
        <v>1.1000000000000001</v>
      </c>
      <c r="I767" s="191">
        <v>0.14121300000000001</v>
      </c>
      <c r="J767" s="9">
        <v>191.75740000000002</v>
      </c>
      <c r="K767">
        <v>-220.00000000000003</v>
      </c>
      <c r="L767" s="14" t="s">
        <v>65</v>
      </c>
      <c r="M767" s="8" t="s">
        <v>129</v>
      </c>
      <c r="N767">
        <v>-28.242599999999999</v>
      </c>
      <c r="O767" s="38" t="s">
        <v>11</v>
      </c>
      <c r="P767" s="38" t="s">
        <v>16</v>
      </c>
      <c r="Q767">
        <v>2025</v>
      </c>
      <c r="R767" t="s">
        <v>129</v>
      </c>
      <c r="S767" t="s">
        <v>14</v>
      </c>
      <c r="T767" t="s">
        <v>959</v>
      </c>
      <c r="U767" t="str">
        <f>IFERROR(_xlfn.XLOOKUP(A767,'2025 EOY'!A:A,'2025 EOY'!B:B),"No")</f>
        <v>No</v>
      </c>
    </row>
    <row r="768" spans="1:21" x14ac:dyDescent="0.35">
      <c r="A768" s="37" t="s">
        <v>946</v>
      </c>
      <c r="B768" s="12">
        <v>45769</v>
      </c>
      <c r="C768" s="10" t="s">
        <v>10</v>
      </c>
      <c r="D768" s="4" t="s">
        <v>128</v>
      </c>
      <c r="E768" s="253">
        <v>114</v>
      </c>
      <c r="F768" s="172">
        <v>45869</v>
      </c>
      <c r="G768" s="172">
        <v>45869</v>
      </c>
      <c r="H768" s="15">
        <v>-3.6</v>
      </c>
      <c r="I768" s="192">
        <v>-3.11</v>
      </c>
      <c r="J768" s="9">
        <v>55.860000000000028</v>
      </c>
      <c r="K768">
        <v>-410.40000000000003</v>
      </c>
      <c r="L768" s="14" t="s">
        <v>75</v>
      </c>
      <c r="M768" s="8" t="s">
        <v>131</v>
      </c>
      <c r="N768">
        <v>-354.53999999999996</v>
      </c>
      <c r="O768" s="38" t="s">
        <v>11</v>
      </c>
      <c r="P768" s="38" t="s">
        <v>10</v>
      </c>
      <c r="Q768">
        <v>2025</v>
      </c>
      <c r="R768" t="s">
        <v>131</v>
      </c>
      <c r="S768" t="s">
        <v>14</v>
      </c>
      <c r="T768" t="s">
        <v>960</v>
      </c>
      <c r="U768" t="str">
        <f>IFERROR(_xlfn.XLOOKUP(A768,'2025 EOY'!A:A,'2025 EOY'!B:B),"No")</f>
        <v>No</v>
      </c>
    </row>
    <row r="769" spans="1:21" x14ac:dyDescent="0.35">
      <c r="A769" s="37" t="s">
        <v>946</v>
      </c>
      <c r="B769" s="12">
        <v>45772</v>
      </c>
      <c r="C769" s="10" t="s">
        <v>15</v>
      </c>
      <c r="D769" s="4" t="s">
        <v>128</v>
      </c>
      <c r="E769" s="253">
        <v>-700</v>
      </c>
      <c r="F769" s="173">
        <v>45808</v>
      </c>
      <c r="G769" s="172">
        <v>45808</v>
      </c>
      <c r="H769" s="15">
        <v>0.91</v>
      </c>
      <c r="I769" s="191">
        <v>0.14121300000000001</v>
      </c>
      <c r="J769" s="9">
        <v>538.15089999999998</v>
      </c>
      <c r="K769">
        <v>-637</v>
      </c>
      <c r="L769" s="14" t="s">
        <v>65</v>
      </c>
      <c r="M769" s="8" t="s">
        <v>129</v>
      </c>
      <c r="N769">
        <v>-98.849100000000007</v>
      </c>
      <c r="O769" s="38" t="s">
        <v>11</v>
      </c>
      <c r="P769" s="38" t="s">
        <v>16</v>
      </c>
      <c r="Q769">
        <v>2025</v>
      </c>
      <c r="R769" t="s">
        <v>129</v>
      </c>
      <c r="S769" t="s">
        <v>14</v>
      </c>
      <c r="T769" t="s">
        <v>961</v>
      </c>
      <c r="U769" t="str">
        <f>IFERROR(_xlfn.XLOOKUP(A769,'2025 EOY'!A:A,'2025 EOY'!B:B),"No")</f>
        <v>No</v>
      </c>
    </row>
    <row r="770" spans="1:21" x14ac:dyDescent="0.35">
      <c r="A770" s="37" t="s">
        <v>946</v>
      </c>
      <c r="B770" s="12">
        <v>45775</v>
      </c>
      <c r="C770" s="10" t="s">
        <v>15</v>
      </c>
      <c r="D770" s="4" t="s">
        <v>128</v>
      </c>
      <c r="E770" s="253">
        <v>-100</v>
      </c>
      <c r="F770" s="173">
        <v>45808</v>
      </c>
      <c r="G770" s="172">
        <v>45808</v>
      </c>
      <c r="H770" s="15">
        <v>0.95</v>
      </c>
      <c r="I770" s="191">
        <v>0.14121300000000001</v>
      </c>
      <c r="J770" s="9">
        <v>80.878699999999995</v>
      </c>
      <c r="K770">
        <v>-95</v>
      </c>
      <c r="L770" s="14" t="s">
        <v>65</v>
      </c>
      <c r="M770" s="8" t="s">
        <v>129</v>
      </c>
      <c r="N770">
        <v>-14.1213</v>
      </c>
      <c r="O770" s="38" t="s">
        <v>11</v>
      </c>
      <c r="P770" s="38" t="s">
        <v>16</v>
      </c>
      <c r="Q770">
        <v>2025</v>
      </c>
      <c r="R770" t="s">
        <v>129</v>
      </c>
      <c r="S770" t="s">
        <v>14</v>
      </c>
      <c r="T770" t="s">
        <v>962</v>
      </c>
      <c r="U770" t="str">
        <f>IFERROR(_xlfn.XLOOKUP(A770,'2025 EOY'!A:A,'2025 EOY'!B:B),"No")</f>
        <v>No</v>
      </c>
    </row>
    <row r="771" spans="1:21" x14ac:dyDescent="0.35">
      <c r="A771" s="37" t="s">
        <v>946</v>
      </c>
      <c r="B771" s="12">
        <v>45775</v>
      </c>
      <c r="C771" s="10" t="s">
        <v>15</v>
      </c>
      <c r="D771" s="4" t="s">
        <v>128</v>
      </c>
      <c r="E771" s="253">
        <v>-1400</v>
      </c>
      <c r="F771" s="173">
        <v>45808</v>
      </c>
      <c r="G771" s="172">
        <v>45808</v>
      </c>
      <c r="H771" s="15">
        <v>0.97</v>
      </c>
      <c r="I771" s="191">
        <v>0.14121300000000001</v>
      </c>
      <c r="J771" s="9">
        <v>1160.3018</v>
      </c>
      <c r="K771">
        <v>-1358</v>
      </c>
      <c r="L771" s="14" t="s">
        <v>65</v>
      </c>
      <c r="M771" s="8" t="s">
        <v>129</v>
      </c>
      <c r="N771">
        <v>-197.69820000000001</v>
      </c>
      <c r="O771" s="38" t="s">
        <v>11</v>
      </c>
      <c r="P771" s="38" t="s">
        <v>16</v>
      </c>
      <c r="Q771">
        <v>2025</v>
      </c>
      <c r="R771" t="s">
        <v>129</v>
      </c>
      <c r="S771" t="s">
        <v>14</v>
      </c>
      <c r="T771" t="s">
        <v>963</v>
      </c>
      <c r="U771" t="str">
        <f>IFERROR(_xlfn.XLOOKUP(A771,'2025 EOY'!A:A,'2025 EOY'!B:B),"No")</f>
        <v>No</v>
      </c>
    </row>
    <row r="772" spans="1:21" x14ac:dyDescent="0.35">
      <c r="A772" s="37" t="s">
        <v>127</v>
      </c>
      <c r="B772" s="12">
        <v>45775</v>
      </c>
      <c r="C772" s="10" t="s">
        <v>10</v>
      </c>
      <c r="D772" s="4" t="s">
        <v>128</v>
      </c>
      <c r="E772" s="253">
        <v>248</v>
      </c>
      <c r="F772" s="172">
        <v>45838</v>
      </c>
      <c r="G772" s="172">
        <v>45838</v>
      </c>
      <c r="H772" s="15">
        <v>-3.81</v>
      </c>
      <c r="I772" s="192">
        <v>-4.91</v>
      </c>
      <c r="J772" s="9">
        <v>-272.8</v>
      </c>
      <c r="K772">
        <v>-944.88</v>
      </c>
      <c r="L772" s="14" t="s">
        <v>73</v>
      </c>
      <c r="M772" s="8" t="s">
        <v>131</v>
      </c>
      <c r="N772">
        <v>-1217.68</v>
      </c>
      <c r="O772" s="38" t="s">
        <v>11</v>
      </c>
      <c r="P772" s="38" t="s">
        <v>10</v>
      </c>
      <c r="Q772">
        <v>2025</v>
      </c>
      <c r="R772" t="s">
        <v>131</v>
      </c>
      <c r="S772" t="s">
        <v>14</v>
      </c>
      <c r="T772" t="s">
        <v>964</v>
      </c>
      <c r="U772" t="str">
        <f>IFERROR(_xlfn.XLOOKUP(A772,'2025 EOY'!A:A,'2025 EOY'!B:B),"No")</f>
        <v>No</v>
      </c>
    </row>
    <row r="773" spans="1:21" x14ac:dyDescent="0.35">
      <c r="A773" s="37" t="s">
        <v>127</v>
      </c>
      <c r="B773" s="12">
        <v>45775</v>
      </c>
      <c r="C773" s="10" t="s">
        <v>22</v>
      </c>
      <c r="D773" s="4" t="s">
        <v>128</v>
      </c>
      <c r="E773" s="253">
        <v>-500</v>
      </c>
      <c r="F773" s="173" t="s">
        <v>965</v>
      </c>
      <c r="G773" s="172">
        <v>45808</v>
      </c>
      <c r="H773" s="15">
        <v>1</v>
      </c>
      <c r="I773" s="191">
        <v>-0.18124999999999999</v>
      </c>
      <c r="J773" s="9">
        <v>590.625</v>
      </c>
      <c r="K773">
        <v>-500</v>
      </c>
      <c r="L773" s="14" t="s">
        <v>80</v>
      </c>
      <c r="M773" s="8" t="s">
        <v>129</v>
      </c>
      <c r="N773">
        <v>90.625</v>
      </c>
      <c r="O773" s="38" t="s">
        <v>11</v>
      </c>
      <c r="P773" s="38" t="s">
        <v>16</v>
      </c>
      <c r="Q773">
        <v>2025</v>
      </c>
      <c r="R773" t="s">
        <v>129</v>
      </c>
      <c r="S773" t="s">
        <v>14</v>
      </c>
      <c r="T773" t="s">
        <v>966</v>
      </c>
      <c r="U773" t="str">
        <f>IFERROR(_xlfn.XLOOKUP(A773,'2025 EOY'!A:A,'2025 EOY'!B:B),"No")</f>
        <v>No</v>
      </c>
    </row>
    <row r="774" spans="1:21" x14ac:dyDescent="0.35">
      <c r="A774" s="37" t="s">
        <v>127</v>
      </c>
      <c r="B774" s="12">
        <v>45775</v>
      </c>
      <c r="C774" s="10" t="s">
        <v>10</v>
      </c>
      <c r="D774" s="4" t="s">
        <v>128</v>
      </c>
      <c r="E774" s="253">
        <v>2478</v>
      </c>
      <c r="F774" s="172">
        <v>45838</v>
      </c>
      <c r="G774" s="172">
        <v>45838</v>
      </c>
      <c r="H774" s="15">
        <v>-3.81</v>
      </c>
      <c r="I774" s="192">
        <v>-4.91</v>
      </c>
      <c r="J774" s="9">
        <v>-2725.8</v>
      </c>
      <c r="K774">
        <v>-9441.18</v>
      </c>
      <c r="L774" s="14" t="s">
        <v>73</v>
      </c>
      <c r="M774" s="8" t="s">
        <v>131</v>
      </c>
      <c r="N774">
        <v>-12166.98</v>
      </c>
      <c r="O774" s="38" t="s">
        <v>11</v>
      </c>
      <c r="P774" s="38" t="s">
        <v>10</v>
      </c>
      <c r="Q774">
        <v>2025</v>
      </c>
      <c r="R774" t="s">
        <v>131</v>
      </c>
      <c r="S774" t="s">
        <v>14</v>
      </c>
      <c r="T774" t="s">
        <v>967</v>
      </c>
      <c r="U774" t="str">
        <f>IFERROR(_xlfn.XLOOKUP(A774,'2025 EOY'!A:A,'2025 EOY'!B:B),"No")</f>
        <v>No</v>
      </c>
    </row>
    <row r="775" spans="1:21" x14ac:dyDescent="0.35">
      <c r="A775" s="37" t="s">
        <v>127</v>
      </c>
      <c r="B775" s="12">
        <v>45775</v>
      </c>
      <c r="C775" s="10" t="s">
        <v>7</v>
      </c>
      <c r="D775" s="4" t="s">
        <v>128</v>
      </c>
      <c r="E775" s="253">
        <v>2092</v>
      </c>
      <c r="F775" s="172">
        <v>45838</v>
      </c>
      <c r="G775" s="172">
        <v>45869</v>
      </c>
      <c r="H775" s="15">
        <v>1.07</v>
      </c>
      <c r="I775" s="192">
        <v>2.06</v>
      </c>
      <c r="J775" s="9">
        <v>2071.08</v>
      </c>
      <c r="K775">
        <v>2238.44</v>
      </c>
      <c r="L775" s="14" t="s">
        <v>74</v>
      </c>
      <c r="M775" s="8" t="s">
        <v>131</v>
      </c>
      <c r="N775">
        <v>4309.5200000000004</v>
      </c>
      <c r="O775" s="38" t="s">
        <v>4</v>
      </c>
      <c r="P775" s="38" t="s">
        <v>7</v>
      </c>
      <c r="Q775">
        <v>2025</v>
      </c>
      <c r="R775" t="s">
        <v>131</v>
      </c>
      <c r="S775" t="s">
        <v>14</v>
      </c>
      <c r="T775" t="s">
        <v>968</v>
      </c>
      <c r="U775" t="str">
        <f>IFERROR(_xlfn.XLOOKUP(A775,'2025 EOY'!A:A,'2025 EOY'!B:B),"No")</f>
        <v>No</v>
      </c>
    </row>
    <row r="776" spans="1:21" x14ac:dyDescent="0.35">
      <c r="A776" s="37" t="s">
        <v>127</v>
      </c>
      <c r="B776" s="12">
        <v>45776</v>
      </c>
      <c r="C776" s="10" t="s">
        <v>10</v>
      </c>
      <c r="D776" s="4" t="s">
        <v>128</v>
      </c>
      <c r="E776" s="253">
        <v>-500</v>
      </c>
      <c r="F776" s="172">
        <v>45869</v>
      </c>
      <c r="G776" s="172">
        <v>45869</v>
      </c>
      <c r="H776" s="15">
        <v>-3.4099999999999997</v>
      </c>
      <c r="I776" s="192">
        <v>-3.11</v>
      </c>
      <c r="J776" s="9">
        <v>-149.99999999999991</v>
      </c>
      <c r="K776">
        <v>1704.9999999999998</v>
      </c>
      <c r="L776" s="14" t="s">
        <v>75</v>
      </c>
      <c r="M776" s="8" t="s">
        <v>129</v>
      </c>
      <c r="N776">
        <v>1555</v>
      </c>
      <c r="O776" s="38" t="s">
        <v>11</v>
      </c>
      <c r="P776" s="38" t="s">
        <v>10</v>
      </c>
      <c r="Q776">
        <v>2025</v>
      </c>
      <c r="R776" t="s">
        <v>129</v>
      </c>
      <c r="S776" t="s">
        <v>14</v>
      </c>
      <c r="T776" t="s">
        <v>969</v>
      </c>
      <c r="U776" t="str">
        <f>IFERROR(_xlfn.XLOOKUP(A776,'2025 EOY'!A:A,'2025 EOY'!B:B),"No")</f>
        <v>No</v>
      </c>
    </row>
    <row r="777" spans="1:21" x14ac:dyDescent="0.35">
      <c r="A777" s="37" t="s">
        <v>127</v>
      </c>
      <c r="B777" s="12">
        <v>45776</v>
      </c>
      <c r="C777" s="10" t="s">
        <v>10</v>
      </c>
      <c r="D777" s="4" t="s">
        <v>128</v>
      </c>
      <c r="E777" s="253">
        <v>500</v>
      </c>
      <c r="F777" s="172">
        <v>45900</v>
      </c>
      <c r="G777" s="172">
        <v>45900</v>
      </c>
      <c r="H777" s="15">
        <v>-3.51</v>
      </c>
      <c r="I777" s="192">
        <v>-2.5</v>
      </c>
      <c r="J777" s="9">
        <v>504.99999999999989</v>
      </c>
      <c r="K777">
        <v>-1755</v>
      </c>
      <c r="L777" s="14" t="s">
        <v>81</v>
      </c>
      <c r="M777" s="8" t="s">
        <v>131</v>
      </c>
      <c r="N777">
        <v>-1250</v>
      </c>
      <c r="O777" s="38" t="s">
        <v>11</v>
      </c>
      <c r="P777" s="38" t="s">
        <v>10</v>
      </c>
      <c r="Q777">
        <v>2025</v>
      </c>
      <c r="R777" t="s">
        <v>131</v>
      </c>
      <c r="S777" t="s">
        <v>14</v>
      </c>
      <c r="T777" t="s">
        <v>970</v>
      </c>
      <c r="U777" t="str">
        <f>IFERROR(_xlfn.XLOOKUP(A777,'2025 EOY'!A:A,'2025 EOY'!B:B),"No")</f>
        <v>No</v>
      </c>
    </row>
    <row r="778" spans="1:21" x14ac:dyDescent="0.35">
      <c r="A778" s="37" t="s">
        <v>946</v>
      </c>
      <c r="B778" s="12">
        <v>45775</v>
      </c>
      <c r="C778" s="10" t="s">
        <v>15</v>
      </c>
      <c r="D778" s="4" t="s">
        <v>128</v>
      </c>
      <c r="E778" s="253">
        <v>-1000</v>
      </c>
      <c r="F778" s="173">
        <v>45808</v>
      </c>
      <c r="G778" s="172">
        <v>45808</v>
      </c>
      <c r="H778" s="15">
        <v>0.64</v>
      </c>
      <c r="I778" s="191">
        <v>0.14121300000000001</v>
      </c>
      <c r="J778" s="9">
        <v>498.78699999999998</v>
      </c>
      <c r="K778">
        <v>-640</v>
      </c>
      <c r="L778" s="14" t="s">
        <v>65</v>
      </c>
      <c r="M778" s="8" t="s">
        <v>129</v>
      </c>
      <c r="N778">
        <v>-141.21299999999999</v>
      </c>
      <c r="O778" s="38" t="s">
        <v>11</v>
      </c>
      <c r="P778" s="38" t="s">
        <v>16</v>
      </c>
      <c r="Q778">
        <v>2025</v>
      </c>
      <c r="R778" t="s">
        <v>129</v>
      </c>
      <c r="S778" t="s">
        <v>14</v>
      </c>
      <c r="T778" t="s">
        <v>971</v>
      </c>
      <c r="U778" t="str">
        <f>IFERROR(_xlfn.XLOOKUP(A778,'2025 EOY'!A:A,'2025 EOY'!B:B),"No")</f>
        <v>No</v>
      </c>
    </row>
    <row r="779" spans="1:21" x14ac:dyDescent="0.35">
      <c r="A779" s="37" t="s">
        <v>913</v>
      </c>
      <c r="B779" s="12">
        <v>45770</v>
      </c>
      <c r="C779" s="10" t="s">
        <v>28</v>
      </c>
      <c r="D779" s="10" t="s">
        <v>268</v>
      </c>
      <c r="E779" s="253">
        <v>2000</v>
      </c>
      <c r="F779" s="172">
        <v>45808</v>
      </c>
      <c r="G779" s="172">
        <v>45808</v>
      </c>
      <c r="H779" s="15">
        <v>8300</v>
      </c>
      <c r="I779" s="192">
        <v>8400</v>
      </c>
      <c r="J779" s="9">
        <v>-100</v>
      </c>
      <c r="K779">
        <v>16600000</v>
      </c>
      <c r="L779" s="14" t="s">
        <v>65</v>
      </c>
      <c r="M779" s="8" t="s">
        <v>131</v>
      </c>
      <c r="N779">
        <v>16800000</v>
      </c>
      <c r="O779" t="s">
        <v>29</v>
      </c>
      <c r="P779" s="38" t="s">
        <v>29</v>
      </c>
      <c r="Q779">
        <v>2025</v>
      </c>
      <c r="R779" t="s">
        <v>131</v>
      </c>
      <c r="S779" t="s">
        <v>14</v>
      </c>
      <c r="T779" t="s">
        <v>972</v>
      </c>
      <c r="U779" t="str">
        <f>IFERROR(_xlfn.XLOOKUP(A779,'2025 EOY'!A:A,'2025 EOY'!B:B),"No")</f>
        <v>No</v>
      </c>
    </row>
    <row r="780" spans="1:21" x14ac:dyDescent="0.35">
      <c r="A780" s="37" t="s">
        <v>946</v>
      </c>
      <c r="B780" s="12">
        <v>45770</v>
      </c>
      <c r="C780" s="10" t="s">
        <v>28</v>
      </c>
      <c r="D780" s="10" t="s">
        <v>268</v>
      </c>
      <c r="E780" s="253">
        <v>2000</v>
      </c>
      <c r="F780" s="172">
        <v>45808</v>
      </c>
      <c r="G780" s="172">
        <v>45808</v>
      </c>
      <c r="H780" s="15">
        <v>7950</v>
      </c>
      <c r="I780" s="192">
        <v>8400</v>
      </c>
      <c r="J780" s="9">
        <v>-450</v>
      </c>
      <c r="K780">
        <v>15900000</v>
      </c>
      <c r="L780" s="14" t="s">
        <v>65</v>
      </c>
      <c r="M780" s="8" t="s">
        <v>131</v>
      </c>
      <c r="N780">
        <v>16800000</v>
      </c>
      <c r="O780" t="s">
        <v>29</v>
      </c>
      <c r="P780" s="38" t="s">
        <v>29</v>
      </c>
      <c r="Q780">
        <v>2025</v>
      </c>
      <c r="R780" t="s">
        <v>131</v>
      </c>
      <c r="S780" t="s">
        <v>14</v>
      </c>
      <c r="T780" t="s">
        <v>973</v>
      </c>
      <c r="U780" t="str">
        <f>IFERROR(_xlfn.XLOOKUP(A780,'2025 EOY'!A:A,'2025 EOY'!B:B),"No")</f>
        <v>No</v>
      </c>
    </row>
    <row r="781" spans="1:21" x14ac:dyDescent="0.35">
      <c r="A781" s="37" t="s">
        <v>127</v>
      </c>
      <c r="B781" s="12">
        <v>45777</v>
      </c>
      <c r="C781" s="10" t="s">
        <v>10</v>
      </c>
      <c r="D781" s="4" t="s">
        <v>128</v>
      </c>
      <c r="E781" s="253">
        <v>500</v>
      </c>
      <c r="F781" s="172">
        <v>45900</v>
      </c>
      <c r="G781" s="172">
        <v>45900</v>
      </c>
      <c r="H781" s="15">
        <v>-3.43</v>
      </c>
      <c r="I781" s="192">
        <v>-2.5</v>
      </c>
      <c r="J781" s="9">
        <v>465.00000000000006</v>
      </c>
      <c r="K781">
        <v>-1715</v>
      </c>
      <c r="L781" s="14" t="s">
        <v>81</v>
      </c>
      <c r="M781" s="8" t="s">
        <v>131</v>
      </c>
      <c r="N781">
        <v>-1250</v>
      </c>
      <c r="O781" s="38" t="s">
        <v>11</v>
      </c>
      <c r="P781" s="38" t="s">
        <v>10</v>
      </c>
      <c r="Q781">
        <v>2025</v>
      </c>
      <c r="R781" t="s">
        <v>131</v>
      </c>
      <c r="S781" t="s">
        <v>14</v>
      </c>
      <c r="T781" t="s">
        <v>974</v>
      </c>
      <c r="U781" t="str">
        <f>IFERROR(_xlfn.XLOOKUP(A781,'2025 EOY'!A:A,'2025 EOY'!B:B),"No")</f>
        <v>No</v>
      </c>
    </row>
    <row r="782" spans="1:21" x14ac:dyDescent="0.35">
      <c r="A782" s="37" t="s">
        <v>127</v>
      </c>
      <c r="B782" s="12">
        <v>45777</v>
      </c>
      <c r="C782" s="10" t="s">
        <v>10</v>
      </c>
      <c r="D782" s="4" t="s">
        <v>128</v>
      </c>
      <c r="E782" s="253">
        <v>500</v>
      </c>
      <c r="F782" s="172">
        <v>45900</v>
      </c>
      <c r="G782" s="172">
        <v>45900</v>
      </c>
      <c r="H782" s="15">
        <v>-3.44</v>
      </c>
      <c r="I782" s="192">
        <v>-2.5</v>
      </c>
      <c r="J782" s="9">
        <v>470</v>
      </c>
      <c r="K782">
        <v>-1720</v>
      </c>
      <c r="L782" s="14" t="s">
        <v>81</v>
      </c>
      <c r="M782" s="8" t="s">
        <v>131</v>
      </c>
      <c r="N782">
        <v>-1250</v>
      </c>
      <c r="O782" s="38" t="s">
        <v>11</v>
      </c>
      <c r="P782" s="38" t="s">
        <v>10</v>
      </c>
      <c r="Q782">
        <v>2025</v>
      </c>
      <c r="R782" t="s">
        <v>131</v>
      </c>
      <c r="S782" t="s">
        <v>14</v>
      </c>
      <c r="T782" t="s">
        <v>975</v>
      </c>
      <c r="U782" t="str">
        <f>IFERROR(_xlfn.XLOOKUP(A782,'2025 EOY'!A:A,'2025 EOY'!B:B),"No")</f>
        <v>No</v>
      </c>
    </row>
    <row r="783" spans="1:21" x14ac:dyDescent="0.35">
      <c r="A783" s="37" t="s">
        <v>127</v>
      </c>
      <c r="B783" s="12">
        <v>45777</v>
      </c>
      <c r="C783" s="10" t="s">
        <v>10</v>
      </c>
      <c r="D783" s="4" t="s">
        <v>128</v>
      </c>
      <c r="E783" s="253">
        <v>500</v>
      </c>
      <c r="F783" s="172">
        <v>45900</v>
      </c>
      <c r="G783" s="172">
        <v>45900</v>
      </c>
      <c r="H783" s="15">
        <v>-3.45</v>
      </c>
      <c r="I783" s="192">
        <v>-2.5</v>
      </c>
      <c r="J783" s="9">
        <v>475.00000000000011</v>
      </c>
      <c r="K783">
        <v>-1725</v>
      </c>
      <c r="L783" s="14" t="s">
        <v>81</v>
      </c>
      <c r="M783" s="8" t="s">
        <v>131</v>
      </c>
      <c r="N783">
        <v>-1250</v>
      </c>
      <c r="O783" s="38" t="s">
        <v>11</v>
      </c>
      <c r="P783" s="38" t="s">
        <v>10</v>
      </c>
      <c r="Q783">
        <v>2025</v>
      </c>
      <c r="R783" t="s">
        <v>131</v>
      </c>
      <c r="S783" t="s">
        <v>14</v>
      </c>
      <c r="T783" t="s">
        <v>976</v>
      </c>
      <c r="U783" t="str">
        <f>IFERROR(_xlfn.XLOOKUP(A783,'2025 EOY'!A:A,'2025 EOY'!B:B),"No")</f>
        <v>No</v>
      </c>
    </row>
    <row r="784" spans="1:21" x14ac:dyDescent="0.35">
      <c r="A784" s="37" t="s">
        <v>127</v>
      </c>
      <c r="B784" s="12">
        <v>45777</v>
      </c>
      <c r="C784" s="10" t="s">
        <v>22</v>
      </c>
      <c r="D784" s="4" t="s">
        <v>128</v>
      </c>
      <c r="E784" s="253">
        <v>-500</v>
      </c>
      <c r="F784" s="173" t="s">
        <v>977</v>
      </c>
      <c r="G784" s="172">
        <v>45808</v>
      </c>
      <c r="H784" s="15">
        <v>0.35</v>
      </c>
      <c r="I784" s="191">
        <v>-9.7000000000000003E-2</v>
      </c>
      <c r="J784" s="9">
        <v>223.49999999999997</v>
      </c>
      <c r="K784">
        <v>-175</v>
      </c>
      <c r="L784" s="14" t="s">
        <v>82</v>
      </c>
      <c r="M784" s="8" t="s">
        <v>129</v>
      </c>
      <c r="N784">
        <v>48.5</v>
      </c>
      <c r="O784" s="38" t="s">
        <v>11</v>
      </c>
      <c r="P784" s="38" t="s">
        <v>16</v>
      </c>
      <c r="Q784">
        <v>2025</v>
      </c>
      <c r="R784" t="s">
        <v>129</v>
      </c>
      <c r="S784" t="s">
        <v>14</v>
      </c>
      <c r="T784" t="s">
        <v>978</v>
      </c>
      <c r="U784" t="str">
        <f>IFERROR(_xlfn.XLOOKUP(A784,'2025 EOY'!A:A,'2025 EOY'!B:B),"No")</f>
        <v>No</v>
      </c>
    </row>
    <row r="785" spans="1:21" x14ac:dyDescent="0.35">
      <c r="A785" s="37" t="s">
        <v>127</v>
      </c>
      <c r="B785" s="12">
        <v>45777</v>
      </c>
      <c r="C785" s="10" t="s">
        <v>22</v>
      </c>
      <c r="D785" s="4" t="s">
        <v>128</v>
      </c>
      <c r="E785" s="253">
        <v>-500</v>
      </c>
      <c r="F785" s="173" t="s">
        <v>148</v>
      </c>
      <c r="G785" s="172">
        <v>45808</v>
      </c>
      <c r="H785" s="15">
        <v>0.35</v>
      </c>
      <c r="I785" s="191">
        <v>0.47200000000000009</v>
      </c>
      <c r="J785" s="9">
        <v>-61.000000000000057</v>
      </c>
      <c r="K785">
        <v>-175</v>
      </c>
      <c r="L785" s="14" t="s">
        <v>43</v>
      </c>
      <c r="M785" s="8" t="s">
        <v>129</v>
      </c>
      <c r="N785">
        <v>-236.00000000000006</v>
      </c>
      <c r="O785" s="38" t="s">
        <v>11</v>
      </c>
      <c r="P785" s="38" t="s">
        <v>16</v>
      </c>
      <c r="Q785">
        <v>2025</v>
      </c>
      <c r="R785" t="s">
        <v>129</v>
      </c>
      <c r="S785" t="s">
        <v>14</v>
      </c>
      <c r="T785" t="s">
        <v>979</v>
      </c>
      <c r="U785" t="str">
        <f>IFERROR(_xlfn.XLOOKUP(A785,'2025 EOY'!A:A,'2025 EOY'!B:B),"No")</f>
        <v>No</v>
      </c>
    </row>
    <row r="786" spans="1:21" x14ac:dyDescent="0.35">
      <c r="A786" s="37" t="s">
        <v>127</v>
      </c>
      <c r="B786" s="12">
        <v>45777</v>
      </c>
      <c r="C786" s="10" t="s">
        <v>22</v>
      </c>
      <c r="D786" s="4" t="s">
        <v>128</v>
      </c>
      <c r="E786" s="253">
        <v>-300</v>
      </c>
      <c r="F786" s="173" t="s">
        <v>977</v>
      </c>
      <c r="G786" s="172">
        <v>45808</v>
      </c>
      <c r="H786" s="15">
        <v>0.2</v>
      </c>
      <c r="I786" s="191">
        <v>-9.7000000000000003E-2</v>
      </c>
      <c r="J786" s="9">
        <v>89.100000000000009</v>
      </c>
      <c r="K786">
        <v>-60</v>
      </c>
      <c r="L786" s="14" t="s">
        <v>82</v>
      </c>
      <c r="M786" s="8" t="s">
        <v>129</v>
      </c>
      <c r="N786">
        <v>29.1</v>
      </c>
      <c r="O786" s="38" t="s">
        <v>11</v>
      </c>
      <c r="P786" s="38" t="s">
        <v>16</v>
      </c>
      <c r="Q786">
        <v>2025</v>
      </c>
      <c r="R786" t="s">
        <v>129</v>
      </c>
      <c r="S786" t="s">
        <v>14</v>
      </c>
      <c r="T786" t="s">
        <v>980</v>
      </c>
      <c r="U786" t="str">
        <f>IFERROR(_xlfn.XLOOKUP(A786,'2025 EOY'!A:A,'2025 EOY'!B:B),"No")</f>
        <v>No</v>
      </c>
    </row>
    <row r="787" spans="1:21" x14ac:dyDescent="0.35">
      <c r="A787" s="37" t="s">
        <v>981</v>
      </c>
      <c r="B787" s="12">
        <v>45778</v>
      </c>
      <c r="C787" s="10" t="s">
        <v>19</v>
      </c>
      <c r="D787" s="4" t="s">
        <v>268</v>
      </c>
      <c r="E787" s="253">
        <v>700</v>
      </c>
      <c r="F787" s="172">
        <v>45808</v>
      </c>
      <c r="G787" s="172">
        <v>45808</v>
      </c>
      <c r="H787" s="120">
        <v>1.44</v>
      </c>
      <c r="I787" s="192">
        <v>0.45</v>
      </c>
      <c r="J787" s="9">
        <v>-693</v>
      </c>
      <c r="K787">
        <v>0</v>
      </c>
      <c r="L787" s="14" t="s">
        <v>65</v>
      </c>
      <c r="M787" s="8" t="s">
        <v>131</v>
      </c>
      <c r="N787">
        <v>294</v>
      </c>
      <c r="O787" s="38" t="s">
        <v>19</v>
      </c>
      <c r="P787" s="38" t="s">
        <v>19</v>
      </c>
      <c r="Q787">
        <v>2025</v>
      </c>
      <c r="R787" t="s">
        <v>131</v>
      </c>
      <c r="S787" t="s">
        <v>96</v>
      </c>
      <c r="T787" t="s">
        <v>982</v>
      </c>
      <c r="U787" t="str">
        <f>IFERROR(_xlfn.XLOOKUP(A787,'2025 EOY'!A:A,'2025 EOY'!B:B),"No")</f>
        <v>No</v>
      </c>
    </row>
    <row r="788" spans="1:21" x14ac:dyDescent="0.35">
      <c r="A788" s="37" t="s">
        <v>981</v>
      </c>
      <c r="B788" s="12">
        <v>45778</v>
      </c>
      <c r="C788" s="10" t="s">
        <v>10</v>
      </c>
      <c r="D788" s="4" t="s">
        <v>268</v>
      </c>
      <c r="E788" s="253">
        <v>-700</v>
      </c>
      <c r="F788" s="172">
        <v>45869</v>
      </c>
      <c r="G788" s="172">
        <v>45869</v>
      </c>
      <c r="H788" s="120">
        <v>-3.38</v>
      </c>
      <c r="I788" s="192">
        <v>-3.11</v>
      </c>
      <c r="J788" s="9">
        <v>-189</v>
      </c>
      <c r="K788">
        <v>-2807</v>
      </c>
      <c r="L788" s="14" t="s">
        <v>75</v>
      </c>
      <c r="M788" s="8" t="s">
        <v>131</v>
      </c>
      <c r="N788">
        <v>-2933.0000000000082</v>
      </c>
      <c r="O788" s="38" t="s">
        <v>11</v>
      </c>
      <c r="P788" s="38" t="s">
        <v>10</v>
      </c>
      <c r="Q788">
        <v>2025</v>
      </c>
      <c r="R788" t="s">
        <v>129</v>
      </c>
      <c r="S788" t="s">
        <v>14</v>
      </c>
      <c r="T788" t="s">
        <v>983</v>
      </c>
      <c r="U788" t="str">
        <f>IFERROR(_xlfn.XLOOKUP(A788,'2025 EOY'!A:A,'2025 EOY'!B:B),"No")</f>
        <v>No</v>
      </c>
    </row>
    <row r="789" spans="1:21" x14ac:dyDescent="0.35">
      <c r="A789" s="37" t="s">
        <v>981</v>
      </c>
      <c r="B789" s="12">
        <v>45778</v>
      </c>
      <c r="C789" s="10" t="s">
        <v>3</v>
      </c>
      <c r="D789" s="4" t="s">
        <v>268</v>
      </c>
      <c r="E789" s="253">
        <v>-700</v>
      </c>
      <c r="F789" s="172">
        <v>45838</v>
      </c>
      <c r="G789" s="172">
        <v>45869</v>
      </c>
      <c r="H789" s="15">
        <v>0.55000000000000004</v>
      </c>
      <c r="I789" s="192">
        <v>0.55000000000000004</v>
      </c>
      <c r="J789" s="9">
        <v>0</v>
      </c>
      <c r="K789">
        <v>-385.00000000000006</v>
      </c>
      <c r="L789" s="14" t="s">
        <v>74</v>
      </c>
      <c r="M789" s="8" t="s">
        <v>129</v>
      </c>
      <c r="N789">
        <v>-385.00000000000006</v>
      </c>
      <c r="O789" s="38" t="s">
        <v>4</v>
      </c>
      <c r="P789" s="38" t="s">
        <v>3</v>
      </c>
      <c r="Q789">
        <v>2025</v>
      </c>
      <c r="R789" t="s">
        <v>129</v>
      </c>
      <c r="S789" t="s">
        <v>14</v>
      </c>
      <c r="T789" t="s">
        <v>984</v>
      </c>
      <c r="U789" t="str">
        <f>IFERROR(_xlfn.XLOOKUP(A789,'2025 EOY'!A:A,'2025 EOY'!B:B),"No")</f>
        <v>No</v>
      </c>
    </row>
    <row r="790" spans="1:21" x14ac:dyDescent="0.35">
      <c r="A790" s="37" t="s">
        <v>981</v>
      </c>
      <c r="B790" s="12">
        <v>45778</v>
      </c>
      <c r="C790" s="47" t="s">
        <v>36</v>
      </c>
      <c r="D790" s="10" t="s">
        <v>268</v>
      </c>
      <c r="E790" s="253">
        <v>-700</v>
      </c>
      <c r="F790" s="172">
        <v>45808</v>
      </c>
      <c r="G790" s="172">
        <v>45808</v>
      </c>
      <c r="H790" s="212">
        <v>157</v>
      </c>
      <c r="I790" s="206">
        <v>125</v>
      </c>
      <c r="J790" s="9">
        <v>448</v>
      </c>
      <c r="K790">
        <v>0</v>
      </c>
      <c r="L790" s="14" t="s">
        <v>65</v>
      </c>
      <c r="M790" s="8" t="s">
        <v>129</v>
      </c>
      <c r="N790">
        <v>-87500</v>
      </c>
      <c r="O790" s="38" t="s">
        <v>29</v>
      </c>
      <c r="P790" s="38" t="s">
        <v>29</v>
      </c>
      <c r="Q790">
        <v>2025</v>
      </c>
      <c r="R790" t="s">
        <v>129</v>
      </c>
      <c r="S790" t="s">
        <v>14</v>
      </c>
      <c r="T790" t="s">
        <v>985</v>
      </c>
      <c r="U790" t="str">
        <f>IFERROR(_xlfn.XLOOKUP(A790,'2025 EOY'!A:A,'2025 EOY'!B:B),"No")</f>
        <v>No</v>
      </c>
    </row>
    <row r="791" spans="1:21" x14ac:dyDescent="0.35">
      <c r="A791" s="37" t="s">
        <v>147</v>
      </c>
      <c r="B791" s="12">
        <v>45791</v>
      </c>
      <c r="C791" s="47" t="s">
        <v>36</v>
      </c>
      <c r="D791" s="10" t="s">
        <v>268</v>
      </c>
      <c r="E791" s="253">
        <v>700</v>
      </c>
      <c r="F791" s="172">
        <v>45838</v>
      </c>
      <c r="G791" s="172">
        <v>45838</v>
      </c>
      <c r="H791" s="212">
        <v>125</v>
      </c>
      <c r="I791" s="206">
        <v>125</v>
      </c>
      <c r="J791" s="9">
        <v>0</v>
      </c>
      <c r="K791">
        <v>87500</v>
      </c>
      <c r="L791" s="14" t="s">
        <v>73</v>
      </c>
      <c r="M791" s="8" t="s">
        <v>131</v>
      </c>
      <c r="N791">
        <v>87500</v>
      </c>
      <c r="O791" s="38" t="s">
        <v>29</v>
      </c>
      <c r="P791" s="38" t="s">
        <v>29</v>
      </c>
      <c r="Q791">
        <v>2025</v>
      </c>
      <c r="R791" t="s">
        <v>131</v>
      </c>
      <c r="S791" t="s">
        <v>14</v>
      </c>
      <c r="T791" t="s">
        <v>986</v>
      </c>
      <c r="U791" t="str">
        <f>IFERROR(_xlfn.XLOOKUP(A791,'2025 EOY'!A:A,'2025 EOY'!B:B),"No")</f>
        <v>No</v>
      </c>
    </row>
    <row r="792" spans="1:21" x14ac:dyDescent="0.35">
      <c r="A792" s="37" t="s">
        <v>981</v>
      </c>
      <c r="B792" s="12">
        <v>45778</v>
      </c>
      <c r="C792" s="47" t="s">
        <v>39</v>
      </c>
      <c r="D792" s="10" t="s">
        <v>268</v>
      </c>
      <c r="E792" s="253">
        <v>700</v>
      </c>
      <c r="F792" s="172">
        <v>45838</v>
      </c>
      <c r="G792" s="172">
        <v>45838</v>
      </c>
      <c r="H792" s="212">
        <v>120</v>
      </c>
      <c r="I792" s="206">
        <v>122</v>
      </c>
      <c r="J792" s="9">
        <v>28</v>
      </c>
      <c r="K792">
        <v>79800</v>
      </c>
      <c r="L792" s="14" t="s">
        <v>73</v>
      </c>
      <c r="M792" s="8" t="s">
        <v>131</v>
      </c>
      <c r="N792">
        <v>85400</v>
      </c>
      <c r="O792" s="38" t="s">
        <v>29</v>
      </c>
      <c r="P792" s="38" t="s">
        <v>29</v>
      </c>
      <c r="Q792">
        <v>2025</v>
      </c>
      <c r="R792" t="s">
        <v>131</v>
      </c>
      <c r="S792" t="s">
        <v>14</v>
      </c>
      <c r="T792" t="s">
        <v>987</v>
      </c>
      <c r="U792" t="str">
        <f>IFERROR(_xlfn.XLOOKUP(A792,'2025 EOY'!A:A,'2025 EOY'!B:B),"No")</f>
        <v>No</v>
      </c>
    </row>
    <row r="793" spans="1:21" x14ac:dyDescent="0.35">
      <c r="A793" s="37" t="s">
        <v>127</v>
      </c>
      <c r="B793" s="12">
        <v>45779</v>
      </c>
      <c r="C793" s="10" t="s">
        <v>15</v>
      </c>
      <c r="D793" s="4" t="s">
        <v>128</v>
      </c>
      <c r="E793" s="253">
        <v>-335</v>
      </c>
      <c r="F793" s="173">
        <v>45777</v>
      </c>
      <c r="G793" s="172">
        <v>45777</v>
      </c>
      <c r="H793" s="15">
        <v>1.42</v>
      </c>
      <c r="I793" s="191">
        <v>1.42</v>
      </c>
      <c r="J793" s="9">
        <v>0</v>
      </c>
      <c r="K793">
        <v>-475.7</v>
      </c>
      <c r="L793" s="14" t="s">
        <v>64</v>
      </c>
      <c r="M793" s="8" t="s">
        <v>129</v>
      </c>
      <c r="N793">
        <v>-475.7</v>
      </c>
      <c r="O793" s="38" t="s">
        <v>11</v>
      </c>
      <c r="P793" s="38" t="s">
        <v>16</v>
      </c>
      <c r="Q793">
        <v>2025</v>
      </c>
      <c r="R793" t="s">
        <v>129</v>
      </c>
      <c r="S793" t="s">
        <v>14</v>
      </c>
      <c r="T793" t="s">
        <v>988</v>
      </c>
      <c r="U793" t="str">
        <f>IFERROR(_xlfn.XLOOKUP(A793,'2025 EOY'!A:A,'2025 EOY'!B:B),"No")</f>
        <v>No</v>
      </c>
    </row>
    <row r="794" spans="1:21" x14ac:dyDescent="0.35">
      <c r="A794" s="37" t="s">
        <v>127</v>
      </c>
      <c r="B794" s="12">
        <v>45779</v>
      </c>
      <c r="C794" s="10" t="s">
        <v>15</v>
      </c>
      <c r="D794" s="4" t="s">
        <v>128</v>
      </c>
      <c r="E794" s="253">
        <v>-500</v>
      </c>
      <c r="F794" s="173">
        <v>45808</v>
      </c>
      <c r="G794" s="172">
        <v>45808</v>
      </c>
      <c r="H794" s="15">
        <v>0.47</v>
      </c>
      <c r="I794" s="191">
        <v>0.14121300000000001</v>
      </c>
      <c r="J794" s="9">
        <v>164.39349999999996</v>
      </c>
      <c r="K794">
        <v>-235</v>
      </c>
      <c r="L794" s="14" t="s">
        <v>65</v>
      </c>
      <c r="M794" s="8" t="s">
        <v>129</v>
      </c>
      <c r="N794">
        <v>-70.606499999999997</v>
      </c>
      <c r="O794" s="38" t="s">
        <v>11</v>
      </c>
      <c r="P794" s="38" t="s">
        <v>16</v>
      </c>
      <c r="Q794">
        <v>2025</v>
      </c>
      <c r="R794" t="s">
        <v>129</v>
      </c>
      <c r="S794" t="s">
        <v>14</v>
      </c>
      <c r="T794" t="s">
        <v>989</v>
      </c>
      <c r="U794" t="str">
        <f>IFERROR(_xlfn.XLOOKUP(A794,'2025 EOY'!A:A,'2025 EOY'!B:B),"No")</f>
        <v>No</v>
      </c>
    </row>
    <row r="795" spans="1:21" x14ac:dyDescent="0.35">
      <c r="A795" s="37" t="s">
        <v>981</v>
      </c>
      <c r="B795" s="12">
        <v>45782</v>
      </c>
      <c r="C795" s="10" t="s">
        <v>3</v>
      </c>
      <c r="D795" s="4" t="s">
        <v>128</v>
      </c>
      <c r="E795" s="253">
        <v>500</v>
      </c>
      <c r="F795" s="172">
        <v>45838</v>
      </c>
      <c r="G795" s="172">
        <v>45869</v>
      </c>
      <c r="H795" s="15">
        <v>0.39</v>
      </c>
      <c r="I795" s="192">
        <v>0.55000000000000004</v>
      </c>
      <c r="J795" s="9">
        <v>80.000000000000014</v>
      </c>
      <c r="K795">
        <v>195</v>
      </c>
      <c r="L795" s="14" t="s">
        <v>74</v>
      </c>
      <c r="M795" s="8" t="s">
        <v>131</v>
      </c>
      <c r="N795">
        <v>275</v>
      </c>
      <c r="O795" s="38" t="s">
        <v>4</v>
      </c>
      <c r="P795" s="38" t="s">
        <v>3</v>
      </c>
      <c r="Q795">
        <v>2025</v>
      </c>
      <c r="R795" t="s">
        <v>131</v>
      </c>
      <c r="S795" t="s">
        <v>14</v>
      </c>
      <c r="T795" t="s">
        <v>990</v>
      </c>
      <c r="U795" t="str">
        <f>IFERROR(_xlfn.XLOOKUP(A795,'2025 EOY'!A:A,'2025 EOY'!B:B),"No")</f>
        <v>No</v>
      </c>
    </row>
    <row r="796" spans="1:21" x14ac:dyDescent="0.35">
      <c r="A796" s="37" t="s">
        <v>127</v>
      </c>
      <c r="B796" s="12">
        <v>45782</v>
      </c>
      <c r="C796" s="10" t="s">
        <v>10</v>
      </c>
      <c r="D796" s="4" t="s">
        <v>128</v>
      </c>
      <c r="E796" s="253">
        <v>2000</v>
      </c>
      <c r="F796" s="172">
        <v>45869</v>
      </c>
      <c r="G796" s="172">
        <v>45869</v>
      </c>
      <c r="H796" s="15">
        <v>-3.48</v>
      </c>
      <c r="I796" s="192">
        <v>-3.11</v>
      </c>
      <c r="J796" s="9">
        <v>740.00000000000023</v>
      </c>
      <c r="K796">
        <v>-6960</v>
      </c>
      <c r="L796" s="14" t="s">
        <v>75</v>
      </c>
      <c r="M796" s="8" t="s">
        <v>131</v>
      </c>
      <c r="N796">
        <v>-6220</v>
      </c>
      <c r="O796" s="38" t="s">
        <v>11</v>
      </c>
      <c r="P796" s="38" t="s">
        <v>10</v>
      </c>
      <c r="Q796">
        <v>2025</v>
      </c>
      <c r="R796" t="s">
        <v>131</v>
      </c>
      <c r="S796" t="s">
        <v>14</v>
      </c>
      <c r="T796" t="s">
        <v>991</v>
      </c>
      <c r="U796" t="str">
        <f>IFERROR(_xlfn.XLOOKUP(A796,'2025 EOY'!A:A,'2025 EOY'!B:B),"No")</f>
        <v>No</v>
      </c>
    </row>
    <row r="797" spans="1:21" x14ac:dyDescent="0.35">
      <c r="A797" s="37" t="s">
        <v>127</v>
      </c>
      <c r="B797" s="12">
        <v>45783</v>
      </c>
      <c r="C797" s="10" t="s">
        <v>3</v>
      </c>
      <c r="D797" s="4" t="s">
        <v>128</v>
      </c>
      <c r="E797" s="253">
        <v>-500</v>
      </c>
      <c r="F797" s="172">
        <v>45838</v>
      </c>
      <c r="G797" s="172">
        <v>45869</v>
      </c>
      <c r="H797" s="15">
        <v>0.51</v>
      </c>
      <c r="I797" s="192">
        <v>0.55000000000000004</v>
      </c>
      <c r="J797" s="9">
        <v>-20.000000000000018</v>
      </c>
      <c r="K797">
        <v>-255</v>
      </c>
      <c r="L797" s="14" t="s">
        <v>74</v>
      </c>
      <c r="M797" s="8" t="s">
        <v>129</v>
      </c>
      <c r="N797">
        <v>-275</v>
      </c>
      <c r="O797" s="38" t="s">
        <v>4</v>
      </c>
      <c r="P797" s="38" t="s">
        <v>3</v>
      </c>
      <c r="Q797">
        <v>2025</v>
      </c>
      <c r="R797" t="s">
        <v>129</v>
      </c>
      <c r="S797" t="s">
        <v>14</v>
      </c>
      <c r="T797" t="s">
        <v>992</v>
      </c>
      <c r="U797" t="str">
        <f>IFERROR(_xlfn.XLOOKUP(A797,'2025 EOY'!A:A,'2025 EOY'!B:B),"No")</f>
        <v>No</v>
      </c>
    </row>
    <row r="798" spans="1:21" x14ac:dyDescent="0.35">
      <c r="A798" s="37" t="s">
        <v>993</v>
      </c>
      <c r="B798" s="12">
        <v>45783</v>
      </c>
      <c r="C798" s="10" t="s">
        <v>19</v>
      </c>
      <c r="D798" s="4" t="s">
        <v>268</v>
      </c>
      <c r="E798" s="264">
        <v>700</v>
      </c>
      <c r="F798" s="172">
        <v>45838</v>
      </c>
      <c r="G798" s="172">
        <v>45838</v>
      </c>
      <c r="H798" s="120">
        <v>-0.45000000000000018</v>
      </c>
      <c r="I798" s="192">
        <v>0.01</v>
      </c>
      <c r="J798" s="9">
        <v>322.00000000000011</v>
      </c>
      <c r="K798">
        <v>-315.00000000000011</v>
      </c>
      <c r="L798" s="14" t="s">
        <v>73</v>
      </c>
      <c r="M798" s="8" t="s">
        <v>131</v>
      </c>
      <c r="N798">
        <v>7</v>
      </c>
      <c r="O798" s="38" t="s">
        <v>19</v>
      </c>
      <c r="P798" s="38" t="s">
        <v>19</v>
      </c>
      <c r="Q798">
        <v>2025</v>
      </c>
      <c r="R798" t="s">
        <v>131</v>
      </c>
      <c r="S798" t="s">
        <v>96</v>
      </c>
      <c r="T798" t="s">
        <v>994</v>
      </c>
      <c r="U798" t="str">
        <f>IFERROR(_xlfn.XLOOKUP(A798,'2025 EOY'!A:A,'2025 EOY'!B:B),"No")</f>
        <v>No</v>
      </c>
    </row>
    <row r="799" spans="1:21" x14ac:dyDescent="0.35">
      <c r="A799" s="37" t="s">
        <v>993</v>
      </c>
      <c r="B799" s="12">
        <v>45783</v>
      </c>
      <c r="C799" s="10" t="s">
        <v>10</v>
      </c>
      <c r="D799" s="4" t="s">
        <v>268</v>
      </c>
      <c r="E799" s="265">
        <v>-700</v>
      </c>
      <c r="F799" s="172">
        <v>45869</v>
      </c>
      <c r="G799" s="172">
        <v>45869</v>
      </c>
      <c r="H799" s="120">
        <v>-3.34</v>
      </c>
      <c r="I799" s="192">
        <v>-3.11</v>
      </c>
      <c r="J799" s="9">
        <v>-161</v>
      </c>
      <c r="K799">
        <v>2338</v>
      </c>
      <c r="L799" s="14" t="s">
        <v>75</v>
      </c>
      <c r="M799" s="8" t="s">
        <v>129</v>
      </c>
      <c r="N799">
        <v>2177</v>
      </c>
      <c r="O799" s="38" t="s">
        <v>11</v>
      </c>
      <c r="P799" s="38" t="s">
        <v>10</v>
      </c>
      <c r="Q799">
        <v>2025</v>
      </c>
      <c r="R799" t="s">
        <v>129</v>
      </c>
      <c r="S799" t="s">
        <v>14</v>
      </c>
      <c r="T799" t="s">
        <v>995</v>
      </c>
      <c r="U799" t="str">
        <f>IFERROR(_xlfn.XLOOKUP(A799,'2025 EOY'!A:A,'2025 EOY'!B:B),"No")</f>
        <v>No</v>
      </c>
    </row>
    <row r="800" spans="1:21" x14ac:dyDescent="0.35">
      <c r="A800" s="37" t="s">
        <v>993</v>
      </c>
      <c r="B800" s="12">
        <v>45783</v>
      </c>
      <c r="C800" s="10" t="s">
        <v>3</v>
      </c>
      <c r="D800" s="4" t="s">
        <v>268</v>
      </c>
      <c r="E800" s="265">
        <v>0</v>
      </c>
      <c r="F800" s="172">
        <v>45838</v>
      </c>
      <c r="G800" s="172">
        <v>45869</v>
      </c>
      <c r="H800" s="15">
        <v>0.52</v>
      </c>
      <c r="I800" s="192">
        <v>0.55000000000000004</v>
      </c>
      <c r="J800" s="9">
        <v>0</v>
      </c>
      <c r="K800">
        <v>0</v>
      </c>
      <c r="L800" s="14" t="s">
        <v>74</v>
      </c>
      <c r="M800" s="8" t="s">
        <v>131</v>
      </c>
      <c r="N800">
        <v>0</v>
      </c>
      <c r="O800" s="38" t="s">
        <v>4</v>
      </c>
      <c r="P800" s="38" t="s">
        <v>3</v>
      </c>
      <c r="Q800">
        <v>2025</v>
      </c>
      <c r="R800" t="s">
        <v>129</v>
      </c>
      <c r="S800" t="s">
        <v>14</v>
      </c>
      <c r="T800" t="s">
        <v>996</v>
      </c>
      <c r="U800" t="str">
        <f>IFERROR(_xlfn.XLOOKUP(A800,'2025 EOY'!A:A,'2025 EOY'!B:B),"No")</f>
        <v>No</v>
      </c>
    </row>
    <row r="801" spans="1:21" x14ac:dyDescent="0.35">
      <c r="A801" s="37" t="s">
        <v>993</v>
      </c>
      <c r="B801" s="12">
        <v>45783</v>
      </c>
      <c r="C801" s="47" t="s">
        <v>36</v>
      </c>
      <c r="D801" s="10" t="s">
        <v>268</v>
      </c>
      <c r="E801" s="265">
        <v>-700</v>
      </c>
      <c r="F801" s="172">
        <v>45838</v>
      </c>
      <c r="G801" s="172">
        <v>45838</v>
      </c>
      <c r="H801" s="212">
        <v>135</v>
      </c>
      <c r="I801" s="206">
        <v>150.77101718532276</v>
      </c>
      <c r="J801" s="9">
        <v>-220.7942405945187</v>
      </c>
      <c r="K801">
        <v>-94500</v>
      </c>
      <c r="L801" s="14" t="s">
        <v>73</v>
      </c>
      <c r="M801" s="8" t="s">
        <v>129</v>
      </c>
      <c r="N801">
        <v>-105539.71202972594</v>
      </c>
      <c r="O801" s="38" t="s">
        <v>29</v>
      </c>
      <c r="P801" s="38" t="s">
        <v>29</v>
      </c>
      <c r="Q801">
        <v>2025</v>
      </c>
      <c r="R801" t="s">
        <v>129</v>
      </c>
      <c r="S801" t="s">
        <v>14</v>
      </c>
      <c r="T801" t="s">
        <v>997</v>
      </c>
      <c r="U801" t="str">
        <f>IFERROR(_xlfn.XLOOKUP(A801,'2025 EOY'!A:A,'2025 EOY'!B:B),"No")</f>
        <v>No</v>
      </c>
    </row>
    <row r="802" spans="1:21" x14ac:dyDescent="0.35">
      <c r="A802" s="37" t="s">
        <v>993</v>
      </c>
      <c r="B802" s="12">
        <v>45783</v>
      </c>
      <c r="C802" s="47" t="s">
        <v>36</v>
      </c>
      <c r="D802" s="10" t="s">
        <v>268</v>
      </c>
      <c r="E802" s="265">
        <v>700</v>
      </c>
      <c r="F802" s="172">
        <v>45838</v>
      </c>
      <c r="G802" s="172">
        <v>45838</v>
      </c>
      <c r="H802" s="212">
        <v>142.5</v>
      </c>
      <c r="I802" s="206">
        <v>150.77101718532276</v>
      </c>
      <c r="J802" s="9">
        <v>115.79424059451868</v>
      </c>
      <c r="K802">
        <v>99750</v>
      </c>
      <c r="L802" s="14" t="s">
        <v>73</v>
      </c>
      <c r="M802" s="8" t="s">
        <v>131</v>
      </c>
      <c r="N802">
        <v>105539.71202972594</v>
      </c>
      <c r="O802" s="38" t="s">
        <v>29</v>
      </c>
      <c r="P802" s="38" t="s">
        <v>29</v>
      </c>
      <c r="Q802">
        <v>2025</v>
      </c>
      <c r="R802" t="s">
        <v>131</v>
      </c>
      <c r="S802" t="s">
        <v>14</v>
      </c>
      <c r="T802" t="s">
        <v>998</v>
      </c>
      <c r="U802" t="str">
        <f>IFERROR(_xlfn.XLOOKUP(A802,'2025 EOY'!A:A,'2025 EOY'!B:B),"No")</f>
        <v>No</v>
      </c>
    </row>
    <row r="803" spans="1:21" x14ac:dyDescent="0.35">
      <c r="A803" s="37" t="s">
        <v>981</v>
      </c>
      <c r="B803" s="12">
        <v>45778</v>
      </c>
      <c r="C803" s="47" t="s">
        <v>39</v>
      </c>
      <c r="D803" s="10" t="s">
        <v>268</v>
      </c>
      <c r="E803" s="253">
        <v>-700</v>
      </c>
      <c r="F803" s="172">
        <v>45838</v>
      </c>
      <c r="G803" s="172">
        <v>45838</v>
      </c>
      <c r="H803" s="212">
        <v>122</v>
      </c>
      <c r="I803" s="206">
        <v>122</v>
      </c>
      <c r="J803" s="9">
        <v>0</v>
      </c>
      <c r="K803">
        <v>79800</v>
      </c>
      <c r="L803" s="14" t="s">
        <v>73</v>
      </c>
      <c r="M803" s="8" t="s">
        <v>129</v>
      </c>
      <c r="N803">
        <v>-85400</v>
      </c>
      <c r="O803" s="38" t="s">
        <v>29</v>
      </c>
      <c r="P803" s="38" t="s">
        <v>29</v>
      </c>
      <c r="Q803">
        <v>2025</v>
      </c>
      <c r="R803" t="s">
        <v>129</v>
      </c>
      <c r="S803" t="s">
        <v>14</v>
      </c>
      <c r="T803" t="s">
        <v>999</v>
      </c>
      <c r="U803" t="str">
        <f>IFERROR(_xlfn.XLOOKUP(A803,'2025 EOY'!A:A,'2025 EOY'!B:B),"No")</f>
        <v>No</v>
      </c>
    </row>
    <row r="804" spans="1:21" x14ac:dyDescent="0.35">
      <c r="A804" s="37" t="s">
        <v>993</v>
      </c>
      <c r="B804" s="12">
        <v>45783</v>
      </c>
      <c r="C804" s="47" t="s">
        <v>39</v>
      </c>
      <c r="D804" s="10" t="s">
        <v>268</v>
      </c>
      <c r="E804" s="265">
        <v>700</v>
      </c>
      <c r="F804" s="172">
        <v>45869</v>
      </c>
      <c r="G804" s="172">
        <v>45869</v>
      </c>
      <c r="H804" s="212">
        <v>110</v>
      </c>
      <c r="I804" s="206">
        <v>117</v>
      </c>
      <c r="J804" s="155">
        <v>98.000000000000014</v>
      </c>
      <c r="K804">
        <v>77000</v>
      </c>
      <c r="L804" s="14" t="s">
        <v>75</v>
      </c>
      <c r="M804" s="8" t="s">
        <v>131</v>
      </c>
      <c r="N804">
        <v>81900</v>
      </c>
      <c r="O804" s="38" t="s">
        <v>29</v>
      </c>
      <c r="P804" s="38" t="s">
        <v>29</v>
      </c>
      <c r="Q804">
        <v>2025</v>
      </c>
      <c r="R804" t="s">
        <v>131</v>
      </c>
      <c r="S804" t="s">
        <v>14</v>
      </c>
      <c r="T804" t="s">
        <v>1000</v>
      </c>
      <c r="U804" t="str">
        <f>IFERROR(_xlfn.XLOOKUP(A804,'2025 EOY'!A:A,'2025 EOY'!B:B),"No")</f>
        <v>No</v>
      </c>
    </row>
    <row r="805" spans="1:21" x14ac:dyDescent="0.35">
      <c r="A805" s="37" t="s">
        <v>1001</v>
      </c>
      <c r="B805" s="12">
        <v>45783</v>
      </c>
      <c r="C805" s="10" t="s">
        <v>19</v>
      </c>
      <c r="D805" s="4" t="s">
        <v>268</v>
      </c>
      <c r="E805" s="264">
        <v>0</v>
      </c>
      <c r="F805" s="172">
        <v>45838</v>
      </c>
      <c r="G805" s="172">
        <v>45838</v>
      </c>
      <c r="H805" s="120">
        <v>0.17999999999999972</v>
      </c>
      <c r="I805" s="192">
        <v>0.01</v>
      </c>
      <c r="J805" s="9">
        <v>0</v>
      </c>
      <c r="K805">
        <v>0</v>
      </c>
      <c r="L805" s="14" t="s">
        <v>73</v>
      </c>
      <c r="M805" s="8" t="s">
        <v>131</v>
      </c>
      <c r="N805">
        <v>0</v>
      </c>
      <c r="O805" s="38" t="s">
        <v>19</v>
      </c>
      <c r="P805" s="38" t="s">
        <v>19</v>
      </c>
      <c r="Q805">
        <v>2025</v>
      </c>
      <c r="R805" t="s">
        <v>129</v>
      </c>
      <c r="S805" t="s">
        <v>96</v>
      </c>
      <c r="T805" t="s">
        <v>1002</v>
      </c>
      <c r="U805" t="str">
        <f>IFERROR(_xlfn.XLOOKUP(A805,'2025 EOY'!A:A,'2025 EOY'!B:B),"No")</f>
        <v>No</v>
      </c>
    </row>
    <row r="806" spans="1:21" x14ac:dyDescent="0.35">
      <c r="A806" s="37" t="s">
        <v>1001</v>
      </c>
      <c r="B806" s="12">
        <v>45783</v>
      </c>
      <c r="C806" s="10" t="s">
        <v>10</v>
      </c>
      <c r="D806" s="4" t="s">
        <v>268</v>
      </c>
      <c r="E806" s="265"/>
      <c r="F806" s="172">
        <v>45869</v>
      </c>
      <c r="G806" s="172">
        <v>45869</v>
      </c>
      <c r="H806" s="120">
        <v>-3.49</v>
      </c>
      <c r="I806" s="192">
        <v>-3.11</v>
      </c>
      <c r="J806" s="9">
        <v>0</v>
      </c>
      <c r="K806">
        <v>0</v>
      </c>
      <c r="L806" s="14" t="s">
        <v>75</v>
      </c>
      <c r="M806" s="8" t="s">
        <v>131</v>
      </c>
      <c r="N806">
        <v>0</v>
      </c>
      <c r="O806" s="38" t="s">
        <v>11</v>
      </c>
      <c r="P806" s="38" t="s">
        <v>10</v>
      </c>
      <c r="Q806">
        <v>2025</v>
      </c>
      <c r="R806" t="s">
        <v>129</v>
      </c>
      <c r="S806" t="s">
        <v>14</v>
      </c>
      <c r="T806" t="s">
        <v>1003</v>
      </c>
      <c r="U806" t="str">
        <f>IFERROR(_xlfn.XLOOKUP(A806,'2025 EOY'!A:A,'2025 EOY'!B:B),"No")</f>
        <v>No</v>
      </c>
    </row>
    <row r="807" spans="1:21" x14ac:dyDescent="0.35">
      <c r="A807" s="37" t="s">
        <v>1001</v>
      </c>
      <c r="B807" s="12">
        <v>45783</v>
      </c>
      <c r="C807" s="10" t="s">
        <v>3</v>
      </c>
      <c r="D807" s="4" t="s">
        <v>268</v>
      </c>
      <c r="E807" s="265"/>
      <c r="F807" s="172">
        <v>45838</v>
      </c>
      <c r="G807" s="172">
        <v>45869</v>
      </c>
      <c r="H807" s="15">
        <v>0.52</v>
      </c>
      <c r="I807" s="192">
        <v>0.55000000000000004</v>
      </c>
      <c r="J807" s="9">
        <v>0</v>
      </c>
      <c r="K807">
        <v>0</v>
      </c>
      <c r="L807" s="14" t="s">
        <v>74</v>
      </c>
      <c r="M807" s="8" t="s">
        <v>131</v>
      </c>
      <c r="N807">
        <v>0</v>
      </c>
      <c r="O807" s="38" t="s">
        <v>4</v>
      </c>
      <c r="P807" s="38" t="s">
        <v>3</v>
      </c>
      <c r="Q807">
        <v>2025</v>
      </c>
      <c r="R807" t="s">
        <v>129</v>
      </c>
      <c r="S807" t="s">
        <v>14</v>
      </c>
      <c r="T807" t="s">
        <v>1004</v>
      </c>
      <c r="U807" t="str">
        <f>IFERROR(_xlfn.XLOOKUP(A807,'2025 EOY'!A:A,'2025 EOY'!B:B),"No")</f>
        <v>No</v>
      </c>
    </row>
    <row r="808" spans="1:21" x14ac:dyDescent="0.35">
      <c r="A808" s="37" t="s">
        <v>1001</v>
      </c>
      <c r="B808" s="12">
        <v>45783</v>
      </c>
      <c r="C808" s="47" t="s">
        <v>36</v>
      </c>
      <c r="D808" s="10" t="s">
        <v>268</v>
      </c>
      <c r="E808" s="265"/>
      <c r="F808" s="172">
        <v>45838</v>
      </c>
      <c r="G808" s="172">
        <v>45838</v>
      </c>
      <c r="H808" s="212">
        <v>141</v>
      </c>
      <c r="I808" s="206">
        <v>0</v>
      </c>
      <c r="J808" s="9">
        <v>0</v>
      </c>
      <c r="K808">
        <v>0</v>
      </c>
      <c r="L808" s="14" t="s">
        <v>73</v>
      </c>
      <c r="M808" s="8" t="s">
        <v>131</v>
      </c>
      <c r="N808">
        <v>0</v>
      </c>
      <c r="O808" s="38" t="s">
        <v>29</v>
      </c>
      <c r="P808" s="38" t="s">
        <v>29</v>
      </c>
      <c r="Q808">
        <v>2025</v>
      </c>
      <c r="R808" t="s">
        <v>129</v>
      </c>
      <c r="S808" t="s">
        <v>14</v>
      </c>
      <c r="T808" t="s">
        <v>1005</v>
      </c>
      <c r="U808" t="str">
        <f>IFERROR(_xlfn.XLOOKUP(A808,'2025 EOY'!A:A,'2025 EOY'!B:B),"No")</f>
        <v>No</v>
      </c>
    </row>
    <row r="809" spans="1:21" x14ac:dyDescent="0.35">
      <c r="A809" s="37" t="s">
        <v>1001</v>
      </c>
      <c r="B809" s="12">
        <v>45783</v>
      </c>
      <c r="C809" s="47" t="s">
        <v>39</v>
      </c>
      <c r="D809" s="10" t="s">
        <v>268</v>
      </c>
      <c r="E809" s="265"/>
      <c r="F809" s="172">
        <v>45869</v>
      </c>
      <c r="G809" s="172">
        <v>45869</v>
      </c>
      <c r="H809" s="212">
        <v>120</v>
      </c>
      <c r="I809" s="206">
        <v>0</v>
      </c>
      <c r="J809" s="9">
        <v>0</v>
      </c>
      <c r="K809">
        <v>0</v>
      </c>
      <c r="L809" s="14" t="s">
        <v>75</v>
      </c>
      <c r="M809" s="8" t="s">
        <v>131</v>
      </c>
      <c r="N809">
        <v>0</v>
      </c>
      <c r="O809" s="38" t="s">
        <v>29</v>
      </c>
      <c r="P809" s="38" t="s">
        <v>29</v>
      </c>
      <c r="Q809">
        <v>2025</v>
      </c>
      <c r="R809" t="s">
        <v>129</v>
      </c>
      <c r="S809" t="s">
        <v>14</v>
      </c>
      <c r="T809" t="s">
        <v>1006</v>
      </c>
      <c r="U809" t="str">
        <f>IFERROR(_xlfn.XLOOKUP(A809,'2025 EOY'!A:A,'2025 EOY'!B:B),"No")</f>
        <v>No</v>
      </c>
    </row>
    <row r="810" spans="1:21" x14ac:dyDescent="0.35">
      <c r="A810" s="37" t="s">
        <v>1007</v>
      </c>
      <c r="B810" s="12">
        <v>45783</v>
      </c>
      <c r="C810" s="10" t="s">
        <v>19</v>
      </c>
      <c r="D810" s="4" t="s">
        <v>268</v>
      </c>
      <c r="E810" s="264"/>
      <c r="F810" s="172">
        <v>45838</v>
      </c>
      <c r="G810" s="172">
        <v>45838</v>
      </c>
      <c r="H810" s="120">
        <v>-0.17</v>
      </c>
      <c r="I810" s="192">
        <v>0.01</v>
      </c>
      <c r="J810" s="9">
        <v>0</v>
      </c>
      <c r="K810">
        <v>0</v>
      </c>
      <c r="L810" s="14" t="s">
        <v>73</v>
      </c>
      <c r="M810" s="8" t="s">
        <v>131</v>
      </c>
      <c r="N810">
        <v>0</v>
      </c>
      <c r="O810" s="38" t="s">
        <v>19</v>
      </c>
      <c r="P810" s="38" t="s">
        <v>19</v>
      </c>
      <c r="Q810">
        <v>2025</v>
      </c>
      <c r="R810" t="s">
        <v>129</v>
      </c>
      <c r="S810" t="s">
        <v>96</v>
      </c>
      <c r="T810" t="s">
        <v>1008</v>
      </c>
      <c r="U810" t="str">
        <f>IFERROR(_xlfn.XLOOKUP(A810,'2025 EOY'!A:A,'2025 EOY'!B:B),"No")</f>
        <v>No</v>
      </c>
    </row>
    <row r="811" spans="1:21" x14ac:dyDescent="0.35">
      <c r="A811" s="37" t="s">
        <v>1007</v>
      </c>
      <c r="B811" s="12">
        <v>45783</v>
      </c>
      <c r="C811" s="10" t="s">
        <v>10</v>
      </c>
      <c r="D811" s="4" t="s">
        <v>268</v>
      </c>
      <c r="E811" s="265"/>
      <c r="F811" s="172">
        <v>45869</v>
      </c>
      <c r="G811" s="172">
        <v>45869</v>
      </c>
      <c r="H811" s="120">
        <v>-3.49</v>
      </c>
      <c r="I811" s="192">
        <v>-3.11</v>
      </c>
      <c r="J811" s="9">
        <v>0</v>
      </c>
      <c r="K811">
        <v>0</v>
      </c>
      <c r="L811" s="14" t="s">
        <v>75</v>
      </c>
      <c r="M811" s="8" t="s">
        <v>131</v>
      </c>
      <c r="N811">
        <v>0</v>
      </c>
      <c r="O811" s="38" t="s">
        <v>11</v>
      </c>
      <c r="P811" s="38" t="s">
        <v>10</v>
      </c>
      <c r="Q811">
        <v>2025</v>
      </c>
      <c r="R811" t="s">
        <v>129</v>
      </c>
      <c r="S811" t="s">
        <v>14</v>
      </c>
      <c r="T811" t="s">
        <v>1009</v>
      </c>
      <c r="U811" t="str">
        <f>IFERROR(_xlfn.XLOOKUP(A811,'2025 EOY'!A:A,'2025 EOY'!B:B),"No")</f>
        <v>No</v>
      </c>
    </row>
    <row r="812" spans="1:21" x14ac:dyDescent="0.35">
      <c r="A812" s="37" t="s">
        <v>1007</v>
      </c>
      <c r="B812" s="12">
        <v>45783</v>
      </c>
      <c r="C812" s="10" t="s">
        <v>3</v>
      </c>
      <c r="D812" s="4" t="s">
        <v>268</v>
      </c>
      <c r="E812" s="265"/>
      <c r="F812" s="172">
        <v>45838</v>
      </c>
      <c r="G812" s="172">
        <v>45869</v>
      </c>
      <c r="H812" s="15">
        <v>0.52</v>
      </c>
      <c r="I812" s="192">
        <v>0.55000000000000004</v>
      </c>
      <c r="J812" s="9">
        <v>0</v>
      </c>
      <c r="K812">
        <v>0</v>
      </c>
      <c r="L812" s="14" t="s">
        <v>74</v>
      </c>
      <c r="M812" s="8" t="s">
        <v>131</v>
      </c>
      <c r="N812">
        <v>0</v>
      </c>
      <c r="O812" s="38" t="s">
        <v>4</v>
      </c>
      <c r="P812" s="38" t="s">
        <v>3</v>
      </c>
      <c r="Q812">
        <v>2025</v>
      </c>
      <c r="R812" t="s">
        <v>129</v>
      </c>
      <c r="S812" t="s">
        <v>14</v>
      </c>
      <c r="T812" t="s">
        <v>1010</v>
      </c>
      <c r="U812" t="str">
        <f>IFERROR(_xlfn.XLOOKUP(A812,'2025 EOY'!A:A,'2025 EOY'!B:B),"No")</f>
        <v>No</v>
      </c>
    </row>
    <row r="813" spans="1:21" x14ac:dyDescent="0.35">
      <c r="A813" s="37" t="s">
        <v>1007</v>
      </c>
      <c r="B813" s="12">
        <v>45783</v>
      </c>
      <c r="C813" s="47" t="s">
        <v>36</v>
      </c>
      <c r="D813" s="10" t="s">
        <v>268</v>
      </c>
      <c r="E813" s="265"/>
      <c r="F813" s="172">
        <v>45838</v>
      </c>
      <c r="G813" s="172">
        <v>45838</v>
      </c>
      <c r="H813" s="212">
        <v>141</v>
      </c>
      <c r="I813" s="206">
        <v>0</v>
      </c>
      <c r="J813" s="9">
        <v>0</v>
      </c>
      <c r="K813">
        <v>0</v>
      </c>
      <c r="L813" s="14" t="s">
        <v>73</v>
      </c>
      <c r="M813" s="8" t="s">
        <v>131</v>
      </c>
      <c r="N813">
        <v>0</v>
      </c>
      <c r="O813" s="38" t="s">
        <v>29</v>
      </c>
      <c r="P813" s="38" t="s">
        <v>29</v>
      </c>
      <c r="Q813">
        <v>2025</v>
      </c>
      <c r="R813" t="s">
        <v>129</v>
      </c>
      <c r="S813" t="s">
        <v>14</v>
      </c>
      <c r="T813" t="s">
        <v>1011</v>
      </c>
      <c r="U813" t="str">
        <f>IFERROR(_xlfn.XLOOKUP(A813,'2025 EOY'!A:A,'2025 EOY'!B:B),"No")</f>
        <v>No</v>
      </c>
    </row>
    <row r="814" spans="1:21" x14ac:dyDescent="0.35">
      <c r="A814" s="37" t="s">
        <v>1007</v>
      </c>
      <c r="B814" s="12">
        <v>45783</v>
      </c>
      <c r="C814" s="47" t="s">
        <v>39</v>
      </c>
      <c r="D814" s="10" t="s">
        <v>268</v>
      </c>
      <c r="E814" s="265"/>
      <c r="F814" s="172">
        <v>45869</v>
      </c>
      <c r="G814" s="172">
        <v>45869</v>
      </c>
      <c r="H814" s="212">
        <v>120</v>
      </c>
      <c r="I814" s="206">
        <v>0</v>
      </c>
      <c r="J814" s="9">
        <v>0</v>
      </c>
      <c r="K814">
        <v>0</v>
      </c>
      <c r="L814" s="14" t="s">
        <v>75</v>
      </c>
      <c r="M814" s="8" t="s">
        <v>131</v>
      </c>
      <c r="N814">
        <v>0</v>
      </c>
      <c r="O814" s="38" t="s">
        <v>29</v>
      </c>
      <c r="P814" s="38" t="s">
        <v>29</v>
      </c>
      <c r="Q814">
        <v>2025</v>
      </c>
      <c r="R814" t="s">
        <v>129</v>
      </c>
      <c r="S814" t="s">
        <v>14</v>
      </c>
      <c r="T814" t="s">
        <v>1012</v>
      </c>
      <c r="U814" t="str">
        <f>IFERROR(_xlfn.XLOOKUP(A814,'2025 EOY'!A:A,'2025 EOY'!B:B),"No")</f>
        <v>No</v>
      </c>
    </row>
    <row r="815" spans="1:21" x14ac:dyDescent="0.35">
      <c r="A815" s="37" t="s">
        <v>127</v>
      </c>
      <c r="B815" s="12">
        <v>45783</v>
      </c>
      <c r="C815" s="10" t="s">
        <v>22</v>
      </c>
      <c r="D815" s="4" t="s">
        <v>128</v>
      </c>
      <c r="E815" s="253">
        <v>-200</v>
      </c>
      <c r="F815" s="173" t="s">
        <v>977</v>
      </c>
      <c r="G815" s="172">
        <v>45808</v>
      </c>
      <c r="H815" s="15">
        <v>0.3</v>
      </c>
      <c r="I815" s="191">
        <v>-9.7000000000000003E-2</v>
      </c>
      <c r="J815" s="9">
        <v>79.400000000000006</v>
      </c>
      <c r="K815">
        <v>-60</v>
      </c>
      <c r="L815" s="14" t="s">
        <v>82</v>
      </c>
      <c r="M815" s="8" t="s">
        <v>129</v>
      </c>
      <c r="N815">
        <v>19.400000000000002</v>
      </c>
      <c r="O815" s="38" t="s">
        <v>11</v>
      </c>
      <c r="P815" s="38" t="s">
        <v>16</v>
      </c>
      <c r="Q815">
        <v>2025</v>
      </c>
      <c r="R815" t="s">
        <v>129</v>
      </c>
      <c r="S815" t="s">
        <v>14</v>
      </c>
      <c r="T815" t="s">
        <v>1013</v>
      </c>
      <c r="U815" t="str">
        <f>IFERROR(_xlfn.XLOOKUP(A815,'2025 EOY'!A:A,'2025 EOY'!B:B),"No")</f>
        <v>No</v>
      </c>
    </row>
    <row r="816" spans="1:21" x14ac:dyDescent="0.35">
      <c r="A816" s="37" t="s">
        <v>127</v>
      </c>
      <c r="B816" s="12">
        <v>45785</v>
      </c>
      <c r="C816" s="10" t="s">
        <v>15</v>
      </c>
      <c r="D816" s="4" t="s">
        <v>128</v>
      </c>
      <c r="E816" s="253">
        <v>-500</v>
      </c>
      <c r="F816" s="173">
        <v>45808</v>
      </c>
      <c r="G816" s="172">
        <v>45808</v>
      </c>
      <c r="H816" s="15">
        <v>0.09</v>
      </c>
      <c r="I816" s="191">
        <v>0.14121300000000001</v>
      </c>
      <c r="J816" s="9">
        <v>-25.606500000000004</v>
      </c>
      <c r="K816">
        <v>-45</v>
      </c>
      <c r="L816" s="14" t="s">
        <v>65</v>
      </c>
      <c r="M816" s="8" t="s">
        <v>129</v>
      </c>
      <c r="N816">
        <v>-70.606499999999997</v>
      </c>
      <c r="O816" s="38" t="s">
        <v>11</v>
      </c>
      <c r="P816" s="38" t="s">
        <v>16</v>
      </c>
      <c r="Q816">
        <v>2025</v>
      </c>
      <c r="R816" t="s">
        <v>129</v>
      </c>
      <c r="S816" t="s">
        <v>14</v>
      </c>
      <c r="T816" t="s">
        <v>1014</v>
      </c>
      <c r="U816" t="str">
        <f>IFERROR(_xlfn.XLOOKUP(A816,'2025 EOY'!A:A,'2025 EOY'!B:B),"No")</f>
        <v>No</v>
      </c>
    </row>
    <row r="817" spans="1:21" x14ac:dyDescent="0.35">
      <c r="A817" s="37" t="s">
        <v>1007</v>
      </c>
      <c r="B817" s="12">
        <v>45783</v>
      </c>
      <c r="C817" s="10" t="s">
        <v>3</v>
      </c>
      <c r="D817" s="4" t="s">
        <v>128</v>
      </c>
      <c r="E817" s="253">
        <v>700</v>
      </c>
      <c r="F817" s="172">
        <v>45838</v>
      </c>
      <c r="G817" s="172">
        <v>45869</v>
      </c>
      <c r="H817" s="15">
        <v>0.37</v>
      </c>
      <c r="I817" s="192">
        <v>0.55000000000000004</v>
      </c>
      <c r="J817" s="9">
        <v>126.00000000000003</v>
      </c>
      <c r="K817">
        <v>259</v>
      </c>
      <c r="L817" s="14" t="s">
        <v>74</v>
      </c>
      <c r="M817" s="8" t="s">
        <v>131</v>
      </c>
      <c r="N817">
        <v>385.00000000000006</v>
      </c>
      <c r="O817" s="38" t="s">
        <v>4</v>
      </c>
      <c r="P817" s="38" t="s">
        <v>3</v>
      </c>
      <c r="Q817">
        <v>2025</v>
      </c>
      <c r="R817" t="s">
        <v>131</v>
      </c>
      <c r="S817" t="s">
        <v>14</v>
      </c>
      <c r="T817" t="s">
        <v>1015</v>
      </c>
      <c r="U817" t="str">
        <f>IFERROR(_xlfn.XLOOKUP(A817,'2025 EOY'!A:A,'2025 EOY'!B:B),"No")</f>
        <v>No</v>
      </c>
    </row>
    <row r="818" spans="1:21" x14ac:dyDescent="0.35">
      <c r="A818" s="37" t="s">
        <v>1001</v>
      </c>
      <c r="B818" s="12">
        <v>45783</v>
      </c>
      <c r="C818" s="10" t="s">
        <v>3</v>
      </c>
      <c r="D818" s="4" t="s">
        <v>128</v>
      </c>
      <c r="E818" s="253">
        <v>300</v>
      </c>
      <c r="F818" s="172">
        <v>45838</v>
      </c>
      <c r="G818" s="172">
        <v>45869</v>
      </c>
      <c r="H818" s="15">
        <v>0.37</v>
      </c>
      <c r="I818" s="192">
        <v>0.55000000000000004</v>
      </c>
      <c r="J818" s="9">
        <v>54.000000000000014</v>
      </c>
      <c r="K818">
        <v>111</v>
      </c>
      <c r="L818" s="14" t="s">
        <v>74</v>
      </c>
      <c r="M818" s="8" t="s">
        <v>131</v>
      </c>
      <c r="N818">
        <v>165</v>
      </c>
      <c r="O818" s="38" t="s">
        <v>4</v>
      </c>
      <c r="P818" s="38" t="s">
        <v>3</v>
      </c>
      <c r="Q818">
        <v>2025</v>
      </c>
      <c r="R818" t="s">
        <v>131</v>
      </c>
      <c r="S818" t="s">
        <v>14</v>
      </c>
      <c r="T818" t="s">
        <v>1016</v>
      </c>
      <c r="U818" t="str">
        <f>IFERROR(_xlfn.XLOOKUP(A818,'2025 EOY'!A:A,'2025 EOY'!B:B),"No")</f>
        <v>No</v>
      </c>
    </row>
    <row r="819" spans="1:21" x14ac:dyDescent="0.35">
      <c r="A819" s="37" t="s">
        <v>1001</v>
      </c>
      <c r="B819" s="12">
        <v>45783</v>
      </c>
      <c r="C819" s="10" t="s">
        <v>3</v>
      </c>
      <c r="D819" s="4" t="s">
        <v>128</v>
      </c>
      <c r="E819" s="253">
        <v>600</v>
      </c>
      <c r="F819" s="172">
        <v>45838</v>
      </c>
      <c r="G819" s="172">
        <v>45869</v>
      </c>
      <c r="H819" s="15">
        <v>0.35</v>
      </c>
      <c r="I819" s="192">
        <v>0.55000000000000004</v>
      </c>
      <c r="J819" s="9">
        <v>120.00000000000004</v>
      </c>
      <c r="K819">
        <v>210</v>
      </c>
      <c r="L819" s="14" t="s">
        <v>74</v>
      </c>
      <c r="M819" s="8" t="s">
        <v>131</v>
      </c>
      <c r="N819">
        <v>330</v>
      </c>
      <c r="O819" s="38" t="s">
        <v>4</v>
      </c>
      <c r="P819" s="38" t="s">
        <v>3</v>
      </c>
      <c r="Q819">
        <v>2025</v>
      </c>
      <c r="R819" t="s">
        <v>131</v>
      </c>
      <c r="S819" t="s">
        <v>14</v>
      </c>
      <c r="T819" t="s">
        <v>1017</v>
      </c>
      <c r="U819" t="str">
        <f>IFERROR(_xlfn.XLOOKUP(A819,'2025 EOY'!A:A,'2025 EOY'!B:B),"No")</f>
        <v>No</v>
      </c>
    </row>
    <row r="820" spans="1:21" x14ac:dyDescent="0.35">
      <c r="A820" s="37" t="s">
        <v>127</v>
      </c>
      <c r="B820" s="12">
        <v>45786</v>
      </c>
      <c r="C820" s="10" t="s">
        <v>22</v>
      </c>
      <c r="D820" s="4" t="s">
        <v>128</v>
      </c>
      <c r="E820" s="253">
        <v>500</v>
      </c>
      <c r="F820" s="173" t="s">
        <v>977</v>
      </c>
      <c r="G820" s="172">
        <v>45808</v>
      </c>
      <c r="H820" s="15">
        <v>0.04</v>
      </c>
      <c r="I820" s="191">
        <v>-9.7000000000000003E-2</v>
      </c>
      <c r="J820" s="9">
        <v>-68.5</v>
      </c>
      <c r="K820">
        <v>20</v>
      </c>
      <c r="L820" s="14" t="s">
        <v>82</v>
      </c>
      <c r="M820" s="8" t="s">
        <v>131</v>
      </c>
      <c r="N820">
        <v>-48.5</v>
      </c>
      <c r="O820" s="38" t="s">
        <v>11</v>
      </c>
      <c r="P820" s="38" t="s">
        <v>16</v>
      </c>
      <c r="Q820">
        <v>2025</v>
      </c>
      <c r="R820" t="s">
        <v>131</v>
      </c>
      <c r="S820" t="s">
        <v>14</v>
      </c>
      <c r="T820" t="s">
        <v>1018</v>
      </c>
      <c r="U820" t="str">
        <f>IFERROR(_xlfn.XLOOKUP(A820,'2025 EOY'!A:A,'2025 EOY'!B:B),"No")</f>
        <v>No</v>
      </c>
    </row>
    <row r="821" spans="1:21" x14ac:dyDescent="0.35">
      <c r="A821" s="37" t="s">
        <v>127</v>
      </c>
      <c r="B821" s="12">
        <v>45786</v>
      </c>
      <c r="C821" s="10" t="s">
        <v>7</v>
      </c>
      <c r="D821" s="4" t="s">
        <v>128</v>
      </c>
      <c r="E821" s="253">
        <v>621</v>
      </c>
      <c r="F821" s="172">
        <v>45869</v>
      </c>
      <c r="G821" s="172">
        <v>45900</v>
      </c>
      <c r="H821" s="15">
        <v>0.38</v>
      </c>
      <c r="I821" s="192">
        <v>1.1200000000000001</v>
      </c>
      <c r="J821" s="9">
        <v>459.54000000000008</v>
      </c>
      <c r="K821">
        <v>235.98</v>
      </c>
      <c r="L821" s="14" t="s">
        <v>76</v>
      </c>
      <c r="M821" s="8" t="s">
        <v>131</v>
      </c>
      <c r="N821">
        <v>695.5200000000001</v>
      </c>
      <c r="O821" s="38" t="s">
        <v>4</v>
      </c>
      <c r="P821" s="38" t="s">
        <v>7</v>
      </c>
      <c r="Q821">
        <v>2025</v>
      </c>
      <c r="R821" t="s">
        <v>131</v>
      </c>
      <c r="S821" t="s">
        <v>14</v>
      </c>
      <c r="T821" t="s">
        <v>1019</v>
      </c>
      <c r="U821" t="str">
        <f>IFERROR(_xlfn.XLOOKUP(A821,'2025 EOY'!A:A,'2025 EOY'!B:B),"No")</f>
        <v>No</v>
      </c>
    </row>
    <row r="822" spans="1:21" x14ac:dyDescent="0.35">
      <c r="A822" s="37" t="s">
        <v>127</v>
      </c>
      <c r="B822" s="12">
        <v>45786</v>
      </c>
      <c r="C822" s="10" t="s">
        <v>7</v>
      </c>
      <c r="D822" s="4" t="s">
        <v>128</v>
      </c>
      <c r="E822" s="253">
        <v>621</v>
      </c>
      <c r="F822" s="172">
        <v>45900</v>
      </c>
      <c r="G822" s="172">
        <v>45930</v>
      </c>
      <c r="H822" s="15">
        <v>0.38</v>
      </c>
      <c r="I822" s="192">
        <v>0.87</v>
      </c>
      <c r="J822" s="9">
        <v>304.29000000000002</v>
      </c>
      <c r="K822">
        <v>235.98</v>
      </c>
      <c r="L822" s="14" t="s">
        <v>77</v>
      </c>
      <c r="M822" s="8" t="s">
        <v>131</v>
      </c>
      <c r="N822">
        <v>540.27</v>
      </c>
      <c r="O822" s="38" t="s">
        <v>4</v>
      </c>
      <c r="P822" s="38" t="s">
        <v>7</v>
      </c>
      <c r="Q822">
        <v>2025</v>
      </c>
      <c r="R822" t="s">
        <v>131</v>
      </c>
      <c r="S822" t="s">
        <v>14</v>
      </c>
      <c r="T822" t="s">
        <v>1020</v>
      </c>
      <c r="U822" t="str">
        <f>IFERROR(_xlfn.XLOOKUP(A822,'2025 EOY'!A:A,'2025 EOY'!B:B),"No")</f>
        <v>No</v>
      </c>
    </row>
    <row r="823" spans="1:21" x14ac:dyDescent="0.35">
      <c r="A823" s="37" t="s">
        <v>127</v>
      </c>
      <c r="B823" s="12">
        <v>45786</v>
      </c>
      <c r="C823" s="10" t="s">
        <v>7</v>
      </c>
      <c r="D823" s="4" t="s">
        <v>128</v>
      </c>
      <c r="E823" s="253">
        <v>3000</v>
      </c>
      <c r="F823" s="172">
        <v>45869</v>
      </c>
      <c r="G823" s="172">
        <v>45900</v>
      </c>
      <c r="H823" s="15">
        <v>0.38</v>
      </c>
      <c r="I823" s="192">
        <v>1.1200000000000001</v>
      </c>
      <c r="J823" s="9">
        <v>2220.0000000000005</v>
      </c>
      <c r="K823">
        <v>1140</v>
      </c>
      <c r="L823" s="14" t="s">
        <v>76</v>
      </c>
      <c r="M823" s="8" t="s">
        <v>131</v>
      </c>
      <c r="N823">
        <v>3360.0000000000005</v>
      </c>
      <c r="O823" s="38" t="s">
        <v>4</v>
      </c>
      <c r="P823" s="38" t="s">
        <v>7</v>
      </c>
      <c r="Q823">
        <v>2025</v>
      </c>
      <c r="R823" t="s">
        <v>131</v>
      </c>
      <c r="S823" t="s">
        <v>14</v>
      </c>
      <c r="T823" t="s">
        <v>1021</v>
      </c>
      <c r="U823" t="str">
        <f>IFERROR(_xlfn.XLOOKUP(A823,'2025 EOY'!A:A,'2025 EOY'!B:B),"No")</f>
        <v>No</v>
      </c>
    </row>
    <row r="824" spans="1:21" x14ac:dyDescent="0.35">
      <c r="A824" s="37" t="s">
        <v>127</v>
      </c>
      <c r="B824" s="12">
        <v>45786</v>
      </c>
      <c r="C824" s="10" t="s">
        <v>7</v>
      </c>
      <c r="D824" s="4" t="s">
        <v>128</v>
      </c>
      <c r="E824" s="253">
        <v>3000</v>
      </c>
      <c r="F824" s="172">
        <v>45900</v>
      </c>
      <c r="G824" s="172">
        <v>45930</v>
      </c>
      <c r="H824" s="15">
        <v>0.38</v>
      </c>
      <c r="I824" s="192">
        <v>0.87</v>
      </c>
      <c r="J824" s="9">
        <v>1470</v>
      </c>
      <c r="K824">
        <v>1140</v>
      </c>
      <c r="L824" s="14" t="s">
        <v>77</v>
      </c>
      <c r="M824" s="8" t="s">
        <v>131</v>
      </c>
      <c r="N824">
        <v>2610</v>
      </c>
      <c r="O824" s="38" t="s">
        <v>4</v>
      </c>
      <c r="P824" s="38" t="s">
        <v>7</v>
      </c>
      <c r="Q824">
        <v>2025</v>
      </c>
      <c r="R824" t="s">
        <v>131</v>
      </c>
      <c r="S824" t="s">
        <v>14</v>
      </c>
      <c r="T824" t="s">
        <v>1022</v>
      </c>
      <c r="U824" t="str">
        <f>IFERROR(_xlfn.XLOOKUP(A824,'2025 EOY'!A:A,'2025 EOY'!B:B),"No")</f>
        <v>No</v>
      </c>
    </row>
    <row r="825" spans="1:21" x14ac:dyDescent="0.35">
      <c r="A825" s="37" t="s">
        <v>127</v>
      </c>
      <c r="B825" s="12">
        <v>45791</v>
      </c>
      <c r="C825" s="10" t="s">
        <v>22</v>
      </c>
      <c r="D825" s="4" t="s">
        <v>128</v>
      </c>
      <c r="E825" s="253">
        <v>-200</v>
      </c>
      <c r="F825" s="173" t="s">
        <v>148</v>
      </c>
      <c r="G825" s="172">
        <v>45808</v>
      </c>
      <c r="H825" s="15">
        <v>0.1</v>
      </c>
      <c r="I825" s="191">
        <v>0.47200000000000009</v>
      </c>
      <c r="J825" s="9">
        <v>-74.40000000000002</v>
      </c>
      <c r="K825">
        <v>-20</v>
      </c>
      <c r="L825" s="14" t="s">
        <v>43</v>
      </c>
      <c r="M825" s="8" t="s">
        <v>129</v>
      </c>
      <c r="N825">
        <v>-94.40000000000002</v>
      </c>
      <c r="O825" s="38" t="s">
        <v>11</v>
      </c>
      <c r="P825" s="38" t="s">
        <v>16</v>
      </c>
      <c r="Q825">
        <v>2025</v>
      </c>
      <c r="R825" t="s">
        <v>129</v>
      </c>
      <c r="S825" t="s">
        <v>14</v>
      </c>
      <c r="T825" t="s">
        <v>1023</v>
      </c>
      <c r="U825" t="str">
        <f>IFERROR(_xlfn.XLOOKUP(A825,'2025 EOY'!A:A,'2025 EOY'!B:B),"No")</f>
        <v>No</v>
      </c>
    </row>
    <row r="826" spans="1:21" x14ac:dyDescent="0.35">
      <c r="A826" s="37" t="s">
        <v>127</v>
      </c>
      <c r="B826" s="12">
        <v>45786</v>
      </c>
      <c r="C826" s="10" t="s">
        <v>22</v>
      </c>
      <c r="D826" s="4" t="s">
        <v>128</v>
      </c>
      <c r="E826" s="253">
        <v>500</v>
      </c>
      <c r="F826" s="173" t="s">
        <v>965</v>
      </c>
      <c r="G826" s="172">
        <v>45808</v>
      </c>
      <c r="H826" s="15">
        <v>-0.18124999999999999</v>
      </c>
      <c r="I826" s="191">
        <v>-0.18124999999999999</v>
      </c>
      <c r="J826" s="9">
        <v>0</v>
      </c>
      <c r="K826">
        <v>-90.625</v>
      </c>
      <c r="L826" s="14" t="s">
        <v>80</v>
      </c>
      <c r="M826" s="8" t="s">
        <v>131</v>
      </c>
      <c r="N826">
        <v>-90.625</v>
      </c>
      <c r="O826" s="38" t="s">
        <v>11</v>
      </c>
      <c r="P826" s="38" t="s">
        <v>16</v>
      </c>
      <c r="Q826">
        <v>2025</v>
      </c>
      <c r="R826" t="s">
        <v>131</v>
      </c>
      <c r="S826" t="s">
        <v>14</v>
      </c>
      <c r="T826" t="s">
        <v>1024</v>
      </c>
      <c r="U826" t="str">
        <f>IFERROR(_xlfn.XLOOKUP(A826,'2025 EOY'!A:A,'2025 EOY'!B:B),"No")</f>
        <v>No</v>
      </c>
    </row>
    <row r="827" spans="1:21" x14ac:dyDescent="0.35">
      <c r="A827" s="37" t="s">
        <v>1025</v>
      </c>
      <c r="B827" s="12">
        <v>45791</v>
      </c>
      <c r="C827" s="10" t="s">
        <v>19</v>
      </c>
      <c r="D827" s="10" t="s">
        <v>268</v>
      </c>
      <c r="E827" s="259">
        <v>700</v>
      </c>
      <c r="F827" s="172">
        <v>45808</v>
      </c>
      <c r="G827" s="172">
        <v>45808</v>
      </c>
      <c r="H827" s="15">
        <v>2.3239999999999998</v>
      </c>
      <c r="I827" s="201">
        <v>0.6</v>
      </c>
      <c r="J827" s="9">
        <v>-1115.8</v>
      </c>
      <c r="K827">
        <v>1535.8</v>
      </c>
      <c r="L827" s="14" t="s">
        <v>65</v>
      </c>
      <c r="M827" s="8" t="s">
        <v>131</v>
      </c>
      <c r="N827">
        <v>420</v>
      </c>
      <c r="O827" s="38" t="s">
        <v>19</v>
      </c>
      <c r="P827" s="38" t="s">
        <v>19</v>
      </c>
      <c r="Q827">
        <v>2025</v>
      </c>
      <c r="R827" t="s">
        <v>131</v>
      </c>
      <c r="S827" t="s">
        <v>96</v>
      </c>
      <c r="T827" t="s">
        <v>1026</v>
      </c>
      <c r="U827" t="str">
        <f>IFERROR(_xlfn.XLOOKUP(A827,'2025 EOY'!A:A,'2025 EOY'!B:B),"No")</f>
        <v>No</v>
      </c>
    </row>
    <row r="828" spans="1:21" x14ac:dyDescent="0.35">
      <c r="A828" s="37" t="s">
        <v>1025</v>
      </c>
      <c r="B828" s="12">
        <v>45791</v>
      </c>
      <c r="C828" s="10" t="s">
        <v>3</v>
      </c>
      <c r="D828" s="4" t="s">
        <v>268</v>
      </c>
      <c r="E828" s="253">
        <v>-700</v>
      </c>
      <c r="F828" s="172">
        <v>45838</v>
      </c>
      <c r="G828" s="172">
        <v>45869</v>
      </c>
      <c r="H828" s="15">
        <v>0.47</v>
      </c>
      <c r="I828" s="192">
        <v>0.55000000000000004</v>
      </c>
      <c r="J828" s="9">
        <v>-56.00000000000005</v>
      </c>
      <c r="K828">
        <v>-329</v>
      </c>
      <c r="L828" s="14" t="s">
        <v>74</v>
      </c>
      <c r="M828" s="8" t="s">
        <v>129</v>
      </c>
      <c r="N828">
        <v>-385.00000000000006</v>
      </c>
      <c r="O828" s="38" t="s">
        <v>4</v>
      </c>
      <c r="P828" s="38" t="s">
        <v>3</v>
      </c>
      <c r="Q828">
        <v>2025</v>
      </c>
      <c r="R828" t="s">
        <v>129</v>
      </c>
      <c r="S828" t="s">
        <v>14</v>
      </c>
      <c r="T828" t="s">
        <v>1027</v>
      </c>
      <c r="U828" t="str">
        <f>IFERROR(_xlfn.XLOOKUP(A828,'2025 EOY'!A:A,'2025 EOY'!B:B),"No")</f>
        <v>No</v>
      </c>
    </row>
    <row r="829" spans="1:21" x14ac:dyDescent="0.35">
      <c r="A829" s="37" t="s">
        <v>1025</v>
      </c>
      <c r="B829" s="12">
        <v>45791</v>
      </c>
      <c r="C829" s="10" t="s">
        <v>10</v>
      </c>
      <c r="D829" s="4" t="s">
        <v>268</v>
      </c>
      <c r="E829" s="253">
        <v>-420</v>
      </c>
      <c r="F829" s="172">
        <v>45869</v>
      </c>
      <c r="G829" s="172">
        <v>45869</v>
      </c>
      <c r="H829" s="15">
        <v>-3.41</v>
      </c>
      <c r="I829" s="192">
        <v>-3.11</v>
      </c>
      <c r="J829" s="9">
        <v>-126.00000000000011</v>
      </c>
      <c r="K829">
        <v>1432.2</v>
      </c>
      <c r="L829" s="14" t="s">
        <v>75</v>
      </c>
      <c r="M829" s="8" t="s">
        <v>129</v>
      </c>
      <c r="N829">
        <v>1306.2</v>
      </c>
      <c r="O829" s="38" t="s">
        <v>11</v>
      </c>
      <c r="P829" s="38" t="s">
        <v>10</v>
      </c>
      <c r="Q829">
        <v>2025</v>
      </c>
      <c r="R829" t="s">
        <v>129</v>
      </c>
      <c r="S829" t="s">
        <v>14</v>
      </c>
      <c r="T829" t="s">
        <v>1028</v>
      </c>
      <c r="U829" t="str">
        <f>IFERROR(_xlfn.XLOOKUP(A829,'2025 EOY'!A:A,'2025 EOY'!B:B),"No")</f>
        <v>No</v>
      </c>
    </row>
    <row r="830" spans="1:21" x14ac:dyDescent="0.35">
      <c r="A830" s="37" t="s">
        <v>1025</v>
      </c>
      <c r="B830" s="12">
        <v>45791</v>
      </c>
      <c r="C830" s="10" t="s">
        <v>7</v>
      </c>
      <c r="D830" s="4" t="s">
        <v>268</v>
      </c>
      <c r="E830" s="253">
        <v>-76</v>
      </c>
      <c r="F830" s="172">
        <v>45869</v>
      </c>
      <c r="G830" s="172">
        <v>45900</v>
      </c>
      <c r="H830" s="15">
        <v>0.51</v>
      </c>
      <c r="I830" s="192">
        <v>1.1200000000000001</v>
      </c>
      <c r="J830" s="9">
        <v>-46.360000000000007</v>
      </c>
      <c r="K830">
        <v>-38.76</v>
      </c>
      <c r="L830" s="14" t="s">
        <v>76</v>
      </c>
      <c r="M830" s="8" t="s">
        <v>129</v>
      </c>
      <c r="N830">
        <v>-85.12</v>
      </c>
      <c r="O830" s="38" t="s">
        <v>4</v>
      </c>
      <c r="P830" s="38" t="s">
        <v>7</v>
      </c>
      <c r="Q830">
        <v>2025</v>
      </c>
      <c r="R830" t="s">
        <v>129</v>
      </c>
      <c r="S830" t="s">
        <v>14</v>
      </c>
      <c r="T830" t="s">
        <v>1029</v>
      </c>
      <c r="U830" t="str">
        <f>IFERROR(_xlfn.XLOOKUP(A830,'2025 EOY'!A:A,'2025 EOY'!B:B),"No")</f>
        <v>No</v>
      </c>
    </row>
    <row r="831" spans="1:21" x14ac:dyDescent="0.35">
      <c r="A831" s="37" t="s">
        <v>1025</v>
      </c>
      <c r="B831" s="12">
        <v>45790</v>
      </c>
      <c r="C831" s="10" t="s">
        <v>22</v>
      </c>
      <c r="D831" s="4" t="s">
        <v>268</v>
      </c>
      <c r="E831" s="253">
        <v>420</v>
      </c>
      <c r="F831" s="173" t="s">
        <v>1030</v>
      </c>
      <c r="G831" s="172">
        <v>45808</v>
      </c>
      <c r="H831" s="15">
        <v>0.28000000000000003</v>
      </c>
      <c r="I831" s="191">
        <v>0.48875000000000002</v>
      </c>
      <c r="J831" s="9">
        <v>87.674999999999997</v>
      </c>
      <c r="K831">
        <v>117.60000000000001</v>
      </c>
      <c r="L831" s="14" t="s">
        <v>83</v>
      </c>
      <c r="M831" s="8" t="s">
        <v>131</v>
      </c>
      <c r="N831">
        <v>205.27500000000001</v>
      </c>
      <c r="O831" s="38" t="s">
        <v>11</v>
      </c>
      <c r="P831" s="38" t="s">
        <v>16</v>
      </c>
      <c r="Q831">
        <v>2025</v>
      </c>
      <c r="R831" t="s">
        <v>131</v>
      </c>
      <c r="S831" t="s">
        <v>14</v>
      </c>
      <c r="T831" t="s">
        <v>1031</v>
      </c>
      <c r="U831" t="str">
        <f>IFERROR(_xlfn.XLOOKUP(A831,'2025 EOY'!A:A,'2025 EOY'!B:B),"No")</f>
        <v>No</v>
      </c>
    </row>
    <row r="832" spans="1:21" x14ac:dyDescent="0.35">
      <c r="A832" s="37" t="s">
        <v>1025</v>
      </c>
      <c r="B832" s="12">
        <v>45791</v>
      </c>
      <c r="C832" s="10" t="s">
        <v>22</v>
      </c>
      <c r="D832" s="4" t="s">
        <v>268</v>
      </c>
      <c r="E832" s="253">
        <v>280</v>
      </c>
      <c r="F832" t="s">
        <v>1032</v>
      </c>
      <c r="G832" s="172">
        <v>45838</v>
      </c>
      <c r="H832" s="15">
        <v>0.57999999999999996</v>
      </c>
      <c r="I832" s="191">
        <v>1.81</v>
      </c>
      <c r="J832" s="9">
        <v>344.4</v>
      </c>
      <c r="K832">
        <v>162.39999999999998</v>
      </c>
      <c r="L832" s="14" t="s">
        <v>84</v>
      </c>
      <c r="M832" s="8" t="s">
        <v>131</v>
      </c>
      <c r="N832">
        <v>506.8</v>
      </c>
      <c r="O832" s="38" t="s">
        <v>11</v>
      </c>
      <c r="P832" s="38" t="s">
        <v>16</v>
      </c>
      <c r="Q832">
        <v>2025</v>
      </c>
      <c r="R832" t="s">
        <v>131</v>
      </c>
      <c r="S832" t="s">
        <v>14</v>
      </c>
      <c r="T832" t="s">
        <v>1033</v>
      </c>
      <c r="U832" t="str">
        <f>IFERROR(_xlfn.XLOOKUP(A832,'2025 EOY'!A:A,'2025 EOY'!B:B),"No")</f>
        <v>No</v>
      </c>
    </row>
    <row r="833" spans="1:21" x14ac:dyDescent="0.35">
      <c r="A833" s="37" t="s">
        <v>127</v>
      </c>
      <c r="B833" s="12">
        <v>45792</v>
      </c>
      <c r="C833" s="10" t="s">
        <v>22</v>
      </c>
      <c r="D833" s="4" t="s">
        <v>128</v>
      </c>
      <c r="E833" s="253">
        <v>-400</v>
      </c>
      <c r="F833" s="173" t="s">
        <v>148</v>
      </c>
      <c r="G833" s="172">
        <v>45808</v>
      </c>
      <c r="H833" s="15">
        <v>0</v>
      </c>
      <c r="I833" s="191">
        <v>0.47200000000000009</v>
      </c>
      <c r="J833" s="9">
        <v>-188.80000000000004</v>
      </c>
      <c r="K833">
        <v>0</v>
      </c>
      <c r="L833" s="14" t="s">
        <v>43</v>
      </c>
      <c r="M833" s="8" t="s">
        <v>129</v>
      </c>
      <c r="N833">
        <v>-188.80000000000004</v>
      </c>
      <c r="O833" s="38" t="s">
        <v>11</v>
      </c>
      <c r="P833" s="38" t="s">
        <v>16</v>
      </c>
      <c r="Q833">
        <v>2025</v>
      </c>
      <c r="R833" t="s">
        <v>129</v>
      </c>
      <c r="S833" t="s">
        <v>14</v>
      </c>
      <c r="T833" t="s">
        <v>1034</v>
      </c>
      <c r="U833" t="str">
        <f>IFERROR(_xlfn.XLOOKUP(A833,'2025 EOY'!A:A,'2025 EOY'!B:B),"No")</f>
        <v>No</v>
      </c>
    </row>
    <row r="834" spans="1:21" x14ac:dyDescent="0.35">
      <c r="A834" s="37" t="s">
        <v>127</v>
      </c>
      <c r="B834" s="12">
        <v>45792</v>
      </c>
      <c r="C834" s="10" t="s">
        <v>15</v>
      </c>
      <c r="D834" s="4" t="s">
        <v>128</v>
      </c>
      <c r="E834" s="253">
        <v>-500</v>
      </c>
      <c r="F834" s="173">
        <v>45808</v>
      </c>
      <c r="G834" s="172">
        <v>45808</v>
      </c>
      <c r="H834" s="15">
        <v>0.12</v>
      </c>
      <c r="I834" s="191">
        <v>0.14121300000000001</v>
      </c>
      <c r="J834" s="9">
        <v>-10.606500000000004</v>
      </c>
      <c r="K834">
        <v>-60</v>
      </c>
      <c r="L834" s="14" t="s">
        <v>65</v>
      </c>
      <c r="M834" s="8" t="s">
        <v>129</v>
      </c>
      <c r="N834">
        <v>-70.606499999999997</v>
      </c>
      <c r="O834" s="38" t="s">
        <v>11</v>
      </c>
      <c r="P834" s="38" t="s">
        <v>16</v>
      </c>
      <c r="Q834">
        <v>2025</v>
      </c>
      <c r="R834" t="s">
        <v>129</v>
      </c>
      <c r="S834" t="s">
        <v>14</v>
      </c>
      <c r="T834" t="s">
        <v>1035</v>
      </c>
      <c r="U834" t="str">
        <f>IFERROR(_xlfn.XLOOKUP(A834,'2025 EOY'!A:A,'2025 EOY'!B:B),"No")</f>
        <v>No</v>
      </c>
    </row>
    <row r="835" spans="1:21" x14ac:dyDescent="0.35">
      <c r="A835" s="37" t="s">
        <v>127</v>
      </c>
      <c r="B835" s="12">
        <v>45792</v>
      </c>
      <c r="C835" s="10" t="s">
        <v>7</v>
      </c>
      <c r="D835" s="4" t="s">
        <v>128</v>
      </c>
      <c r="E835" s="253">
        <v>-1500</v>
      </c>
      <c r="F835" s="172">
        <v>45869</v>
      </c>
      <c r="G835" s="172">
        <v>45900</v>
      </c>
      <c r="H835" s="15">
        <v>0.46</v>
      </c>
      <c r="I835" s="192">
        <v>1.1200000000000001</v>
      </c>
      <c r="J835" s="9">
        <v>-990.00000000000023</v>
      </c>
      <c r="K835">
        <v>-690</v>
      </c>
      <c r="L835" s="14" t="s">
        <v>76</v>
      </c>
      <c r="M835" s="8" t="s">
        <v>129</v>
      </c>
      <c r="N835">
        <v>-1680.0000000000002</v>
      </c>
      <c r="O835" s="38" t="s">
        <v>4</v>
      </c>
      <c r="P835" s="38" t="s">
        <v>7</v>
      </c>
      <c r="Q835">
        <v>2025</v>
      </c>
      <c r="R835" t="s">
        <v>129</v>
      </c>
      <c r="S835" t="s">
        <v>14</v>
      </c>
      <c r="T835" t="s">
        <v>1036</v>
      </c>
      <c r="U835" t="str">
        <f>IFERROR(_xlfn.XLOOKUP(A835,'2025 EOY'!A:A,'2025 EOY'!B:B),"No")</f>
        <v>No</v>
      </c>
    </row>
    <row r="836" spans="1:21" x14ac:dyDescent="0.35">
      <c r="A836" s="37" t="s">
        <v>127</v>
      </c>
      <c r="B836" s="12">
        <v>45792</v>
      </c>
      <c r="C836" s="10" t="s">
        <v>3</v>
      </c>
      <c r="D836" s="4" t="s">
        <v>128</v>
      </c>
      <c r="E836" s="253">
        <v>3000</v>
      </c>
      <c r="F836" s="172">
        <v>45838</v>
      </c>
      <c r="G836" s="172">
        <v>45869</v>
      </c>
      <c r="H836" s="15">
        <v>0.47</v>
      </c>
      <c r="I836" s="192">
        <v>0.55000000000000004</v>
      </c>
      <c r="J836" s="9">
        <v>240.00000000000023</v>
      </c>
      <c r="K836">
        <v>1410</v>
      </c>
      <c r="L836" s="14" t="s">
        <v>74</v>
      </c>
      <c r="M836" s="8" t="s">
        <v>131</v>
      </c>
      <c r="N836">
        <v>1650.0000000000002</v>
      </c>
      <c r="O836" s="38" t="s">
        <v>4</v>
      </c>
      <c r="P836" s="38" t="s">
        <v>3</v>
      </c>
      <c r="Q836">
        <v>2025</v>
      </c>
      <c r="R836" t="s">
        <v>131</v>
      </c>
      <c r="S836" t="s">
        <v>14</v>
      </c>
      <c r="T836" t="s">
        <v>1037</v>
      </c>
      <c r="U836" t="str">
        <f>IFERROR(_xlfn.XLOOKUP(A836,'2025 EOY'!A:A,'2025 EOY'!B:B),"No")</f>
        <v>No</v>
      </c>
    </row>
    <row r="837" spans="1:21" x14ac:dyDescent="0.35">
      <c r="A837" s="37" t="s">
        <v>1038</v>
      </c>
      <c r="B837" s="12">
        <v>45791</v>
      </c>
      <c r="C837" s="10" t="s">
        <v>19</v>
      </c>
      <c r="D837" s="10" t="s">
        <v>268</v>
      </c>
      <c r="E837" s="259">
        <v>700</v>
      </c>
      <c r="F837" s="172">
        <v>45808</v>
      </c>
      <c r="G837" s="172">
        <v>45808</v>
      </c>
      <c r="H837" s="15">
        <v>1.69</v>
      </c>
      <c r="I837" s="201">
        <v>1.65</v>
      </c>
      <c r="J837" s="9">
        <v>-28.000000000000025</v>
      </c>
      <c r="K837">
        <v>1183</v>
      </c>
      <c r="L837" s="14" t="s">
        <v>65</v>
      </c>
      <c r="M837" s="8" t="s">
        <v>131</v>
      </c>
      <c r="N837">
        <v>1155</v>
      </c>
      <c r="O837" s="38" t="s">
        <v>19</v>
      </c>
      <c r="P837" s="38" t="s">
        <v>19</v>
      </c>
      <c r="Q837">
        <v>2025</v>
      </c>
      <c r="R837" t="s">
        <v>131</v>
      </c>
      <c r="S837" t="s">
        <v>96</v>
      </c>
      <c r="T837" t="s">
        <v>1039</v>
      </c>
      <c r="U837" t="str">
        <f>IFERROR(_xlfn.XLOOKUP(A837,'2025 EOY'!A:A,'2025 EOY'!B:B),"No")</f>
        <v>No</v>
      </c>
    </row>
    <row r="838" spans="1:21" x14ac:dyDescent="0.35">
      <c r="A838" s="37" t="s">
        <v>1038</v>
      </c>
      <c r="B838" s="12">
        <v>45791</v>
      </c>
      <c r="C838" s="10" t="s">
        <v>3</v>
      </c>
      <c r="D838" s="4" t="s">
        <v>268</v>
      </c>
      <c r="E838" s="253">
        <v>-700</v>
      </c>
      <c r="F838" s="172">
        <v>45838</v>
      </c>
      <c r="G838" s="172">
        <v>45869</v>
      </c>
      <c r="H838" s="15">
        <v>0.47</v>
      </c>
      <c r="I838" s="192">
        <v>0.55000000000000004</v>
      </c>
      <c r="J838" s="9">
        <v>-56.00000000000005</v>
      </c>
      <c r="K838">
        <v>-329</v>
      </c>
      <c r="L838" s="14" t="s">
        <v>74</v>
      </c>
      <c r="M838" s="8" t="s">
        <v>129</v>
      </c>
      <c r="N838">
        <v>-385.00000000000006</v>
      </c>
      <c r="O838" s="38" t="s">
        <v>4</v>
      </c>
      <c r="P838" s="38" t="s">
        <v>3</v>
      </c>
      <c r="Q838">
        <v>2025</v>
      </c>
      <c r="R838" t="s">
        <v>129</v>
      </c>
      <c r="S838" t="s">
        <v>14</v>
      </c>
      <c r="T838" t="s">
        <v>1040</v>
      </c>
      <c r="U838" t="str">
        <f>IFERROR(_xlfn.XLOOKUP(A838,'2025 EOY'!A:A,'2025 EOY'!B:B),"No")</f>
        <v>No</v>
      </c>
    </row>
    <row r="839" spans="1:21" x14ac:dyDescent="0.35">
      <c r="A839" s="37" t="s">
        <v>1038</v>
      </c>
      <c r="B839" s="12">
        <v>45791</v>
      </c>
      <c r="C839" s="10" t="s">
        <v>10</v>
      </c>
      <c r="D839" s="4" t="s">
        <v>268</v>
      </c>
      <c r="E839" s="253">
        <v>-700</v>
      </c>
      <c r="F839" s="172">
        <v>45869</v>
      </c>
      <c r="G839" s="172">
        <v>45869</v>
      </c>
      <c r="H839" s="15">
        <v>-3.35</v>
      </c>
      <c r="I839" s="192">
        <v>-3.11</v>
      </c>
      <c r="J839" s="9">
        <v>-168.00000000000014</v>
      </c>
      <c r="K839">
        <v>2345</v>
      </c>
      <c r="L839" s="14" t="s">
        <v>75</v>
      </c>
      <c r="M839" s="8" t="s">
        <v>129</v>
      </c>
      <c r="N839">
        <v>2177</v>
      </c>
      <c r="O839" s="38" t="s">
        <v>11</v>
      </c>
      <c r="P839" s="38" t="s">
        <v>10</v>
      </c>
      <c r="Q839">
        <v>2025</v>
      </c>
      <c r="R839" t="s">
        <v>129</v>
      </c>
      <c r="S839" t="s">
        <v>14</v>
      </c>
      <c r="T839" t="s">
        <v>1041</v>
      </c>
      <c r="U839" t="str">
        <f>IFERROR(_xlfn.XLOOKUP(A839,'2025 EOY'!A:A,'2025 EOY'!B:B),"No")</f>
        <v>No</v>
      </c>
    </row>
    <row r="840" spans="1:21" x14ac:dyDescent="0.35">
      <c r="A840" s="37" t="s">
        <v>1038</v>
      </c>
      <c r="B840" s="12">
        <v>45791</v>
      </c>
      <c r="C840" s="10" t="s">
        <v>7</v>
      </c>
      <c r="D840" s="4" t="s">
        <v>268</v>
      </c>
      <c r="E840" s="253">
        <v>-700</v>
      </c>
      <c r="F840" s="172">
        <v>45869</v>
      </c>
      <c r="G840" s="172">
        <v>45900</v>
      </c>
      <c r="H840" s="15">
        <v>0.45</v>
      </c>
      <c r="I840" s="192">
        <v>1.1200000000000001</v>
      </c>
      <c r="J840" s="9">
        <v>-469.00000000000011</v>
      </c>
      <c r="K840">
        <v>-315</v>
      </c>
      <c r="L840" s="14" t="s">
        <v>76</v>
      </c>
      <c r="M840" s="8" t="s">
        <v>129</v>
      </c>
      <c r="N840">
        <v>-784.00000000000011</v>
      </c>
      <c r="O840" s="38" t="s">
        <v>4</v>
      </c>
      <c r="P840" s="38" t="s">
        <v>7</v>
      </c>
      <c r="Q840">
        <v>2025</v>
      </c>
      <c r="R840" t="s">
        <v>129</v>
      </c>
      <c r="S840" t="s">
        <v>14</v>
      </c>
      <c r="T840" t="s">
        <v>1042</v>
      </c>
      <c r="U840" t="str">
        <f>IFERROR(_xlfn.XLOOKUP(A840,'2025 EOY'!A:A,'2025 EOY'!B:B),"No")</f>
        <v>No</v>
      </c>
    </row>
    <row r="841" spans="1:21" x14ac:dyDescent="0.35">
      <c r="A841" s="37" t="s">
        <v>1038</v>
      </c>
      <c r="B841" s="12">
        <v>45791</v>
      </c>
      <c r="C841" s="47" t="s">
        <v>36</v>
      </c>
      <c r="D841" s="10" t="s">
        <v>268</v>
      </c>
      <c r="E841" s="253">
        <v>-700</v>
      </c>
      <c r="F841" s="172">
        <v>45838</v>
      </c>
      <c r="G841" s="172">
        <v>45838</v>
      </c>
      <c r="H841" s="212">
        <v>145</v>
      </c>
      <c r="I841" s="206">
        <v>115</v>
      </c>
      <c r="J841" s="9">
        <v>420</v>
      </c>
      <c r="K841">
        <v>-101500</v>
      </c>
      <c r="L841" s="14" t="s">
        <v>73</v>
      </c>
      <c r="M841" s="8" t="s">
        <v>129</v>
      </c>
      <c r="N841">
        <v>-80500</v>
      </c>
      <c r="O841" s="38" t="s">
        <v>29</v>
      </c>
      <c r="P841" s="38" t="s">
        <v>29</v>
      </c>
      <c r="Q841">
        <v>2025</v>
      </c>
      <c r="R841" t="s">
        <v>129</v>
      </c>
      <c r="S841" t="s">
        <v>14</v>
      </c>
      <c r="T841" t="s">
        <v>1043</v>
      </c>
      <c r="U841" t="str">
        <f>IFERROR(_xlfn.XLOOKUP(A841,'2025 EOY'!A:A,'2025 EOY'!B:B),"No")</f>
        <v>No</v>
      </c>
    </row>
    <row r="842" spans="1:21" x14ac:dyDescent="0.35">
      <c r="A842" s="37" t="s">
        <v>1038</v>
      </c>
      <c r="B842" s="12">
        <v>45791</v>
      </c>
      <c r="C842" s="47" t="s">
        <v>36</v>
      </c>
      <c r="D842" s="10" t="s">
        <v>128</v>
      </c>
      <c r="E842" s="253">
        <v>700</v>
      </c>
      <c r="F842" s="172">
        <v>45838</v>
      </c>
      <c r="G842" s="172">
        <v>45838</v>
      </c>
      <c r="H842" s="212">
        <v>115</v>
      </c>
      <c r="I842" s="206">
        <v>115</v>
      </c>
      <c r="J842" s="9">
        <v>0</v>
      </c>
      <c r="K842">
        <v>80500</v>
      </c>
      <c r="L842" s="14" t="s">
        <v>73</v>
      </c>
      <c r="M842" s="8" t="s">
        <v>131</v>
      </c>
      <c r="N842">
        <v>80500</v>
      </c>
      <c r="O842" s="38" t="s">
        <v>29</v>
      </c>
      <c r="P842" s="38" t="s">
        <v>29</v>
      </c>
      <c r="Q842">
        <v>2025</v>
      </c>
      <c r="R842" t="s">
        <v>131</v>
      </c>
      <c r="S842" t="s">
        <v>14</v>
      </c>
      <c r="T842" t="s">
        <v>1044</v>
      </c>
      <c r="U842" t="str">
        <f>IFERROR(_xlfn.XLOOKUP(A842,'2025 EOY'!A:A,'2025 EOY'!B:B),"No")</f>
        <v>No</v>
      </c>
    </row>
    <row r="843" spans="1:21" x14ac:dyDescent="0.35">
      <c r="A843" s="37" t="s">
        <v>127</v>
      </c>
      <c r="B843" s="12">
        <v>45793</v>
      </c>
      <c r="C843" s="10" t="s">
        <v>22</v>
      </c>
      <c r="D843" s="4" t="s">
        <v>128</v>
      </c>
      <c r="E843" s="253">
        <v>-200</v>
      </c>
      <c r="F843" s="173" t="s">
        <v>148</v>
      </c>
      <c r="G843" s="172">
        <v>45808</v>
      </c>
      <c r="H843" s="15">
        <v>0.2</v>
      </c>
      <c r="I843" s="191">
        <v>0.47200000000000009</v>
      </c>
      <c r="J843" s="9">
        <v>-54.400000000000013</v>
      </c>
      <c r="K843">
        <v>-40</v>
      </c>
      <c r="L843" s="14" t="s">
        <v>43</v>
      </c>
      <c r="M843" s="8" t="s">
        <v>129</v>
      </c>
      <c r="N843">
        <v>-94.40000000000002</v>
      </c>
      <c r="O843" s="38" t="s">
        <v>11</v>
      </c>
      <c r="P843" s="38" t="s">
        <v>16</v>
      </c>
      <c r="Q843">
        <v>2025</v>
      </c>
      <c r="R843" t="s">
        <v>129</v>
      </c>
      <c r="S843" t="s">
        <v>14</v>
      </c>
      <c r="T843" t="s">
        <v>1045</v>
      </c>
      <c r="U843" t="str">
        <f>IFERROR(_xlfn.XLOOKUP(A843,'2025 EOY'!A:A,'2025 EOY'!B:B),"No")</f>
        <v>No</v>
      </c>
    </row>
    <row r="844" spans="1:21" x14ac:dyDescent="0.35">
      <c r="A844" s="37" t="s">
        <v>127</v>
      </c>
      <c r="B844" s="12">
        <v>45793</v>
      </c>
      <c r="C844" s="10" t="s">
        <v>22</v>
      </c>
      <c r="D844" s="4" t="s">
        <v>128</v>
      </c>
      <c r="E844" s="253">
        <v>200</v>
      </c>
      <c r="F844" t="s">
        <v>1046</v>
      </c>
      <c r="G844" s="172">
        <v>45838</v>
      </c>
      <c r="H844" s="15">
        <v>0.86</v>
      </c>
      <c r="I844" s="191">
        <v>1.526</v>
      </c>
      <c r="J844" s="9">
        <v>133.20000000000002</v>
      </c>
      <c r="K844">
        <v>172</v>
      </c>
      <c r="L844" s="14" t="s">
        <v>85</v>
      </c>
      <c r="M844" s="8" t="s">
        <v>131</v>
      </c>
      <c r="N844">
        <v>305.2</v>
      </c>
      <c r="O844" s="38" t="s">
        <v>11</v>
      </c>
      <c r="P844" s="38" t="s">
        <v>16</v>
      </c>
      <c r="Q844">
        <v>2025</v>
      </c>
      <c r="R844" t="s">
        <v>131</v>
      </c>
      <c r="S844" t="s">
        <v>14</v>
      </c>
      <c r="T844" t="s">
        <v>1047</v>
      </c>
      <c r="U844" t="str">
        <f>IFERROR(_xlfn.XLOOKUP(A844,'2025 EOY'!A:A,'2025 EOY'!B:B),"No")</f>
        <v>No</v>
      </c>
    </row>
    <row r="845" spans="1:21" x14ac:dyDescent="0.35">
      <c r="A845" s="37" t="s">
        <v>127</v>
      </c>
      <c r="B845" s="12">
        <v>45792</v>
      </c>
      <c r="C845" s="10" t="s">
        <v>15</v>
      </c>
      <c r="D845" s="4" t="s">
        <v>128</v>
      </c>
      <c r="E845" s="253">
        <v>250</v>
      </c>
      <c r="F845" s="173">
        <v>45808</v>
      </c>
      <c r="G845" s="172">
        <v>45808</v>
      </c>
      <c r="H845" s="15">
        <v>0.4</v>
      </c>
      <c r="I845" s="191">
        <v>0.44562600000000002</v>
      </c>
      <c r="J845" s="9">
        <v>11.406499999999999</v>
      </c>
      <c r="K845">
        <v>100</v>
      </c>
      <c r="L845" s="14" t="s">
        <v>65</v>
      </c>
      <c r="M845" s="8" t="s">
        <v>131</v>
      </c>
      <c r="N845">
        <v>111.40650000000001</v>
      </c>
      <c r="O845" s="38" t="s">
        <v>11</v>
      </c>
      <c r="P845" s="38" t="s">
        <v>16</v>
      </c>
      <c r="Q845">
        <v>2025</v>
      </c>
      <c r="R845" t="s">
        <v>131</v>
      </c>
      <c r="S845" t="s">
        <v>14</v>
      </c>
      <c r="T845" t="s">
        <v>1048</v>
      </c>
      <c r="U845" t="str">
        <f>IFERROR(_xlfn.XLOOKUP(A845,'2025 EOY'!A:A,'2025 EOY'!B:B),"No")</f>
        <v>No</v>
      </c>
    </row>
    <row r="846" spans="1:21" x14ac:dyDescent="0.35">
      <c r="A846" s="37" t="s">
        <v>127</v>
      </c>
      <c r="B846" s="12">
        <v>45793</v>
      </c>
      <c r="C846" s="10" t="s">
        <v>22</v>
      </c>
      <c r="D846" s="4" t="s">
        <v>128</v>
      </c>
      <c r="E846" s="253">
        <v>-200</v>
      </c>
      <c r="F846" s="173" t="s">
        <v>148</v>
      </c>
      <c r="G846" s="172">
        <v>45808</v>
      </c>
      <c r="H846" s="15">
        <v>0.2</v>
      </c>
      <c r="I846" s="191">
        <v>0.47200000000000009</v>
      </c>
      <c r="J846" s="9">
        <v>-54.400000000000013</v>
      </c>
      <c r="K846">
        <v>-40</v>
      </c>
      <c r="L846" s="14" t="s">
        <v>43</v>
      </c>
      <c r="M846" s="8" t="s">
        <v>129</v>
      </c>
      <c r="N846">
        <v>-94.40000000000002</v>
      </c>
      <c r="O846" s="38" t="s">
        <v>11</v>
      </c>
      <c r="P846" s="38" t="s">
        <v>16</v>
      </c>
      <c r="Q846">
        <v>2025</v>
      </c>
      <c r="R846" t="s">
        <v>129</v>
      </c>
      <c r="S846" t="s">
        <v>14</v>
      </c>
      <c r="T846" t="s">
        <v>1049</v>
      </c>
      <c r="U846" t="str">
        <f>IFERROR(_xlfn.XLOOKUP(A846,'2025 EOY'!A:A,'2025 EOY'!B:B),"No")</f>
        <v>No</v>
      </c>
    </row>
    <row r="847" spans="1:21" x14ac:dyDescent="0.35">
      <c r="A847" s="37" t="s">
        <v>127</v>
      </c>
      <c r="B847" s="12">
        <v>45793</v>
      </c>
      <c r="C847" s="10" t="s">
        <v>22</v>
      </c>
      <c r="D847" s="4" t="s">
        <v>128</v>
      </c>
      <c r="E847" s="253">
        <v>500</v>
      </c>
      <c r="F847" s="173" t="s">
        <v>977</v>
      </c>
      <c r="G847" s="172">
        <v>45808</v>
      </c>
      <c r="H847" s="15">
        <v>-9.7000000000000003E-2</v>
      </c>
      <c r="I847" s="191">
        <v>-9.7000000000000003E-2</v>
      </c>
      <c r="J847" s="9">
        <v>0</v>
      </c>
      <c r="K847">
        <v>-48.5</v>
      </c>
      <c r="L847" s="14" t="s">
        <v>82</v>
      </c>
      <c r="M847" s="8" t="s">
        <v>131</v>
      </c>
      <c r="N847">
        <v>-48.5</v>
      </c>
      <c r="O847" s="38" t="s">
        <v>11</v>
      </c>
      <c r="P847" s="38" t="s">
        <v>16</v>
      </c>
      <c r="Q847">
        <v>2025</v>
      </c>
      <c r="R847" t="s">
        <v>131</v>
      </c>
      <c r="S847" t="s">
        <v>14</v>
      </c>
      <c r="T847" t="s">
        <v>1050</v>
      </c>
      <c r="U847" t="str">
        <f>IFERROR(_xlfn.XLOOKUP(A847,'2025 EOY'!A:A,'2025 EOY'!B:B),"No")</f>
        <v>No</v>
      </c>
    </row>
    <row r="848" spans="1:21" x14ac:dyDescent="0.35">
      <c r="A848" s="37" t="s">
        <v>1038</v>
      </c>
      <c r="B848" s="12">
        <v>45793</v>
      </c>
      <c r="C848" s="10" t="s">
        <v>7</v>
      </c>
      <c r="D848" s="4" t="s">
        <v>128</v>
      </c>
      <c r="E848" s="253">
        <v>958</v>
      </c>
      <c r="F848" s="172">
        <v>45869</v>
      </c>
      <c r="G848" s="172">
        <v>45900</v>
      </c>
      <c r="H848" s="15">
        <v>0.63</v>
      </c>
      <c r="I848" s="192">
        <v>1.1200000000000001</v>
      </c>
      <c r="J848" s="9">
        <v>469.42000000000007</v>
      </c>
      <c r="K848">
        <v>603.54</v>
      </c>
      <c r="L848" s="14" t="s">
        <v>76</v>
      </c>
      <c r="M848" s="8" t="s">
        <v>131</v>
      </c>
      <c r="N848">
        <v>1072.96</v>
      </c>
      <c r="O848" s="38" t="s">
        <v>4</v>
      </c>
      <c r="P848" s="38" t="s">
        <v>7</v>
      </c>
      <c r="Q848">
        <v>2025</v>
      </c>
      <c r="R848" t="s">
        <v>131</v>
      </c>
      <c r="S848" t="s">
        <v>14</v>
      </c>
      <c r="T848" t="s">
        <v>1051</v>
      </c>
      <c r="U848" t="str">
        <f>IFERROR(_xlfn.XLOOKUP(A848,'2025 EOY'!A:A,'2025 EOY'!B:B),"No")</f>
        <v>No</v>
      </c>
    </row>
    <row r="849" spans="1:21" x14ac:dyDescent="0.35">
      <c r="A849" s="37" t="s">
        <v>1038</v>
      </c>
      <c r="B849" s="12">
        <v>45793</v>
      </c>
      <c r="C849" s="10" t="s">
        <v>7</v>
      </c>
      <c r="D849" s="4" t="s">
        <v>128</v>
      </c>
      <c r="E849" s="253">
        <v>-958</v>
      </c>
      <c r="F849" s="172">
        <v>45900</v>
      </c>
      <c r="G849" s="172">
        <v>45930</v>
      </c>
      <c r="H849" s="15">
        <v>0.49</v>
      </c>
      <c r="I849" s="192">
        <v>0.87</v>
      </c>
      <c r="J849" s="9">
        <v>-364.04</v>
      </c>
      <c r="K849">
        <v>-469.42</v>
      </c>
      <c r="L849" s="14" t="s">
        <v>77</v>
      </c>
      <c r="M849" s="8" t="s">
        <v>129</v>
      </c>
      <c r="N849">
        <v>-833.46</v>
      </c>
      <c r="O849" s="38" t="s">
        <v>4</v>
      </c>
      <c r="P849" s="38" t="s">
        <v>7</v>
      </c>
      <c r="Q849">
        <v>2025</v>
      </c>
      <c r="R849" t="s">
        <v>129</v>
      </c>
      <c r="S849" t="s">
        <v>14</v>
      </c>
      <c r="T849" t="s">
        <v>1052</v>
      </c>
      <c r="U849" t="str">
        <f>IFERROR(_xlfn.XLOOKUP(A849,'2025 EOY'!A:A,'2025 EOY'!B:B),"No")</f>
        <v>No</v>
      </c>
    </row>
    <row r="850" spans="1:21" x14ac:dyDescent="0.35">
      <c r="A850" s="37" t="s">
        <v>1053</v>
      </c>
      <c r="B850" s="12">
        <v>45796</v>
      </c>
      <c r="C850" s="10" t="s">
        <v>19</v>
      </c>
      <c r="D850" s="10" t="s">
        <v>268</v>
      </c>
      <c r="E850" s="259">
        <v>700</v>
      </c>
      <c r="F850" s="172">
        <v>45808</v>
      </c>
      <c r="G850" s="172">
        <v>45808</v>
      </c>
      <c r="H850" s="15">
        <v>2.202</v>
      </c>
      <c r="I850" s="201">
        <v>1.3</v>
      </c>
      <c r="J850" s="9">
        <v>-631.4</v>
      </c>
      <c r="K850">
        <v>1541.3999999999999</v>
      </c>
      <c r="L850" s="14" t="s">
        <v>65</v>
      </c>
      <c r="M850" s="8" t="s">
        <v>131</v>
      </c>
      <c r="N850">
        <v>910</v>
      </c>
      <c r="O850" s="38" t="s">
        <v>19</v>
      </c>
      <c r="P850" s="38" t="s">
        <v>19</v>
      </c>
      <c r="Q850">
        <v>2025</v>
      </c>
      <c r="R850" t="s">
        <v>131</v>
      </c>
      <c r="S850" t="s">
        <v>96</v>
      </c>
      <c r="T850" t="s">
        <v>1054</v>
      </c>
      <c r="U850" t="str">
        <f>IFERROR(_xlfn.XLOOKUP(A850,'2025 EOY'!A:A,'2025 EOY'!B:B),"No")</f>
        <v>No</v>
      </c>
    </row>
    <row r="851" spans="1:21" x14ac:dyDescent="0.35">
      <c r="A851" s="37" t="s">
        <v>1053</v>
      </c>
      <c r="B851" s="12">
        <v>45796</v>
      </c>
      <c r="C851" s="10" t="s">
        <v>3</v>
      </c>
      <c r="D851" s="4" t="s">
        <v>268</v>
      </c>
      <c r="E851" s="253">
        <v>-700</v>
      </c>
      <c r="F851" s="172">
        <v>45838</v>
      </c>
      <c r="G851" s="172">
        <v>45869</v>
      </c>
      <c r="H851" s="15">
        <v>0.69</v>
      </c>
      <c r="I851" s="192">
        <v>0.55000000000000004</v>
      </c>
      <c r="J851" s="9">
        <v>97.999999999999929</v>
      </c>
      <c r="K851">
        <v>-482.99999999999994</v>
      </c>
      <c r="L851" s="14" t="s">
        <v>74</v>
      </c>
      <c r="M851" s="8" t="s">
        <v>129</v>
      </c>
      <c r="N851">
        <v>-385.00000000000006</v>
      </c>
      <c r="O851" s="38" t="s">
        <v>4</v>
      </c>
      <c r="P851" s="38" t="s">
        <v>3</v>
      </c>
      <c r="Q851">
        <v>2025</v>
      </c>
      <c r="R851" t="s">
        <v>129</v>
      </c>
      <c r="S851" t="s">
        <v>14</v>
      </c>
      <c r="T851" t="s">
        <v>1055</v>
      </c>
      <c r="U851" t="str">
        <f>IFERROR(_xlfn.XLOOKUP(A851,'2025 EOY'!A:A,'2025 EOY'!B:B),"No")</f>
        <v>No</v>
      </c>
    </row>
    <row r="852" spans="1:21" x14ac:dyDescent="0.35">
      <c r="A852" s="37" t="s">
        <v>1053</v>
      </c>
      <c r="B852" s="12">
        <v>45796</v>
      </c>
      <c r="C852" s="10" t="s">
        <v>10</v>
      </c>
      <c r="D852" s="4" t="s">
        <v>268</v>
      </c>
      <c r="E852" s="253">
        <v>-700</v>
      </c>
      <c r="F852" s="172">
        <v>45869</v>
      </c>
      <c r="G852" s="172">
        <v>45869</v>
      </c>
      <c r="H852" s="15">
        <v>-3.32</v>
      </c>
      <c r="I852" s="192">
        <v>-3.11</v>
      </c>
      <c r="J852" s="9">
        <v>-146.99999999999997</v>
      </c>
      <c r="K852">
        <v>2324</v>
      </c>
      <c r="L852" s="14" t="s">
        <v>75</v>
      </c>
      <c r="M852" s="8" t="s">
        <v>129</v>
      </c>
      <c r="N852">
        <v>2177</v>
      </c>
      <c r="O852" s="38" t="s">
        <v>11</v>
      </c>
      <c r="P852" s="38" t="s">
        <v>10</v>
      </c>
      <c r="Q852">
        <v>2025</v>
      </c>
      <c r="R852" t="s">
        <v>129</v>
      </c>
      <c r="S852" t="s">
        <v>14</v>
      </c>
      <c r="T852" t="s">
        <v>1056</v>
      </c>
      <c r="U852" t="str">
        <f>IFERROR(_xlfn.XLOOKUP(A852,'2025 EOY'!A:A,'2025 EOY'!B:B),"No")</f>
        <v>No</v>
      </c>
    </row>
    <row r="853" spans="1:21" x14ac:dyDescent="0.35">
      <c r="A853" s="37" t="s">
        <v>1053</v>
      </c>
      <c r="B853" s="12">
        <v>45796</v>
      </c>
      <c r="C853" s="10" t="s">
        <v>7</v>
      </c>
      <c r="D853" s="4" t="s">
        <v>268</v>
      </c>
      <c r="E853" s="253">
        <v>-140</v>
      </c>
      <c r="F853" s="172">
        <v>45869</v>
      </c>
      <c r="G853" s="172">
        <v>45900</v>
      </c>
      <c r="H853" s="15">
        <v>0.73</v>
      </c>
      <c r="I853" s="192">
        <v>1.1200000000000001</v>
      </c>
      <c r="J853" s="9">
        <v>-54.600000000000016</v>
      </c>
      <c r="K853">
        <v>-102.2</v>
      </c>
      <c r="L853" s="14" t="s">
        <v>76</v>
      </c>
      <c r="M853" s="8" t="s">
        <v>129</v>
      </c>
      <c r="N853">
        <v>-156.80000000000001</v>
      </c>
      <c r="O853" s="38" t="s">
        <v>4</v>
      </c>
      <c r="P853" s="38" t="s">
        <v>7</v>
      </c>
      <c r="Q853">
        <v>2025</v>
      </c>
      <c r="R853" t="s">
        <v>129</v>
      </c>
      <c r="S853" t="s">
        <v>14</v>
      </c>
      <c r="T853" t="s">
        <v>1057</v>
      </c>
      <c r="U853" t="str">
        <f>IFERROR(_xlfn.XLOOKUP(A853,'2025 EOY'!A:A,'2025 EOY'!B:B),"No")</f>
        <v>No</v>
      </c>
    </row>
    <row r="854" spans="1:21" x14ac:dyDescent="0.35">
      <c r="A854" s="37" t="s">
        <v>1053</v>
      </c>
      <c r="B854" s="12">
        <v>45791</v>
      </c>
      <c r="C854" s="47" t="s">
        <v>36</v>
      </c>
      <c r="D854" s="10" t="s">
        <v>268</v>
      </c>
      <c r="E854" s="253">
        <v>-700</v>
      </c>
      <c r="F854" s="172">
        <v>45838</v>
      </c>
      <c r="G854" s="172">
        <v>45838</v>
      </c>
      <c r="H854" s="212">
        <v>140</v>
      </c>
      <c r="I854" s="206">
        <v>137.5</v>
      </c>
      <c r="J854" s="9">
        <v>35</v>
      </c>
      <c r="K854">
        <v>-98000</v>
      </c>
      <c r="L854" s="14" t="s">
        <v>73</v>
      </c>
      <c r="M854" s="8" t="s">
        <v>129</v>
      </c>
      <c r="N854">
        <v>-96250</v>
      </c>
      <c r="O854" s="38" t="s">
        <v>29</v>
      </c>
      <c r="P854" s="38" t="s">
        <v>29</v>
      </c>
      <c r="Q854">
        <v>2025</v>
      </c>
      <c r="R854" t="s">
        <v>129</v>
      </c>
      <c r="S854" t="s">
        <v>14</v>
      </c>
      <c r="T854" t="s">
        <v>1058</v>
      </c>
      <c r="U854" t="str">
        <f>IFERROR(_xlfn.XLOOKUP(A854,'2025 EOY'!A:A,'2025 EOY'!B:B),"No")</f>
        <v>No</v>
      </c>
    </row>
    <row r="855" spans="1:21" x14ac:dyDescent="0.35">
      <c r="A855" s="37" t="s">
        <v>1053</v>
      </c>
      <c r="B855" s="12">
        <v>45778</v>
      </c>
      <c r="C855" s="47" t="s">
        <v>36</v>
      </c>
      <c r="D855" s="10" t="s">
        <v>128</v>
      </c>
      <c r="E855" s="253">
        <v>700</v>
      </c>
      <c r="F855" s="172">
        <v>45808</v>
      </c>
      <c r="G855" s="172">
        <v>45808</v>
      </c>
      <c r="H855" s="212">
        <v>137.5</v>
      </c>
      <c r="I855" s="206">
        <v>137.5</v>
      </c>
      <c r="J855" s="9">
        <v>0</v>
      </c>
      <c r="K855">
        <v>0</v>
      </c>
      <c r="L855" s="14" t="s">
        <v>65</v>
      </c>
      <c r="M855" s="8" t="s">
        <v>131</v>
      </c>
      <c r="N855">
        <v>96250</v>
      </c>
      <c r="O855" s="38" t="s">
        <v>29</v>
      </c>
      <c r="P855" s="38" t="s">
        <v>29</v>
      </c>
      <c r="Q855">
        <v>2025</v>
      </c>
      <c r="R855" t="s">
        <v>131</v>
      </c>
      <c r="S855" t="s">
        <v>14</v>
      </c>
      <c r="T855" t="s">
        <v>1059</v>
      </c>
      <c r="U855" t="str">
        <f>IFERROR(_xlfn.XLOOKUP(A855,'2025 EOY'!A:A,'2025 EOY'!B:B),"No")</f>
        <v>No</v>
      </c>
    </row>
    <row r="856" spans="1:21" x14ac:dyDescent="0.35">
      <c r="A856" s="37" t="s">
        <v>147</v>
      </c>
      <c r="B856" s="12">
        <v>45796</v>
      </c>
      <c r="C856" s="10" t="s">
        <v>19</v>
      </c>
      <c r="D856" s="10" t="s">
        <v>268</v>
      </c>
      <c r="E856" s="259">
        <v>700</v>
      </c>
      <c r="F856" s="172">
        <v>45808</v>
      </c>
      <c r="G856" s="172">
        <v>45808</v>
      </c>
      <c r="H856" s="15">
        <v>2.3780000000000001</v>
      </c>
      <c r="I856" s="201">
        <v>1.45</v>
      </c>
      <c r="J856" s="9">
        <v>-649.60000000000014</v>
      </c>
      <c r="K856">
        <v>1664.6000000000001</v>
      </c>
      <c r="L856" s="14" t="s">
        <v>65</v>
      </c>
      <c r="M856" s="8" t="s">
        <v>131</v>
      </c>
      <c r="N856">
        <v>1015</v>
      </c>
      <c r="O856" s="38" t="s">
        <v>19</v>
      </c>
      <c r="P856" s="38" t="s">
        <v>19</v>
      </c>
      <c r="Q856">
        <v>2025</v>
      </c>
      <c r="R856" t="s">
        <v>131</v>
      </c>
      <c r="S856" t="s">
        <v>96</v>
      </c>
      <c r="T856" t="s">
        <v>1060</v>
      </c>
      <c r="U856" t="str">
        <f>IFERROR(_xlfn.XLOOKUP(A856,'2025 EOY'!A:A,'2025 EOY'!B:B),"No")</f>
        <v>No</v>
      </c>
    </row>
    <row r="857" spans="1:21" x14ac:dyDescent="0.35">
      <c r="A857" s="37" t="s">
        <v>147</v>
      </c>
      <c r="B857" s="12">
        <v>45796</v>
      </c>
      <c r="C857" s="10" t="s">
        <v>3</v>
      </c>
      <c r="D857" s="4" t="s">
        <v>268</v>
      </c>
      <c r="E857" s="253">
        <v>-700</v>
      </c>
      <c r="F857" s="172">
        <v>45838</v>
      </c>
      <c r="G857" s="172">
        <v>45869</v>
      </c>
      <c r="H857" s="15">
        <v>0.69</v>
      </c>
      <c r="I857" s="192">
        <v>0.55000000000000004</v>
      </c>
      <c r="J857" s="9">
        <v>97.999999999999929</v>
      </c>
      <c r="K857">
        <v>-482.99999999999994</v>
      </c>
      <c r="L857" s="14" t="s">
        <v>74</v>
      </c>
      <c r="M857" s="8" t="s">
        <v>129</v>
      </c>
      <c r="N857">
        <v>-385.00000000000006</v>
      </c>
      <c r="O857" s="38" t="s">
        <v>4</v>
      </c>
      <c r="P857" s="38" t="s">
        <v>3</v>
      </c>
      <c r="Q857">
        <v>2025</v>
      </c>
      <c r="R857" t="s">
        <v>129</v>
      </c>
      <c r="S857" t="s">
        <v>14</v>
      </c>
      <c r="T857" t="s">
        <v>1061</v>
      </c>
      <c r="U857" t="str">
        <f>IFERROR(_xlfn.XLOOKUP(A857,'2025 EOY'!A:A,'2025 EOY'!B:B),"No")</f>
        <v>No</v>
      </c>
    </row>
    <row r="858" spans="1:21" x14ac:dyDescent="0.35">
      <c r="A858" s="37" t="s">
        <v>147</v>
      </c>
      <c r="B858" s="12">
        <v>45796</v>
      </c>
      <c r="C858" s="10" t="s">
        <v>10</v>
      </c>
      <c r="D858" s="4" t="s">
        <v>268</v>
      </c>
      <c r="E858" s="253">
        <v>-700</v>
      </c>
      <c r="F858" s="172">
        <v>45869</v>
      </c>
      <c r="G858" s="172">
        <v>45869</v>
      </c>
      <c r="H858" s="15">
        <v>-3.32</v>
      </c>
      <c r="I858" s="192">
        <v>-3.11</v>
      </c>
      <c r="J858" s="9">
        <v>-146.99999999999997</v>
      </c>
      <c r="K858">
        <v>2324</v>
      </c>
      <c r="L858" s="14" t="s">
        <v>75</v>
      </c>
      <c r="M858" s="8" t="s">
        <v>129</v>
      </c>
      <c r="N858">
        <v>2177</v>
      </c>
      <c r="O858" s="38" t="s">
        <v>11</v>
      </c>
      <c r="P858" s="38" t="s">
        <v>10</v>
      </c>
      <c r="Q858">
        <v>2025</v>
      </c>
      <c r="R858" t="s">
        <v>129</v>
      </c>
      <c r="S858" t="s">
        <v>14</v>
      </c>
      <c r="T858" t="s">
        <v>1062</v>
      </c>
      <c r="U858" t="str">
        <f>IFERROR(_xlfn.XLOOKUP(A858,'2025 EOY'!A:A,'2025 EOY'!B:B),"No")</f>
        <v>No</v>
      </c>
    </row>
    <row r="859" spans="1:21" x14ac:dyDescent="0.35">
      <c r="A859" s="37" t="s">
        <v>147</v>
      </c>
      <c r="B859" s="12">
        <v>45796</v>
      </c>
      <c r="C859" s="10" t="s">
        <v>7</v>
      </c>
      <c r="D859" s="4" t="s">
        <v>268</v>
      </c>
      <c r="E859" s="253">
        <v>-700</v>
      </c>
      <c r="F859" s="172">
        <v>45869</v>
      </c>
      <c r="G859" s="172">
        <v>45900</v>
      </c>
      <c r="H859" s="15">
        <v>0.73</v>
      </c>
      <c r="I859" s="192">
        <v>1.1200000000000001</v>
      </c>
      <c r="J859" s="9">
        <v>-273.00000000000011</v>
      </c>
      <c r="K859">
        <v>-511</v>
      </c>
      <c r="L859" s="14" t="s">
        <v>76</v>
      </c>
      <c r="M859" s="8" t="s">
        <v>129</v>
      </c>
      <c r="N859">
        <v>-784.00000000000011</v>
      </c>
      <c r="O859" s="38" t="s">
        <v>4</v>
      </c>
      <c r="P859" s="38" t="s">
        <v>7</v>
      </c>
      <c r="Q859">
        <v>2025</v>
      </c>
      <c r="R859" t="s">
        <v>129</v>
      </c>
      <c r="S859" t="s">
        <v>14</v>
      </c>
      <c r="T859" t="s">
        <v>1063</v>
      </c>
      <c r="U859" t="str">
        <f>IFERROR(_xlfn.XLOOKUP(A859,'2025 EOY'!A:A,'2025 EOY'!B:B),"No")</f>
        <v>No</v>
      </c>
    </row>
    <row r="860" spans="1:21" x14ac:dyDescent="0.35">
      <c r="A860" s="37" t="s">
        <v>147</v>
      </c>
      <c r="B860" s="12">
        <v>45791</v>
      </c>
      <c r="C860" s="47" t="s">
        <v>36</v>
      </c>
      <c r="D860" s="10" t="s">
        <v>268</v>
      </c>
      <c r="E860" s="253">
        <v>-700</v>
      </c>
      <c r="F860" s="172">
        <v>45838</v>
      </c>
      <c r="G860" s="172">
        <v>45838</v>
      </c>
      <c r="H860" s="212">
        <v>140</v>
      </c>
      <c r="I860" s="206">
        <v>125</v>
      </c>
      <c r="J860" s="9">
        <v>210</v>
      </c>
      <c r="K860">
        <v>-98000</v>
      </c>
      <c r="L860" s="14" t="s">
        <v>73</v>
      </c>
      <c r="M860" s="8" t="s">
        <v>129</v>
      </c>
      <c r="N860">
        <v>-87500</v>
      </c>
      <c r="O860" s="38" t="s">
        <v>29</v>
      </c>
      <c r="P860" s="38" t="s">
        <v>29</v>
      </c>
      <c r="Q860">
        <v>2025</v>
      </c>
      <c r="R860" t="s">
        <v>129</v>
      </c>
      <c r="S860" t="s">
        <v>14</v>
      </c>
      <c r="T860" t="s">
        <v>1064</v>
      </c>
      <c r="U860" t="str">
        <f>IFERROR(_xlfn.XLOOKUP(A860,'2025 EOY'!A:A,'2025 EOY'!B:B),"No")</f>
        <v>No</v>
      </c>
    </row>
    <row r="861" spans="1:21" x14ac:dyDescent="0.35">
      <c r="A861" s="37" t="s">
        <v>147</v>
      </c>
      <c r="B861" s="12">
        <v>45791</v>
      </c>
      <c r="C861" s="47" t="s">
        <v>36</v>
      </c>
      <c r="D861" s="10" t="s">
        <v>128</v>
      </c>
      <c r="E861" s="253">
        <v>700</v>
      </c>
      <c r="F861" s="172">
        <v>45838</v>
      </c>
      <c r="G861" s="172">
        <v>45838</v>
      </c>
      <c r="H861" s="212">
        <v>125</v>
      </c>
      <c r="I861" s="206">
        <v>125</v>
      </c>
      <c r="J861" s="9">
        <v>0</v>
      </c>
      <c r="K861">
        <v>87500</v>
      </c>
      <c r="L861" s="14" t="s">
        <v>73</v>
      </c>
      <c r="M861" s="8" t="s">
        <v>131</v>
      </c>
      <c r="N861">
        <v>87500</v>
      </c>
      <c r="O861" s="38" t="s">
        <v>29</v>
      </c>
      <c r="P861" s="38" t="s">
        <v>29</v>
      </c>
      <c r="Q861">
        <v>2025</v>
      </c>
      <c r="R861" t="s">
        <v>131</v>
      </c>
      <c r="S861" t="s">
        <v>14</v>
      </c>
      <c r="T861" t="s">
        <v>1065</v>
      </c>
      <c r="U861" t="str">
        <f>IFERROR(_xlfn.XLOOKUP(A861,'2025 EOY'!A:A,'2025 EOY'!B:B),"No")</f>
        <v>No</v>
      </c>
    </row>
    <row r="862" spans="1:21" x14ac:dyDescent="0.35">
      <c r="A862" s="37" t="s">
        <v>1066</v>
      </c>
      <c r="B862" s="12">
        <v>45796</v>
      </c>
      <c r="C862" s="10" t="s">
        <v>19</v>
      </c>
      <c r="D862" s="10" t="s">
        <v>268</v>
      </c>
      <c r="E862" s="259">
        <v>700</v>
      </c>
      <c r="F862" s="172">
        <v>45808</v>
      </c>
      <c r="G862" s="172">
        <v>45808</v>
      </c>
      <c r="H862" s="15">
        <v>2.5100000000000002</v>
      </c>
      <c r="I862" s="201">
        <v>1.55</v>
      </c>
      <c r="J862" s="9">
        <v>-672.00000000000011</v>
      </c>
      <c r="K862">
        <v>1757.0000000000002</v>
      </c>
      <c r="L862" s="14" t="s">
        <v>65</v>
      </c>
      <c r="M862" s="8" t="s">
        <v>131</v>
      </c>
      <c r="N862">
        <v>1085</v>
      </c>
      <c r="O862" s="38" t="s">
        <v>19</v>
      </c>
      <c r="P862" s="38" t="s">
        <v>19</v>
      </c>
      <c r="Q862">
        <v>2025</v>
      </c>
      <c r="R862" t="s">
        <v>131</v>
      </c>
      <c r="S862" t="s">
        <v>96</v>
      </c>
      <c r="T862" t="s">
        <v>1067</v>
      </c>
      <c r="U862" t="str">
        <f>IFERROR(_xlfn.XLOOKUP(A862,'2025 EOY'!A:A,'2025 EOY'!B:B),"No")</f>
        <v>No</v>
      </c>
    </row>
    <row r="863" spans="1:21" x14ac:dyDescent="0.35">
      <c r="A863" s="37" t="s">
        <v>1066</v>
      </c>
      <c r="B863" s="12">
        <v>45796</v>
      </c>
      <c r="C863" s="10" t="s">
        <v>3</v>
      </c>
      <c r="D863" s="4" t="s">
        <v>268</v>
      </c>
      <c r="E863" s="253">
        <v>-700</v>
      </c>
      <c r="F863" s="172">
        <v>45838</v>
      </c>
      <c r="G863" s="172">
        <v>45869</v>
      </c>
      <c r="H863" s="15">
        <v>0.69</v>
      </c>
      <c r="I863" s="192">
        <v>0.55000000000000004</v>
      </c>
      <c r="J863" s="9">
        <v>97.999999999999929</v>
      </c>
      <c r="K863">
        <v>-482.99999999999994</v>
      </c>
      <c r="L863" s="14" t="s">
        <v>74</v>
      </c>
      <c r="M863" s="8" t="s">
        <v>129</v>
      </c>
      <c r="N863">
        <v>-385.00000000000006</v>
      </c>
      <c r="O863" s="38" t="s">
        <v>4</v>
      </c>
      <c r="P863" s="38" t="s">
        <v>3</v>
      </c>
      <c r="Q863">
        <v>2025</v>
      </c>
      <c r="R863" t="s">
        <v>129</v>
      </c>
      <c r="S863" t="s">
        <v>14</v>
      </c>
      <c r="T863" t="s">
        <v>1068</v>
      </c>
      <c r="U863" t="str">
        <f>IFERROR(_xlfn.XLOOKUP(A863,'2025 EOY'!A:A,'2025 EOY'!B:B),"No")</f>
        <v>No</v>
      </c>
    </row>
    <row r="864" spans="1:21" x14ac:dyDescent="0.35">
      <c r="A864" s="37" t="s">
        <v>1066</v>
      </c>
      <c r="B864" s="12">
        <v>45796</v>
      </c>
      <c r="C864" s="10" t="s">
        <v>10</v>
      </c>
      <c r="D864" s="4" t="s">
        <v>268</v>
      </c>
      <c r="E864" s="253">
        <v>-700</v>
      </c>
      <c r="F864" s="172">
        <v>45869</v>
      </c>
      <c r="G864" s="172">
        <v>45869</v>
      </c>
      <c r="H864" s="15">
        <v>-3.32</v>
      </c>
      <c r="I864" s="192">
        <v>-3.11</v>
      </c>
      <c r="J864" s="9">
        <v>-146.99999999999997</v>
      </c>
      <c r="K864">
        <v>2324</v>
      </c>
      <c r="L864" s="14" t="s">
        <v>75</v>
      </c>
      <c r="M864" s="8" t="s">
        <v>129</v>
      </c>
      <c r="N864">
        <v>2177</v>
      </c>
      <c r="O864" s="38" t="s">
        <v>11</v>
      </c>
      <c r="P864" s="38" t="s">
        <v>10</v>
      </c>
      <c r="Q864">
        <v>2025</v>
      </c>
      <c r="R864" t="s">
        <v>129</v>
      </c>
      <c r="S864" t="s">
        <v>14</v>
      </c>
      <c r="T864" t="s">
        <v>1069</v>
      </c>
      <c r="U864" t="str">
        <f>IFERROR(_xlfn.XLOOKUP(A864,'2025 EOY'!A:A,'2025 EOY'!B:B),"No")</f>
        <v>No</v>
      </c>
    </row>
    <row r="865" spans="1:21" x14ac:dyDescent="0.35">
      <c r="A865" s="37" t="s">
        <v>1066</v>
      </c>
      <c r="B865" s="12">
        <v>45796</v>
      </c>
      <c r="C865" s="10" t="s">
        <v>7</v>
      </c>
      <c r="D865" s="4" t="s">
        <v>268</v>
      </c>
      <c r="E865" s="253">
        <v>-700</v>
      </c>
      <c r="F865" s="172">
        <v>45869</v>
      </c>
      <c r="G865" s="172">
        <v>45900</v>
      </c>
      <c r="H865" s="15">
        <v>0.73</v>
      </c>
      <c r="I865" s="192">
        <v>1.1200000000000001</v>
      </c>
      <c r="J865" s="9">
        <v>-273.00000000000011</v>
      </c>
      <c r="K865">
        <v>-511</v>
      </c>
      <c r="L865" s="14" t="s">
        <v>76</v>
      </c>
      <c r="M865" s="8" t="s">
        <v>129</v>
      </c>
      <c r="N865">
        <v>-784.00000000000011</v>
      </c>
      <c r="O865" s="38" t="s">
        <v>4</v>
      </c>
      <c r="P865" s="38" t="s">
        <v>7</v>
      </c>
      <c r="Q865">
        <v>2025</v>
      </c>
      <c r="R865" t="s">
        <v>129</v>
      </c>
      <c r="S865" t="s">
        <v>14</v>
      </c>
      <c r="T865" t="s">
        <v>1070</v>
      </c>
      <c r="U865" t="str">
        <f>IFERROR(_xlfn.XLOOKUP(A865,'2025 EOY'!A:A,'2025 EOY'!B:B),"No")</f>
        <v>No</v>
      </c>
    </row>
    <row r="866" spans="1:21" x14ac:dyDescent="0.35">
      <c r="A866" s="37" t="s">
        <v>1066</v>
      </c>
      <c r="B866" s="12">
        <v>45791</v>
      </c>
      <c r="C866" s="47" t="s">
        <v>36</v>
      </c>
      <c r="D866" s="10" t="s">
        <v>268</v>
      </c>
      <c r="E866" s="253">
        <v>-700</v>
      </c>
      <c r="F866" s="172">
        <v>45838</v>
      </c>
      <c r="G866" s="172">
        <v>45838</v>
      </c>
      <c r="H866" s="212">
        <v>140</v>
      </c>
      <c r="I866" s="206">
        <v>120</v>
      </c>
      <c r="J866" s="9">
        <v>280</v>
      </c>
      <c r="K866">
        <v>-98000</v>
      </c>
      <c r="L866" s="14" t="s">
        <v>73</v>
      </c>
      <c r="M866" s="8" t="s">
        <v>129</v>
      </c>
      <c r="N866">
        <v>-84000</v>
      </c>
      <c r="O866" s="38" t="s">
        <v>29</v>
      </c>
      <c r="P866" s="38" t="s">
        <v>29</v>
      </c>
      <c r="Q866">
        <v>2025</v>
      </c>
      <c r="R866" t="s">
        <v>129</v>
      </c>
      <c r="S866" t="s">
        <v>14</v>
      </c>
      <c r="T866" t="s">
        <v>1071</v>
      </c>
      <c r="U866" t="str">
        <f>IFERROR(_xlfn.XLOOKUP(A866,'2025 EOY'!A:A,'2025 EOY'!B:B),"No")</f>
        <v>No</v>
      </c>
    </row>
    <row r="867" spans="1:21" x14ac:dyDescent="0.35">
      <c r="A867" s="37" t="s">
        <v>1066</v>
      </c>
      <c r="B867" s="12">
        <v>45791</v>
      </c>
      <c r="C867" s="47" t="s">
        <v>36</v>
      </c>
      <c r="D867" s="10" t="s">
        <v>128</v>
      </c>
      <c r="E867" s="253">
        <v>700</v>
      </c>
      <c r="F867" s="172">
        <v>45838</v>
      </c>
      <c r="G867" s="172">
        <v>45838</v>
      </c>
      <c r="H867" s="212">
        <v>120</v>
      </c>
      <c r="I867" s="206">
        <v>120</v>
      </c>
      <c r="J867" s="9">
        <v>0</v>
      </c>
      <c r="K867">
        <v>84000</v>
      </c>
      <c r="L867" s="14" t="s">
        <v>73</v>
      </c>
      <c r="M867" s="8" t="s">
        <v>131</v>
      </c>
      <c r="N867">
        <v>84000</v>
      </c>
      <c r="O867" s="38" t="s">
        <v>29</v>
      </c>
      <c r="P867" s="38" t="s">
        <v>29</v>
      </c>
      <c r="Q867">
        <v>2025</v>
      </c>
      <c r="R867" t="s">
        <v>131</v>
      </c>
      <c r="S867" t="s">
        <v>14</v>
      </c>
      <c r="T867" t="s">
        <v>1072</v>
      </c>
      <c r="U867" t="str">
        <f>IFERROR(_xlfn.XLOOKUP(A867,'2025 EOY'!A:A,'2025 EOY'!B:B),"No")</f>
        <v>No</v>
      </c>
    </row>
    <row r="868" spans="1:21" x14ac:dyDescent="0.35">
      <c r="A868" s="37" t="s">
        <v>1066</v>
      </c>
      <c r="B868" s="12">
        <v>45796</v>
      </c>
      <c r="C868" s="10" t="s">
        <v>3</v>
      </c>
      <c r="D868" s="4" t="s">
        <v>128</v>
      </c>
      <c r="E868" s="253">
        <v>3373</v>
      </c>
      <c r="F868" s="172">
        <v>45838</v>
      </c>
      <c r="G868" s="172">
        <v>45869</v>
      </c>
      <c r="H868" s="15">
        <v>0.55000000000000004</v>
      </c>
      <c r="I868" s="192">
        <v>0.55000000000000004</v>
      </c>
      <c r="J868" s="9">
        <v>0</v>
      </c>
      <c r="K868">
        <v>1855.15</v>
      </c>
      <c r="L868" s="14" t="s">
        <v>74</v>
      </c>
      <c r="M868" s="8" t="s">
        <v>131</v>
      </c>
      <c r="N868">
        <v>1855.15</v>
      </c>
      <c r="O868" s="38" t="s">
        <v>4</v>
      </c>
      <c r="P868" s="38" t="s">
        <v>3</v>
      </c>
      <c r="Q868">
        <v>2025</v>
      </c>
      <c r="R868" t="s">
        <v>131</v>
      </c>
      <c r="S868" t="s">
        <v>14</v>
      </c>
      <c r="T868" t="s">
        <v>1073</v>
      </c>
      <c r="U868" t="str">
        <f>IFERROR(_xlfn.XLOOKUP(A868,'2025 EOY'!A:A,'2025 EOY'!B:B),"No")</f>
        <v>No</v>
      </c>
    </row>
    <row r="869" spans="1:21" x14ac:dyDescent="0.35">
      <c r="A869" s="37" t="s">
        <v>1066</v>
      </c>
      <c r="B869" s="12">
        <v>45797</v>
      </c>
      <c r="C869" s="10" t="s">
        <v>3</v>
      </c>
      <c r="D869" s="4" t="s">
        <v>128</v>
      </c>
      <c r="E869" s="266">
        <v>-2100</v>
      </c>
      <c r="F869" s="172">
        <v>45838</v>
      </c>
      <c r="G869" s="172">
        <v>45869</v>
      </c>
      <c r="H869" s="15">
        <v>0.55000000000000004</v>
      </c>
      <c r="I869" s="192">
        <v>0.55000000000000004</v>
      </c>
      <c r="J869" s="9">
        <v>0</v>
      </c>
      <c r="K869">
        <v>-1155</v>
      </c>
      <c r="L869" s="14" t="s">
        <v>74</v>
      </c>
      <c r="M869" s="8" t="s">
        <v>129</v>
      </c>
      <c r="N869">
        <v>-1155</v>
      </c>
      <c r="O869" s="38" t="s">
        <v>4</v>
      </c>
      <c r="P869" s="38" t="s">
        <v>3</v>
      </c>
      <c r="Q869">
        <v>2025</v>
      </c>
      <c r="R869" t="s">
        <v>129</v>
      </c>
      <c r="S869" t="s">
        <v>14</v>
      </c>
      <c r="T869" t="s">
        <v>1074</v>
      </c>
      <c r="U869" t="str">
        <f>IFERROR(_xlfn.XLOOKUP(A869,'2025 EOY'!A:A,'2025 EOY'!B:B),"No")</f>
        <v>No</v>
      </c>
    </row>
    <row r="870" spans="1:21" x14ac:dyDescent="0.35">
      <c r="A870" s="37" t="s">
        <v>1066</v>
      </c>
      <c r="B870" s="12">
        <v>45797</v>
      </c>
      <c r="C870" s="10" t="s">
        <v>7</v>
      </c>
      <c r="D870" s="4" t="s">
        <v>128</v>
      </c>
      <c r="E870" s="253">
        <v>1400</v>
      </c>
      <c r="F870" s="172">
        <v>45869</v>
      </c>
      <c r="G870" s="172">
        <v>45900</v>
      </c>
      <c r="H870" s="212">
        <v>0.62</v>
      </c>
      <c r="I870" s="192">
        <v>1.1200000000000001</v>
      </c>
      <c r="J870" s="9">
        <v>700.00000000000011</v>
      </c>
      <c r="K870">
        <v>868</v>
      </c>
      <c r="L870" s="14" t="s">
        <v>76</v>
      </c>
      <c r="M870" s="8" t="s">
        <v>131</v>
      </c>
      <c r="N870">
        <v>1568.0000000000002</v>
      </c>
      <c r="O870" s="38" t="s">
        <v>4</v>
      </c>
      <c r="P870" s="38" t="s">
        <v>7</v>
      </c>
      <c r="Q870">
        <v>2025</v>
      </c>
      <c r="R870" t="s">
        <v>131</v>
      </c>
      <c r="S870" t="s">
        <v>14</v>
      </c>
      <c r="T870" t="s">
        <v>1075</v>
      </c>
      <c r="U870" t="str">
        <f>IFERROR(_xlfn.XLOOKUP(A870,'2025 EOY'!A:A,'2025 EOY'!B:B),"No")</f>
        <v>No</v>
      </c>
    </row>
    <row r="871" spans="1:21" x14ac:dyDescent="0.35">
      <c r="A871" t="s">
        <v>1076</v>
      </c>
      <c r="B871" s="174">
        <v>45798</v>
      </c>
      <c r="C871" s="187" t="s">
        <v>19</v>
      </c>
      <c r="D871" s="10" t="s">
        <v>268</v>
      </c>
      <c r="E871" s="259">
        <v>2098</v>
      </c>
      <c r="F871" s="172">
        <v>45838</v>
      </c>
      <c r="G871" s="172">
        <v>45838</v>
      </c>
      <c r="H871" s="15">
        <v>2.5599999999999996</v>
      </c>
      <c r="I871" s="201">
        <v>2.9899999999999998</v>
      </c>
      <c r="J871" s="9">
        <v>902.14000000000033</v>
      </c>
      <c r="K871">
        <v>5475.7799999999988</v>
      </c>
      <c r="L871" s="14" t="s">
        <v>73</v>
      </c>
      <c r="M871" s="8" t="s">
        <v>131</v>
      </c>
      <c r="N871">
        <v>6273.0199999999995</v>
      </c>
      <c r="O871" s="38" t="s">
        <v>19</v>
      </c>
      <c r="P871" s="38" t="s">
        <v>19</v>
      </c>
      <c r="Q871">
        <v>2025</v>
      </c>
      <c r="R871" t="s">
        <v>131</v>
      </c>
      <c r="S871" t="s">
        <v>96</v>
      </c>
      <c r="T871" t="s">
        <v>1077</v>
      </c>
      <c r="U871" t="str">
        <f>IFERROR(_xlfn.XLOOKUP(A871,'2025 EOY'!A:A,'2025 EOY'!B:B),"No")</f>
        <v>No</v>
      </c>
    </row>
    <row r="872" spans="1:21" x14ac:dyDescent="0.35">
      <c r="A872" t="s">
        <v>1076</v>
      </c>
      <c r="B872" s="174">
        <v>45798</v>
      </c>
      <c r="C872" s="10" t="s">
        <v>3</v>
      </c>
      <c r="D872" s="4" t="s">
        <v>268</v>
      </c>
      <c r="E872" s="253">
        <v>-2075</v>
      </c>
      <c r="F872" s="172">
        <v>45869</v>
      </c>
      <c r="G872" s="172">
        <v>45900</v>
      </c>
      <c r="H872" s="15">
        <v>0.59</v>
      </c>
      <c r="I872" s="192">
        <v>1.64</v>
      </c>
      <c r="J872" s="9">
        <v>-2178.7499999999995</v>
      </c>
      <c r="K872">
        <v>-1224.25</v>
      </c>
      <c r="L872" s="14" t="s">
        <v>76</v>
      </c>
      <c r="M872" s="8" t="s">
        <v>129</v>
      </c>
      <c r="N872">
        <v>-3403</v>
      </c>
      <c r="O872" s="38" t="s">
        <v>4</v>
      </c>
      <c r="P872" s="38" t="s">
        <v>3</v>
      </c>
      <c r="Q872">
        <v>2025</v>
      </c>
      <c r="R872" t="s">
        <v>129</v>
      </c>
      <c r="S872" t="s">
        <v>14</v>
      </c>
      <c r="T872" t="s">
        <v>1078</v>
      </c>
      <c r="U872" t="str">
        <f>IFERROR(_xlfn.XLOOKUP(A872,'2025 EOY'!A:A,'2025 EOY'!B:B),"No")</f>
        <v>No</v>
      </c>
    </row>
    <row r="873" spans="1:21" x14ac:dyDescent="0.35">
      <c r="A873" t="s">
        <v>1076</v>
      </c>
      <c r="B873" s="174">
        <v>45798</v>
      </c>
      <c r="C873" s="10" t="s">
        <v>3</v>
      </c>
      <c r="D873" s="4" t="s">
        <v>268</v>
      </c>
      <c r="E873" s="253">
        <v>-2075</v>
      </c>
      <c r="F873" s="172">
        <v>45900</v>
      </c>
      <c r="G873" s="172">
        <v>45930</v>
      </c>
      <c r="H873" s="15">
        <v>0.55000000000000004</v>
      </c>
      <c r="I873" s="192">
        <v>1.25</v>
      </c>
      <c r="J873" s="9">
        <v>-1452.5</v>
      </c>
      <c r="K873">
        <v>-1141.25</v>
      </c>
      <c r="L873" s="14" t="s">
        <v>77</v>
      </c>
      <c r="M873" s="8" t="s">
        <v>129</v>
      </c>
      <c r="N873">
        <v>-2593.75</v>
      </c>
      <c r="O873" s="38" t="s">
        <v>4</v>
      </c>
      <c r="P873" s="38" t="s">
        <v>3</v>
      </c>
      <c r="Q873">
        <v>2025</v>
      </c>
      <c r="R873" t="s">
        <v>129</v>
      </c>
      <c r="S873" t="s">
        <v>14</v>
      </c>
      <c r="T873" t="s">
        <v>1079</v>
      </c>
      <c r="U873" t="str">
        <f>IFERROR(_xlfn.XLOOKUP(A873,'2025 EOY'!A:A,'2025 EOY'!B:B),"No")</f>
        <v>No</v>
      </c>
    </row>
    <row r="874" spans="1:21" x14ac:dyDescent="0.35">
      <c r="A874" t="s">
        <v>1076</v>
      </c>
      <c r="B874" s="174">
        <v>45798</v>
      </c>
      <c r="C874" s="10" t="s">
        <v>10</v>
      </c>
      <c r="D874" s="4" t="s">
        <v>268</v>
      </c>
      <c r="E874" s="253">
        <v>-2098</v>
      </c>
      <c r="F874" s="172">
        <v>45930</v>
      </c>
      <c r="G874" s="172">
        <v>45930</v>
      </c>
      <c r="H874" s="15">
        <v>-3.37</v>
      </c>
      <c r="I874" s="192">
        <v>-3.27</v>
      </c>
      <c r="J874" s="9">
        <v>-209.80000000000018</v>
      </c>
      <c r="K874">
        <v>7070.26</v>
      </c>
      <c r="L874" s="14" t="s">
        <v>86</v>
      </c>
      <c r="M874" s="8" t="s">
        <v>129</v>
      </c>
      <c r="N874">
        <v>6860.46</v>
      </c>
      <c r="O874" s="38" t="s">
        <v>11</v>
      </c>
      <c r="P874" s="38" t="s">
        <v>10</v>
      </c>
      <c r="Q874">
        <v>2025</v>
      </c>
      <c r="R874" t="s">
        <v>129</v>
      </c>
      <c r="S874" t="s">
        <v>14</v>
      </c>
      <c r="T874" t="s">
        <v>1080</v>
      </c>
      <c r="U874" t="str">
        <f>IFERROR(_xlfn.XLOOKUP(A874,'2025 EOY'!A:A,'2025 EOY'!B:B),"No")</f>
        <v>No</v>
      </c>
    </row>
    <row r="875" spans="1:21" x14ac:dyDescent="0.35">
      <c r="A875" t="s">
        <v>1076</v>
      </c>
      <c r="B875" s="174">
        <v>45798</v>
      </c>
      <c r="C875" s="10" t="s">
        <v>15</v>
      </c>
      <c r="D875" s="4" t="s">
        <v>268</v>
      </c>
      <c r="E875" s="253">
        <v>2098</v>
      </c>
      <c r="F875" s="173">
        <v>45869</v>
      </c>
      <c r="G875" s="172">
        <v>45869</v>
      </c>
      <c r="H875" s="15">
        <v>0.65</v>
      </c>
      <c r="I875" s="191">
        <v>1.47</v>
      </c>
      <c r="J875" s="9">
        <v>1720.36</v>
      </c>
      <c r="K875">
        <v>1363.7</v>
      </c>
      <c r="L875" s="14" t="s">
        <v>75</v>
      </c>
      <c r="M875" s="8" t="s">
        <v>131</v>
      </c>
      <c r="N875">
        <v>3084.06</v>
      </c>
      <c r="O875" s="38" t="s">
        <v>11</v>
      </c>
      <c r="P875" s="38" t="s">
        <v>16</v>
      </c>
      <c r="Q875">
        <v>2025</v>
      </c>
      <c r="R875" t="s">
        <v>131</v>
      </c>
      <c r="S875" t="s">
        <v>14</v>
      </c>
      <c r="T875" t="s">
        <v>1081</v>
      </c>
      <c r="U875" t="str">
        <f>IFERROR(_xlfn.XLOOKUP(A875,'2025 EOY'!A:A,'2025 EOY'!B:B),"No")</f>
        <v>No</v>
      </c>
    </row>
    <row r="876" spans="1:21" x14ac:dyDescent="0.35">
      <c r="A876" t="s">
        <v>1076</v>
      </c>
      <c r="B876" s="12">
        <v>45798</v>
      </c>
      <c r="C876" s="47" t="s">
        <v>28</v>
      </c>
      <c r="D876" s="10" t="s">
        <v>268</v>
      </c>
      <c r="E876" s="253">
        <v>-2000</v>
      </c>
      <c r="F876" s="172">
        <v>45838</v>
      </c>
      <c r="G876" s="172">
        <v>45838</v>
      </c>
      <c r="H876" s="212">
        <v>8100</v>
      </c>
      <c r="I876" s="206">
        <v>8100</v>
      </c>
      <c r="J876" s="9">
        <v>0</v>
      </c>
      <c r="K876">
        <v>-16200000</v>
      </c>
      <c r="L876" s="14" t="s">
        <v>73</v>
      </c>
      <c r="M876" s="8" t="s">
        <v>129</v>
      </c>
      <c r="N876">
        <v>-16200000</v>
      </c>
      <c r="O876" s="38" t="s">
        <v>29</v>
      </c>
      <c r="P876" s="38" t="s">
        <v>29</v>
      </c>
      <c r="Q876">
        <v>2025</v>
      </c>
      <c r="R876" t="s">
        <v>129</v>
      </c>
      <c r="S876" t="s">
        <v>14</v>
      </c>
      <c r="T876" t="s">
        <v>1082</v>
      </c>
      <c r="U876" t="str">
        <f>IFERROR(_xlfn.XLOOKUP(A876,'2025 EOY'!A:A,'2025 EOY'!B:B),"No")</f>
        <v>No</v>
      </c>
    </row>
    <row r="877" spans="1:21" x14ac:dyDescent="0.35">
      <c r="A877" t="s">
        <v>1076</v>
      </c>
      <c r="B877" s="12">
        <v>45799</v>
      </c>
      <c r="C877" s="47" t="s">
        <v>28</v>
      </c>
      <c r="D877" s="10" t="s">
        <v>128</v>
      </c>
      <c r="E877" s="253">
        <v>2000</v>
      </c>
      <c r="F877" s="172">
        <v>45838</v>
      </c>
      <c r="G877" s="172">
        <v>45838</v>
      </c>
      <c r="H877" s="212">
        <v>7600</v>
      </c>
      <c r="I877" s="206">
        <v>8100</v>
      </c>
      <c r="J877" s="9">
        <v>500</v>
      </c>
      <c r="K877">
        <v>15200000</v>
      </c>
      <c r="L877" s="14" t="s">
        <v>73</v>
      </c>
      <c r="M877" s="8" t="s">
        <v>131</v>
      </c>
      <c r="N877">
        <v>16200000</v>
      </c>
      <c r="O877" s="38" t="s">
        <v>29</v>
      </c>
      <c r="P877" s="38" t="s">
        <v>29</v>
      </c>
      <c r="Q877">
        <v>2025</v>
      </c>
      <c r="R877" t="s">
        <v>131</v>
      </c>
      <c r="S877" t="s">
        <v>14</v>
      </c>
      <c r="T877" t="s">
        <v>1083</v>
      </c>
      <c r="U877" t="str">
        <f>IFERROR(_xlfn.XLOOKUP(A877,'2025 EOY'!A:A,'2025 EOY'!B:B),"No")</f>
        <v>No</v>
      </c>
    </row>
    <row r="878" spans="1:21" x14ac:dyDescent="0.35">
      <c r="A878" s="37" t="s">
        <v>127</v>
      </c>
      <c r="B878" s="174">
        <v>45798</v>
      </c>
      <c r="C878" s="47" t="s">
        <v>25</v>
      </c>
      <c r="D878" t="s">
        <v>128</v>
      </c>
      <c r="E878" s="253">
        <v>-500</v>
      </c>
      <c r="F878" s="173">
        <v>45869</v>
      </c>
      <c r="G878" s="172">
        <v>45900</v>
      </c>
      <c r="H878" s="100">
        <v>0.59</v>
      </c>
      <c r="I878" s="192">
        <v>1.64</v>
      </c>
      <c r="J878" s="9">
        <v>-524.99999999999989</v>
      </c>
      <c r="K878">
        <v>-295</v>
      </c>
      <c r="L878" s="14" t="s">
        <v>76</v>
      </c>
      <c r="M878" s="8" t="s">
        <v>129</v>
      </c>
      <c r="N878">
        <v>-820</v>
      </c>
      <c r="O878" s="38" t="s">
        <v>4</v>
      </c>
      <c r="P878" s="38" t="s">
        <v>3</v>
      </c>
      <c r="Q878">
        <v>2025</v>
      </c>
      <c r="R878" t="s">
        <v>129</v>
      </c>
      <c r="S878" t="s">
        <v>14</v>
      </c>
      <c r="T878" t="s">
        <v>1084</v>
      </c>
      <c r="U878" t="str">
        <f>IFERROR(_xlfn.XLOOKUP(A878,'2025 EOY'!A:A,'2025 EOY'!B:B),"No")</f>
        <v>No</v>
      </c>
    </row>
    <row r="879" spans="1:21" x14ac:dyDescent="0.35">
      <c r="A879" s="37" t="s">
        <v>127</v>
      </c>
      <c r="B879" s="174">
        <v>45798</v>
      </c>
      <c r="C879" s="47" t="s">
        <v>25</v>
      </c>
      <c r="D879" t="s">
        <v>128</v>
      </c>
      <c r="E879" s="253">
        <v>500</v>
      </c>
      <c r="F879" s="173">
        <v>45900</v>
      </c>
      <c r="G879" s="172">
        <v>45930</v>
      </c>
      <c r="H879" s="100">
        <v>0.53</v>
      </c>
      <c r="I879" s="192">
        <v>1.25</v>
      </c>
      <c r="J879" s="9">
        <v>360</v>
      </c>
      <c r="K879">
        <v>265</v>
      </c>
      <c r="L879" s="14" t="s">
        <v>77</v>
      </c>
      <c r="M879" s="8" t="s">
        <v>131</v>
      </c>
      <c r="N879">
        <v>625</v>
      </c>
      <c r="O879" s="38" t="s">
        <v>4</v>
      </c>
      <c r="P879" s="38" t="s">
        <v>3</v>
      </c>
      <c r="Q879">
        <v>2025</v>
      </c>
      <c r="R879" t="s">
        <v>131</v>
      </c>
      <c r="S879" t="s">
        <v>14</v>
      </c>
      <c r="T879" t="s">
        <v>1085</v>
      </c>
      <c r="U879" t="str">
        <f>IFERROR(_xlfn.XLOOKUP(A879,'2025 EOY'!A:A,'2025 EOY'!B:B),"No")</f>
        <v>No</v>
      </c>
    </row>
    <row r="880" spans="1:21" x14ac:dyDescent="0.35">
      <c r="A880" s="37" t="s">
        <v>127</v>
      </c>
      <c r="B880" s="174">
        <v>45798</v>
      </c>
      <c r="C880" s="10" t="s">
        <v>10</v>
      </c>
      <c r="D880" s="4" t="s">
        <v>128</v>
      </c>
      <c r="E880" s="253">
        <v>2000</v>
      </c>
      <c r="F880" s="172">
        <v>45869</v>
      </c>
      <c r="G880" s="172">
        <v>45869</v>
      </c>
      <c r="H880" s="15">
        <v>-3.31</v>
      </c>
      <c r="I880" s="192">
        <v>-3.11</v>
      </c>
      <c r="J880" s="9">
        <v>400.00000000000034</v>
      </c>
      <c r="K880">
        <v>-6620</v>
      </c>
      <c r="L880" s="14" t="s">
        <v>75</v>
      </c>
      <c r="M880" s="8" t="s">
        <v>131</v>
      </c>
      <c r="N880">
        <v>-6220</v>
      </c>
      <c r="O880" s="38" t="s">
        <v>11</v>
      </c>
      <c r="P880" s="38" t="s">
        <v>10</v>
      </c>
      <c r="Q880">
        <v>2025</v>
      </c>
      <c r="R880" t="s">
        <v>131</v>
      </c>
      <c r="S880" t="s">
        <v>14</v>
      </c>
      <c r="T880" t="s">
        <v>1086</v>
      </c>
      <c r="U880" t="str">
        <f>IFERROR(_xlfn.XLOOKUP(A880,'2025 EOY'!A:A,'2025 EOY'!B:B),"No")</f>
        <v>No</v>
      </c>
    </row>
    <row r="881" spans="1:25" x14ac:dyDescent="0.35">
      <c r="A881" s="37" t="s">
        <v>127</v>
      </c>
      <c r="B881" s="174">
        <v>45798</v>
      </c>
      <c r="C881" s="10" t="s">
        <v>10</v>
      </c>
      <c r="D881" s="4" t="s">
        <v>128</v>
      </c>
      <c r="E881" s="253">
        <v>-2000</v>
      </c>
      <c r="F881" s="172">
        <v>45900</v>
      </c>
      <c r="G881" s="172">
        <v>45900</v>
      </c>
      <c r="H881" s="15">
        <v>-3.35</v>
      </c>
      <c r="I881" s="192">
        <v>-2.5</v>
      </c>
      <c r="J881" s="9">
        <v>-1700.0000000000002</v>
      </c>
      <c r="K881">
        <v>6700</v>
      </c>
      <c r="L881" s="14" t="s">
        <v>81</v>
      </c>
      <c r="M881" s="8" t="s">
        <v>129</v>
      </c>
      <c r="N881">
        <v>5000</v>
      </c>
      <c r="O881" s="38" t="s">
        <v>11</v>
      </c>
      <c r="P881" s="38" t="s">
        <v>10</v>
      </c>
      <c r="Q881">
        <v>2025</v>
      </c>
      <c r="R881" t="s">
        <v>129</v>
      </c>
      <c r="S881" t="s">
        <v>14</v>
      </c>
      <c r="T881" t="s">
        <v>1087</v>
      </c>
      <c r="U881" t="str">
        <f>IFERROR(_xlfn.XLOOKUP(A881,'2025 EOY'!A:A,'2025 EOY'!B:B),"No")</f>
        <v>No</v>
      </c>
    </row>
    <row r="882" spans="1:25" x14ac:dyDescent="0.35">
      <c r="A882" s="37" t="s">
        <v>1053</v>
      </c>
      <c r="B882" s="12">
        <v>45796</v>
      </c>
      <c r="C882" s="10" t="s">
        <v>22</v>
      </c>
      <c r="D882" s="4" t="s">
        <v>128</v>
      </c>
      <c r="E882" s="259">
        <v>-200</v>
      </c>
      <c r="F882" s="18" t="s">
        <v>1032</v>
      </c>
      <c r="G882" s="172">
        <v>45838</v>
      </c>
      <c r="H882" s="15">
        <v>0.9</v>
      </c>
      <c r="I882" s="191">
        <v>1.81</v>
      </c>
      <c r="J882" s="9">
        <v>-182</v>
      </c>
      <c r="K882">
        <v>-180</v>
      </c>
      <c r="L882" s="14" t="s">
        <v>84</v>
      </c>
      <c r="M882" s="8" t="s">
        <v>131</v>
      </c>
      <c r="N882">
        <v>252</v>
      </c>
      <c r="O882" s="38" t="s">
        <v>11</v>
      </c>
      <c r="P882" s="38" t="s">
        <v>16</v>
      </c>
      <c r="Q882">
        <v>2025</v>
      </c>
      <c r="R882" t="s">
        <v>129</v>
      </c>
      <c r="S882" t="s">
        <v>14</v>
      </c>
      <c r="T882" t="s">
        <v>1088</v>
      </c>
      <c r="U882" t="str">
        <f>IFERROR(_xlfn.XLOOKUP(A882,'2025 EOY'!A:A,'2025 EOY'!B:B),"No")</f>
        <v>No</v>
      </c>
    </row>
    <row r="883" spans="1:25" x14ac:dyDescent="0.35">
      <c r="A883" s="37" t="s">
        <v>1053</v>
      </c>
      <c r="B883" s="12">
        <v>45799</v>
      </c>
      <c r="C883" s="10" t="s">
        <v>22</v>
      </c>
      <c r="D883" s="4" t="s">
        <v>128</v>
      </c>
      <c r="E883" s="259">
        <v>-200</v>
      </c>
      <c r="F883" s="18" t="s">
        <v>1046</v>
      </c>
      <c r="G883" s="172">
        <v>45838</v>
      </c>
      <c r="H883" s="15">
        <v>0.8</v>
      </c>
      <c r="I883" s="191">
        <v>1.526</v>
      </c>
      <c r="J883" s="9">
        <v>-145.19999999999999</v>
      </c>
      <c r="K883">
        <v>-160</v>
      </c>
      <c r="L883" s="14" t="s">
        <v>85</v>
      </c>
      <c r="M883" s="8" t="s">
        <v>131</v>
      </c>
      <c r="N883">
        <v>331.8</v>
      </c>
      <c r="O883" s="38" t="s">
        <v>11</v>
      </c>
      <c r="P883" s="38" t="s">
        <v>16</v>
      </c>
      <c r="Q883">
        <v>2025</v>
      </c>
      <c r="R883" t="s">
        <v>129</v>
      </c>
      <c r="S883" t="s">
        <v>14</v>
      </c>
      <c r="T883" t="s">
        <v>1089</v>
      </c>
      <c r="U883" t="str">
        <f>IFERROR(_xlfn.XLOOKUP(A883,'2025 EOY'!A:A,'2025 EOY'!B:B),"No")</f>
        <v>No</v>
      </c>
    </row>
    <row r="884" spans="1:25" x14ac:dyDescent="0.35">
      <c r="A884" s="37" t="s">
        <v>147</v>
      </c>
      <c r="B884" s="12">
        <v>45796</v>
      </c>
      <c r="C884" s="10" t="s">
        <v>22</v>
      </c>
      <c r="D884" s="4" t="s">
        <v>128</v>
      </c>
      <c r="E884" s="259">
        <v>-200</v>
      </c>
      <c r="F884" s="18" t="s">
        <v>1090</v>
      </c>
      <c r="G884" s="172">
        <v>45838</v>
      </c>
      <c r="H884" s="15">
        <v>0.57999999999999996</v>
      </c>
      <c r="I884" s="191">
        <v>1.8180000000000001</v>
      </c>
      <c r="J884" s="9">
        <v>-247.6</v>
      </c>
      <c r="K884">
        <v>-115.99999999999999</v>
      </c>
      <c r="L884" s="14" t="s">
        <v>87</v>
      </c>
      <c r="M884" s="8" t="s">
        <v>131</v>
      </c>
      <c r="N884">
        <v>78.400000000000006</v>
      </c>
      <c r="O884" s="38" t="s">
        <v>11</v>
      </c>
      <c r="P884" s="38" t="s">
        <v>16</v>
      </c>
      <c r="Q884">
        <v>2025</v>
      </c>
      <c r="R884" t="s">
        <v>129</v>
      </c>
      <c r="S884" t="s">
        <v>14</v>
      </c>
      <c r="T884" t="s">
        <v>1091</v>
      </c>
      <c r="U884" t="str">
        <f>IFERROR(_xlfn.XLOOKUP(A884,'2025 EOY'!A:A,'2025 EOY'!B:B),"No")</f>
        <v>No</v>
      </c>
      <c r="V884" t="s">
        <v>1092</v>
      </c>
      <c r="W884" t="s">
        <v>1093</v>
      </c>
      <c r="X884" t="s">
        <v>1094</v>
      </c>
    </row>
    <row r="885" spans="1:25" x14ac:dyDescent="0.35">
      <c r="A885" s="37" t="s">
        <v>1053</v>
      </c>
      <c r="B885" s="12">
        <v>45798</v>
      </c>
      <c r="C885" s="10" t="s">
        <v>22</v>
      </c>
      <c r="D885" s="4" t="s">
        <v>128</v>
      </c>
      <c r="E885" s="259">
        <v>-100</v>
      </c>
      <c r="F885" s="18" t="s">
        <v>1046</v>
      </c>
      <c r="G885" s="172">
        <v>45838</v>
      </c>
      <c r="H885" s="15">
        <v>0.8</v>
      </c>
      <c r="I885" s="191">
        <v>1.526</v>
      </c>
      <c r="J885" s="9">
        <v>-72.599999999999994</v>
      </c>
      <c r="K885">
        <v>-80</v>
      </c>
      <c r="L885" s="14" t="s">
        <v>85</v>
      </c>
      <c r="M885" s="8" t="s">
        <v>131</v>
      </c>
      <c r="N885">
        <v>331.8</v>
      </c>
      <c r="O885" s="38" t="s">
        <v>11</v>
      </c>
      <c r="P885" s="38" t="s">
        <v>16</v>
      </c>
      <c r="Q885">
        <v>2025</v>
      </c>
      <c r="R885" t="s">
        <v>129</v>
      </c>
      <c r="S885" t="s">
        <v>14</v>
      </c>
      <c r="T885" t="s">
        <v>1095</v>
      </c>
      <c r="U885" t="str">
        <f>IFERROR(_xlfn.XLOOKUP(A885,'2025 EOY'!A:A,'2025 EOY'!B:B),"No")</f>
        <v>No</v>
      </c>
      <c r="V885">
        <v>-634</v>
      </c>
      <c r="Y885">
        <v>-634</v>
      </c>
    </row>
    <row r="886" spans="1:25" x14ac:dyDescent="0.35">
      <c r="A886" t="s">
        <v>1076</v>
      </c>
      <c r="B886" s="174">
        <v>45799</v>
      </c>
      <c r="C886" s="10" t="s">
        <v>15</v>
      </c>
      <c r="D886" s="4" t="s">
        <v>128</v>
      </c>
      <c r="E886" s="253">
        <v>-700</v>
      </c>
      <c r="F886" s="173">
        <v>45838</v>
      </c>
      <c r="G886" s="172">
        <v>45838</v>
      </c>
      <c r="H886" s="15">
        <v>0.7</v>
      </c>
      <c r="I886" s="191">
        <v>1.72</v>
      </c>
      <c r="J886" s="9">
        <v>-714</v>
      </c>
      <c r="K886">
        <v>-489.99999999999994</v>
      </c>
      <c r="L886" s="14" t="s">
        <v>73</v>
      </c>
      <c r="M886" s="8" t="s">
        <v>129</v>
      </c>
      <c r="N886">
        <v>-1204</v>
      </c>
      <c r="O886" s="38" t="s">
        <v>11</v>
      </c>
      <c r="P886" s="38" t="s">
        <v>16</v>
      </c>
      <c r="Q886">
        <v>2025</v>
      </c>
      <c r="R886" t="s">
        <v>129</v>
      </c>
      <c r="S886" t="s">
        <v>14</v>
      </c>
      <c r="T886" t="s">
        <v>1096</v>
      </c>
      <c r="U886" t="str">
        <f>IFERROR(_xlfn.XLOOKUP(A886,'2025 EOY'!A:A,'2025 EOY'!B:B),"No")</f>
        <v>No</v>
      </c>
      <c r="V886">
        <v>1234</v>
      </c>
      <c r="W886">
        <v>-4775</v>
      </c>
      <c r="Y886">
        <v>-3541</v>
      </c>
    </row>
    <row r="887" spans="1:25" x14ac:dyDescent="0.35">
      <c r="A887" t="s">
        <v>1076</v>
      </c>
      <c r="B887" s="174">
        <v>45799</v>
      </c>
      <c r="C887" s="10" t="s">
        <v>15</v>
      </c>
      <c r="D887" s="4" t="s">
        <v>128</v>
      </c>
      <c r="E887" s="253">
        <v>-500</v>
      </c>
      <c r="F887" s="173">
        <v>45869</v>
      </c>
      <c r="G887" s="172">
        <v>45869</v>
      </c>
      <c r="H887" s="15">
        <v>0.56000000000000005</v>
      </c>
      <c r="I887" s="191">
        <v>1.47</v>
      </c>
      <c r="J887" s="9">
        <v>-454.99999999999994</v>
      </c>
      <c r="K887">
        <v>-280</v>
      </c>
      <c r="L887" s="14" t="s">
        <v>75</v>
      </c>
      <c r="M887" s="8" t="s">
        <v>129</v>
      </c>
      <c r="N887">
        <v>-735</v>
      </c>
      <c r="O887" s="38" t="s">
        <v>11</v>
      </c>
      <c r="P887" s="38" t="s">
        <v>16</v>
      </c>
      <c r="Q887">
        <v>2025</v>
      </c>
      <c r="R887" t="s">
        <v>129</v>
      </c>
      <c r="S887" t="s">
        <v>14</v>
      </c>
      <c r="T887" t="s">
        <v>1097</v>
      </c>
      <c r="U887" t="str">
        <f>IFERROR(_xlfn.XLOOKUP(A887,'2025 EOY'!A:A,'2025 EOY'!B:B),"No")</f>
        <v>No</v>
      </c>
    </row>
    <row r="888" spans="1:25" x14ac:dyDescent="0.35">
      <c r="A888" s="37" t="s">
        <v>1053</v>
      </c>
      <c r="B888" s="12">
        <v>45796</v>
      </c>
      <c r="C888" s="10" t="s">
        <v>22</v>
      </c>
      <c r="D888" s="4" t="s">
        <v>268</v>
      </c>
      <c r="E888" s="259">
        <v>140</v>
      </c>
      <c r="F888" s="18" t="s">
        <v>1032</v>
      </c>
      <c r="G888" s="172">
        <v>45838</v>
      </c>
      <c r="H888" s="15">
        <v>1.32</v>
      </c>
      <c r="I888" s="191">
        <v>1.81</v>
      </c>
      <c r="J888" s="9">
        <v>68.599999999999994</v>
      </c>
      <c r="K888">
        <v>184.8</v>
      </c>
      <c r="L888" s="14" t="s">
        <v>84</v>
      </c>
      <c r="M888" s="8" t="s">
        <v>131</v>
      </c>
      <c r="N888">
        <v>305.20000000000005</v>
      </c>
      <c r="O888" s="38" t="s">
        <v>11</v>
      </c>
      <c r="P888" s="38" t="s">
        <v>16</v>
      </c>
      <c r="Q888">
        <v>2025</v>
      </c>
      <c r="R888" t="s">
        <v>131</v>
      </c>
      <c r="S888" t="s">
        <v>14</v>
      </c>
      <c r="T888" t="s">
        <v>1098</v>
      </c>
      <c r="U888" t="str">
        <f>IFERROR(_xlfn.XLOOKUP(A888,'2025 EOY'!A:A,'2025 EOY'!B:B),"No")</f>
        <v>No</v>
      </c>
    </row>
    <row r="889" spans="1:25" x14ac:dyDescent="0.35">
      <c r="A889" s="37" t="s">
        <v>1066</v>
      </c>
      <c r="B889" s="12">
        <v>45796</v>
      </c>
      <c r="C889" s="10" t="s">
        <v>22</v>
      </c>
      <c r="D889" s="4" t="s">
        <v>268</v>
      </c>
      <c r="E889" s="259">
        <v>1121</v>
      </c>
      <c r="F889" s="18" t="s">
        <v>1046</v>
      </c>
      <c r="G889" s="172">
        <v>45838</v>
      </c>
      <c r="H889" s="15">
        <v>1.08</v>
      </c>
      <c r="I889" s="191">
        <v>1.526</v>
      </c>
      <c r="J889" s="9">
        <v>499.96599999999995</v>
      </c>
      <c r="K889">
        <v>1210.68</v>
      </c>
      <c r="L889" s="14" t="s">
        <v>85</v>
      </c>
      <c r="M889" s="8" t="s">
        <v>131</v>
      </c>
      <c r="N889">
        <v>1184.3999999999999</v>
      </c>
      <c r="O889" s="38" t="s">
        <v>11</v>
      </c>
      <c r="P889" s="38" t="s">
        <v>16</v>
      </c>
      <c r="Q889">
        <v>2025</v>
      </c>
      <c r="R889" t="s">
        <v>131</v>
      </c>
      <c r="S889" t="s">
        <v>14</v>
      </c>
      <c r="T889" t="s">
        <v>1099</v>
      </c>
      <c r="U889" t="str">
        <f>IFERROR(_xlfn.XLOOKUP(A889,'2025 EOY'!A:A,'2025 EOY'!B:B),"No")</f>
        <v>No</v>
      </c>
    </row>
    <row r="890" spans="1:25" x14ac:dyDescent="0.35">
      <c r="A890" s="37" t="s">
        <v>147</v>
      </c>
      <c r="B890" s="12">
        <v>45796</v>
      </c>
      <c r="C890" s="10" t="s">
        <v>22</v>
      </c>
      <c r="D890" s="4" t="s">
        <v>268</v>
      </c>
      <c r="E890" s="259">
        <v>846</v>
      </c>
      <c r="F890" s="18" t="s">
        <v>1090</v>
      </c>
      <c r="G890" s="172">
        <v>45838</v>
      </c>
      <c r="H890" s="15">
        <v>0.76</v>
      </c>
      <c r="I890" s="191">
        <v>1.8180000000000001</v>
      </c>
      <c r="J890" s="9">
        <v>895.0680000000001</v>
      </c>
      <c r="K890">
        <v>642.96</v>
      </c>
      <c r="L890" s="14" t="s">
        <v>87</v>
      </c>
      <c r="M890" s="8" t="s">
        <v>131</v>
      </c>
      <c r="N890">
        <v>397.59999999999997</v>
      </c>
      <c r="O890" s="38" t="s">
        <v>11</v>
      </c>
      <c r="P890" s="38" t="s">
        <v>16</v>
      </c>
      <c r="Q890">
        <v>2025</v>
      </c>
      <c r="R890" t="s">
        <v>131</v>
      </c>
      <c r="S890" t="s">
        <v>14</v>
      </c>
      <c r="T890" t="s">
        <v>1100</v>
      </c>
      <c r="U890" t="str">
        <f>IFERROR(_xlfn.XLOOKUP(A890,'2025 EOY'!A:A,'2025 EOY'!B:B),"No")</f>
        <v>No</v>
      </c>
    </row>
    <row r="891" spans="1:25" x14ac:dyDescent="0.35">
      <c r="A891" s="37" t="s">
        <v>1053</v>
      </c>
      <c r="B891" s="12">
        <v>45800</v>
      </c>
      <c r="C891" s="10" t="s">
        <v>22</v>
      </c>
      <c r="D891" s="4" t="s">
        <v>128</v>
      </c>
      <c r="E891" s="267">
        <v>-300</v>
      </c>
      <c r="F891" t="s">
        <v>1032</v>
      </c>
      <c r="G891" s="172">
        <v>45838</v>
      </c>
      <c r="H891" s="15">
        <v>1.08</v>
      </c>
      <c r="I891" s="191">
        <v>1.81</v>
      </c>
      <c r="J891" s="9">
        <v>-219</v>
      </c>
      <c r="K891">
        <v>-324</v>
      </c>
      <c r="L891" s="14" t="s">
        <v>84</v>
      </c>
      <c r="M891" s="8" t="s">
        <v>129</v>
      </c>
      <c r="N891">
        <v>-543</v>
      </c>
      <c r="O891" s="38" t="s">
        <v>11</v>
      </c>
      <c r="P891" s="38" t="s">
        <v>16</v>
      </c>
      <c r="Q891">
        <v>2025</v>
      </c>
      <c r="R891" t="s">
        <v>129</v>
      </c>
      <c r="S891" t="s">
        <v>14</v>
      </c>
      <c r="T891" t="s">
        <v>1101</v>
      </c>
      <c r="U891" t="str">
        <f>IFERROR(_xlfn.XLOOKUP(A891,'2025 EOY'!A:A,'2025 EOY'!B:B),"No")</f>
        <v>No</v>
      </c>
    </row>
    <row r="892" spans="1:25" x14ac:dyDescent="0.35">
      <c r="A892" s="37" t="s">
        <v>1066</v>
      </c>
      <c r="B892" s="12">
        <v>45800</v>
      </c>
      <c r="C892" s="10" t="s">
        <v>22</v>
      </c>
      <c r="D892" s="4" t="s">
        <v>128</v>
      </c>
      <c r="E892" s="268">
        <v>-300</v>
      </c>
      <c r="F892" t="s">
        <v>1046</v>
      </c>
      <c r="G892" s="172">
        <v>45838</v>
      </c>
      <c r="H892" s="15">
        <v>0.95</v>
      </c>
      <c r="I892" s="191">
        <v>1.526</v>
      </c>
      <c r="J892" s="9">
        <v>-172.8</v>
      </c>
      <c r="K892">
        <v>-285</v>
      </c>
      <c r="L892" s="14" t="s">
        <v>85</v>
      </c>
      <c r="M892" s="8" t="s">
        <v>129</v>
      </c>
      <c r="N892">
        <v>-457.8</v>
      </c>
      <c r="O892" s="38" t="s">
        <v>11</v>
      </c>
      <c r="P892" s="38" t="s">
        <v>16</v>
      </c>
      <c r="Q892">
        <v>2025</v>
      </c>
      <c r="R892" t="s">
        <v>129</v>
      </c>
      <c r="S892" t="s">
        <v>14</v>
      </c>
      <c r="T892" t="s">
        <v>1102</v>
      </c>
      <c r="U892" t="str">
        <f>IFERROR(_xlfn.XLOOKUP(A892,'2025 EOY'!A:A,'2025 EOY'!B:B),"No")</f>
        <v>No</v>
      </c>
    </row>
    <row r="893" spans="1:25" x14ac:dyDescent="0.35">
      <c r="A893" t="s">
        <v>1076</v>
      </c>
      <c r="B893" s="174">
        <v>45800</v>
      </c>
      <c r="C893" s="10" t="s">
        <v>15</v>
      </c>
      <c r="D893" s="4" t="s">
        <v>128</v>
      </c>
      <c r="E893" s="253">
        <v>-300</v>
      </c>
      <c r="F893" s="173">
        <v>45838</v>
      </c>
      <c r="G893" s="172">
        <v>45838</v>
      </c>
      <c r="H893" s="15">
        <v>0.84</v>
      </c>
      <c r="I893" s="191">
        <v>1.72</v>
      </c>
      <c r="J893" s="9">
        <v>-264</v>
      </c>
      <c r="K893">
        <v>-252</v>
      </c>
      <c r="L893" s="14" t="s">
        <v>73</v>
      </c>
      <c r="M893" s="8" t="s">
        <v>129</v>
      </c>
      <c r="N893">
        <v>-516</v>
      </c>
      <c r="O893" s="38" t="s">
        <v>11</v>
      </c>
      <c r="P893" s="38" t="s">
        <v>16</v>
      </c>
      <c r="Q893">
        <v>2025</v>
      </c>
      <c r="R893" t="s">
        <v>129</v>
      </c>
      <c r="S893" t="s">
        <v>14</v>
      </c>
      <c r="T893" t="s">
        <v>1103</v>
      </c>
      <c r="U893" t="str">
        <f>IFERROR(_xlfn.XLOOKUP(A893,'2025 EOY'!A:A,'2025 EOY'!B:B),"No")</f>
        <v>No</v>
      </c>
    </row>
    <row r="894" spans="1:25" x14ac:dyDescent="0.35">
      <c r="A894" t="s">
        <v>1076</v>
      </c>
      <c r="B894" s="174">
        <v>45800</v>
      </c>
      <c r="C894" s="10" t="s">
        <v>3</v>
      </c>
      <c r="D894" s="4" t="s">
        <v>128</v>
      </c>
      <c r="E894" s="253">
        <v>-500</v>
      </c>
      <c r="F894" s="172">
        <v>45869</v>
      </c>
      <c r="G894" s="172">
        <v>45900</v>
      </c>
      <c r="H894" s="15">
        <v>0.59</v>
      </c>
      <c r="I894" s="192">
        <v>1.64</v>
      </c>
      <c r="J894" s="9">
        <v>-524.99999999999989</v>
      </c>
      <c r="K894">
        <v>-295</v>
      </c>
      <c r="L894" s="14" t="s">
        <v>76</v>
      </c>
      <c r="M894" s="8" t="s">
        <v>129</v>
      </c>
      <c r="N894">
        <v>-820</v>
      </c>
      <c r="O894" s="38" t="s">
        <v>4</v>
      </c>
      <c r="P894" s="38" t="s">
        <v>3</v>
      </c>
      <c r="Q894">
        <v>2025</v>
      </c>
      <c r="R894" t="s">
        <v>129</v>
      </c>
      <c r="S894" t="s">
        <v>14</v>
      </c>
      <c r="T894" t="s">
        <v>1104</v>
      </c>
      <c r="U894" t="str">
        <f>IFERROR(_xlfn.XLOOKUP(A894,'2025 EOY'!A:A,'2025 EOY'!B:B),"No")</f>
        <v>No</v>
      </c>
    </row>
    <row r="895" spans="1:25" x14ac:dyDescent="0.35">
      <c r="A895" t="s">
        <v>1076</v>
      </c>
      <c r="B895" s="174">
        <v>45800</v>
      </c>
      <c r="C895" s="10" t="s">
        <v>3</v>
      </c>
      <c r="D895" s="4" t="s">
        <v>128</v>
      </c>
      <c r="E895" s="253">
        <v>-500</v>
      </c>
      <c r="F895" s="172">
        <v>45900</v>
      </c>
      <c r="G895" s="172">
        <v>45930</v>
      </c>
      <c r="H895" s="15">
        <v>0.59</v>
      </c>
      <c r="I895" s="192">
        <v>1.25</v>
      </c>
      <c r="J895" s="9">
        <v>-330</v>
      </c>
      <c r="K895">
        <v>-295</v>
      </c>
      <c r="L895" s="14" t="s">
        <v>77</v>
      </c>
      <c r="M895" s="8" t="s">
        <v>129</v>
      </c>
      <c r="N895">
        <v>-625</v>
      </c>
      <c r="O895" s="38" t="s">
        <v>4</v>
      </c>
      <c r="P895" s="38" t="s">
        <v>3</v>
      </c>
      <c r="Q895">
        <v>2025</v>
      </c>
      <c r="R895" t="s">
        <v>129</v>
      </c>
      <c r="S895" t="s">
        <v>14</v>
      </c>
      <c r="T895" t="s">
        <v>1105</v>
      </c>
      <c r="U895" t="str">
        <f>IFERROR(_xlfn.XLOOKUP(A895,'2025 EOY'!A:A,'2025 EOY'!B:B),"No")</f>
        <v>No</v>
      </c>
    </row>
    <row r="896" spans="1:25" x14ac:dyDescent="0.35">
      <c r="A896" s="37" t="s">
        <v>127</v>
      </c>
      <c r="B896" s="174">
        <v>45800</v>
      </c>
      <c r="C896" s="10" t="s">
        <v>10</v>
      </c>
      <c r="D896" s="4" t="s">
        <v>128</v>
      </c>
      <c r="E896" s="253">
        <v>2500</v>
      </c>
      <c r="F896" s="172">
        <v>45869</v>
      </c>
      <c r="G896" s="172">
        <v>45869</v>
      </c>
      <c r="H896" s="15">
        <v>-3.25</v>
      </c>
      <c r="I896" s="192">
        <v>-3.11</v>
      </c>
      <c r="J896" s="9">
        <v>350.00000000000028</v>
      </c>
      <c r="K896">
        <v>-8125</v>
      </c>
      <c r="L896" s="14" t="s">
        <v>75</v>
      </c>
      <c r="M896" s="8" t="s">
        <v>131</v>
      </c>
      <c r="N896">
        <v>-7775</v>
      </c>
      <c r="O896" s="38" t="s">
        <v>11</v>
      </c>
      <c r="P896" s="38" t="s">
        <v>10</v>
      </c>
      <c r="Q896">
        <v>2025</v>
      </c>
      <c r="R896" t="s">
        <v>131</v>
      </c>
      <c r="S896" t="s">
        <v>14</v>
      </c>
      <c r="T896" t="s">
        <v>1106</v>
      </c>
      <c r="U896" t="str">
        <f>IFERROR(_xlfn.XLOOKUP(A896,'2025 EOY'!A:A,'2025 EOY'!B:B),"No")</f>
        <v>No</v>
      </c>
    </row>
    <row r="897" spans="1:21" x14ac:dyDescent="0.35">
      <c r="A897" t="s">
        <v>1076</v>
      </c>
      <c r="B897" s="174">
        <v>45804</v>
      </c>
      <c r="C897" s="10" t="s">
        <v>15</v>
      </c>
      <c r="D897" s="4" t="s">
        <v>128</v>
      </c>
      <c r="E897" s="253">
        <v>-500</v>
      </c>
      <c r="F897" s="173">
        <v>45838</v>
      </c>
      <c r="G897" s="172">
        <v>45838</v>
      </c>
      <c r="H897" s="15">
        <v>0.95</v>
      </c>
      <c r="I897" s="191">
        <v>1.72</v>
      </c>
      <c r="J897" s="9">
        <v>-385</v>
      </c>
      <c r="K897">
        <v>-475</v>
      </c>
      <c r="L897" s="14" t="s">
        <v>73</v>
      </c>
      <c r="M897" s="8" t="s">
        <v>129</v>
      </c>
      <c r="N897">
        <v>-860</v>
      </c>
      <c r="O897" s="38" t="s">
        <v>11</v>
      </c>
      <c r="P897" s="38" t="s">
        <v>16</v>
      </c>
      <c r="Q897">
        <v>2025</v>
      </c>
      <c r="R897" t="s">
        <v>129</v>
      </c>
      <c r="S897" t="s">
        <v>14</v>
      </c>
      <c r="T897" t="s">
        <v>1107</v>
      </c>
      <c r="U897" t="str">
        <f>IFERROR(_xlfn.XLOOKUP(A897,'2025 EOY'!A:A,'2025 EOY'!B:B),"No")</f>
        <v>No</v>
      </c>
    </row>
    <row r="898" spans="1:21" x14ac:dyDescent="0.35">
      <c r="A898" t="s">
        <v>1076</v>
      </c>
      <c r="B898" s="174">
        <v>45804</v>
      </c>
      <c r="C898" s="10" t="s">
        <v>15</v>
      </c>
      <c r="D898" s="4" t="s">
        <v>128</v>
      </c>
      <c r="E898" s="253">
        <v>-750</v>
      </c>
      <c r="F898" s="173">
        <v>45869</v>
      </c>
      <c r="G898" s="172">
        <v>45869</v>
      </c>
      <c r="H898" s="15">
        <v>0.67500000000000004</v>
      </c>
      <c r="I898" s="191">
        <v>1.47</v>
      </c>
      <c r="J898" s="9">
        <v>-596.25</v>
      </c>
      <c r="K898">
        <v>-506.25000000000006</v>
      </c>
      <c r="L898" s="14" t="s">
        <v>75</v>
      </c>
      <c r="M898" s="8" t="s">
        <v>129</v>
      </c>
      <c r="N898">
        <v>-1102.5</v>
      </c>
      <c r="O898" s="38" t="s">
        <v>11</v>
      </c>
      <c r="P898" s="38" t="s">
        <v>16</v>
      </c>
      <c r="Q898">
        <v>2025</v>
      </c>
      <c r="R898" t="s">
        <v>129</v>
      </c>
      <c r="S898" t="s">
        <v>14</v>
      </c>
      <c r="T898" t="s">
        <v>1108</v>
      </c>
      <c r="U898" t="str">
        <f>IFERROR(_xlfn.XLOOKUP(A898,'2025 EOY'!A:A,'2025 EOY'!B:B),"No")</f>
        <v>No</v>
      </c>
    </row>
    <row r="899" spans="1:21" x14ac:dyDescent="0.35">
      <c r="A899" s="37" t="s">
        <v>1066</v>
      </c>
      <c r="B899" s="12">
        <v>45804</v>
      </c>
      <c r="C899" s="10" t="s">
        <v>22</v>
      </c>
      <c r="D899" s="4" t="s">
        <v>128</v>
      </c>
      <c r="E899" s="259">
        <v>-200</v>
      </c>
      <c r="F899" s="18" t="s">
        <v>1046</v>
      </c>
      <c r="G899" s="172">
        <v>45838</v>
      </c>
      <c r="H899" s="15">
        <v>0.93</v>
      </c>
      <c r="I899" s="191">
        <v>1.526</v>
      </c>
      <c r="J899" s="9">
        <v>-119.19999999999999</v>
      </c>
      <c r="K899">
        <v>-186</v>
      </c>
      <c r="L899" s="14" t="s">
        <v>85</v>
      </c>
      <c r="M899" s="8" t="s">
        <v>129</v>
      </c>
      <c r="N899">
        <v>-305.2</v>
      </c>
      <c r="O899" s="38" t="s">
        <v>11</v>
      </c>
      <c r="P899" s="38" t="s">
        <v>16</v>
      </c>
      <c r="Q899">
        <v>2025</v>
      </c>
      <c r="R899" t="s">
        <v>129</v>
      </c>
      <c r="S899" t="s">
        <v>14</v>
      </c>
      <c r="T899" t="s">
        <v>1109</v>
      </c>
      <c r="U899" t="str">
        <f>IFERROR(_xlfn.XLOOKUP(A899,'2025 EOY'!A:A,'2025 EOY'!B:B),"No")</f>
        <v>No</v>
      </c>
    </row>
    <row r="900" spans="1:21" x14ac:dyDescent="0.35">
      <c r="A900" s="37" t="s">
        <v>147</v>
      </c>
      <c r="B900" s="12">
        <v>45804</v>
      </c>
      <c r="C900" s="10" t="s">
        <v>22</v>
      </c>
      <c r="D900" s="4" t="s">
        <v>128</v>
      </c>
      <c r="E900" s="259">
        <v>-100</v>
      </c>
      <c r="F900" s="18" t="s">
        <v>1090</v>
      </c>
      <c r="G900" s="172">
        <v>45838</v>
      </c>
      <c r="H900" s="15">
        <v>0.71</v>
      </c>
      <c r="I900" s="191">
        <v>1.8180000000000001</v>
      </c>
      <c r="J900" s="9">
        <v>-110.80000000000001</v>
      </c>
      <c r="K900">
        <v>-71</v>
      </c>
      <c r="L900" s="14" t="s">
        <v>87</v>
      </c>
      <c r="M900" s="8" t="s">
        <v>129</v>
      </c>
      <c r="N900">
        <v>-181.8</v>
      </c>
      <c r="O900" s="38" t="s">
        <v>11</v>
      </c>
      <c r="P900" s="38" t="s">
        <v>16</v>
      </c>
      <c r="Q900">
        <v>2025</v>
      </c>
      <c r="R900" t="s">
        <v>129</v>
      </c>
      <c r="S900" t="s">
        <v>14</v>
      </c>
      <c r="T900" t="s">
        <v>1110</v>
      </c>
      <c r="U900" t="str">
        <f>IFERROR(_xlfn.XLOOKUP(A900,'2025 EOY'!A:A,'2025 EOY'!B:B),"No")</f>
        <v>No</v>
      </c>
    </row>
    <row r="901" spans="1:21" x14ac:dyDescent="0.35">
      <c r="A901" s="37" t="s">
        <v>127</v>
      </c>
      <c r="B901" s="174">
        <v>45804</v>
      </c>
      <c r="C901" s="10" t="s">
        <v>10</v>
      </c>
      <c r="D901" s="4" t="s">
        <v>128</v>
      </c>
      <c r="E901" s="269">
        <v>1853</v>
      </c>
      <c r="F901" s="172">
        <v>45869</v>
      </c>
      <c r="G901" s="172">
        <v>45869</v>
      </c>
      <c r="H901" s="15">
        <v>-3.2</v>
      </c>
      <c r="I901" s="192">
        <v>-3.11</v>
      </c>
      <c r="J901" s="9">
        <v>166.77000000000055</v>
      </c>
      <c r="K901">
        <v>-5929.6</v>
      </c>
      <c r="L901" s="14" t="s">
        <v>75</v>
      </c>
      <c r="M901" s="8" t="s">
        <v>131</v>
      </c>
      <c r="N901">
        <v>-5762.83</v>
      </c>
      <c r="O901" s="38" t="s">
        <v>11</v>
      </c>
      <c r="P901" s="38" t="s">
        <v>10</v>
      </c>
      <c r="Q901">
        <v>2025</v>
      </c>
      <c r="R901" t="s">
        <v>131</v>
      </c>
      <c r="S901" t="s">
        <v>14</v>
      </c>
      <c r="T901" t="s">
        <v>1111</v>
      </c>
      <c r="U901" t="str">
        <f>IFERROR(_xlfn.XLOOKUP(A901,'2025 EOY'!A:A,'2025 EOY'!B:B),"No")</f>
        <v>No</v>
      </c>
    </row>
    <row r="902" spans="1:21" x14ac:dyDescent="0.35">
      <c r="A902" s="37" t="s">
        <v>127</v>
      </c>
      <c r="B902" s="174">
        <v>45804</v>
      </c>
      <c r="C902" s="10" t="s">
        <v>7</v>
      </c>
      <c r="D902" s="4" t="s">
        <v>128</v>
      </c>
      <c r="E902" s="269"/>
      <c r="F902" s="172">
        <v>45900</v>
      </c>
      <c r="G902" s="172">
        <v>45930</v>
      </c>
      <c r="H902" s="15">
        <v>0.54</v>
      </c>
      <c r="I902" s="192">
        <v>0.87</v>
      </c>
      <c r="J902" s="9">
        <v>0</v>
      </c>
      <c r="K902">
        <v>0</v>
      </c>
      <c r="L902" s="14" t="s">
        <v>77</v>
      </c>
      <c r="M902" s="8" t="s">
        <v>131</v>
      </c>
      <c r="N902">
        <v>0</v>
      </c>
      <c r="O902" s="38" t="s">
        <v>4</v>
      </c>
      <c r="P902" s="38" t="s">
        <v>7</v>
      </c>
      <c r="Q902">
        <v>2025</v>
      </c>
      <c r="R902" t="s">
        <v>129</v>
      </c>
      <c r="S902" t="s">
        <v>14</v>
      </c>
      <c r="T902" t="s">
        <v>1112</v>
      </c>
      <c r="U902" t="str">
        <f>IFERROR(_xlfn.XLOOKUP(A902,'2025 EOY'!A:A,'2025 EOY'!B:B),"No")</f>
        <v>No</v>
      </c>
    </row>
    <row r="903" spans="1:21" x14ac:dyDescent="0.35">
      <c r="A903" s="37" t="s">
        <v>147</v>
      </c>
      <c r="B903" s="12">
        <v>45804</v>
      </c>
      <c r="C903" s="10" t="s">
        <v>22</v>
      </c>
      <c r="D903" s="4" t="s">
        <v>128</v>
      </c>
      <c r="E903" s="259">
        <v>1500</v>
      </c>
      <c r="F903" s="18" t="s">
        <v>148</v>
      </c>
      <c r="G903" s="172">
        <v>45838</v>
      </c>
      <c r="H903" s="15">
        <v>0.47199999999999998</v>
      </c>
      <c r="I903" s="191">
        <v>0.47200000000000009</v>
      </c>
      <c r="J903" s="9">
        <v>1.6653345369377348E-13</v>
      </c>
      <c r="K903">
        <v>708</v>
      </c>
      <c r="L903" s="14" t="s">
        <v>41</v>
      </c>
      <c r="M903" s="8" t="s">
        <v>131</v>
      </c>
      <c r="N903">
        <v>708.00000000000011</v>
      </c>
      <c r="O903" s="38" t="s">
        <v>11</v>
      </c>
      <c r="P903" s="38" t="s">
        <v>16</v>
      </c>
      <c r="Q903">
        <v>2025</v>
      </c>
      <c r="R903" t="s">
        <v>131</v>
      </c>
      <c r="S903" t="s">
        <v>14</v>
      </c>
      <c r="T903" t="s">
        <v>1113</v>
      </c>
      <c r="U903" t="str">
        <f>IFERROR(_xlfn.XLOOKUP(A903,'2025 EOY'!A:A,'2025 EOY'!B:B),"No")</f>
        <v>No</v>
      </c>
    </row>
    <row r="904" spans="1:21" x14ac:dyDescent="0.35">
      <c r="A904" t="s">
        <v>1114</v>
      </c>
      <c r="B904" s="174">
        <v>45805</v>
      </c>
      <c r="C904" s="187" t="s">
        <v>19</v>
      </c>
      <c r="D904" s="10" t="s">
        <v>268</v>
      </c>
      <c r="E904" s="259">
        <v>700</v>
      </c>
      <c r="F904" s="172">
        <v>45838</v>
      </c>
      <c r="G904" s="172">
        <v>45838</v>
      </c>
      <c r="H904" s="15">
        <v>-1.1700000000000002</v>
      </c>
      <c r="I904" s="201">
        <v>-1.2</v>
      </c>
      <c r="J904" s="9">
        <v>-20.999999999999865</v>
      </c>
      <c r="K904">
        <v>-819.00000000000011</v>
      </c>
      <c r="L904" s="14" t="s">
        <v>73</v>
      </c>
      <c r="M904" s="8" t="s">
        <v>131</v>
      </c>
      <c r="N904">
        <v>-840</v>
      </c>
      <c r="O904" s="38" t="s">
        <v>19</v>
      </c>
      <c r="P904" s="38" t="s">
        <v>19</v>
      </c>
      <c r="Q904">
        <v>2025</v>
      </c>
      <c r="R904" t="s">
        <v>131</v>
      </c>
      <c r="S904" t="s">
        <v>96</v>
      </c>
      <c r="T904" t="s">
        <v>1115</v>
      </c>
      <c r="U904" t="str">
        <f>IFERROR(_xlfn.XLOOKUP(A904,'2025 EOY'!A:A,'2025 EOY'!B:B),"No")</f>
        <v>No</v>
      </c>
    </row>
    <row r="905" spans="1:21" x14ac:dyDescent="0.35">
      <c r="A905" t="s">
        <v>1114</v>
      </c>
      <c r="B905" s="174">
        <v>45805</v>
      </c>
      <c r="C905" s="10" t="s">
        <v>3</v>
      </c>
      <c r="D905" s="4" t="s">
        <v>268</v>
      </c>
      <c r="E905" s="253">
        <v>-700</v>
      </c>
      <c r="F905" s="172">
        <v>45869</v>
      </c>
      <c r="G905" s="172">
        <v>45900</v>
      </c>
      <c r="H905" s="15">
        <v>0.64</v>
      </c>
      <c r="I905" s="192">
        <v>1.64</v>
      </c>
      <c r="J905" s="9">
        <v>-699.99999999999989</v>
      </c>
      <c r="K905">
        <v>-448</v>
      </c>
      <c r="L905" s="14" t="s">
        <v>76</v>
      </c>
      <c r="M905" s="8" t="s">
        <v>129</v>
      </c>
      <c r="N905">
        <v>-1148</v>
      </c>
      <c r="O905" s="38" t="s">
        <v>4</v>
      </c>
      <c r="P905" s="38" t="s">
        <v>3</v>
      </c>
      <c r="Q905">
        <v>2025</v>
      </c>
      <c r="R905" t="s">
        <v>129</v>
      </c>
      <c r="S905" t="s">
        <v>14</v>
      </c>
      <c r="T905" t="s">
        <v>1116</v>
      </c>
      <c r="U905" t="str">
        <f>IFERROR(_xlfn.XLOOKUP(A905,'2025 EOY'!A:A,'2025 EOY'!B:B),"No")</f>
        <v>No</v>
      </c>
    </row>
    <row r="906" spans="1:21" x14ac:dyDescent="0.35">
      <c r="A906" t="s">
        <v>1114</v>
      </c>
      <c r="B906" s="174">
        <v>45805</v>
      </c>
      <c r="C906" s="10" t="s">
        <v>10</v>
      </c>
      <c r="D906" s="4" t="s">
        <v>268</v>
      </c>
      <c r="E906" s="253">
        <v>-700</v>
      </c>
      <c r="F906" s="172">
        <v>45900</v>
      </c>
      <c r="G906" s="172">
        <v>45900</v>
      </c>
      <c r="H906" s="15">
        <v>-3.12</v>
      </c>
      <c r="I906" s="192">
        <v>-2.5</v>
      </c>
      <c r="J906" s="9">
        <v>-434.00000000000006</v>
      </c>
      <c r="K906">
        <v>2184</v>
      </c>
      <c r="L906" s="14" t="s">
        <v>81</v>
      </c>
      <c r="M906" s="8" t="s">
        <v>129</v>
      </c>
      <c r="N906">
        <v>1750</v>
      </c>
      <c r="O906" s="38" t="s">
        <v>11</v>
      </c>
      <c r="P906" s="38" t="s">
        <v>10</v>
      </c>
      <c r="Q906">
        <v>2025</v>
      </c>
      <c r="R906" t="s">
        <v>129</v>
      </c>
      <c r="S906" t="s">
        <v>14</v>
      </c>
      <c r="T906" t="s">
        <v>1117</v>
      </c>
      <c r="U906" t="str">
        <f>IFERROR(_xlfn.XLOOKUP(A906,'2025 EOY'!A:A,'2025 EOY'!B:B),"No")</f>
        <v>No</v>
      </c>
    </row>
    <row r="907" spans="1:21" x14ac:dyDescent="0.35">
      <c r="A907" t="s">
        <v>127</v>
      </c>
      <c r="B907" s="174">
        <v>45805</v>
      </c>
      <c r="C907" s="10" t="s">
        <v>3</v>
      </c>
      <c r="D907" s="4" t="s">
        <v>128</v>
      </c>
      <c r="E907" s="253">
        <v>-1000</v>
      </c>
      <c r="F907" s="172">
        <v>45869</v>
      </c>
      <c r="G907" s="172">
        <v>45900</v>
      </c>
      <c r="H907" s="15">
        <v>0.59</v>
      </c>
      <c r="I907" s="192">
        <v>1.64</v>
      </c>
      <c r="J907" s="9">
        <v>-1049.9999999999998</v>
      </c>
      <c r="K907">
        <v>-590</v>
      </c>
      <c r="L907" s="14" t="s">
        <v>76</v>
      </c>
      <c r="M907" s="8" t="s">
        <v>129</v>
      </c>
      <c r="N907">
        <v>-1640</v>
      </c>
      <c r="O907" s="38" t="s">
        <v>4</v>
      </c>
      <c r="P907" s="38" t="s">
        <v>3</v>
      </c>
      <c r="Q907">
        <v>2025</v>
      </c>
      <c r="R907" t="s">
        <v>129</v>
      </c>
      <c r="S907" t="s">
        <v>14</v>
      </c>
      <c r="T907" t="s">
        <v>1118</v>
      </c>
      <c r="U907" t="str">
        <f>IFERROR(_xlfn.XLOOKUP(A907,'2025 EOY'!A:A,'2025 EOY'!B:B),"No")</f>
        <v>No</v>
      </c>
    </row>
    <row r="908" spans="1:21" x14ac:dyDescent="0.35">
      <c r="A908" t="s">
        <v>127</v>
      </c>
      <c r="B908" s="174">
        <v>45805</v>
      </c>
      <c r="C908" s="10" t="s">
        <v>3</v>
      </c>
      <c r="D908" s="4" t="s">
        <v>128</v>
      </c>
      <c r="E908" s="253">
        <v>-1000</v>
      </c>
      <c r="F908" s="172">
        <v>45900</v>
      </c>
      <c r="G908" s="172">
        <v>45930</v>
      </c>
      <c r="H908" s="15">
        <v>0.59</v>
      </c>
      <c r="I908" s="192">
        <v>1.25</v>
      </c>
      <c r="J908" s="9">
        <v>-660</v>
      </c>
      <c r="K908">
        <v>-590</v>
      </c>
      <c r="L908" s="14" t="s">
        <v>77</v>
      </c>
      <c r="M908" s="8" t="s">
        <v>129</v>
      </c>
      <c r="N908">
        <v>-1250</v>
      </c>
      <c r="O908" s="38" t="s">
        <v>4</v>
      </c>
      <c r="P908" s="38" t="s">
        <v>3</v>
      </c>
      <c r="Q908">
        <v>2025</v>
      </c>
      <c r="R908" t="s">
        <v>129</v>
      </c>
      <c r="S908" t="s">
        <v>14</v>
      </c>
      <c r="T908" t="s">
        <v>1119</v>
      </c>
      <c r="U908" t="str">
        <f>IFERROR(_xlfn.XLOOKUP(A908,'2025 EOY'!A:A,'2025 EOY'!B:B),"No")</f>
        <v>No</v>
      </c>
    </row>
    <row r="909" spans="1:21" x14ac:dyDescent="0.35">
      <c r="A909" t="s">
        <v>127</v>
      </c>
      <c r="B909" s="174">
        <v>45805</v>
      </c>
      <c r="C909" s="10" t="s">
        <v>15</v>
      </c>
      <c r="D909" s="4" t="s">
        <v>128</v>
      </c>
      <c r="E909" s="253">
        <v>-625</v>
      </c>
      <c r="F909" s="173">
        <v>45869</v>
      </c>
      <c r="G909" s="172">
        <v>45869</v>
      </c>
      <c r="H909" s="15">
        <v>0.68</v>
      </c>
      <c r="I909" s="191">
        <v>1.47</v>
      </c>
      <c r="J909" s="9">
        <v>-493.74999999999994</v>
      </c>
      <c r="K909">
        <v>-425.00000000000006</v>
      </c>
      <c r="L909" s="14" t="s">
        <v>75</v>
      </c>
      <c r="M909" s="8" t="s">
        <v>129</v>
      </c>
      <c r="N909">
        <v>-918.75</v>
      </c>
      <c r="O909" s="38" t="s">
        <v>11</v>
      </c>
      <c r="P909" s="38" t="s">
        <v>16</v>
      </c>
      <c r="Q909">
        <v>2025</v>
      </c>
      <c r="R909" t="s">
        <v>129</v>
      </c>
      <c r="S909" t="s">
        <v>14</v>
      </c>
      <c r="T909" t="s">
        <v>1120</v>
      </c>
      <c r="U909" t="str">
        <f>IFERROR(_xlfn.XLOOKUP(A909,'2025 EOY'!A:A,'2025 EOY'!B:B),"No")</f>
        <v>No</v>
      </c>
    </row>
    <row r="910" spans="1:21" x14ac:dyDescent="0.35">
      <c r="A910" t="s">
        <v>127</v>
      </c>
      <c r="B910" s="174">
        <v>45805</v>
      </c>
      <c r="C910" s="10" t="s">
        <v>22</v>
      </c>
      <c r="D910" s="4" t="s">
        <v>128</v>
      </c>
      <c r="E910" s="267">
        <v>-200</v>
      </c>
      <c r="F910" t="s">
        <v>1046</v>
      </c>
      <c r="G910" s="172">
        <v>45838</v>
      </c>
      <c r="H910" s="15">
        <v>1</v>
      </c>
      <c r="I910" s="191">
        <v>1.526</v>
      </c>
      <c r="J910" s="9">
        <v>-105.2</v>
      </c>
      <c r="K910">
        <v>-200</v>
      </c>
      <c r="L910" s="14" t="s">
        <v>85</v>
      </c>
      <c r="M910" s="8" t="s">
        <v>129</v>
      </c>
      <c r="N910">
        <v>-305.2</v>
      </c>
      <c r="O910" s="38" t="s">
        <v>11</v>
      </c>
      <c r="P910" s="38" t="s">
        <v>16</v>
      </c>
      <c r="Q910">
        <v>2025</v>
      </c>
      <c r="R910" t="s">
        <v>129</v>
      </c>
      <c r="S910" t="s">
        <v>14</v>
      </c>
      <c r="T910" t="s">
        <v>1121</v>
      </c>
      <c r="U910" t="str">
        <f>IFERROR(_xlfn.XLOOKUP(A910,'2025 EOY'!A:A,'2025 EOY'!B:B),"No")</f>
        <v>No</v>
      </c>
    </row>
    <row r="911" spans="1:21" x14ac:dyDescent="0.35">
      <c r="A911" t="s">
        <v>127</v>
      </c>
      <c r="B911" s="174">
        <v>45805</v>
      </c>
      <c r="C911" s="10" t="s">
        <v>22</v>
      </c>
      <c r="D911" s="4" t="s">
        <v>128</v>
      </c>
      <c r="E911" s="267">
        <v>-100</v>
      </c>
      <c r="F911" t="s">
        <v>1046</v>
      </c>
      <c r="G911" s="172">
        <v>45838</v>
      </c>
      <c r="H911" s="15">
        <v>0.98</v>
      </c>
      <c r="I911" s="191">
        <v>1.526</v>
      </c>
      <c r="J911" s="9">
        <v>-54.6</v>
      </c>
      <c r="K911">
        <v>-98</v>
      </c>
      <c r="L911" s="14" t="s">
        <v>85</v>
      </c>
      <c r="M911" s="8" t="s">
        <v>129</v>
      </c>
      <c r="N911">
        <v>-152.6</v>
      </c>
      <c r="O911" s="38" t="s">
        <v>11</v>
      </c>
      <c r="P911" s="38" t="s">
        <v>16</v>
      </c>
      <c r="Q911">
        <v>2025</v>
      </c>
      <c r="R911" t="s">
        <v>129</v>
      </c>
      <c r="S911" t="s">
        <v>14</v>
      </c>
      <c r="T911" t="s">
        <v>1122</v>
      </c>
      <c r="U911" t="str">
        <f>IFERROR(_xlfn.XLOOKUP(A911,'2025 EOY'!A:A,'2025 EOY'!B:B),"No")</f>
        <v>No</v>
      </c>
    </row>
    <row r="912" spans="1:21" x14ac:dyDescent="0.35">
      <c r="A912" t="s">
        <v>127</v>
      </c>
      <c r="B912" s="174">
        <v>45805</v>
      </c>
      <c r="C912" s="10" t="s">
        <v>22</v>
      </c>
      <c r="D912" s="4" t="s">
        <v>128</v>
      </c>
      <c r="E912" s="267">
        <v>-100</v>
      </c>
      <c r="F912" t="s">
        <v>1090</v>
      </c>
      <c r="G912" s="172">
        <v>45838</v>
      </c>
      <c r="H912" s="15">
        <v>0.7</v>
      </c>
      <c r="I912" s="191">
        <v>1.8180000000000001</v>
      </c>
      <c r="J912" s="9">
        <v>-111.80000000000001</v>
      </c>
      <c r="K912">
        <v>-70</v>
      </c>
      <c r="L912" s="14" t="s">
        <v>87</v>
      </c>
      <c r="M912" s="8" t="s">
        <v>129</v>
      </c>
      <c r="N912">
        <v>-181.8</v>
      </c>
      <c r="O912" s="38" t="s">
        <v>11</v>
      </c>
      <c r="P912" s="38" t="s">
        <v>16</v>
      </c>
      <c r="Q912">
        <v>2025</v>
      </c>
      <c r="R912" t="s">
        <v>129</v>
      </c>
      <c r="S912" t="s">
        <v>14</v>
      </c>
      <c r="T912" t="s">
        <v>1123</v>
      </c>
      <c r="U912" t="str">
        <f>IFERROR(_xlfn.XLOOKUP(A912,'2025 EOY'!A:A,'2025 EOY'!B:B),"No")</f>
        <v>No</v>
      </c>
    </row>
    <row r="913" spans="1:21" x14ac:dyDescent="0.35">
      <c r="A913" t="s">
        <v>127</v>
      </c>
      <c r="B913" s="174">
        <v>45805</v>
      </c>
      <c r="C913" s="10" t="s">
        <v>3</v>
      </c>
      <c r="D913" s="4" t="s">
        <v>128</v>
      </c>
      <c r="E913" s="253">
        <v>-1000</v>
      </c>
      <c r="F913" s="172">
        <v>45869</v>
      </c>
      <c r="G913" s="172">
        <v>45900</v>
      </c>
      <c r="H913" s="15">
        <v>0.63500000000000001</v>
      </c>
      <c r="I913" s="192">
        <v>1.64</v>
      </c>
      <c r="J913" s="9">
        <v>-1004.9999999999999</v>
      </c>
      <c r="K913">
        <v>-635</v>
      </c>
      <c r="L913" s="14" t="s">
        <v>76</v>
      </c>
      <c r="M913" s="8" t="s">
        <v>129</v>
      </c>
      <c r="N913">
        <v>-1640</v>
      </c>
      <c r="O913" s="38" t="s">
        <v>4</v>
      </c>
      <c r="P913" s="38" t="s">
        <v>3</v>
      </c>
      <c r="Q913">
        <v>2025</v>
      </c>
      <c r="R913" t="s">
        <v>129</v>
      </c>
      <c r="S913" t="s">
        <v>14</v>
      </c>
      <c r="T913" t="s">
        <v>1124</v>
      </c>
      <c r="U913" t="str">
        <f>IFERROR(_xlfn.XLOOKUP(A913,'2025 EOY'!A:A,'2025 EOY'!B:B),"No")</f>
        <v>No</v>
      </c>
    </row>
    <row r="914" spans="1:21" ht="15" thickBot="1" x14ac:dyDescent="0.4">
      <c r="A914" t="s">
        <v>127</v>
      </c>
      <c r="B914" s="174">
        <v>45805</v>
      </c>
      <c r="C914" s="10" t="s">
        <v>3</v>
      </c>
      <c r="D914" s="4" t="s">
        <v>128</v>
      </c>
      <c r="E914" s="253">
        <v>-1000</v>
      </c>
      <c r="F914" s="172">
        <v>45900</v>
      </c>
      <c r="G914" s="172">
        <v>45930</v>
      </c>
      <c r="H914" s="15">
        <v>0.63500000000000001</v>
      </c>
      <c r="I914" s="192">
        <v>1.25</v>
      </c>
      <c r="J914" s="9">
        <v>-615</v>
      </c>
      <c r="K914">
        <v>-635</v>
      </c>
      <c r="L914" s="14" t="s">
        <v>77</v>
      </c>
      <c r="M914" s="8" t="s">
        <v>129</v>
      </c>
      <c r="N914">
        <v>-1250</v>
      </c>
      <c r="O914" s="38" t="s">
        <v>4</v>
      </c>
      <c r="P914" s="38" t="s">
        <v>3</v>
      </c>
      <c r="Q914">
        <v>2025</v>
      </c>
      <c r="R914" t="s">
        <v>129</v>
      </c>
      <c r="S914" t="s">
        <v>14</v>
      </c>
      <c r="T914" t="s">
        <v>1125</v>
      </c>
      <c r="U914" t="str">
        <f>IFERROR(_xlfn.XLOOKUP(A914,'2025 EOY'!A:A,'2025 EOY'!B:B),"No")</f>
        <v>No</v>
      </c>
    </row>
    <row r="915" spans="1:21" ht="15" thickBot="1" x14ac:dyDescent="0.4">
      <c r="A915" s="145" t="s">
        <v>127</v>
      </c>
      <c r="B915" s="188">
        <v>45805</v>
      </c>
      <c r="C915" s="146" t="s">
        <v>7</v>
      </c>
      <c r="D915" s="147" t="s">
        <v>128</v>
      </c>
      <c r="E915" s="270">
        <v>0</v>
      </c>
      <c r="F915" s="148">
        <v>45900</v>
      </c>
      <c r="G915" s="148">
        <v>45930</v>
      </c>
      <c r="H915" s="216">
        <v>0</v>
      </c>
      <c r="I915" s="192">
        <v>0.87</v>
      </c>
      <c r="J915" s="151">
        <v>624</v>
      </c>
      <c r="K915" s="145">
        <v>0</v>
      </c>
      <c r="L915" s="14" t="s">
        <v>77</v>
      </c>
      <c r="M915" s="149" t="s">
        <v>131</v>
      </c>
      <c r="N915" s="145">
        <v>0</v>
      </c>
      <c r="O915" s="150" t="s">
        <v>4</v>
      </c>
      <c r="P915" s="144" t="s">
        <v>7</v>
      </c>
      <c r="Q915">
        <v>2025</v>
      </c>
      <c r="R915" t="s">
        <v>129</v>
      </c>
      <c r="S915" t="s">
        <v>14</v>
      </c>
      <c r="T915" t="s">
        <v>1126</v>
      </c>
      <c r="U915" t="str">
        <f>IFERROR(_xlfn.XLOOKUP(A915,'2025 EOY'!A:A,'2025 EOY'!B:B),"No")</f>
        <v>No</v>
      </c>
    </row>
    <row r="916" spans="1:21" x14ac:dyDescent="0.35">
      <c r="A916" s="37" t="s">
        <v>127</v>
      </c>
      <c r="B916" s="174">
        <v>45807</v>
      </c>
      <c r="C916" s="10" t="s">
        <v>10</v>
      </c>
      <c r="D916" s="4" t="s">
        <v>128</v>
      </c>
      <c r="E916" s="269">
        <v>1870</v>
      </c>
      <c r="F916" s="172">
        <v>45869</v>
      </c>
      <c r="G916" s="172">
        <v>45869</v>
      </c>
      <c r="H916" s="15">
        <v>-3.36</v>
      </c>
      <c r="I916" s="192">
        <v>-3.11</v>
      </c>
      <c r="J916" s="9">
        <v>467.5</v>
      </c>
      <c r="K916">
        <v>-6283.2</v>
      </c>
      <c r="L916" s="14" t="s">
        <v>75</v>
      </c>
      <c r="M916" s="8" t="s">
        <v>131</v>
      </c>
      <c r="N916">
        <v>-5815.7</v>
      </c>
      <c r="O916" s="38" t="s">
        <v>11</v>
      </c>
      <c r="P916" s="38" t="s">
        <v>10</v>
      </c>
      <c r="Q916">
        <v>2025</v>
      </c>
      <c r="R916" t="s">
        <v>131</v>
      </c>
      <c r="S916" t="s">
        <v>14</v>
      </c>
      <c r="T916" t="s">
        <v>1127</v>
      </c>
      <c r="U916" t="str">
        <f>IFERROR(_xlfn.XLOOKUP(A916,'2025 EOY'!A:A,'2025 EOY'!B:B),"No")</f>
        <v>No</v>
      </c>
    </row>
    <row r="917" spans="1:21" x14ac:dyDescent="0.35">
      <c r="A917" s="37" t="s">
        <v>127</v>
      </c>
      <c r="B917" s="174">
        <v>45807</v>
      </c>
      <c r="C917" s="10" t="s">
        <v>10</v>
      </c>
      <c r="D917" s="4" t="s">
        <v>128</v>
      </c>
      <c r="E917" s="269">
        <v>-1853</v>
      </c>
      <c r="F917" s="172">
        <v>45900</v>
      </c>
      <c r="G917" s="172">
        <v>45900</v>
      </c>
      <c r="H917" s="15">
        <v>-2.99</v>
      </c>
      <c r="I917" s="192">
        <v>-2.5</v>
      </c>
      <c r="J917" s="9">
        <v>-907.97000000000037</v>
      </c>
      <c r="K917">
        <v>5540.47</v>
      </c>
      <c r="L917" s="14" t="s">
        <v>81</v>
      </c>
      <c r="M917" s="8" t="s">
        <v>129</v>
      </c>
      <c r="N917">
        <v>4632.5</v>
      </c>
      <c r="O917" s="38" t="s">
        <v>11</v>
      </c>
      <c r="P917" s="38" t="s">
        <v>10</v>
      </c>
      <c r="Q917">
        <v>2025</v>
      </c>
      <c r="R917" t="s">
        <v>129</v>
      </c>
      <c r="S917" t="s">
        <v>14</v>
      </c>
      <c r="T917" t="s">
        <v>1128</v>
      </c>
      <c r="U917" t="str">
        <f>IFERROR(_xlfn.XLOOKUP(A917,'2025 EOY'!A:A,'2025 EOY'!B:B),"No")</f>
        <v>No</v>
      </c>
    </row>
    <row r="918" spans="1:21" x14ac:dyDescent="0.35">
      <c r="A918" t="s">
        <v>127</v>
      </c>
      <c r="B918" s="174">
        <v>45807</v>
      </c>
      <c r="C918" s="10" t="s">
        <v>3</v>
      </c>
      <c r="D918" s="4" t="s">
        <v>128</v>
      </c>
      <c r="F918" s="172">
        <v>45900</v>
      </c>
      <c r="G918" s="172">
        <v>45930</v>
      </c>
      <c r="H918" s="15">
        <v>0.79</v>
      </c>
      <c r="I918" s="192">
        <v>1.25</v>
      </c>
      <c r="J918" s="9">
        <v>0</v>
      </c>
      <c r="K918">
        <v>0</v>
      </c>
      <c r="L918" s="14" t="s">
        <v>77</v>
      </c>
      <c r="M918" s="8" t="s">
        <v>131</v>
      </c>
      <c r="N918">
        <v>0</v>
      </c>
      <c r="O918" s="38" t="s">
        <v>4</v>
      </c>
      <c r="P918" s="38" t="s">
        <v>3</v>
      </c>
      <c r="Q918">
        <v>2025</v>
      </c>
      <c r="R918" t="s">
        <v>129</v>
      </c>
      <c r="S918" t="s">
        <v>14</v>
      </c>
      <c r="T918" t="s">
        <v>1129</v>
      </c>
      <c r="U918" t="str">
        <f>IFERROR(_xlfn.XLOOKUP(A918,'2025 EOY'!A:A,'2025 EOY'!B:B),"No")</f>
        <v>No</v>
      </c>
    </row>
    <row r="919" spans="1:21" x14ac:dyDescent="0.35">
      <c r="A919" t="s">
        <v>127</v>
      </c>
      <c r="B919" s="174">
        <v>45807</v>
      </c>
      <c r="C919" s="10" t="s">
        <v>7</v>
      </c>
      <c r="D919" s="4" t="s">
        <v>128</v>
      </c>
      <c r="E919" s="269">
        <v>338</v>
      </c>
      <c r="F919" s="172">
        <v>45900</v>
      </c>
      <c r="G919" s="172">
        <v>45930</v>
      </c>
      <c r="H919" s="15">
        <v>0.73</v>
      </c>
      <c r="I919" s="192">
        <v>0.87</v>
      </c>
      <c r="J919" s="9">
        <v>47.320000000000007</v>
      </c>
      <c r="K919">
        <v>246.73999999999998</v>
      </c>
      <c r="L919" s="14" t="s">
        <v>77</v>
      </c>
      <c r="M919" s="8" t="s">
        <v>131</v>
      </c>
      <c r="N919">
        <v>294.06</v>
      </c>
      <c r="O919" s="38" t="s">
        <v>4</v>
      </c>
      <c r="P919" s="38" t="s">
        <v>7</v>
      </c>
      <c r="Q919">
        <v>2025</v>
      </c>
      <c r="R919" t="s">
        <v>131</v>
      </c>
      <c r="S919" t="s">
        <v>14</v>
      </c>
      <c r="T919" t="s">
        <v>1130</v>
      </c>
      <c r="U919" t="str">
        <f>IFERROR(_xlfn.XLOOKUP(A919,'2025 EOY'!A:A,'2025 EOY'!B:B),"No")</f>
        <v>No</v>
      </c>
    </row>
    <row r="920" spans="1:21" x14ac:dyDescent="0.35">
      <c r="A920" s="37" t="s">
        <v>127</v>
      </c>
      <c r="B920" s="174">
        <v>45807</v>
      </c>
      <c r="C920" s="10" t="s">
        <v>10</v>
      </c>
      <c r="D920" s="4" t="s">
        <v>128</v>
      </c>
      <c r="E920" s="271">
        <v>500</v>
      </c>
      <c r="F920" s="172">
        <v>45930</v>
      </c>
      <c r="G920" s="172">
        <v>45930</v>
      </c>
      <c r="H920" s="15">
        <v>-3.1</v>
      </c>
      <c r="I920" s="192">
        <v>-3.27</v>
      </c>
      <c r="J920" s="9">
        <v>-84.999999999999972</v>
      </c>
      <c r="K920">
        <v>-1550</v>
      </c>
      <c r="L920" s="14" t="s">
        <v>86</v>
      </c>
      <c r="M920" s="8" t="s">
        <v>131</v>
      </c>
      <c r="N920">
        <v>-1635</v>
      </c>
      <c r="O920" s="38" t="s">
        <v>11</v>
      </c>
      <c r="P920" s="38" t="s">
        <v>10</v>
      </c>
      <c r="Q920">
        <v>2025</v>
      </c>
      <c r="R920" t="s">
        <v>131</v>
      </c>
      <c r="S920" t="s">
        <v>14</v>
      </c>
      <c r="T920" t="s">
        <v>1131</v>
      </c>
      <c r="U920" t="str">
        <f>IFERROR(_xlfn.XLOOKUP(A920,'2025 EOY'!A:A,'2025 EOY'!B:B),"No")</f>
        <v>No</v>
      </c>
    </row>
    <row r="921" spans="1:21" x14ac:dyDescent="0.35">
      <c r="A921" t="s">
        <v>127</v>
      </c>
      <c r="B921" s="174">
        <v>45810</v>
      </c>
      <c r="C921" s="10" t="s">
        <v>3</v>
      </c>
      <c r="D921" s="4" t="s">
        <v>128</v>
      </c>
      <c r="E921" s="253">
        <v>500</v>
      </c>
      <c r="F921" s="172">
        <v>45869</v>
      </c>
      <c r="G921" s="172">
        <v>45900</v>
      </c>
      <c r="H921" s="15">
        <v>1.0249999999999999</v>
      </c>
      <c r="I921" s="192">
        <v>1.64</v>
      </c>
      <c r="J921" s="9">
        <v>307.5</v>
      </c>
      <c r="K921">
        <v>512.5</v>
      </c>
      <c r="L921" s="14" t="s">
        <v>76</v>
      </c>
      <c r="M921" s="8" t="s">
        <v>131</v>
      </c>
      <c r="N921">
        <v>820</v>
      </c>
      <c r="O921" s="38" t="s">
        <v>4</v>
      </c>
      <c r="P921" s="38" t="s">
        <v>3</v>
      </c>
      <c r="Q921">
        <v>2025</v>
      </c>
      <c r="R921" t="s">
        <v>131</v>
      </c>
      <c r="S921" t="s">
        <v>14</v>
      </c>
      <c r="T921" t="s">
        <v>1132</v>
      </c>
      <c r="U921" t="str">
        <f>IFERROR(_xlfn.XLOOKUP(A921,'2025 EOY'!A:A,'2025 EOY'!B:B),"No")</f>
        <v>No</v>
      </c>
    </row>
    <row r="922" spans="1:21" x14ac:dyDescent="0.35">
      <c r="A922" t="s">
        <v>127</v>
      </c>
      <c r="B922" s="174">
        <v>45810</v>
      </c>
      <c r="C922" s="10" t="s">
        <v>3</v>
      </c>
      <c r="D922" s="4" t="s">
        <v>128</v>
      </c>
      <c r="E922" s="253">
        <v>500</v>
      </c>
      <c r="F922" s="172">
        <v>45900</v>
      </c>
      <c r="G922" s="172">
        <v>45930</v>
      </c>
      <c r="H922" s="15">
        <v>1.03</v>
      </c>
      <c r="I922" s="192">
        <v>1.25</v>
      </c>
      <c r="J922" s="9">
        <v>109.99999999999999</v>
      </c>
      <c r="K922">
        <v>515</v>
      </c>
      <c r="L922" s="14" t="s">
        <v>77</v>
      </c>
      <c r="M922" s="8" t="s">
        <v>131</v>
      </c>
      <c r="N922">
        <v>625</v>
      </c>
      <c r="O922" s="38" t="s">
        <v>4</v>
      </c>
      <c r="P922" s="38" t="s">
        <v>3</v>
      </c>
      <c r="Q922">
        <v>2025</v>
      </c>
      <c r="R922" t="s">
        <v>131</v>
      </c>
      <c r="S922" t="s">
        <v>14</v>
      </c>
      <c r="T922" t="s">
        <v>1133</v>
      </c>
      <c r="U922" t="str">
        <f>IFERROR(_xlfn.XLOOKUP(A922,'2025 EOY'!A:A,'2025 EOY'!B:B),"No")</f>
        <v>No</v>
      </c>
    </row>
    <row r="923" spans="1:21" x14ac:dyDescent="0.35">
      <c r="A923" t="s">
        <v>127</v>
      </c>
      <c r="B923" s="174">
        <v>45810</v>
      </c>
      <c r="C923" s="10" t="s">
        <v>3</v>
      </c>
      <c r="D923" s="4" t="s">
        <v>128</v>
      </c>
      <c r="E923" s="253">
        <v>400</v>
      </c>
      <c r="F923" s="172">
        <v>45869</v>
      </c>
      <c r="G923" s="172">
        <v>45900</v>
      </c>
      <c r="H923" s="15">
        <v>0.95</v>
      </c>
      <c r="I923" s="192">
        <v>1.64</v>
      </c>
      <c r="J923" s="9">
        <v>276</v>
      </c>
      <c r="K923">
        <v>380</v>
      </c>
      <c r="L923" s="14" t="s">
        <v>76</v>
      </c>
      <c r="M923" s="8" t="s">
        <v>131</v>
      </c>
      <c r="N923">
        <v>656</v>
      </c>
      <c r="O923" s="38" t="s">
        <v>4</v>
      </c>
      <c r="P923" s="38" t="s">
        <v>3</v>
      </c>
      <c r="Q923">
        <v>2025</v>
      </c>
      <c r="R923" t="s">
        <v>131</v>
      </c>
      <c r="S923" t="s">
        <v>14</v>
      </c>
      <c r="T923" t="s">
        <v>1134</v>
      </c>
      <c r="U923" t="str">
        <f>IFERROR(_xlfn.XLOOKUP(A923,'2025 EOY'!A:A,'2025 EOY'!B:B),"No")</f>
        <v>No</v>
      </c>
    </row>
    <row r="924" spans="1:21" x14ac:dyDescent="0.35">
      <c r="A924" t="s">
        <v>127</v>
      </c>
      <c r="B924" s="174">
        <v>45810</v>
      </c>
      <c r="C924" s="10" t="s">
        <v>3</v>
      </c>
      <c r="D924" s="4" t="s">
        <v>128</v>
      </c>
      <c r="E924" s="253">
        <v>400</v>
      </c>
      <c r="F924" s="172">
        <v>45900</v>
      </c>
      <c r="G924" s="172">
        <v>45930</v>
      </c>
      <c r="H924" s="15">
        <v>0.95</v>
      </c>
      <c r="I924" s="192">
        <v>1.25</v>
      </c>
      <c r="J924" s="9">
        <v>120.00000000000001</v>
      </c>
      <c r="K924">
        <v>380</v>
      </c>
      <c r="L924" s="14" t="s">
        <v>77</v>
      </c>
      <c r="M924" s="8" t="s">
        <v>131</v>
      </c>
      <c r="N924">
        <v>500</v>
      </c>
      <c r="O924" s="38" t="s">
        <v>4</v>
      </c>
      <c r="P924" s="38" t="s">
        <v>3</v>
      </c>
      <c r="Q924">
        <v>2025</v>
      </c>
      <c r="R924" t="s">
        <v>131</v>
      </c>
      <c r="S924" t="s">
        <v>14</v>
      </c>
      <c r="T924" t="s">
        <v>1135</v>
      </c>
      <c r="U924" t="str">
        <f>IFERROR(_xlfn.XLOOKUP(A924,'2025 EOY'!A:A,'2025 EOY'!B:B),"No")</f>
        <v>No</v>
      </c>
    </row>
    <row r="925" spans="1:21" x14ac:dyDescent="0.35">
      <c r="A925" t="s">
        <v>127</v>
      </c>
      <c r="B925" s="174">
        <v>45810</v>
      </c>
      <c r="C925" s="10" t="s">
        <v>3</v>
      </c>
      <c r="D925" s="4" t="s">
        <v>128</v>
      </c>
      <c r="E925" s="253">
        <v>400</v>
      </c>
      <c r="F925" s="172">
        <v>45869</v>
      </c>
      <c r="G925" s="172">
        <v>45900</v>
      </c>
      <c r="H925" s="15">
        <v>0.93</v>
      </c>
      <c r="I925" s="192">
        <v>1.64</v>
      </c>
      <c r="J925" s="9">
        <v>283.99999999999994</v>
      </c>
      <c r="K925">
        <v>372</v>
      </c>
      <c r="L925" s="14" t="s">
        <v>76</v>
      </c>
      <c r="M925" s="8" t="s">
        <v>131</v>
      </c>
      <c r="N925">
        <v>656</v>
      </c>
      <c r="O925" s="38" t="s">
        <v>4</v>
      </c>
      <c r="P925" s="38" t="s">
        <v>3</v>
      </c>
      <c r="Q925">
        <v>2025</v>
      </c>
      <c r="R925" t="s">
        <v>131</v>
      </c>
      <c r="S925" t="s">
        <v>14</v>
      </c>
      <c r="T925" t="s">
        <v>1136</v>
      </c>
      <c r="U925" t="str">
        <f>IFERROR(_xlfn.XLOOKUP(A925,'2025 EOY'!A:A,'2025 EOY'!B:B),"No")</f>
        <v>No</v>
      </c>
    </row>
    <row r="926" spans="1:21" x14ac:dyDescent="0.35">
      <c r="A926" t="s">
        <v>127</v>
      </c>
      <c r="B926" s="174">
        <v>45810</v>
      </c>
      <c r="C926" s="10" t="s">
        <v>3</v>
      </c>
      <c r="D926" s="4" t="s">
        <v>128</v>
      </c>
      <c r="E926" s="253">
        <v>400</v>
      </c>
      <c r="F926" s="172">
        <v>45900</v>
      </c>
      <c r="G926" s="172">
        <v>45930</v>
      </c>
      <c r="H926" s="15">
        <v>0.93</v>
      </c>
      <c r="I926" s="192">
        <v>1.25</v>
      </c>
      <c r="J926" s="9">
        <v>127.99999999999999</v>
      </c>
      <c r="K926">
        <v>372</v>
      </c>
      <c r="L926" s="14" t="s">
        <v>77</v>
      </c>
      <c r="M926" s="8" t="s">
        <v>131</v>
      </c>
      <c r="N926">
        <v>500</v>
      </c>
      <c r="O926" s="38" t="s">
        <v>4</v>
      </c>
      <c r="P926" s="38" t="s">
        <v>3</v>
      </c>
      <c r="Q926">
        <v>2025</v>
      </c>
      <c r="R926" t="s">
        <v>131</v>
      </c>
      <c r="S926" t="s">
        <v>14</v>
      </c>
      <c r="T926" t="s">
        <v>1137</v>
      </c>
      <c r="U926" t="str">
        <f>IFERROR(_xlfn.XLOOKUP(A926,'2025 EOY'!A:A,'2025 EOY'!B:B),"No")</f>
        <v>No</v>
      </c>
    </row>
    <row r="927" spans="1:21" x14ac:dyDescent="0.35">
      <c r="A927" t="s">
        <v>127</v>
      </c>
      <c r="B927" s="174">
        <v>45810</v>
      </c>
      <c r="C927" s="10" t="s">
        <v>3</v>
      </c>
      <c r="D927" s="4" t="s">
        <v>128</v>
      </c>
      <c r="E927" s="253">
        <v>400</v>
      </c>
      <c r="F927" s="172">
        <v>45869</v>
      </c>
      <c r="G927" s="172">
        <v>45900</v>
      </c>
      <c r="H927" s="15">
        <v>0.91</v>
      </c>
      <c r="I927" s="192">
        <v>1.64</v>
      </c>
      <c r="J927" s="9">
        <v>291.99999999999994</v>
      </c>
      <c r="K927">
        <v>364</v>
      </c>
      <c r="L927" s="14" t="s">
        <v>76</v>
      </c>
      <c r="M927" s="8" t="s">
        <v>131</v>
      </c>
      <c r="N927">
        <v>656</v>
      </c>
      <c r="O927" s="38" t="s">
        <v>4</v>
      </c>
      <c r="P927" s="38" t="s">
        <v>3</v>
      </c>
      <c r="Q927">
        <v>2025</v>
      </c>
      <c r="R927" t="s">
        <v>131</v>
      </c>
      <c r="S927" t="s">
        <v>14</v>
      </c>
      <c r="T927" t="s">
        <v>1138</v>
      </c>
      <c r="U927" t="str">
        <f>IFERROR(_xlfn.XLOOKUP(A927,'2025 EOY'!A:A,'2025 EOY'!B:B),"No")</f>
        <v>No</v>
      </c>
    </row>
    <row r="928" spans="1:21" x14ac:dyDescent="0.35">
      <c r="A928" t="s">
        <v>127</v>
      </c>
      <c r="B928" s="174">
        <v>45810</v>
      </c>
      <c r="C928" s="10" t="s">
        <v>3</v>
      </c>
      <c r="D928" s="4" t="s">
        <v>128</v>
      </c>
      <c r="E928" s="253">
        <v>400</v>
      </c>
      <c r="F928" s="172">
        <v>45900</v>
      </c>
      <c r="G928" s="172">
        <v>45930</v>
      </c>
      <c r="H928" s="15">
        <v>0.91</v>
      </c>
      <c r="I928" s="192">
        <v>1.25</v>
      </c>
      <c r="J928" s="9">
        <v>136</v>
      </c>
      <c r="K928">
        <v>364</v>
      </c>
      <c r="L928" s="14" t="s">
        <v>77</v>
      </c>
      <c r="M928" s="8" t="s">
        <v>131</v>
      </c>
      <c r="N928">
        <v>500</v>
      </c>
      <c r="O928" s="38" t="s">
        <v>4</v>
      </c>
      <c r="P928" s="38" t="s">
        <v>3</v>
      </c>
      <c r="Q928">
        <v>2025</v>
      </c>
      <c r="R928" t="s">
        <v>131</v>
      </c>
      <c r="S928" t="s">
        <v>14</v>
      </c>
      <c r="T928" t="s">
        <v>1139</v>
      </c>
      <c r="U928" t="str">
        <f>IFERROR(_xlfn.XLOOKUP(A928,'2025 EOY'!A:A,'2025 EOY'!B:B),"No")</f>
        <v>No</v>
      </c>
    </row>
    <row r="929" spans="1:21" x14ac:dyDescent="0.35">
      <c r="A929" t="s">
        <v>127</v>
      </c>
      <c r="B929" s="174">
        <v>45804</v>
      </c>
      <c r="C929" s="10" t="s">
        <v>15</v>
      </c>
      <c r="D929" s="4" t="s">
        <v>128</v>
      </c>
      <c r="E929" s="253">
        <v>5404</v>
      </c>
      <c r="F929" s="173">
        <v>45808</v>
      </c>
      <c r="G929" s="172">
        <v>45808</v>
      </c>
      <c r="H929" s="15">
        <v>0.14121300000000001</v>
      </c>
      <c r="I929" s="191">
        <v>0.14121300000000001</v>
      </c>
      <c r="J929" s="9">
        <v>0</v>
      </c>
      <c r="K929">
        <v>763.11505199999999</v>
      </c>
      <c r="L929" s="14" t="s">
        <v>65</v>
      </c>
      <c r="M929" s="8" t="s">
        <v>131</v>
      </c>
      <c r="N929">
        <v>763.11505199999999</v>
      </c>
      <c r="O929" s="38" t="s">
        <v>11</v>
      </c>
      <c r="P929" s="38" t="s">
        <v>16</v>
      </c>
      <c r="Q929">
        <v>2025</v>
      </c>
      <c r="R929" t="s">
        <v>131</v>
      </c>
      <c r="S929" t="s">
        <v>14</v>
      </c>
      <c r="T929" t="s">
        <v>1140</v>
      </c>
      <c r="U929" t="str">
        <f>IFERROR(_xlfn.XLOOKUP(A929,'2025 EOY'!A:A,'2025 EOY'!B:B),"No")</f>
        <v>No</v>
      </c>
    </row>
    <row r="930" spans="1:21" x14ac:dyDescent="0.35">
      <c r="A930" s="37" t="s">
        <v>1025</v>
      </c>
      <c r="B930" s="12">
        <v>45810</v>
      </c>
      <c r="C930" s="10" t="s">
        <v>22</v>
      </c>
      <c r="D930" s="4" t="s">
        <v>128</v>
      </c>
      <c r="E930" s="253">
        <v>-420</v>
      </c>
      <c r="F930" s="173" t="s">
        <v>1030</v>
      </c>
      <c r="G930" s="172">
        <v>45808</v>
      </c>
      <c r="H930" s="15">
        <v>0.48875000000000002</v>
      </c>
      <c r="I930" s="191">
        <v>0.48875000000000002</v>
      </c>
      <c r="J930" s="9">
        <v>0</v>
      </c>
      <c r="K930">
        <v>-205.27500000000001</v>
      </c>
      <c r="L930" s="14" t="s">
        <v>83</v>
      </c>
      <c r="M930" s="8" t="s">
        <v>129</v>
      </c>
      <c r="N930">
        <v>-205.27500000000001</v>
      </c>
      <c r="O930" s="38" t="s">
        <v>11</v>
      </c>
      <c r="P930" s="38" t="s">
        <v>16</v>
      </c>
      <c r="Q930">
        <v>2025</v>
      </c>
      <c r="R930" t="s">
        <v>129</v>
      </c>
      <c r="S930" t="s">
        <v>14</v>
      </c>
      <c r="T930" t="s">
        <v>1141</v>
      </c>
      <c r="U930" t="str">
        <f>IFERROR(_xlfn.XLOOKUP(A930,'2025 EOY'!A:A,'2025 EOY'!B:B),"No")</f>
        <v>No</v>
      </c>
    </row>
    <row r="931" spans="1:21" x14ac:dyDescent="0.35">
      <c r="A931" t="s">
        <v>127</v>
      </c>
      <c r="B931" s="174">
        <v>45811</v>
      </c>
      <c r="C931" s="10" t="s">
        <v>3</v>
      </c>
      <c r="D931" s="4" t="s">
        <v>128</v>
      </c>
      <c r="E931" s="253">
        <v>350</v>
      </c>
      <c r="F931" s="172">
        <v>45869</v>
      </c>
      <c r="G931" s="172">
        <v>45900</v>
      </c>
      <c r="H931" s="15">
        <v>0.9</v>
      </c>
      <c r="I931" s="192">
        <v>1.64</v>
      </c>
      <c r="J931" s="9">
        <v>258.99999999999994</v>
      </c>
      <c r="K931">
        <v>315</v>
      </c>
      <c r="L931" s="14" t="s">
        <v>76</v>
      </c>
      <c r="M931" s="8" t="s">
        <v>131</v>
      </c>
      <c r="N931">
        <v>574</v>
      </c>
      <c r="O931" s="38" t="s">
        <v>4</v>
      </c>
      <c r="P931" s="38" t="s">
        <v>3</v>
      </c>
      <c r="Q931">
        <v>2025</v>
      </c>
      <c r="R931" t="s">
        <v>131</v>
      </c>
      <c r="S931" t="s">
        <v>14</v>
      </c>
      <c r="T931" t="s">
        <v>1142</v>
      </c>
      <c r="U931" t="str">
        <f>IFERROR(_xlfn.XLOOKUP(A931,'2025 EOY'!A:A,'2025 EOY'!B:B),"No")</f>
        <v>No</v>
      </c>
    </row>
    <row r="932" spans="1:21" x14ac:dyDescent="0.35">
      <c r="A932" t="s">
        <v>127</v>
      </c>
      <c r="B932" s="174">
        <v>45811</v>
      </c>
      <c r="C932" s="10" t="s">
        <v>3</v>
      </c>
      <c r="D932" s="4" t="s">
        <v>128</v>
      </c>
      <c r="E932" s="253">
        <v>350</v>
      </c>
      <c r="F932" s="172">
        <v>45900</v>
      </c>
      <c r="G932" s="172">
        <v>45930</v>
      </c>
      <c r="H932" s="15">
        <v>0.9</v>
      </c>
      <c r="I932" s="192">
        <v>1.25</v>
      </c>
      <c r="J932" s="9">
        <v>122.49999999999999</v>
      </c>
      <c r="K932">
        <v>315</v>
      </c>
      <c r="L932" s="14" t="s">
        <v>77</v>
      </c>
      <c r="M932" s="8" t="s">
        <v>131</v>
      </c>
      <c r="N932">
        <v>437.5</v>
      </c>
      <c r="O932" s="38" t="s">
        <v>4</v>
      </c>
      <c r="P932" s="38" t="s">
        <v>3</v>
      </c>
      <c r="Q932">
        <v>2025</v>
      </c>
      <c r="R932" t="s">
        <v>131</v>
      </c>
      <c r="S932" t="s">
        <v>14</v>
      </c>
      <c r="T932" t="s">
        <v>1143</v>
      </c>
      <c r="U932" t="str">
        <f>IFERROR(_xlfn.XLOOKUP(A932,'2025 EOY'!A:A,'2025 EOY'!B:B),"No")</f>
        <v>No</v>
      </c>
    </row>
    <row r="933" spans="1:21" x14ac:dyDescent="0.35">
      <c r="A933" t="s">
        <v>127</v>
      </c>
      <c r="B933" s="174">
        <v>45811</v>
      </c>
      <c r="C933" s="10" t="s">
        <v>3</v>
      </c>
      <c r="D933" s="4" t="s">
        <v>128</v>
      </c>
      <c r="E933" s="253">
        <v>350</v>
      </c>
      <c r="F933" s="172">
        <v>45869</v>
      </c>
      <c r="G933" s="172">
        <v>45900</v>
      </c>
      <c r="H933" s="15">
        <v>0.89</v>
      </c>
      <c r="I933" s="192">
        <v>1.64</v>
      </c>
      <c r="J933" s="9">
        <v>262.49999999999994</v>
      </c>
      <c r="K933">
        <v>311.5</v>
      </c>
      <c r="L933" s="14" t="s">
        <v>76</v>
      </c>
      <c r="M933" s="8" t="s">
        <v>131</v>
      </c>
      <c r="N933">
        <v>574</v>
      </c>
      <c r="O933" s="38" t="s">
        <v>4</v>
      </c>
      <c r="P933" s="38" t="s">
        <v>3</v>
      </c>
      <c r="Q933">
        <v>2025</v>
      </c>
      <c r="R933" t="s">
        <v>131</v>
      </c>
      <c r="S933" t="s">
        <v>14</v>
      </c>
      <c r="T933" t="s">
        <v>1144</v>
      </c>
      <c r="U933" t="str">
        <f>IFERROR(_xlfn.XLOOKUP(A933,'2025 EOY'!A:A,'2025 EOY'!B:B),"No")</f>
        <v>No</v>
      </c>
    </row>
    <row r="934" spans="1:21" x14ac:dyDescent="0.35">
      <c r="A934" t="s">
        <v>127</v>
      </c>
      <c r="B934" s="174">
        <v>45811</v>
      </c>
      <c r="C934" s="10" t="s">
        <v>3</v>
      </c>
      <c r="D934" s="4" t="s">
        <v>128</v>
      </c>
      <c r="E934" s="253">
        <v>350</v>
      </c>
      <c r="F934" s="172">
        <v>45900</v>
      </c>
      <c r="G934" s="172">
        <v>45930</v>
      </c>
      <c r="H934" s="15">
        <v>0.89</v>
      </c>
      <c r="I934" s="192">
        <v>1.25</v>
      </c>
      <c r="J934" s="9">
        <v>126</v>
      </c>
      <c r="K934">
        <v>311.5</v>
      </c>
      <c r="L934" s="14" t="s">
        <v>77</v>
      </c>
      <c r="M934" s="8" t="s">
        <v>131</v>
      </c>
      <c r="N934">
        <v>437.5</v>
      </c>
      <c r="O934" s="38" t="s">
        <v>4</v>
      </c>
      <c r="P934" s="38" t="s">
        <v>3</v>
      </c>
      <c r="Q934">
        <v>2025</v>
      </c>
      <c r="R934" t="s">
        <v>131</v>
      </c>
      <c r="S934" t="s">
        <v>14</v>
      </c>
      <c r="T934" t="s">
        <v>1145</v>
      </c>
      <c r="U934" t="str">
        <f>IFERROR(_xlfn.XLOOKUP(A934,'2025 EOY'!A:A,'2025 EOY'!B:B),"No")</f>
        <v>No</v>
      </c>
    </row>
    <row r="935" spans="1:21" x14ac:dyDescent="0.35">
      <c r="A935" t="s">
        <v>127</v>
      </c>
      <c r="B935" s="174">
        <v>45811</v>
      </c>
      <c r="C935" s="10" t="s">
        <v>3</v>
      </c>
      <c r="D935" s="4" t="s">
        <v>128</v>
      </c>
      <c r="E935" s="253">
        <v>350</v>
      </c>
      <c r="F935" s="172">
        <v>45869</v>
      </c>
      <c r="G935" s="172">
        <v>45900</v>
      </c>
      <c r="H935" s="15">
        <v>0.88</v>
      </c>
      <c r="I935" s="192">
        <v>1.64</v>
      </c>
      <c r="J935" s="9">
        <v>265.99999999999994</v>
      </c>
      <c r="K935">
        <v>308</v>
      </c>
      <c r="L935" s="14" t="s">
        <v>76</v>
      </c>
      <c r="M935" s="8" t="s">
        <v>131</v>
      </c>
      <c r="N935">
        <v>574</v>
      </c>
      <c r="O935" s="38" t="s">
        <v>4</v>
      </c>
      <c r="P935" s="38" t="s">
        <v>3</v>
      </c>
      <c r="Q935">
        <v>2025</v>
      </c>
      <c r="R935" t="s">
        <v>131</v>
      </c>
      <c r="S935" t="s">
        <v>14</v>
      </c>
      <c r="T935" t="s">
        <v>1146</v>
      </c>
      <c r="U935" t="str">
        <f>IFERROR(_xlfn.XLOOKUP(A935,'2025 EOY'!A:A,'2025 EOY'!B:B),"No")</f>
        <v>No</v>
      </c>
    </row>
    <row r="936" spans="1:21" x14ac:dyDescent="0.35">
      <c r="A936" t="s">
        <v>127</v>
      </c>
      <c r="B936" s="174">
        <v>45811</v>
      </c>
      <c r="C936" s="10" t="s">
        <v>3</v>
      </c>
      <c r="D936" s="4" t="s">
        <v>128</v>
      </c>
      <c r="E936" s="253">
        <v>350</v>
      </c>
      <c r="F936" s="172">
        <v>45900</v>
      </c>
      <c r="G936" s="172">
        <v>45930</v>
      </c>
      <c r="H936" s="15">
        <v>0.88</v>
      </c>
      <c r="I936" s="192">
        <v>1.25</v>
      </c>
      <c r="J936" s="9">
        <v>129.5</v>
      </c>
      <c r="K936">
        <v>308</v>
      </c>
      <c r="L936" s="14" t="s">
        <v>77</v>
      </c>
      <c r="M936" s="8" t="s">
        <v>131</v>
      </c>
      <c r="N936">
        <v>437.5</v>
      </c>
      <c r="O936" s="38" t="s">
        <v>4</v>
      </c>
      <c r="P936" s="38" t="s">
        <v>3</v>
      </c>
      <c r="Q936">
        <v>2025</v>
      </c>
      <c r="R936" t="s">
        <v>131</v>
      </c>
      <c r="S936" t="s">
        <v>14</v>
      </c>
      <c r="T936" t="s">
        <v>1147</v>
      </c>
      <c r="U936" t="str">
        <f>IFERROR(_xlfn.XLOOKUP(A936,'2025 EOY'!A:A,'2025 EOY'!B:B),"No")</f>
        <v>No</v>
      </c>
    </row>
    <row r="937" spans="1:21" x14ac:dyDescent="0.35">
      <c r="A937" t="s">
        <v>127</v>
      </c>
      <c r="B937" s="174">
        <v>45811</v>
      </c>
      <c r="C937" s="10" t="s">
        <v>3</v>
      </c>
      <c r="D937" s="4" t="s">
        <v>128</v>
      </c>
      <c r="E937" s="253">
        <v>350</v>
      </c>
      <c r="F937" s="172">
        <v>45869</v>
      </c>
      <c r="G937" s="172">
        <v>45900</v>
      </c>
      <c r="H937" s="15">
        <v>0.87</v>
      </c>
      <c r="I937" s="192">
        <v>1.64</v>
      </c>
      <c r="J937" s="9">
        <v>269.49999999999994</v>
      </c>
      <c r="K937">
        <v>304.5</v>
      </c>
      <c r="L937" s="14" t="s">
        <v>76</v>
      </c>
      <c r="M937" s="8" t="s">
        <v>131</v>
      </c>
      <c r="N937">
        <v>574</v>
      </c>
      <c r="O937" s="38" t="s">
        <v>4</v>
      </c>
      <c r="P937" s="38" t="s">
        <v>3</v>
      </c>
      <c r="Q937">
        <v>2025</v>
      </c>
      <c r="R937" t="s">
        <v>131</v>
      </c>
      <c r="S937" t="s">
        <v>14</v>
      </c>
      <c r="T937" t="s">
        <v>1148</v>
      </c>
      <c r="U937" t="str">
        <f>IFERROR(_xlfn.XLOOKUP(A937,'2025 EOY'!A:A,'2025 EOY'!B:B),"No")</f>
        <v>No</v>
      </c>
    </row>
    <row r="938" spans="1:21" x14ac:dyDescent="0.35">
      <c r="A938" t="s">
        <v>127</v>
      </c>
      <c r="B938" s="174">
        <v>45811</v>
      </c>
      <c r="C938" s="10" t="s">
        <v>3</v>
      </c>
      <c r="D938" s="4" t="s">
        <v>128</v>
      </c>
      <c r="E938" s="253">
        <v>350</v>
      </c>
      <c r="F938" s="172">
        <v>45900</v>
      </c>
      <c r="G938" s="172">
        <v>45930</v>
      </c>
      <c r="H938" s="15">
        <v>0.87</v>
      </c>
      <c r="I938" s="192">
        <v>1.25</v>
      </c>
      <c r="J938" s="9">
        <v>133</v>
      </c>
      <c r="K938">
        <v>304.5</v>
      </c>
      <c r="L938" s="14" t="s">
        <v>77</v>
      </c>
      <c r="M938" s="8" t="s">
        <v>131</v>
      </c>
      <c r="N938">
        <v>437.5</v>
      </c>
      <c r="O938" s="38" t="s">
        <v>4</v>
      </c>
      <c r="P938" s="38" t="s">
        <v>3</v>
      </c>
      <c r="Q938">
        <v>2025</v>
      </c>
      <c r="R938" t="s">
        <v>131</v>
      </c>
      <c r="S938" t="s">
        <v>14</v>
      </c>
      <c r="T938" t="s">
        <v>1149</v>
      </c>
      <c r="U938" t="str">
        <f>IFERROR(_xlfn.XLOOKUP(A938,'2025 EOY'!A:A,'2025 EOY'!B:B),"No")</f>
        <v>No</v>
      </c>
    </row>
    <row r="939" spans="1:21" x14ac:dyDescent="0.35">
      <c r="A939" t="s">
        <v>127</v>
      </c>
      <c r="B939" s="174">
        <v>45811</v>
      </c>
      <c r="C939" s="10" t="s">
        <v>3</v>
      </c>
      <c r="D939" s="4" t="s">
        <v>128</v>
      </c>
      <c r="E939" s="253">
        <v>350</v>
      </c>
      <c r="F939" s="172">
        <v>45869</v>
      </c>
      <c r="G939" s="172">
        <v>45900</v>
      </c>
      <c r="H939" s="15">
        <v>0.86</v>
      </c>
      <c r="I939" s="192">
        <v>1.64</v>
      </c>
      <c r="J939" s="9">
        <v>272.99999999999994</v>
      </c>
      <c r="K939">
        <v>301</v>
      </c>
      <c r="L939" s="14" t="s">
        <v>76</v>
      </c>
      <c r="M939" s="8" t="s">
        <v>131</v>
      </c>
      <c r="N939">
        <v>574</v>
      </c>
      <c r="O939" s="38" t="s">
        <v>4</v>
      </c>
      <c r="P939" s="38" t="s">
        <v>3</v>
      </c>
      <c r="Q939">
        <v>2025</v>
      </c>
      <c r="R939" t="s">
        <v>131</v>
      </c>
      <c r="S939" t="s">
        <v>14</v>
      </c>
      <c r="T939" t="s">
        <v>1150</v>
      </c>
      <c r="U939" t="str">
        <f>IFERROR(_xlfn.XLOOKUP(A939,'2025 EOY'!A:A,'2025 EOY'!B:B),"No")</f>
        <v>No</v>
      </c>
    </row>
    <row r="940" spans="1:21" x14ac:dyDescent="0.35">
      <c r="A940" t="s">
        <v>127</v>
      </c>
      <c r="B940" s="174">
        <v>45811</v>
      </c>
      <c r="C940" s="10" t="s">
        <v>3</v>
      </c>
      <c r="D940" s="4" t="s">
        <v>128</v>
      </c>
      <c r="E940" s="253">
        <v>350</v>
      </c>
      <c r="F940" s="172">
        <v>45900</v>
      </c>
      <c r="G940" s="172">
        <v>45930</v>
      </c>
      <c r="H940" s="15">
        <v>0.86</v>
      </c>
      <c r="I940" s="192">
        <v>1.25</v>
      </c>
      <c r="J940" s="9">
        <v>136.5</v>
      </c>
      <c r="K940">
        <v>301</v>
      </c>
      <c r="L940" s="14" t="s">
        <v>77</v>
      </c>
      <c r="M940" s="8" t="s">
        <v>131</v>
      </c>
      <c r="N940">
        <v>437.5</v>
      </c>
      <c r="O940" s="38" t="s">
        <v>4</v>
      </c>
      <c r="P940" s="38" t="s">
        <v>3</v>
      </c>
      <c r="Q940">
        <v>2025</v>
      </c>
      <c r="R940" t="s">
        <v>131</v>
      </c>
      <c r="S940" t="s">
        <v>14</v>
      </c>
      <c r="T940" t="s">
        <v>1151</v>
      </c>
      <c r="U940" t="str">
        <f>IFERROR(_xlfn.XLOOKUP(A940,'2025 EOY'!A:A,'2025 EOY'!B:B),"No")</f>
        <v>No</v>
      </c>
    </row>
    <row r="941" spans="1:21" x14ac:dyDescent="0.35">
      <c r="A941" t="s">
        <v>127</v>
      </c>
      <c r="B941" s="174">
        <v>45811</v>
      </c>
      <c r="C941" s="10" t="s">
        <v>3</v>
      </c>
      <c r="D941" s="4" t="s">
        <v>128</v>
      </c>
      <c r="E941" s="253">
        <v>350</v>
      </c>
      <c r="F941" s="172">
        <v>45869</v>
      </c>
      <c r="G941" s="172">
        <v>45900</v>
      </c>
      <c r="H941" s="15">
        <v>0.85</v>
      </c>
      <c r="I941" s="192">
        <v>1.64</v>
      </c>
      <c r="J941" s="9">
        <v>276.5</v>
      </c>
      <c r="K941">
        <v>297.5</v>
      </c>
      <c r="L941" s="14" t="s">
        <v>76</v>
      </c>
      <c r="M941" s="8" t="s">
        <v>131</v>
      </c>
      <c r="N941">
        <v>574</v>
      </c>
      <c r="O941" s="38" t="s">
        <v>4</v>
      </c>
      <c r="P941" s="38" t="s">
        <v>3</v>
      </c>
      <c r="Q941">
        <v>2025</v>
      </c>
      <c r="R941" t="s">
        <v>131</v>
      </c>
      <c r="S941" t="s">
        <v>14</v>
      </c>
      <c r="T941" t="s">
        <v>1152</v>
      </c>
      <c r="U941" t="str">
        <f>IFERROR(_xlfn.XLOOKUP(A941,'2025 EOY'!A:A,'2025 EOY'!B:B),"No")</f>
        <v>No</v>
      </c>
    </row>
    <row r="942" spans="1:21" x14ac:dyDescent="0.35">
      <c r="A942" t="s">
        <v>127</v>
      </c>
      <c r="B942" s="174">
        <v>45811</v>
      </c>
      <c r="C942" s="10" t="s">
        <v>3</v>
      </c>
      <c r="D942" s="4" t="s">
        <v>128</v>
      </c>
      <c r="E942" s="253">
        <v>350</v>
      </c>
      <c r="F942" s="172">
        <v>45900</v>
      </c>
      <c r="G942" s="172">
        <v>45930</v>
      </c>
      <c r="H942" s="15">
        <v>0.85</v>
      </c>
      <c r="I942" s="192">
        <v>1.25</v>
      </c>
      <c r="J942" s="9">
        <v>140</v>
      </c>
      <c r="K942">
        <v>297.5</v>
      </c>
      <c r="L942" s="14" t="s">
        <v>77</v>
      </c>
      <c r="M942" s="8" t="s">
        <v>131</v>
      </c>
      <c r="N942">
        <v>437.5</v>
      </c>
      <c r="O942" s="38" t="s">
        <v>4</v>
      </c>
      <c r="P942" s="38" t="s">
        <v>3</v>
      </c>
      <c r="Q942">
        <v>2025</v>
      </c>
      <c r="R942" t="s">
        <v>131</v>
      </c>
      <c r="S942" t="s">
        <v>14</v>
      </c>
      <c r="T942" t="s">
        <v>1153</v>
      </c>
      <c r="U942" t="str">
        <f>IFERROR(_xlfn.XLOOKUP(A942,'2025 EOY'!A:A,'2025 EOY'!B:B),"No")</f>
        <v>No</v>
      </c>
    </row>
    <row r="943" spans="1:21" x14ac:dyDescent="0.35">
      <c r="A943" t="s">
        <v>127</v>
      </c>
      <c r="B943" s="174">
        <v>45811</v>
      </c>
      <c r="C943" s="10" t="s">
        <v>3</v>
      </c>
      <c r="D943" s="4" t="s">
        <v>128</v>
      </c>
      <c r="E943" s="253">
        <v>350</v>
      </c>
      <c r="F943" s="172">
        <v>45869</v>
      </c>
      <c r="G943" s="172">
        <v>45900</v>
      </c>
      <c r="H943" s="15">
        <v>0.84</v>
      </c>
      <c r="I943" s="192">
        <v>1.64</v>
      </c>
      <c r="J943" s="9">
        <v>280</v>
      </c>
      <c r="K943">
        <v>294</v>
      </c>
      <c r="L943" s="14" t="s">
        <v>76</v>
      </c>
      <c r="M943" s="8" t="s">
        <v>131</v>
      </c>
      <c r="N943">
        <v>574</v>
      </c>
      <c r="O943" s="38" t="s">
        <v>4</v>
      </c>
      <c r="P943" s="38" t="s">
        <v>3</v>
      </c>
      <c r="Q943">
        <v>2025</v>
      </c>
      <c r="R943" t="s">
        <v>131</v>
      </c>
      <c r="S943" t="s">
        <v>14</v>
      </c>
      <c r="T943" t="s">
        <v>1154</v>
      </c>
      <c r="U943" t="str">
        <f>IFERROR(_xlfn.XLOOKUP(A943,'2025 EOY'!A:A,'2025 EOY'!B:B),"No")</f>
        <v>No</v>
      </c>
    </row>
    <row r="944" spans="1:21" x14ac:dyDescent="0.35">
      <c r="A944" t="s">
        <v>127</v>
      </c>
      <c r="B944" s="174">
        <v>45811</v>
      </c>
      <c r="C944" s="10" t="s">
        <v>3</v>
      </c>
      <c r="D944" s="4" t="s">
        <v>128</v>
      </c>
      <c r="E944" s="253">
        <v>350</v>
      </c>
      <c r="F944" s="172">
        <v>45900</v>
      </c>
      <c r="G944" s="172">
        <v>45930</v>
      </c>
      <c r="H944" s="15">
        <v>0.84</v>
      </c>
      <c r="I944" s="192">
        <v>1.25</v>
      </c>
      <c r="J944" s="9">
        <v>143.5</v>
      </c>
      <c r="K944">
        <v>294</v>
      </c>
      <c r="L944" s="14" t="s">
        <v>77</v>
      </c>
      <c r="M944" s="8" t="s">
        <v>131</v>
      </c>
      <c r="N944">
        <v>437.5</v>
      </c>
      <c r="O944" s="38" t="s">
        <v>4</v>
      </c>
      <c r="P944" s="38" t="s">
        <v>3</v>
      </c>
      <c r="Q944">
        <v>2025</v>
      </c>
      <c r="R944" t="s">
        <v>131</v>
      </c>
      <c r="S944" t="s">
        <v>14</v>
      </c>
      <c r="T944" t="s">
        <v>1155</v>
      </c>
      <c r="U944" t="str">
        <f>IFERROR(_xlfn.XLOOKUP(A944,'2025 EOY'!A:A,'2025 EOY'!B:B),"No")</f>
        <v>No</v>
      </c>
    </row>
    <row r="945" spans="1:21" x14ac:dyDescent="0.35">
      <c r="A945" t="s">
        <v>127</v>
      </c>
      <c r="B945" s="174">
        <v>45811</v>
      </c>
      <c r="C945" s="10" t="s">
        <v>3</v>
      </c>
      <c r="D945" s="4" t="s">
        <v>128</v>
      </c>
      <c r="E945" s="253">
        <v>250</v>
      </c>
      <c r="F945" s="172">
        <v>45869</v>
      </c>
      <c r="G945" s="172">
        <v>45900</v>
      </c>
      <c r="H945" s="15">
        <v>0.94</v>
      </c>
      <c r="I945" s="192">
        <v>1.64</v>
      </c>
      <c r="J945" s="9">
        <v>175</v>
      </c>
      <c r="K945">
        <v>235</v>
      </c>
      <c r="L945" s="14" t="s">
        <v>76</v>
      </c>
      <c r="M945" s="8" t="s">
        <v>131</v>
      </c>
      <c r="N945">
        <v>410</v>
      </c>
      <c r="O945" s="38" t="s">
        <v>4</v>
      </c>
      <c r="P945" s="38" t="s">
        <v>3</v>
      </c>
      <c r="Q945">
        <v>2025</v>
      </c>
      <c r="R945" t="s">
        <v>131</v>
      </c>
      <c r="S945" t="s">
        <v>14</v>
      </c>
      <c r="T945" t="s">
        <v>1156</v>
      </c>
      <c r="U945" t="str">
        <f>IFERROR(_xlfn.XLOOKUP(A945,'2025 EOY'!A:A,'2025 EOY'!B:B),"No")</f>
        <v>No</v>
      </c>
    </row>
    <row r="946" spans="1:21" x14ac:dyDescent="0.35">
      <c r="A946" t="s">
        <v>1157</v>
      </c>
      <c r="B946" s="174">
        <v>45811</v>
      </c>
      <c r="C946" s="187" t="s">
        <v>19</v>
      </c>
      <c r="D946" s="10" t="s">
        <v>268</v>
      </c>
      <c r="E946" s="259">
        <v>700</v>
      </c>
      <c r="F946" s="172">
        <v>45838</v>
      </c>
      <c r="G946" s="172">
        <v>45838</v>
      </c>
      <c r="H946" s="15">
        <v>1.4</v>
      </c>
      <c r="I946" s="201">
        <v>1.1499999999999999</v>
      </c>
      <c r="J946" s="9">
        <v>-175</v>
      </c>
      <c r="K946">
        <v>979.99999999999989</v>
      </c>
      <c r="L946" s="14" t="s">
        <v>73</v>
      </c>
      <c r="M946" s="8" t="s">
        <v>131</v>
      </c>
      <c r="N946">
        <v>804.99999999999989</v>
      </c>
      <c r="O946" s="38" t="s">
        <v>19</v>
      </c>
      <c r="P946" s="38" t="s">
        <v>19</v>
      </c>
      <c r="Q946">
        <v>2025</v>
      </c>
      <c r="R946" t="s">
        <v>131</v>
      </c>
      <c r="S946" t="s">
        <v>96</v>
      </c>
      <c r="T946" t="s">
        <v>1158</v>
      </c>
      <c r="U946" t="str">
        <f>IFERROR(_xlfn.XLOOKUP(A946,'2025 EOY'!A:A,'2025 EOY'!B:B),"No")</f>
        <v>No</v>
      </c>
    </row>
    <row r="947" spans="1:21" x14ac:dyDescent="0.35">
      <c r="A947" t="s">
        <v>127</v>
      </c>
      <c r="B947" s="174">
        <v>45811</v>
      </c>
      <c r="C947" s="10" t="s">
        <v>3</v>
      </c>
      <c r="D947" s="4" t="s">
        <v>128</v>
      </c>
      <c r="E947" s="253">
        <v>500</v>
      </c>
      <c r="F947" s="172">
        <v>45869</v>
      </c>
      <c r="G947" s="172">
        <v>45900</v>
      </c>
      <c r="H947" s="15">
        <v>0.93</v>
      </c>
      <c r="I947" s="192">
        <v>1.64</v>
      </c>
      <c r="J947" s="9">
        <v>354.99999999999994</v>
      </c>
      <c r="K947">
        <v>465</v>
      </c>
      <c r="L947" s="14" t="s">
        <v>76</v>
      </c>
      <c r="M947" s="8" t="s">
        <v>131</v>
      </c>
      <c r="N947">
        <v>820</v>
      </c>
      <c r="O947" s="38" t="s">
        <v>4</v>
      </c>
      <c r="P947" s="38" t="s">
        <v>3</v>
      </c>
      <c r="Q947">
        <v>2025</v>
      </c>
      <c r="R947" t="s">
        <v>131</v>
      </c>
      <c r="S947" t="s">
        <v>14</v>
      </c>
      <c r="T947" t="s">
        <v>1159</v>
      </c>
      <c r="U947" t="str">
        <f>IFERROR(_xlfn.XLOOKUP(A947,'2025 EOY'!A:A,'2025 EOY'!B:B),"No")</f>
        <v>No</v>
      </c>
    </row>
    <row r="948" spans="1:21" x14ac:dyDescent="0.35">
      <c r="A948" s="37" t="s">
        <v>127</v>
      </c>
      <c r="B948" s="174">
        <v>45807</v>
      </c>
      <c r="C948" s="10" t="s">
        <v>10</v>
      </c>
      <c r="D948" s="4" t="s">
        <v>128</v>
      </c>
      <c r="E948" s="271">
        <v>500</v>
      </c>
      <c r="F948" s="172">
        <v>45900</v>
      </c>
      <c r="G948" s="172">
        <v>45900</v>
      </c>
      <c r="H948" s="15">
        <v>-3.14</v>
      </c>
      <c r="I948" s="192">
        <v>-2.5</v>
      </c>
      <c r="J948" s="9">
        <v>320.00000000000006</v>
      </c>
      <c r="K948">
        <v>-1570</v>
      </c>
      <c r="L948" s="14" t="s">
        <v>81</v>
      </c>
      <c r="M948" s="8" t="s">
        <v>131</v>
      </c>
      <c r="N948">
        <v>-1250</v>
      </c>
      <c r="O948" s="38" t="s">
        <v>11</v>
      </c>
      <c r="P948" s="38" t="s">
        <v>10</v>
      </c>
      <c r="Q948">
        <v>2025</v>
      </c>
      <c r="R948" t="s">
        <v>131</v>
      </c>
      <c r="S948" t="s">
        <v>14</v>
      </c>
      <c r="T948" t="s">
        <v>1160</v>
      </c>
      <c r="U948" t="str">
        <f>IFERROR(_xlfn.XLOOKUP(A948,'2025 EOY'!A:A,'2025 EOY'!B:B),"No")</f>
        <v>No</v>
      </c>
    </row>
    <row r="949" spans="1:21" x14ac:dyDescent="0.35">
      <c r="A949" t="s">
        <v>127</v>
      </c>
      <c r="B949" s="174">
        <v>45812</v>
      </c>
      <c r="C949" s="10" t="s">
        <v>3</v>
      </c>
      <c r="D949" s="4" t="s">
        <v>128</v>
      </c>
      <c r="E949" s="253">
        <v>300</v>
      </c>
      <c r="F949" s="172">
        <v>45869</v>
      </c>
      <c r="G949" s="172">
        <v>45900</v>
      </c>
      <c r="H949" s="15">
        <v>0.9</v>
      </c>
      <c r="I949" s="192">
        <v>1.64</v>
      </c>
      <c r="J949" s="9">
        <v>221.99999999999997</v>
      </c>
      <c r="K949">
        <v>270</v>
      </c>
      <c r="L949" s="14" t="s">
        <v>76</v>
      </c>
      <c r="M949" s="8" t="s">
        <v>131</v>
      </c>
      <c r="N949">
        <v>491.99999999999994</v>
      </c>
      <c r="O949" s="38" t="s">
        <v>4</v>
      </c>
      <c r="P949" s="38" t="s">
        <v>3</v>
      </c>
      <c r="Q949">
        <v>2025</v>
      </c>
      <c r="R949" t="s">
        <v>131</v>
      </c>
      <c r="S949" t="s">
        <v>14</v>
      </c>
      <c r="T949" t="s">
        <v>1161</v>
      </c>
      <c r="U949" t="str">
        <f>IFERROR(_xlfn.XLOOKUP(A949,'2025 EOY'!A:A,'2025 EOY'!B:B),"No")</f>
        <v>No</v>
      </c>
    </row>
    <row r="950" spans="1:21" x14ac:dyDescent="0.35">
      <c r="A950" t="s">
        <v>127</v>
      </c>
      <c r="B950" s="174">
        <v>45812</v>
      </c>
      <c r="C950" s="10" t="s">
        <v>3</v>
      </c>
      <c r="D950" s="4" t="s">
        <v>128</v>
      </c>
      <c r="E950" s="253">
        <v>200</v>
      </c>
      <c r="F950" s="172">
        <v>45869</v>
      </c>
      <c r="G950" s="172">
        <v>45900</v>
      </c>
      <c r="H950" s="15">
        <v>0.9</v>
      </c>
      <c r="I950" s="192">
        <v>1.64</v>
      </c>
      <c r="J950" s="9">
        <v>147.99999999999997</v>
      </c>
      <c r="K950">
        <v>180</v>
      </c>
      <c r="L950" s="14" t="s">
        <v>76</v>
      </c>
      <c r="M950" s="8" t="s">
        <v>131</v>
      </c>
      <c r="N950">
        <v>328</v>
      </c>
      <c r="O950" s="38" t="s">
        <v>4</v>
      </c>
      <c r="P950" s="38" t="s">
        <v>3</v>
      </c>
      <c r="Q950">
        <v>2025</v>
      </c>
      <c r="R950" t="s">
        <v>131</v>
      </c>
      <c r="S950" t="s">
        <v>14</v>
      </c>
      <c r="T950" t="s">
        <v>1162</v>
      </c>
      <c r="U950" t="str">
        <f>IFERROR(_xlfn.XLOOKUP(A950,'2025 EOY'!A:A,'2025 EOY'!B:B),"No")</f>
        <v>No</v>
      </c>
    </row>
    <row r="951" spans="1:21" x14ac:dyDescent="0.35">
      <c r="A951" t="s">
        <v>127</v>
      </c>
      <c r="B951" s="174">
        <v>45813</v>
      </c>
      <c r="C951" s="10" t="s">
        <v>3</v>
      </c>
      <c r="D951" s="4" t="s">
        <v>128</v>
      </c>
      <c r="E951" s="253">
        <v>300</v>
      </c>
      <c r="F951" s="172">
        <v>45869</v>
      </c>
      <c r="G951" s="172">
        <v>45900</v>
      </c>
      <c r="H951" s="15">
        <v>0.9</v>
      </c>
      <c r="I951" s="192">
        <v>1.64</v>
      </c>
      <c r="J951" s="9">
        <v>221.99999999999997</v>
      </c>
      <c r="K951">
        <v>270</v>
      </c>
      <c r="L951" s="14" t="s">
        <v>76</v>
      </c>
      <c r="M951" s="8" t="s">
        <v>131</v>
      </c>
      <c r="N951">
        <v>491.99999999999994</v>
      </c>
      <c r="O951" s="38" t="s">
        <v>4</v>
      </c>
      <c r="P951" s="38" t="s">
        <v>3</v>
      </c>
      <c r="Q951">
        <v>2025</v>
      </c>
      <c r="R951" t="s">
        <v>131</v>
      </c>
      <c r="S951" t="s">
        <v>14</v>
      </c>
      <c r="T951" t="s">
        <v>1163</v>
      </c>
      <c r="U951" t="str">
        <f>IFERROR(_xlfn.XLOOKUP(A951,'2025 EOY'!A:A,'2025 EOY'!B:B),"No")</f>
        <v>No</v>
      </c>
    </row>
    <row r="952" spans="1:21" x14ac:dyDescent="0.35">
      <c r="A952" t="s">
        <v>127</v>
      </c>
      <c r="B952" s="174">
        <v>45813</v>
      </c>
      <c r="C952" s="10" t="s">
        <v>3</v>
      </c>
      <c r="D952" s="4" t="s">
        <v>128</v>
      </c>
      <c r="E952" s="253">
        <v>300</v>
      </c>
      <c r="F952" s="172">
        <v>45869</v>
      </c>
      <c r="G952" s="172">
        <v>45900</v>
      </c>
      <c r="H952" s="15">
        <v>0.87</v>
      </c>
      <c r="I952" s="192">
        <v>1.64</v>
      </c>
      <c r="J952" s="9">
        <v>230.99999999999997</v>
      </c>
      <c r="K952">
        <v>261</v>
      </c>
      <c r="L952" s="14" t="s">
        <v>76</v>
      </c>
      <c r="M952" s="8" t="s">
        <v>131</v>
      </c>
      <c r="N952">
        <v>491.99999999999994</v>
      </c>
      <c r="O952" s="38" t="s">
        <v>4</v>
      </c>
      <c r="P952" s="38" t="s">
        <v>3</v>
      </c>
      <c r="Q952">
        <v>2025</v>
      </c>
      <c r="R952" t="s">
        <v>131</v>
      </c>
      <c r="S952" t="s">
        <v>14</v>
      </c>
      <c r="T952" t="s">
        <v>1164</v>
      </c>
      <c r="U952" t="str">
        <f>IFERROR(_xlfn.XLOOKUP(A952,'2025 EOY'!A:A,'2025 EOY'!B:B),"No")</f>
        <v>No</v>
      </c>
    </row>
    <row r="953" spans="1:21" x14ac:dyDescent="0.35">
      <c r="A953" t="s">
        <v>1165</v>
      </c>
      <c r="B953" s="174">
        <v>45818</v>
      </c>
      <c r="C953" s="187" t="s">
        <v>19</v>
      </c>
      <c r="D953" s="10" t="s">
        <v>268</v>
      </c>
      <c r="E953" s="259">
        <v>2065</v>
      </c>
      <c r="F953" s="172">
        <v>45838</v>
      </c>
      <c r="G953" s="172">
        <v>45838</v>
      </c>
      <c r="H953" s="15">
        <v>4.1786421646489096</v>
      </c>
      <c r="I953" s="201">
        <v>4.76</v>
      </c>
      <c r="J953" s="9">
        <v>1200.5039300000012</v>
      </c>
      <c r="K953">
        <v>8920.8000000000011</v>
      </c>
      <c r="L953" s="14" t="s">
        <v>73</v>
      </c>
      <c r="M953" s="8" t="s">
        <v>131</v>
      </c>
      <c r="N953">
        <v>9829.4</v>
      </c>
      <c r="O953" s="38" t="s">
        <v>19</v>
      </c>
      <c r="P953" s="38" t="s">
        <v>19</v>
      </c>
      <c r="Q953">
        <v>2025</v>
      </c>
      <c r="R953" t="s">
        <v>131</v>
      </c>
      <c r="S953" t="s">
        <v>96</v>
      </c>
      <c r="T953" t="s">
        <v>1166</v>
      </c>
      <c r="U953" t="str">
        <f>IFERROR(_xlfn.XLOOKUP(A953,'2025 EOY'!A:A,'2025 EOY'!B:B),"No")</f>
        <v>No</v>
      </c>
    </row>
    <row r="954" spans="1:21" x14ac:dyDescent="0.35">
      <c r="A954" t="s">
        <v>1165</v>
      </c>
      <c r="B954" s="174">
        <v>45818</v>
      </c>
      <c r="C954" s="10" t="s">
        <v>3</v>
      </c>
      <c r="D954" s="4" t="s">
        <v>268</v>
      </c>
      <c r="E954" s="253">
        <v>-2075</v>
      </c>
      <c r="F954" s="172">
        <v>45869</v>
      </c>
      <c r="G954" s="172">
        <v>45900</v>
      </c>
      <c r="H954" s="189">
        <v>1.1499999999999999</v>
      </c>
      <c r="I954" s="192">
        <v>1.64</v>
      </c>
      <c r="J954" s="9">
        <v>-1016.75</v>
      </c>
      <c r="K954">
        <v>-2386.25</v>
      </c>
      <c r="L954" s="14" t="s">
        <v>76</v>
      </c>
      <c r="M954" s="8" t="s">
        <v>129</v>
      </c>
      <c r="N954">
        <v>-3403</v>
      </c>
      <c r="O954" s="38" t="s">
        <v>4</v>
      </c>
      <c r="P954" s="38" t="s">
        <v>3</v>
      </c>
      <c r="Q954">
        <v>2025</v>
      </c>
      <c r="R954" t="s">
        <v>129</v>
      </c>
      <c r="S954" t="s">
        <v>14</v>
      </c>
      <c r="T954" t="s">
        <v>1167</v>
      </c>
      <c r="U954" t="str">
        <f>IFERROR(_xlfn.XLOOKUP(A954,'2025 EOY'!A:A,'2025 EOY'!B:B),"No")</f>
        <v>No</v>
      </c>
    </row>
    <row r="955" spans="1:21" x14ac:dyDescent="0.35">
      <c r="A955" t="s">
        <v>1165</v>
      </c>
      <c r="B955" s="174">
        <v>45818</v>
      </c>
      <c r="C955" s="10" t="s">
        <v>3</v>
      </c>
      <c r="D955" s="4" t="s">
        <v>268</v>
      </c>
      <c r="E955" s="253">
        <v>-2065</v>
      </c>
      <c r="F955" s="172">
        <v>45900</v>
      </c>
      <c r="G955" s="172">
        <v>45930</v>
      </c>
      <c r="H955" s="129">
        <v>1.05</v>
      </c>
      <c r="I955" s="192">
        <v>1.25</v>
      </c>
      <c r="J955" s="9">
        <v>-412.99999999999989</v>
      </c>
      <c r="K955">
        <v>-2168.25</v>
      </c>
      <c r="L955" s="14" t="s">
        <v>77</v>
      </c>
      <c r="M955" s="8" t="s">
        <v>129</v>
      </c>
      <c r="N955">
        <v>-2581.25</v>
      </c>
      <c r="O955" s="38" t="s">
        <v>4</v>
      </c>
      <c r="P955" s="38" t="s">
        <v>3</v>
      </c>
      <c r="Q955">
        <v>2025</v>
      </c>
      <c r="R955" t="s">
        <v>129</v>
      </c>
      <c r="S955" t="s">
        <v>14</v>
      </c>
      <c r="T955" t="s">
        <v>1168</v>
      </c>
      <c r="U955" t="str">
        <f>IFERROR(_xlfn.XLOOKUP(A955,'2025 EOY'!A:A,'2025 EOY'!B:B),"No")</f>
        <v>No</v>
      </c>
    </row>
    <row r="956" spans="1:21" x14ac:dyDescent="0.35">
      <c r="A956" t="s">
        <v>1165</v>
      </c>
      <c r="B956" s="174">
        <v>45818</v>
      </c>
      <c r="C956" s="10" t="s">
        <v>10</v>
      </c>
      <c r="D956" s="4" t="s">
        <v>268</v>
      </c>
      <c r="E956" s="253">
        <v>-2065</v>
      </c>
      <c r="F956" s="172">
        <v>45930</v>
      </c>
      <c r="G956" s="172">
        <v>45930</v>
      </c>
      <c r="H956" s="15">
        <v>-3.1</v>
      </c>
      <c r="I956" s="192">
        <v>-3.27</v>
      </c>
      <c r="J956" s="9">
        <v>351.04999999999984</v>
      </c>
      <c r="K956">
        <v>6401.5</v>
      </c>
      <c r="L956" s="14" t="s">
        <v>86</v>
      </c>
      <c r="M956" s="8" t="s">
        <v>129</v>
      </c>
      <c r="N956">
        <v>6752.55</v>
      </c>
      <c r="O956" s="38" t="s">
        <v>11</v>
      </c>
      <c r="P956" s="38" t="s">
        <v>10</v>
      </c>
      <c r="Q956">
        <v>2025</v>
      </c>
      <c r="R956" t="s">
        <v>129</v>
      </c>
      <c r="S956" t="s">
        <v>14</v>
      </c>
      <c r="T956" t="s">
        <v>1169</v>
      </c>
      <c r="U956" t="str">
        <f>IFERROR(_xlfn.XLOOKUP(A956,'2025 EOY'!A:A,'2025 EOY'!B:B),"No")</f>
        <v>No</v>
      </c>
    </row>
    <row r="957" spans="1:21" x14ac:dyDescent="0.35">
      <c r="A957" t="s">
        <v>1165</v>
      </c>
      <c r="B957" s="174">
        <v>45818</v>
      </c>
      <c r="C957" s="10" t="s">
        <v>7</v>
      </c>
      <c r="D957" s="4" t="s">
        <v>268</v>
      </c>
      <c r="E957" s="253">
        <v>-2065</v>
      </c>
      <c r="F957" s="172">
        <v>45930</v>
      </c>
      <c r="G957" s="172">
        <v>45961</v>
      </c>
      <c r="H957" s="15">
        <v>0.7</v>
      </c>
      <c r="I957" s="192">
        <v>0.83</v>
      </c>
      <c r="J957" s="9">
        <v>-268.45</v>
      </c>
      <c r="K957">
        <v>-1445.5</v>
      </c>
      <c r="L957" s="14" t="s">
        <v>78</v>
      </c>
      <c r="M957" s="8" t="s">
        <v>129</v>
      </c>
      <c r="N957">
        <v>-1713.9499999999998</v>
      </c>
      <c r="O957" s="38" t="s">
        <v>4</v>
      </c>
      <c r="P957" s="38" t="s">
        <v>7</v>
      </c>
      <c r="Q957">
        <v>2025</v>
      </c>
      <c r="R957" t="s">
        <v>129</v>
      </c>
      <c r="S957" t="s">
        <v>14</v>
      </c>
      <c r="T957" t="s">
        <v>1170</v>
      </c>
      <c r="U957" t="str">
        <f>IFERROR(_xlfn.XLOOKUP(A957,'2025 EOY'!A:A,'2025 EOY'!B:B),"No")</f>
        <v>No</v>
      </c>
    </row>
    <row r="958" spans="1:21" x14ac:dyDescent="0.35">
      <c r="A958" t="s">
        <v>1165</v>
      </c>
      <c r="B958" s="12">
        <v>45818</v>
      </c>
      <c r="C958" s="47" t="s">
        <v>28</v>
      </c>
      <c r="D958" s="10" t="s">
        <v>268</v>
      </c>
      <c r="E958" s="253">
        <v>-2000</v>
      </c>
      <c r="F958" s="172">
        <v>45838</v>
      </c>
      <c r="G958" s="172">
        <v>45838</v>
      </c>
      <c r="H958" s="212">
        <v>6000</v>
      </c>
      <c r="I958" s="206">
        <v>6000</v>
      </c>
      <c r="J958" s="9">
        <v>0</v>
      </c>
      <c r="K958">
        <v>-12000000</v>
      </c>
      <c r="L958" s="14" t="s">
        <v>73</v>
      </c>
      <c r="M958" s="8" t="s">
        <v>129</v>
      </c>
      <c r="N958">
        <v>-12000000</v>
      </c>
      <c r="O958" s="38" t="s">
        <v>29</v>
      </c>
      <c r="P958" s="38" t="s">
        <v>29</v>
      </c>
      <c r="Q958">
        <v>2025</v>
      </c>
      <c r="R958" t="s">
        <v>129</v>
      </c>
      <c r="S958" t="s">
        <v>14</v>
      </c>
      <c r="T958" t="s">
        <v>1171</v>
      </c>
      <c r="U958" t="str">
        <f>IFERROR(_xlfn.XLOOKUP(A958,'2025 EOY'!A:A,'2025 EOY'!B:B),"No")</f>
        <v>No</v>
      </c>
    </row>
    <row r="959" spans="1:21" x14ac:dyDescent="0.35">
      <c r="A959" t="s">
        <v>1165</v>
      </c>
      <c r="B959" s="12">
        <v>45818</v>
      </c>
      <c r="C959" s="47" t="s">
        <v>28</v>
      </c>
      <c r="D959" s="10" t="s">
        <v>128</v>
      </c>
      <c r="E959" s="253">
        <v>2000</v>
      </c>
      <c r="F959" s="172">
        <v>45838</v>
      </c>
      <c r="G959" s="172">
        <v>45838</v>
      </c>
      <c r="H959" s="212">
        <v>7000</v>
      </c>
      <c r="I959" s="206">
        <v>6000</v>
      </c>
      <c r="J959" s="9">
        <v>-1000</v>
      </c>
      <c r="K959">
        <v>14000000</v>
      </c>
      <c r="L959" s="14" t="s">
        <v>73</v>
      </c>
      <c r="M959" s="8" t="s">
        <v>131</v>
      </c>
      <c r="N959">
        <v>12000000</v>
      </c>
      <c r="O959" s="38" t="s">
        <v>29</v>
      </c>
      <c r="P959" s="38" t="s">
        <v>29</v>
      </c>
      <c r="Q959">
        <v>2025</v>
      </c>
      <c r="R959" t="s">
        <v>131</v>
      </c>
      <c r="S959" t="s">
        <v>14</v>
      </c>
      <c r="T959" t="s">
        <v>1172</v>
      </c>
      <c r="U959" t="str">
        <f>IFERROR(_xlfn.XLOOKUP(A959,'2025 EOY'!A:A,'2025 EOY'!B:B),"No")</f>
        <v>No</v>
      </c>
    </row>
    <row r="960" spans="1:21" x14ac:dyDescent="0.35">
      <c r="A960" t="s">
        <v>1165</v>
      </c>
      <c r="B960" s="174">
        <v>45818</v>
      </c>
      <c r="C960" s="10" t="s">
        <v>3</v>
      </c>
      <c r="D960" s="4" t="s">
        <v>128</v>
      </c>
      <c r="E960" s="253">
        <v>2100</v>
      </c>
      <c r="F960" s="172">
        <v>45869</v>
      </c>
      <c r="G960" s="172">
        <v>45900</v>
      </c>
      <c r="H960" s="189">
        <v>1.0700000000000074</v>
      </c>
      <c r="I960" s="192">
        <v>1.64</v>
      </c>
      <c r="J960" s="9">
        <v>1196.9999999999843</v>
      </c>
      <c r="K960">
        <v>2247.0000000000155</v>
      </c>
      <c r="L960" s="14" t="s">
        <v>76</v>
      </c>
      <c r="M960" s="8" t="s">
        <v>131</v>
      </c>
      <c r="N960">
        <v>3444</v>
      </c>
      <c r="O960" s="38" t="s">
        <v>4</v>
      </c>
      <c r="P960" s="38" t="s">
        <v>3</v>
      </c>
      <c r="Q960">
        <v>2025</v>
      </c>
      <c r="R960" t="s">
        <v>131</v>
      </c>
      <c r="S960" t="s">
        <v>14</v>
      </c>
      <c r="T960" t="s">
        <v>1173</v>
      </c>
      <c r="U960" t="str">
        <f>IFERROR(_xlfn.XLOOKUP(A960,'2025 EOY'!A:A,'2025 EOY'!B:B),"No")</f>
        <v>No</v>
      </c>
    </row>
    <row r="961" spans="1:21" x14ac:dyDescent="0.35">
      <c r="A961" t="s">
        <v>1165</v>
      </c>
      <c r="B961" s="174">
        <v>45818</v>
      </c>
      <c r="C961" s="10" t="s">
        <v>3</v>
      </c>
      <c r="D961" s="4" t="s">
        <v>128</v>
      </c>
      <c r="E961" s="253">
        <v>2100</v>
      </c>
      <c r="F961" s="172">
        <v>45900</v>
      </c>
      <c r="G961" s="172">
        <v>45930</v>
      </c>
      <c r="H961" s="129">
        <v>0.96999999999999886</v>
      </c>
      <c r="I961" s="192">
        <v>1.25</v>
      </c>
      <c r="J961" s="9">
        <v>588.00000000000239</v>
      </c>
      <c r="K961">
        <v>2036.9999999999977</v>
      </c>
      <c r="L961" s="14" t="s">
        <v>77</v>
      </c>
      <c r="M961" s="8" t="s">
        <v>131</v>
      </c>
      <c r="N961">
        <v>2625</v>
      </c>
      <c r="O961" s="38" t="s">
        <v>4</v>
      </c>
      <c r="P961" s="38" t="s">
        <v>3</v>
      </c>
      <c r="Q961">
        <v>2025</v>
      </c>
      <c r="R961" t="s">
        <v>131</v>
      </c>
      <c r="S961" t="s">
        <v>14</v>
      </c>
      <c r="T961" t="s">
        <v>1174</v>
      </c>
      <c r="U961" t="str">
        <f>IFERROR(_xlfn.XLOOKUP(A961,'2025 EOY'!A:A,'2025 EOY'!B:B),"No")</f>
        <v>No</v>
      </c>
    </row>
    <row r="962" spans="1:21" x14ac:dyDescent="0.35">
      <c r="A962" t="s">
        <v>1165</v>
      </c>
      <c r="B962" s="174">
        <v>45818</v>
      </c>
      <c r="C962" s="10" t="s">
        <v>10</v>
      </c>
      <c r="D962" s="4" t="s">
        <v>128</v>
      </c>
      <c r="E962" s="253">
        <v>2100</v>
      </c>
      <c r="F962" s="172">
        <v>45930</v>
      </c>
      <c r="G962" s="172">
        <v>45930</v>
      </c>
      <c r="H962" s="15">
        <v>-3.1899999999999977</v>
      </c>
      <c r="I962" s="192">
        <v>-3.27</v>
      </c>
      <c r="J962" s="9">
        <v>-168.0000000000048</v>
      </c>
      <c r="K962">
        <v>-6698.9999999999955</v>
      </c>
      <c r="L962" s="14" t="s">
        <v>86</v>
      </c>
      <c r="M962" s="8" t="s">
        <v>131</v>
      </c>
      <c r="N962">
        <v>-6867</v>
      </c>
      <c r="O962" s="38" t="s">
        <v>11</v>
      </c>
      <c r="P962" s="38" t="s">
        <v>10</v>
      </c>
      <c r="Q962">
        <v>2025</v>
      </c>
      <c r="R962" t="s">
        <v>131</v>
      </c>
      <c r="S962" t="s">
        <v>14</v>
      </c>
      <c r="T962" t="s">
        <v>1175</v>
      </c>
      <c r="U962" t="str">
        <f>IFERROR(_xlfn.XLOOKUP(A962,'2025 EOY'!A:A,'2025 EOY'!B:B),"No")</f>
        <v>No</v>
      </c>
    </row>
    <row r="963" spans="1:21" x14ac:dyDescent="0.35">
      <c r="A963" t="s">
        <v>1176</v>
      </c>
      <c r="B963" s="174">
        <v>45818</v>
      </c>
      <c r="C963" s="187" t="s">
        <v>19</v>
      </c>
      <c r="D963" s="10" t="s">
        <v>268</v>
      </c>
      <c r="E963" s="259">
        <v>700</v>
      </c>
      <c r="F963" s="172">
        <v>45838</v>
      </c>
      <c r="G963" s="172">
        <v>45838</v>
      </c>
      <c r="H963" s="15">
        <v>0.49999999999999956</v>
      </c>
      <c r="I963" s="201">
        <v>0.25</v>
      </c>
      <c r="J963" s="9">
        <v>-174.99999999999969</v>
      </c>
      <c r="K963">
        <v>349.99999999999972</v>
      </c>
      <c r="L963" s="14" t="s">
        <v>73</v>
      </c>
      <c r="M963" s="8" t="s">
        <v>131</v>
      </c>
      <c r="N963">
        <v>175</v>
      </c>
      <c r="O963" s="38" t="s">
        <v>19</v>
      </c>
      <c r="P963" s="38" t="s">
        <v>19</v>
      </c>
      <c r="Q963">
        <v>2025</v>
      </c>
      <c r="R963" t="s">
        <v>131</v>
      </c>
      <c r="S963" t="s">
        <v>96</v>
      </c>
      <c r="T963" t="s">
        <v>1177</v>
      </c>
      <c r="U963" t="str">
        <f>IFERROR(_xlfn.XLOOKUP(A963,'2025 EOY'!A:A,'2025 EOY'!B:B),"No")</f>
        <v>No</v>
      </c>
    </row>
    <row r="964" spans="1:21" x14ac:dyDescent="0.35">
      <c r="A964" t="s">
        <v>1176</v>
      </c>
      <c r="B964" s="174">
        <v>45818</v>
      </c>
      <c r="C964" s="10" t="s">
        <v>3</v>
      </c>
      <c r="D964" s="4" t="s">
        <v>268</v>
      </c>
      <c r="E964" s="253">
        <v>-700</v>
      </c>
      <c r="F964" s="172">
        <v>45869</v>
      </c>
      <c r="G964" s="172">
        <v>45900</v>
      </c>
      <c r="H964" s="189">
        <v>1.1499999999999999</v>
      </c>
      <c r="I964" s="192">
        <v>1.64</v>
      </c>
      <c r="J964" s="9">
        <v>-343</v>
      </c>
      <c r="K964">
        <v>-804.99999999999989</v>
      </c>
      <c r="L964" s="14" t="s">
        <v>76</v>
      </c>
      <c r="M964" s="8" t="s">
        <v>129</v>
      </c>
      <c r="N964">
        <v>-1148</v>
      </c>
      <c r="O964" s="38" t="s">
        <v>4</v>
      </c>
      <c r="P964" s="38" t="s">
        <v>3</v>
      </c>
      <c r="Q964">
        <v>2025</v>
      </c>
      <c r="R964" t="s">
        <v>129</v>
      </c>
      <c r="S964" t="s">
        <v>14</v>
      </c>
      <c r="T964" t="s">
        <v>1178</v>
      </c>
      <c r="U964" t="str">
        <f>IFERROR(_xlfn.XLOOKUP(A964,'2025 EOY'!A:A,'2025 EOY'!B:B),"No")</f>
        <v>No</v>
      </c>
    </row>
    <row r="965" spans="1:21" x14ac:dyDescent="0.35">
      <c r="A965" t="s">
        <v>1176</v>
      </c>
      <c r="B965" s="174">
        <v>45818</v>
      </c>
      <c r="C965" s="10" t="s">
        <v>3</v>
      </c>
      <c r="D965" s="4" t="s">
        <v>268</v>
      </c>
      <c r="E965" s="253">
        <v>-700</v>
      </c>
      <c r="F965" s="172">
        <v>45900</v>
      </c>
      <c r="G965" s="172">
        <v>45930</v>
      </c>
      <c r="H965" s="129">
        <v>1.05</v>
      </c>
      <c r="I965" s="192">
        <v>1.25</v>
      </c>
      <c r="J965" s="9">
        <v>-139.99999999999997</v>
      </c>
      <c r="K965">
        <v>-735</v>
      </c>
      <c r="L965" s="14" t="s">
        <v>77</v>
      </c>
      <c r="M965" s="8" t="s">
        <v>129</v>
      </c>
      <c r="N965">
        <v>-875</v>
      </c>
      <c r="O965" s="38" t="s">
        <v>4</v>
      </c>
      <c r="P965" s="38" t="s">
        <v>3</v>
      </c>
      <c r="Q965">
        <v>2025</v>
      </c>
      <c r="R965" t="s">
        <v>129</v>
      </c>
      <c r="S965" t="s">
        <v>14</v>
      </c>
      <c r="T965" t="s">
        <v>1179</v>
      </c>
      <c r="U965" t="str">
        <f>IFERROR(_xlfn.XLOOKUP(A965,'2025 EOY'!A:A,'2025 EOY'!B:B),"No")</f>
        <v>No</v>
      </c>
    </row>
    <row r="966" spans="1:21" x14ac:dyDescent="0.35">
      <c r="A966" t="s">
        <v>1176</v>
      </c>
      <c r="B966" s="174">
        <v>45818</v>
      </c>
      <c r="C966" s="10" t="s">
        <v>10</v>
      </c>
      <c r="D966" s="4" t="s">
        <v>268</v>
      </c>
      <c r="E966" s="253">
        <v>-700</v>
      </c>
      <c r="F966" s="172">
        <v>45930</v>
      </c>
      <c r="G966" s="172">
        <v>45930</v>
      </c>
      <c r="H966" s="15">
        <v>-3.1</v>
      </c>
      <c r="I966" s="192">
        <v>-3.27</v>
      </c>
      <c r="J966" s="9">
        <v>118.99999999999994</v>
      </c>
      <c r="K966">
        <v>2170</v>
      </c>
      <c r="L966" s="14" t="s">
        <v>86</v>
      </c>
      <c r="M966" s="8" t="s">
        <v>129</v>
      </c>
      <c r="N966">
        <v>2289</v>
      </c>
      <c r="O966" s="38" t="s">
        <v>11</v>
      </c>
      <c r="P966" s="38" t="s">
        <v>10</v>
      </c>
      <c r="Q966">
        <v>2025</v>
      </c>
      <c r="R966" t="s">
        <v>129</v>
      </c>
      <c r="S966" t="s">
        <v>14</v>
      </c>
      <c r="T966" t="s">
        <v>1180</v>
      </c>
      <c r="U966" t="str">
        <f>IFERROR(_xlfn.XLOOKUP(A966,'2025 EOY'!A:A,'2025 EOY'!B:B),"No")</f>
        <v>No</v>
      </c>
    </row>
    <row r="967" spans="1:21" x14ac:dyDescent="0.35">
      <c r="A967" t="s">
        <v>1176</v>
      </c>
      <c r="B967" s="174">
        <v>45818</v>
      </c>
      <c r="C967" s="10" t="s">
        <v>3</v>
      </c>
      <c r="D967" s="4" t="s">
        <v>128</v>
      </c>
      <c r="E967" s="253">
        <v>900</v>
      </c>
      <c r="F967" s="172">
        <v>45869</v>
      </c>
      <c r="G967" s="172">
        <v>45900</v>
      </c>
      <c r="H967" s="189">
        <v>1.0700000000000074</v>
      </c>
      <c r="I967" s="192">
        <v>1.64</v>
      </c>
      <c r="J967" s="9">
        <v>512.99999999999329</v>
      </c>
      <c r="K967">
        <v>963.00000000000659</v>
      </c>
      <c r="L967" s="14" t="s">
        <v>76</v>
      </c>
      <c r="M967" s="8" t="s">
        <v>131</v>
      </c>
      <c r="N967">
        <v>1476</v>
      </c>
      <c r="O967" s="38" t="s">
        <v>4</v>
      </c>
      <c r="P967" s="38" t="s">
        <v>3</v>
      </c>
      <c r="Q967">
        <v>2025</v>
      </c>
      <c r="R967" t="s">
        <v>131</v>
      </c>
      <c r="S967" t="s">
        <v>14</v>
      </c>
      <c r="T967" t="s">
        <v>1181</v>
      </c>
      <c r="U967" t="str">
        <f>IFERROR(_xlfn.XLOOKUP(A967,'2025 EOY'!A:A,'2025 EOY'!B:B),"No")</f>
        <v>No</v>
      </c>
    </row>
    <row r="968" spans="1:21" x14ac:dyDescent="0.35">
      <c r="A968" t="s">
        <v>1176</v>
      </c>
      <c r="B968" s="174">
        <v>45818</v>
      </c>
      <c r="C968" s="10" t="s">
        <v>3</v>
      </c>
      <c r="D968" s="4" t="s">
        <v>128</v>
      </c>
      <c r="E968" s="253">
        <v>900</v>
      </c>
      <c r="F968" s="172">
        <v>45900</v>
      </c>
      <c r="G968" s="172">
        <v>45930</v>
      </c>
      <c r="H968" s="129">
        <v>0.96999999999999886</v>
      </c>
      <c r="I968" s="192">
        <v>1.25</v>
      </c>
      <c r="J968" s="9">
        <v>252.00000000000102</v>
      </c>
      <c r="K968">
        <v>872.99999999999898</v>
      </c>
      <c r="L968" s="14" t="s">
        <v>77</v>
      </c>
      <c r="M968" s="8" t="s">
        <v>131</v>
      </c>
      <c r="N968">
        <v>1125</v>
      </c>
      <c r="O968" s="38" t="s">
        <v>4</v>
      </c>
      <c r="P968" s="38" t="s">
        <v>3</v>
      </c>
      <c r="Q968">
        <v>2025</v>
      </c>
      <c r="R968" t="s">
        <v>131</v>
      </c>
      <c r="S968" t="s">
        <v>14</v>
      </c>
      <c r="T968" t="s">
        <v>1182</v>
      </c>
      <c r="U968" t="str">
        <f>IFERROR(_xlfn.XLOOKUP(A968,'2025 EOY'!A:A,'2025 EOY'!B:B),"No")</f>
        <v>No</v>
      </c>
    </row>
    <row r="969" spans="1:21" x14ac:dyDescent="0.35">
      <c r="A969" t="s">
        <v>1176</v>
      </c>
      <c r="B969" s="174">
        <v>45818</v>
      </c>
      <c r="C969" s="10" t="s">
        <v>10</v>
      </c>
      <c r="D969" s="4" t="s">
        <v>128</v>
      </c>
      <c r="E969" s="253">
        <v>900</v>
      </c>
      <c r="F969" s="172">
        <v>45930</v>
      </c>
      <c r="G969" s="172">
        <v>45930</v>
      </c>
      <c r="H969" s="15">
        <v>-3.1899999999999977</v>
      </c>
      <c r="I969" s="192">
        <v>-3.27</v>
      </c>
      <c r="J969" s="9">
        <v>-72.000000000002061</v>
      </c>
      <c r="K969">
        <v>-2870.9999999999982</v>
      </c>
      <c r="L969" s="14" t="s">
        <v>86</v>
      </c>
      <c r="M969" s="8" t="s">
        <v>131</v>
      </c>
      <c r="N969">
        <v>-2943</v>
      </c>
      <c r="O969" s="38" t="s">
        <v>11</v>
      </c>
      <c r="P969" s="38" t="s">
        <v>10</v>
      </c>
      <c r="Q969">
        <v>2025</v>
      </c>
      <c r="R969" t="s">
        <v>131</v>
      </c>
      <c r="S969" t="s">
        <v>14</v>
      </c>
      <c r="T969" t="s">
        <v>1183</v>
      </c>
      <c r="U969" t="str">
        <f>IFERROR(_xlfn.XLOOKUP(A969,'2025 EOY'!A:A,'2025 EOY'!B:B),"No")</f>
        <v>No</v>
      </c>
    </row>
    <row r="970" spans="1:21" x14ac:dyDescent="0.35">
      <c r="A970" t="s">
        <v>127</v>
      </c>
      <c r="B970" s="174">
        <v>45819</v>
      </c>
      <c r="C970" s="10" t="s">
        <v>15</v>
      </c>
      <c r="D970" s="4" t="s">
        <v>128</v>
      </c>
      <c r="E970" s="253">
        <v>-200</v>
      </c>
      <c r="F970" s="173">
        <v>45869</v>
      </c>
      <c r="G970" s="172">
        <v>45869</v>
      </c>
      <c r="H970" s="15">
        <v>1.1399999999999999</v>
      </c>
      <c r="I970" s="191">
        <v>1.47</v>
      </c>
      <c r="J970" s="9">
        <v>-66.000000000000014</v>
      </c>
      <c r="K970">
        <v>-227.99999999999997</v>
      </c>
      <c r="L970" s="14" t="s">
        <v>75</v>
      </c>
      <c r="M970" s="8" t="s">
        <v>129</v>
      </c>
      <c r="N970">
        <v>-294</v>
      </c>
      <c r="O970" s="38" t="s">
        <v>11</v>
      </c>
      <c r="P970" s="38" t="s">
        <v>16</v>
      </c>
      <c r="Q970">
        <v>2025</v>
      </c>
      <c r="R970" t="s">
        <v>129</v>
      </c>
      <c r="S970" t="s">
        <v>14</v>
      </c>
      <c r="T970" t="s">
        <v>1184</v>
      </c>
      <c r="U970" t="str">
        <f>IFERROR(_xlfn.XLOOKUP(A970,'2025 EOY'!A:A,'2025 EOY'!B:B),"No")</f>
        <v>No</v>
      </c>
    </row>
    <row r="971" spans="1:21" x14ac:dyDescent="0.35">
      <c r="A971" t="s">
        <v>127</v>
      </c>
      <c r="B971" s="174">
        <v>45819</v>
      </c>
      <c r="C971" s="10" t="s">
        <v>15</v>
      </c>
      <c r="D971" s="4" t="s">
        <v>128</v>
      </c>
      <c r="E971" s="253">
        <v>100</v>
      </c>
      <c r="F971" s="173">
        <v>45869</v>
      </c>
      <c r="G971" s="172">
        <v>45869</v>
      </c>
      <c r="H971" s="15">
        <v>1.1100000000000001</v>
      </c>
      <c r="I971" s="191">
        <v>1.47</v>
      </c>
      <c r="J971" s="9">
        <v>35.999999999999986</v>
      </c>
      <c r="K971">
        <v>111.00000000000001</v>
      </c>
      <c r="L971" s="14" t="s">
        <v>75</v>
      </c>
      <c r="M971" s="8" t="s">
        <v>131</v>
      </c>
      <c r="N971">
        <v>147</v>
      </c>
      <c r="O971" s="38" t="s">
        <v>11</v>
      </c>
      <c r="P971" s="38" t="s">
        <v>16</v>
      </c>
      <c r="Q971">
        <v>2025</v>
      </c>
      <c r="R971" t="s">
        <v>131</v>
      </c>
      <c r="S971" t="s">
        <v>14</v>
      </c>
      <c r="T971" t="s">
        <v>1185</v>
      </c>
      <c r="U971" t="str">
        <f>IFERROR(_xlfn.XLOOKUP(A971,'2025 EOY'!A:A,'2025 EOY'!B:B),"No")</f>
        <v>No</v>
      </c>
    </row>
    <row r="972" spans="1:21" x14ac:dyDescent="0.35">
      <c r="A972" t="s">
        <v>127</v>
      </c>
      <c r="B972" s="174">
        <v>45819</v>
      </c>
      <c r="C972" s="10" t="s">
        <v>22</v>
      </c>
      <c r="D972" s="4" t="s">
        <v>128</v>
      </c>
      <c r="E972" s="253">
        <v>-200</v>
      </c>
      <c r="F972" s="173" t="s">
        <v>1090</v>
      </c>
      <c r="G972" s="172">
        <v>45838</v>
      </c>
      <c r="H972" s="15">
        <v>1.25</v>
      </c>
      <c r="I972" s="191">
        <v>1.8180000000000001</v>
      </c>
      <c r="J972" s="9">
        <v>-113.60000000000001</v>
      </c>
      <c r="K972">
        <v>-250</v>
      </c>
      <c r="L972" s="14" t="s">
        <v>87</v>
      </c>
      <c r="M972" s="8" t="s">
        <v>129</v>
      </c>
      <c r="N972">
        <v>-363.6</v>
      </c>
      <c r="O972" s="38" t="s">
        <v>11</v>
      </c>
      <c r="P972" s="38" t="s">
        <v>16</v>
      </c>
      <c r="Q972">
        <v>2025</v>
      </c>
      <c r="R972" t="s">
        <v>129</v>
      </c>
      <c r="S972" t="s">
        <v>14</v>
      </c>
      <c r="T972" t="s">
        <v>1186</v>
      </c>
      <c r="U972" t="str">
        <f>IFERROR(_xlfn.XLOOKUP(A972,'2025 EOY'!A:A,'2025 EOY'!B:B),"No")</f>
        <v>No</v>
      </c>
    </row>
    <row r="973" spans="1:21" x14ac:dyDescent="0.35">
      <c r="A973" t="s">
        <v>127</v>
      </c>
      <c r="B973" s="174">
        <v>45819</v>
      </c>
      <c r="C973" s="10" t="s">
        <v>3</v>
      </c>
      <c r="D973" s="4" t="s">
        <v>128</v>
      </c>
      <c r="E973" s="253">
        <v>-500</v>
      </c>
      <c r="F973" s="172">
        <v>45869</v>
      </c>
      <c r="G973" s="172">
        <v>45900</v>
      </c>
      <c r="H973" s="15">
        <v>1.1000000000000001</v>
      </c>
      <c r="I973" s="192">
        <v>1.64</v>
      </c>
      <c r="J973" s="9">
        <v>-269.99999999999989</v>
      </c>
      <c r="K973">
        <v>-550</v>
      </c>
      <c r="L973" s="14" t="s">
        <v>76</v>
      </c>
      <c r="M973" s="8" t="s">
        <v>129</v>
      </c>
      <c r="N973">
        <v>-820</v>
      </c>
      <c r="O973" s="38" t="s">
        <v>4</v>
      </c>
      <c r="P973" s="38" t="s">
        <v>3</v>
      </c>
      <c r="Q973">
        <v>2025</v>
      </c>
      <c r="R973" t="s">
        <v>129</v>
      </c>
      <c r="S973" t="s">
        <v>14</v>
      </c>
      <c r="T973" t="s">
        <v>1187</v>
      </c>
      <c r="U973" t="str">
        <f>IFERROR(_xlfn.XLOOKUP(A973,'2025 EOY'!A:A,'2025 EOY'!B:B),"No")</f>
        <v>No</v>
      </c>
    </row>
    <row r="974" spans="1:21" x14ac:dyDescent="0.35">
      <c r="A974" t="s">
        <v>127</v>
      </c>
      <c r="B974" s="174">
        <v>45819</v>
      </c>
      <c r="C974" s="10" t="s">
        <v>3</v>
      </c>
      <c r="D974" s="4" t="s">
        <v>128</v>
      </c>
      <c r="E974" s="253">
        <v>-500</v>
      </c>
      <c r="F974" s="172">
        <v>45900</v>
      </c>
      <c r="G974" s="172">
        <v>45930</v>
      </c>
      <c r="H974" s="15">
        <v>1.1000000000000001</v>
      </c>
      <c r="I974" s="192">
        <v>1.25</v>
      </c>
      <c r="J974" s="9">
        <v>-74.999999999999957</v>
      </c>
      <c r="K974">
        <v>-550</v>
      </c>
      <c r="L974" s="14" t="s">
        <v>77</v>
      </c>
      <c r="M974" s="8" t="s">
        <v>129</v>
      </c>
      <c r="N974">
        <v>-625</v>
      </c>
      <c r="O974" s="38" t="s">
        <v>4</v>
      </c>
      <c r="P974" s="38" t="s">
        <v>3</v>
      </c>
      <c r="Q974">
        <v>2025</v>
      </c>
      <c r="R974" t="s">
        <v>129</v>
      </c>
      <c r="S974" t="s">
        <v>14</v>
      </c>
      <c r="T974" t="s">
        <v>1188</v>
      </c>
      <c r="U974" t="str">
        <f>IFERROR(_xlfn.XLOOKUP(A974,'2025 EOY'!A:A,'2025 EOY'!B:B),"No")</f>
        <v>No</v>
      </c>
    </row>
    <row r="975" spans="1:21" x14ac:dyDescent="0.35">
      <c r="A975" t="s">
        <v>127</v>
      </c>
      <c r="B975" s="174">
        <v>45819</v>
      </c>
      <c r="C975" s="10" t="s">
        <v>3</v>
      </c>
      <c r="D975" s="4" t="s">
        <v>128</v>
      </c>
      <c r="E975" s="253">
        <v>-150</v>
      </c>
      <c r="F975" s="172">
        <v>45869</v>
      </c>
      <c r="G975" s="172">
        <v>45900</v>
      </c>
      <c r="H975" s="15">
        <v>1.2450000000000001</v>
      </c>
      <c r="I975" s="192">
        <v>1.64</v>
      </c>
      <c r="J975" s="9">
        <v>-59.249999999999972</v>
      </c>
      <c r="K975">
        <v>-186.75000000000003</v>
      </c>
      <c r="L975" s="14" t="s">
        <v>76</v>
      </c>
      <c r="M975" s="8" t="s">
        <v>129</v>
      </c>
      <c r="N975">
        <v>-245.99999999999997</v>
      </c>
      <c r="O975" s="38" t="s">
        <v>4</v>
      </c>
      <c r="P975" s="38" t="s">
        <v>3</v>
      </c>
      <c r="Q975">
        <v>2025</v>
      </c>
      <c r="R975" t="s">
        <v>129</v>
      </c>
      <c r="S975" t="s">
        <v>14</v>
      </c>
      <c r="T975" t="s">
        <v>1189</v>
      </c>
      <c r="U975" t="str">
        <f>IFERROR(_xlfn.XLOOKUP(A975,'2025 EOY'!A:A,'2025 EOY'!B:B),"No")</f>
        <v>No</v>
      </c>
    </row>
    <row r="976" spans="1:21" x14ac:dyDescent="0.35">
      <c r="A976" t="s">
        <v>127</v>
      </c>
      <c r="B976" s="174">
        <v>45819</v>
      </c>
      <c r="C976" s="10" t="s">
        <v>3</v>
      </c>
      <c r="D976" s="4" t="s">
        <v>128</v>
      </c>
      <c r="E976" s="253">
        <v>-150</v>
      </c>
      <c r="F976" s="172">
        <v>45900</v>
      </c>
      <c r="G976" s="172">
        <v>45930</v>
      </c>
      <c r="H976" s="15">
        <v>1.2450000000000001</v>
      </c>
      <c r="I976" s="192">
        <v>1.25</v>
      </c>
      <c r="J976" s="9">
        <v>-0.74999999999998401</v>
      </c>
      <c r="K976">
        <v>-186.75000000000003</v>
      </c>
      <c r="L976" s="14" t="s">
        <v>77</v>
      </c>
      <c r="M976" s="8" t="s">
        <v>129</v>
      </c>
      <c r="N976">
        <v>-187.5</v>
      </c>
      <c r="O976" s="38" t="s">
        <v>4</v>
      </c>
      <c r="P976" s="38" t="s">
        <v>3</v>
      </c>
      <c r="Q976">
        <v>2025</v>
      </c>
      <c r="R976" t="s">
        <v>129</v>
      </c>
      <c r="S976" t="s">
        <v>14</v>
      </c>
      <c r="T976" t="s">
        <v>1190</v>
      </c>
      <c r="U976" t="str">
        <f>IFERROR(_xlfn.XLOOKUP(A976,'2025 EOY'!A:A,'2025 EOY'!B:B),"No")</f>
        <v>No</v>
      </c>
    </row>
    <row r="977" spans="1:21" x14ac:dyDescent="0.35">
      <c r="A977" t="s">
        <v>127</v>
      </c>
      <c r="B977" s="174">
        <v>45819</v>
      </c>
      <c r="C977" s="10" t="s">
        <v>3</v>
      </c>
      <c r="D977" s="4" t="s">
        <v>128</v>
      </c>
      <c r="E977" s="259">
        <v>-1400</v>
      </c>
      <c r="F977" s="172">
        <v>45869</v>
      </c>
      <c r="G977" s="172">
        <v>45900</v>
      </c>
      <c r="H977" s="15">
        <v>1.64</v>
      </c>
      <c r="I977" s="192">
        <v>1.64</v>
      </c>
      <c r="J977" s="9">
        <v>0</v>
      </c>
      <c r="K977">
        <v>-2296</v>
      </c>
      <c r="L977" s="14" t="s">
        <v>76</v>
      </c>
      <c r="M977" s="8" t="s">
        <v>129</v>
      </c>
      <c r="N977">
        <v>-2296</v>
      </c>
      <c r="O977" s="38" t="s">
        <v>4</v>
      </c>
      <c r="P977" s="38" t="s">
        <v>3</v>
      </c>
      <c r="Q977">
        <v>2025</v>
      </c>
      <c r="R977" t="s">
        <v>129</v>
      </c>
      <c r="S977" t="s">
        <v>14</v>
      </c>
      <c r="T977" t="s">
        <v>1191</v>
      </c>
      <c r="U977" t="str">
        <f>IFERROR(_xlfn.XLOOKUP(A977,'2025 EOY'!A:A,'2025 EOY'!B:B),"No")</f>
        <v>No</v>
      </c>
    </row>
    <row r="978" spans="1:21" x14ac:dyDescent="0.35">
      <c r="A978" t="s">
        <v>127</v>
      </c>
      <c r="B978" s="12">
        <v>45824</v>
      </c>
      <c r="C978" s="10" t="s">
        <v>22</v>
      </c>
      <c r="D978" s="4" t="s">
        <v>128</v>
      </c>
      <c r="E978" s="267">
        <v>-221</v>
      </c>
      <c r="F978" t="s">
        <v>1046</v>
      </c>
      <c r="G978" s="172">
        <v>45838</v>
      </c>
      <c r="H978" s="15">
        <v>1.526</v>
      </c>
      <c r="I978" s="191">
        <v>1.526</v>
      </c>
      <c r="J978" s="9">
        <v>0</v>
      </c>
      <c r="K978">
        <v>-337.24599999999998</v>
      </c>
      <c r="L978" s="14" t="s">
        <v>85</v>
      </c>
      <c r="M978" s="8" t="s">
        <v>131</v>
      </c>
      <c r="N978">
        <v>331.8</v>
      </c>
      <c r="O978" s="38" t="s">
        <v>11</v>
      </c>
      <c r="P978" s="38" t="s">
        <v>16</v>
      </c>
      <c r="Q978">
        <v>2025</v>
      </c>
      <c r="R978" t="s">
        <v>129</v>
      </c>
      <c r="S978" t="s">
        <v>14</v>
      </c>
      <c r="T978" t="s">
        <v>1192</v>
      </c>
      <c r="U978" t="str">
        <f>IFERROR(_xlfn.XLOOKUP(A978,'2025 EOY'!A:A,'2025 EOY'!B:B),"No")</f>
        <v>No</v>
      </c>
    </row>
    <row r="979" spans="1:21" x14ac:dyDescent="0.35">
      <c r="A979" t="s">
        <v>127</v>
      </c>
      <c r="B979" s="12">
        <v>45824</v>
      </c>
      <c r="C979" s="10" t="s">
        <v>22</v>
      </c>
      <c r="D979" s="4" t="s">
        <v>128</v>
      </c>
      <c r="E979" s="267">
        <v>80</v>
      </c>
      <c r="F979" t="s">
        <v>1032</v>
      </c>
      <c r="G979" s="172">
        <v>45838</v>
      </c>
      <c r="H979" s="15">
        <v>1.81</v>
      </c>
      <c r="I979" s="191">
        <v>1.81</v>
      </c>
      <c r="J979" s="9">
        <v>0</v>
      </c>
      <c r="K979">
        <v>144.80000000000001</v>
      </c>
      <c r="L979" s="14" t="s">
        <v>84</v>
      </c>
      <c r="M979" s="8" t="s">
        <v>131</v>
      </c>
      <c r="N979">
        <v>331.8</v>
      </c>
      <c r="O979" s="38" t="s">
        <v>11</v>
      </c>
      <c r="P979" s="38" t="s">
        <v>16</v>
      </c>
      <c r="Q979">
        <v>2025</v>
      </c>
      <c r="R979" t="s">
        <v>131</v>
      </c>
      <c r="S979" t="s">
        <v>14</v>
      </c>
      <c r="T979" t="s">
        <v>1193</v>
      </c>
      <c r="U979" t="str">
        <f>IFERROR(_xlfn.XLOOKUP(A979,'2025 EOY'!A:A,'2025 EOY'!B:B),"No")</f>
        <v>No</v>
      </c>
    </row>
    <row r="980" spans="1:21" x14ac:dyDescent="0.35">
      <c r="A980" t="s">
        <v>1176</v>
      </c>
      <c r="B980" s="174">
        <v>45818</v>
      </c>
      <c r="C980" s="10" t="s">
        <v>3</v>
      </c>
      <c r="D980" s="4" t="s">
        <v>128</v>
      </c>
      <c r="E980" s="253">
        <v>200</v>
      </c>
      <c r="F980" s="172">
        <v>45869</v>
      </c>
      <c r="G980" s="172">
        <v>45900</v>
      </c>
      <c r="H980" s="189">
        <v>1.57</v>
      </c>
      <c r="I980" s="192">
        <v>1.64</v>
      </c>
      <c r="J980" s="9">
        <v>13.999999999999968</v>
      </c>
      <c r="K980">
        <v>314</v>
      </c>
      <c r="L980" s="14" t="s">
        <v>76</v>
      </c>
      <c r="M980" s="8" t="s">
        <v>131</v>
      </c>
      <c r="N980">
        <v>328</v>
      </c>
      <c r="O980" s="38" t="s">
        <v>4</v>
      </c>
      <c r="P980" s="38" t="s">
        <v>3</v>
      </c>
      <c r="Q980">
        <v>2025</v>
      </c>
      <c r="R980" t="s">
        <v>131</v>
      </c>
      <c r="S980" t="s">
        <v>14</v>
      </c>
      <c r="T980" t="s">
        <v>1194</v>
      </c>
      <c r="U980" t="str">
        <f>IFERROR(_xlfn.XLOOKUP(A980,'2025 EOY'!A:A,'2025 EOY'!B:B),"No")</f>
        <v>No</v>
      </c>
    </row>
    <row r="981" spans="1:21" x14ac:dyDescent="0.35">
      <c r="A981" t="s">
        <v>1176</v>
      </c>
      <c r="B981" s="174">
        <v>45818</v>
      </c>
      <c r="C981" s="10" t="s">
        <v>3</v>
      </c>
      <c r="D981" s="4" t="s">
        <v>128</v>
      </c>
      <c r="E981" s="253">
        <v>200</v>
      </c>
      <c r="F981" s="172">
        <v>45900</v>
      </c>
      <c r="G981" s="172">
        <v>45930</v>
      </c>
      <c r="H981" s="129">
        <v>1.57</v>
      </c>
      <c r="I981" s="192">
        <v>1.25</v>
      </c>
      <c r="J981" s="9">
        <v>-64.000000000000014</v>
      </c>
      <c r="K981">
        <v>314</v>
      </c>
      <c r="L981" s="14" t="s">
        <v>77</v>
      </c>
      <c r="M981" s="8" t="s">
        <v>131</v>
      </c>
      <c r="N981">
        <v>250</v>
      </c>
      <c r="O981" s="38" t="s">
        <v>4</v>
      </c>
      <c r="P981" s="38" t="s">
        <v>3</v>
      </c>
      <c r="Q981">
        <v>2025</v>
      </c>
      <c r="R981" t="s">
        <v>131</v>
      </c>
      <c r="S981" t="s">
        <v>14</v>
      </c>
      <c r="T981" t="s">
        <v>1195</v>
      </c>
      <c r="U981" t="str">
        <f>IFERROR(_xlfn.XLOOKUP(A981,'2025 EOY'!A:A,'2025 EOY'!B:B),"No")</f>
        <v>No</v>
      </c>
    </row>
    <row r="982" spans="1:21" x14ac:dyDescent="0.35">
      <c r="A982" t="s">
        <v>1176</v>
      </c>
      <c r="B982" s="174">
        <v>45818</v>
      </c>
      <c r="C982" s="10" t="s">
        <v>3</v>
      </c>
      <c r="D982" s="4" t="s">
        <v>128</v>
      </c>
      <c r="E982" s="253">
        <v>200</v>
      </c>
      <c r="F982" s="172">
        <v>45869</v>
      </c>
      <c r="G982" s="172">
        <v>45900</v>
      </c>
      <c r="H982" s="189">
        <v>1.68</v>
      </c>
      <c r="I982" s="192">
        <v>1.64</v>
      </c>
      <c r="J982" s="9">
        <v>-8.0000000000000071</v>
      </c>
      <c r="K982">
        <v>336</v>
      </c>
      <c r="L982" s="14" t="s">
        <v>76</v>
      </c>
      <c r="M982" s="8" t="s">
        <v>131</v>
      </c>
      <c r="N982">
        <v>328</v>
      </c>
      <c r="O982" s="38" t="s">
        <v>4</v>
      </c>
      <c r="P982" s="38" t="s">
        <v>3</v>
      </c>
      <c r="Q982">
        <v>2025</v>
      </c>
      <c r="R982" t="s">
        <v>131</v>
      </c>
      <c r="S982" t="s">
        <v>14</v>
      </c>
      <c r="T982" t="s">
        <v>1196</v>
      </c>
      <c r="U982" t="str">
        <f>IFERROR(_xlfn.XLOOKUP(A982,'2025 EOY'!A:A,'2025 EOY'!B:B),"No")</f>
        <v>No</v>
      </c>
    </row>
    <row r="983" spans="1:21" x14ac:dyDescent="0.35">
      <c r="A983" t="s">
        <v>1176</v>
      </c>
      <c r="B983" s="174">
        <v>45818</v>
      </c>
      <c r="C983" s="10" t="s">
        <v>3</v>
      </c>
      <c r="D983" s="4" t="s">
        <v>128</v>
      </c>
      <c r="E983" s="253">
        <v>200</v>
      </c>
      <c r="F983" s="172">
        <v>45869</v>
      </c>
      <c r="G983" s="172">
        <v>45900</v>
      </c>
      <c r="H983" s="189">
        <v>1.61</v>
      </c>
      <c r="I983" s="192">
        <v>1.64</v>
      </c>
      <c r="J983" s="9">
        <v>5.9999999999999609</v>
      </c>
      <c r="K983">
        <v>322</v>
      </c>
      <c r="L983" s="14" t="s">
        <v>76</v>
      </c>
      <c r="M983" s="8" t="s">
        <v>131</v>
      </c>
      <c r="N983">
        <v>328</v>
      </c>
      <c r="O983" s="38" t="s">
        <v>4</v>
      </c>
      <c r="P983" s="38" t="s">
        <v>3</v>
      </c>
      <c r="Q983">
        <v>2025</v>
      </c>
      <c r="R983" t="s">
        <v>131</v>
      </c>
      <c r="S983" t="s">
        <v>14</v>
      </c>
      <c r="T983" t="s">
        <v>1197</v>
      </c>
      <c r="U983" t="str">
        <f>IFERROR(_xlfn.XLOOKUP(A983,'2025 EOY'!A:A,'2025 EOY'!B:B),"No")</f>
        <v>No</v>
      </c>
    </row>
    <row r="984" spans="1:21" x14ac:dyDescent="0.35">
      <c r="A984" t="s">
        <v>1176</v>
      </c>
      <c r="B984" s="174">
        <v>45818</v>
      </c>
      <c r="C984" s="10" t="s">
        <v>3</v>
      </c>
      <c r="D984" s="4" t="s">
        <v>128</v>
      </c>
      <c r="E984" s="253">
        <v>742</v>
      </c>
      <c r="F984" s="172">
        <v>45869</v>
      </c>
      <c r="G984" s="172">
        <v>45900</v>
      </c>
      <c r="H984" s="189">
        <v>1.52</v>
      </c>
      <c r="I984" s="192">
        <v>1.64</v>
      </c>
      <c r="J984" s="9">
        <v>89.039999999999921</v>
      </c>
      <c r="K984">
        <v>1127.8399999999999</v>
      </c>
      <c r="L984" s="14" t="s">
        <v>76</v>
      </c>
      <c r="M984" s="8" t="s">
        <v>131</v>
      </c>
      <c r="N984">
        <v>1216.8799999999999</v>
      </c>
      <c r="O984" s="38" t="s">
        <v>4</v>
      </c>
      <c r="P984" s="38" t="s">
        <v>3</v>
      </c>
      <c r="Q984">
        <v>2025</v>
      </c>
      <c r="R984" t="s">
        <v>131</v>
      </c>
      <c r="S984" t="s">
        <v>14</v>
      </c>
      <c r="T984" t="s">
        <v>1198</v>
      </c>
      <c r="U984" t="str">
        <f>IFERROR(_xlfn.XLOOKUP(A984,'2025 EOY'!A:A,'2025 EOY'!B:B),"No")</f>
        <v>No</v>
      </c>
    </row>
    <row r="985" spans="1:21" x14ac:dyDescent="0.35">
      <c r="B985" s="174">
        <v>45818</v>
      </c>
      <c r="C985" s="10" t="s">
        <v>7</v>
      </c>
      <c r="D985" s="4" t="s">
        <v>128</v>
      </c>
      <c r="E985" s="253">
        <v>500</v>
      </c>
      <c r="F985" s="172">
        <v>45930</v>
      </c>
      <c r="G985" s="172">
        <v>45961</v>
      </c>
      <c r="H985" s="15">
        <v>0.89</v>
      </c>
      <c r="I985" s="192">
        <v>0.83</v>
      </c>
      <c r="J985" s="9">
        <v>-30.000000000000028</v>
      </c>
      <c r="K985">
        <v>445</v>
      </c>
      <c r="L985" s="14" t="s">
        <v>78</v>
      </c>
      <c r="M985" s="8" t="s">
        <v>131</v>
      </c>
      <c r="N985">
        <v>415</v>
      </c>
      <c r="O985" s="38" t="s">
        <v>4</v>
      </c>
      <c r="P985" s="38" t="s">
        <v>7</v>
      </c>
      <c r="Q985">
        <v>2025</v>
      </c>
      <c r="R985" t="s">
        <v>131</v>
      </c>
      <c r="S985" t="s">
        <v>14</v>
      </c>
      <c r="T985" t="s">
        <v>1199</v>
      </c>
      <c r="U985" t="str">
        <f>IFERROR(_xlfn.XLOOKUP(A985,'2025 EOY'!A:A,'2025 EOY'!B:B),"No")</f>
        <v>No</v>
      </c>
    </row>
    <row r="986" spans="1:21" x14ac:dyDescent="0.35">
      <c r="B986" s="174">
        <v>45825</v>
      </c>
      <c r="C986" s="10" t="s">
        <v>10</v>
      </c>
      <c r="D986" s="4" t="s">
        <v>128</v>
      </c>
      <c r="E986" s="253">
        <v>500</v>
      </c>
      <c r="F986" s="172">
        <v>45930</v>
      </c>
      <c r="G986" s="172">
        <v>45930</v>
      </c>
      <c r="H986" s="15">
        <v>-3.3</v>
      </c>
      <c r="I986" s="192">
        <v>-3.27</v>
      </c>
      <c r="J986" s="9">
        <v>14.999999999999902</v>
      </c>
      <c r="K986">
        <v>-1650</v>
      </c>
      <c r="L986" s="14" t="s">
        <v>86</v>
      </c>
      <c r="M986" s="8" t="s">
        <v>131</v>
      </c>
      <c r="N986">
        <v>-1635</v>
      </c>
      <c r="O986" s="38" t="s">
        <v>11</v>
      </c>
      <c r="P986" s="38" t="s">
        <v>10</v>
      </c>
      <c r="Q986">
        <v>2025</v>
      </c>
      <c r="R986" t="s">
        <v>131</v>
      </c>
      <c r="S986" t="s">
        <v>14</v>
      </c>
      <c r="T986" t="s">
        <v>1200</v>
      </c>
      <c r="U986" t="str">
        <f>IFERROR(_xlfn.XLOOKUP(A986,'2025 EOY'!A:A,'2025 EOY'!B:B),"No")</f>
        <v>No</v>
      </c>
    </row>
    <row r="987" spans="1:21" x14ac:dyDescent="0.35">
      <c r="B987" s="174">
        <v>45825</v>
      </c>
      <c r="C987" s="10" t="s">
        <v>10</v>
      </c>
      <c r="D987" s="4" t="s">
        <v>128</v>
      </c>
      <c r="E987" s="253">
        <v>200</v>
      </c>
      <c r="F987" s="172">
        <v>45900</v>
      </c>
      <c r="G987" s="172">
        <v>45900</v>
      </c>
      <c r="H987" s="15">
        <v>-3.1</v>
      </c>
      <c r="I987" s="192">
        <v>-2.5</v>
      </c>
      <c r="J987" s="9">
        <v>120.00000000000001</v>
      </c>
      <c r="K987">
        <v>-620</v>
      </c>
      <c r="L987" s="14" t="s">
        <v>81</v>
      </c>
      <c r="M987" s="8" t="s">
        <v>131</v>
      </c>
      <c r="N987">
        <v>-500</v>
      </c>
      <c r="O987" s="38" t="s">
        <v>11</v>
      </c>
      <c r="P987" s="38" t="s">
        <v>10</v>
      </c>
      <c r="Q987">
        <v>2025</v>
      </c>
      <c r="R987" t="s">
        <v>131</v>
      </c>
      <c r="S987" t="s">
        <v>14</v>
      </c>
      <c r="T987" t="s">
        <v>1201</v>
      </c>
      <c r="U987" t="str">
        <f>IFERROR(_xlfn.XLOOKUP(A987,'2025 EOY'!A:A,'2025 EOY'!B:B),"No")</f>
        <v>No</v>
      </c>
    </row>
    <row r="988" spans="1:21" x14ac:dyDescent="0.35">
      <c r="A988" t="s">
        <v>1202</v>
      </c>
      <c r="B988" s="174">
        <v>45825</v>
      </c>
      <c r="C988" s="187" t="s">
        <v>19</v>
      </c>
      <c r="D988" s="10" t="s">
        <v>268</v>
      </c>
      <c r="E988" s="259">
        <v>700</v>
      </c>
      <c r="F988" s="172">
        <v>45838</v>
      </c>
      <c r="G988" s="172">
        <v>45838</v>
      </c>
      <c r="H988" s="15">
        <v>1.0799999999999998</v>
      </c>
      <c r="I988" s="201">
        <v>0.45</v>
      </c>
      <c r="J988" s="9">
        <v>-440.99999999999994</v>
      </c>
      <c r="K988">
        <v>755.99999999999989</v>
      </c>
      <c r="L988" s="14" t="s">
        <v>73</v>
      </c>
      <c r="M988" s="8" t="s">
        <v>131</v>
      </c>
      <c r="N988">
        <v>315</v>
      </c>
      <c r="O988" s="38" t="s">
        <v>19</v>
      </c>
      <c r="P988" s="38" t="s">
        <v>19</v>
      </c>
      <c r="Q988">
        <v>2025</v>
      </c>
      <c r="R988" t="s">
        <v>131</v>
      </c>
      <c r="S988" t="s">
        <v>96</v>
      </c>
      <c r="T988" t="s">
        <v>1203</v>
      </c>
      <c r="U988" t="str">
        <f>IFERROR(_xlfn.XLOOKUP(A988,'2025 EOY'!A:A,'2025 EOY'!B:B),"No")</f>
        <v>No</v>
      </c>
    </row>
    <row r="989" spans="1:21" x14ac:dyDescent="0.35">
      <c r="A989" t="s">
        <v>1202</v>
      </c>
      <c r="B989" s="174">
        <v>45825</v>
      </c>
      <c r="C989" s="10" t="s">
        <v>3</v>
      </c>
      <c r="D989" s="4" t="s">
        <v>268</v>
      </c>
      <c r="E989" s="253">
        <v>-700</v>
      </c>
      <c r="F989" s="172">
        <v>45869</v>
      </c>
      <c r="G989" s="172">
        <v>45900</v>
      </c>
      <c r="H989" s="189">
        <v>1.44</v>
      </c>
      <c r="I989" s="192">
        <v>1.64</v>
      </c>
      <c r="J989" s="9">
        <v>-139.99999999999997</v>
      </c>
      <c r="K989">
        <v>-1008</v>
      </c>
      <c r="L989" s="14" t="s">
        <v>76</v>
      </c>
      <c r="M989" s="8" t="s">
        <v>129</v>
      </c>
      <c r="N989">
        <v>-1148</v>
      </c>
      <c r="O989" s="38" t="s">
        <v>4</v>
      </c>
      <c r="P989" s="38" t="s">
        <v>3</v>
      </c>
      <c r="Q989">
        <v>2025</v>
      </c>
      <c r="R989" t="s">
        <v>129</v>
      </c>
      <c r="S989" t="s">
        <v>14</v>
      </c>
      <c r="T989" t="s">
        <v>1204</v>
      </c>
      <c r="U989" t="str">
        <f>IFERROR(_xlfn.XLOOKUP(A989,'2025 EOY'!A:A,'2025 EOY'!B:B),"No")</f>
        <v>No</v>
      </c>
    </row>
    <row r="990" spans="1:21" x14ac:dyDescent="0.35">
      <c r="A990" t="s">
        <v>1202</v>
      </c>
      <c r="B990" s="174">
        <v>45825</v>
      </c>
      <c r="C990" s="10" t="s">
        <v>3</v>
      </c>
      <c r="D990" s="4" t="s">
        <v>268</v>
      </c>
      <c r="E990" s="253">
        <v>-700</v>
      </c>
      <c r="F990" s="172">
        <v>45900</v>
      </c>
      <c r="G990" s="172">
        <v>45930</v>
      </c>
      <c r="H990" s="129">
        <v>1.63</v>
      </c>
      <c r="I990" s="192">
        <v>1.25</v>
      </c>
      <c r="J990" s="9">
        <v>265.99999999999994</v>
      </c>
      <c r="K990">
        <v>-1141</v>
      </c>
      <c r="L990" s="14" t="s">
        <v>77</v>
      </c>
      <c r="M990" s="8" t="s">
        <v>129</v>
      </c>
      <c r="N990">
        <v>-875</v>
      </c>
      <c r="O990" s="38" t="s">
        <v>4</v>
      </c>
      <c r="P990" s="38" t="s">
        <v>3</v>
      </c>
      <c r="Q990">
        <v>2025</v>
      </c>
      <c r="R990" t="s">
        <v>129</v>
      </c>
      <c r="S990" t="s">
        <v>14</v>
      </c>
      <c r="T990" t="s">
        <v>1205</v>
      </c>
      <c r="U990" t="str">
        <f>IFERROR(_xlfn.XLOOKUP(A990,'2025 EOY'!A:A,'2025 EOY'!B:B),"No")</f>
        <v>No</v>
      </c>
    </row>
    <row r="991" spans="1:21" x14ac:dyDescent="0.35">
      <c r="A991" t="s">
        <v>1202</v>
      </c>
      <c r="B991" s="174">
        <v>45825</v>
      </c>
      <c r="C991" s="10" t="s">
        <v>10</v>
      </c>
      <c r="D991" s="4" t="s">
        <v>268</v>
      </c>
      <c r="E991" s="253">
        <v>-700</v>
      </c>
      <c r="F991" s="172">
        <v>45930</v>
      </c>
      <c r="G991" s="172">
        <v>45930</v>
      </c>
      <c r="H991" s="15">
        <v>-3.3</v>
      </c>
      <c r="I991" s="192">
        <v>-3.27</v>
      </c>
      <c r="J991" s="9">
        <v>-20.999999999999865</v>
      </c>
      <c r="K991">
        <v>2310</v>
      </c>
      <c r="L991" s="14" t="s">
        <v>86</v>
      </c>
      <c r="M991" s="8" t="s">
        <v>129</v>
      </c>
      <c r="N991">
        <v>2289</v>
      </c>
      <c r="O991" s="38" t="s">
        <v>11</v>
      </c>
      <c r="P991" s="38" t="s">
        <v>10</v>
      </c>
      <c r="Q991">
        <v>2025</v>
      </c>
      <c r="R991" t="s">
        <v>129</v>
      </c>
      <c r="S991" t="s">
        <v>14</v>
      </c>
      <c r="T991" t="s">
        <v>1206</v>
      </c>
      <c r="U991" t="str">
        <f>IFERROR(_xlfn.XLOOKUP(A991,'2025 EOY'!A:A,'2025 EOY'!B:B),"No")</f>
        <v>No</v>
      </c>
    </row>
    <row r="992" spans="1:21" x14ac:dyDescent="0.35">
      <c r="A992" t="s">
        <v>127</v>
      </c>
      <c r="B992" s="174">
        <v>45825</v>
      </c>
      <c r="C992" s="10" t="s">
        <v>3</v>
      </c>
      <c r="D992" s="4" t="s">
        <v>128</v>
      </c>
      <c r="E992" s="253">
        <v>1900</v>
      </c>
      <c r="F992" s="172">
        <v>45869</v>
      </c>
      <c r="G992" s="172">
        <v>45900</v>
      </c>
      <c r="H992" s="189">
        <v>1.5700000000000074</v>
      </c>
      <c r="I992" s="192">
        <v>1.64</v>
      </c>
      <c r="J992" s="9">
        <v>132.99999999998576</v>
      </c>
      <c r="K992">
        <v>2983.0000000000141</v>
      </c>
      <c r="L992" s="14" t="s">
        <v>76</v>
      </c>
      <c r="M992" s="8" t="s">
        <v>131</v>
      </c>
      <c r="N992">
        <v>3116</v>
      </c>
      <c r="O992" s="38" t="s">
        <v>4</v>
      </c>
      <c r="P992" s="38" t="s">
        <v>3</v>
      </c>
      <c r="Q992">
        <v>2025</v>
      </c>
      <c r="R992" t="s">
        <v>131</v>
      </c>
      <c r="S992" t="s">
        <v>14</v>
      </c>
      <c r="T992" t="s">
        <v>1207</v>
      </c>
      <c r="U992" t="str">
        <f>IFERROR(_xlfn.XLOOKUP(A992,'2025 EOY'!A:A,'2025 EOY'!B:B),"No")</f>
        <v>No</v>
      </c>
    </row>
    <row r="993" spans="1:23" x14ac:dyDescent="0.35">
      <c r="A993" t="s">
        <v>127</v>
      </c>
      <c r="B993" s="174">
        <v>45825</v>
      </c>
      <c r="C993" s="10" t="s">
        <v>3</v>
      </c>
      <c r="D993" s="4" t="s">
        <v>128</v>
      </c>
      <c r="E993" s="253">
        <v>1900</v>
      </c>
      <c r="F993" s="172">
        <v>45900</v>
      </c>
      <c r="G993" s="172">
        <v>45930</v>
      </c>
      <c r="H993" s="189">
        <v>1.7000000000000028</v>
      </c>
      <c r="I993" s="192">
        <v>1.25</v>
      </c>
      <c r="J993" s="9">
        <v>-855.00000000000546</v>
      </c>
      <c r="K993">
        <v>3230.0000000000055</v>
      </c>
      <c r="L993" s="14" t="s">
        <v>77</v>
      </c>
      <c r="M993" s="8" t="s">
        <v>131</v>
      </c>
      <c r="N993">
        <v>2375</v>
      </c>
      <c r="O993" s="38" t="s">
        <v>4</v>
      </c>
      <c r="P993" s="38" t="s">
        <v>3</v>
      </c>
      <c r="Q993">
        <v>2025</v>
      </c>
      <c r="R993" t="s">
        <v>131</v>
      </c>
      <c r="S993" t="s">
        <v>14</v>
      </c>
      <c r="T993" t="s">
        <v>1208</v>
      </c>
      <c r="U993" t="str">
        <f>IFERROR(_xlfn.XLOOKUP(A993,'2025 EOY'!A:A,'2025 EOY'!B:B),"No")</f>
        <v>No</v>
      </c>
    </row>
    <row r="994" spans="1:23" x14ac:dyDescent="0.35">
      <c r="A994" t="s">
        <v>127</v>
      </c>
      <c r="B994" s="174">
        <v>45825</v>
      </c>
      <c r="C994" s="10" t="s">
        <v>10</v>
      </c>
      <c r="D994" s="4" t="s">
        <v>128</v>
      </c>
      <c r="E994" s="253">
        <v>1900</v>
      </c>
      <c r="F994" s="172">
        <v>45930</v>
      </c>
      <c r="G994" s="172">
        <v>45930</v>
      </c>
      <c r="H994" s="189">
        <v>-3.3300000000000125</v>
      </c>
      <c r="I994" s="192">
        <v>-3.27</v>
      </c>
      <c r="J994" s="9">
        <v>114.00000000002373</v>
      </c>
      <c r="K994">
        <v>-6327.0000000000236</v>
      </c>
      <c r="L994" s="14" t="s">
        <v>86</v>
      </c>
      <c r="M994" s="8" t="s">
        <v>131</v>
      </c>
      <c r="N994">
        <v>-6213</v>
      </c>
      <c r="O994" s="38" t="s">
        <v>11</v>
      </c>
      <c r="P994" s="38" t="s">
        <v>10</v>
      </c>
      <c r="Q994">
        <v>2025</v>
      </c>
      <c r="R994" t="s">
        <v>131</v>
      </c>
      <c r="S994" t="s">
        <v>14</v>
      </c>
      <c r="T994" t="s">
        <v>1209</v>
      </c>
      <c r="U994" t="str">
        <f>IFERROR(_xlfn.XLOOKUP(A994,'2025 EOY'!A:A,'2025 EOY'!B:B),"No")</f>
        <v>No</v>
      </c>
    </row>
    <row r="995" spans="1:23" x14ac:dyDescent="0.35">
      <c r="A995" t="s">
        <v>127</v>
      </c>
      <c r="B995" s="174">
        <v>45826</v>
      </c>
      <c r="C995" s="10" t="s">
        <v>7</v>
      </c>
      <c r="D995" s="4" t="s">
        <v>128</v>
      </c>
      <c r="E995" s="253">
        <v>500</v>
      </c>
      <c r="F995" s="172">
        <v>45900</v>
      </c>
      <c r="G995" s="172">
        <v>45930</v>
      </c>
      <c r="H995" s="15">
        <v>1.43</v>
      </c>
      <c r="I995" s="192">
        <v>0.87</v>
      </c>
      <c r="J995" s="9">
        <v>-279.99999999999994</v>
      </c>
      <c r="K995">
        <v>715</v>
      </c>
      <c r="L995" s="14" t="s">
        <v>77</v>
      </c>
      <c r="M995" s="8" t="s">
        <v>131</v>
      </c>
      <c r="N995">
        <v>435</v>
      </c>
      <c r="O995" s="38" t="s">
        <v>4</v>
      </c>
      <c r="P995" s="38" t="s">
        <v>7</v>
      </c>
      <c r="Q995">
        <v>2025</v>
      </c>
      <c r="R995" t="s">
        <v>131</v>
      </c>
      <c r="S995" t="s">
        <v>14</v>
      </c>
      <c r="T995" t="s">
        <v>1210</v>
      </c>
      <c r="U995" t="str">
        <f>IFERROR(_xlfn.XLOOKUP(A995,'2025 EOY'!A:A,'2025 EOY'!B:B),"No")</f>
        <v>No</v>
      </c>
    </row>
    <row r="996" spans="1:23" x14ac:dyDescent="0.35">
      <c r="A996" t="s">
        <v>127</v>
      </c>
      <c r="B996" s="174">
        <v>45826</v>
      </c>
      <c r="C996" s="10" t="s">
        <v>7</v>
      </c>
      <c r="D996" s="4" t="s">
        <v>128</v>
      </c>
      <c r="E996" s="253">
        <v>500</v>
      </c>
      <c r="F996" s="172">
        <v>45900</v>
      </c>
      <c r="G996" s="172">
        <v>45930</v>
      </c>
      <c r="H996" s="15">
        <v>1.42</v>
      </c>
      <c r="I996" s="192">
        <v>0.87</v>
      </c>
      <c r="J996" s="9">
        <v>-274.99999999999994</v>
      </c>
      <c r="K996">
        <v>710</v>
      </c>
      <c r="L996" s="14" t="s">
        <v>77</v>
      </c>
      <c r="M996" s="8" t="s">
        <v>131</v>
      </c>
      <c r="N996">
        <v>435</v>
      </c>
      <c r="O996" s="38" t="s">
        <v>4</v>
      </c>
      <c r="P996" s="38" t="s">
        <v>7</v>
      </c>
      <c r="Q996">
        <v>2025</v>
      </c>
      <c r="R996" t="s">
        <v>131</v>
      </c>
      <c r="S996" t="s">
        <v>14</v>
      </c>
      <c r="T996" t="s">
        <v>1211</v>
      </c>
      <c r="U996" t="str">
        <f>IFERROR(_xlfn.XLOOKUP(A996,'2025 EOY'!A:A,'2025 EOY'!B:B),"No")</f>
        <v>No</v>
      </c>
    </row>
    <row r="997" spans="1:23" x14ac:dyDescent="0.35">
      <c r="A997" t="s">
        <v>127</v>
      </c>
      <c r="B997" s="174">
        <v>45826</v>
      </c>
      <c r="C997" s="10" t="s">
        <v>7</v>
      </c>
      <c r="D997" s="4" t="s">
        <v>128</v>
      </c>
      <c r="E997" s="253">
        <v>500</v>
      </c>
      <c r="F997" s="172">
        <v>45930</v>
      </c>
      <c r="G997" s="172">
        <v>45961</v>
      </c>
      <c r="H997" s="15">
        <v>1.1499999999999999</v>
      </c>
      <c r="I997" s="192">
        <v>0.83</v>
      </c>
      <c r="J997" s="9">
        <v>-159.99999999999997</v>
      </c>
      <c r="K997">
        <v>575</v>
      </c>
      <c r="L997" s="14" t="s">
        <v>78</v>
      </c>
      <c r="M997" s="8" t="s">
        <v>131</v>
      </c>
      <c r="N997">
        <v>415</v>
      </c>
      <c r="O997" s="38" t="s">
        <v>4</v>
      </c>
      <c r="P997" s="38" t="s">
        <v>7</v>
      </c>
      <c r="Q997">
        <v>2025</v>
      </c>
      <c r="R997" t="s">
        <v>131</v>
      </c>
      <c r="S997" t="s">
        <v>14</v>
      </c>
      <c r="T997" t="s">
        <v>1212</v>
      </c>
      <c r="U997" t="str">
        <f>IFERROR(_xlfn.XLOOKUP(A997,'2025 EOY'!A:A,'2025 EOY'!B:B),"No")</f>
        <v>No</v>
      </c>
    </row>
    <row r="998" spans="1:23" x14ac:dyDescent="0.35">
      <c r="A998" t="s">
        <v>127</v>
      </c>
      <c r="B998" s="174">
        <v>45825</v>
      </c>
      <c r="C998" s="10" t="s">
        <v>10</v>
      </c>
      <c r="D998" s="4" t="s">
        <v>128</v>
      </c>
      <c r="E998" s="253">
        <v>1000</v>
      </c>
      <c r="F998" s="172">
        <v>45900</v>
      </c>
      <c r="G998" s="172">
        <v>45900</v>
      </c>
      <c r="H998" s="189">
        <v>-3.15</v>
      </c>
      <c r="I998" s="192">
        <v>-2.5</v>
      </c>
      <c r="J998" s="9">
        <v>649.99999999999989</v>
      </c>
      <c r="K998">
        <v>-3150</v>
      </c>
      <c r="L998" s="14" t="s">
        <v>81</v>
      </c>
      <c r="M998" s="8" t="s">
        <v>131</v>
      </c>
      <c r="N998">
        <v>-2500</v>
      </c>
      <c r="O998" s="38" t="s">
        <v>11</v>
      </c>
      <c r="P998" s="38" t="s">
        <v>10</v>
      </c>
      <c r="Q998">
        <v>2025</v>
      </c>
      <c r="R998" t="s">
        <v>131</v>
      </c>
      <c r="S998" t="s">
        <v>14</v>
      </c>
      <c r="T998" t="s">
        <v>1213</v>
      </c>
      <c r="U998" t="str">
        <f>IFERROR(_xlfn.XLOOKUP(A998,'2025 EOY'!A:A,'2025 EOY'!B:B),"No")</f>
        <v>No</v>
      </c>
    </row>
    <row r="999" spans="1:23" x14ac:dyDescent="0.35">
      <c r="A999" t="s">
        <v>127</v>
      </c>
      <c r="B999" s="174">
        <v>45825</v>
      </c>
      <c r="C999" s="10" t="s">
        <v>3</v>
      </c>
      <c r="D999" s="4" t="s">
        <v>128</v>
      </c>
      <c r="E999" s="253">
        <v>-942</v>
      </c>
      <c r="F999" s="172">
        <v>45869</v>
      </c>
      <c r="G999" s="172">
        <v>45900</v>
      </c>
      <c r="H999" s="189">
        <v>1.64</v>
      </c>
      <c r="I999" s="192">
        <v>1.64</v>
      </c>
      <c r="J999" s="9">
        <v>0</v>
      </c>
      <c r="K999">
        <v>-1544.8799999999999</v>
      </c>
      <c r="L999" s="14" t="s">
        <v>76</v>
      </c>
      <c r="M999" s="8" t="s">
        <v>129</v>
      </c>
      <c r="N999">
        <v>-1544.8799999999999</v>
      </c>
      <c r="O999" s="38" t="s">
        <v>4</v>
      </c>
      <c r="P999" s="38" t="s">
        <v>3</v>
      </c>
      <c r="Q999">
        <v>2025</v>
      </c>
      <c r="R999" t="s">
        <v>129</v>
      </c>
      <c r="S999" t="s">
        <v>14</v>
      </c>
      <c r="T999" t="s">
        <v>1214</v>
      </c>
      <c r="U999" t="str">
        <f>IFERROR(_xlfn.XLOOKUP(A999,'2025 EOY'!A:A,'2025 EOY'!B:B),"No")</f>
        <v>No</v>
      </c>
    </row>
    <row r="1000" spans="1:23" x14ac:dyDescent="0.35">
      <c r="A1000" t="s">
        <v>127</v>
      </c>
      <c r="B1000" s="174">
        <v>45825</v>
      </c>
      <c r="C1000" s="10" t="s">
        <v>3</v>
      </c>
      <c r="D1000" s="4" t="s">
        <v>128</v>
      </c>
      <c r="E1000" s="253">
        <v>-500</v>
      </c>
      <c r="F1000" s="172">
        <v>45869</v>
      </c>
      <c r="G1000" s="172">
        <v>45900</v>
      </c>
      <c r="H1000" s="189">
        <v>1.0900000000000034</v>
      </c>
      <c r="I1000" s="192">
        <v>1.64</v>
      </c>
      <c r="J1000" s="9">
        <v>-274.99999999999824</v>
      </c>
      <c r="K1000">
        <v>-545.00000000000171</v>
      </c>
      <c r="L1000" s="14" t="s">
        <v>76</v>
      </c>
      <c r="M1000" s="8" t="s">
        <v>129</v>
      </c>
      <c r="N1000">
        <v>-820</v>
      </c>
      <c r="O1000" s="38" t="s">
        <v>4</v>
      </c>
      <c r="P1000" s="38" t="s">
        <v>3</v>
      </c>
      <c r="Q1000">
        <v>2025</v>
      </c>
      <c r="R1000" t="s">
        <v>129</v>
      </c>
      <c r="S1000" t="s">
        <v>14</v>
      </c>
      <c r="T1000" t="s">
        <v>1215</v>
      </c>
      <c r="U1000" t="str">
        <f>IFERROR(_xlfn.XLOOKUP(A1000,'2025 EOY'!A:A,'2025 EOY'!B:B),"No")</f>
        <v>No</v>
      </c>
    </row>
    <row r="1001" spans="1:23" x14ac:dyDescent="0.35">
      <c r="A1001" t="s">
        <v>127</v>
      </c>
      <c r="B1001" s="174">
        <v>45825</v>
      </c>
      <c r="C1001" s="10" t="s">
        <v>3</v>
      </c>
      <c r="D1001" s="4" t="s">
        <v>128</v>
      </c>
      <c r="E1001" s="253">
        <v>500</v>
      </c>
      <c r="F1001" s="172">
        <v>45900</v>
      </c>
      <c r="G1001" s="172">
        <v>45930</v>
      </c>
      <c r="H1001" s="189">
        <v>1.8299999999999983</v>
      </c>
      <c r="I1001" s="192">
        <v>1.25</v>
      </c>
      <c r="J1001" s="9">
        <v>-289.99999999999915</v>
      </c>
      <c r="K1001">
        <v>914.99999999999909</v>
      </c>
      <c r="L1001" s="14" t="s">
        <v>77</v>
      </c>
      <c r="M1001" s="8" t="s">
        <v>131</v>
      </c>
      <c r="N1001">
        <v>625</v>
      </c>
      <c r="O1001" s="38" t="s">
        <v>4</v>
      </c>
      <c r="P1001" s="38" t="s">
        <v>3</v>
      </c>
      <c r="Q1001">
        <v>2025</v>
      </c>
      <c r="R1001" t="s">
        <v>131</v>
      </c>
      <c r="S1001" t="s">
        <v>14</v>
      </c>
      <c r="T1001" t="s">
        <v>1216</v>
      </c>
      <c r="U1001" t="str">
        <f>IFERROR(_xlfn.XLOOKUP(A1001,'2025 EOY'!A:A,'2025 EOY'!B:B),"No")</f>
        <v>No</v>
      </c>
    </row>
    <row r="1002" spans="1:23" x14ac:dyDescent="0.35">
      <c r="A1002" t="s">
        <v>127</v>
      </c>
      <c r="B1002" s="174">
        <v>45825</v>
      </c>
      <c r="C1002" s="10" t="s">
        <v>25</v>
      </c>
      <c r="D1002" s="4" t="s">
        <v>128</v>
      </c>
      <c r="E1002" s="253">
        <v>500</v>
      </c>
      <c r="F1002" s="172">
        <v>45869</v>
      </c>
      <c r="G1002" s="172">
        <v>45900</v>
      </c>
      <c r="H1002" s="189">
        <v>1.0900000000000034</v>
      </c>
      <c r="I1002" s="192">
        <v>1.64</v>
      </c>
      <c r="J1002" s="9">
        <v>274.99999999999824</v>
      </c>
      <c r="K1002">
        <v>545.00000000000171</v>
      </c>
      <c r="L1002" s="14" t="s">
        <v>76</v>
      </c>
      <c r="M1002" s="8" t="s">
        <v>131</v>
      </c>
      <c r="N1002">
        <v>820</v>
      </c>
      <c r="O1002" s="38" t="s">
        <v>4</v>
      </c>
      <c r="P1002" s="38" t="s">
        <v>3</v>
      </c>
      <c r="Q1002">
        <v>2025</v>
      </c>
      <c r="R1002" t="s">
        <v>131</v>
      </c>
      <c r="S1002" t="s">
        <v>14</v>
      </c>
      <c r="T1002" t="s">
        <v>1217</v>
      </c>
      <c r="U1002" t="str">
        <f>IFERROR(_xlfn.XLOOKUP(A1002,'2025 EOY'!A:A,'2025 EOY'!B:B),"No")</f>
        <v>No</v>
      </c>
    </row>
    <row r="1003" spans="1:23" x14ac:dyDescent="0.35">
      <c r="A1003" t="s">
        <v>127</v>
      </c>
      <c r="B1003" s="174">
        <v>45825</v>
      </c>
      <c r="C1003" s="10" t="s">
        <v>25</v>
      </c>
      <c r="D1003" s="4" t="s">
        <v>128</v>
      </c>
      <c r="E1003" s="253">
        <v>-500</v>
      </c>
      <c r="F1003" s="172">
        <v>45900</v>
      </c>
      <c r="G1003" s="172">
        <v>45930</v>
      </c>
      <c r="H1003" s="189">
        <v>1.8299999999999983</v>
      </c>
      <c r="I1003" s="192">
        <v>1.25</v>
      </c>
      <c r="J1003" s="9">
        <v>289.99999999999915</v>
      </c>
      <c r="K1003">
        <v>-914.99999999999909</v>
      </c>
      <c r="L1003" s="14" t="s">
        <v>77</v>
      </c>
      <c r="M1003" s="8" t="s">
        <v>129</v>
      </c>
      <c r="N1003">
        <v>-625</v>
      </c>
      <c r="O1003" s="38" t="s">
        <v>4</v>
      </c>
      <c r="P1003" s="38" t="s">
        <v>3</v>
      </c>
      <c r="Q1003">
        <v>2025</v>
      </c>
      <c r="R1003" t="s">
        <v>129</v>
      </c>
      <c r="S1003" t="s">
        <v>14</v>
      </c>
      <c r="T1003" t="s">
        <v>1218</v>
      </c>
      <c r="U1003" t="str">
        <f>IFERROR(_xlfn.XLOOKUP(A1003,'2025 EOY'!A:A,'2025 EOY'!B:B),"No")</f>
        <v>No</v>
      </c>
    </row>
    <row r="1004" spans="1:23" x14ac:dyDescent="0.35">
      <c r="A1004" t="s">
        <v>127</v>
      </c>
      <c r="B1004" s="174">
        <v>45825</v>
      </c>
      <c r="C1004" s="10" t="s">
        <v>10</v>
      </c>
      <c r="D1004" s="4" t="s">
        <v>128</v>
      </c>
      <c r="E1004" s="253">
        <v>709</v>
      </c>
      <c r="F1004" s="172">
        <v>45900</v>
      </c>
      <c r="G1004" s="172">
        <v>45900</v>
      </c>
      <c r="H1004" s="189">
        <v>-3.2</v>
      </c>
      <c r="I1004" s="192">
        <v>-2.5</v>
      </c>
      <c r="J1004" s="9">
        <v>496.30000000000013</v>
      </c>
      <c r="K1004">
        <v>-2268.8000000000002</v>
      </c>
      <c r="L1004" s="14" t="s">
        <v>81</v>
      </c>
      <c r="M1004" s="8" t="s">
        <v>131</v>
      </c>
      <c r="N1004">
        <v>-1772.5</v>
      </c>
      <c r="O1004" s="38" t="s">
        <v>11</v>
      </c>
      <c r="P1004" s="38" t="s">
        <v>10</v>
      </c>
      <c r="Q1004">
        <v>2025</v>
      </c>
      <c r="R1004" t="s">
        <v>131</v>
      </c>
      <c r="S1004" t="s">
        <v>14</v>
      </c>
      <c r="T1004" t="s">
        <v>1219</v>
      </c>
      <c r="U1004" t="str">
        <f>IFERROR(_xlfn.XLOOKUP(A1004,'2025 EOY'!A:A,'2025 EOY'!B:B),"No")</f>
        <v>No</v>
      </c>
    </row>
    <row r="1005" spans="1:23" x14ac:dyDescent="0.35">
      <c r="A1005" t="s">
        <v>127</v>
      </c>
      <c r="B1005" s="174">
        <v>45825</v>
      </c>
      <c r="C1005" s="10" t="s">
        <v>3</v>
      </c>
      <c r="D1005" s="4" t="s">
        <v>128</v>
      </c>
      <c r="E1005" s="253">
        <v>500</v>
      </c>
      <c r="F1005" s="172">
        <v>45900</v>
      </c>
      <c r="G1005" s="172">
        <v>45930</v>
      </c>
      <c r="H1005" s="189">
        <v>1.6</v>
      </c>
      <c r="I1005" s="192">
        <v>1.25</v>
      </c>
      <c r="J1005" s="9">
        <v>-175.00000000000006</v>
      </c>
      <c r="K1005">
        <v>800</v>
      </c>
      <c r="L1005" s="14" t="s">
        <v>77</v>
      </c>
      <c r="M1005" s="8" t="s">
        <v>131</v>
      </c>
      <c r="N1005">
        <v>625</v>
      </c>
      <c r="O1005" s="38" t="s">
        <v>4</v>
      </c>
      <c r="P1005" s="38" t="s">
        <v>3</v>
      </c>
      <c r="Q1005">
        <v>2025</v>
      </c>
      <c r="R1005" t="s">
        <v>131</v>
      </c>
      <c r="S1005" t="s">
        <v>14</v>
      </c>
      <c r="T1005" t="s">
        <v>1220</v>
      </c>
      <c r="U1005" t="str">
        <f>IFERROR(_xlfn.XLOOKUP(A1005,'2025 EOY'!A:A,'2025 EOY'!B:B),"No")</f>
        <v>No</v>
      </c>
    </row>
    <row r="1006" spans="1:23" x14ac:dyDescent="0.35">
      <c r="A1006" s="37" t="s">
        <v>1221</v>
      </c>
      <c r="B1006" s="12">
        <v>45831</v>
      </c>
      <c r="C1006" s="10" t="s">
        <v>19</v>
      </c>
      <c r="D1006" s="4" t="s">
        <v>268</v>
      </c>
      <c r="E1006" s="264"/>
      <c r="F1006" s="172">
        <v>45900</v>
      </c>
      <c r="G1006" s="172">
        <v>45900</v>
      </c>
      <c r="H1006" s="120">
        <v>-0.10999999999999988</v>
      </c>
      <c r="I1006" s="192">
        <v>0.04</v>
      </c>
      <c r="J1006" s="9">
        <v>0</v>
      </c>
      <c r="K1006">
        <v>0</v>
      </c>
      <c r="L1006" s="14" t="s">
        <v>81</v>
      </c>
      <c r="M1006" s="8" t="s">
        <v>131</v>
      </c>
      <c r="N1006">
        <v>0</v>
      </c>
      <c r="O1006" s="38" t="s">
        <v>19</v>
      </c>
      <c r="P1006" s="38" t="s">
        <v>19</v>
      </c>
      <c r="Q1006">
        <v>2025</v>
      </c>
      <c r="R1006" t="s">
        <v>129</v>
      </c>
      <c r="S1006" t="s">
        <v>96</v>
      </c>
      <c r="T1006" t="s">
        <v>1222</v>
      </c>
      <c r="U1006" t="str">
        <f>IFERROR(_xlfn.XLOOKUP(A1006,'2025 EOY'!A:A,'2025 EOY'!B:B),"No")</f>
        <v>No</v>
      </c>
    </row>
    <row r="1007" spans="1:23" x14ac:dyDescent="0.35">
      <c r="A1007" s="37" t="s">
        <v>1221</v>
      </c>
      <c r="B1007" s="12">
        <v>45831</v>
      </c>
      <c r="C1007" s="10" t="s">
        <v>10</v>
      </c>
      <c r="D1007" s="4" t="s">
        <v>268</v>
      </c>
      <c r="E1007" s="265">
        <v>0</v>
      </c>
      <c r="F1007" s="172">
        <v>45900</v>
      </c>
      <c r="G1007" s="172">
        <v>45900</v>
      </c>
      <c r="H1007" s="120">
        <v>-2.97</v>
      </c>
      <c r="I1007" s="192">
        <v>-2.5</v>
      </c>
      <c r="J1007" s="9">
        <v>0</v>
      </c>
      <c r="K1007">
        <v>0</v>
      </c>
      <c r="L1007" s="14" t="s">
        <v>81</v>
      </c>
      <c r="M1007" s="8" t="s">
        <v>131</v>
      </c>
      <c r="N1007">
        <v>0</v>
      </c>
      <c r="O1007" s="38" t="s">
        <v>11</v>
      </c>
      <c r="P1007" s="38" t="s">
        <v>10</v>
      </c>
      <c r="Q1007">
        <v>2025</v>
      </c>
      <c r="R1007" t="s">
        <v>129</v>
      </c>
      <c r="S1007" t="s">
        <v>14</v>
      </c>
      <c r="T1007" t="s">
        <v>1223</v>
      </c>
      <c r="U1007" t="str">
        <f>IFERROR(_xlfn.XLOOKUP(A1007,'2025 EOY'!A:A,'2025 EOY'!B:B),"No")</f>
        <v>No</v>
      </c>
      <c r="V1007" s="4"/>
      <c r="W1007" s="4"/>
    </row>
    <row r="1008" spans="1:23" x14ac:dyDescent="0.35">
      <c r="A1008" s="37" t="s">
        <v>1221</v>
      </c>
      <c r="B1008" s="12">
        <v>45831</v>
      </c>
      <c r="C1008" s="47" t="s">
        <v>36</v>
      </c>
      <c r="D1008" s="10" t="s">
        <v>268</v>
      </c>
      <c r="E1008" s="265">
        <v>0</v>
      </c>
      <c r="F1008" s="172"/>
      <c r="G1008" s="172"/>
      <c r="H1008" s="212"/>
      <c r="I1008" s="206"/>
      <c r="J1008" s="9"/>
      <c r="K1008">
        <v>0</v>
      </c>
      <c r="L1008" s="14" t="s">
        <v>88</v>
      </c>
      <c r="M1008" s="8" t="s">
        <v>131</v>
      </c>
      <c r="N1008">
        <v>0</v>
      </c>
      <c r="O1008" s="38" t="s">
        <v>29</v>
      </c>
      <c r="P1008" s="38" t="s">
        <v>29</v>
      </c>
      <c r="Q1008">
        <v>1900</v>
      </c>
      <c r="R1008" t="s">
        <v>129</v>
      </c>
      <c r="S1008" t="s">
        <v>14</v>
      </c>
      <c r="T1008" t="s">
        <v>1224</v>
      </c>
      <c r="U1008" t="str">
        <f>IFERROR(_xlfn.XLOOKUP(A1008,'2025 EOY'!A:A,'2025 EOY'!B:B),"No")</f>
        <v>No</v>
      </c>
      <c r="V1008" s="4"/>
      <c r="W1008" s="4"/>
    </row>
    <row r="1009" spans="1:23" x14ac:dyDescent="0.35">
      <c r="A1009" s="37" t="s">
        <v>1221</v>
      </c>
      <c r="B1009" s="12">
        <v>45831</v>
      </c>
      <c r="C1009" s="47" t="s">
        <v>39</v>
      </c>
      <c r="D1009" s="10" t="s">
        <v>268</v>
      </c>
      <c r="E1009" s="265">
        <v>0</v>
      </c>
      <c r="F1009" s="172"/>
      <c r="G1009" s="172"/>
      <c r="H1009" s="212"/>
      <c r="I1009" s="206"/>
      <c r="J1009" s="9"/>
      <c r="K1009">
        <v>0</v>
      </c>
      <c r="L1009" s="14" t="s">
        <v>88</v>
      </c>
      <c r="M1009" s="8" t="s">
        <v>131</v>
      </c>
      <c r="N1009">
        <v>0</v>
      </c>
      <c r="O1009" s="38" t="s">
        <v>29</v>
      </c>
      <c r="P1009" s="38" t="s">
        <v>29</v>
      </c>
      <c r="Q1009">
        <v>1900</v>
      </c>
      <c r="R1009" t="s">
        <v>129</v>
      </c>
      <c r="S1009" t="s">
        <v>14</v>
      </c>
      <c r="T1009" t="s">
        <v>1225</v>
      </c>
      <c r="U1009" t="str">
        <f>IFERROR(_xlfn.XLOOKUP(A1009,'2025 EOY'!A:A,'2025 EOY'!B:B),"No")</f>
        <v>No</v>
      </c>
      <c r="V1009" s="4"/>
      <c r="W1009" s="4"/>
    </row>
    <row r="1010" spans="1:23" x14ac:dyDescent="0.35">
      <c r="A1010" s="37" t="s">
        <v>1226</v>
      </c>
      <c r="B1010" s="12">
        <v>45831</v>
      </c>
      <c r="C1010" s="10" t="s">
        <v>19</v>
      </c>
      <c r="D1010" s="4" t="s">
        <v>268</v>
      </c>
      <c r="E1010" s="264"/>
      <c r="F1010" s="172">
        <v>45900</v>
      </c>
      <c r="G1010" s="172">
        <v>45900</v>
      </c>
      <c r="H1010" s="120">
        <v>0</v>
      </c>
      <c r="I1010" s="192">
        <v>0.04</v>
      </c>
      <c r="J1010" s="9">
        <v>0</v>
      </c>
      <c r="K1010">
        <v>0</v>
      </c>
      <c r="L1010" s="14" t="s">
        <v>81</v>
      </c>
      <c r="M1010" s="8" t="s">
        <v>131</v>
      </c>
      <c r="N1010">
        <v>0</v>
      </c>
      <c r="O1010" s="38" t="s">
        <v>19</v>
      </c>
      <c r="P1010" s="38" t="s">
        <v>19</v>
      </c>
      <c r="Q1010">
        <v>2025</v>
      </c>
      <c r="R1010" t="s">
        <v>129</v>
      </c>
      <c r="S1010" t="s">
        <v>96</v>
      </c>
      <c r="T1010" t="s">
        <v>1227</v>
      </c>
      <c r="U1010" t="str">
        <f>IFERROR(_xlfn.XLOOKUP(A1010,'2025 EOY'!A:A,'2025 EOY'!B:B),"No")</f>
        <v>No</v>
      </c>
    </row>
    <row r="1011" spans="1:23" x14ac:dyDescent="0.35">
      <c r="A1011" s="37" t="s">
        <v>1226</v>
      </c>
      <c r="B1011" s="12">
        <v>45831</v>
      </c>
      <c r="C1011" s="10" t="s">
        <v>10</v>
      </c>
      <c r="D1011" s="4" t="s">
        <v>268</v>
      </c>
      <c r="E1011" s="265">
        <v>0</v>
      </c>
      <c r="F1011" s="172">
        <v>45900</v>
      </c>
      <c r="G1011" s="172">
        <v>45900</v>
      </c>
      <c r="H1011" s="120">
        <v>-2.97</v>
      </c>
      <c r="I1011" s="192">
        <v>-2.5</v>
      </c>
      <c r="J1011" s="9">
        <v>0</v>
      </c>
      <c r="K1011">
        <v>0</v>
      </c>
      <c r="L1011" s="14" t="s">
        <v>81</v>
      </c>
      <c r="M1011" s="8" t="s">
        <v>131</v>
      </c>
      <c r="N1011">
        <v>0</v>
      </c>
      <c r="O1011" s="38" t="s">
        <v>11</v>
      </c>
      <c r="P1011" s="38" t="s">
        <v>10</v>
      </c>
      <c r="Q1011">
        <v>2025</v>
      </c>
      <c r="R1011" t="s">
        <v>129</v>
      </c>
      <c r="S1011" t="s">
        <v>14</v>
      </c>
      <c r="T1011" t="s">
        <v>1228</v>
      </c>
      <c r="U1011" t="str">
        <f>IFERROR(_xlfn.XLOOKUP(A1011,'2025 EOY'!A:A,'2025 EOY'!B:B),"No")</f>
        <v>No</v>
      </c>
    </row>
    <row r="1012" spans="1:23" x14ac:dyDescent="0.35">
      <c r="A1012" s="37" t="s">
        <v>1226</v>
      </c>
      <c r="B1012" s="12">
        <v>45831</v>
      </c>
      <c r="C1012" s="47" t="s">
        <v>36</v>
      </c>
      <c r="D1012" s="10" t="s">
        <v>268</v>
      </c>
      <c r="E1012" s="265">
        <v>0</v>
      </c>
      <c r="F1012" s="172"/>
      <c r="G1012" s="172"/>
      <c r="H1012" s="212"/>
      <c r="I1012" s="206"/>
      <c r="J1012" s="9"/>
      <c r="K1012">
        <v>0</v>
      </c>
      <c r="L1012" s="14" t="s">
        <v>88</v>
      </c>
      <c r="M1012" s="8" t="s">
        <v>131</v>
      </c>
      <c r="N1012">
        <v>0</v>
      </c>
      <c r="O1012" s="38" t="s">
        <v>29</v>
      </c>
      <c r="P1012" s="38" t="s">
        <v>29</v>
      </c>
      <c r="Q1012">
        <v>1900</v>
      </c>
      <c r="R1012" t="s">
        <v>129</v>
      </c>
      <c r="S1012" t="s">
        <v>14</v>
      </c>
      <c r="T1012" t="s">
        <v>1229</v>
      </c>
      <c r="U1012" t="str">
        <f>IFERROR(_xlfn.XLOOKUP(A1012,'2025 EOY'!A:A,'2025 EOY'!B:B),"No")</f>
        <v>No</v>
      </c>
    </row>
    <row r="1013" spans="1:23" x14ac:dyDescent="0.35">
      <c r="A1013" s="37" t="s">
        <v>1226</v>
      </c>
      <c r="B1013" s="12">
        <v>45831</v>
      </c>
      <c r="C1013" s="47" t="s">
        <v>39</v>
      </c>
      <c r="D1013" s="10" t="s">
        <v>268</v>
      </c>
      <c r="E1013" s="265">
        <v>0</v>
      </c>
      <c r="F1013" s="172"/>
      <c r="G1013" s="172"/>
      <c r="H1013" s="212"/>
      <c r="I1013" s="206"/>
      <c r="J1013" s="9"/>
      <c r="K1013">
        <v>0</v>
      </c>
      <c r="L1013" s="14" t="s">
        <v>88</v>
      </c>
      <c r="M1013" s="8" t="s">
        <v>131</v>
      </c>
      <c r="N1013">
        <v>0</v>
      </c>
      <c r="O1013" s="38" t="s">
        <v>29</v>
      </c>
      <c r="P1013" s="38" t="s">
        <v>29</v>
      </c>
      <c r="Q1013">
        <v>1900</v>
      </c>
      <c r="R1013" t="s">
        <v>129</v>
      </c>
      <c r="S1013" t="s">
        <v>14</v>
      </c>
      <c r="T1013" t="s">
        <v>1230</v>
      </c>
      <c r="U1013" t="str">
        <f>IFERROR(_xlfn.XLOOKUP(A1013,'2025 EOY'!A:A,'2025 EOY'!B:B),"No")</f>
        <v>No</v>
      </c>
    </row>
    <row r="1014" spans="1:23" x14ac:dyDescent="0.35">
      <c r="A1014" s="37" t="s">
        <v>1231</v>
      </c>
      <c r="B1014" s="12">
        <v>45831</v>
      </c>
      <c r="C1014" s="10" t="s">
        <v>19</v>
      </c>
      <c r="D1014" s="4" t="s">
        <v>268</v>
      </c>
      <c r="E1014" s="264"/>
      <c r="F1014" s="172">
        <v>45900</v>
      </c>
      <c r="G1014" s="172">
        <v>45900</v>
      </c>
      <c r="H1014" s="120">
        <v>700</v>
      </c>
      <c r="I1014" s="192">
        <v>0.04</v>
      </c>
      <c r="J1014" s="9">
        <v>0</v>
      </c>
      <c r="K1014">
        <v>0</v>
      </c>
      <c r="L1014" s="14" t="s">
        <v>81</v>
      </c>
      <c r="M1014" s="8" t="s">
        <v>131</v>
      </c>
      <c r="N1014">
        <v>0</v>
      </c>
      <c r="O1014" s="38" t="s">
        <v>19</v>
      </c>
      <c r="P1014" s="38" t="s">
        <v>19</v>
      </c>
      <c r="Q1014">
        <v>2025</v>
      </c>
      <c r="R1014" t="s">
        <v>129</v>
      </c>
      <c r="S1014" t="s">
        <v>96</v>
      </c>
      <c r="T1014" t="s">
        <v>1232</v>
      </c>
      <c r="U1014" t="str">
        <f>IFERROR(_xlfn.XLOOKUP(A1014,'2025 EOY'!A:A,'2025 EOY'!B:B),"No")</f>
        <v>No</v>
      </c>
    </row>
    <row r="1015" spans="1:23" x14ac:dyDescent="0.35">
      <c r="A1015" s="37" t="s">
        <v>1231</v>
      </c>
      <c r="B1015" s="12">
        <v>45831</v>
      </c>
      <c r="C1015" s="10" t="s">
        <v>10</v>
      </c>
      <c r="D1015" s="4" t="s">
        <v>268</v>
      </c>
      <c r="E1015" s="265">
        <v>0</v>
      </c>
      <c r="F1015" s="172">
        <v>45900</v>
      </c>
      <c r="G1015" s="172">
        <v>45900</v>
      </c>
      <c r="H1015" s="120">
        <v>-2.97</v>
      </c>
      <c r="I1015" s="192">
        <v>-2.5</v>
      </c>
      <c r="J1015" s="9">
        <v>0</v>
      </c>
      <c r="K1015">
        <v>0</v>
      </c>
      <c r="L1015" s="14" t="s">
        <v>81</v>
      </c>
      <c r="M1015" s="8" t="s">
        <v>131</v>
      </c>
      <c r="N1015">
        <v>0</v>
      </c>
      <c r="O1015" s="38" t="s">
        <v>11</v>
      </c>
      <c r="P1015" s="38" t="s">
        <v>10</v>
      </c>
      <c r="Q1015">
        <v>2025</v>
      </c>
      <c r="R1015" t="s">
        <v>129</v>
      </c>
      <c r="S1015" t="s">
        <v>14</v>
      </c>
      <c r="T1015" t="s">
        <v>1233</v>
      </c>
      <c r="U1015" t="str">
        <f>IFERROR(_xlfn.XLOOKUP(A1015,'2025 EOY'!A:A,'2025 EOY'!B:B),"No")</f>
        <v>No</v>
      </c>
    </row>
    <row r="1016" spans="1:23" x14ac:dyDescent="0.35">
      <c r="A1016" s="37" t="s">
        <v>1231</v>
      </c>
      <c r="B1016" s="12">
        <v>45831</v>
      </c>
      <c r="C1016" s="47" t="s">
        <v>36</v>
      </c>
      <c r="D1016" s="10" t="s">
        <v>268</v>
      </c>
      <c r="E1016" s="265">
        <v>0</v>
      </c>
      <c r="F1016" s="172"/>
      <c r="G1016" s="172"/>
      <c r="H1016" s="212"/>
      <c r="I1016" s="206"/>
      <c r="J1016" s="9"/>
      <c r="K1016">
        <v>0</v>
      </c>
      <c r="L1016" s="14" t="s">
        <v>88</v>
      </c>
      <c r="M1016" s="8" t="s">
        <v>131</v>
      </c>
      <c r="N1016">
        <v>0</v>
      </c>
      <c r="O1016" s="38" t="s">
        <v>29</v>
      </c>
      <c r="P1016" s="38" t="s">
        <v>29</v>
      </c>
      <c r="Q1016">
        <v>1900</v>
      </c>
      <c r="R1016" t="s">
        <v>129</v>
      </c>
      <c r="S1016" t="s">
        <v>14</v>
      </c>
      <c r="T1016" t="s">
        <v>1234</v>
      </c>
      <c r="U1016" t="str">
        <f>IFERROR(_xlfn.XLOOKUP(A1016,'2025 EOY'!A:A,'2025 EOY'!B:B),"No")</f>
        <v>No</v>
      </c>
    </row>
    <row r="1017" spans="1:23" x14ac:dyDescent="0.35">
      <c r="A1017" s="37" t="s">
        <v>1231</v>
      </c>
      <c r="B1017" s="12">
        <v>45831</v>
      </c>
      <c r="C1017" s="47" t="s">
        <v>39</v>
      </c>
      <c r="D1017" s="10" t="s">
        <v>268</v>
      </c>
      <c r="E1017" s="265">
        <v>0</v>
      </c>
      <c r="F1017" s="172"/>
      <c r="G1017" s="172"/>
      <c r="H1017" s="212"/>
      <c r="I1017" s="206"/>
      <c r="J1017" s="9"/>
      <c r="K1017">
        <v>0</v>
      </c>
      <c r="L1017" s="14" t="s">
        <v>88</v>
      </c>
      <c r="M1017" s="8" t="s">
        <v>131</v>
      </c>
      <c r="N1017">
        <v>0</v>
      </c>
      <c r="O1017" s="38" t="s">
        <v>29</v>
      </c>
      <c r="P1017" s="38" t="s">
        <v>29</v>
      </c>
      <c r="Q1017">
        <v>1900</v>
      </c>
      <c r="R1017" t="s">
        <v>129</v>
      </c>
      <c r="S1017" t="s">
        <v>14</v>
      </c>
      <c r="T1017" t="s">
        <v>1235</v>
      </c>
      <c r="U1017" t="str">
        <f>IFERROR(_xlfn.XLOOKUP(A1017,'2025 EOY'!A:A,'2025 EOY'!B:B),"No")</f>
        <v>No</v>
      </c>
    </row>
    <row r="1018" spans="1:23" x14ac:dyDescent="0.35">
      <c r="A1018" t="s">
        <v>127</v>
      </c>
      <c r="B1018" s="174">
        <v>45832</v>
      </c>
      <c r="C1018" s="10" t="s">
        <v>7</v>
      </c>
      <c r="D1018" s="4" t="s">
        <v>128</v>
      </c>
      <c r="E1018" s="253">
        <v>-1000</v>
      </c>
      <c r="F1018" s="172">
        <v>45900</v>
      </c>
      <c r="G1018" s="172">
        <v>45930</v>
      </c>
      <c r="H1018" s="15">
        <v>0.95</v>
      </c>
      <c r="I1018" s="192">
        <v>0.87</v>
      </c>
      <c r="J1018" s="9">
        <v>79.999999999999957</v>
      </c>
      <c r="K1018">
        <v>-950</v>
      </c>
      <c r="L1018" s="14" t="s">
        <v>77</v>
      </c>
      <c r="M1018" s="8" t="s">
        <v>129</v>
      </c>
      <c r="N1018">
        <v>-870</v>
      </c>
      <c r="O1018" s="38" t="s">
        <v>4</v>
      </c>
      <c r="P1018" s="38" t="s">
        <v>7</v>
      </c>
      <c r="Q1018">
        <v>2025</v>
      </c>
      <c r="R1018" t="s">
        <v>129</v>
      </c>
      <c r="S1018" t="s">
        <v>14</v>
      </c>
      <c r="T1018" t="s">
        <v>1236</v>
      </c>
      <c r="U1018" t="str">
        <f>IFERROR(_xlfn.XLOOKUP(A1018,'2025 EOY'!A:A,'2025 EOY'!B:B),"No")</f>
        <v>No</v>
      </c>
    </row>
    <row r="1019" spans="1:23" x14ac:dyDescent="0.35">
      <c r="A1019" t="s">
        <v>127</v>
      </c>
      <c r="B1019" s="174">
        <v>45833</v>
      </c>
      <c r="C1019" s="10" t="s">
        <v>3</v>
      </c>
      <c r="D1019" s="4" t="s">
        <v>128</v>
      </c>
      <c r="E1019" s="253">
        <v>-500</v>
      </c>
      <c r="F1019" s="172">
        <v>45900</v>
      </c>
      <c r="G1019" s="172">
        <v>45930</v>
      </c>
      <c r="H1019" s="189">
        <v>1.29</v>
      </c>
      <c r="I1019" s="192">
        <v>1.25</v>
      </c>
      <c r="J1019" s="9">
        <v>20.000000000000018</v>
      </c>
      <c r="K1019">
        <v>-645</v>
      </c>
      <c r="L1019" s="14" t="s">
        <v>77</v>
      </c>
      <c r="M1019" s="8" t="s">
        <v>129</v>
      </c>
      <c r="N1019">
        <v>-625</v>
      </c>
      <c r="O1019" s="38" t="s">
        <v>4</v>
      </c>
      <c r="P1019" s="38" t="s">
        <v>3</v>
      </c>
      <c r="Q1019">
        <v>2025</v>
      </c>
      <c r="R1019" t="s">
        <v>129</v>
      </c>
      <c r="S1019" t="s">
        <v>14</v>
      </c>
      <c r="T1019" t="s">
        <v>1237</v>
      </c>
      <c r="U1019" t="str">
        <f>IFERROR(_xlfn.XLOOKUP(A1019,'2025 EOY'!A:A,'2025 EOY'!B:B),"No")</f>
        <v>No</v>
      </c>
    </row>
    <row r="1020" spans="1:23" x14ac:dyDescent="0.35">
      <c r="A1020" t="s">
        <v>127</v>
      </c>
      <c r="B1020" s="174">
        <v>45833</v>
      </c>
      <c r="C1020" s="10" t="s">
        <v>3</v>
      </c>
      <c r="D1020" s="4" t="s">
        <v>128</v>
      </c>
      <c r="E1020" s="253">
        <v>-500</v>
      </c>
      <c r="F1020" s="172">
        <v>45930</v>
      </c>
      <c r="G1020" s="172">
        <v>45961</v>
      </c>
      <c r="H1020" s="189">
        <v>1.03</v>
      </c>
      <c r="I1020" s="192">
        <v>0.57999999999999996</v>
      </c>
      <c r="J1020" s="9">
        <v>225.00000000000003</v>
      </c>
      <c r="K1020">
        <v>-515</v>
      </c>
      <c r="L1020" s="14" t="s">
        <v>78</v>
      </c>
      <c r="M1020" s="8" t="s">
        <v>129</v>
      </c>
      <c r="N1020">
        <v>-290</v>
      </c>
      <c r="O1020" s="38" t="s">
        <v>4</v>
      </c>
      <c r="P1020" s="38" t="s">
        <v>3</v>
      </c>
      <c r="Q1020">
        <v>2025</v>
      </c>
      <c r="R1020" t="s">
        <v>129</v>
      </c>
      <c r="S1020" t="s">
        <v>14</v>
      </c>
      <c r="T1020" t="s">
        <v>1238</v>
      </c>
      <c r="U1020" t="str">
        <f>IFERROR(_xlfn.XLOOKUP(A1020,'2025 EOY'!A:A,'2025 EOY'!B:B),"No")</f>
        <v>No</v>
      </c>
    </row>
    <row r="1021" spans="1:23" x14ac:dyDescent="0.35">
      <c r="A1021" t="s">
        <v>1239</v>
      </c>
      <c r="B1021" s="174">
        <v>45833</v>
      </c>
      <c r="C1021" s="187" t="s">
        <v>19</v>
      </c>
      <c r="D1021" s="10" t="s">
        <v>268</v>
      </c>
      <c r="E1021" s="259">
        <v>700</v>
      </c>
      <c r="F1021" s="172">
        <v>45838</v>
      </c>
      <c r="G1021" s="172">
        <v>45838</v>
      </c>
      <c r="H1021" s="15">
        <v>1.3500000000000003</v>
      </c>
      <c r="I1021" s="201">
        <v>-0.55000000000000004</v>
      </c>
      <c r="J1021" s="9">
        <v>-1330.0000000000002</v>
      </c>
      <c r="K1021">
        <v>945.00000000000023</v>
      </c>
      <c r="L1021" s="14" t="s">
        <v>73</v>
      </c>
      <c r="M1021" s="8" t="s">
        <v>131</v>
      </c>
      <c r="N1021">
        <v>-385.00000000000006</v>
      </c>
      <c r="O1021" s="38" t="s">
        <v>19</v>
      </c>
      <c r="P1021" s="38" t="s">
        <v>19</v>
      </c>
      <c r="Q1021">
        <v>2025</v>
      </c>
      <c r="R1021" t="s">
        <v>131</v>
      </c>
      <c r="S1021" t="s">
        <v>96</v>
      </c>
      <c r="T1021" t="s">
        <v>1240</v>
      </c>
      <c r="U1021" t="str">
        <f>IFERROR(_xlfn.XLOOKUP(A1021,'2025 EOY'!A:A,'2025 EOY'!B:B),"No")</f>
        <v>No</v>
      </c>
    </row>
    <row r="1022" spans="1:23" x14ac:dyDescent="0.35">
      <c r="A1022" t="s">
        <v>1239</v>
      </c>
      <c r="B1022" s="174">
        <v>45833</v>
      </c>
      <c r="C1022" s="10" t="s">
        <v>3</v>
      </c>
      <c r="D1022" s="4" t="s">
        <v>268</v>
      </c>
      <c r="E1022" s="253">
        <v>-700</v>
      </c>
      <c r="F1022" s="172">
        <v>45900</v>
      </c>
      <c r="G1022" s="172">
        <v>45930</v>
      </c>
      <c r="H1022" s="129">
        <v>1.45</v>
      </c>
      <c r="I1022" s="192">
        <v>1.25</v>
      </c>
      <c r="J1022" s="9">
        <v>139.99999999999997</v>
      </c>
      <c r="K1022">
        <v>-1015</v>
      </c>
      <c r="L1022" s="14" t="s">
        <v>77</v>
      </c>
      <c r="M1022" s="8" t="s">
        <v>129</v>
      </c>
      <c r="N1022">
        <v>-875</v>
      </c>
      <c r="O1022" s="38" t="s">
        <v>4</v>
      </c>
      <c r="P1022" s="38" t="s">
        <v>3</v>
      </c>
      <c r="Q1022">
        <v>2025</v>
      </c>
      <c r="R1022" t="s">
        <v>129</v>
      </c>
      <c r="S1022" t="s">
        <v>14</v>
      </c>
      <c r="T1022" t="s">
        <v>1241</v>
      </c>
      <c r="U1022" t="str">
        <f>IFERROR(_xlfn.XLOOKUP(A1022,'2025 EOY'!A:A,'2025 EOY'!B:B),"No")</f>
        <v>No</v>
      </c>
    </row>
    <row r="1023" spans="1:23" x14ac:dyDescent="0.35">
      <c r="A1023" t="s">
        <v>1239</v>
      </c>
      <c r="B1023" s="174">
        <v>45833</v>
      </c>
      <c r="C1023" s="10" t="s">
        <v>10</v>
      </c>
      <c r="D1023" s="4" t="s">
        <v>268</v>
      </c>
      <c r="E1023" s="253">
        <v>-700</v>
      </c>
      <c r="F1023" s="172">
        <v>45930</v>
      </c>
      <c r="G1023" s="172">
        <v>45930</v>
      </c>
      <c r="H1023" s="15">
        <v>-2.96</v>
      </c>
      <c r="I1023" s="192">
        <v>-3.27</v>
      </c>
      <c r="J1023" s="9">
        <v>217.00000000000003</v>
      </c>
      <c r="K1023">
        <v>2072</v>
      </c>
      <c r="L1023" s="14" t="s">
        <v>86</v>
      </c>
      <c r="M1023" s="8" t="s">
        <v>129</v>
      </c>
      <c r="N1023">
        <v>2289</v>
      </c>
      <c r="O1023" s="38" t="s">
        <v>11</v>
      </c>
      <c r="P1023" s="38" t="s">
        <v>10</v>
      </c>
      <c r="Q1023">
        <v>2025</v>
      </c>
      <c r="R1023" t="s">
        <v>129</v>
      </c>
      <c r="S1023" t="s">
        <v>14</v>
      </c>
      <c r="T1023" t="s">
        <v>1242</v>
      </c>
      <c r="U1023" t="str">
        <f>IFERROR(_xlfn.XLOOKUP(A1023,'2025 EOY'!A:A,'2025 EOY'!B:B),"No")</f>
        <v>No</v>
      </c>
    </row>
    <row r="1024" spans="1:23" x14ac:dyDescent="0.35">
      <c r="A1024" t="s">
        <v>127</v>
      </c>
      <c r="B1024" s="12">
        <v>45833</v>
      </c>
      <c r="C1024" s="10" t="s">
        <v>10</v>
      </c>
      <c r="D1024" s="4" t="s">
        <v>128</v>
      </c>
      <c r="E1024" s="265">
        <v>200</v>
      </c>
      <c r="F1024" s="172">
        <v>45900</v>
      </c>
      <c r="G1024" s="172">
        <v>45900</v>
      </c>
      <c r="H1024" s="120">
        <v>-2.8</v>
      </c>
      <c r="I1024" s="192">
        <v>-2.5</v>
      </c>
      <c r="J1024" s="9">
        <v>59.999999999999964</v>
      </c>
      <c r="K1024">
        <v>-560</v>
      </c>
      <c r="L1024" s="14" t="s">
        <v>81</v>
      </c>
      <c r="M1024" s="8" t="s">
        <v>131</v>
      </c>
      <c r="N1024">
        <v>-500</v>
      </c>
      <c r="O1024" s="38" t="s">
        <v>11</v>
      </c>
      <c r="P1024" s="38" t="s">
        <v>10</v>
      </c>
      <c r="Q1024">
        <v>2025</v>
      </c>
      <c r="R1024" t="s">
        <v>131</v>
      </c>
      <c r="S1024" t="s">
        <v>14</v>
      </c>
      <c r="T1024" t="s">
        <v>1243</v>
      </c>
      <c r="U1024" t="str">
        <f>IFERROR(_xlfn.XLOOKUP(A1024,'2025 EOY'!A:A,'2025 EOY'!B:B),"No")</f>
        <v>No</v>
      </c>
    </row>
    <row r="1025" spans="1:21" x14ac:dyDescent="0.35">
      <c r="A1025" t="s">
        <v>127</v>
      </c>
      <c r="B1025" s="12">
        <v>45833</v>
      </c>
      <c r="C1025" s="10" t="s">
        <v>10</v>
      </c>
      <c r="D1025" s="4" t="s">
        <v>128</v>
      </c>
      <c r="E1025" s="265">
        <v>54</v>
      </c>
      <c r="F1025" s="172">
        <v>45900</v>
      </c>
      <c r="G1025" s="172">
        <v>45900</v>
      </c>
      <c r="H1025" s="120">
        <v>-2.81</v>
      </c>
      <c r="I1025" s="192">
        <v>-2.5</v>
      </c>
      <c r="J1025" s="9">
        <v>16.740000000000002</v>
      </c>
      <c r="K1025">
        <v>-151.74</v>
      </c>
      <c r="L1025" s="14" t="s">
        <v>81</v>
      </c>
      <c r="M1025" s="8" t="s">
        <v>131</v>
      </c>
      <c r="N1025">
        <v>-135</v>
      </c>
      <c r="O1025" s="38" t="s">
        <v>11</v>
      </c>
      <c r="P1025" s="38" t="s">
        <v>10</v>
      </c>
      <c r="Q1025">
        <v>2025</v>
      </c>
      <c r="R1025" t="s">
        <v>131</v>
      </c>
      <c r="S1025" t="s">
        <v>14</v>
      </c>
      <c r="T1025" t="s">
        <v>1244</v>
      </c>
      <c r="U1025" t="str">
        <f>IFERROR(_xlfn.XLOOKUP(A1025,'2025 EOY'!A:A,'2025 EOY'!B:B),"No")</f>
        <v>No</v>
      </c>
    </row>
    <row r="1026" spans="1:21" x14ac:dyDescent="0.35">
      <c r="A1026" t="s">
        <v>1245</v>
      </c>
      <c r="B1026" s="174">
        <v>45834</v>
      </c>
      <c r="C1026" s="187" t="s">
        <v>19</v>
      </c>
      <c r="D1026" s="10" t="s">
        <v>268</v>
      </c>
      <c r="E1026" s="259">
        <v>700</v>
      </c>
      <c r="F1026" s="172">
        <v>45838</v>
      </c>
      <c r="G1026" s="172">
        <v>45838</v>
      </c>
      <c r="H1026" s="15">
        <v>0.61999999999999966</v>
      </c>
      <c r="I1026" s="201">
        <v>-0.5</v>
      </c>
      <c r="J1026" s="9">
        <v>-783.99999999999977</v>
      </c>
      <c r="K1026">
        <v>433.99999999999977</v>
      </c>
      <c r="L1026" s="14" t="s">
        <v>73</v>
      </c>
      <c r="M1026" s="8" t="s">
        <v>131</v>
      </c>
      <c r="N1026">
        <v>-350</v>
      </c>
      <c r="O1026" s="38" t="s">
        <v>19</v>
      </c>
      <c r="P1026" s="38" t="s">
        <v>19</v>
      </c>
      <c r="Q1026">
        <v>2025</v>
      </c>
      <c r="R1026" t="s">
        <v>131</v>
      </c>
      <c r="S1026" t="s">
        <v>96</v>
      </c>
      <c r="T1026" t="s">
        <v>1246</v>
      </c>
      <c r="U1026" t="str">
        <f>IFERROR(_xlfn.XLOOKUP(A1026,'2025 EOY'!A:A,'2025 EOY'!B:B),"No")</f>
        <v>No</v>
      </c>
    </row>
    <row r="1027" spans="1:21" x14ac:dyDescent="0.35">
      <c r="A1027" t="s">
        <v>1245</v>
      </c>
      <c r="B1027" s="174">
        <v>45834</v>
      </c>
      <c r="C1027" s="10" t="s">
        <v>3</v>
      </c>
      <c r="D1027" s="4" t="s">
        <v>268</v>
      </c>
      <c r="E1027" s="253">
        <v>-700</v>
      </c>
      <c r="F1027" s="172">
        <v>45900</v>
      </c>
      <c r="G1027" s="172">
        <v>45930</v>
      </c>
      <c r="H1027" s="129">
        <v>1.42</v>
      </c>
      <c r="I1027" s="192">
        <v>1.25</v>
      </c>
      <c r="J1027" s="9">
        <v>118.99999999999994</v>
      </c>
      <c r="K1027">
        <v>-994</v>
      </c>
      <c r="L1027" s="14" t="s">
        <v>77</v>
      </c>
      <c r="M1027" s="8" t="s">
        <v>129</v>
      </c>
      <c r="N1027">
        <v>-875</v>
      </c>
      <c r="O1027" s="38" t="s">
        <v>4</v>
      </c>
      <c r="P1027" s="38" t="s">
        <v>3</v>
      </c>
      <c r="Q1027">
        <v>2025</v>
      </c>
      <c r="R1027" t="s">
        <v>129</v>
      </c>
      <c r="S1027" t="s">
        <v>14</v>
      </c>
      <c r="T1027" t="s">
        <v>1247</v>
      </c>
      <c r="U1027" t="str">
        <f>IFERROR(_xlfn.XLOOKUP(A1027,'2025 EOY'!A:A,'2025 EOY'!B:B),"No")</f>
        <v>No</v>
      </c>
    </row>
    <row r="1028" spans="1:21" x14ac:dyDescent="0.35">
      <c r="A1028" t="s">
        <v>1245</v>
      </c>
      <c r="B1028" s="174">
        <v>45834</v>
      </c>
      <c r="C1028" s="10" t="s">
        <v>10</v>
      </c>
      <c r="D1028" s="4" t="s">
        <v>268</v>
      </c>
      <c r="E1028" s="253">
        <v>-700</v>
      </c>
      <c r="F1028" s="172">
        <v>45930</v>
      </c>
      <c r="G1028" s="172">
        <v>45930</v>
      </c>
      <c r="H1028" s="15">
        <v>-2.85</v>
      </c>
      <c r="I1028" s="192">
        <v>-3.27</v>
      </c>
      <c r="J1028" s="9">
        <v>293.99999999999994</v>
      </c>
      <c r="K1028">
        <v>1995</v>
      </c>
      <c r="L1028" s="14" t="s">
        <v>86</v>
      </c>
      <c r="M1028" s="8" t="s">
        <v>129</v>
      </c>
      <c r="N1028">
        <v>2289</v>
      </c>
      <c r="O1028" s="38" t="s">
        <v>11</v>
      </c>
      <c r="P1028" s="38" t="s">
        <v>10</v>
      </c>
      <c r="Q1028">
        <v>2025</v>
      </c>
      <c r="R1028" t="s">
        <v>129</v>
      </c>
      <c r="S1028" t="s">
        <v>14</v>
      </c>
      <c r="T1028" t="s">
        <v>1248</v>
      </c>
      <c r="U1028" t="str">
        <f>IFERROR(_xlfn.XLOOKUP(A1028,'2025 EOY'!A:A,'2025 EOY'!B:B),"No")</f>
        <v>No</v>
      </c>
    </row>
    <row r="1029" spans="1:21" x14ac:dyDescent="0.35">
      <c r="A1029" t="s">
        <v>127</v>
      </c>
      <c r="B1029" s="174">
        <v>45834</v>
      </c>
      <c r="C1029" s="10" t="s">
        <v>10</v>
      </c>
      <c r="D1029" s="4" t="s">
        <v>128</v>
      </c>
      <c r="E1029" s="253">
        <v>2100</v>
      </c>
      <c r="F1029" s="172">
        <v>45900</v>
      </c>
      <c r="G1029" s="172">
        <v>45900</v>
      </c>
      <c r="H1029" s="15">
        <v>-2.4900000000000002</v>
      </c>
      <c r="I1029" s="192">
        <v>-2.5</v>
      </c>
      <c r="J1029" s="9">
        <v>-20.999999999999552</v>
      </c>
      <c r="K1029">
        <v>-5229</v>
      </c>
      <c r="L1029" s="14" t="s">
        <v>81</v>
      </c>
      <c r="M1029" s="8" t="s">
        <v>131</v>
      </c>
      <c r="N1029">
        <v>-5250</v>
      </c>
      <c r="O1029" s="38" t="s">
        <v>11</v>
      </c>
      <c r="P1029" s="38" t="s">
        <v>10</v>
      </c>
      <c r="Q1029">
        <v>2025</v>
      </c>
      <c r="R1029" t="s">
        <v>131</v>
      </c>
      <c r="S1029" t="s">
        <v>14</v>
      </c>
      <c r="T1029" t="s">
        <v>1249</v>
      </c>
      <c r="U1029" t="str">
        <f>IFERROR(_xlfn.XLOOKUP(A1029,'2025 EOY'!A:A,'2025 EOY'!B:B),"No")</f>
        <v>No</v>
      </c>
    </row>
    <row r="1030" spans="1:21" x14ac:dyDescent="0.35">
      <c r="A1030" t="s">
        <v>127</v>
      </c>
      <c r="B1030" s="174">
        <v>45834</v>
      </c>
      <c r="C1030" s="10" t="s">
        <v>10</v>
      </c>
      <c r="D1030" s="4" t="s">
        <v>128</v>
      </c>
      <c r="E1030" s="253">
        <v>-2100</v>
      </c>
      <c r="F1030" s="172">
        <v>45961</v>
      </c>
      <c r="G1030" s="172">
        <v>45961</v>
      </c>
      <c r="H1030" s="15">
        <v>-3.09</v>
      </c>
      <c r="I1030" s="192">
        <v>-4.1100000000000003</v>
      </c>
      <c r="J1030" s="9">
        <v>2142.0000000000009</v>
      </c>
      <c r="K1030">
        <v>6489</v>
      </c>
      <c r="L1030" s="14" t="s">
        <v>89</v>
      </c>
      <c r="M1030" s="8" t="s">
        <v>129</v>
      </c>
      <c r="N1030">
        <v>8631</v>
      </c>
      <c r="O1030" s="38" t="s">
        <v>11</v>
      </c>
      <c r="P1030" s="38" t="s">
        <v>10</v>
      </c>
      <c r="Q1030">
        <v>2025</v>
      </c>
      <c r="R1030" t="s">
        <v>129</v>
      </c>
      <c r="S1030" t="s">
        <v>14</v>
      </c>
      <c r="T1030" t="s">
        <v>1250</v>
      </c>
      <c r="U1030" t="str">
        <f>IFERROR(_xlfn.XLOOKUP(A1030,'2025 EOY'!A:A,'2025 EOY'!B:B),"No")</f>
        <v>No</v>
      </c>
    </row>
    <row r="1031" spans="1:21" x14ac:dyDescent="0.35">
      <c r="A1031" t="s">
        <v>127</v>
      </c>
      <c r="B1031" s="174">
        <v>45835</v>
      </c>
      <c r="C1031" s="10" t="s">
        <v>10</v>
      </c>
      <c r="D1031" s="4" t="s">
        <v>128</v>
      </c>
      <c r="E1031" s="253">
        <v>-1000</v>
      </c>
      <c r="F1031" s="172">
        <v>45900</v>
      </c>
      <c r="G1031" s="172">
        <v>45900</v>
      </c>
      <c r="H1031" s="15">
        <v>-2.33</v>
      </c>
      <c r="I1031" s="192">
        <v>-2.5</v>
      </c>
      <c r="J1031" s="9">
        <v>169.99999999999994</v>
      </c>
      <c r="K1031">
        <v>2330</v>
      </c>
      <c r="L1031" s="14" t="s">
        <v>81</v>
      </c>
      <c r="M1031" s="8" t="s">
        <v>129</v>
      </c>
      <c r="N1031">
        <v>2500</v>
      </c>
      <c r="O1031" s="38" t="s">
        <v>11</v>
      </c>
      <c r="P1031" s="38" t="s">
        <v>10</v>
      </c>
      <c r="Q1031">
        <v>2025</v>
      </c>
      <c r="R1031" t="s">
        <v>129</v>
      </c>
      <c r="S1031" t="s">
        <v>14</v>
      </c>
      <c r="T1031" t="s">
        <v>1251</v>
      </c>
      <c r="U1031" t="str">
        <f>IFERROR(_xlfn.XLOOKUP(A1031,'2025 EOY'!A:A,'2025 EOY'!B:B),"No")</f>
        <v>No</v>
      </c>
    </row>
    <row r="1032" spans="1:21" x14ac:dyDescent="0.35">
      <c r="A1032" t="s">
        <v>127</v>
      </c>
      <c r="B1032" s="174">
        <v>45835</v>
      </c>
      <c r="C1032" s="10" t="s">
        <v>10</v>
      </c>
      <c r="D1032" s="4" t="s">
        <v>128</v>
      </c>
      <c r="E1032" s="253">
        <v>-300</v>
      </c>
      <c r="F1032" s="172">
        <v>45900</v>
      </c>
      <c r="G1032" s="172">
        <v>45900</v>
      </c>
      <c r="H1032" s="15">
        <v>-2.35</v>
      </c>
      <c r="I1032" s="192">
        <v>-2.5</v>
      </c>
      <c r="J1032" s="9">
        <v>44.999999999999972</v>
      </c>
      <c r="K1032">
        <v>705</v>
      </c>
      <c r="L1032" s="14" t="s">
        <v>81</v>
      </c>
      <c r="M1032" s="8" t="s">
        <v>129</v>
      </c>
      <c r="N1032">
        <v>750</v>
      </c>
      <c r="O1032" s="38" t="s">
        <v>11</v>
      </c>
      <c r="P1032" s="38" t="s">
        <v>10</v>
      </c>
      <c r="Q1032">
        <v>2025</v>
      </c>
      <c r="R1032" t="s">
        <v>129</v>
      </c>
      <c r="S1032" t="s">
        <v>14</v>
      </c>
      <c r="T1032" t="s">
        <v>1252</v>
      </c>
      <c r="U1032" t="str">
        <f>IFERROR(_xlfn.XLOOKUP(A1032,'2025 EOY'!A:A,'2025 EOY'!B:B),"No")</f>
        <v>No</v>
      </c>
    </row>
    <row r="1033" spans="1:21" x14ac:dyDescent="0.35">
      <c r="A1033" t="s">
        <v>127</v>
      </c>
      <c r="B1033" s="174">
        <v>45835</v>
      </c>
      <c r="C1033" s="10" t="s">
        <v>10</v>
      </c>
      <c r="D1033" s="4" t="s">
        <v>128</v>
      </c>
      <c r="E1033" s="253">
        <v>-400</v>
      </c>
      <c r="F1033" s="172">
        <v>45900</v>
      </c>
      <c r="G1033" s="172">
        <v>45900</v>
      </c>
      <c r="H1033" s="15">
        <v>-2.34</v>
      </c>
      <c r="I1033" s="192">
        <v>-2.5</v>
      </c>
      <c r="J1033" s="9">
        <v>64.000000000000057</v>
      </c>
      <c r="K1033">
        <v>936</v>
      </c>
      <c r="L1033" s="14" t="s">
        <v>81</v>
      </c>
      <c r="M1033" s="8" t="s">
        <v>129</v>
      </c>
      <c r="N1033">
        <v>1000</v>
      </c>
      <c r="O1033" s="38" t="s">
        <v>11</v>
      </c>
      <c r="P1033" s="38" t="s">
        <v>10</v>
      </c>
      <c r="Q1033">
        <v>2025</v>
      </c>
      <c r="R1033" t="s">
        <v>129</v>
      </c>
      <c r="S1033" t="s">
        <v>14</v>
      </c>
      <c r="T1033" t="s">
        <v>1253</v>
      </c>
      <c r="U1033" t="str">
        <f>IFERROR(_xlfn.XLOOKUP(A1033,'2025 EOY'!A:A,'2025 EOY'!B:B),"No")</f>
        <v>No</v>
      </c>
    </row>
    <row r="1034" spans="1:21" x14ac:dyDescent="0.35">
      <c r="A1034" t="s">
        <v>127</v>
      </c>
      <c r="B1034" s="174">
        <v>45835</v>
      </c>
      <c r="C1034" s="10" t="s">
        <v>10</v>
      </c>
      <c r="D1034" s="4" t="s">
        <v>128</v>
      </c>
      <c r="E1034" s="253">
        <v>-400</v>
      </c>
      <c r="F1034" s="172">
        <v>45900</v>
      </c>
      <c r="G1034" s="172">
        <v>45900</v>
      </c>
      <c r="H1034" s="15">
        <v>-2.25</v>
      </c>
      <c r="I1034" s="192">
        <v>-2.5</v>
      </c>
      <c r="J1034" s="9">
        <v>100</v>
      </c>
      <c r="K1034">
        <v>900</v>
      </c>
      <c r="L1034" s="14" t="s">
        <v>81</v>
      </c>
      <c r="M1034" s="8" t="s">
        <v>129</v>
      </c>
      <c r="N1034">
        <v>1000</v>
      </c>
      <c r="O1034" s="38" t="s">
        <v>11</v>
      </c>
      <c r="P1034" s="38" t="s">
        <v>10</v>
      </c>
      <c r="Q1034">
        <v>2025</v>
      </c>
      <c r="R1034" t="s">
        <v>129</v>
      </c>
      <c r="S1034" t="s">
        <v>14</v>
      </c>
      <c r="T1034" t="s">
        <v>1254</v>
      </c>
      <c r="U1034" t="str">
        <f>IFERROR(_xlfn.XLOOKUP(A1034,'2025 EOY'!A:A,'2025 EOY'!B:B),"No")</f>
        <v>No</v>
      </c>
    </row>
    <row r="1035" spans="1:21" x14ac:dyDescent="0.35">
      <c r="A1035" t="s">
        <v>127</v>
      </c>
      <c r="B1035" s="174">
        <v>45835</v>
      </c>
      <c r="C1035" s="10" t="s">
        <v>7</v>
      </c>
      <c r="D1035" s="4" t="s">
        <v>128</v>
      </c>
      <c r="E1035" s="253">
        <v>-769</v>
      </c>
      <c r="F1035" s="172">
        <v>45900</v>
      </c>
      <c r="G1035" s="172">
        <v>45930</v>
      </c>
      <c r="H1035" s="15">
        <v>1.08</v>
      </c>
      <c r="I1035" s="192">
        <v>0.87</v>
      </c>
      <c r="J1035" s="9">
        <v>161.49000000000007</v>
      </c>
      <c r="K1035">
        <v>-830.5200000000001</v>
      </c>
      <c r="L1035" s="14" t="s">
        <v>77</v>
      </c>
      <c r="M1035" s="8" t="s">
        <v>129</v>
      </c>
      <c r="N1035">
        <v>-669.03</v>
      </c>
      <c r="O1035" s="38" t="s">
        <v>4</v>
      </c>
      <c r="P1035" s="38" t="s">
        <v>7</v>
      </c>
      <c r="Q1035">
        <v>2025</v>
      </c>
      <c r="R1035" t="s">
        <v>129</v>
      </c>
      <c r="S1035" t="s">
        <v>14</v>
      </c>
      <c r="T1035" t="s">
        <v>1255</v>
      </c>
      <c r="U1035" t="str">
        <f>IFERROR(_xlfn.XLOOKUP(A1035,'2025 EOY'!A:A,'2025 EOY'!B:B),"No")</f>
        <v>No</v>
      </c>
    </row>
    <row r="1036" spans="1:21" x14ac:dyDescent="0.35">
      <c r="A1036" t="s">
        <v>127</v>
      </c>
      <c r="B1036" s="174">
        <v>45835</v>
      </c>
      <c r="C1036" s="10" t="s">
        <v>7</v>
      </c>
      <c r="D1036" s="4" t="s">
        <v>128</v>
      </c>
      <c r="E1036" s="253">
        <v>-131</v>
      </c>
      <c r="F1036" s="172">
        <v>45900</v>
      </c>
      <c r="G1036" s="172">
        <v>45930</v>
      </c>
      <c r="H1036" s="15">
        <v>1.0900000000000001</v>
      </c>
      <c r="I1036" s="192">
        <v>0.87</v>
      </c>
      <c r="J1036" s="9">
        <v>28.820000000000011</v>
      </c>
      <c r="K1036">
        <v>-142.79000000000002</v>
      </c>
      <c r="L1036" s="14" t="s">
        <v>77</v>
      </c>
      <c r="M1036" s="8" t="s">
        <v>129</v>
      </c>
      <c r="N1036">
        <v>-113.97</v>
      </c>
      <c r="O1036" s="38" t="s">
        <v>4</v>
      </c>
      <c r="P1036" s="38" t="s">
        <v>7</v>
      </c>
      <c r="Q1036">
        <v>2025</v>
      </c>
      <c r="R1036" t="s">
        <v>129</v>
      </c>
      <c r="S1036" t="s">
        <v>14</v>
      </c>
      <c r="T1036" t="s">
        <v>1256</v>
      </c>
      <c r="U1036" t="str">
        <f>IFERROR(_xlfn.XLOOKUP(A1036,'2025 EOY'!A:A,'2025 EOY'!B:B),"No")</f>
        <v>No</v>
      </c>
    </row>
    <row r="1037" spans="1:21" x14ac:dyDescent="0.35">
      <c r="A1037" t="s">
        <v>1239</v>
      </c>
      <c r="B1037" s="174">
        <v>45835</v>
      </c>
      <c r="C1037" s="10" t="s">
        <v>3</v>
      </c>
      <c r="D1037" s="4" t="s">
        <v>128</v>
      </c>
      <c r="E1037" s="253">
        <v>500</v>
      </c>
      <c r="F1037" s="172">
        <v>45900</v>
      </c>
      <c r="G1037" s="172">
        <v>45930</v>
      </c>
      <c r="H1037" s="129">
        <v>1.43</v>
      </c>
      <c r="I1037" s="192">
        <v>1.25</v>
      </c>
      <c r="J1037" s="9">
        <v>-89.999999999999972</v>
      </c>
      <c r="K1037">
        <v>715</v>
      </c>
      <c r="L1037" s="14" t="s">
        <v>77</v>
      </c>
      <c r="M1037" s="8" t="s">
        <v>131</v>
      </c>
      <c r="N1037">
        <v>625</v>
      </c>
      <c r="O1037" s="38" t="s">
        <v>4</v>
      </c>
      <c r="P1037" s="38" t="s">
        <v>3</v>
      </c>
      <c r="Q1037">
        <v>2025</v>
      </c>
      <c r="R1037" t="s">
        <v>131</v>
      </c>
      <c r="S1037" t="s">
        <v>14</v>
      </c>
      <c r="T1037" t="s">
        <v>1257</v>
      </c>
      <c r="U1037" t="str">
        <f>IFERROR(_xlfn.XLOOKUP(A1037,'2025 EOY'!A:A,'2025 EOY'!B:B),"No")</f>
        <v>No</v>
      </c>
    </row>
    <row r="1038" spans="1:21" x14ac:dyDescent="0.35">
      <c r="A1038" t="s">
        <v>1239</v>
      </c>
      <c r="B1038" s="174">
        <v>45835</v>
      </c>
      <c r="C1038" s="10" t="s">
        <v>3</v>
      </c>
      <c r="D1038" s="4" t="s">
        <v>128</v>
      </c>
      <c r="E1038" s="253">
        <v>500</v>
      </c>
      <c r="F1038" s="172">
        <v>45930</v>
      </c>
      <c r="G1038" s="172">
        <v>45961</v>
      </c>
      <c r="H1038" s="129">
        <v>1.1399999999999999</v>
      </c>
      <c r="I1038" s="192">
        <v>0.57999999999999996</v>
      </c>
      <c r="J1038" s="9">
        <v>-279.99999999999994</v>
      </c>
      <c r="K1038">
        <v>570</v>
      </c>
      <c r="L1038" s="14" t="s">
        <v>78</v>
      </c>
      <c r="M1038" s="8" t="s">
        <v>131</v>
      </c>
      <c r="N1038">
        <v>290</v>
      </c>
      <c r="O1038" s="38" t="s">
        <v>4</v>
      </c>
      <c r="P1038" s="38" t="s">
        <v>3</v>
      </c>
      <c r="Q1038">
        <v>2025</v>
      </c>
      <c r="R1038" t="s">
        <v>131</v>
      </c>
      <c r="S1038" t="s">
        <v>14</v>
      </c>
      <c r="T1038" t="s">
        <v>1258</v>
      </c>
      <c r="U1038" t="str">
        <f>IFERROR(_xlfn.XLOOKUP(A1038,'2025 EOY'!A:A,'2025 EOY'!B:B),"No")</f>
        <v>No</v>
      </c>
    </row>
    <row r="1039" spans="1:21" x14ac:dyDescent="0.35">
      <c r="A1039" t="s">
        <v>127</v>
      </c>
      <c r="B1039" s="12">
        <v>45838</v>
      </c>
      <c r="C1039" s="10" t="s">
        <v>22</v>
      </c>
      <c r="D1039" s="4" t="s">
        <v>268</v>
      </c>
      <c r="E1039" s="259">
        <v>-246</v>
      </c>
      <c r="F1039" s="18" t="s">
        <v>1090</v>
      </c>
      <c r="G1039" s="172">
        <v>45838</v>
      </c>
      <c r="H1039" s="15">
        <v>1.8180000000000001</v>
      </c>
      <c r="I1039" s="191">
        <v>1.8180000000000001</v>
      </c>
      <c r="J1039" s="9">
        <v>0</v>
      </c>
      <c r="K1039">
        <v>-447.22800000000001</v>
      </c>
      <c r="L1039" s="14" t="s">
        <v>87</v>
      </c>
      <c r="M1039" s="8" t="s">
        <v>131</v>
      </c>
      <c r="N1039">
        <v>397.59999999999997</v>
      </c>
      <c r="O1039" s="38" t="s">
        <v>11</v>
      </c>
      <c r="P1039" s="38" t="s">
        <v>16</v>
      </c>
      <c r="Q1039">
        <v>2025</v>
      </c>
      <c r="R1039" t="s">
        <v>129</v>
      </c>
      <c r="S1039" t="s">
        <v>14</v>
      </c>
      <c r="T1039" t="s">
        <v>1259</v>
      </c>
      <c r="U1039" t="str">
        <f>IFERROR(_xlfn.XLOOKUP(A1039,'2025 EOY'!A:A,'2025 EOY'!B:B),"No")</f>
        <v>No</v>
      </c>
    </row>
    <row r="1040" spans="1:21" x14ac:dyDescent="0.35">
      <c r="A1040" t="s">
        <v>1239</v>
      </c>
      <c r="B1040" s="174">
        <v>45835</v>
      </c>
      <c r="C1040" s="10" t="s">
        <v>3</v>
      </c>
      <c r="D1040" s="4" t="s">
        <v>128</v>
      </c>
      <c r="E1040" s="253">
        <v>200</v>
      </c>
      <c r="F1040" s="172">
        <v>45900</v>
      </c>
      <c r="G1040" s="172">
        <v>45930</v>
      </c>
      <c r="H1040" s="129">
        <v>1.4</v>
      </c>
      <c r="I1040" s="192">
        <v>1.25</v>
      </c>
      <c r="J1040" s="9">
        <v>-29.999999999999982</v>
      </c>
      <c r="K1040">
        <v>280</v>
      </c>
      <c r="L1040" s="14" t="s">
        <v>77</v>
      </c>
      <c r="M1040" s="8" t="s">
        <v>131</v>
      </c>
      <c r="N1040">
        <v>250</v>
      </c>
      <c r="O1040" s="38" t="s">
        <v>4</v>
      </c>
      <c r="P1040" s="38" t="s">
        <v>3</v>
      </c>
      <c r="Q1040">
        <v>2025</v>
      </c>
      <c r="R1040" t="s">
        <v>131</v>
      </c>
      <c r="S1040" t="s">
        <v>14</v>
      </c>
      <c r="T1040" t="s">
        <v>1260</v>
      </c>
      <c r="U1040" t="str">
        <f>IFERROR(_xlfn.XLOOKUP(A1040,'2025 EOY'!A:A,'2025 EOY'!B:B),"No")</f>
        <v>No</v>
      </c>
    </row>
    <row r="1041" spans="1:25" x14ac:dyDescent="0.35">
      <c r="A1041" t="s">
        <v>127</v>
      </c>
      <c r="B1041" s="174">
        <v>45835</v>
      </c>
      <c r="C1041" s="10" t="s">
        <v>10</v>
      </c>
      <c r="D1041" s="4" t="s">
        <v>128</v>
      </c>
      <c r="E1041" s="253">
        <v>-110</v>
      </c>
      <c r="F1041" s="172">
        <v>45900</v>
      </c>
      <c r="G1041" s="172">
        <v>45900</v>
      </c>
      <c r="H1041" s="15">
        <v>-2.25</v>
      </c>
      <c r="I1041" s="192">
        <v>-2.5</v>
      </c>
      <c r="J1041" s="9">
        <v>27.5</v>
      </c>
      <c r="K1041">
        <v>247.5</v>
      </c>
      <c r="L1041" s="14" t="s">
        <v>81</v>
      </c>
      <c r="M1041" s="8" t="s">
        <v>129</v>
      </c>
      <c r="N1041">
        <v>275</v>
      </c>
      <c r="O1041" s="38" t="s">
        <v>11</v>
      </c>
      <c r="P1041" s="38" t="s">
        <v>10</v>
      </c>
      <c r="Q1041">
        <v>2025</v>
      </c>
      <c r="R1041" t="s">
        <v>129</v>
      </c>
      <c r="S1041" t="s">
        <v>14</v>
      </c>
      <c r="T1041" t="s">
        <v>1261</v>
      </c>
      <c r="U1041" t="str">
        <f>IFERROR(_xlfn.XLOOKUP(A1041,'2025 EOY'!A:A,'2025 EOY'!B:B),"No")</f>
        <v>No</v>
      </c>
    </row>
    <row r="1042" spans="1:25" x14ac:dyDescent="0.35">
      <c r="A1042" t="s">
        <v>127</v>
      </c>
      <c r="B1042" s="174">
        <v>45835</v>
      </c>
      <c r="C1042" s="10" t="s">
        <v>7</v>
      </c>
      <c r="D1042" s="4" t="s">
        <v>128</v>
      </c>
      <c r="E1042" s="253">
        <v>-38</v>
      </c>
      <c r="F1042" s="172">
        <v>45900</v>
      </c>
      <c r="G1042" s="172">
        <v>45930</v>
      </c>
      <c r="H1042" s="15">
        <v>1.45</v>
      </c>
      <c r="I1042" s="192">
        <v>0.87</v>
      </c>
      <c r="J1042" s="9">
        <v>22.04</v>
      </c>
      <c r="K1042">
        <v>-55.1</v>
      </c>
      <c r="L1042" s="14" t="s">
        <v>77</v>
      </c>
      <c r="M1042" s="8" t="s">
        <v>129</v>
      </c>
      <c r="N1042">
        <v>-33.06</v>
      </c>
      <c r="O1042" s="38" t="s">
        <v>4</v>
      </c>
      <c r="P1042" s="38" t="s">
        <v>7</v>
      </c>
      <c r="Q1042">
        <v>2025</v>
      </c>
      <c r="R1042" t="s">
        <v>129</v>
      </c>
      <c r="S1042" t="s">
        <v>14</v>
      </c>
      <c r="T1042" t="s">
        <v>1262</v>
      </c>
      <c r="U1042" t="str">
        <f>IFERROR(_xlfn.XLOOKUP(A1042,'2025 EOY'!A:A,'2025 EOY'!B:B),"No")</f>
        <v>No</v>
      </c>
    </row>
    <row r="1043" spans="1:25" x14ac:dyDescent="0.35">
      <c r="A1043" t="s">
        <v>127</v>
      </c>
      <c r="B1043" s="174">
        <v>45838</v>
      </c>
      <c r="C1043" s="10" t="s">
        <v>10</v>
      </c>
      <c r="D1043" s="4" t="s">
        <v>128</v>
      </c>
      <c r="E1043" s="253">
        <v>500</v>
      </c>
      <c r="F1043" s="172">
        <v>45930</v>
      </c>
      <c r="G1043" s="172">
        <v>45930</v>
      </c>
      <c r="H1043" s="15">
        <v>-2.86</v>
      </c>
      <c r="I1043" s="192">
        <v>-3.27</v>
      </c>
      <c r="J1043" s="9">
        <v>-205.00000000000006</v>
      </c>
      <c r="K1043">
        <v>-1430</v>
      </c>
      <c r="L1043" s="14" t="s">
        <v>86</v>
      </c>
      <c r="M1043" s="8" t="s">
        <v>131</v>
      </c>
      <c r="N1043">
        <v>-1635</v>
      </c>
      <c r="O1043" s="38" t="s">
        <v>11</v>
      </c>
      <c r="P1043" s="38" t="s">
        <v>10</v>
      </c>
      <c r="Q1043">
        <v>2025</v>
      </c>
      <c r="R1043" t="s">
        <v>131</v>
      </c>
      <c r="S1043" t="s">
        <v>14</v>
      </c>
      <c r="T1043" t="s">
        <v>1263</v>
      </c>
      <c r="U1043" t="str">
        <f>IFERROR(_xlfn.XLOOKUP(A1043,'2025 EOY'!A:A,'2025 EOY'!B:B),"No")</f>
        <v>No</v>
      </c>
    </row>
    <row r="1044" spans="1:25" x14ac:dyDescent="0.35">
      <c r="A1044" t="s">
        <v>1239</v>
      </c>
      <c r="B1044" s="174">
        <v>45838</v>
      </c>
      <c r="C1044" s="10" t="s">
        <v>3</v>
      </c>
      <c r="D1044" s="4" t="s">
        <v>128</v>
      </c>
      <c r="E1044" s="253">
        <v>700</v>
      </c>
      <c r="F1044" s="172">
        <v>45900</v>
      </c>
      <c r="G1044" s="172">
        <v>45930</v>
      </c>
      <c r="H1044" s="129">
        <v>1.23</v>
      </c>
      <c r="I1044" s="192">
        <v>1.25</v>
      </c>
      <c r="J1044" s="9">
        <v>14.000000000000012</v>
      </c>
      <c r="K1044">
        <v>861</v>
      </c>
      <c r="L1044" s="14" t="s">
        <v>77</v>
      </c>
      <c r="M1044" s="8" t="s">
        <v>131</v>
      </c>
      <c r="N1044">
        <v>875</v>
      </c>
      <c r="O1044" s="38" t="s">
        <v>4</v>
      </c>
      <c r="P1044" s="38" t="s">
        <v>3</v>
      </c>
      <c r="Q1044">
        <v>2025</v>
      </c>
      <c r="R1044" t="s">
        <v>131</v>
      </c>
      <c r="S1044" t="s">
        <v>14</v>
      </c>
      <c r="T1044" t="s">
        <v>1264</v>
      </c>
      <c r="U1044" t="str">
        <f>IFERROR(_xlfn.XLOOKUP(A1044,'2025 EOY'!A:A,'2025 EOY'!B:B),"No")</f>
        <v>No</v>
      </c>
    </row>
    <row r="1045" spans="1:25" x14ac:dyDescent="0.35">
      <c r="A1045" t="s">
        <v>127</v>
      </c>
      <c r="B1045" s="174">
        <v>45838</v>
      </c>
      <c r="C1045" s="10" t="s">
        <v>10</v>
      </c>
      <c r="D1045" s="4" t="s">
        <v>128</v>
      </c>
      <c r="E1045" s="253">
        <v>117</v>
      </c>
      <c r="F1045" s="172">
        <v>45961</v>
      </c>
      <c r="G1045" s="172">
        <v>45961</v>
      </c>
      <c r="H1045" s="15">
        <v>-3.11</v>
      </c>
      <c r="I1045" s="192">
        <v>-4.1100000000000003</v>
      </c>
      <c r="J1045" s="9">
        <v>-117.00000000000006</v>
      </c>
      <c r="K1045">
        <v>-363.87</v>
      </c>
      <c r="L1045" s="14" t="s">
        <v>89</v>
      </c>
      <c r="M1045" s="8" t="s">
        <v>131</v>
      </c>
      <c r="N1045">
        <v>-480.87000000000006</v>
      </c>
      <c r="O1045" s="38" t="s">
        <v>11</v>
      </c>
      <c r="P1045" s="38" t="s">
        <v>10</v>
      </c>
      <c r="Q1045">
        <v>2025</v>
      </c>
      <c r="R1045" t="s">
        <v>131</v>
      </c>
      <c r="S1045" t="s">
        <v>14</v>
      </c>
      <c r="T1045" t="s">
        <v>1265</v>
      </c>
      <c r="U1045" t="str">
        <f>IFERROR(_xlfn.XLOOKUP(A1045,'2025 EOY'!A:A,'2025 EOY'!B:B),"No")</f>
        <v>No</v>
      </c>
    </row>
    <row r="1046" spans="1:25" x14ac:dyDescent="0.35">
      <c r="A1046" t="s">
        <v>127</v>
      </c>
      <c r="B1046" s="174">
        <v>45839</v>
      </c>
      <c r="C1046" s="10" t="s">
        <v>10</v>
      </c>
      <c r="D1046" s="4" t="s">
        <v>128</v>
      </c>
      <c r="E1046" s="253">
        <v>500</v>
      </c>
      <c r="F1046" s="172">
        <v>45930</v>
      </c>
      <c r="G1046" s="172">
        <v>45930</v>
      </c>
      <c r="H1046" s="15">
        <v>-2.9</v>
      </c>
      <c r="I1046" s="192">
        <v>-3.27</v>
      </c>
      <c r="J1046" s="9">
        <v>-185.00000000000006</v>
      </c>
      <c r="K1046">
        <v>-1450</v>
      </c>
      <c r="L1046" s="14" t="s">
        <v>86</v>
      </c>
      <c r="M1046" s="8" t="s">
        <v>131</v>
      </c>
      <c r="N1046">
        <v>-1635</v>
      </c>
      <c r="O1046" s="38" t="s">
        <v>11</v>
      </c>
      <c r="P1046" s="38" t="s">
        <v>10</v>
      </c>
      <c r="Q1046">
        <v>2025</v>
      </c>
      <c r="R1046" t="s">
        <v>131</v>
      </c>
      <c r="S1046" t="s">
        <v>14</v>
      </c>
      <c r="T1046" t="s">
        <v>1266</v>
      </c>
      <c r="U1046" t="str">
        <f>IFERROR(_xlfn.XLOOKUP(A1046,'2025 EOY'!A:A,'2025 EOY'!B:B),"No")</f>
        <v>No</v>
      </c>
    </row>
    <row r="1047" spans="1:25" x14ac:dyDescent="0.35">
      <c r="A1047" t="s">
        <v>127</v>
      </c>
      <c r="B1047" s="174">
        <v>45839</v>
      </c>
      <c r="C1047" s="10" t="s">
        <v>10</v>
      </c>
      <c r="D1047" s="4" t="s">
        <v>128</v>
      </c>
      <c r="E1047" s="253">
        <v>500</v>
      </c>
      <c r="F1047" s="172">
        <v>45961</v>
      </c>
      <c r="G1047" s="172">
        <v>45961</v>
      </c>
      <c r="H1047" s="15">
        <v>-3.11</v>
      </c>
      <c r="I1047" s="192">
        <v>-4.1100000000000003</v>
      </c>
      <c r="J1047" s="9">
        <v>-500.00000000000023</v>
      </c>
      <c r="K1047">
        <v>-1555</v>
      </c>
      <c r="L1047" s="14" t="s">
        <v>89</v>
      </c>
      <c r="M1047" s="8" t="s">
        <v>131</v>
      </c>
      <c r="N1047">
        <v>-2055</v>
      </c>
      <c r="O1047" s="38" t="s">
        <v>11</v>
      </c>
      <c r="P1047" s="38" t="s">
        <v>10</v>
      </c>
      <c r="Q1047">
        <v>2025</v>
      </c>
      <c r="R1047" t="s">
        <v>131</v>
      </c>
      <c r="S1047" t="s">
        <v>14</v>
      </c>
      <c r="T1047" t="s">
        <v>1267</v>
      </c>
      <c r="U1047" t="str">
        <f>IFERROR(_xlfn.XLOOKUP(A1047,'2025 EOY'!A:A,'2025 EOY'!B:B),"No")</f>
        <v>No</v>
      </c>
    </row>
    <row r="1048" spans="1:25" x14ac:dyDescent="0.35">
      <c r="A1048" t="s">
        <v>1076</v>
      </c>
      <c r="B1048" s="174">
        <v>45799</v>
      </c>
      <c r="C1048" s="10" t="s">
        <v>15</v>
      </c>
      <c r="D1048" s="4" t="s">
        <v>128</v>
      </c>
      <c r="E1048" s="253">
        <v>-100</v>
      </c>
      <c r="F1048" s="173">
        <v>45838</v>
      </c>
      <c r="G1048" s="172">
        <v>45838</v>
      </c>
      <c r="H1048" s="15">
        <v>1.72</v>
      </c>
      <c r="I1048" s="191">
        <v>1.72</v>
      </c>
      <c r="J1048" s="9">
        <v>0</v>
      </c>
      <c r="K1048">
        <v>-172</v>
      </c>
      <c r="L1048" s="14" t="s">
        <v>73</v>
      </c>
      <c r="M1048" s="8" t="s">
        <v>129</v>
      </c>
      <c r="N1048">
        <v>-172</v>
      </c>
      <c r="O1048" s="38" t="s">
        <v>11</v>
      </c>
      <c r="P1048" s="38" t="s">
        <v>16</v>
      </c>
      <c r="Q1048">
        <v>2025</v>
      </c>
      <c r="R1048" t="s">
        <v>129</v>
      </c>
      <c r="S1048" t="s">
        <v>14</v>
      </c>
      <c r="T1048" t="s">
        <v>1268</v>
      </c>
      <c r="U1048" t="str">
        <f>IFERROR(_xlfn.XLOOKUP(A1048,'2025 EOY'!A:A,'2025 EOY'!B:B),"No")</f>
        <v>No</v>
      </c>
      <c r="V1048">
        <v>1234</v>
      </c>
      <c r="W1048">
        <v>-4775</v>
      </c>
      <c r="Y1048">
        <v>-3541</v>
      </c>
    </row>
    <row r="1049" spans="1:25" x14ac:dyDescent="0.35">
      <c r="A1049" t="s">
        <v>1269</v>
      </c>
      <c r="B1049" s="174">
        <v>45841</v>
      </c>
      <c r="C1049" s="187" t="s">
        <v>19</v>
      </c>
      <c r="D1049" s="10" t="s">
        <v>268</v>
      </c>
      <c r="E1049" s="259">
        <v>1334</v>
      </c>
      <c r="F1049" s="172">
        <v>45900</v>
      </c>
      <c r="G1049" s="172">
        <v>45900</v>
      </c>
      <c r="H1049" s="15">
        <v>5.38</v>
      </c>
      <c r="I1049" s="201">
        <v>5.36</v>
      </c>
      <c r="J1049" s="9">
        <v>-26.679999999999431</v>
      </c>
      <c r="K1049">
        <v>7176.92</v>
      </c>
      <c r="L1049" s="14" t="s">
        <v>81</v>
      </c>
      <c r="M1049" s="8" t="s">
        <v>131</v>
      </c>
      <c r="N1049">
        <v>7150.2400000000007</v>
      </c>
      <c r="O1049" s="38" t="s">
        <v>19</v>
      </c>
      <c r="P1049" s="38" t="s">
        <v>19</v>
      </c>
      <c r="Q1049">
        <v>2025</v>
      </c>
      <c r="R1049" t="s">
        <v>131</v>
      </c>
      <c r="S1049" t="s">
        <v>96</v>
      </c>
      <c r="T1049" t="s">
        <v>1270</v>
      </c>
      <c r="U1049" t="str">
        <f>IFERROR(_xlfn.XLOOKUP(A1049,'2025 EOY'!A:A,'2025 EOY'!B:B),"No")</f>
        <v>No</v>
      </c>
    </row>
    <row r="1050" spans="1:25" x14ac:dyDescent="0.35">
      <c r="A1050" t="s">
        <v>1269</v>
      </c>
      <c r="B1050" s="174">
        <v>45841</v>
      </c>
      <c r="C1050" s="187" t="s">
        <v>19</v>
      </c>
      <c r="D1050" s="10" t="s">
        <v>268</v>
      </c>
      <c r="E1050" s="259">
        <v>700</v>
      </c>
      <c r="F1050" s="172">
        <v>45900</v>
      </c>
      <c r="G1050" s="172">
        <v>45900</v>
      </c>
      <c r="H1050" s="15">
        <v>5.05</v>
      </c>
      <c r="I1050" s="201">
        <v>4.96</v>
      </c>
      <c r="J1050" s="9">
        <v>-62.999999999999901</v>
      </c>
      <c r="K1050">
        <v>3535</v>
      </c>
      <c r="L1050" s="14" t="s">
        <v>81</v>
      </c>
      <c r="M1050" s="8" t="s">
        <v>131</v>
      </c>
      <c r="N1050">
        <v>3472</v>
      </c>
      <c r="O1050" s="38" t="s">
        <v>19</v>
      </c>
      <c r="P1050" s="38" t="s">
        <v>19</v>
      </c>
      <c r="Q1050">
        <v>2025</v>
      </c>
      <c r="R1050" t="s">
        <v>131</v>
      </c>
      <c r="S1050" t="s">
        <v>96</v>
      </c>
      <c r="T1050" t="s">
        <v>1271</v>
      </c>
      <c r="U1050" t="str">
        <f>IFERROR(_xlfn.XLOOKUP(A1050,'2025 EOY'!A:A,'2025 EOY'!B:B),"No")</f>
        <v>No</v>
      </c>
    </row>
    <row r="1051" spans="1:25" x14ac:dyDescent="0.35">
      <c r="A1051" t="s">
        <v>1269</v>
      </c>
      <c r="B1051" s="174">
        <v>45841</v>
      </c>
      <c r="C1051" s="10" t="s">
        <v>3</v>
      </c>
      <c r="D1051" s="4" t="s">
        <v>268</v>
      </c>
      <c r="E1051" s="253">
        <v>-1400</v>
      </c>
      <c r="F1051" s="172">
        <v>45900</v>
      </c>
      <c r="G1051" s="172">
        <v>45930</v>
      </c>
      <c r="H1051" s="189">
        <v>1.4</v>
      </c>
      <c r="I1051" s="192">
        <v>1.25</v>
      </c>
      <c r="J1051" s="9">
        <v>209.99999999999989</v>
      </c>
      <c r="K1051">
        <v>-1959.9999999999998</v>
      </c>
      <c r="L1051" s="14" t="s">
        <v>77</v>
      </c>
      <c r="M1051" s="8" t="s">
        <v>129</v>
      </c>
      <c r="N1051">
        <v>-1750</v>
      </c>
      <c r="O1051" s="38" t="s">
        <v>4</v>
      </c>
      <c r="P1051" s="38" t="s">
        <v>3</v>
      </c>
      <c r="Q1051">
        <v>2025</v>
      </c>
      <c r="R1051" t="s">
        <v>129</v>
      </c>
      <c r="S1051" t="s">
        <v>14</v>
      </c>
      <c r="T1051" t="s">
        <v>1272</v>
      </c>
      <c r="U1051" t="str">
        <f>IFERROR(_xlfn.XLOOKUP(A1051,'2025 EOY'!A:A,'2025 EOY'!B:B),"No")</f>
        <v>No</v>
      </c>
    </row>
    <row r="1052" spans="1:25" x14ac:dyDescent="0.35">
      <c r="A1052" t="s">
        <v>1269</v>
      </c>
      <c r="B1052" s="174">
        <v>45841</v>
      </c>
      <c r="C1052" s="10" t="s">
        <v>3</v>
      </c>
      <c r="D1052" s="4" t="s">
        <v>268</v>
      </c>
      <c r="E1052" s="253">
        <v>-1334</v>
      </c>
      <c r="F1052" s="172">
        <v>45930</v>
      </c>
      <c r="G1052" s="172">
        <v>45961</v>
      </c>
      <c r="H1052" s="129">
        <v>1.25</v>
      </c>
      <c r="I1052" s="192">
        <v>0.57999999999999996</v>
      </c>
      <c r="J1052" s="9">
        <v>893.78000000000009</v>
      </c>
      <c r="K1052">
        <v>-1667.5</v>
      </c>
      <c r="L1052" s="14" t="s">
        <v>78</v>
      </c>
      <c r="M1052" s="8" t="s">
        <v>129</v>
      </c>
      <c r="N1052">
        <v>-773.71999999999991</v>
      </c>
      <c r="O1052" s="38" t="s">
        <v>4</v>
      </c>
      <c r="P1052" s="38" t="s">
        <v>3</v>
      </c>
      <c r="Q1052">
        <v>2025</v>
      </c>
      <c r="R1052" t="s">
        <v>129</v>
      </c>
      <c r="S1052" t="s">
        <v>14</v>
      </c>
      <c r="T1052" t="s">
        <v>1273</v>
      </c>
      <c r="U1052" t="str">
        <f>IFERROR(_xlfn.XLOOKUP(A1052,'2025 EOY'!A:A,'2025 EOY'!B:B),"No")</f>
        <v>No</v>
      </c>
    </row>
    <row r="1053" spans="1:25" x14ac:dyDescent="0.35">
      <c r="A1053" t="s">
        <v>1269</v>
      </c>
      <c r="B1053" s="174">
        <v>45841</v>
      </c>
      <c r="C1053" s="10" t="s">
        <v>10</v>
      </c>
      <c r="D1053" s="4" t="s">
        <v>268</v>
      </c>
      <c r="E1053" s="253">
        <v>-1334</v>
      </c>
      <c r="F1053" s="172">
        <v>45961</v>
      </c>
      <c r="G1053" s="172">
        <v>45961</v>
      </c>
      <c r="H1053" s="15">
        <v>-3.25</v>
      </c>
      <c r="I1053" s="192">
        <v>-4.1100000000000003</v>
      </c>
      <c r="J1053" s="9">
        <v>1147.2400000000005</v>
      </c>
      <c r="K1053">
        <v>4335.5</v>
      </c>
      <c r="L1053" s="14" t="s">
        <v>89</v>
      </c>
      <c r="M1053" s="8" t="s">
        <v>129</v>
      </c>
      <c r="N1053">
        <v>5482.7400000000007</v>
      </c>
      <c r="O1053" s="38" t="s">
        <v>11</v>
      </c>
      <c r="P1053" s="38" t="s">
        <v>10</v>
      </c>
      <c r="Q1053">
        <v>2025</v>
      </c>
      <c r="R1053" t="s">
        <v>129</v>
      </c>
      <c r="S1053" t="s">
        <v>14</v>
      </c>
      <c r="T1053" t="s">
        <v>1274</v>
      </c>
      <c r="U1053" t="str">
        <f>IFERROR(_xlfn.XLOOKUP(A1053,'2025 EOY'!A:A,'2025 EOY'!B:B),"No")</f>
        <v>No</v>
      </c>
    </row>
    <row r="1054" spans="1:25" x14ac:dyDescent="0.35">
      <c r="A1054" t="s">
        <v>1269</v>
      </c>
      <c r="B1054" s="174">
        <v>45841</v>
      </c>
      <c r="C1054" s="10" t="s">
        <v>7</v>
      </c>
      <c r="D1054" s="4" t="s">
        <v>268</v>
      </c>
      <c r="E1054" s="253">
        <v>-2034</v>
      </c>
      <c r="F1054" s="172">
        <v>45961</v>
      </c>
      <c r="G1054" s="172">
        <v>45991</v>
      </c>
      <c r="H1054" s="15">
        <v>0.86</v>
      </c>
      <c r="I1054" s="192">
        <v>0.64</v>
      </c>
      <c r="J1054" s="9">
        <v>447.47999999999996</v>
      </c>
      <c r="K1054">
        <v>-1749.24</v>
      </c>
      <c r="L1054" s="14" t="s">
        <v>79</v>
      </c>
      <c r="M1054" s="8" t="s">
        <v>129</v>
      </c>
      <c r="N1054">
        <v>-1301.76</v>
      </c>
      <c r="O1054" s="38" t="s">
        <v>4</v>
      </c>
      <c r="P1054" s="38" t="s">
        <v>7</v>
      </c>
      <c r="Q1054">
        <v>2025</v>
      </c>
      <c r="R1054" t="s">
        <v>129</v>
      </c>
      <c r="S1054" t="s">
        <v>14</v>
      </c>
      <c r="T1054" t="s">
        <v>1275</v>
      </c>
      <c r="U1054" t="str">
        <f>IFERROR(_xlfn.XLOOKUP(A1054,'2025 EOY'!A:A,'2025 EOY'!B:B),"No")</f>
        <v>No</v>
      </c>
    </row>
    <row r="1055" spans="1:25" x14ac:dyDescent="0.35">
      <c r="A1055" t="s">
        <v>1269</v>
      </c>
      <c r="B1055" s="174">
        <v>45841</v>
      </c>
      <c r="C1055" s="47" t="s">
        <v>28</v>
      </c>
      <c r="D1055" s="10" t="s">
        <v>268</v>
      </c>
      <c r="E1055" s="253">
        <v>-2000</v>
      </c>
      <c r="F1055" s="172">
        <v>45900</v>
      </c>
      <c r="G1055" s="172">
        <v>45900</v>
      </c>
      <c r="H1055" s="212">
        <v>6700</v>
      </c>
      <c r="I1055" s="206">
        <v>7100</v>
      </c>
      <c r="J1055" s="9">
        <v>-400</v>
      </c>
      <c r="K1055">
        <v>-13400000</v>
      </c>
      <c r="L1055" s="14" t="s">
        <v>81</v>
      </c>
      <c r="M1055" s="8" t="s">
        <v>129</v>
      </c>
      <c r="N1055">
        <v>-14200000</v>
      </c>
      <c r="O1055" s="38" t="s">
        <v>29</v>
      </c>
      <c r="P1055" s="38" t="s">
        <v>29</v>
      </c>
      <c r="Q1055">
        <v>2025</v>
      </c>
      <c r="R1055" t="s">
        <v>129</v>
      </c>
      <c r="S1055" t="s">
        <v>14</v>
      </c>
      <c r="T1055" t="s">
        <v>1276</v>
      </c>
      <c r="U1055" t="str">
        <f>IFERROR(_xlfn.XLOOKUP(A1055,'2025 EOY'!A:A,'2025 EOY'!B:B),"No")</f>
        <v>No</v>
      </c>
    </row>
    <row r="1056" spans="1:25" x14ac:dyDescent="0.35">
      <c r="A1056" t="s">
        <v>1269</v>
      </c>
      <c r="B1056" s="174">
        <v>45841</v>
      </c>
      <c r="C1056" s="47" t="s">
        <v>28</v>
      </c>
      <c r="D1056" s="10" t="s">
        <v>128</v>
      </c>
      <c r="E1056" s="253">
        <v>2000</v>
      </c>
      <c r="F1056" s="172">
        <v>45900</v>
      </c>
      <c r="G1056" s="172">
        <v>45900</v>
      </c>
      <c r="H1056" s="212">
        <v>7100</v>
      </c>
      <c r="I1056" s="206">
        <v>7100</v>
      </c>
      <c r="J1056" s="9">
        <v>0</v>
      </c>
      <c r="K1056">
        <v>14200000</v>
      </c>
      <c r="L1056" s="14" t="s">
        <v>81</v>
      </c>
      <c r="M1056" s="8" t="s">
        <v>131</v>
      </c>
      <c r="N1056">
        <v>14200000</v>
      </c>
      <c r="O1056" s="38" t="s">
        <v>29</v>
      </c>
      <c r="P1056" s="38" t="s">
        <v>29</v>
      </c>
      <c r="Q1056">
        <v>2025</v>
      </c>
      <c r="R1056" t="s">
        <v>131</v>
      </c>
      <c r="S1056" t="s">
        <v>14</v>
      </c>
      <c r="T1056" t="s">
        <v>1277</v>
      </c>
      <c r="U1056" t="str">
        <f>IFERROR(_xlfn.XLOOKUP(A1056,'2025 EOY'!A:A,'2025 EOY'!B:B),"No")</f>
        <v>No</v>
      </c>
    </row>
    <row r="1057" spans="1:21" x14ac:dyDescent="0.35">
      <c r="A1057" t="s">
        <v>1269</v>
      </c>
      <c r="B1057" s="174">
        <v>45841</v>
      </c>
      <c r="C1057" s="10" t="s">
        <v>7</v>
      </c>
      <c r="D1057" s="4" t="s">
        <v>128</v>
      </c>
      <c r="E1057" s="272">
        <v>1000</v>
      </c>
      <c r="F1057" s="172">
        <v>45961</v>
      </c>
      <c r="G1057" s="172">
        <v>45991</v>
      </c>
      <c r="H1057" s="15">
        <v>0.81</v>
      </c>
      <c r="I1057" s="192">
        <v>0.64</v>
      </c>
      <c r="J1057" s="9">
        <v>-170.00000000000003</v>
      </c>
      <c r="K1057">
        <v>810</v>
      </c>
      <c r="L1057" s="14" t="s">
        <v>79</v>
      </c>
      <c r="M1057" s="8" t="s">
        <v>131</v>
      </c>
      <c r="N1057">
        <v>640</v>
      </c>
      <c r="O1057" s="38" t="s">
        <v>4</v>
      </c>
      <c r="P1057" s="38" t="s">
        <v>7</v>
      </c>
      <c r="Q1057">
        <v>2025</v>
      </c>
      <c r="R1057" t="s">
        <v>131</v>
      </c>
      <c r="S1057" t="s">
        <v>14</v>
      </c>
      <c r="T1057" t="s">
        <v>1278</v>
      </c>
      <c r="U1057" t="str">
        <f>IFERROR(_xlfn.XLOOKUP(A1057,'2025 EOY'!A:A,'2025 EOY'!B:B),"No")</f>
        <v>No</v>
      </c>
    </row>
    <row r="1058" spans="1:21" x14ac:dyDescent="0.35">
      <c r="A1058" t="s">
        <v>1269</v>
      </c>
      <c r="B1058" s="174">
        <v>45841</v>
      </c>
      <c r="C1058" s="10" t="s">
        <v>10</v>
      </c>
      <c r="D1058" s="4" t="s">
        <v>128</v>
      </c>
      <c r="E1058" s="253">
        <v>1000</v>
      </c>
      <c r="F1058" s="172">
        <v>45961</v>
      </c>
      <c r="G1058" s="172">
        <v>45961</v>
      </c>
      <c r="H1058" s="15">
        <v>-3.25</v>
      </c>
      <c r="I1058" s="192">
        <v>-4.1100000000000003</v>
      </c>
      <c r="J1058" s="9">
        <v>-860.00000000000034</v>
      </c>
      <c r="K1058">
        <v>-3250</v>
      </c>
      <c r="L1058" s="14" t="s">
        <v>89</v>
      </c>
      <c r="M1058" s="8" t="s">
        <v>131</v>
      </c>
      <c r="N1058">
        <v>-4110</v>
      </c>
      <c r="O1058" s="38" t="s">
        <v>11</v>
      </c>
      <c r="P1058" s="38" t="s">
        <v>10</v>
      </c>
      <c r="Q1058">
        <v>2025</v>
      </c>
      <c r="R1058" t="s">
        <v>131</v>
      </c>
      <c r="S1058" t="s">
        <v>14</v>
      </c>
      <c r="T1058" t="s">
        <v>1279</v>
      </c>
      <c r="U1058" t="str">
        <f>IFERROR(_xlfn.XLOOKUP(A1058,'2025 EOY'!A:A,'2025 EOY'!B:B),"No")</f>
        <v>No</v>
      </c>
    </row>
    <row r="1059" spans="1:21" x14ac:dyDescent="0.35">
      <c r="A1059" t="s">
        <v>1269</v>
      </c>
      <c r="B1059" s="174">
        <v>45841</v>
      </c>
      <c r="C1059" s="10" t="s">
        <v>7</v>
      </c>
      <c r="D1059" s="4" t="s">
        <v>128</v>
      </c>
      <c r="E1059" s="253">
        <v>1000</v>
      </c>
      <c r="F1059" s="172">
        <v>45930</v>
      </c>
      <c r="G1059" s="172">
        <v>45961</v>
      </c>
      <c r="H1059" s="15">
        <v>0.96499999999999997</v>
      </c>
      <c r="I1059" s="192">
        <v>0.83</v>
      </c>
      <c r="J1059" s="9">
        <v>-135</v>
      </c>
      <c r="K1059">
        <v>965</v>
      </c>
      <c r="L1059" s="14" t="s">
        <v>78</v>
      </c>
      <c r="M1059" s="8" t="s">
        <v>131</v>
      </c>
      <c r="N1059">
        <v>830</v>
      </c>
      <c r="O1059" s="38" t="s">
        <v>4</v>
      </c>
      <c r="P1059" s="38" t="s">
        <v>7</v>
      </c>
      <c r="Q1059">
        <v>2025</v>
      </c>
      <c r="R1059" t="s">
        <v>131</v>
      </c>
      <c r="S1059" t="s">
        <v>14</v>
      </c>
      <c r="T1059" t="s">
        <v>1280</v>
      </c>
      <c r="U1059" t="str">
        <f>IFERROR(_xlfn.XLOOKUP(A1059,'2025 EOY'!A:A,'2025 EOY'!B:B),"No")</f>
        <v>No</v>
      </c>
    </row>
    <row r="1060" spans="1:21" x14ac:dyDescent="0.35">
      <c r="A1060" t="s">
        <v>1269</v>
      </c>
      <c r="B1060" s="174">
        <v>45841</v>
      </c>
      <c r="C1060" s="10" t="s">
        <v>7</v>
      </c>
      <c r="D1060" s="4" t="s">
        <v>128</v>
      </c>
      <c r="E1060" s="272">
        <v>1000</v>
      </c>
      <c r="F1060" s="172">
        <v>45961</v>
      </c>
      <c r="G1060" s="172">
        <v>45991</v>
      </c>
      <c r="H1060" s="15">
        <v>0.96499999999999997</v>
      </c>
      <c r="I1060" s="192">
        <v>0.64</v>
      </c>
      <c r="J1060" s="9">
        <v>-324.99999999999994</v>
      </c>
      <c r="K1060">
        <v>965</v>
      </c>
      <c r="L1060" s="14" t="s">
        <v>79</v>
      </c>
      <c r="M1060" s="8" t="s">
        <v>131</v>
      </c>
      <c r="N1060">
        <v>640</v>
      </c>
      <c r="O1060" s="38" t="s">
        <v>4</v>
      </c>
      <c r="P1060" s="38" t="s">
        <v>7</v>
      </c>
      <c r="Q1060">
        <v>2025</v>
      </c>
      <c r="R1060" t="s">
        <v>131</v>
      </c>
      <c r="S1060" t="s">
        <v>14</v>
      </c>
      <c r="T1060" t="s">
        <v>1281</v>
      </c>
      <c r="U1060" t="str">
        <f>IFERROR(_xlfn.XLOOKUP(A1060,'2025 EOY'!A:A,'2025 EOY'!B:B),"No")</f>
        <v>No</v>
      </c>
    </row>
    <row r="1061" spans="1:21" x14ac:dyDescent="0.35">
      <c r="A1061" t="s">
        <v>1269</v>
      </c>
      <c r="B1061" s="174">
        <v>45841</v>
      </c>
      <c r="C1061" s="10" t="s">
        <v>3</v>
      </c>
      <c r="D1061" s="4" t="s">
        <v>128</v>
      </c>
      <c r="E1061" s="253">
        <v>200</v>
      </c>
      <c r="F1061" s="172">
        <v>45900</v>
      </c>
      <c r="G1061" s="172">
        <v>45930</v>
      </c>
      <c r="H1061" s="189">
        <v>1.41</v>
      </c>
      <c r="I1061" s="192">
        <v>1.25</v>
      </c>
      <c r="J1061" s="9">
        <v>-31.999999999999986</v>
      </c>
      <c r="K1061">
        <v>282</v>
      </c>
      <c r="L1061" s="14" t="s">
        <v>77</v>
      </c>
      <c r="M1061" s="8" t="s">
        <v>131</v>
      </c>
      <c r="N1061">
        <v>250</v>
      </c>
      <c r="O1061" s="38" t="s">
        <v>4</v>
      </c>
      <c r="P1061" s="38" t="s">
        <v>3</v>
      </c>
      <c r="Q1061">
        <v>2025</v>
      </c>
      <c r="R1061" t="s">
        <v>131</v>
      </c>
      <c r="S1061" t="s">
        <v>14</v>
      </c>
      <c r="T1061" t="s">
        <v>1282</v>
      </c>
      <c r="U1061" t="str">
        <f>IFERROR(_xlfn.XLOOKUP(A1061,'2025 EOY'!A:A,'2025 EOY'!B:B),"No")</f>
        <v>No</v>
      </c>
    </row>
    <row r="1062" spans="1:21" x14ac:dyDescent="0.35">
      <c r="A1062" t="s">
        <v>1269</v>
      </c>
      <c r="B1062" s="174">
        <v>45842</v>
      </c>
      <c r="C1062" s="10" t="s">
        <v>10</v>
      </c>
      <c r="D1062" s="4" t="s">
        <v>128</v>
      </c>
      <c r="E1062" s="253">
        <v>195</v>
      </c>
      <c r="F1062" s="172">
        <v>45961</v>
      </c>
      <c r="G1062" s="172">
        <v>45961</v>
      </c>
      <c r="H1062" s="15">
        <v>-3.26</v>
      </c>
      <c r="I1062" s="192">
        <v>-4.1100000000000003</v>
      </c>
      <c r="J1062" s="9">
        <v>-165.75000000000011</v>
      </c>
      <c r="K1062">
        <v>-635.69999999999993</v>
      </c>
      <c r="L1062" s="14" t="s">
        <v>89</v>
      </c>
      <c r="M1062" s="8" t="s">
        <v>131</v>
      </c>
      <c r="N1062">
        <v>-801.45</v>
      </c>
      <c r="O1062" s="38" t="s">
        <v>11</v>
      </c>
      <c r="P1062" s="38" t="s">
        <v>10</v>
      </c>
      <c r="Q1062">
        <v>2025</v>
      </c>
      <c r="R1062" t="s">
        <v>131</v>
      </c>
      <c r="S1062" t="s">
        <v>14</v>
      </c>
      <c r="T1062" t="s">
        <v>1283</v>
      </c>
      <c r="U1062" t="str">
        <f>IFERROR(_xlfn.XLOOKUP(A1062,'2025 EOY'!A:A,'2025 EOY'!B:B),"No")</f>
        <v>No</v>
      </c>
    </row>
    <row r="1063" spans="1:21" x14ac:dyDescent="0.35">
      <c r="A1063" t="s">
        <v>127</v>
      </c>
      <c r="B1063" s="174">
        <v>45845</v>
      </c>
      <c r="C1063" s="10" t="s">
        <v>3</v>
      </c>
      <c r="D1063" s="4" t="s">
        <v>128</v>
      </c>
      <c r="E1063" s="253">
        <v>-210</v>
      </c>
      <c r="F1063" s="172">
        <v>45900</v>
      </c>
      <c r="G1063" s="172">
        <v>45930</v>
      </c>
      <c r="H1063" s="189">
        <v>1.4</v>
      </c>
      <c r="I1063" s="192">
        <v>1.25</v>
      </c>
      <c r="J1063" s="9">
        <v>31.499999999999982</v>
      </c>
      <c r="K1063">
        <v>-294</v>
      </c>
      <c r="L1063" s="14" t="s">
        <v>77</v>
      </c>
      <c r="M1063" s="8" t="s">
        <v>129</v>
      </c>
      <c r="N1063">
        <v>-262.5</v>
      </c>
      <c r="O1063" s="38" t="s">
        <v>4</v>
      </c>
      <c r="P1063" s="38" t="s">
        <v>3</v>
      </c>
      <c r="Q1063">
        <v>2025</v>
      </c>
      <c r="R1063" t="s">
        <v>129</v>
      </c>
      <c r="S1063" t="s">
        <v>14</v>
      </c>
      <c r="T1063" t="s">
        <v>1284</v>
      </c>
      <c r="U1063" t="str">
        <f>IFERROR(_xlfn.XLOOKUP(A1063,'2025 EOY'!A:A,'2025 EOY'!B:B),"No")</f>
        <v>No</v>
      </c>
    </row>
    <row r="1064" spans="1:21" x14ac:dyDescent="0.35">
      <c r="A1064" t="s">
        <v>127</v>
      </c>
      <c r="B1064" s="174">
        <v>45845</v>
      </c>
      <c r="C1064" s="10" t="s">
        <v>3</v>
      </c>
      <c r="D1064" s="4" t="s">
        <v>128</v>
      </c>
      <c r="E1064" s="253">
        <v>-70</v>
      </c>
      <c r="F1064" s="172">
        <v>45930</v>
      </c>
      <c r="G1064" s="172">
        <v>45961</v>
      </c>
      <c r="H1064" s="189">
        <v>1.3</v>
      </c>
      <c r="I1064" s="192">
        <v>0.57999999999999996</v>
      </c>
      <c r="J1064" s="9">
        <v>50.400000000000006</v>
      </c>
      <c r="K1064">
        <v>-91</v>
      </c>
      <c r="L1064" s="14" t="s">
        <v>78</v>
      </c>
      <c r="M1064" s="8" t="s">
        <v>129</v>
      </c>
      <c r="N1064">
        <v>-40.599999999999994</v>
      </c>
      <c r="O1064" s="38" t="s">
        <v>4</v>
      </c>
      <c r="P1064" s="38" t="s">
        <v>3</v>
      </c>
      <c r="Q1064">
        <v>2025</v>
      </c>
      <c r="R1064" t="s">
        <v>129</v>
      </c>
      <c r="S1064" t="s">
        <v>14</v>
      </c>
      <c r="T1064" t="s">
        <v>1285</v>
      </c>
      <c r="U1064" t="str">
        <f>IFERROR(_xlfn.XLOOKUP(A1064,'2025 EOY'!A:A,'2025 EOY'!B:B),"No")</f>
        <v>No</v>
      </c>
    </row>
    <row r="1065" spans="1:21" x14ac:dyDescent="0.35">
      <c r="A1065" t="s">
        <v>127</v>
      </c>
      <c r="B1065" s="174">
        <v>45846</v>
      </c>
      <c r="C1065" s="10" t="s">
        <v>10</v>
      </c>
      <c r="D1065" s="4" t="s">
        <v>128</v>
      </c>
      <c r="E1065" s="253">
        <v>300</v>
      </c>
      <c r="F1065" s="172">
        <v>45961</v>
      </c>
      <c r="G1065" s="172">
        <v>45961</v>
      </c>
      <c r="H1065" s="15">
        <v>-3.27</v>
      </c>
      <c r="I1065" s="192">
        <v>-4.1100000000000003</v>
      </c>
      <c r="J1065" s="9">
        <v>-252.00000000000009</v>
      </c>
      <c r="K1065">
        <v>-981</v>
      </c>
      <c r="L1065" s="14" t="s">
        <v>89</v>
      </c>
      <c r="M1065" s="8" t="s">
        <v>131</v>
      </c>
      <c r="N1065">
        <v>-1233</v>
      </c>
      <c r="O1065" s="38" t="s">
        <v>11</v>
      </c>
      <c r="P1065" s="38" t="s">
        <v>10</v>
      </c>
      <c r="Q1065">
        <v>2025</v>
      </c>
      <c r="R1065" t="s">
        <v>131</v>
      </c>
      <c r="S1065" t="s">
        <v>14</v>
      </c>
      <c r="T1065" t="s">
        <v>1286</v>
      </c>
      <c r="U1065" t="str">
        <f>IFERROR(_xlfn.XLOOKUP(A1065,'2025 EOY'!A:A,'2025 EOY'!B:B),"No")</f>
        <v>No</v>
      </c>
    </row>
    <row r="1066" spans="1:21" x14ac:dyDescent="0.35">
      <c r="A1066" t="s">
        <v>127</v>
      </c>
      <c r="B1066" s="174">
        <v>45847</v>
      </c>
      <c r="C1066" s="10" t="s">
        <v>25</v>
      </c>
      <c r="D1066" s="4" t="s">
        <v>128</v>
      </c>
      <c r="E1066" s="253">
        <v>-1000</v>
      </c>
      <c r="F1066" s="172">
        <v>45930</v>
      </c>
      <c r="G1066" s="172">
        <v>45961</v>
      </c>
      <c r="H1066" s="189">
        <v>1.36</v>
      </c>
      <c r="I1066" s="192">
        <v>0.57999999999999996</v>
      </c>
      <c r="J1066" s="9">
        <v>780.00000000000011</v>
      </c>
      <c r="K1066">
        <v>-1360</v>
      </c>
      <c r="L1066" s="14" t="s">
        <v>78</v>
      </c>
      <c r="M1066" s="8" t="s">
        <v>129</v>
      </c>
      <c r="N1066">
        <v>-580</v>
      </c>
      <c r="O1066" s="38" t="s">
        <v>4</v>
      </c>
      <c r="P1066" s="38" t="s">
        <v>3</v>
      </c>
      <c r="Q1066">
        <v>2025</v>
      </c>
      <c r="R1066" t="s">
        <v>129</v>
      </c>
      <c r="S1066" t="s">
        <v>14</v>
      </c>
      <c r="T1066" t="s">
        <v>1287</v>
      </c>
      <c r="U1066" t="str">
        <f>IFERROR(_xlfn.XLOOKUP(A1066,'2025 EOY'!A:A,'2025 EOY'!B:B),"No")</f>
        <v>No</v>
      </c>
    </row>
    <row r="1067" spans="1:21" x14ac:dyDescent="0.35">
      <c r="A1067" t="s">
        <v>127</v>
      </c>
      <c r="B1067" s="174">
        <v>45847</v>
      </c>
      <c r="C1067" s="10" t="s">
        <v>25</v>
      </c>
      <c r="D1067" s="4" t="s">
        <v>128</v>
      </c>
      <c r="E1067" s="253">
        <v>1000</v>
      </c>
      <c r="F1067" s="172">
        <v>45961</v>
      </c>
      <c r="G1067" s="172">
        <v>45991</v>
      </c>
      <c r="H1067" s="189">
        <v>1</v>
      </c>
      <c r="I1067" s="192">
        <v>0.28000000000000003</v>
      </c>
      <c r="J1067" s="9">
        <v>-720</v>
      </c>
      <c r="K1067">
        <v>1000</v>
      </c>
      <c r="L1067" s="14" t="s">
        <v>79</v>
      </c>
      <c r="M1067" s="8" t="s">
        <v>131</v>
      </c>
      <c r="N1067">
        <v>280</v>
      </c>
      <c r="O1067" s="38" t="s">
        <v>4</v>
      </c>
      <c r="P1067" s="38" t="s">
        <v>3</v>
      </c>
      <c r="Q1067">
        <v>2025</v>
      </c>
      <c r="R1067" t="s">
        <v>131</v>
      </c>
      <c r="S1067" t="s">
        <v>14</v>
      </c>
      <c r="T1067" t="s">
        <v>1288</v>
      </c>
      <c r="U1067" t="str">
        <f>IFERROR(_xlfn.XLOOKUP(A1067,'2025 EOY'!A:A,'2025 EOY'!B:B),"No")</f>
        <v>No</v>
      </c>
    </row>
    <row r="1068" spans="1:21" x14ac:dyDescent="0.35">
      <c r="A1068" t="s">
        <v>127</v>
      </c>
      <c r="B1068" s="174">
        <v>45847</v>
      </c>
      <c r="C1068" s="10" t="s">
        <v>25</v>
      </c>
      <c r="D1068" s="4" t="s">
        <v>128</v>
      </c>
      <c r="E1068" s="253">
        <v>-1000</v>
      </c>
      <c r="F1068" s="172">
        <v>45930</v>
      </c>
      <c r="G1068" s="172">
        <v>45961</v>
      </c>
      <c r="H1068" s="189">
        <v>1.36</v>
      </c>
      <c r="I1068" s="192">
        <v>0.57999999999999996</v>
      </c>
      <c r="J1068" s="9">
        <v>780.00000000000011</v>
      </c>
      <c r="K1068">
        <v>-1360</v>
      </c>
      <c r="L1068" s="14" t="s">
        <v>78</v>
      </c>
      <c r="M1068" s="8" t="s">
        <v>129</v>
      </c>
      <c r="N1068">
        <v>-580</v>
      </c>
      <c r="O1068" s="38" t="s">
        <v>4</v>
      </c>
      <c r="P1068" s="38" t="s">
        <v>3</v>
      </c>
      <c r="Q1068">
        <v>2025</v>
      </c>
      <c r="R1068" t="s">
        <v>129</v>
      </c>
      <c r="S1068" t="s">
        <v>14</v>
      </c>
      <c r="T1068" t="s">
        <v>1289</v>
      </c>
      <c r="U1068" t="str">
        <f>IFERROR(_xlfn.XLOOKUP(A1068,'2025 EOY'!A:A,'2025 EOY'!B:B),"No")</f>
        <v>No</v>
      </c>
    </row>
    <row r="1069" spans="1:21" x14ac:dyDescent="0.35">
      <c r="A1069" t="s">
        <v>127</v>
      </c>
      <c r="B1069" s="174">
        <v>45847</v>
      </c>
      <c r="C1069" s="10" t="s">
        <v>25</v>
      </c>
      <c r="D1069" s="4" t="s">
        <v>128</v>
      </c>
      <c r="E1069" s="253">
        <v>1000</v>
      </c>
      <c r="F1069" s="172">
        <v>45961</v>
      </c>
      <c r="G1069" s="172">
        <v>45991</v>
      </c>
      <c r="H1069" s="189">
        <v>0.9900000000000001</v>
      </c>
      <c r="I1069" s="192">
        <v>0.28000000000000003</v>
      </c>
      <c r="J1069" s="9">
        <v>-710.00000000000011</v>
      </c>
      <c r="K1069">
        <v>990.00000000000011</v>
      </c>
      <c r="L1069" s="14" t="s">
        <v>79</v>
      </c>
      <c r="M1069" s="8" t="s">
        <v>131</v>
      </c>
      <c r="N1069">
        <v>280</v>
      </c>
      <c r="O1069" s="38" t="s">
        <v>4</v>
      </c>
      <c r="P1069" s="38" t="s">
        <v>3</v>
      </c>
      <c r="Q1069">
        <v>2025</v>
      </c>
      <c r="R1069" t="s">
        <v>131</v>
      </c>
      <c r="S1069" t="s">
        <v>14</v>
      </c>
      <c r="T1069" t="s">
        <v>1290</v>
      </c>
      <c r="U1069" t="str">
        <f>IFERROR(_xlfn.XLOOKUP(A1069,'2025 EOY'!A:A,'2025 EOY'!B:B),"No")</f>
        <v>No</v>
      </c>
    </row>
    <row r="1070" spans="1:21" x14ac:dyDescent="0.35">
      <c r="A1070" t="s">
        <v>1269</v>
      </c>
      <c r="B1070" s="174">
        <v>45848</v>
      </c>
      <c r="C1070" s="10" t="s">
        <v>10</v>
      </c>
      <c r="D1070" s="4" t="s">
        <v>128</v>
      </c>
      <c r="E1070" s="253">
        <v>500</v>
      </c>
      <c r="F1070" s="172">
        <v>45961</v>
      </c>
      <c r="G1070" s="172">
        <v>45961</v>
      </c>
      <c r="H1070" s="15">
        <v>-3.3</v>
      </c>
      <c r="I1070" s="192">
        <v>-4.1100000000000003</v>
      </c>
      <c r="J1070" s="9">
        <v>-405.00000000000023</v>
      </c>
      <c r="K1070">
        <v>-1650</v>
      </c>
      <c r="L1070" s="14" t="s">
        <v>89</v>
      </c>
      <c r="M1070" s="8" t="s">
        <v>131</v>
      </c>
      <c r="N1070">
        <v>-2055</v>
      </c>
      <c r="O1070" s="38" t="s">
        <v>11</v>
      </c>
      <c r="P1070" s="38" t="s">
        <v>10</v>
      </c>
      <c r="Q1070">
        <v>2025</v>
      </c>
      <c r="R1070" t="s">
        <v>131</v>
      </c>
      <c r="S1070" t="s">
        <v>14</v>
      </c>
      <c r="T1070" t="s">
        <v>1291</v>
      </c>
      <c r="U1070" t="str">
        <f>IFERROR(_xlfn.XLOOKUP(A1070,'2025 EOY'!A:A,'2025 EOY'!B:B),"No")</f>
        <v>No</v>
      </c>
    </row>
    <row r="1071" spans="1:21" x14ac:dyDescent="0.35">
      <c r="A1071" t="s">
        <v>1269</v>
      </c>
      <c r="B1071" s="174">
        <v>45848</v>
      </c>
      <c r="C1071" s="10" t="s">
        <v>10</v>
      </c>
      <c r="D1071" s="4" t="s">
        <v>128</v>
      </c>
      <c r="E1071" s="253">
        <v>500</v>
      </c>
      <c r="F1071" s="172">
        <v>45961</v>
      </c>
      <c r="G1071" s="172">
        <v>45961</v>
      </c>
      <c r="H1071" s="15">
        <v>-3.31</v>
      </c>
      <c r="I1071" s="192">
        <v>-4.1100000000000003</v>
      </c>
      <c r="J1071" s="9">
        <v>-400.00000000000011</v>
      </c>
      <c r="K1071">
        <v>-1655</v>
      </c>
      <c r="L1071" s="14" t="s">
        <v>89</v>
      </c>
      <c r="M1071" s="8" t="s">
        <v>131</v>
      </c>
      <c r="N1071">
        <v>-2055</v>
      </c>
      <c r="O1071" s="38" t="s">
        <v>11</v>
      </c>
      <c r="P1071" s="38" t="s">
        <v>10</v>
      </c>
      <c r="Q1071">
        <v>2025</v>
      </c>
      <c r="R1071" t="s">
        <v>131</v>
      </c>
      <c r="S1071" t="s">
        <v>14</v>
      </c>
      <c r="T1071" t="s">
        <v>1292</v>
      </c>
      <c r="U1071" t="str">
        <f>IFERROR(_xlfn.XLOOKUP(A1071,'2025 EOY'!A:A,'2025 EOY'!B:B),"No")</f>
        <v>No</v>
      </c>
    </row>
    <row r="1072" spans="1:21" x14ac:dyDescent="0.35">
      <c r="A1072" t="s">
        <v>1269</v>
      </c>
      <c r="B1072" s="174">
        <v>45848</v>
      </c>
      <c r="C1072" s="10" t="s">
        <v>10</v>
      </c>
      <c r="D1072" s="4" t="s">
        <v>128</v>
      </c>
      <c r="E1072" s="253">
        <v>500</v>
      </c>
      <c r="F1072" s="172">
        <v>45961</v>
      </c>
      <c r="G1072" s="172">
        <v>45961</v>
      </c>
      <c r="H1072" s="15">
        <v>-3.32</v>
      </c>
      <c r="I1072" s="192">
        <v>-4.1100000000000003</v>
      </c>
      <c r="J1072" s="9">
        <v>-395.00000000000023</v>
      </c>
      <c r="K1072">
        <v>-1660</v>
      </c>
      <c r="L1072" s="14" t="s">
        <v>89</v>
      </c>
      <c r="M1072" s="8" t="s">
        <v>131</v>
      </c>
      <c r="N1072">
        <v>-2055</v>
      </c>
      <c r="O1072" s="38" t="s">
        <v>11</v>
      </c>
      <c r="P1072" s="38" t="s">
        <v>10</v>
      </c>
      <c r="Q1072">
        <v>2025</v>
      </c>
      <c r="R1072" t="s">
        <v>131</v>
      </c>
      <c r="S1072" t="s">
        <v>14</v>
      </c>
      <c r="T1072" t="s">
        <v>1293</v>
      </c>
      <c r="U1072" t="str">
        <f>IFERROR(_xlfn.XLOOKUP(A1072,'2025 EOY'!A:A,'2025 EOY'!B:B),"No")</f>
        <v>No</v>
      </c>
    </row>
    <row r="1073" spans="1:21" x14ac:dyDescent="0.35">
      <c r="A1073" t="s">
        <v>1269</v>
      </c>
      <c r="B1073" s="174">
        <v>45848</v>
      </c>
      <c r="C1073" s="10" t="s">
        <v>10</v>
      </c>
      <c r="D1073" s="4" t="s">
        <v>128</v>
      </c>
      <c r="E1073" s="253">
        <v>500</v>
      </c>
      <c r="F1073" s="172">
        <v>45961</v>
      </c>
      <c r="G1073" s="172">
        <v>45961</v>
      </c>
      <c r="H1073" s="15">
        <v>-3.33</v>
      </c>
      <c r="I1073" s="192">
        <v>-4.1100000000000003</v>
      </c>
      <c r="J1073" s="9">
        <v>-390.00000000000011</v>
      </c>
      <c r="K1073">
        <v>-1665</v>
      </c>
      <c r="L1073" s="14" t="s">
        <v>89</v>
      </c>
      <c r="M1073" s="8" t="s">
        <v>131</v>
      </c>
      <c r="N1073">
        <v>-2055</v>
      </c>
      <c r="O1073" s="38" t="s">
        <v>11</v>
      </c>
      <c r="P1073" s="38" t="s">
        <v>10</v>
      </c>
      <c r="Q1073">
        <v>2025</v>
      </c>
      <c r="R1073" t="s">
        <v>131</v>
      </c>
      <c r="S1073" t="s">
        <v>14</v>
      </c>
      <c r="T1073" t="s">
        <v>1294</v>
      </c>
      <c r="U1073" t="str">
        <f>IFERROR(_xlfn.XLOOKUP(A1073,'2025 EOY'!A:A,'2025 EOY'!B:B),"No")</f>
        <v>No</v>
      </c>
    </row>
    <row r="1074" spans="1:21" x14ac:dyDescent="0.35">
      <c r="A1074" t="s">
        <v>1269</v>
      </c>
      <c r="B1074" s="174">
        <v>45848</v>
      </c>
      <c r="C1074" s="10" t="s">
        <v>10</v>
      </c>
      <c r="D1074" s="4" t="s">
        <v>128</v>
      </c>
      <c r="E1074" s="253">
        <v>500</v>
      </c>
      <c r="F1074" s="172">
        <v>45961</v>
      </c>
      <c r="G1074" s="172">
        <v>45961</v>
      </c>
      <c r="H1074" s="15">
        <v>-3.34</v>
      </c>
      <c r="I1074" s="192">
        <v>-4.1100000000000003</v>
      </c>
      <c r="J1074" s="9">
        <v>-385.00000000000023</v>
      </c>
      <c r="K1074">
        <v>-1670</v>
      </c>
      <c r="L1074" s="14" t="s">
        <v>89</v>
      </c>
      <c r="M1074" s="8" t="s">
        <v>131</v>
      </c>
      <c r="N1074">
        <v>-2055</v>
      </c>
      <c r="O1074" s="38" t="s">
        <v>11</v>
      </c>
      <c r="P1074" s="38" t="s">
        <v>10</v>
      </c>
      <c r="Q1074">
        <v>2025</v>
      </c>
      <c r="R1074" t="s">
        <v>131</v>
      </c>
      <c r="S1074" t="s">
        <v>14</v>
      </c>
      <c r="T1074" t="s">
        <v>1295</v>
      </c>
      <c r="U1074" t="str">
        <f>IFERROR(_xlfn.XLOOKUP(A1074,'2025 EOY'!A:A,'2025 EOY'!B:B),"No")</f>
        <v>No</v>
      </c>
    </row>
    <row r="1075" spans="1:21" x14ac:dyDescent="0.35">
      <c r="A1075" t="s">
        <v>1269</v>
      </c>
      <c r="B1075" s="174">
        <v>45848</v>
      </c>
      <c r="C1075" s="10" t="s">
        <v>10</v>
      </c>
      <c r="D1075" s="4" t="s">
        <v>128</v>
      </c>
      <c r="E1075" s="253">
        <v>500</v>
      </c>
      <c r="F1075" s="172">
        <v>45961</v>
      </c>
      <c r="G1075" s="172">
        <v>45961</v>
      </c>
      <c r="H1075" s="15">
        <v>-3.35</v>
      </c>
      <c r="I1075" s="192">
        <v>-4.1100000000000003</v>
      </c>
      <c r="J1075" s="9">
        <v>-380.00000000000011</v>
      </c>
      <c r="K1075">
        <v>-1675</v>
      </c>
      <c r="L1075" s="14" t="s">
        <v>89</v>
      </c>
      <c r="M1075" s="8" t="s">
        <v>131</v>
      </c>
      <c r="N1075">
        <v>-2055</v>
      </c>
      <c r="O1075" s="38" t="s">
        <v>11</v>
      </c>
      <c r="P1075" s="38" t="s">
        <v>10</v>
      </c>
      <c r="Q1075">
        <v>2025</v>
      </c>
      <c r="R1075" t="s">
        <v>131</v>
      </c>
      <c r="S1075" t="s">
        <v>14</v>
      </c>
      <c r="T1075" t="s">
        <v>1296</v>
      </c>
      <c r="U1075" t="str">
        <f>IFERROR(_xlfn.XLOOKUP(A1075,'2025 EOY'!A:A,'2025 EOY'!B:B),"No")</f>
        <v>No</v>
      </c>
    </row>
    <row r="1076" spans="1:21" x14ac:dyDescent="0.35">
      <c r="A1076" t="s">
        <v>127</v>
      </c>
      <c r="B1076" s="174">
        <v>45849</v>
      </c>
      <c r="C1076" s="10" t="s">
        <v>25</v>
      </c>
      <c r="D1076" s="4" t="s">
        <v>128</v>
      </c>
      <c r="E1076" s="253">
        <v>-1000</v>
      </c>
      <c r="F1076" s="172">
        <v>45930</v>
      </c>
      <c r="G1076" s="172">
        <v>45961</v>
      </c>
      <c r="H1076" s="189">
        <v>1.27</v>
      </c>
      <c r="I1076" s="192">
        <v>0.57999999999999996</v>
      </c>
      <c r="J1076" s="9">
        <v>690.00000000000011</v>
      </c>
      <c r="K1076">
        <v>-1270</v>
      </c>
      <c r="L1076" s="14" t="s">
        <v>78</v>
      </c>
      <c r="M1076" s="8" t="s">
        <v>129</v>
      </c>
      <c r="N1076">
        <v>-580</v>
      </c>
      <c r="O1076" s="38" t="s">
        <v>4</v>
      </c>
      <c r="P1076" s="38" t="s">
        <v>3</v>
      </c>
      <c r="Q1076">
        <v>2025</v>
      </c>
      <c r="R1076" t="s">
        <v>129</v>
      </c>
      <c r="S1076" t="s">
        <v>14</v>
      </c>
      <c r="T1076" t="s">
        <v>1297</v>
      </c>
      <c r="U1076" t="str">
        <f>IFERROR(_xlfn.XLOOKUP(A1076,'2025 EOY'!A:A,'2025 EOY'!B:B),"No")</f>
        <v>No</v>
      </c>
    </row>
    <row r="1077" spans="1:21" x14ac:dyDescent="0.35">
      <c r="A1077" t="s">
        <v>127</v>
      </c>
      <c r="B1077" s="174">
        <v>45849</v>
      </c>
      <c r="C1077" s="10" t="s">
        <v>25</v>
      </c>
      <c r="D1077" s="4" t="s">
        <v>128</v>
      </c>
      <c r="E1077" s="253">
        <v>1000</v>
      </c>
      <c r="F1077" s="172">
        <v>45961</v>
      </c>
      <c r="G1077" s="172">
        <v>45991</v>
      </c>
      <c r="H1077" s="189">
        <v>0.87</v>
      </c>
      <c r="I1077" s="192">
        <v>0.28000000000000003</v>
      </c>
      <c r="J1077" s="9">
        <v>-590</v>
      </c>
      <c r="K1077">
        <v>870</v>
      </c>
      <c r="L1077" s="14" t="s">
        <v>79</v>
      </c>
      <c r="M1077" s="8" t="s">
        <v>131</v>
      </c>
      <c r="N1077">
        <v>280</v>
      </c>
      <c r="O1077" s="38" t="s">
        <v>4</v>
      </c>
      <c r="P1077" s="38" t="s">
        <v>3</v>
      </c>
      <c r="Q1077">
        <v>2025</v>
      </c>
      <c r="R1077" t="s">
        <v>131</v>
      </c>
      <c r="S1077" t="s">
        <v>14</v>
      </c>
      <c r="T1077" t="s">
        <v>1298</v>
      </c>
      <c r="U1077" t="str">
        <f>IFERROR(_xlfn.XLOOKUP(A1077,'2025 EOY'!A:A,'2025 EOY'!B:B),"No")</f>
        <v>No</v>
      </c>
    </row>
    <row r="1078" spans="1:21" x14ac:dyDescent="0.35">
      <c r="A1078" t="s">
        <v>127</v>
      </c>
      <c r="B1078" s="174">
        <v>45849</v>
      </c>
      <c r="C1078" s="10" t="s">
        <v>10</v>
      </c>
      <c r="D1078" s="4" t="s">
        <v>128</v>
      </c>
      <c r="E1078" s="253">
        <v>500</v>
      </c>
      <c r="F1078" s="172">
        <v>45930</v>
      </c>
      <c r="G1078" s="172">
        <v>45930</v>
      </c>
      <c r="H1078" s="15">
        <v>-3.31</v>
      </c>
      <c r="I1078" s="192">
        <v>-3.27</v>
      </c>
      <c r="J1078" s="9">
        <v>20.000000000000018</v>
      </c>
      <c r="K1078">
        <v>-1655</v>
      </c>
      <c r="L1078" s="14" t="s">
        <v>86</v>
      </c>
      <c r="M1078" s="8" t="s">
        <v>131</v>
      </c>
      <c r="N1078">
        <v>-1635</v>
      </c>
      <c r="O1078" s="38" t="s">
        <v>11</v>
      </c>
      <c r="P1078" s="38" t="s">
        <v>10</v>
      </c>
      <c r="Q1078">
        <v>2025</v>
      </c>
      <c r="R1078" t="s">
        <v>131</v>
      </c>
      <c r="S1078" t="s">
        <v>14</v>
      </c>
      <c r="T1078" t="s">
        <v>1299</v>
      </c>
      <c r="U1078" t="str">
        <f>IFERROR(_xlfn.XLOOKUP(A1078,'2025 EOY'!A:A,'2025 EOY'!B:B),"No")</f>
        <v>No</v>
      </c>
    </row>
    <row r="1079" spans="1:21" x14ac:dyDescent="0.35">
      <c r="A1079" t="s">
        <v>1300</v>
      </c>
      <c r="B1079" s="174">
        <v>45854</v>
      </c>
      <c r="C1079" s="187" t="s">
        <v>19</v>
      </c>
      <c r="D1079" s="10" t="s">
        <v>268</v>
      </c>
      <c r="E1079" s="259">
        <v>700</v>
      </c>
      <c r="F1079" s="172">
        <v>45900</v>
      </c>
      <c r="G1079" s="172">
        <v>45900</v>
      </c>
      <c r="H1079" s="15">
        <v>-6.0000000000000678E-2</v>
      </c>
      <c r="I1079" s="201">
        <v>-0.22</v>
      </c>
      <c r="J1079" s="9">
        <v>-111.99999999999952</v>
      </c>
      <c r="K1079">
        <v>-42.000000000000476</v>
      </c>
      <c r="L1079" s="14" t="s">
        <v>81</v>
      </c>
      <c r="M1079" s="8" t="s">
        <v>131</v>
      </c>
      <c r="N1079">
        <v>-154</v>
      </c>
      <c r="O1079" s="38" t="s">
        <v>19</v>
      </c>
      <c r="P1079" s="38" t="s">
        <v>19</v>
      </c>
      <c r="Q1079">
        <v>2025</v>
      </c>
      <c r="R1079" t="s">
        <v>131</v>
      </c>
      <c r="S1079" t="s">
        <v>96</v>
      </c>
      <c r="T1079" t="s">
        <v>1301</v>
      </c>
      <c r="U1079" t="str">
        <f>IFERROR(_xlfn.XLOOKUP(A1079,'2025 EOY'!A:A,'2025 EOY'!B:B),"No")</f>
        <v>No</v>
      </c>
    </row>
    <row r="1080" spans="1:21" x14ac:dyDescent="0.35">
      <c r="A1080" t="s">
        <v>1300</v>
      </c>
      <c r="B1080" s="174">
        <v>45854</v>
      </c>
      <c r="C1080" s="10" t="s">
        <v>3</v>
      </c>
      <c r="D1080" s="10" t="s">
        <v>268</v>
      </c>
      <c r="E1080" s="253">
        <v>-700</v>
      </c>
      <c r="F1080" s="172">
        <v>45900</v>
      </c>
      <c r="G1080" s="172">
        <v>45930</v>
      </c>
      <c r="H1080" s="189">
        <v>1.1399999999999999</v>
      </c>
      <c r="I1080" s="192">
        <v>1.25</v>
      </c>
      <c r="J1080" s="9">
        <v>-77.000000000000071</v>
      </c>
      <c r="K1080">
        <v>-797.99999999999989</v>
      </c>
      <c r="L1080" s="14" t="s">
        <v>77</v>
      </c>
      <c r="M1080" s="8" t="s">
        <v>129</v>
      </c>
      <c r="N1080">
        <v>-875</v>
      </c>
      <c r="O1080" s="38" t="s">
        <v>4</v>
      </c>
      <c r="P1080" s="38" t="s">
        <v>3</v>
      </c>
      <c r="Q1080">
        <v>2025</v>
      </c>
      <c r="R1080" t="s">
        <v>129</v>
      </c>
      <c r="S1080" t="s">
        <v>14</v>
      </c>
      <c r="T1080" t="s">
        <v>1302</v>
      </c>
      <c r="U1080" t="str">
        <f>IFERROR(_xlfn.XLOOKUP(A1080,'2025 EOY'!A:A,'2025 EOY'!B:B),"No")</f>
        <v>No</v>
      </c>
    </row>
    <row r="1081" spans="1:21" x14ac:dyDescent="0.35">
      <c r="A1081" t="s">
        <v>1300</v>
      </c>
      <c r="B1081" s="174">
        <v>45854</v>
      </c>
      <c r="C1081" s="10" t="s">
        <v>3</v>
      </c>
      <c r="D1081" s="10" t="s">
        <v>268</v>
      </c>
      <c r="E1081" s="253">
        <v>-700</v>
      </c>
      <c r="F1081" s="172">
        <v>45930</v>
      </c>
      <c r="G1081" s="172">
        <v>45961</v>
      </c>
      <c r="H1081" s="129">
        <v>0.97</v>
      </c>
      <c r="I1081" s="192">
        <v>0.57999999999999996</v>
      </c>
      <c r="J1081" s="9">
        <v>273</v>
      </c>
      <c r="K1081">
        <v>-679</v>
      </c>
      <c r="L1081" s="14" t="s">
        <v>78</v>
      </c>
      <c r="M1081" s="8" t="s">
        <v>129</v>
      </c>
      <c r="N1081">
        <v>-406</v>
      </c>
      <c r="O1081" s="38" t="s">
        <v>4</v>
      </c>
      <c r="P1081" s="38" t="s">
        <v>3</v>
      </c>
      <c r="Q1081">
        <v>2025</v>
      </c>
      <c r="R1081" t="s">
        <v>129</v>
      </c>
      <c r="S1081" t="s">
        <v>14</v>
      </c>
      <c r="T1081" t="s">
        <v>1303</v>
      </c>
      <c r="U1081" t="str">
        <f>IFERROR(_xlfn.XLOOKUP(A1081,'2025 EOY'!A:A,'2025 EOY'!B:B),"No")</f>
        <v>No</v>
      </c>
    </row>
    <row r="1082" spans="1:21" x14ac:dyDescent="0.35">
      <c r="A1082" t="s">
        <v>1269</v>
      </c>
      <c r="B1082" s="174">
        <v>45854</v>
      </c>
      <c r="C1082" s="10" t="s">
        <v>10</v>
      </c>
      <c r="D1082" s="10" t="s">
        <v>268</v>
      </c>
      <c r="E1082" s="253">
        <v>-700</v>
      </c>
      <c r="F1082" s="172">
        <v>45961</v>
      </c>
      <c r="G1082" s="172">
        <v>45961</v>
      </c>
      <c r="H1082" s="15">
        <v>-3.37</v>
      </c>
      <c r="I1082" s="192">
        <v>-4.1100000000000003</v>
      </c>
      <c r="J1082" s="9">
        <v>518.00000000000011</v>
      </c>
      <c r="K1082">
        <v>2359</v>
      </c>
      <c r="L1082" s="14" t="s">
        <v>89</v>
      </c>
      <c r="M1082" s="8" t="s">
        <v>129</v>
      </c>
      <c r="N1082">
        <v>2877</v>
      </c>
      <c r="O1082" s="38" t="s">
        <v>11</v>
      </c>
      <c r="P1082" s="38" t="s">
        <v>10</v>
      </c>
      <c r="Q1082">
        <v>2025</v>
      </c>
      <c r="R1082" t="s">
        <v>129</v>
      </c>
      <c r="S1082" t="s">
        <v>14</v>
      </c>
      <c r="T1082" t="s">
        <v>1304</v>
      </c>
      <c r="U1082" t="str">
        <f>IFERROR(_xlfn.XLOOKUP(A1082,'2025 EOY'!A:A,'2025 EOY'!B:B),"No")</f>
        <v>No</v>
      </c>
    </row>
    <row r="1083" spans="1:21" x14ac:dyDescent="0.35">
      <c r="A1083" t="s">
        <v>1300</v>
      </c>
      <c r="B1083" s="174">
        <v>45855</v>
      </c>
      <c r="C1083" s="10" t="s">
        <v>3</v>
      </c>
      <c r="D1083" s="10" t="s">
        <v>128</v>
      </c>
      <c r="E1083" s="253">
        <v>150</v>
      </c>
      <c r="F1083" s="172">
        <v>45900</v>
      </c>
      <c r="G1083" s="172">
        <v>45930</v>
      </c>
      <c r="H1083" s="189">
        <v>1.25</v>
      </c>
      <c r="I1083" s="192">
        <v>1.25</v>
      </c>
      <c r="J1083" s="9">
        <v>0</v>
      </c>
      <c r="K1083">
        <v>187.5</v>
      </c>
      <c r="L1083" s="14" t="s">
        <v>77</v>
      </c>
      <c r="M1083" s="8" t="s">
        <v>131</v>
      </c>
      <c r="N1083">
        <v>187.5</v>
      </c>
      <c r="O1083" s="38" t="s">
        <v>4</v>
      </c>
      <c r="P1083" s="38" t="s">
        <v>3</v>
      </c>
      <c r="Q1083">
        <v>2025</v>
      </c>
      <c r="R1083" t="s">
        <v>131</v>
      </c>
      <c r="S1083" t="s">
        <v>14</v>
      </c>
      <c r="T1083" t="s">
        <v>1305</v>
      </c>
      <c r="U1083" t="str">
        <f>IFERROR(_xlfn.XLOOKUP(A1083,'2025 EOY'!A:A,'2025 EOY'!B:B),"No")</f>
        <v>No</v>
      </c>
    </row>
    <row r="1084" spans="1:21" x14ac:dyDescent="0.35">
      <c r="A1084" t="s">
        <v>1300</v>
      </c>
      <c r="B1084" s="174">
        <v>45855</v>
      </c>
      <c r="C1084" s="10" t="s">
        <v>3</v>
      </c>
      <c r="D1084" s="10" t="s">
        <v>128</v>
      </c>
      <c r="E1084" s="253">
        <v>-192</v>
      </c>
      <c r="F1084" s="172">
        <v>45930</v>
      </c>
      <c r="G1084" s="172">
        <v>45961</v>
      </c>
      <c r="H1084" s="189">
        <v>0.93</v>
      </c>
      <c r="I1084" s="192">
        <v>0.57999999999999996</v>
      </c>
      <c r="J1084" s="9">
        <v>67.200000000000017</v>
      </c>
      <c r="K1084">
        <v>-178.56</v>
      </c>
      <c r="L1084" s="14" t="s">
        <v>78</v>
      </c>
      <c r="M1084" s="8" t="s">
        <v>129</v>
      </c>
      <c r="N1084">
        <v>-111.35999999999999</v>
      </c>
      <c r="O1084" s="38" t="s">
        <v>4</v>
      </c>
      <c r="P1084" s="38" t="s">
        <v>3</v>
      </c>
      <c r="Q1084">
        <v>2025</v>
      </c>
      <c r="R1084" t="s">
        <v>129</v>
      </c>
      <c r="S1084" t="s">
        <v>14</v>
      </c>
      <c r="T1084" t="s">
        <v>1306</v>
      </c>
      <c r="U1084" t="str">
        <f>IFERROR(_xlfn.XLOOKUP(A1084,'2025 EOY'!A:A,'2025 EOY'!B:B),"No")</f>
        <v>No</v>
      </c>
    </row>
    <row r="1085" spans="1:21" x14ac:dyDescent="0.35">
      <c r="A1085" t="s">
        <v>1300</v>
      </c>
      <c r="B1085" s="174">
        <v>45855</v>
      </c>
      <c r="C1085" s="10" t="s">
        <v>3</v>
      </c>
      <c r="D1085" s="10" t="s">
        <v>128</v>
      </c>
      <c r="E1085" s="253">
        <v>-192</v>
      </c>
      <c r="F1085" s="172">
        <v>45961</v>
      </c>
      <c r="G1085" s="172">
        <v>45991</v>
      </c>
      <c r="H1085" s="189">
        <v>0.93</v>
      </c>
      <c r="I1085" s="192">
        <v>0.28000000000000003</v>
      </c>
      <c r="J1085" s="9">
        <v>124.80000000000001</v>
      </c>
      <c r="K1085">
        <v>-178.56</v>
      </c>
      <c r="L1085" s="14" t="s">
        <v>79</v>
      </c>
      <c r="M1085" s="8" t="s">
        <v>129</v>
      </c>
      <c r="N1085">
        <v>-53.760000000000005</v>
      </c>
      <c r="O1085" s="38" t="s">
        <v>4</v>
      </c>
      <c r="P1085" s="38" t="s">
        <v>3</v>
      </c>
      <c r="Q1085">
        <v>2025</v>
      </c>
      <c r="R1085" t="s">
        <v>129</v>
      </c>
      <c r="S1085" t="s">
        <v>14</v>
      </c>
      <c r="T1085" t="s">
        <v>1307</v>
      </c>
      <c r="U1085" t="str">
        <f>IFERROR(_xlfn.XLOOKUP(A1085,'2025 EOY'!A:A,'2025 EOY'!B:B),"No")</f>
        <v>No</v>
      </c>
    </row>
    <row r="1086" spans="1:21" x14ac:dyDescent="0.35">
      <c r="A1086" t="s">
        <v>127</v>
      </c>
      <c r="B1086" s="174">
        <v>45855</v>
      </c>
      <c r="C1086" s="10" t="s">
        <v>3</v>
      </c>
      <c r="D1086" s="10" t="s">
        <v>128</v>
      </c>
      <c r="E1086" s="253">
        <v>638</v>
      </c>
      <c r="F1086" s="172">
        <v>45900</v>
      </c>
      <c r="G1086" s="172">
        <v>45930</v>
      </c>
      <c r="H1086" s="189">
        <v>1.28</v>
      </c>
      <c r="I1086" s="192">
        <v>1.25</v>
      </c>
      <c r="J1086" s="9">
        <v>-19.140000000000018</v>
      </c>
      <c r="K1086">
        <v>816.64</v>
      </c>
      <c r="L1086" s="14" t="s">
        <v>77</v>
      </c>
      <c r="M1086" s="8" t="s">
        <v>131</v>
      </c>
      <c r="N1086">
        <v>797.5</v>
      </c>
      <c r="O1086" s="38" t="s">
        <v>4</v>
      </c>
      <c r="P1086" s="38" t="s">
        <v>3</v>
      </c>
      <c r="Q1086">
        <v>2025</v>
      </c>
      <c r="R1086" t="s">
        <v>131</v>
      </c>
      <c r="S1086" t="s">
        <v>14</v>
      </c>
      <c r="T1086" t="s">
        <v>1308</v>
      </c>
      <c r="U1086" t="str">
        <f>IFERROR(_xlfn.XLOOKUP(A1086,'2025 EOY'!A:A,'2025 EOY'!B:B),"No")</f>
        <v>No</v>
      </c>
    </row>
    <row r="1087" spans="1:21" x14ac:dyDescent="0.35">
      <c r="A1087" t="s">
        <v>127</v>
      </c>
      <c r="B1087" s="174">
        <v>45855</v>
      </c>
      <c r="C1087" s="10" t="s">
        <v>3</v>
      </c>
      <c r="D1087" s="10" t="s">
        <v>128</v>
      </c>
      <c r="E1087" s="253">
        <v>1000</v>
      </c>
      <c r="F1087" s="172">
        <v>45900</v>
      </c>
      <c r="G1087" s="172">
        <v>45930</v>
      </c>
      <c r="H1087" s="189">
        <v>1.28</v>
      </c>
      <c r="I1087" s="192">
        <v>1.25</v>
      </c>
      <c r="J1087" s="9">
        <v>-30.000000000000028</v>
      </c>
      <c r="K1087">
        <v>1280</v>
      </c>
      <c r="L1087" s="14" t="s">
        <v>77</v>
      </c>
      <c r="M1087" s="8" t="s">
        <v>131</v>
      </c>
      <c r="N1087">
        <v>1250</v>
      </c>
      <c r="O1087" s="38" t="s">
        <v>4</v>
      </c>
      <c r="P1087" s="38" t="s">
        <v>3</v>
      </c>
      <c r="Q1087">
        <v>2025</v>
      </c>
      <c r="R1087" t="s">
        <v>131</v>
      </c>
      <c r="S1087" t="s">
        <v>14</v>
      </c>
      <c r="T1087" t="s">
        <v>1309</v>
      </c>
      <c r="U1087" t="str">
        <f>IFERROR(_xlfn.XLOOKUP(A1087,'2025 EOY'!A:A,'2025 EOY'!B:B),"No")</f>
        <v>No</v>
      </c>
    </row>
    <row r="1088" spans="1:21" x14ac:dyDescent="0.35">
      <c r="A1088" t="s">
        <v>127</v>
      </c>
      <c r="B1088" s="174">
        <v>45859</v>
      </c>
      <c r="C1088" s="10" t="s">
        <v>3</v>
      </c>
      <c r="D1088" s="10" t="s">
        <v>268</v>
      </c>
      <c r="E1088" s="253">
        <v>-738</v>
      </c>
      <c r="F1088" s="172">
        <v>45900</v>
      </c>
      <c r="G1088" s="172">
        <v>45930</v>
      </c>
      <c r="H1088" s="189">
        <v>1.25</v>
      </c>
      <c r="I1088" s="192">
        <v>1.25</v>
      </c>
      <c r="J1088" s="9">
        <v>0</v>
      </c>
      <c r="K1088">
        <v>-922.5</v>
      </c>
      <c r="L1088" s="14" t="s">
        <v>77</v>
      </c>
      <c r="M1088" s="8" t="s">
        <v>129</v>
      </c>
      <c r="N1088">
        <v>-922.5</v>
      </c>
      <c r="O1088" s="38" t="s">
        <v>4</v>
      </c>
      <c r="P1088" s="38" t="s">
        <v>3</v>
      </c>
      <c r="Q1088">
        <v>2025</v>
      </c>
      <c r="R1088" t="s">
        <v>129</v>
      </c>
      <c r="S1088" t="s">
        <v>14</v>
      </c>
      <c r="T1088" t="s">
        <v>1310</v>
      </c>
      <c r="U1088" t="str">
        <f>IFERROR(_xlfn.XLOOKUP(A1088,'2025 EOY'!A:A,'2025 EOY'!B:B),"No")</f>
        <v>No</v>
      </c>
    </row>
    <row r="1089" spans="1:21" x14ac:dyDescent="0.35">
      <c r="A1089" t="s">
        <v>127</v>
      </c>
      <c r="B1089" s="174">
        <v>45861</v>
      </c>
      <c r="C1089" s="10" t="s">
        <v>25</v>
      </c>
      <c r="D1089" s="4" t="s">
        <v>128</v>
      </c>
      <c r="E1089" s="253">
        <v>-1000</v>
      </c>
      <c r="F1089" s="172">
        <v>45991</v>
      </c>
      <c r="G1089" s="172">
        <v>46022</v>
      </c>
      <c r="H1089" s="189">
        <v>0.37</v>
      </c>
      <c r="I1089" s="192">
        <v>0.5</v>
      </c>
      <c r="J1089" s="9">
        <v>-130</v>
      </c>
      <c r="K1089">
        <v>-370</v>
      </c>
      <c r="L1089" s="14" t="s">
        <v>13</v>
      </c>
      <c r="M1089" s="8" t="s">
        <v>129</v>
      </c>
      <c r="N1089">
        <v>-500</v>
      </c>
      <c r="O1089" s="38" t="s">
        <v>4</v>
      </c>
      <c r="P1089" s="38" t="s">
        <v>3</v>
      </c>
      <c r="Q1089">
        <v>2025</v>
      </c>
      <c r="R1089" t="s">
        <v>129</v>
      </c>
      <c r="S1089" t="s">
        <v>14</v>
      </c>
      <c r="T1089" t="s">
        <v>1311</v>
      </c>
      <c r="U1089" t="str">
        <f>IFERROR(_xlfn.XLOOKUP(A1089,'2025 EOY'!A:A,'2025 EOY'!B:B),"No")</f>
        <v>No</v>
      </c>
    </row>
    <row r="1090" spans="1:21" x14ac:dyDescent="0.35">
      <c r="A1090" t="s">
        <v>127</v>
      </c>
      <c r="B1090" s="174">
        <v>45861</v>
      </c>
      <c r="C1090" s="10" t="s">
        <v>25</v>
      </c>
      <c r="D1090" s="4" t="s">
        <v>128</v>
      </c>
      <c r="E1090" s="253">
        <v>1000</v>
      </c>
      <c r="F1090" s="172">
        <v>46022</v>
      </c>
      <c r="G1090" s="172">
        <v>46053</v>
      </c>
      <c r="H1090" s="189">
        <v>0.22</v>
      </c>
      <c r="I1090" s="192">
        <v>0.19</v>
      </c>
      <c r="J1090" s="9">
        <v>-30</v>
      </c>
      <c r="K1090">
        <v>220</v>
      </c>
      <c r="L1090" s="14" t="s">
        <v>18</v>
      </c>
      <c r="M1090" s="8" t="s">
        <v>131</v>
      </c>
      <c r="N1090">
        <v>190</v>
      </c>
      <c r="O1090" s="38" t="s">
        <v>4</v>
      </c>
      <c r="P1090" s="38" t="s">
        <v>3</v>
      </c>
      <c r="Q1090">
        <v>2025</v>
      </c>
      <c r="R1090" t="s">
        <v>131</v>
      </c>
      <c r="S1090" t="s">
        <v>14</v>
      </c>
      <c r="T1090" t="s">
        <v>1312</v>
      </c>
      <c r="U1090" t="str">
        <f>IFERROR(_xlfn.XLOOKUP(A1090,'2025 EOY'!A:A,'2025 EOY'!B:B),"No")</f>
        <v>No</v>
      </c>
    </row>
    <row r="1091" spans="1:21" x14ac:dyDescent="0.35">
      <c r="A1091" t="s">
        <v>1313</v>
      </c>
      <c r="B1091" s="174">
        <v>45861</v>
      </c>
      <c r="C1091" s="187" t="s">
        <v>19</v>
      </c>
      <c r="D1091" s="10" t="s">
        <v>268</v>
      </c>
      <c r="E1091" s="264">
        <v>2040</v>
      </c>
      <c r="F1091" s="172">
        <v>45900</v>
      </c>
      <c r="G1091" s="172">
        <v>45900</v>
      </c>
      <c r="H1091" s="15">
        <v>2.8953921568627448</v>
      </c>
      <c r="I1091" s="201">
        <v>2.8</v>
      </c>
      <c r="J1091" s="9">
        <v>-194.59999999999968</v>
      </c>
      <c r="K1091">
        <v>6180.4518337408308</v>
      </c>
      <c r="L1091" s="14" t="s">
        <v>81</v>
      </c>
      <c r="M1091" s="8" t="s">
        <v>131</v>
      </c>
      <c r="N1091">
        <v>5712</v>
      </c>
      <c r="O1091" s="38" t="s">
        <v>19</v>
      </c>
      <c r="P1091" s="38" t="s">
        <v>19</v>
      </c>
      <c r="Q1091">
        <v>2025</v>
      </c>
      <c r="R1091" t="s">
        <v>131</v>
      </c>
      <c r="S1091" t="s">
        <v>96</v>
      </c>
      <c r="T1091" t="s">
        <v>1314</v>
      </c>
      <c r="U1091" t="str">
        <f>IFERROR(_xlfn.XLOOKUP(A1091,'2025 EOY'!A:A,'2025 EOY'!B:B),"No")</f>
        <v>No</v>
      </c>
    </row>
    <row r="1092" spans="1:21" ht="13.5" customHeight="1" x14ac:dyDescent="0.35">
      <c r="A1092" t="s">
        <v>1313</v>
      </c>
      <c r="B1092" s="174">
        <v>45861</v>
      </c>
      <c r="C1092" s="10" t="s">
        <v>3</v>
      </c>
      <c r="D1092" s="4" t="s">
        <v>268</v>
      </c>
      <c r="E1092" s="265">
        <v>-2040</v>
      </c>
      <c r="F1092" s="172">
        <v>45930</v>
      </c>
      <c r="G1092" s="172">
        <v>45961</v>
      </c>
      <c r="H1092" s="15">
        <v>0.88</v>
      </c>
      <c r="I1092" s="192">
        <v>0.57999999999999996</v>
      </c>
      <c r="J1092" s="9">
        <v>612.00000000000011</v>
      </c>
      <c r="K1092">
        <v>-1795.2</v>
      </c>
      <c r="L1092" s="14" t="s">
        <v>78</v>
      </c>
      <c r="M1092" s="8" t="s">
        <v>129</v>
      </c>
      <c r="N1092">
        <v>-1183.1999999999998</v>
      </c>
      <c r="O1092" s="38" t="s">
        <v>4</v>
      </c>
      <c r="P1092" s="38" t="s">
        <v>3</v>
      </c>
      <c r="Q1092">
        <v>2025</v>
      </c>
      <c r="R1092" t="s">
        <v>129</v>
      </c>
      <c r="S1092" t="s">
        <v>14</v>
      </c>
      <c r="T1092" t="s">
        <v>1315</v>
      </c>
      <c r="U1092" t="str">
        <f>IFERROR(_xlfn.XLOOKUP(A1092,'2025 EOY'!A:A,'2025 EOY'!B:B),"No")</f>
        <v>No</v>
      </c>
    </row>
    <row r="1093" spans="1:21" x14ac:dyDescent="0.35">
      <c r="A1093" t="s">
        <v>1313</v>
      </c>
      <c r="B1093" s="174">
        <v>45861</v>
      </c>
      <c r="C1093" s="10" t="s">
        <v>10</v>
      </c>
      <c r="D1093" s="4" t="s">
        <v>268</v>
      </c>
      <c r="E1093" s="265">
        <v>-2040</v>
      </c>
      <c r="F1093" s="172">
        <v>45961</v>
      </c>
      <c r="G1093" s="172">
        <v>45961</v>
      </c>
      <c r="H1093" s="15">
        <v>-3.31</v>
      </c>
      <c r="I1093" s="192">
        <v>-4.1100000000000003</v>
      </c>
      <c r="J1093" s="9">
        <v>1632.0000000000005</v>
      </c>
      <c r="K1093">
        <v>6752.4000000000005</v>
      </c>
      <c r="L1093" s="14" t="s">
        <v>89</v>
      </c>
      <c r="M1093" s="8" t="s">
        <v>129</v>
      </c>
      <c r="N1093">
        <v>8384.4000000000015</v>
      </c>
      <c r="O1093" s="38" t="s">
        <v>11</v>
      </c>
      <c r="P1093" s="38" t="s">
        <v>10</v>
      </c>
      <c r="Q1093">
        <v>2025</v>
      </c>
      <c r="R1093" t="s">
        <v>129</v>
      </c>
      <c r="S1093" t="s">
        <v>14</v>
      </c>
      <c r="T1093" t="s">
        <v>1316</v>
      </c>
      <c r="U1093" t="str">
        <f>IFERROR(_xlfn.XLOOKUP(A1093,'2025 EOY'!A:A,'2025 EOY'!B:B),"No")</f>
        <v>No</v>
      </c>
    </row>
    <row r="1094" spans="1:21" x14ac:dyDescent="0.35">
      <c r="A1094" t="s">
        <v>1313</v>
      </c>
      <c r="B1094" s="174">
        <v>45861</v>
      </c>
      <c r="C1094" s="10" t="s">
        <v>7</v>
      </c>
      <c r="D1094" s="4" t="s">
        <v>268</v>
      </c>
      <c r="E1094" s="265">
        <v>-2040</v>
      </c>
      <c r="F1094" s="172">
        <v>45961</v>
      </c>
      <c r="G1094" s="172">
        <v>45991</v>
      </c>
      <c r="H1094" s="15">
        <v>0.52</v>
      </c>
      <c r="I1094" s="192">
        <v>0.64</v>
      </c>
      <c r="J1094" s="9">
        <v>-244.79999999999998</v>
      </c>
      <c r="K1094">
        <v>-1060.8</v>
      </c>
      <c r="L1094" s="14" t="s">
        <v>79</v>
      </c>
      <c r="M1094" s="8" t="s">
        <v>129</v>
      </c>
      <c r="N1094">
        <v>-1305.6000000000001</v>
      </c>
      <c r="O1094" s="38" t="s">
        <v>4</v>
      </c>
      <c r="P1094" s="38" t="s">
        <v>7</v>
      </c>
      <c r="Q1094">
        <v>2025</v>
      </c>
      <c r="R1094" t="s">
        <v>129</v>
      </c>
      <c r="S1094" t="s">
        <v>14</v>
      </c>
      <c r="T1094" t="s">
        <v>1317</v>
      </c>
      <c r="U1094" t="str">
        <f>IFERROR(_xlfn.XLOOKUP(A1094,'2025 EOY'!A:A,'2025 EOY'!B:B),"No")</f>
        <v>No</v>
      </c>
    </row>
    <row r="1095" spans="1:21" x14ac:dyDescent="0.35">
      <c r="A1095" t="s">
        <v>1313</v>
      </c>
      <c r="B1095" s="174">
        <v>45861</v>
      </c>
      <c r="C1095" s="10" t="s">
        <v>15</v>
      </c>
      <c r="D1095" s="4" t="s">
        <v>268</v>
      </c>
      <c r="E1095" s="265">
        <v>2040</v>
      </c>
      <c r="F1095" s="173">
        <v>45930</v>
      </c>
      <c r="G1095" s="172">
        <v>45930</v>
      </c>
      <c r="H1095" s="15">
        <v>0.75</v>
      </c>
      <c r="I1095" s="191">
        <v>0.49</v>
      </c>
      <c r="J1095" s="9">
        <v>-530.4</v>
      </c>
      <c r="K1095">
        <v>1530</v>
      </c>
      <c r="L1095" s="14" t="s">
        <v>86</v>
      </c>
      <c r="M1095" s="8" t="s">
        <v>131</v>
      </c>
      <c r="N1095">
        <v>999.6</v>
      </c>
      <c r="O1095" s="38" t="s">
        <v>11</v>
      </c>
      <c r="P1095" s="38" t="s">
        <v>16</v>
      </c>
      <c r="Q1095">
        <v>2025</v>
      </c>
      <c r="R1095" t="s">
        <v>131</v>
      </c>
      <c r="S1095" t="s">
        <v>14</v>
      </c>
      <c r="T1095" t="s">
        <v>1318</v>
      </c>
      <c r="U1095" t="str">
        <f>IFERROR(_xlfn.XLOOKUP(A1095,'2025 EOY'!A:A,'2025 EOY'!B:B),"No")</f>
        <v>No</v>
      </c>
    </row>
    <row r="1096" spans="1:21" x14ac:dyDescent="0.35">
      <c r="A1096" t="s">
        <v>1313</v>
      </c>
      <c r="B1096" s="12">
        <v>45861</v>
      </c>
      <c r="C1096" s="47" t="s">
        <v>28</v>
      </c>
      <c r="D1096" s="10" t="s">
        <v>268</v>
      </c>
      <c r="E1096" s="273">
        <v>-2000</v>
      </c>
      <c r="F1096" s="172">
        <v>45900</v>
      </c>
      <c r="G1096" s="172">
        <v>45900</v>
      </c>
      <c r="H1096" s="212">
        <v>6400</v>
      </c>
      <c r="I1096" s="206">
        <v>7200</v>
      </c>
      <c r="J1096" s="9">
        <v>800</v>
      </c>
      <c r="K1096">
        <v>-12800000</v>
      </c>
      <c r="L1096" s="14" t="s">
        <v>81</v>
      </c>
      <c r="M1096" s="8" t="s">
        <v>129</v>
      </c>
      <c r="N1096">
        <v>-14400000</v>
      </c>
      <c r="O1096" s="38" t="s">
        <v>29</v>
      </c>
      <c r="P1096" s="38" t="s">
        <v>29</v>
      </c>
      <c r="Q1096">
        <v>2025</v>
      </c>
      <c r="R1096" t="s">
        <v>129</v>
      </c>
      <c r="S1096" t="s">
        <v>14</v>
      </c>
      <c r="T1096" t="s">
        <v>1319</v>
      </c>
      <c r="U1096" t="str">
        <f>IFERROR(_xlfn.XLOOKUP(A1096,'2025 EOY'!A:A,'2025 EOY'!B:B),"No")</f>
        <v>No</v>
      </c>
    </row>
    <row r="1097" spans="1:21" x14ac:dyDescent="0.35">
      <c r="A1097" t="s">
        <v>1313</v>
      </c>
      <c r="B1097" s="12">
        <v>45861</v>
      </c>
      <c r="C1097" s="47" t="s">
        <v>28</v>
      </c>
      <c r="D1097" s="10" t="s">
        <v>128</v>
      </c>
      <c r="E1097" s="253">
        <v>2000</v>
      </c>
      <c r="F1097" s="172">
        <v>45900</v>
      </c>
      <c r="G1097" s="172">
        <v>45900</v>
      </c>
      <c r="H1097" s="212">
        <v>6400</v>
      </c>
      <c r="I1097" s="206">
        <v>6400</v>
      </c>
      <c r="J1097" s="9">
        <v>0</v>
      </c>
      <c r="K1097">
        <v>12800000</v>
      </c>
      <c r="L1097" s="14" t="s">
        <v>81</v>
      </c>
      <c r="M1097" s="8" t="s">
        <v>131</v>
      </c>
      <c r="N1097">
        <v>12800000</v>
      </c>
      <c r="O1097" s="38" t="s">
        <v>29</v>
      </c>
      <c r="P1097" s="38" t="s">
        <v>29</v>
      </c>
      <c r="Q1097">
        <v>2025</v>
      </c>
      <c r="R1097" t="s">
        <v>131</v>
      </c>
      <c r="S1097" t="s">
        <v>14</v>
      </c>
      <c r="T1097" t="s">
        <v>1320</v>
      </c>
      <c r="U1097" t="str">
        <f>IFERROR(_xlfn.XLOOKUP(A1097,'2025 EOY'!A:A,'2025 EOY'!B:B),"No")</f>
        <v>No</v>
      </c>
    </row>
    <row r="1098" spans="1:21" x14ac:dyDescent="0.35">
      <c r="A1098" t="s">
        <v>127</v>
      </c>
      <c r="B1098" s="174">
        <v>45862</v>
      </c>
      <c r="C1098" s="10" t="s">
        <v>25</v>
      </c>
      <c r="D1098" s="4" t="s">
        <v>128</v>
      </c>
      <c r="E1098" s="253">
        <v>-122</v>
      </c>
      <c r="F1098" s="172">
        <v>45991</v>
      </c>
      <c r="G1098" s="172">
        <v>46022</v>
      </c>
      <c r="H1098" s="189">
        <v>0.45</v>
      </c>
      <c r="I1098" s="192">
        <v>0.5</v>
      </c>
      <c r="J1098" s="9">
        <v>-6.0999999999999988</v>
      </c>
      <c r="K1098">
        <v>-54.9</v>
      </c>
      <c r="L1098" s="14" t="s">
        <v>13</v>
      </c>
      <c r="M1098" s="8" t="s">
        <v>129</v>
      </c>
      <c r="N1098">
        <v>-61</v>
      </c>
      <c r="O1098" s="38" t="s">
        <v>4</v>
      </c>
      <c r="P1098" s="38" t="s">
        <v>3</v>
      </c>
      <c r="Q1098">
        <v>2025</v>
      </c>
      <c r="R1098" t="s">
        <v>129</v>
      </c>
      <c r="S1098" t="s">
        <v>14</v>
      </c>
      <c r="T1098" t="s">
        <v>1321</v>
      </c>
      <c r="U1098" t="str">
        <f>IFERROR(_xlfn.XLOOKUP(A1098,'2025 EOY'!A:A,'2025 EOY'!B:B),"No")</f>
        <v>No</v>
      </c>
    </row>
    <row r="1099" spans="1:21" x14ac:dyDescent="0.35">
      <c r="A1099" t="s">
        <v>127</v>
      </c>
      <c r="B1099" s="174">
        <v>45862</v>
      </c>
      <c r="C1099" s="10" t="s">
        <v>25</v>
      </c>
      <c r="D1099" s="4" t="s">
        <v>128</v>
      </c>
      <c r="E1099" s="253">
        <v>122</v>
      </c>
      <c r="F1099" s="172">
        <v>46022</v>
      </c>
      <c r="G1099" s="172">
        <v>46053</v>
      </c>
      <c r="H1099" s="189">
        <v>0.27</v>
      </c>
      <c r="I1099" s="192">
        <v>0.19</v>
      </c>
      <c r="J1099" s="9">
        <v>-9.7600000000000016</v>
      </c>
      <c r="K1099">
        <v>32.940000000000005</v>
      </c>
      <c r="L1099" s="14" t="s">
        <v>18</v>
      </c>
      <c r="M1099" s="8" t="s">
        <v>131</v>
      </c>
      <c r="N1099">
        <v>23.18</v>
      </c>
      <c r="O1099" s="38" t="s">
        <v>4</v>
      </c>
      <c r="P1099" s="38" t="s">
        <v>3</v>
      </c>
      <c r="Q1099">
        <v>2025</v>
      </c>
      <c r="R1099" t="s">
        <v>131</v>
      </c>
      <c r="S1099" t="s">
        <v>14</v>
      </c>
      <c r="T1099" t="s">
        <v>1322</v>
      </c>
      <c r="U1099" t="str">
        <f>IFERROR(_xlfn.XLOOKUP(A1099,'2025 EOY'!A:A,'2025 EOY'!B:B),"No")</f>
        <v>No</v>
      </c>
    </row>
    <row r="1100" spans="1:21" x14ac:dyDescent="0.35">
      <c r="A1100" t="s">
        <v>106</v>
      </c>
      <c r="B1100" s="174">
        <v>45868</v>
      </c>
      <c r="C1100" s="10" t="s">
        <v>7</v>
      </c>
      <c r="D1100" s="4" t="s">
        <v>128</v>
      </c>
      <c r="E1100" s="253">
        <v>65</v>
      </c>
      <c r="F1100" s="172">
        <v>45930</v>
      </c>
      <c r="G1100" s="172">
        <v>45961</v>
      </c>
      <c r="H1100" s="212">
        <v>0.77</v>
      </c>
      <c r="I1100" s="192">
        <v>0.83</v>
      </c>
      <c r="J1100" s="9">
        <v>3.8999999999999964</v>
      </c>
      <c r="K1100">
        <v>50.050000000000004</v>
      </c>
      <c r="L1100" s="14" t="s">
        <v>78</v>
      </c>
      <c r="M1100" s="8" t="s">
        <v>131</v>
      </c>
      <c r="N1100">
        <v>53.949999999999996</v>
      </c>
      <c r="O1100" s="38" t="s">
        <v>4</v>
      </c>
      <c r="P1100" s="38" t="s">
        <v>7</v>
      </c>
      <c r="Q1100">
        <v>2025</v>
      </c>
      <c r="R1100" t="s">
        <v>131</v>
      </c>
      <c r="S1100" t="s">
        <v>14</v>
      </c>
      <c r="T1100" t="s">
        <v>1323</v>
      </c>
      <c r="U1100" t="str">
        <f>IFERROR(_xlfn.XLOOKUP(A1100,'2025 EOY'!A:A,'2025 EOY'!B:B),"No")</f>
        <v>No</v>
      </c>
    </row>
    <row r="1101" spans="1:21" x14ac:dyDescent="0.35">
      <c r="A1101" t="s">
        <v>127</v>
      </c>
      <c r="B1101" s="174">
        <v>45868</v>
      </c>
      <c r="C1101" s="10" t="s">
        <v>10</v>
      </c>
      <c r="D1101" s="4" t="s">
        <v>128</v>
      </c>
      <c r="E1101" s="253">
        <v>-437</v>
      </c>
      <c r="F1101" s="172">
        <v>45930</v>
      </c>
      <c r="G1101" s="172">
        <v>45930</v>
      </c>
      <c r="H1101" s="15">
        <v>-3.2399999999999949</v>
      </c>
      <c r="I1101" s="192">
        <v>-3.27</v>
      </c>
      <c r="J1101" s="9">
        <v>13.110000000002243</v>
      </c>
      <c r="K1101">
        <v>1415.8799999999978</v>
      </c>
      <c r="L1101" s="14" t="s">
        <v>86</v>
      </c>
      <c r="M1101" s="8" t="s">
        <v>129</v>
      </c>
      <c r="N1101">
        <v>1428.99</v>
      </c>
      <c r="O1101" s="38" t="s">
        <v>11</v>
      </c>
      <c r="P1101" s="38" t="s">
        <v>10</v>
      </c>
      <c r="Q1101">
        <v>2025</v>
      </c>
      <c r="R1101" t="s">
        <v>129</v>
      </c>
      <c r="S1101" t="s">
        <v>14</v>
      </c>
      <c r="T1101" t="s">
        <v>1324</v>
      </c>
      <c r="U1101" t="str">
        <f>IFERROR(_xlfn.XLOOKUP(A1101,'2025 EOY'!A:A,'2025 EOY'!B:B),"No")</f>
        <v>No</v>
      </c>
    </row>
    <row r="1102" spans="1:21" x14ac:dyDescent="0.35">
      <c r="A1102" t="s">
        <v>127</v>
      </c>
      <c r="B1102" s="174">
        <v>45868</v>
      </c>
      <c r="C1102" s="10" t="s">
        <v>10</v>
      </c>
      <c r="D1102" s="4" t="s">
        <v>128</v>
      </c>
      <c r="E1102" s="253">
        <v>437</v>
      </c>
      <c r="F1102" s="172">
        <v>45961</v>
      </c>
      <c r="G1102" s="172">
        <v>45961</v>
      </c>
      <c r="H1102" s="15">
        <v>-3.539999999999992</v>
      </c>
      <c r="I1102" s="192">
        <v>-4.1100000000000003</v>
      </c>
      <c r="J1102" s="9">
        <v>-249.09000000000361</v>
      </c>
      <c r="K1102">
        <v>-1546.9799999999966</v>
      </c>
      <c r="L1102" s="14" t="s">
        <v>89</v>
      </c>
      <c r="M1102" s="8" t="s">
        <v>131</v>
      </c>
      <c r="N1102">
        <v>-1796.0700000000002</v>
      </c>
      <c r="O1102" s="38" t="s">
        <v>11</v>
      </c>
      <c r="P1102" s="38" t="s">
        <v>10</v>
      </c>
      <c r="Q1102">
        <v>2025</v>
      </c>
      <c r="R1102" t="s">
        <v>131</v>
      </c>
      <c r="S1102" t="s">
        <v>14</v>
      </c>
      <c r="T1102" t="s">
        <v>1325</v>
      </c>
      <c r="U1102" t="str">
        <f>IFERROR(_xlfn.XLOOKUP(A1102,'2025 EOY'!A:A,'2025 EOY'!B:B),"No")</f>
        <v>No</v>
      </c>
    </row>
    <row r="1103" spans="1:21" x14ac:dyDescent="0.35">
      <c r="A1103" t="s">
        <v>1313</v>
      </c>
      <c r="B1103" s="174">
        <v>45873</v>
      </c>
      <c r="C1103" s="10" t="s">
        <v>15</v>
      </c>
      <c r="D1103" s="4" t="s">
        <v>128</v>
      </c>
      <c r="E1103" s="253">
        <v>-123</v>
      </c>
      <c r="F1103" s="173">
        <v>45869</v>
      </c>
      <c r="G1103" s="172">
        <v>45869</v>
      </c>
      <c r="H1103" s="15">
        <v>1.45</v>
      </c>
      <c r="I1103" s="191">
        <v>1.47</v>
      </c>
      <c r="J1103" s="9">
        <v>-2.4600000000000022</v>
      </c>
      <c r="K1103">
        <v>-178.35</v>
      </c>
      <c r="L1103" s="14" t="s">
        <v>75</v>
      </c>
      <c r="M1103" s="8" t="s">
        <v>129</v>
      </c>
      <c r="N1103">
        <v>-180.81</v>
      </c>
      <c r="O1103" s="38" t="s">
        <v>11</v>
      </c>
      <c r="P1103" s="38" t="s">
        <v>16</v>
      </c>
      <c r="Q1103">
        <v>2025</v>
      </c>
      <c r="R1103" t="s">
        <v>129</v>
      </c>
      <c r="S1103" t="s">
        <v>14</v>
      </c>
      <c r="T1103" t="s">
        <v>1326</v>
      </c>
      <c r="U1103" t="str">
        <f>IFERROR(_xlfn.XLOOKUP(A1103,'2025 EOY'!A:A,'2025 EOY'!B:B),"No")</f>
        <v>No</v>
      </c>
    </row>
    <row r="1104" spans="1:21" x14ac:dyDescent="0.35">
      <c r="A1104" s="37" t="s">
        <v>993</v>
      </c>
      <c r="B1104" s="12">
        <v>45873</v>
      </c>
      <c r="C1104" s="47" t="s">
        <v>39</v>
      </c>
      <c r="D1104" s="10" t="s">
        <v>268</v>
      </c>
      <c r="E1104" s="265">
        <v>-700</v>
      </c>
      <c r="F1104" s="172">
        <v>45869</v>
      </c>
      <c r="G1104" s="172">
        <v>45869</v>
      </c>
      <c r="H1104" s="212">
        <v>117</v>
      </c>
      <c r="I1104" s="206">
        <v>117</v>
      </c>
      <c r="J1104" s="155">
        <v>0</v>
      </c>
      <c r="K1104">
        <v>-81900</v>
      </c>
      <c r="L1104" s="14" t="s">
        <v>75</v>
      </c>
      <c r="M1104" s="8" t="s">
        <v>129</v>
      </c>
      <c r="N1104">
        <v>-81900</v>
      </c>
      <c r="O1104" s="38" t="s">
        <v>29</v>
      </c>
      <c r="P1104" s="38" t="s">
        <v>29</v>
      </c>
      <c r="Q1104">
        <v>2025</v>
      </c>
      <c r="R1104" t="s">
        <v>129</v>
      </c>
      <c r="S1104" t="s">
        <v>14</v>
      </c>
      <c r="T1104" t="s">
        <v>1327</v>
      </c>
      <c r="U1104" t="str">
        <f>IFERROR(_xlfn.XLOOKUP(A1104,'2025 EOY'!A:A,'2025 EOY'!B:B),"No")</f>
        <v>No</v>
      </c>
    </row>
    <row r="1105" spans="1:21" x14ac:dyDescent="0.35">
      <c r="A1105" t="s">
        <v>1313</v>
      </c>
      <c r="B1105" s="174">
        <v>45873</v>
      </c>
      <c r="C1105" s="10" t="s">
        <v>3</v>
      </c>
      <c r="D1105" s="4" t="s">
        <v>128</v>
      </c>
      <c r="E1105" s="253">
        <v>300</v>
      </c>
      <c r="F1105" s="172">
        <v>45930</v>
      </c>
      <c r="G1105" s="172">
        <v>45961</v>
      </c>
      <c r="H1105" s="15">
        <v>0.99</v>
      </c>
      <c r="I1105" s="192">
        <v>0.57999999999999996</v>
      </c>
      <c r="J1105" s="9">
        <v>-123.00000000000001</v>
      </c>
      <c r="K1105">
        <v>297</v>
      </c>
      <c r="L1105" s="14" t="s">
        <v>78</v>
      </c>
      <c r="M1105" s="8" t="s">
        <v>131</v>
      </c>
      <c r="N1105">
        <v>174</v>
      </c>
      <c r="O1105" s="38" t="s">
        <v>4</v>
      </c>
      <c r="P1105" s="38" t="s">
        <v>3</v>
      </c>
      <c r="Q1105">
        <v>2025</v>
      </c>
      <c r="R1105" t="s">
        <v>131</v>
      </c>
      <c r="S1105" t="s">
        <v>14</v>
      </c>
      <c r="T1105" t="s">
        <v>1328</v>
      </c>
      <c r="U1105" t="str">
        <f>IFERROR(_xlfn.XLOOKUP(A1105,'2025 EOY'!A:A,'2025 EOY'!B:B),"No")</f>
        <v>No</v>
      </c>
    </row>
    <row r="1106" spans="1:21" x14ac:dyDescent="0.35">
      <c r="A1106" t="s">
        <v>1313</v>
      </c>
      <c r="B1106" s="174">
        <v>45873</v>
      </c>
      <c r="C1106" s="10" t="s">
        <v>3</v>
      </c>
      <c r="D1106" s="4" t="s">
        <v>128</v>
      </c>
      <c r="E1106" s="253">
        <v>300</v>
      </c>
      <c r="F1106" s="172">
        <v>45930</v>
      </c>
      <c r="G1106" s="172">
        <v>45961</v>
      </c>
      <c r="H1106" s="15">
        <v>0.98</v>
      </c>
      <c r="I1106" s="192">
        <v>0.57999999999999996</v>
      </c>
      <c r="J1106" s="9">
        <v>-120</v>
      </c>
      <c r="K1106">
        <v>294</v>
      </c>
      <c r="L1106" s="14" t="s">
        <v>78</v>
      </c>
      <c r="M1106" s="8" t="s">
        <v>131</v>
      </c>
      <c r="N1106">
        <v>174</v>
      </c>
      <c r="O1106" s="38" t="s">
        <v>4</v>
      </c>
      <c r="P1106" s="38" t="s">
        <v>3</v>
      </c>
      <c r="Q1106">
        <v>2025</v>
      </c>
      <c r="R1106" t="s">
        <v>131</v>
      </c>
      <c r="S1106" t="s">
        <v>14</v>
      </c>
      <c r="T1106" t="s">
        <v>1329</v>
      </c>
      <c r="U1106" t="str">
        <f>IFERROR(_xlfn.XLOOKUP(A1106,'2025 EOY'!A:A,'2025 EOY'!B:B),"No")</f>
        <v>No</v>
      </c>
    </row>
    <row r="1107" spans="1:21" x14ac:dyDescent="0.35">
      <c r="A1107" t="s">
        <v>1313</v>
      </c>
      <c r="B1107" s="174">
        <v>45874</v>
      </c>
      <c r="C1107" s="10" t="s">
        <v>3</v>
      </c>
      <c r="D1107" s="4" t="s">
        <v>128</v>
      </c>
      <c r="E1107" s="253">
        <v>300</v>
      </c>
      <c r="F1107" s="172">
        <v>45930</v>
      </c>
      <c r="G1107" s="172">
        <v>45961</v>
      </c>
      <c r="H1107" s="15">
        <v>0.97</v>
      </c>
      <c r="I1107" s="192">
        <v>0.57999999999999996</v>
      </c>
      <c r="J1107" s="9">
        <v>-117</v>
      </c>
      <c r="K1107">
        <v>291</v>
      </c>
      <c r="L1107" s="14" t="s">
        <v>78</v>
      </c>
      <c r="M1107" s="8" t="s">
        <v>131</v>
      </c>
      <c r="N1107">
        <v>174</v>
      </c>
      <c r="O1107" s="38" t="s">
        <v>4</v>
      </c>
      <c r="P1107" s="38" t="s">
        <v>3</v>
      </c>
      <c r="Q1107">
        <v>2025</v>
      </c>
      <c r="R1107" t="s">
        <v>131</v>
      </c>
      <c r="S1107" t="s">
        <v>14</v>
      </c>
      <c r="T1107" t="s">
        <v>1330</v>
      </c>
      <c r="U1107" t="str">
        <f>IFERROR(_xlfn.XLOOKUP(A1107,'2025 EOY'!A:A,'2025 EOY'!B:B),"No")</f>
        <v>No</v>
      </c>
    </row>
    <row r="1108" spans="1:21" x14ac:dyDescent="0.35">
      <c r="A1108" t="s">
        <v>1313</v>
      </c>
      <c r="B1108" s="174">
        <v>45874</v>
      </c>
      <c r="C1108" s="10" t="s">
        <v>3</v>
      </c>
      <c r="D1108" s="4" t="s">
        <v>128</v>
      </c>
      <c r="E1108" s="253">
        <v>300</v>
      </c>
      <c r="F1108" s="172">
        <v>45930</v>
      </c>
      <c r="G1108" s="172">
        <v>45961</v>
      </c>
      <c r="H1108" s="15">
        <v>0.96</v>
      </c>
      <c r="I1108" s="192">
        <v>0.57999999999999996</v>
      </c>
      <c r="J1108" s="9">
        <v>-114</v>
      </c>
      <c r="K1108">
        <v>288</v>
      </c>
      <c r="L1108" s="14" t="s">
        <v>78</v>
      </c>
      <c r="M1108" s="8" t="s">
        <v>131</v>
      </c>
      <c r="N1108">
        <v>174</v>
      </c>
      <c r="O1108" s="38" t="s">
        <v>4</v>
      </c>
      <c r="P1108" s="38" t="s">
        <v>3</v>
      </c>
      <c r="Q1108">
        <v>2025</v>
      </c>
      <c r="R1108" t="s">
        <v>131</v>
      </c>
      <c r="S1108" t="s">
        <v>14</v>
      </c>
      <c r="T1108" t="s">
        <v>1331</v>
      </c>
      <c r="U1108" t="str">
        <f>IFERROR(_xlfn.XLOOKUP(A1108,'2025 EOY'!A:A,'2025 EOY'!B:B),"No")</f>
        <v>No</v>
      </c>
    </row>
    <row r="1109" spans="1:21" x14ac:dyDescent="0.35">
      <c r="A1109" t="s">
        <v>1313</v>
      </c>
      <c r="B1109" s="174">
        <v>45874</v>
      </c>
      <c r="C1109" s="10" t="s">
        <v>3</v>
      </c>
      <c r="D1109" s="4" t="s">
        <v>128</v>
      </c>
      <c r="E1109" s="253">
        <v>300</v>
      </c>
      <c r="F1109" s="172">
        <v>45930</v>
      </c>
      <c r="G1109" s="172">
        <v>45961</v>
      </c>
      <c r="H1109" s="15">
        <v>0.95</v>
      </c>
      <c r="I1109" s="192">
        <v>0.57999999999999996</v>
      </c>
      <c r="J1109" s="9">
        <v>-111</v>
      </c>
      <c r="K1109">
        <v>285</v>
      </c>
      <c r="L1109" s="14" t="s">
        <v>78</v>
      </c>
      <c r="M1109" s="8" t="s">
        <v>131</v>
      </c>
      <c r="N1109">
        <v>174</v>
      </c>
      <c r="O1109" s="38" t="s">
        <v>4</v>
      </c>
      <c r="P1109" s="38" t="s">
        <v>3</v>
      </c>
      <c r="Q1109">
        <v>2025</v>
      </c>
      <c r="R1109" t="s">
        <v>131</v>
      </c>
      <c r="S1109" t="s">
        <v>14</v>
      </c>
      <c r="T1109" t="s">
        <v>1332</v>
      </c>
      <c r="U1109" t="str">
        <f>IFERROR(_xlfn.XLOOKUP(A1109,'2025 EOY'!A:A,'2025 EOY'!B:B),"No")</f>
        <v>No</v>
      </c>
    </row>
    <row r="1110" spans="1:21" x14ac:dyDescent="0.35">
      <c r="A1110" t="s">
        <v>1313</v>
      </c>
      <c r="B1110" s="174">
        <v>45874</v>
      </c>
      <c r="C1110" s="10" t="s">
        <v>15</v>
      </c>
      <c r="D1110" s="4" t="s">
        <v>128</v>
      </c>
      <c r="E1110" s="253">
        <v>-350</v>
      </c>
      <c r="F1110" s="173">
        <v>45930</v>
      </c>
      <c r="G1110" s="172">
        <v>45930</v>
      </c>
      <c r="H1110" s="15">
        <v>0.91</v>
      </c>
      <c r="I1110" s="191">
        <v>0.49</v>
      </c>
      <c r="J1110" s="9">
        <v>147</v>
      </c>
      <c r="K1110">
        <v>-318.5</v>
      </c>
      <c r="L1110" s="14" t="s">
        <v>86</v>
      </c>
      <c r="M1110" s="8" t="s">
        <v>129</v>
      </c>
      <c r="N1110">
        <v>-171.5</v>
      </c>
      <c r="O1110" s="38" t="s">
        <v>11</v>
      </c>
      <c r="P1110" s="38" t="s">
        <v>16</v>
      </c>
      <c r="Q1110">
        <v>2025</v>
      </c>
      <c r="R1110" t="s">
        <v>129</v>
      </c>
      <c r="S1110" t="s">
        <v>14</v>
      </c>
      <c r="T1110" t="s">
        <v>1333</v>
      </c>
      <c r="U1110" t="str">
        <f>IFERROR(_xlfn.XLOOKUP(A1110,'2025 EOY'!A:A,'2025 EOY'!B:B),"No")</f>
        <v>No</v>
      </c>
    </row>
    <row r="1111" spans="1:21" x14ac:dyDescent="0.35">
      <c r="A1111" t="s">
        <v>1313</v>
      </c>
      <c r="B1111" s="174">
        <v>45875</v>
      </c>
      <c r="C1111" s="10" t="s">
        <v>15</v>
      </c>
      <c r="D1111" s="4" t="s">
        <v>128</v>
      </c>
      <c r="E1111" s="253">
        <v>-300</v>
      </c>
      <c r="F1111" s="173">
        <v>45930</v>
      </c>
      <c r="G1111" s="172">
        <v>45930</v>
      </c>
      <c r="H1111" s="15">
        <v>1.02</v>
      </c>
      <c r="I1111" s="191">
        <v>0.49</v>
      </c>
      <c r="J1111" s="9">
        <v>159</v>
      </c>
      <c r="K1111">
        <v>-306</v>
      </c>
      <c r="L1111" s="14" t="s">
        <v>86</v>
      </c>
      <c r="M1111" s="8" t="s">
        <v>129</v>
      </c>
      <c r="N1111">
        <v>-147</v>
      </c>
      <c r="O1111" s="38" t="s">
        <v>11</v>
      </c>
      <c r="P1111" s="38" t="s">
        <v>16</v>
      </c>
      <c r="Q1111">
        <v>2025</v>
      </c>
      <c r="R1111" t="s">
        <v>129</v>
      </c>
      <c r="S1111" t="s">
        <v>14</v>
      </c>
      <c r="T1111" t="s">
        <v>1334</v>
      </c>
      <c r="U1111" t="str">
        <f>IFERROR(_xlfn.XLOOKUP(A1111,'2025 EOY'!A:A,'2025 EOY'!B:B),"No")</f>
        <v>No</v>
      </c>
    </row>
    <row r="1112" spans="1:21" x14ac:dyDescent="0.35">
      <c r="A1112" t="s">
        <v>1335</v>
      </c>
      <c r="B1112" s="174">
        <v>45876</v>
      </c>
      <c r="C1112" s="187" t="s">
        <v>19</v>
      </c>
      <c r="D1112" s="10" t="s">
        <v>268</v>
      </c>
      <c r="E1112" s="264">
        <v>1429</v>
      </c>
      <c r="F1112" s="172">
        <v>45900</v>
      </c>
      <c r="G1112" s="172">
        <v>45900</v>
      </c>
      <c r="H1112" s="15">
        <v>3.918556652562295</v>
      </c>
      <c r="I1112" s="201">
        <v>4.0999999999999996</v>
      </c>
      <c r="J1112" s="9">
        <v>259.28254348847992</v>
      </c>
      <c r="K1112">
        <v>5599.6174565115198</v>
      </c>
      <c r="L1112" s="14" t="s">
        <v>81</v>
      </c>
      <c r="M1112" s="8" t="s">
        <v>131</v>
      </c>
      <c r="N1112">
        <v>5858.9</v>
      </c>
      <c r="O1112" s="38" t="s">
        <v>19</v>
      </c>
      <c r="P1112" s="38" t="s">
        <v>19</v>
      </c>
      <c r="Q1112">
        <v>2025</v>
      </c>
      <c r="R1112" t="s">
        <v>131</v>
      </c>
      <c r="S1112" t="s">
        <v>96</v>
      </c>
      <c r="T1112" t="s">
        <v>1336</v>
      </c>
      <c r="U1112" t="str">
        <f>IFERROR(_xlfn.XLOOKUP(A1112,'2025 EOY'!A:A,'2025 EOY'!B:B),"No")</f>
        <v>No</v>
      </c>
    </row>
    <row r="1113" spans="1:21" x14ac:dyDescent="0.35">
      <c r="A1113" t="s">
        <v>1335</v>
      </c>
      <c r="B1113" s="174">
        <v>45876</v>
      </c>
      <c r="C1113" s="187" t="s">
        <v>19</v>
      </c>
      <c r="D1113" s="10" t="s">
        <v>268</v>
      </c>
      <c r="E1113" s="274">
        <v>698</v>
      </c>
      <c r="F1113" s="172">
        <v>45900</v>
      </c>
      <c r="G1113" s="172">
        <v>45900</v>
      </c>
      <c r="H1113" s="15">
        <v>3.5685566525622949</v>
      </c>
      <c r="I1113" s="201">
        <v>3.8</v>
      </c>
      <c r="J1113" s="9">
        <v>161.54745651151802</v>
      </c>
      <c r="K1113">
        <v>2490.8525434884818</v>
      </c>
      <c r="L1113" s="14" t="s">
        <v>81</v>
      </c>
      <c r="M1113" s="8" t="s">
        <v>131</v>
      </c>
      <c r="N1113">
        <v>2652.4</v>
      </c>
      <c r="O1113" s="38" t="s">
        <v>19</v>
      </c>
      <c r="P1113" s="38" t="s">
        <v>19</v>
      </c>
      <c r="Q1113">
        <v>2025</v>
      </c>
      <c r="R1113" t="s">
        <v>131</v>
      </c>
      <c r="S1113" t="s">
        <v>96</v>
      </c>
      <c r="T1113" t="s">
        <v>1337</v>
      </c>
      <c r="U1113" t="str">
        <f>IFERROR(_xlfn.XLOOKUP(A1113,'2025 EOY'!A:A,'2025 EOY'!B:B),"No")</f>
        <v>No</v>
      </c>
    </row>
    <row r="1114" spans="1:21" x14ac:dyDescent="0.35">
      <c r="A1114" t="s">
        <v>1335</v>
      </c>
      <c r="B1114" s="174">
        <v>45876</v>
      </c>
      <c r="C1114" s="10" t="s">
        <v>3</v>
      </c>
      <c r="D1114" s="4" t="s">
        <v>268</v>
      </c>
      <c r="E1114" s="265">
        <v>-2127</v>
      </c>
      <c r="F1114" s="172">
        <v>45930</v>
      </c>
      <c r="G1114" s="172">
        <v>45961</v>
      </c>
      <c r="H1114" s="189">
        <v>0.94</v>
      </c>
      <c r="I1114" s="192">
        <v>0.57999999999999996</v>
      </c>
      <c r="J1114" s="9">
        <v>765.72</v>
      </c>
      <c r="K1114">
        <v>-1999.3799999999999</v>
      </c>
      <c r="L1114" s="14" t="s">
        <v>78</v>
      </c>
      <c r="M1114" s="8" t="s">
        <v>129</v>
      </c>
      <c r="N1114">
        <v>-1233.6599999999999</v>
      </c>
      <c r="O1114" s="38" t="s">
        <v>4</v>
      </c>
      <c r="P1114" s="38" t="s">
        <v>3</v>
      </c>
      <c r="Q1114">
        <v>2025</v>
      </c>
      <c r="R1114" t="s">
        <v>129</v>
      </c>
      <c r="S1114" t="s">
        <v>14</v>
      </c>
      <c r="T1114" t="s">
        <v>1338</v>
      </c>
      <c r="U1114" t="str">
        <f>IFERROR(_xlfn.XLOOKUP(A1114,'2025 EOY'!A:A,'2025 EOY'!B:B),"No")</f>
        <v>No</v>
      </c>
    </row>
    <row r="1115" spans="1:21" x14ac:dyDescent="0.35">
      <c r="A1115" t="s">
        <v>1335</v>
      </c>
      <c r="B1115" s="174">
        <v>45876</v>
      </c>
      <c r="C1115" s="10" t="s">
        <v>3</v>
      </c>
      <c r="D1115" s="4" t="s">
        <v>268</v>
      </c>
      <c r="E1115" s="265">
        <v>-2127</v>
      </c>
      <c r="F1115" s="172">
        <v>45961</v>
      </c>
      <c r="G1115" s="172">
        <v>45991</v>
      </c>
      <c r="H1115" s="129">
        <v>0.62</v>
      </c>
      <c r="I1115" s="192">
        <v>0.28000000000000003</v>
      </c>
      <c r="J1115" s="9">
        <v>723.18</v>
      </c>
      <c r="K1115">
        <v>-1318.74</v>
      </c>
      <c r="L1115" s="14" t="s">
        <v>79</v>
      </c>
      <c r="M1115" s="8" t="s">
        <v>129</v>
      </c>
      <c r="N1115">
        <v>-595.56000000000006</v>
      </c>
      <c r="O1115" s="38" t="s">
        <v>4</v>
      </c>
      <c r="P1115" s="38" t="s">
        <v>3</v>
      </c>
      <c r="Q1115">
        <v>2025</v>
      </c>
      <c r="R1115" t="s">
        <v>129</v>
      </c>
      <c r="S1115" t="s">
        <v>14</v>
      </c>
      <c r="T1115" t="s">
        <v>1339</v>
      </c>
      <c r="U1115" t="str">
        <f>IFERROR(_xlfn.XLOOKUP(A1115,'2025 EOY'!A:A,'2025 EOY'!B:B),"No")</f>
        <v>No</v>
      </c>
    </row>
    <row r="1116" spans="1:21" x14ac:dyDescent="0.35">
      <c r="A1116" t="s">
        <v>1335</v>
      </c>
      <c r="B1116" s="174">
        <v>45876</v>
      </c>
      <c r="C1116" s="10" t="s">
        <v>10</v>
      </c>
      <c r="D1116" s="4" t="s">
        <v>268</v>
      </c>
      <c r="E1116" s="265">
        <v>-2127</v>
      </c>
      <c r="F1116" s="172">
        <v>45991</v>
      </c>
      <c r="G1116" s="172">
        <v>45991</v>
      </c>
      <c r="H1116" s="15">
        <v>-3.48</v>
      </c>
      <c r="I1116" s="192">
        <v>-4.6500000000000004</v>
      </c>
      <c r="J1116" s="9">
        <v>2488.5900000000006</v>
      </c>
      <c r="K1116">
        <v>7401.96</v>
      </c>
      <c r="L1116" s="14" t="s">
        <v>90</v>
      </c>
      <c r="M1116" s="8" t="s">
        <v>129</v>
      </c>
      <c r="N1116">
        <v>9890.5500000000011</v>
      </c>
      <c r="O1116" s="38" t="s">
        <v>11</v>
      </c>
      <c r="P1116" s="38" t="s">
        <v>10</v>
      </c>
      <c r="Q1116">
        <v>2025</v>
      </c>
      <c r="R1116" t="s">
        <v>129</v>
      </c>
      <c r="S1116" t="s">
        <v>14</v>
      </c>
      <c r="T1116" t="s">
        <v>1340</v>
      </c>
      <c r="U1116" t="str">
        <f>IFERROR(_xlfn.XLOOKUP(A1116,'2025 EOY'!A:A,'2025 EOY'!B:B),"No")</f>
        <v>No</v>
      </c>
    </row>
    <row r="1117" spans="1:21" x14ac:dyDescent="0.35">
      <c r="A1117" t="s">
        <v>1335</v>
      </c>
      <c r="B1117" s="174">
        <v>45876</v>
      </c>
      <c r="C1117" s="10" t="s">
        <v>7</v>
      </c>
      <c r="D1117" s="4" t="s">
        <v>268</v>
      </c>
      <c r="E1117" s="265">
        <v>-2127</v>
      </c>
      <c r="F1117" s="172">
        <v>45991</v>
      </c>
      <c r="G1117" s="172">
        <v>46022</v>
      </c>
      <c r="H1117" s="15">
        <v>0.53</v>
      </c>
      <c r="I1117" s="192">
        <v>0.99</v>
      </c>
      <c r="J1117" s="9">
        <v>-978.42</v>
      </c>
      <c r="K1117">
        <v>-1127.31</v>
      </c>
      <c r="L1117" s="14" t="s">
        <v>13</v>
      </c>
      <c r="M1117" s="8" t="s">
        <v>129</v>
      </c>
      <c r="N1117">
        <v>-2105.73</v>
      </c>
      <c r="O1117" s="38" t="s">
        <v>4</v>
      </c>
      <c r="P1117" s="38" t="s">
        <v>7</v>
      </c>
      <c r="Q1117">
        <v>2025</v>
      </c>
      <c r="R1117" t="s">
        <v>129</v>
      </c>
      <c r="S1117" t="s">
        <v>14</v>
      </c>
      <c r="T1117" t="s">
        <v>1341</v>
      </c>
      <c r="U1117" t="str">
        <f>IFERROR(_xlfn.XLOOKUP(A1117,'2025 EOY'!A:A,'2025 EOY'!B:B),"No")</f>
        <v>No</v>
      </c>
    </row>
    <row r="1118" spans="1:21" x14ac:dyDescent="0.35">
      <c r="A1118" t="s">
        <v>1335</v>
      </c>
      <c r="B1118" s="174">
        <v>45876</v>
      </c>
      <c r="C1118" s="47" t="s">
        <v>28</v>
      </c>
      <c r="D1118" s="10" t="s">
        <v>268</v>
      </c>
      <c r="E1118" s="273">
        <v>-2000</v>
      </c>
      <c r="F1118" s="172">
        <v>45930</v>
      </c>
      <c r="G1118" s="172">
        <v>45930</v>
      </c>
      <c r="H1118" s="212">
        <v>7250</v>
      </c>
      <c r="I1118" s="206">
        <v>7200</v>
      </c>
      <c r="J1118" s="9">
        <v>50</v>
      </c>
      <c r="K1118">
        <v>-14500000</v>
      </c>
      <c r="L1118" s="14" t="s">
        <v>86</v>
      </c>
      <c r="M1118" s="8" t="s">
        <v>129</v>
      </c>
      <c r="N1118">
        <v>-14400000</v>
      </c>
      <c r="O1118" s="38" t="s">
        <v>29</v>
      </c>
      <c r="P1118" s="38" t="s">
        <v>29</v>
      </c>
      <c r="Q1118">
        <v>2025</v>
      </c>
      <c r="R1118" t="s">
        <v>129</v>
      </c>
      <c r="S1118" t="s">
        <v>14</v>
      </c>
      <c r="T1118" t="s">
        <v>1342</v>
      </c>
      <c r="U1118" t="str">
        <f>IFERROR(_xlfn.XLOOKUP(A1118,'2025 EOY'!A:A,'2025 EOY'!B:B),"No")</f>
        <v>No</v>
      </c>
    </row>
    <row r="1119" spans="1:21" x14ac:dyDescent="0.35">
      <c r="A1119" t="s">
        <v>1335</v>
      </c>
      <c r="B1119" s="174">
        <v>45876</v>
      </c>
      <c r="C1119" s="47" t="s">
        <v>28</v>
      </c>
      <c r="D1119" s="10" t="s">
        <v>128</v>
      </c>
      <c r="E1119" s="253">
        <v>2000</v>
      </c>
      <c r="F1119" s="172">
        <v>45930</v>
      </c>
      <c r="G1119" s="172">
        <v>45930</v>
      </c>
      <c r="H1119" s="212">
        <v>7200</v>
      </c>
      <c r="I1119" s="206">
        <v>7200</v>
      </c>
      <c r="J1119" s="9">
        <v>0</v>
      </c>
      <c r="K1119">
        <v>14400000</v>
      </c>
      <c r="L1119" s="14" t="s">
        <v>86</v>
      </c>
      <c r="M1119" s="8" t="s">
        <v>131</v>
      </c>
      <c r="N1119">
        <v>14400000</v>
      </c>
      <c r="O1119" s="38" t="s">
        <v>29</v>
      </c>
      <c r="P1119" s="38" t="s">
        <v>29</v>
      </c>
      <c r="Q1119">
        <v>2025</v>
      </c>
      <c r="R1119" t="s">
        <v>131</v>
      </c>
      <c r="S1119" t="s">
        <v>14</v>
      </c>
      <c r="T1119" t="s">
        <v>1343</v>
      </c>
      <c r="U1119" t="str">
        <f>IFERROR(_xlfn.XLOOKUP(A1119,'2025 EOY'!A:A,'2025 EOY'!B:B),"No")</f>
        <v>No</v>
      </c>
    </row>
    <row r="1120" spans="1:21" x14ac:dyDescent="0.35">
      <c r="A1120" t="s">
        <v>1335</v>
      </c>
      <c r="B1120" s="174">
        <v>45876</v>
      </c>
      <c r="C1120" s="10" t="s">
        <v>3</v>
      </c>
      <c r="D1120" s="4" t="s">
        <v>128</v>
      </c>
      <c r="E1120" s="253">
        <v>2000</v>
      </c>
      <c r="F1120" s="172">
        <v>45930</v>
      </c>
      <c r="G1120" s="172">
        <v>45961</v>
      </c>
      <c r="H1120" s="189">
        <v>0.84000000000000341</v>
      </c>
      <c r="I1120" s="192">
        <v>0.57999999999999996</v>
      </c>
      <c r="J1120" s="9">
        <v>-520.00000000000693</v>
      </c>
      <c r="K1120">
        <v>1680.0000000000068</v>
      </c>
      <c r="L1120" s="14" t="s">
        <v>78</v>
      </c>
      <c r="M1120" s="8" t="s">
        <v>131</v>
      </c>
      <c r="N1120">
        <v>1160</v>
      </c>
      <c r="O1120" s="38" t="s">
        <v>4</v>
      </c>
      <c r="P1120" s="38" t="s">
        <v>3</v>
      </c>
      <c r="Q1120">
        <v>2025</v>
      </c>
      <c r="R1120" t="s">
        <v>131</v>
      </c>
      <c r="S1120" t="s">
        <v>14</v>
      </c>
      <c r="T1120" t="s">
        <v>1344</v>
      </c>
      <c r="U1120" t="str">
        <f>IFERROR(_xlfn.XLOOKUP(A1120,'2025 EOY'!A:A,'2025 EOY'!B:B),"No")</f>
        <v>No</v>
      </c>
    </row>
    <row r="1121" spans="1:21" x14ac:dyDescent="0.35">
      <c r="A1121" t="s">
        <v>1335</v>
      </c>
      <c r="B1121" s="174">
        <v>45876</v>
      </c>
      <c r="C1121" s="10" t="s">
        <v>3</v>
      </c>
      <c r="D1121" s="4" t="s">
        <v>128</v>
      </c>
      <c r="E1121" s="253">
        <v>2000</v>
      </c>
      <c r="F1121" s="172">
        <v>45961</v>
      </c>
      <c r="G1121" s="172">
        <v>45991</v>
      </c>
      <c r="H1121" s="129">
        <v>0.53999999999999915</v>
      </c>
      <c r="I1121" s="192">
        <v>0.28000000000000003</v>
      </c>
      <c r="J1121" s="9">
        <v>-519.99999999999829</v>
      </c>
      <c r="K1121">
        <v>1079.9999999999982</v>
      </c>
      <c r="L1121" s="14" t="s">
        <v>79</v>
      </c>
      <c r="M1121" s="8" t="s">
        <v>131</v>
      </c>
      <c r="N1121">
        <v>560</v>
      </c>
      <c r="O1121" s="38" t="s">
        <v>4</v>
      </c>
      <c r="P1121" s="38" t="s">
        <v>3</v>
      </c>
      <c r="Q1121">
        <v>2025</v>
      </c>
      <c r="R1121" t="s">
        <v>131</v>
      </c>
      <c r="S1121" t="s">
        <v>14</v>
      </c>
      <c r="T1121" t="s">
        <v>1345</v>
      </c>
      <c r="U1121" t="str">
        <f>IFERROR(_xlfn.XLOOKUP(A1121,'2025 EOY'!A:A,'2025 EOY'!B:B),"No")</f>
        <v>No</v>
      </c>
    </row>
    <row r="1122" spans="1:21" x14ac:dyDescent="0.35">
      <c r="A1122" t="s">
        <v>1335</v>
      </c>
      <c r="B1122" s="174">
        <v>45876</v>
      </c>
      <c r="C1122" s="10" t="s">
        <v>10</v>
      </c>
      <c r="D1122" s="4" t="s">
        <v>128</v>
      </c>
      <c r="E1122" s="272">
        <v>2000</v>
      </c>
      <c r="F1122" s="172">
        <v>45991</v>
      </c>
      <c r="G1122" s="172">
        <v>45991</v>
      </c>
      <c r="H1122" s="15">
        <v>-3.4000000000000057</v>
      </c>
      <c r="I1122" s="192">
        <v>-4.6500000000000004</v>
      </c>
      <c r="J1122" s="9">
        <v>-2499.9999999999895</v>
      </c>
      <c r="K1122">
        <v>-6800.0000000000109</v>
      </c>
      <c r="L1122" s="14" t="s">
        <v>90</v>
      </c>
      <c r="M1122" s="8" t="s">
        <v>131</v>
      </c>
      <c r="N1122">
        <v>-9300</v>
      </c>
      <c r="O1122" s="38" t="s">
        <v>11</v>
      </c>
      <c r="P1122" s="38" t="s">
        <v>10</v>
      </c>
      <c r="Q1122">
        <v>2025</v>
      </c>
      <c r="R1122" t="s">
        <v>131</v>
      </c>
      <c r="S1122" t="s">
        <v>14</v>
      </c>
      <c r="T1122" t="s">
        <v>1346</v>
      </c>
      <c r="U1122" t="str">
        <f>IFERROR(_xlfn.XLOOKUP(A1122,'2025 EOY'!A:A,'2025 EOY'!B:B),"No")</f>
        <v>No</v>
      </c>
    </row>
    <row r="1123" spans="1:21" x14ac:dyDescent="0.35">
      <c r="A1123" t="s">
        <v>1335</v>
      </c>
      <c r="B1123" s="174">
        <v>45876</v>
      </c>
      <c r="C1123" s="10" t="s">
        <v>10</v>
      </c>
      <c r="D1123" s="4" t="s">
        <v>128</v>
      </c>
      <c r="E1123" s="253">
        <v>630</v>
      </c>
      <c r="F1123" s="172">
        <v>45961</v>
      </c>
      <c r="G1123" s="172">
        <v>45961</v>
      </c>
      <c r="H1123" s="15">
        <v>-3.3900000000000077</v>
      </c>
      <c r="I1123" s="192">
        <v>-4.1100000000000003</v>
      </c>
      <c r="J1123" s="9">
        <v>-453.59999999999536</v>
      </c>
      <c r="K1123">
        <v>-2135.7000000000048</v>
      </c>
      <c r="L1123" s="14" t="s">
        <v>89</v>
      </c>
      <c r="M1123" s="8" t="s">
        <v>131</v>
      </c>
      <c r="N1123">
        <v>-2589.3000000000002</v>
      </c>
      <c r="O1123" s="38" t="s">
        <v>11</v>
      </c>
      <c r="P1123" s="38" t="s">
        <v>10</v>
      </c>
      <c r="Q1123">
        <v>2025</v>
      </c>
      <c r="R1123" t="s">
        <v>131</v>
      </c>
      <c r="S1123" t="s">
        <v>14</v>
      </c>
      <c r="T1123" t="s">
        <v>1347</v>
      </c>
      <c r="U1123" t="str">
        <f>IFERROR(_xlfn.XLOOKUP(A1123,'2025 EOY'!A:A,'2025 EOY'!B:B),"No")</f>
        <v>No</v>
      </c>
    </row>
    <row r="1124" spans="1:21" x14ac:dyDescent="0.35">
      <c r="A1124" t="s">
        <v>1348</v>
      </c>
      <c r="B1124" s="174">
        <v>45876</v>
      </c>
      <c r="C1124" s="187" t="s">
        <v>19</v>
      </c>
      <c r="D1124" s="10" t="s">
        <v>268</v>
      </c>
      <c r="E1124" s="264">
        <v>740</v>
      </c>
      <c r="F1124" s="172">
        <v>45900</v>
      </c>
      <c r="G1124" s="172">
        <v>45900</v>
      </c>
      <c r="H1124" s="15">
        <v>-1.0700000000000003</v>
      </c>
      <c r="I1124" s="201">
        <v>-1</v>
      </c>
      <c r="J1124" s="9">
        <v>51.80000000000021</v>
      </c>
      <c r="K1124">
        <v>-791.80000000000018</v>
      </c>
      <c r="L1124" s="14" t="s">
        <v>81</v>
      </c>
      <c r="M1124" s="8" t="s">
        <v>131</v>
      </c>
      <c r="N1124">
        <v>-740</v>
      </c>
      <c r="O1124" s="38" t="s">
        <v>19</v>
      </c>
      <c r="P1124" s="38" t="s">
        <v>19</v>
      </c>
      <c r="Q1124">
        <v>2025</v>
      </c>
      <c r="R1124" t="s">
        <v>131</v>
      </c>
      <c r="S1124" t="s">
        <v>96</v>
      </c>
      <c r="T1124" t="s">
        <v>1349</v>
      </c>
      <c r="U1124" t="str">
        <f>IFERROR(_xlfn.XLOOKUP(A1124,'2025 EOY'!A:A,'2025 EOY'!B:B),"No")</f>
        <v>No</v>
      </c>
    </row>
    <row r="1125" spans="1:21" x14ac:dyDescent="0.35">
      <c r="A1125" t="s">
        <v>1348</v>
      </c>
      <c r="B1125" s="174">
        <v>45876</v>
      </c>
      <c r="C1125" s="10" t="s">
        <v>3</v>
      </c>
      <c r="D1125" s="4" t="s">
        <v>268</v>
      </c>
      <c r="E1125" s="265">
        <v>-740</v>
      </c>
      <c r="F1125" s="172">
        <v>45930</v>
      </c>
      <c r="G1125" s="172">
        <v>45961</v>
      </c>
      <c r="H1125" s="189">
        <v>0.84000000000000341</v>
      </c>
      <c r="I1125" s="192">
        <v>0.57999999999999996</v>
      </c>
      <c r="J1125" s="9">
        <v>192.40000000000256</v>
      </c>
      <c r="K1125">
        <v>-621.60000000000252</v>
      </c>
      <c r="L1125" s="14" t="s">
        <v>78</v>
      </c>
      <c r="M1125" s="8" t="s">
        <v>129</v>
      </c>
      <c r="N1125">
        <v>-429.2</v>
      </c>
      <c r="O1125" s="38" t="s">
        <v>4</v>
      </c>
      <c r="P1125" s="38" t="s">
        <v>3</v>
      </c>
      <c r="Q1125">
        <v>2025</v>
      </c>
      <c r="R1125" t="s">
        <v>129</v>
      </c>
      <c r="S1125" t="s">
        <v>14</v>
      </c>
      <c r="T1125" t="s">
        <v>1350</v>
      </c>
      <c r="U1125" t="str">
        <f>IFERROR(_xlfn.XLOOKUP(A1125,'2025 EOY'!A:A,'2025 EOY'!B:B),"No")</f>
        <v>No</v>
      </c>
    </row>
    <row r="1126" spans="1:21" x14ac:dyDescent="0.35">
      <c r="A1126" t="s">
        <v>1348</v>
      </c>
      <c r="B1126" s="174">
        <v>45876</v>
      </c>
      <c r="C1126" s="10" t="s">
        <v>3</v>
      </c>
      <c r="D1126" s="4" t="s">
        <v>268</v>
      </c>
      <c r="E1126" s="265">
        <v>-740</v>
      </c>
      <c r="F1126" s="172">
        <v>45961</v>
      </c>
      <c r="G1126" s="172">
        <v>45991</v>
      </c>
      <c r="H1126" s="129">
        <v>0.53999999999999915</v>
      </c>
      <c r="I1126" s="192">
        <v>0.28000000000000003</v>
      </c>
      <c r="J1126" s="9">
        <v>192.39999999999935</v>
      </c>
      <c r="K1126">
        <v>-399.59999999999934</v>
      </c>
      <c r="L1126" s="14" t="s">
        <v>79</v>
      </c>
      <c r="M1126" s="8" t="s">
        <v>129</v>
      </c>
      <c r="N1126">
        <v>-207.20000000000002</v>
      </c>
      <c r="O1126" s="38" t="s">
        <v>4</v>
      </c>
      <c r="P1126" s="38" t="s">
        <v>3</v>
      </c>
      <c r="Q1126">
        <v>2025</v>
      </c>
      <c r="R1126" t="s">
        <v>129</v>
      </c>
      <c r="S1126" t="s">
        <v>14</v>
      </c>
      <c r="T1126" t="s">
        <v>1351</v>
      </c>
      <c r="U1126" t="str">
        <f>IFERROR(_xlfn.XLOOKUP(A1126,'2025 EOY'!A:A,'2025 EOY'!B:B),"No")</f>
        <v>No</v>
      </c>
    </row>
    <row r="1127" spans="1:21" x14ac:dyDescent="0.35">
      <c r="A1127" t="s">
        <v>1348</v>
      </c>
      <c r="B1127" s="174">
        <v>45876</v>
      </c>
      <c r="C1127" s="10" t="s">
        <v>10</v>
      </c>
      <c r="D1127" s="4" t="s">
        <v>268</v>
      </c>
      <c r="E1127" s="273">
        <v>-740</v>
      </c>
      <c r="F1127" s="172">
        <v>45991</v>
      </c>
      <c r="G1127" s="172">
        <v>45991</v>
      </c>
      <c r="H1127" s="15">
        <v>-3.39</v>
      </c>
      <c r="I1127" s="192">
        <v>-4.6500000000000004</v>
      </c>
      <c r="J1127" s="9">
        <v>932.4000000000002</v>
      </c>
      <c r="K1127">
        <v>2508.6</v>
      </c>
      <c r="L1127" s="14" t="s">
        <v>90</v>
      </c>
      <c r="M1127" s="8" t="s">
        <v>129</v>
      </c>
      <c r="N1127">
        <v>3441.0000000000005</v>
      </c>
      <c r="O1127" s="38" t="s">
        <v>11</v>
      </c>
      <c r="P1127" s="38" t="s">
        <v>10</v>
      </c>
      <c r="Q1127">
        <v>2025</v>
      </c>
      <c r="R1127" t="s">
        <v>129</v>
      </c>
      <c r="S1127" t="s">
        <v>14</v>
      </c>
      <c r="T1127" t="s">
        <v>1352</v>
      </c>
      <c r="U1127" t="str">
        <f>IFERROR(_xlfn.XLOOKUP(A1127,'2025 EOY'!A:A,'2025 EOY'!B:B),"No")</f>
        <v>No</v>
      </c>
    </row>
    <row r="1128" spans="1:21" x14ac:dyDescent="0.35">
      <c r="A1128" t="s">
        <v>1313</v>
      </c>
      <c r="B1128" s="174">
        <v>45875</v>
      </c>
      <c r="C1128" s="10" t="s">
        <v>15</v>
      </c>
      <c r="D1128" s="4" t="s">
        <v>128</v>
      </c>
      <c r="E1128" s="253">
        <v>-200</v>
      </c>
      <c r="F1128" s="173">
        <v>45930</v>
      </c>
      <c r="G1128" s="172">
        <v>45930</v>
      </c>
      <c r="H1128" s="15">
        <v>0.93</v>
      </c>
      <c r="I1128" s="191">
        <v>0.49</v>
      </c>
      <c r="J1128" s="9">
        <v>88.000000000000014</v>
      </c>
      <c r="K1128">
        <v>-186</v>
      </c>
      <c r="L1128" s="14" t="s">
        <v>86</v>
      </c>
      <c r="M1128" s="8" t="s">
        <v>129</v>
      </c>
      <c r="N1128">
        <v>-98</v>
      </c>
      <c r="O1128" s="38" t="s">
        <v>11</v>
      </c>
      <c r="P1128" s="38" t="s">
        <v>16</v>
      </c>
      <c r="Q1128">
        <v>2025</v>
      </c>
      <c r="R1128" t="s">
        <v>129</v>
      </c>
      <c r="S1128" t="s">
        <v>14</v>
      </c>
      <c r="T1128" t="s">
        <v>1353</v>
      </c>
      <c r="U1128" t="str">
        <f>IFERROR(_xlfn.XLOOKUP(A1128,'2025 EOY'!A:A,'2025 EOY'!B:B),"No")</f>
        <v>No</v>
      </c>
    </row>
    <row r="1129" spans="1:21" x14ac:dyDescent="0.35">
      <c r="A1129" t="s">
        <v>1354</v>
      </c>
      <c r="B1129" s="174">
        <v>45881</v>
      </c>
      <c r="C1129" s="187" t="s">
        <v>19</v>
      </c>
      <c r="D1129" s="10" t="s">
        <v>268</v>
      </c>
      <c r="E1129" s="264">
        <v>700</v>
      </c>
      <c r="F1129" s="172">
        <v>45900</v>
      </c>
      <c r="G1129" s="172">
        <v>45900</v>
      </c>
      <c r="H1129" s="15">
        <v>-1.0799999999999998</v>
      </c>
      <c r="I1129" s="201">
        <v>-0.95</v>
      </c>
      <c r="J1129" s="9">
        <v>90.999999999999929</v>
      </c>
      <c r="K1129">
        <v>-755.99999999999989</v>
      </c>
      <c r="L1129" s="14" t="s">
        <v>81</v>
      </c>
      <c r="M1129" s="8" t="s">
        <v>131</v>
      </c>
      <c r="N1129">
        <v>-665</v>
      </c>
      <c r="O1129" s="38" t="s">
        <v>19</v>
      </c>
      <c r="P1129" s="38" t="s">
        <v>19</v>
      </c>
      <c r="Q1129">
        <v>2025</v>
      </c>
      <c r="R1129" t="s">
        <v>131</v>
      </c>
      <c r="S1129" t="s">
        <v>96</v>
      </c>
      <c r="T1129" t="s">
        <v>1355</v>
      </c>
      <c r="U1129" t="str">
        <f>IFERROR(_xlfn.XLOOKUP(A1129,'2025 EOY'!A:A,'2025 EOY'!B:B),"No")</f>
        <v>No</v>
      </c>
    </row>
    <row r="1130" spans="1:21" x14ac:dyDescent="0.35">
      <c r="A1130" t="s">
        <v>1354</v>
      </c>
      <c r="B1130" s="174">
        <v>45881</v>
      </c>
      <c r="C1130" s="10" t="s">
        <v>3</v>
      </c>
      <c r="D1130" s="4" t="s">
        <v>268</v>
      </c>
      <c r="E1130" s="265">
        <v>-700</v>
      </c>
      <c r="F1130" s="172">
        <v>45930</v>
      </c>
      <c r="G1130" s="172">
        <v>45961</v>
      </c>
      <c r="H1130" s="189">
        <v>0.76</v>
      </c>
      <c r="I1130" s="192">
        <v>0.57999999999999996</v>
      </c>
      <c r="J1130" s="9">
        <v>126.00000000000003</v>
      </c>
      <c r="K1130">
        <v>-532</v>
      </c>
      <c r="L1130" s="14" t="s">
        <v>78</v>
      </c>
      <c r="M1130" s="8" t="s">
        <v>129</v>
      </c>
      <c r="N1130">
        <v>-406</v>
      </c>
      <c r="O1130" s="38" t="s">
        <v>4</v>
      </c>
      <c r="P1130" s="38" t="s">
        <v>3</v>
      </c>
      <c r="Q1130">
        <v>2025</v>
      </c>
      <c r="R1130" t="s">
        <v>129</v>
      </c>
      <c r="S1130" t="s">
        <v>14</v>
      </c>
      <c r="T1130" t="s">
        <v>1356</v>
      </c>
      <c r="U1130" t="str">
        <f>IFERROR(_xlfn.XLOOKUP(A1130,'2025 EOY'!A:A,'2025 EOY'!B:B),"No")</f>
        <v>No</v>
      </c>
    </row>
    <row r="1131" spans="1:21" x14ac:dyDescent="0.35">
      <c r="A1131" t="s">
        <v>1354</v>
      </c>
      <c r="B1131" s="174">
        <v>45881</v>
      </c>
      <c r="C1131" s="10" t="s">
        <v>3</v>
      </c>
      <c r="D1131" s="4" t="s">
        <v>268</v>
      </c>
      <c r="E1131" s="265">
        <v>-700</v>
      </c>
      <c r="F1131" s="172">
        <v>45961</v>
      </c>
      <c r="G1131" s="172">
        <v>45991</v>
      </c>
      <c r="H1131" s="129">
        <v>0.51</v>
      </c>
      <c r="I1131" s="192">
        <v>0.28000000000000003</v>
      </c>
      <c r="J1131" s="9">
        <v>161</v>
      </c>
      <c r="K1131">
        <v>-357</v>
      </c>
      <c r="L1131" s="14" t="s">
        <v>79</v>
      </c>
      <c r="M1131" s="8" t="s">
        <v>129</v>
      </c>
      <c r="N1131">
        <v>-196.00000000000003</v>
      </c>
      <c r="O1131" s="38" t="s">
        <v>4</v>
      </c>
      <c r="P1131" s="38" t="s">
        <v>3</v>
      </c>
      <c r="Q1131">
        <v>2025</v>
      </c>
      <c r="R1131" t="s">
        <v>129</v>
      </c>
      <c r="S1131" t="s">
        <v>14</v>
      </c>
      <c r="T1131" t="s">
        <v>1357</v>
      </c>
      <c r="U1131" t="str">
        <f>IFERROR(_xlfn.XLOOKUP(A1131,'2025 EOY'!A:A,'2025 EOY'!B:B),"No")</f>
        <v>No</v>
      </c>
    </row>
    <row r="1132" spans="1:21" x14ac:dyDescent="0.35">
      <c r="A1132" t="s">
        <v>1354</v>
      </c>
      <c r="B1132" s="174">
        <v>45881</v>
      </c>
      <c r="C1132" s="10" t="s">
        <v>10</v>
      </c>
      <c r="D1132" s="4" t="s">
        <v>268</v>
      </c>
      <c r="E1132" s="273">
        <v>-700</v>
      </c>
      <c r="F1132" s="172">
        <v>45991</v>
      </c>
      <c r="G1132" s="172">
        <v>45991</v>
      </c>
      <c r="H1132" s="15">
        <v>-3.56</v>
      </c>
      <c r="I1132" s="192">
        <v>-4.6500000000000004</v>
      </c>
      <c r="J1132" s="9">
        <v>763.00000000000023</v>
      </c>
      <c r="K1132">
        <v>2492</v>
      </c>
      <c r="L1132" s="14" t="s">
        <v>90</v>
      </c>
      <c r="M1132" s="8" t="s">
        <v>129</v>
      </c>
      <c r="N1132">
        <v>3255.0000000000005</v>
      </c>
      <c r="O1132" s="38" t="s">
        <v>11</v>
      </c>
      <c r="P1132" s="38" t="s">
        <v>10</v>
      </c>
      <c r="Q1132">
        <v>2025</v>
      </c>
      <c r="R1132" t="s">
        <v>129</v>
      </c>
      <c r="S1132" t="s">
        <v>14</v>
      </c>
      <c r="T1132" t="s">
        <v>1358</v>
      </c>
      <c r="U1132" t="str">
        <f>IFERROR(_xlfn.XLOOKUP(A1132,'2025 EOY'!A:A,'2025 EOY'!B:B),"No")</f>
        <v>No</v>
      </c>
    </row>
    <row r="1133" spans="1:21" x14ac:dyDescent="0.35">
      <c r="A1133" t="s">
        <v>1348</v>
      </c>
      <c r="B1133" s="174">
        <v>45881</v>
      </c>
      <c r="C1133" s="10" t="s">
        <v>3</v>
      </c>
      <c r="D1133" s="4" t="s">
        <v>128</v>
      </c>
      <c r="E1133" s="253">
        <v>250</v>
      </c>
      <c r="F1133" s="172">
        <v>45930</v>
      </c>
      <c r="G1133" s="172">
        <v>45961</v>
      </c>
      <c r="H1133" s="189">
        <v>0.76</v>
      </c>
      <c r="I1133" s="192">
        <v>0.57999999999999996</v>
      </c>
      <c r="J1133" s="9">
        <v>-45.000000000000014</v>
      </c>
      <c r="K1133">
        <v>190</v>
      </c>
      <c r="L1133" s="14" t="s">
        <v>78</v>
      </c>
      <c r="M1133" s="8" t="s">
        <v>131</v>
      </c>
      <c r="N1133">
        <v>145</v>
      </c>
      <c r="O1133" s="38" t="s">
        <v>4</v>
      </c>
      <c r="P1133" s="38" t="s">
        <v>3</v>
      </c>
      <c r="Q1133">
        <v>2025</v>
      </c>
      <c r="R1133" t="s">
        <v>131</v>
      </c>
      <c r="S1133" t="s">
        <v>14</v>
      </c>
      <c r="T1133" t="s">
        <v>1359</v>
      </c>
      <c r="U1133" t="str">
        <f>IFERROR(_xlfn.XLOOKUP(A1133,'2025 EOY'!A:A,'2025 EOY'!B:B),"No")</f>
        <v>No</v>
      </c>
    </row>
    <row r="1134" spans="1:21" x14ac:dyDescent="0.35">
      <c r="A1134" t="s">
        <v>1348</v>
      </c>
      <c r="B1134" s="174">
        <v>45881</v>
      </c>
      <c r="C1134" s="10" t="s">
        <v>3</v>
      </c>
      <c r="D1134" s="4" t="s">
        <v>128</v>
      </c>
      <c r="E1134" s="253">
        <v>250</v>
      </c>
      <c r="F1134" s="172">
        <v>45930</v>
      </c>
      <c r="G1134" s="172">
        <v>45961</v>
      </c>
      <c r="H1134" s="189">
        <v>0.75</v>
      </c>
      <c r="I1134" s="192">
        <v>0.57999999999999996</v>
      </c>
      <c r="J1134" s="9">
        <v>-42.500000000000007</v>
      </c>
      <c r="K1134">
        <v>187.5</v>
      </c>
      <c r="L1134" s="14" t="s">
        <v>78</v>
      </c>
      <c r="M1134" s="8" t="s">
        <v>131</v>
      </c>
      <c r="N1134">
        <v>145</v>
      </c>
      <c r="O1134" s="38" t="s">
        <v>4</v>
      </c>
      <c r="P1134" s="38" t="s">
        <v>3</v>
      </c>
      <c r="Q1134">
        <v>2025</v>
      </c>
      <c r="R1134" t="s">
        <v>131</v>
      </c>
      <c r="S1134" t="s">
        <v>14</v>
      </c>
      <c r="T1134" t="s">
        <v>1360</v>
      </c>
      <c r="U1134" t="str">
        <f>IFERROR(_xlfn.XLOOKUP(A1134,'2025 EOY'!A:A,'2025 EOY'!B:B),"No")</f>
        <v>No</v>
      </c>
    </row>
    <row r="1135" spans="1:21" x14ac:dyDescent="0.35">
      <c r="A1135" t="s">
        <v>1348</v>
      </c>
      <c r="B1135" s="174">
        <v>45881</v>
      </c>
      <c r="C1135" s="10" t="s">
        <v>3</v>
      </c>
      <c r="D1135" s="4" t="s">
        <v>128</v>
      </c>
      <c r="E1135" s="253">
        <v>250</v>
      </c>
      <c r="F1135" s="172">
        <v>45930</v>
      </c>
      <c r="G1135" s="172">
        <v>45961</v>
      </c>
      <c r="H1135" s="189">
        <v>0.74</v>
      </c>
      <c r="I1135" s="192">
        <v>0.57999999999999996</v>
      </c>
      <c r="J1135" s="9">
        <v>-40.000000000000007</v>
      </c>
      <c r="K1135">
        <v>185</v>
      </c>
      <c r="L1135" s="14" t="s">
        <v>78</v>
      </c>
      <c r="M1135" s="8" t="s">
        <v>131</v>
      </c>
      <c r="N1135">
        <v>145</v>
      </c>
      <c r="O1135" s="38" t="s">
        <v>4</v>
      </c>
      <c r="P1135" s="38" t="s">
        <v>3</v>
      </c>
      <c r="Q1135">
        <v>2025</v>
      </c>
      <c r="R1135" t="s">
        <v>131</v>
      </c>
      <c r="S1135" t="s">
        <v>14</v>
      </c>
      <c r="T1135" t="s">
        <v>1361</v>
      </c>
      <c r="U1135" t="str">
        <f>IFERROR(_xlfn.XLOOKUP(A1135,'2025 EOY'!A:A,'2025 EOY'!B:B),"No")</f>
        <v>No</v>
      </c>
    </row>
    <row r="1136" spans="1:21" x14ac:dyDescent="0.35">
      <c r="A1136" t="s">
        <v>1348</v>
      </c>
      <c r="B1136" s="174">
        <v>45881</v>
      </c>
      <c r="C1136" s="10" t="s">
        <v>3</v>
      </c>
      <c r="D1136" s="4" t="s">
        <v>128</v>
      </c>
      <c r="E1136" s="253">
        <v>250</v>
      </c>
      <c r="F1136" s="172">
        <v>45930</v>
      </c>
      <c r="G1136" s="172">
        <v>45961</v>
      </c>
      <c r="H1136" s="189">
        <v>0.73</v>
      </c>
      <c r="I1136" s="192">
        <v>0.57999999999999996</v>
      </c>
      <c r="J1136" s="9">
        <v>-37.500000000000007</v>
      </c>
      <c r="K1136">
        <v>182.5</v>
      </c>
      <c r="L1136" s="14" t="s">
        <v>78</v>
      </c>
      <c r="M1136" s="8" t="s">
        <v>131</v>
      </c>
      <c r="N1136">
        <v>145</v>
      </c>
      <c r="O1136" s="38" t="s">
        <v>4</v>
      </c>
      <c r="P1136" s="38" t="s">
        <v>3</v>
      </c>
      <c r="Q1136">
        <v>2025</v>
      </c>
      <c r="R1136" t="s">
        <v>131</v>
      </c>
      <c r="S1136" t="s">
        <v>14</v>
      </c>
      <c r="T1136" t="s">
        <v>1362</v>
      </c>
      <c r="U1136" t="str">
        <f>IFERROR(_xlfn.XLOOKUP(A1136,'2025 EOY'!A:A,'2025 EOY'!B:B),"No")</f>
        <v>No</v>
      </c>
    </row>
    <row r="1137" spans="1:21" x14ac:dyDescent="0.35">
      <c r="A1137" t="s">
        <v>1348</v>
      </c>
      <c r="B1137" s="174">
        <v>45881</v>
      </c>
      <c r="C1137" s="10" t="s">
        <v>3</v>
      </c>
      <c r="D1137" s="4" t="s">
        <v>128</v>
      </c>
      <c r="E1137" s="253">
        <v>250</v>
      </c>
      <c r="F1137" s="172">
        <v>45930</v>
      </c>
      <c r="G1137" s="172">
        <v>45961</v>
      </c>
      <c r="H1137" s="189">
        <v>0.72</v>
      </c>
      <c r="I1137" s="192">
        <v>0.57999999999999996</v>
      </c>
      <c r="J1137" s="9">
        <v>-35</v>
      </c>
      <c r="K1137">
        <v>180</v>
      </c>
      <c r="L1137" s="14" t="s">
        <v>78</v>
      </c>
      <c r="M1137" s="8" t="s">
        <v>131</v>
      </c>
      <c r="N1137">
        <v>145</v>
      </c>
      <c r="O1137" s="38" t="s">
        <v>4</v>
      </c>
      <c r="P1137" s="38" t="s">
        <v>3</v>
      </c>
      <c r="Q1137">
        <v>2025</v>
      </c>
      <c r="R1137" t="s">
        <v>131</v>
      </c>
      <c r="S1137" t="s">
        <v>14</v>
      </c>
      <c r="T1137" t="s">
        <v>1363</v>
      </c>
      <c r="U1137" t="str">
        <f>IFERROR(_xlfn.XLOOKUP(A1137,'2025 EOY'!A:A,'2025 EOY'!B:B),"No")</f>
        <v>No</v>
      </c>
    </row>
    <row r="1138" spans="1:21" ht="13.5" customHeight="1" x14ac:dyDescent="0.35">
      <c r="A1138" t="s">
        <v>1335</v>
      </c>
      <c r="B1138" s="174">
        <v>45881</v>
      </c>
      <c r="C1138" s="10" t="s">
        <v>7</v>
      </c>
      <c r="D1138" s="4" t="s">
        <v>128</v>
      </c>
      <c r="E1138" s="253">
        <v>500</v>
      </c>
      <c r="F1138" s="172">
        <v>45961</v>
      </c>
      <c r="G1138" s="172">
        <v>45991</v>
      </c>
      <c r="H1138" s="15">
        <v>0.51</v>
      </c>
      <c r="I1138" s="192">
        <v>0.64</v>
      </c>
      <c r="J1138" s="9">
        <v>65</v>
      </c>
      <c r="K1138">
        <v>255</v>
      </c>
      <c r="L1138" s="14" t="s">
        <v>79</v>
      </c>
      <c r="M1138" s="8" t="s">
        <v>131</v>
      </c>
      <c r="N1138">
        <v>320</v>
      </c>
      <c r="O1138" s="38" t="s">
        <v>4</v>
      </c>
      <c r="P1138" s="38" t="s">
        <v>7</v>
      </c>
      <c r="Q1138">
        <v>2025</v>
      </c>
      <c r="R1138" t="s">
        <v>131</v>
      </c>
      <c r="S1138" t="s">
        <v>14</v>
      </c>
      <c r="T1138" t="s">
        <v>1364</v>
      </c>
      <c r="U1138" t="str">
        <f>IFERROR(_xlfn.XLOOKUP(A1138,'2025 EOY'!A:A,'2025 EOY'!B:B),"No")</f>
        <v>No</v>
      </c>
    </row>
    <row r="1139" spans="1:21" x14ac:dyDescent="0.35">
      <c r="A1139" t="s">
        <v>1335</v>
      </c>
      <c r="B1139" s="174">
        <v>45881</v>
      </c>
      <c r="C1139" s="10" t="s">
        <v>7</v>
      </c>
      <c r="D1139" s="4" t="s">
        <v>128</v>
      </c>
      <c r="E1139" s="253">
        <v>500</v>
      </c>
      <c r="F1139" s="172">
        <v>45991</v>
      </c>
      <c r="G1139" s="172">
        <v>46022</v>
      </c>
      <c r="H1139" s="15">
        <v>0.34</v>
      </c>
      <c r="I1139" s="192">
        <v>0.99</v>
      </c>
      <c r="J1139" s="9">
        <v>324.99999999999994</v>
      </c>
      <c r="K1139">
        <v>170</v>
      </c>
      <c r="L1139" s="14" t="s">
        <v>13</v>
      </c>
      <c r="M1139" s="8" t="s">
        <v>131</v>
      </c>
      <c r="N1139">
        <v>495</v>
      </c>
      <c r="O1139" s="38" t="s">
        <v>4</v>
      </c>
      <c r="P1139" s="38" t="s">
        <v>7</v>
      </c>
      <c r="Q1139">
        <v>2025</v>
      </c>
      <c r="R1139" t="s">
        <v>131</v>
      </c>
      <c r="S1139" t="s">
        <v>14</v>
      </c>
      <c r="T1139" t="s">
        <v>1365</v>
      </c>
      <c r="U1139" t="str">
        <f>IFERROR(_xlfn.XLOOKUP(A1139,'2025 EOY'!A:A,'2025 EOY'!B:B),"No")</f>
        <v>No</v>
      </c>
    </row>
    <row r="1140" spans="1:21" x14ac:dyDescent="0.35">
      <c r="A1140" t="s">
        <v>1335</v>
      </c>
      <c r="B1140" s="174">
        <v>45881</v>
      </c>
      <c r="C1140" s="10" t="s">
        <v>3</v>
      </c>
      <c r="D1140" s="4" t="s">
        <v>128</v>
      </c>
      <c r="E1140" s="253">
        <v>1000</v>
      </c>
      <c r="F1140" s="172">
        <v>45930</v>
      </c>
      <c r="G1140" s="172">
        <v>45961</v>
      </c>
      <c r="H1140" s="189">
        <v>0.69</v>
      </c>
      <c r="I1140" s="192">
        <v>0.57999999999999996</v>
      </c>
      <c r="J1140" s="9">
        <v>-109.99999999999999</v>
      </c>
      <c r="K1140">
        <v>690</v>
      </c>
      <c r="L1140" s="14" t="s">
        <v>78</v>
      </c>
      <c r="M1140" s="8" t="s">
        <v>131</v>
      </c>
      <c r="N1140">
        <v>580</v>
      </c>
      <c r="O1140" s="38" t="s">
        <v>4</v>
      </c>
      <c r="P1140" s="38" t="s">
        <v>3</v>
      </c>
      <c r="Q1140">
        <v>2025</v>
      </c>
      <c r="R1140" t="s">
        <v>131</v>
      </c>
      <c r="S1140" t="s">
        <v>14</v>
      </c>
      <c r="T1140" t="s">
        <v>1366</v>
      </c>
      <c r="U1140" t="str">
        <f>IFERROR(_xlfn.XLOOKUP(A1140,'2025 EOY'!A:A,'2025 EOY'!B:B),"No")</f>
        <v>No</v>
      </c>
    </row>
    <row r="1141" spans="1:21" x14ac:dyDescent="0.35">
      <c r="A1141" t="s">
        <v>1348</v>
      </c>
      <c r="B1141" s="174">
        <v>45881</v>
      </c>
      <c r="C1141" s="10" t="s">
        <v>3</v>
      </c>
      <c r="D1141" s="4" t="s">
        <v>128</v>
      </c>
      <c r="E1141" s="253">
        <v>250</v>
      </c>
      <c r="F1141" s="172">
        <v>45930</v>
      </c>
      <c r="G1141" s="172">
        <v>45961</v>
      </c>
      <c r="H1141" s="189">
        <v>0.68</v>
      </c>
      <c r="I1141" s="192">
        <v>0.57999999999999996</v>
      </c>
      <c r="J1141" s="9">
        <v>-25.000000000000021</v>
      </c>
      <c r="K1141">
        <v>170</v>
      </c>
      <c r="L1141" s="14" t="s">
        <v>78</v>
      </c>
      <c r="M1141" s="8" t="s">
        <v>131</v>
      </c>
      <c r="N1141">
        <v>145</v>
      </c>
      <c r="O1141" s="38" t="s">
        <v>4</v>
      </c>
      <c r="P1141" s="38" t="s">
        <v>3</v>
      </c>
      <c r="Q1141">
        <v>2025</v>
      </c>
      <c r="R1141" t="s">
        <v>131</v>
      </c>
      <c r="S1141" t="s">
        <v>14</v>
      </c>
      <c r="T1141" t="s">
        <v>1367</v>
      </c>
      <c r="U1141" t="str">
        <f>IFERROR(_xlfn.XLOOKUP(A1141,'2025 EOY'!A:A,'2025 EOY'!B:B),"No")</f>
        <v>No</v>
      </c>
    </row>
    <row r="1142" spans="1:21" x14ac:dyDescent="0.35">
      <c r="A1142" t="s">
        <v>127</v>
      </c>
      <c r="B1142" s="174">
        <v>45884</v>
      </c>
      <c r="C1142" s="10" t="s">
        <v>25</v>
      </c>
      <c r="D1142" s="4" t="s">
        <v>128</v>
      </c>
      <c r="E1142" s="253">
        <v>3000</v>
      </c>
      <c r="F1142" s="172">
        <v>45930</v>
      </c>
      <c r="G1142" s="172">
        <v>45961</v>
      </c>
      <c r="H1142" s="189">
        <v>0.82</v>
      </c>
      <c r="I1142" s="192">
        <v>0.57999999999999996</v>
      </c>
      <c r="J1142" s="9">
        <v>-720</v>
      </c>
      <c r="K1142">
        <v>2460</v>
      </c>
      <c r="L1142" s="14" t="s">
        <v>78</v>
      </c>
      <c r="M1142" s="8" t="s">
        <v>131</v>
      </c>
      <c r="N1142">
        <v>1739.9999999999998</v>
      </c>
      <c r="O1142" s="38" t="s">
        <v>4</v>
      </c>
      <c r="P1142" s="38" t="s">
        <v>3</v>
      </c>
      <c r="Q1142">
        <v>2025</v>
      </c>
      <c r="R1142" t="s">
        <v>131</v>
      </c>
      <c r="S1142" t="s">
        <v>14</v>
      </c>
      <c r="T1142" t="s">
        <v>1368</v>
      </c>
      <c r="U1142" t="str">
        <f>IFERROR(_xlfn.XLOOKUP(A1142,'2025 EOY'!A:A,'2025 EOY'!B:B),"No")</f>
        <v>No</v>
      </c>
    </row>
    <row r="1143" spans="1:21" x14ac:dyDescent="0.35">
      <c r="A1143" t="s">
        <v>127</v>
      </c>
      <c r="B1143" s="174">
        <v>45884</v>
      </c>
      <c r="C1143" s="10" t="s">
        <v>25</v>
      </c>
      <c r="D1143" s="4" t="s">
        <v>128</v>
      </c>
      <c r="E1143" s="253">
        <v>-3000</v>
      </c>
      <c r="F1143" s="172">
        <v>45961</v>
      </c>
      <c r="G1143" s="172">
        <v>45991</v>
      </c>
      <c r="H1143" s="189">
        <v>0.51</v>
      </c>
      <c r="I1143" s="192">
        <v>0.28000000000000003</v>
      </c>
      <c r="J1143" s="9">
        <v>690</v>
      </c>
      <c r="K1143">
        <v>-1530</v>
      </c>
      <c r="L1143" s="14" t="s">
        <v>79</v>
      </c>
      <c r="M1143" s="8" t="s">
        <v>129</v>
      </c>
      <c r="N1143">
        <v>-840.00000000000011</v>
      </c>
      <c r="O1143" s="38" t="s">
        <v>4</v>
      </c>
      <c r="P1143" s="38" t="s">
        <v>3</v>
      </c>
      <c r="Q1143">
        <v>2025</v>
      </c>
      <c r="R1143" t="s">
        <v>129</v>
      </c>
      <c r="S1143" t="s">
        <v>14</v>
      </c>
      <c r="T1143" t="s">
        <v>1369</v>
      </c>
      <c r="U1143" t="str">
        <f>IFERROR(_xlfn.XLOOKUP(A1143,'2025 EOY'!A:A,'2025 EOY'!B:B),"No")</f>
        <v>No</v>
      </c>
    </row>
    <row r="1144" spans="1:21" x14ac:dyDescent="0.35">
      <c r="A1144" t="s">
        <v>1348</v>
      </c>
      <c r="B1144" s="174">
        <v>45887</v>
      </c>
      <c r="C1144" s="10" t="s">
        <v>10</v>
      </c>
      <c r="D1144" s="4" t="s">
        <v>128</v>
      </c>
      <c r="E1144" s="266">
        <v>500</v>
      </c>
      <c r="F1144" s="172">
        <v>45991</v>
      </c>
      <c r="G1144" s="172">
        <v>45991</v>
      </c>
      <c r="H1144" s="15">
        <v>-3.8</v>
      </c>
      <c r="I1144" s="192">
        <v>-4.6500000000000004</v>
      </c>
      <c r="J1144" s="9">
        <v>-425.00000000000028</v>
      </c>
      <c r="K1144">
        <v>-1900</v>
      </c>
      <c r="L1144" s="14" t="s">
        <v>90</v>
      </c>
      <c r="M1144" s="8" t="s">
        <v>131</v>
      </c>
      <c r="N1144">
        <v>-2325</v>
      </c>
      <c r="O1144" s="38" t="s">
        <v>11</v>
      </c>
      <c r="P1144" s="38" t="s">
        <v>10</v>
      </c>
      <c r="Q1144">
        <v>2025</v>
      </c>
      <c r="R1144" t="s">
        <v>131</v>
      </c>
      <c r="S1144" t="s">
        <v>14</v>
      </c>
      <c r="T1144" t="s">
        <v>1370</v>
      </c>
      <c r="U1144" t="str">
        <f>IFERROR(_xlfn.XLOOKUP(A1144,'2025 EOY'!A:A,'2025 EOY'!B:B),"No")</f>
        <v>No</v>
      </c>
    </row>
    <row r="1145" spans="1:21" x14ac:dyDescent="0.35">
      <c r="A1145" t="s">
        <v>1335</v>
      </c>
      <c r="B1145" s="174">
        <v>45887</v>
      </c>
      <c r="C1145" s="10" t="s">
        <v>7</v>
      </c>
      <c r="D1145" s="4" t="s">
        <v>128</v>
      </c>
      <c r="E1145" s="253">
        <v>-200</v>
      </c>
      <c r="F1145" s="172">
        <v>45961</v>
      </c>
      <c r="G1145" s="172">
        <v>45991</v>
      </c>
      <c r="H1145" s="15">
        <v>0.51500000000000001</v>
      </c>
      <c r="I1145" s="192">
        <v>0.64</v>
      </c>
      <c r="J1145" s="9">
        <v>-25</v>
      </c>
      <c r="K1145">
        <v>-103</v>
      </c>
      <c r="L1145" s="14" t="s">
        <v>79</v>
      </c>
      <c r="M1145" s="8" t="s">
        <v>129</v>
      </c>
      <c r="N1145">
        <v>-128</v>
      </c>
      <c r="O1145" s="38" t="s">
        <v>4</v>
      </c>
      <c r="P1145" s="38" t="s">
        <v>7</v>
      </c>
      <c r="Q1145">
        <v>2025</v>
      </c>
      <c r="R1145" t="s">
        <v>129</v>
      </c>
      <c r="S1145" t="s">
        <v>14</v>
      </c>
      <c r="T1145" t="s">
        <v>1371</v>
      </c>
      <c r="U1145" t="str">
        <f>IFERROR(_xlfn.XLOOKUP(A1145,'2025 EOY'!A:A,'2025 EOY'!B:B),"No")</f>
        <v>No</v>
      </c>
    </row>
    <row r="1146" spans="1:21" x14ac:dyDescent="0.35">
      <c r="A1146" t="s">
        <v>1335</v>
      </c>
      <c r="B1146" s="174">
        <v>45887</v>
      </c>
      <c r="C1146" s="10" t="s">
        <v>7</v>
      </c>
      <c r="D1146" s="4" t="s">
        <v>128</v>
      </c>
      <c r="E1146" s="253">
        <v>-200</v>
      </c>
      <c r="F1146" s="172">
        <v>45991</v>
      </c>
      <c r="G1146" s="172">
        <v>46022</v>
      </c>
      <c r="H1146" s="15">
        <v>0.51500000000000001</v>
      </c>
      <c r="I1146" s="192">
        <v>0.99</v>
      </c>
      <c r="J1146" s="9">
        <v>-95</v>
      </c>
      <c r="K1146">
        <v>-103</v>
      </c>
      <c r="L1146" s="14" t="s">
        <v>13</v>
      </c>
      <c r="M1146" s="8" t="s">
        <v>129</v>
      </c>
      <c r="N1146">
        <v>-198</v>
      </c>
      <c r="O1146" s="38" t="s">
        <v>4</v>
      </c>
      <c r="P1146" s="38" t="s">
        <v>7</v>
      </c>
      <c r="Q1146">
        <v>2025</v>
      </c>
      <c r="R1146" t="s">
        <v>129</v>
      </c>
      <c r="S1146" t="s">
        <v>14</v>
      </c>
      <c r="T1146" t="s">
        <v>1372</v>
      </c>
      <c r="U1146" t="str">
        <f>IFERROR(_xlfn.XLOOKUP(A1146,'2025 EOY'!A:A,'2025 EOY'!B:B),"No")</f>
        <v>No</v>
      </c>
    </row>
    <row r="1147" spans="1:21" x14ac:dyDescent="0.35">
      <c r="A1147" t="s">
        <v>1335</v>
      </c>
      <c r="B1147" s="174">
        <v>45888</v>
      </c>
      <c r="C1147" s="10" t="s">
        <v>3</v>
      </c>
      <c r="D1147" s="4" t="s">
        <v>128</v>
      </c>
      <c r="E1147" s="253">
        <v>1000</v>
      </c>
      <c r="F1147" s="172">
        <v>45930</v>
      </c>
      <c r="G1147" s="172">
        <v>45961</v>
      </c>
      <c r="H1147" s="189">
        <v>0.59</v>
      </c>
      <c r="I1147" s="192">
        <v>0.57999999999999996</v>
      </c>
      <c r="J1147" s="9">
        <v>-10.000000000000009</v>
      </c>
      <c r="K1147">
        <v>590</v>
      </c>
      <c r="L1147" s="14" t="s">
        <v>78</v>
      </c>
      <c r="M1147" s="8" t="s">
        <v>131</v>
      </c>
      <c r="N1147">
        <v>580</v>
      </c>
      <c r="O1147" s="38" t="s">
        <v>4</v>
      </c>
      <c r="P1147" s="38" t="s">
        <v>3</v>
      </c>
      <c r="Q1147">
        <v>2025</v>
      </c>
      <c r="R1147" t="s">
        <v>131</v>
      </c>
      <c r="S1147" t="s">
        <v>14</v>
      </c>
      <c r="T1147" t="s">
        <v>1373</v>
      </c>
      <c r="U1147" t="str">
        <f>IFERROR(_xlfn.XLOOKUP(A1147,'2025 EOY'!A:A,'2025 EOY'!B:B),"No")</f>
        <v>No</v>
      </c>
    </row>
    <row r="1148" spans="1:21" x14ac:dyDescent="0.35">
      <c r="A1148" t="s">
        <v>1335</v>
      </c>
      <c r="B1148" s="174">
        <v>45888</v>
      </c>
      <c r="C1148" s="10" t="s">
        <v>3</v>
      </c>
      <c r="D1148" s="4" t="s">
        <v>128</v>
      </c>
      <c r="E1148" s="253">
        <v>641</v>
      </c>
      <c r="F1148" s="172">
        <v>45930</v>
      </c>
      <c r="G1148" s="172">
        <v>45961</v>
      </c>
      <c r="H1148" s="189">
        <v>0.59</v>
      </c>
      <c r="I1148" s="192">
        <v>0.57999999999999996</v>
      </c>
      <c r="J1148" s="9">
        <v>-6.4100000000000055</v>
      </c>
      <c r="K1148">
        <v>378.19</v>
      </c>
      <c r="L1148" s="14" t="s">
        <v>78</v>
      </c>
      <c r="M1148" s="8" t="s">
        <v>131</v>
      </c>
      <c r="N1148">
        <v>371.78</v>
      </c>
      <c r="O1148" s="38" t="s">
        <v>4</v>
      </c>
      <c r="P1148" s="38" t="s">
        <v>3</v>
      </c>
      <c r="Q1148">
        <v>2025</v>
      </c>
      <c r="R1148" t="s">
        <v>131</v>
      </c>
      <c r="S1148" t="s">
        <v>14</v>
      </c>
      <c r="T1148" t="s">
        <v>1374</v>
      </c>
      <c r="U1148" t="str">
        <f>IFERROR(_xlfn.XLOOKUP(A1148,'2025 EOY'!A:A,'2025 EOY'!B:B),"No")</f>
        <v>No</v>
      </c>
    </row>
    <row r="1149" spans="1:21" x14ac:dyDescent="0.35">
      <c r="A1149" t="s">
        <v>1335</v>
      </c>
      <c r="B1149" s="174">
        <v>45889</v>
      </c>
      <c r="C1149" s="10" t="s">
        <v>3</v>
      </c>
      <c r="D1149" s="4" t="s">
        <v>128</v>
      </c>
      <c r="E1149" s="253">
        <v>262</v>
      </c>
      <c r="F1149" s="172">
        <v>45930</v>
      </c>
      <c r="G1149" s="172">
        <v>45961</v>
      </c>
      <c r="H1149" s="189">
        <v>0.56000000000000005</v>
      </c>
      <c r="I1149" s="192">
        <v>0.57999999999999996</v>
      </c>
      <c r="J1149" s="9">
        <v>5.2399999999999753</v>
      </c>
      <c r="K1149">
        <v>146.72000000000003</v>
      </c>
      <c r="L1149" s="14" t="s">
        <v>78</v>
      </c>
      <c r="M1149" s="8" t="s">
        <v>131</v>
      </c>
      <c r="N1149">
        <v>151.95999999999998</v>
      </c>
      <c r="O1149" s="38" t="s">
        <v>4</v>
      </c>
      <c r="P1149" s="38" t="s">
        <v>3</v>
      </c>
      <c r="Q1149">
        <v>2025</v>
      </c>
      <c r="R1149" t="s">
        <v>131</v>
      </c>
      <c r="S1149" t="s">
        <v>14</v>
      </c>
      <c r="T1149" t="s">
        <v>1375</v>
      </c>
      <c r="U1149" t="str">
        <f>IFERROR(_xlfn.XLOOKUP(A1149,'2025 EOY'!A:A,'2025 EOY'!B:B),"No")</f>
        <v>No</v>
      </c>
    </row>
    <row r="1150" spans="1:21" x14ac:dyDescent="0.35">
      <c r="A1150" t="s">
        <v>127</v>
      </c>
      <c r="B1150" s="174">
        <v>45889</v>
      </c>
      <c r="C1150" s="10" t="s">
        <v>7</v>
      </c>
      <c r="D1150" s="4" t="s">
        <v>128</v>
      </c>
      <c r="E1150" s="253">
        <v>-1000</v>
      </c>
      <c r="F1150" s="172">
        <v>45961</v>
      </c>
      <c r="G1150" s="172">
        <v>45991</v>
      </c>
      <c r="H1150" s="15">
        <v>0.47499999999999998</v>
      </c>
      <c r="I1150" s="192">
        <v>0.64</v>
      </c>
      <c r="J1150" s="9">
        <v>-165.00000000000003</v>
      </c>
      <c r="K1150">
        <v>-475</v>
      </c>
      <c r="L1150" s="14" t="s">
        <v>79</v>
      </c>
      <c r="M1150" s="8" t="s">
        <v>129</v>
      </c>
      <c r="N1150">
        <v>-640</v>
      </c>
      <c r="O1150" s="38" t="s">
        <v>4</v>
      </c>
      <c r="P1150" s="38" t="s">
        <v>7</v>
      </c>
      <c r="Q1150">
        <v>2025</v>
      </c>
      <c r="R1150" t="s">
        <v>129</v>
      </c>
      <c r="S1150" t="s">
        <v>14</v>
      </c>
      <c r="T1150" t="s">
        <v>1376</v>
      </c>
      <c r="U1150" t="str">
        <f>IFERROR(_xlfn.XLOOKUP(A1150,'2025 EOY'!A:A,'2025 EOY'!B:B),"No")</f>
        <v>No</v>
      </c>
    </row>
    <row r="1151" spans="1:21" x14ac:dyDescent="0.35">
      <c r="A1151" t="s">
        <v>127</v>
      </c>
      <c r="B1151" s="174">
        <v>45889</v>
      </c>
      <c r="C1151" s="10" t="s">
        <v>7</v>
      </c>
      <c r="D1151" s="4" t="s">
        <v>128</v>
      </c>
      <c r="E1151" s="253">
        <v>-1000</v>
      </c>
      <c r="F1151" s="172">
        <v>45991</v>
      </c>
      <c r="G1151" s="172">
        <v>46022</v>
      </c>
      <c r="H1151" s="15">
        <v>0.47499999999999998</v>
      </c>
      <c r="I1151" s="192">
        <v>0.99</v>
      </c>
      <c r="J1151" s="9">
        <v>-515</v>
      </c>
      <c r="K1151">
        <v>-475</v>
      </c>
      <c r="L1151" s="14" t="s">
        <v>13</v>
      </c>
      <c r="M1151" s="8" t="s">
        <v>129</v>
      </c>
      <c r="N1151">
        <v>-990</v>
      </c>
      <c r="O1151" s="38" t="s">
        <v>4</v>
      </c>
      <c r="P1151" s="38" t="s">
        <v>7</v>
      </c>
      <c r="Q1151">
        <v>2025</v>
      </c>
      <c r="R1151" t="s">
        <v>129</v>
      </c>
      <c r="S1151" t="s">
        <v>14</v>
      </c>
      <c r="T1151" t="s">
        <v>1377</v>
      </c>
      <c r="U1151" t="str">
        <f>IFERROR(_xlfn.XLOOKUP(A1151,'2025 EOY'!A:A,'2025 EOY'!B:B),"No")</f>
        <v>No</v>
      </c>
    </row>
    <row r="1152" spans="1:21" x14ac:dyDescent="0.35">
      <c r="A1152" t="s">
        <v>127</v>
      </c>
      <c r="B1152" s="174">
        <v>45890</v>
      </c>
      <c r="C1152" s="10" t="s">
        <v>7</v>
      </c>
      <c r="D1152" s="4" t="s">
        <v>128</v>
      </c>
      <c r="E1152" s="253">
        <v>1000</v>
      </c>
      <c r="F1152" s="172">
        <v>45961</v>
      </c>
      <c r="G1152" s="172">
        <v>45991</v>
      </c>
      <c r="H1152" s="15">
        <v>0.47499999999999998</v>
      </c>
      <c r="I1152" s="192">
        <v>0.64</v>
      </c>
      <c r="J1152" s="9">
        <v>165.00000000000003</v>
      </c>
      <c r="K1152">
        <v>475</v>
      </c>
      <c r="L1152" s="14" t="s">
        <v>79</v>
      </c>
      <c r="M1152" s="8" t="s">
        <v>131</v>
      </c>
      <c r="N1152">
        <v>640</v>
      </c>
      <c r="O1152" s="38" t="s">
        <v>4</v>
      </c>
      <c r="P1152" s="38" t="s">
        <v>7</v>
      </c>
      <c r="Q1152">
        <v>2025</v>
      </c>
      <c r="R1152" t="s">
        <v>131</v>
      </c>
      <c r="S1152" t="s">
        <v>14</v>
      </c>
      <c r="T1152" t="s">
        <v>1378</v>
      </c>
      <c r="U1152" t="str">
        <f>IFERROR(_xlfn.XLOOKUP(A1152,'2025 EOY'!A:A,'2025 EOY'!B:B),"No")</f>
        <v>No</v>
      </c>
    </row>
    <row r="1153" spans="1:23" x14ac:dyDescent="0.35">
      <c r="A1153" t="s">
        <v>127</v>
      </c>
      <c r="B1153" s="174">
        <v>45890</v>
      </c>
      <c r="C1153" s="10" t="s">
        <v>7</v>
      </c>
      <c r="D1153" s="4" t="s">
        <v>128</v>
      </c>
      <c r="E1153" s="253">
        <v>1000</v>
      </c>
      <c r="F1153" s="172">
        <v>45991</v>
      </c>
      <c r="G1153" s="172">
        <v>46022</v>
      </c>
      <c r="H1153" s="15">
        <v>0.47499999999999998</v>
      </c>
      <c r="I1153" s="192">
        <v>0.99</v>
      </c>
      <c r="J1153" s="9">
        <v>515</v>
      </c>
      <c r="K1153">
        <v>475</v>
      </c>
      <c r="L1153" s="14" t="s">
        <v>13</v>
      </c>
      <c r="M1153" s="8" t="s">
        <v>131</v>
      </c>
      <c r="N1153">
        <v>990</v>
      </c>
      <c r="O1153" s="38" t="s">
        <v>4</v>
      </c>
      <c r="P1153" s="38" t="s">
        <v>7</v>
      </c>
      <c r="Q1153">
        <v>2025</v>
      </c>
      <c r="R1153" t="s">
        <v>131</v>
      </c>
      <c r="S1153" t="s">
        <v>14</v>
      </c>
      <c r="T1153" t="s">
        <v>1379</v>
      </c>
      <c r="U1153" t="str">
        <f>IFERROR(_xlfn.XLOOKUP(A1153,'2025 EOY'!A:A,'2025 EOY'!B:B),"No")</f>
        <v>No</v>
      </c>
    </row>
    <row r="1154" spans="1:23" x14ac:dyDescent="0.35">
      <c r="A1154" t="s">
        <v>127</v>
      </c>
      <c r="B1154" s="174">
        <v>45890</v>
      </c>
      <c r="C1154" s="10" t="s">
        <v>3</v>
      </c>
      <c r="D1154" s="4" t="s">
        <v>128</v>
      </c>
      <c r="E1154" s="253">
        <v>1500</v>
      </c>
      <c r="F1154" s="172">
        <v>45961</v>
      </c>
      <c r="G1154" s="172">
        <v>45991</v>
      </c>
      <c r="H1154" s="189">
        <v>0.35</v>
      </c>
      <c r="I1154" s="192">
        <v>0.28000000000000003</v>
      </c>
      <c r="J1154" s="9">
        <v>-104.99999999999993</v>
      </c>
      <c r="K1154">
        <v>525</v>
      </c>
      <c r="L1154" s="14" t="s">
        <v>79</v>
      </c>
      <c r="M1154" s="8" t="s">
        <v>131</v>
      </c>
      <c r="N1154">
        <v>420.00000000000006</v>
      </c>
      <c r="O1154" s="38" t="s">
        <v>4</v>
      </c>
      <c r="P1154" s="38" t="s">
        <v>3</v>
      </c>
      <c r="Q1154">
        <v>2025</v>
      </c>
      <c r="R1154" t="s">
        <v>131</v>
      </c>
      <c r="S1154" t="s">
        <v>14</v>
      </c>
      <c r="T1154" t="s">
        <v>1380</v>
      </c>
      <c r="U1154" t="str">
        <f>IFERROR(_xlfn.XLOOKUP(A1154,'2025 EOY'!A:A,'2025 EOY'!B:B),"No")</f>
        <v>No</v>
      </c>
    </row>
    <row r="1155" spans="1:23" x14ac:dyDescent="0.35">
      <c r="A1155" t="s">
        <v>127</v>
      </c>
      <c r="B1155" s="174">
        <v>45890</v>
      </c>
      <c r="C1155" s="10" t="s">
        <v>3</v>
      </c>
      <c r="D1155" s="4" t="s">
        <v>128</v>
      </c>
      <c r="E1155" s="253">
        <v>1500</v>
      </c>
      <c r="F1155" s="172">
        <v>45991</v>
      </c>
      <c r="G1155" s="172">
        <v>46022</v>
      </c>
      <c r="H1155" s="189">
        <v>0.35</v>
      </c>
      <c r="I1155" s="192">
        <v>0.5</v>
      </c>
      <c r="J1155" s="9">
        <v>225.00000000000003</v>
      </c>
      <c r="K1155">
        <v>525</v>
      </c>
      <c r="L1155" s="14" t="s">
        <v>13</v>
      </c>
      <c r="M1155" s="8" t="s">
        <v>131</v>
      </c>
      <c r="N1155">
        <v>750</v>
      </c>
      <c r="O1155" s="38" t="s">
        <v>4</v>
      </c>
      <c r="P1155" s="38" t="s">
        <v>3</v>
      </c>
      <c r="Q1155">
        <v>2025</v>
      </c>
      <c r="R1155" t="s">
        <v>131</v>
      </c>
      <c r="S1155" t="s">
        <v>14</v>
      </c>
      <c r="T1155" t="s">
        <v>1381</v>
      </c>
      <c r="U1155" t="str">
        <f>IFERROR(_xlfn.XLOOKUP(A1155,'2025 EOY'!A:A,'2025 EOY'!B:B),"No")</f>
        <v>No</v>
      </c>
    </row>
    <row r="1156" spans="1:23" x14ac:dyDescent="0.35">
      <c r="A1156" t="s">
        <v>127</v>
      </c>
      <c r="B1156" s="174">
        <v>45890</v>
      </c>
      <c r="C1156" s="10" t="s">
        <v>15</v>
      </c>
      <c r="D1156" s="4" t="s">
        <v>128</v>
      </c>
      <c r="E1156" s="253">
        <v>1700</v>
      </c>
      <c r="F1156" s="173">
        <v>45930</v>
      </c>
      <c r="G1156" s="172">
        <v>45930</v>
      </c>
      <c r="H1156" s="15">
        <v>0.70940000000000003</v>
      </c>
      <c r="I1156" s="191">
        <v>0.49</v>
      </c>
      <c r="J1156" s="9">
        <v>-372.98000000000008</v>
      </c>
      <c r="K1156">
        <v>1205.98</v>
      </c>
      <c r="L1156" s="14" t="s">
        <v>86</v>
      </c>
      <c r="M1156" s="8" t="s">
        <v>131</v>
      </c>
      <c r="N1156">
        <v>833</v>
      </c>
      <c r="O1156" s="38" t="s">
        <v>11</v>
      </c>
      <c r="P1156" s="38" t="s">
        <v>16</v>
      </c>
      <c r="Q1156">
        <v>2025</v>
      </c>
      <c r="R1156" t="s">
        <v>131</v>
      </c>
      <c r="S1156" t="s">
        <v>14</v>
      </c>
      <c r="T1156" t="s">
        <v>1382</v>
      </c>
      <c r="U1156" t="str">
        <f>IFERROR(_xlfn.XLOOKUP(A1156,'2025 EOY'!A:A,'2025 EOY'!B:B),"No")</f>
        <v>No</v>
      </c>
    </row>
    <row r="1157" spans="1:23" x14ac:dyDescent="0.35">
      <c r="A1157" s="37" t="s">
        <v>127</v>
      </c>
      <c r="B1157" s="12">
        <v>45890</v>
      </c>
      <c r="C1157" s="47" t="s">
        <v>36</v>
      </c>
      <c r="D1157" s="10" t="s">
        <v>128</v>
      </c>
      <c r="E1157" s="265">
        <v>499.99999999999977</v>
      </c>
      <c r="F1157" s="172">
        <v>45930</v>
      </c>
      <c r="G1157" s="172">
        <v>45930</v>
      </c>
      <c r="H1157" s="212">
        <v>166</v>
      </c>
      <c r="I1157" s="206">
        <v>162</v>
      </c>
      <c r="J1157" s="9">
        <v>-39.999999999999986</v>
      </c>
      <c r="K1157">
        <v>82999.999999999956</v>
      </c>
      <c r="L1157" s="14" t="s">
        <v>86</v>
      </c>
      <c r="M1157" s="8" t="s">
        <v>131</v>
      </c>
      <c r="N1157">
        <v>80999.999999999956</v>
      </c>
      <c r="O1157" s="38" t="s">
        <v>29</v>
      </c>
      <c r="P1157" s="38" t="s">
        <v>29</v>
      </c>
      <c r="Q1157">
        <v>2025</v>
      </c>
      <c r="R1157" t="s">
        <v>131</v>
      </c>
      <c r="S1157" t="s">
        <v>14</v>
      </c>
      <c r="T1157" t="s">
        <v>1383</v>
      </c>
      <c r="U1157" t="str">
        <f>IFERROR(_xlfn.XLOOKUP(A1157,'2025 EOY'!A:A,'2025 EOY'!B:B),"No")</f>
        <v>No</v>
      </c>
    </row>
    <row r="1158" spans="1:23" x14ac:dyDescent="0.35">
      <c r="A1158" t="s">
        <v>127</v>
      </c>
      <c r="B1158" s="174">
        <v>45891</v>
      </c>
      <c r="C1158" s="10" t="s">
        <v>7</v>
      </c>
      <c r="D1158" s="4" t="s">
        <v>128</v>
      </c>
      <c r="E1158" s="253">
        <v>887</v>
      </c>
      <c r="F1158" s="172">
        <v>45961</v>
      </c>
      <c r="G1158" s="172">
        <v>45991</v>
      </c>
      <c r="H1158" s="15">
        <v>0.4965</v>
      </c>
      <c r="I1158" s="192">
        <v>0.64</v>
      </c>
      <c r="J1158" s="9">
        <v>127.28450000000001</v>
      </c>
      <c r="K1158">
        <v>440.39549999999997</v>
      </c>
      <c r="L1158" s="14" t="s">
        <v>79</v>
      </c>
      <c r="M1158" s="8" t="s">
        <v>131</v>
      </c>
      <c r="N1158">
        <v>567.68000000000006</v>
      </c>
      <c r="O1158" s="38" t="s">
        <v>4</v>
      </c>
      <c r="P1158" s="38" t="s">
        <v>7</v>
      </c>
      <c r="Q1158">
        <v>2025</v>
      </c>
      <c r="R1158" t="s">
        <v>131</v>
      </c>
      <c r="S1158" t="s">
        <v>14</v>
      </c>
      <c r="T1158" t="s">
        <v>1384</v>
      </c>
      <c r="U1158" t="str">
        <f>IFERROR(_xlfn.XLOOKUP(A1158,'2025 EOY'!A:A,'2025 EOY'!B:B),"No")</f>
        <v>No</v>
      </c>
    </row>
    <row r="1159" spans="1:23" x14ac:dyDescent="0.35">
      <c r="A1159" t="s">
        <v>127</v>
      </c>
      <c r="B1159" s="174">
        <v>45891</v>
      </c>
      <c r="C1159" s="10" t="s">
        <v>7</v>
      </c>
      <c r="D1159" s="4" t="s">
        <v>128</v>
      </c>
      <c r="E1159" s="253">
        <v>887</v>
      </c>
      <c r="F1159" s="172">
        <v>45991</v>
      </c>
      <c r="G1159" s="172">
        <v>46022</v>
      </c>
      <c r="H1159" s="15">
        <v>0.4965</v>
      </c>
      <c r="I1159" s="192">
        <v>0.99</v>
      </c>
      <c r="J1159" s="9">
        <v>437.73449999999997</v>
      </c>
      <c r="K1159">
        <v>440.39549999999997</v>
      </c>
      <c r="L1159" s="14" t="s">
        <v>13</v>
      </c>
      <c r="M1159" s="8" t="s">
        <v>131</v>
      </c>
      <c r="N1159">
        <v>878.13</v>
      </c>
      <c r="O1159" s="38" t="s">
        <v>4</v>
      </c>
      <c r="P1159" s="38" t="s">
        <v>7</v>
      </c>
      <c r="Q1159">
        <v>2025</v>
      </c>
      <c r="R1159" t="s">
        <v>131</v>
      </c>
      <c r="S1159" t="s">
        <v>14</v>
      </c>
      <c r="T1159" t="s">
        <v>1385</v>
      </c>
      <c r="U1159" t="str">
        <f>IFERROR(_xlfn.XLOOKUP(A1159,'2025 EOY'!A:A,'2025 EOY'!B:B),"No")</f>
        <v>No</v>
      </c>
    </row>
    <row r="1160" spans="1:23" x14ac:dyDescent="0.35">
      <c r="A1160" t="s">
        <v>127</v>
      </c>
      <c r="B1160" s="174">
        <v>45895</v>
      </c>
      <c r="C1160" s="4" t="s">
        <v>22</v>
      </c>
      <c r="D1160" s="4" t="s">
        <v>128</v>
      </c>
      <c r="E1160" s="253">
        <v>-200</v>
      </c>
      <c r="F1160" t="s">
        <v>1386</v>
      </c>
      <c r="G1160" s="190">
        <v>45930</v>
      </c>
      <c r="H1160" s="15">
        <v>0.4</v>
      </c>
      <c r="I1160" s="191">
        <v>0.41200000000000003</v>
      </c>
      <c r="J1160" s="9">
        <v>-2.4000000000000021</v>
      </c>
      <c r="K1160">
        <v>-80</v>
      </c>
      <c r="L1160" s="14" t="s">
        <v>91</v>
      </c>
      <c r="M1160" s="8" t="s">
        <v>131</v>
      </c>
      <c r="N1160">
        <v>397.59999999999997</v>
      </c>
      <c r="O1160" s="38" t="s">
        <v>11</v>
      </c>
      <c r="P1160" s="38" t="s">
        <v>16</v>
      </c>
      <c r="Q1160">
        <v>2025</v>
      </c>
      <c r="R1160" t="s">
        <v>129</v>
      </c>
      <c r="S1160" t="s">
        <v>14</v>
      </c>
      <c r="T1160" t="s">
        <v>1387</v>
      </c>
      <c r="U1160" t="str">
        <f>IFERROR(_xlfn.XLOOKUP(A1160,'2025 EOY'!A:A,'2025 EOY'!B:B),"No")</f>
        <v>No</v>
      </c>
    </row>
    <row r="1161" spans="1:23" x14ac:dyDescent="0.35">
      <c r="A1161" t="s">
        <v>127</v>
      </c>
      <c r="B1161" s="174">
        <v>45895</v>
      </c>
      <c r="C1161" s="4" t="s">
        <v>22</v>
      </c>
      <c r="D1161" s="4" t="s">
        <v>128</v>
      </c>
      <c r="E1161" s="253">
        <v>-200</v>
      </c>
      <c r="F1161" t="s">
        <v>1388</v>
      </c>
      <c r="G1161" s="190">
        <v>45930</v>
      </c>
      <c r="H1161" s="15">
        <v>0.4</v>
      </c>
      <c r="I1161" s="191">
        <v>-3.4999999999999996E-2</v>
      </c>
      <c r="J1161" s="9">
        <v>87</v>
      </c>
      <c r="K1161">
        <v>-80</v>
      </c>
      <c r="L1161" s="14" t="s">
        <v>92</v>
      </c>
      <c r="M1161" s="8" t="s">
        <v>131</v>
      </c>
      <c r="N1161">
        <v>397.59999999999997</v>
      </c>
      <c r="O1161" s="38" t="s">
        <v>11</v>
      </c>
      <c r="P1161" s="38" t="s">
        <v>16</v>
      </c>
      <c r="Q1161">
        <v>2025</v>
      </c>
      <c r="R1161" t="s">
        <v>129</v>
      </c>
      <c r="S1161" t="s">
        <v>14</v>
      </c>
      <c r="T1161" t="s">
        <v>1389</v>
      </c>
      <c r="U1161" t="str">
        <f>IFERROR(_xlfn.XLOOKUP(A1161,'2025 EOY'!A:A,'2025 EOY'!B:B),"No")</f>
        <v>No</v>
      </c>
    </row>
    <row r="1162" spans="1:23" x14ac:dyDescent="0.35">
      <c r="A1162" t="s">
        <v>127</v>
      </c>
      <c r="B1162" s="174">
        <v>45895</v>
      </c>
      <c r="C1162" s="4" t="s">
        <v>22</v>
      </c>
      <c r="D1162" s="4" t="s">
        <v>128</v>
      </c>
      <c r="E1162" s="253">
        <v>-200</v>
      </c>
      <c r="F1162" t="s">
        <v>1390</v>
      </c>
      <c r="G1162" s="190">
        <v>45930</v>
      </c>
      <c r="H1162" s="15">
        <v>0.4</v>
      </c>
      <c r="I1162" s="191">
        <v>0.221</v>
      </c>
      <c r="J1162" s="9">
        <v>35.800000000000004</v>
      </c>
      <c r="K1162">
        <v>-80</v>
      </c>
      <c r="L1162" s="14" t="s">
        <v>93</v>
      </c>
      <c r="M1162" s="8" t="s">
        <v>131</v>
      </c>
      <c r="N1162">
        <v>397.59999999999997</v>
      </c>
      <c r="O1162" s="38" t="s">
        <v>11</v>
      </c>
      <c r="P1162" s="38" t="s">
        <v>16</v>
      </c>
      <c r="Q1162">
        <v>2025</v>
      </c>
      <c r="R1162" t="s">
        <v>129</v>
      </c>
      <c r="S1162" t="s">
        <v>14</v>
      </c>
      <c r="T1162" t="s">
        <v>1391</v>
      </c>
      <c r="U1162" t="str">
        <f>IFERROR(_xlfn.XLOOKUP(A1162,'2025 EOY'!A:A,'2025 EOY'!B:B),"No")</f>
        <v>No</v>
      </c>
    </row>
    <row r="1163" spans="1:23" x14ac:dyDescent="0.35">
      <c r="A1163" t="s">
        <v>127</v>
      </c>
      <c r="B1163" s="174">
        <v>45895</v>
      </c>
      <c r="C1163" s="10" t="s">
        <v>15</v>
      </c>
      <c r="D1163" s="4" t="s">
        <v>128</v>
      </c>
      <c r="E1163" s="253">
        <v>-500</v>
      </c>
      <c r="F1163" s="173">
        <v>45930</v>
      </c>
      <c r="G1163" s="172">
        <v>45930</v>
      </c>
      <c r="H1163" s="15">
        <v>0.56999999999999995</v>
      </c>
      <c r="I1163" s="191">
        <v>0.49</v>
      </c>
      <c r="J1163" s="9">
        <v>39.999999999999979</v>
      </c>
      <c r="K1163">
        <v>-285</v>
      </c>
      <c r="L1163" s="14" t="s">
        <v>86</v>
      </c>
      <c r="M1163" s="8" t="s">
        <v>129</v>
      </c>
      <c r="N1163">
        <v>-245</v>
      </c>
      <c r="O1163" s="38" t="s">
        <v>11</v>
      </c>
      <c r="P1163" s="38" t="s">
        <v>16</v>
      </c>
      <c r="Q1163">
        <v>2025</v>
      </c>
      <c r="R1163" t="s">
        <v>129</v>
      </c>
      <c r="S1163" t="s">
        <v>14</v>
      </c>
      <c r="T1163" t="s">
        <v>1392</v>
      </c>
      <c r="U1163" t="str">
        <f>IFERROR(_xlfn.XLOOKUP(A1163,'2025 EOY'!A:A,'2025 EOY'!B:B),"No")</f>
        <v>No</v>
      </c>
    </row>
    <row r="1164" spans="1:23" x14ac:dyDescent="0.35">
      <c r="A1164" s="37" t="s">
        <v>1393</v>
      </c>
      <c r="B1164" s="174">
        <v>45895</v>
      </c>
      <c r="C1164" s="10" t="s">
        <v>19</v>
      </c>
      <c r="D1164" s="4" t="s">
        <v>268</v>
      </c>
      <c r="E1164" s="264">
        <v>700</v>
      </c>
      <c r="F1164" s="172">
        <v>45930</v>
      </c>
      <c r="G1164" s="172">
        <v>45930</v>
      </c>
      <c r="H1164" s="120">
        <v>0.47999999999999954</v>
      </c>
      <c r="I1164" s="192">
        <v>-0.01</v>
      </c>
      <c r="J1164" s="9">
        <v>-342.99999999999966</v>
      </c>
      <c r="K1164">
        <v>335.99999999999966</v>
      </c>
      <c r="L1164" s="14" t="s">
        <v>86</v>
      </c>
      <c r="M1164" s="8" t="s">
        <v>131</v>
      </c>
      <c r="N1164">
        <v>-7</v>
      </c>
      <c r="O1164" s="38" t="s">
        <v>19</v>
      </c>
      <c r="P1164" s="38" t="s">
        <v>19</v>
      </c>
      <c r="Q1164">
        <v>2025</v>
      </c>
      <c r="R1164" t="s">
        <v>131</v>
      </c>
      <c r="S1164" t="s">
        <v>96</v>
      </c>
      <c r="T1164" t="s">
        <v>1394</v>
      </c>
      <c r="U1164" t="str">
        <f>IFERROR(_xlfn.XLOOKUP(A1164,'2025 EOY'!A:A,'2025 EOY'!B:B),"No")</f>
        <v>No</v>
      </c>
    </row>
    <row r="1165" spans="1:23" x14ac:dyDescent="0.35">
      <c r="A1165" s="37" t="s">
        <v>1393</v>
      </c>
      <c r="B1165" s="174">
        <v>45895</v>
      </c>
      <c r="C1165" s="10" t="s">
        <v>10</v>
      </c>
      <c r="D1165" s="4" t="s">
        <v>268</v>
      </c>
      <c r="E1165" s="265">
        <v>-700</v>
      </c>
      <c r="F1165" s="172">
        <v>45961</v>
      </c>
      <c r="G1165" s="172">
        <v>45961</v>
      </c>
      <c r="H1165" s="120">
        <v>-3.95</v>
      </c>
      <c r="I1165" s="192">
        <v>-4.1100000000000003</v>
      </c>
      <c r="J1165" s="9">
        <v>112.0000000000001</v>
      </c>
      <c r="K1165">
        <v>2765</v>
      </c>
      <c r="L1165" s="14" t="s">
        <v>89</v>
      </c>
      <c r="M1165" s="8" t="s">
        <v>129</v>
      </c>
      <c r="N1165">
        <v>2877</v>
      </c>
      <c r="O1165" s="38" t="s">
        <v>11</v>
      </c>
      <c r="P1165" s="38" t="s">
        <v>10</v>
      </c>
      <c r="Q1165">
        <v>2025</v>
      </c>
      <c r="R1165" t="s">
        <v>129</v>
      </c>
      <c r="S1165" t="s">
        <v>14</v>
      </c>
      <c r="T1165" t="s">
        <v>1395</v>
      </c>
      <c r="U1165" t="str">
        <f>IFERROR(_xlfn.XLOOKUP(A1165,'2025 EOY'!A:A,'2025 EOY'!B:B),"No")</f>
        <v>No</v>
      </c>
      <c r="V1165" s="4"/>
      <c r="W1165" s="4"/>
    </row>
    <row r="1166" spans="1:23" x14ac:dyDescent="0.35">
      <c r="A1166" s="37" t="s">
        <v>1393</v>
      </c>
      <c r="B1166" s="174">
        <v>45895</v>
      </c>
      <c r="C1166" s="47" t="s">
        <v>36</v>
      </c>
      <c r="D1166" s="10" t="s">
        <v>268</v>
      </c>
      <c r="E1166" s="265">
        <v>-700</v>
      </c>
      <c r="F1166" s="172">
        <v>45930</v>
      </c>
      <c r="G1166" s="172">
        <v>45930</v>
      </c>
      <c r="H1166" s="212">
        <v>166</v>
      </c>
      <c r="I1166" s="206">
        <v>162</v>
      </c>
      <c r="J1166" s="9">
        <v>56</v>
      </c>
      <c r="K1166">
        <v>-116200</v>
      </c>
      <c r="L1166" s="14" t="s">
        <v>86</v>
      </c>
      <c r="M1166" s="8" t="s">
        <v>129</v>
      </c>
      <c r="N1166">
        <v>-113400</v>
      </c>
      <c r="O1166" s="38" t="s">
        <v>29</v>
      </c>
      <c r="P1166" s="38" t="s">
        <v>29</v>
      </c>
      <c r="Q1166">
        <v>2025</v>
      </c>
      <c r="R1166" t="s">
        <v>129</v>
      </c>
      <c r="S1166" t="s">
        <v>14</v>
      </c>
      <c r="T1166" t="s">
        <v>1396</v>
      </c>
      <c r="U1166" t="str">
        <f>IFERROR(_xlfn.XLOOKUP(A1166,'2025 EOY'!A:A,'2025 EOY'!B:B),"No")</f>
        <v>No</v>
      </c>
      <c r="V1166" s="4"/>
      <c r="W1166" s="4"/>
    </row>
    <row r="1167" spans="1:23" x14ac:dyDescent="0.35">
      <c r="A1167" s="37" t="s">
        <v>1393</v>
      </c>
      <c r="B1167" s="174">
        <v>45895</v>
      </c>
      <c r="C1167" s="47" t="s">
        <v>36</v>
      </c>
      <c r="D1167" s="10" t="s">
        <v>128</v>
      </c>
      <c r="E1167" s="265">
        <v>700</v>
      </c>
      <c r="F1167" s="172">
        <v>45930</v>
      </c>
      <c r="G1167" s="172">
        <v>45930</v>
      </c>
      <c r="H1167" s="212">
        <v>175</v>
      </c>
      <c r="I1167" s="206">
        <v>162</v>
      </c>
      <c r="J1167" s="9">
        <v>-182</v>
      </c>
      <c r="K1167">
        <v>122500</v>
      </c>
      <c r="L1167" s="14" t="s">
        <v>86</v>
      </c>
      <c r="M1167" s="8" t="s">
        <v>131</v>
      </c>
      <c r="N1167">
        <v>113400</v>
      </c>
      <c r="O1167" s="38" t="s">
        <v>29</v>
      </c>
      <c r="P1167" s="38" t="s">
        <v>29</v>
      </c>
      <c r="Q1167">
        <v>2025</v>
      </c>
      <c r="R1167" t="s">
        <v>131</v>
      </c>
      <c r="S1167" t="s">
        <v>14</v>
      </c>
      <c r="T1167" t="s">
        <v>1397</v>
      </c>
      <c r="U1167" t="str">
        <f>IFERROR(_xlfn.XLOOKUP(A1167,'2025 EOY'!A:A,'2025 EOY'!B:B),"No")</f>
        <v>No</v>
      </c>
      <c r="V1167" s="4"/>
      <c r="W1167" s="4"/>
    </row>
    <row r="1168" spans="1:23" x14ac:dyDescent="0.35">
      <c r="A1168" s="37" t="s">
        <v>1393</v>
      </c>
      <c r="B1168" s="174">
        <v>45895</v>
      </c>
      <c r="C1168" s="47" t="s">
        <v>39</v>
      </c>
      <c r="D1168" s="10" t="s">
        <v>268</v>
      </c>
      <c r="E1168" s="273">
        <v>700</v>
      </c>
      <c r="F1168" s="172">
        <v>45961</v>
      </c>
      <c r="G1168" s="172">
        <v>45961</v>
      </c>
      <c r="H1168" s="212">
        <v>120</v>
      </c>
      <c r="I1168" s="206">
        <v>145.05000000000001</v>
      </c>
      <c r="J1168" s="9">
        <v>87.67500000000004</v>
      </c>
      <c r="K1168">
        <v>84000</v>
      </c>
      <c r="L1168" s="14" t="s">
        <v>89</v>
      </c>
      <c r="M1168" s="8" t="s">
        <v>131</v>
      </c>
      <c r="N1168">
        <v>101535.00000000001</v>
      </c>
      <c r="O1168" s="38" t="s">
        <v>29</v>
      </c>
      <c r="P1168" s="38" t="s">
        <v>29</v>
      </c>
      <c r="Q1168">
        <v>2025</v>
      </c>
      <c r="R1168" t="s">
        <v>131</v>
      </c>
      <c r="S1168" t="s">
        <v>14</v>
      </c>
      <c r="T1168" t="s">
        <v>1398</v>
      </c>
      <c r="U1168" t="str">
        <f>IFERROR(_xlfn.XLOOKUP(A1168,'2025 EOY'!A:A,'2025 EOY'!B:B),"No")</f>
        <v>No</v>
      </c>
      <c r="V1168" s="4"/>
      <c r="W1168" s="4"/>
    </row>
    <row r="1169" spans="1:23" x14ac:dyDescent="0.35">
      <c r="A1169" s="37" t="s">
        <v>1393</v>
      </c>
      <c r="B1169" s="174">
        <v>45895</v>
      </c>
      <c r="C1169" s="47" t="s">
        <v>39</v>
      </c>
      <c r="D1169" s="10" t="s">
        <v>128</v>
      </c>
      <c r="E1169" s="273">
        <v>-700</v>
      </c>
      <c r="F1169" s="172">
        <v>45961</v>
      </c>
      <c r="G1169" s="172">
        <v>45961</v>
      </c>
      <c r="H1169" s="212">
        <v>145.05000000000001</v>
      </c>
      <c r="I1169" s="206">
        <v>145.05000000000001</v>
      </c>
      <c r="J1169" s="9">
        <v>0</v>
      </c>
      <c r="K1169">
        <v>-101535.00000000001</v>
      </c>
      <c r="L1169" s="14" t="s">
        <v>89</v>
      </c>
      <c r="M1169" s="8" t="s">
        <v>129</v>
      </c>
      <c r="N1169">
        <v>-101535.00000000001</v>
      </c>
      <c r="O1169" s="38" t="s">
        <v>29</v>
      </c>
      <c r="P1169" s="38" t="s">
        <v>29</v>
      </c>
      <c r="Q1169">
        <v>2025</v>
      </c>
      <c r="R1169" t="s">
        <v>129</v>
      </c>
      <c r="S1169" t="s">
        <v>14</v>
      </c>
      <c r="T1169" t="s">
        <v>1399</v>
      </c>
      <c r="U1169" t="str">
        <f>IFERROR(_xlfn.XLOOKUP(A1169,'2025 EOY'!A:A,'2025 EOY'!B:B),"No")</f>
        <v>No</v>
      </c>
      <c r="V1169" s="4"/>
      <c r="W1169" s="4"/>
    </row>
    <row r="1170" spans="1:23" x14ac:dyDescent="0.35">
      <c r="A1170" s="37" t="s">
        <v>1393</v>
      </c>
      <c r="B1170" s="174">
        <v>45895</v>
      </c>
      <c r="C1170" s="10" t="s">
        <v>10</v>
      </c>
      <c r="D1170" s="4" t="s">
        <v>128</v>
      </c>
      <c r="E1170" s="265">
        <v>105</v>
      </c>
      <c r="F1170" s="172">
        <v>45961</v>
      </c>
      <c r="G1170" s="172">
        <v>45961</v>
      </c>
      <c r="H1170" s="120">
        <v>-4.05</v>
      </c>
      <c r="I1170" s="192">
        <v>-4.1100000000000003</v>
      </c>
      <c r="J1170" s="9">
        <v>-6.3000000000000522</v>
      </c>
      <c r="K1170">
        <v>-425.25</v>
      </c>
      <c r="L1170" s="14" t="s">
        <v>89</v>
      </c>
      <c r="M1170" s="8" t="s">
        <v>131</v>
      </c>
      <c r="N1170">
        <v>-431.55</v>
      </c>
      <c r="O1170" s="38" t="s">
        <v>11</v>
      </c>
      <c r="P1170" s="38" t="s">
        <v>10</v>
      </c>
      <c r="Q1170">
        <v>2025</v>
      </c>
      <c r="R1170" t="s">
        <v>131</v>
      </c>
      <c r="S1170" t="s">
        <v>14</v>
      </c>
      <c r="T1170" t="s">
        <v>1400</v>
      </c>
      <c r="U1170" t="str">
        <f>IFERROR(_xlfn.XLOOKUP(A1170,'2025 EOY'!A:A,'2025 EOY'!B:B),"No")</f>
        <v>No</v>
      </c>
      <c r="V1170" s="4"/>
      <c r="W1170" s="4"/>
    </row>
    <row r="1171" spans="1:23" x14ac:dyDescent="0.35">
      <c r="A1171" t="s">
        <v>127</v>
      </c>
      <c r="B1171" s="174">
        <v>45896</v>
      </c>
      <c r="C1171" s="4" t="s">
        <v>22</v>
      </c>
      <c r="D1171" s="4" t="s">
        <v>128</v>
      </c>
      <c r="E1171" s="253">
        <v>-100</v>
      </c>
      <c r="F1171" t="s">
        <v>1386</v>
      </c>
      <c r="G1171" s="190">
        <v>45930</v>
      </c>
      <c r="H1171" s="15">
        <v>0.23</v>
      </c>
      <c r="I1171" s="191">
        <v>0.41200000000000003</v>
      </c>
      <c r="J1171" s="9">
        <v>4.0000000000000036</v>
      </c>
      <c r="K1171">
        <v>-80</v>
      </c>
      <c r="L1171" s="14" t="s">
        <v>91</v>
      </c>
      <c r="M1171" s="8" t="s">
        <v>131</v>
      </c>
      <c r="N1171">
        <v>397.59999999999997</v>
      </c>
      <c r="O1171" s="38" t="s">
        <v>11</v>
      </c>
      <c r="P1171" s="38" t="s">
        <v>16</v>
      </c>
      <c r="Q1171">
        <v>2025</v>
      </c>
      <c r="R1171" t="s">
        <v>129</v>
      </c>
      <c r="S1171" t="s">
        <v>14</v>
      </c>
      <c r="T1171" t="s">
        <v>1401</v>
      </c>
      <c r="U1171" t="str">
        <f>IFERROR(_xlfn.XLOOKUP(A1171,'2025 EOY'!A:A,'2025 EOY'!B:B),"No")</f>
        <v>No</v>
      </c>
    </row>
    <row r="1172" spans="1:23" x14ac:dyDescent="0.35">
      <c r="A1172" t="s">
        <v>127</v>
      </c>
      <c r="B1172" s="174">
        <v>45896</v>
      </c>
      <c r="C1172" s="10" t="s">
        <v>15</v>
      </c>
      <c r="D1172" s="4" t="s">
        <v>128</v>
      </c>
      <c r="E1172" s="253">
        <v>-600</v>
      </c>
      <c r="F1172" s="173">
        <v>45930</v>
      </c>
      <c r="G1172" s="172">
        <v>45930</v>
      </c>
      <c r="H1172" s="15">
        <v>0.4</v>
      </c>
      <c r="I1172" s="191">
        <v>0.49</v>
      </c>
      <c r="J1172" s="9">
        <v>54.999999999999964</v>
      </c>
      <c r="K1172">
        <v>-285</v>
      </c>
      <c r="L1172" s="14" t="s">
        <v>86</v>
      </c>
      <c r="M1172" s="8" t="s">
        <v>129</v>
      </c>
      <c r="N1172">
        <v>-230</v>
      </c>
      <c r="O1172" s="38" t="s">
        <v>11</v>
      </c>
      <c r="P1172" s="38" t="s">
        <v>16</v>
      </c>
      <c r="Q1172">
        <v>2025</v>
      </c>
      <c r="R1172" t="s">
        <v>129</v>
      </c>
      <c r="S1172" t="s">
        <v>14</v>
      </c>
      <c r="T1172" t="s">
        <v>1402</v>
      </c>
      <c r="U1172" t="str">
        <f>IFERROR(_xlfn.XLOOKUP(A1172,'2025 EOY'!A:A,'2025 EOY'!B:B),"No")</f>
        <v>No</v>
      </c>
    </row>
    <row r="1173" spans="1:23" x14ac:dyDescent="0.35">
      <c r="A1173" t="s">
        <v>127</v>
      </c>
      <c r="B1173" s="174">
        <v>45896</v>
      </c>
      <c r="C1173" s="10" t="s">
        <v>15</v>
      </c>
      <c r="D1173" s="4" t="s">
        <v>128</v>
      </c>
      <c r="E1173" s="253">
        <v>-500</v>
      </c>
      <c r="F1173" s="173">
        <v>45930</v>
      </c>
      <c r="G1173" s="172">
        <v>45930</v>
      </c>
      <c r="H1173" s="15">
        <v>0.46</v>
      </c>
      <c r="I1173" s="191">
        <v>0.49</v>
      </c>
      <c r="J1173" s="9">
        <v>54.999999999999964</v>
      </c>
      <c r="K1173">
        <v>-285</v>
      </c>
      <c r="L1173" s="14" t="s">
        <v>86</v>
      </c>
      <c r="M1173" s="8" t="s">
        <v>129</v>
      </c>
      <c r="N1173">
        <v>-230</v>
      </c>
      <c r="O1173" s="38" t="s">
        <v>11</v>
      </c>
      <c r="P1173" s="38" t="s">
        <v>16</v>
      </c>
      <c r="Q1173">
        <v>2025</v>
      </c>
      <c r="R1173" t="s">
        <v>129</v>
      </c>
      <c r="S1173" t="s">
        <v>14</v>
      </c>
      <c r="T1173" t="s">
        <v>1403</v>
      </c>
      <c r="U1173" t="str">
        <f>IFERROR(_xlfn.XLOOKUP(A1173,'2025 EOY'!A:A,'2025 EOY'!B:B),"No")</f>
        <v>No</v>
      </c>
    </row>
    <row r="1174" spans="1:23" x14ac:dyDescent="0.35">
      <c r="A1174" t="s">
        <v>127</v>
      </c>
      <c r="B1174" s="174">
        <v>45896</v>
      </c>
      <c r="C1174" s="10" t="s">
        <v>7</v>
      </c>
      <c r="D1174" s="4" t="s">
        <v>128</v>
      </c>
      <c r="E1174" s="253">
        <v>-500</v>
      </c>
      <c r="F1174" s="172">
        <v>45991</v>
      </c>
      <c r="G1174" s="172">
        <v>46022</v>
      </c>
      <c r="H1174" s="15">
        <v>0.42499999999999999</v>
      </c>
      <c r="I1174" s="192">
        <v>0.99</v>
      </c>
      <c r="J1174" s="9">
        <v>-282.5</v>
      </c>
      <c r="K1174">
        <v>-212.5</v>
      </c>
      <c r="L1174" s="14" t="s">
        <v>13</v>
      </c>
      <c r="M1174" s="8" t="s">
        <v>129</v>
      </c>
      <c r="N1174">
        <v>-495</v>
      </c>
      <c r="O1174" s="38" t="s">
        <v>4</v>
      </c>
      <c r="P1174" s="38" t="s">
        <v>7</v>
      </c>
      <c r="Q1174">
        <v>2025</v>
      </c>
      <c r="R1174" t="s">
        <v>129</v>
      </c>
      <c r="S1174" t="s">
        <v>14</v>
      </c>
      <c r="T1174" t="s">
        <v>1404</v>
      </c>
      <c r="U1174" t="str">
        <f>IFERROR(_xlfn.XLOOKUP(A1174,'2025 EOY'!A:A,'2025 EOY'!B:B),"No")</f>
        <v>No</v>
      </c>
    </row>
    <row r="1175" spans="1:23" x14ac:dyDescent="0.35">
      <c r="A1175" t="s">
        <v>127</v>
      </c>
      <c r="B1175" s="174">
        <v>45896</v>
      </c>
      <c r="C1175" s="10" t="s">
        <v>7</v>
      </c>
      <c r="D1175" s="4" t="s">
        <v>128</v>
      </c>
      <c r="E1175" s="253">
        <v>-500</v>
      </c>
      <c r="F1175" s="172">
        <v>46022</v>
      </c>
      <c r="G1175" s="172">
        <v>46053</v>
      </c>
      <c r="H1175" s="15">
        <v>0.42499999999999999</v>
      </c>
      <c r="I1175" s="192">
        <v>0.3</v>
      </c>
      <c r="J1175" s="9">
        <v>62.5</v>
      </c>
      <c r="K1175">
        <v>-212.5</v>
      </c>
      <c r="L1175" s="14" t="s">
        <v>18</v>
      </c>
      <c r="M1175" s="8" t="s">
        <v>129</v>
      </c>
      <c r="N1175">
        <v>-150</v>
      </c>
      <c r="O1175" s="38" t="s">
        <v>4</v>
      </c>
      <c r="P1175" s="38" t="s">
        <v>7</v>
      </c>
      <c r="Q1175">
        <v>2025</v>
      </c>
      <c r="R1175" t="s">
        <v>129</v>
      </c>
      <c r="S1175" t="s">
        <v>14</v>
      </c>
      <c r="T1175" t="s">
        <v>1405</v>
      </c>
      <c r="U1175" t="str">
        <f>IFERROR(_xlfn.XLOOKUP(A1175,'2025 EOY'!A:A,'2025 EOY'!B:B),"No")</f>
        <v>No</v>
      </c>
    </row>
    <row r="1176" spans="1:23" x14ac:dyDescent="0.35">
      <c r="A1176" t="s">
        <v>127</v>
      </c>
      <c r="B1176" s="174">
        <v>45890</v>
      </c>
      <c r="C1176" s="10" t="s">
        <v>7</v>
      </c>
      <c r="D1176" s="4" t="s">
        <v>128</v>
      </c>
      <c r="E1176" s="253">
        <v>997</v>
      </c>
      <c r="F1176" s="172">
        <v>45961</v>
      </c>
      <c r="G1176" s="172">
        <v>45991</v>
      </c>
      <c r="H1176" s="15">
        <v>0.64</v>
      </c>
      <c r="I1176" s="192">
        <v>0.64</v>
      </c>
      <c r="J1176" s="9">
        <v>0</v>
      </c>
      <c r="K1176">
        <v>638.08000000000004</v>
      </c>
      <c r="L1176" s="14" t="s">
        <v>79</v>
      </c>
      <c r="M1176" s="8" t="s">
        <v>131</v>
      </c>
      <c r="N1176">
        <v>638.08000000000004</v>
      </c>
      <c r="O1176" s="38" t="s">
        <v>4</v>
      </c>
      <c r="P1176" s="38" t="s">
        <v>7</v>
      </c>
      <c r="Q1176">
        <v>2025</v>
      </c>
      <c r="R1176" t="s">
        <v>131</v>
      </c>
      <c r="S1176" t="s">
        <v>14</v>
      </c>
      <c r="T1176" t="s">
        <v>1406</v>
      </c>
      <c r="U1176" t="str">
        <f>IFERROR(_xlfn.XLOOKUP(A1176,'2025 EOY'!A:A,'2025 EOY'!B:B),"No")</f>
        <v>No</v>
      </c>
    </row>
    <row r="1177" spans="1:23" x14ac:dyDescent="0.35">
      <c r="A1177" s="37" t="s">
        <v>1393</v>
      </c>
      <c r="B1177" s="174">
        <v>45897</v>
      </c>
      <c r="C1177" s="10" t="s">
        <v>10</v>
      </c>
      <c r="D1177" s="4" t="s">
        <v>128</v>
      </c>
      <c r="E1177" s="253">
        <v>590</v>
      </c>
      <c r="F1177" s="172">
        <v>45961</v>
      </c>
      <c r="G1177" s="172">
        <v>45961</v>
      </c>
      <c r="H1177" s="120">
        <v>-4.0199999999999996</v>
      </c>
      <c r="I1177" s="192">
        <v>-4.1100000000000003</v>
      </c>
      <c r="J1177" s="9">
        <v>-53.100000000000442</v>
      </c>
      <c r="K1177">
        <v>-2371.7999999999997</v>
      </c>
      <c r="L1177" s="14" t="s">
        <v>89</v>
      </c>
      <c r="M1177" s="8" t="s">
        <v>131</v>
      </c>
      <c r="N1177">
        <v>-2424.9</v>
      </c>
      <c r="O1177" s="38" t="s">
        <v>11</v>
      </c>
      <c r="P1177" s="38" t="s">
        <v>10</v>
      </c>
      <c r="Q1177">
        <v>2025</v>
      </c>
      <c r="R1177" t="s">
        <v>131</v>
      </c>
      <c r="S1177" t="s">
        <v>14</v>
      </c>
      <c r="T1177" t="s">
        <v>1407</v>
      </c>
      <c r="U1177" t="str">
        <f>IFERROR(_xlfn.XLOOKUP(A1177,'2025 EOY'!A:A,'2025 EOY'!B:B),"No")</f>
        <v>No</v>
      </c>
      <c r="V1177" s="4"/>
      <c r="W1177" s="4"/>
    </row>
    <row r="1178" spans="1:23" x14ac:dyDescent="0.35">
      <c r="A1178" t="s">
        <v>127</v>
      </c>
      <c r="B1178" s="174">
        <v>45911</v>
      </c>
      <c r="C1178" s="10" t="s">
        <v>3</v>
      </c>
      <c r="D1178" s="4" t="s">
        <v>128</v>
      </c>
      <c r="E1178" s="253">
        <v>110</v>
      </c>
      <c r="F1178" s="172">
        <v>45961</v>
      </c>
      <c r="G1178" s="172">
        <v>45991</v>
      </c>
      <c r="H1178" s="189">
        <v>0.53</v>
      </c>
      <c r="I1178" s="192">
        <v>0.28000000000000003</v>
      </c>
      <c r="J1178" s="9">
        <v>-27.5</v>
      </c>
      <c r="K1178">
        <v>58.300000000000004</v>
      </c>
      <c r="L1178" s="14" t="s">
        <v>79</v>
      </c>
      <c r="M1178" s="8" t="s">
        <v>131</v>
      </c>
      <c r="N1178">
        <v>30.800000000000004</v>
      </c>
      <c r="O1178" s="38" t="s">
        <v>4</v>
      </c>
      <c r="P1178" s="38" t="s">
        <v>3</v>
      </c>
      <c r="Q1178">
        <v>2025</v>
      </c>
      <c r="R1178" t="s">
        <v>131</v>
      </c>
      <c r="S1178" t="s">
        <v>14</v>
      </c>
      <c r="T1178" t="s">
        <v>1408</v>
      </c>
      <c r="U1178" t="str">
        <f>IFERROR(_xlfn.XLOOKUP(A1178,'2025 EOY'!A:A,'2025 EOY'!B:B),"No")</f>
        <v>No</v>
      </c>
    </row>
    <row r="1179" spans="1:23" x14ac:dyDescent="0.35">
      <c r="A1179" t="s">
        <v>127</v>
      </c>
      <c r="B1179" s="174">
        <v>45911</v>
      </c>
      <c r="C1179" s="10" t="s">
        <v>7</v>
      </c>
      <c r="D1179" s="4" t="s">
        <v>128</v>
      </c>
      <c r="E1179" s="253">
        <v>-110</v>
      </c>
      <c r="F1179" s="172">
        <v>45961</v>
      </c>
      <c r="G1179" s="172">
        <v>45991</v>
      </c>
      <c r="H1179" s="15">
        <v>0.56000000000000005</v>
      </c>
      <c r="I1179" s="192">
        <v>0.64</v>
      </c>
      <c r="J1179" s="9">
        <v>-8.7999999999999954</v>
      </c>
      <c r="K1179">
        <v>-61.600000000000009</v>
      </c>
      <c r="L1179" s="14" t="s">
        <v>79</v>
      </c>
      <c r="M1179" s="8" t="s">
        <v>129</v>
      </c>
      <c r="N1179">
        <v>-70.400000000000006</v>
      </c>
      <c r="O1179" s="38" t="s">
        <v>4</v>
      </c>
      <c r="P1179" s="38" t="s">
        <v>7</v>
      </c>
      <c r="Q1179">
        <v>2025</v>
      </c>
      <c r="R1179" t="s">
        <v>129</v>
      </c>
      <c r="S1179" t="s">
        <v>14</v>
      </c>
      <c r="T1179" t="s">
        <v>1409</v>
      </c>
      <c r="U1179" t="str">
        <f>IFERROR(_xlfn.XLOOKUP(A1179,'2025 EOY'!A:A,'2025 EOY'!B:B),"No")</f>
        <v>No</v>
      </c>
    </row>
    <row r="1180" spans="1:23" x14ac:dyDescent="0.35">
      <c r="A1180" t="s">
        <v>127</v>
      </c>
      <c r="B1180" s="174">
        <v>45898</v>
      </c>
      <c r="C1180" s="4" t="s">
        <v>22</v>
      </c>
      <c r="D1180" s="4" t="s">
        <v>128</v>
      </c>
      <c r="E1180" s="253">
        <v>-400</v>
      </c>
      <c r="F1180" t="s">
        <v>1386</v>
      </c>
      <c r="G1180" s="190">
        <v>45930</v>
      </c>
      <c r="H1180" s="15">
        <v>0.51</v>
      </c>
      <c r="I1180" s="191">
        <v>0.41200000000000003</v>
      </c>
      <c r="J1180" s="9">
        <v>39.199999999999989</v>
      </c>
      <c r="K1180">
        <v>-204</v>
      </c>
      <c r="L1180" s="14" t="s">
        <v>91</v>
      </c>
      <c r="M1180" s="8" t="s">
        <v>131</v>
      </c>
      <c r="N1180">
        <v>397.59999999999997</v>
      </c>
      <c r="O1180" s="38" t="s">
        <v>11</v>
      </c>
      <c r="P1180" s="38" t="s">
        <v>16</v>
      </c>
      <c r="Q1180">
        <v>2025</v>
      </c>
      <c r="R1180" t="s">
        <v>129</v>
      </c>
      <c r="S1180" t="s">
        <v>14</v>
      </c>
      <c r="T1180" t="s">
        <v>1410</v>
      </c>
      <c r="U1180" t="str">
        <f>IFERROR(_xlfn.XLOOKUP(A1180,'2025 EOY'!A:A,'2025 EOY'!B:B),"No")</f>
        <v>No</v>
      </c>
    </row>
    <row r="1181" spans="1:23" x14ac:dyDescent="0.35">
      <c r="A1181" t="s">
        <v>127</v>
      </c>
      <c r="B1181" s="174">
        <v>45898</v>
      </c>
      <c r="C1181" s="4" t="s">
        <v>22</v>
      </c>
      <c r="D1181" s="4" t="s">
        <v>128</v>
      </c>
      <c r="E1181" s="253">
        <v>200</v>
      </c>
      <c r="F1181" t="s">
        <v>1388</v>
      </c>
      <c r="G1181" s="190">
        <v>45930</v>
      </c>
      <c r="H1181" s="15">
        <v>0.64</v>
      </c>
      <c r="I1181" s="191">
        <v>-3.4999999999999996E-2</v>
      </c>
      <c r="J1181" s="9">
        <v>-135</v>
      </c>
      <c r="K1181">
        <v>128</v>
      </c>
      <c r="L1181" s="14" t="s">
        <v>92</v>
      </c>
      <c r="M1181" s="8" t="s">
        <v>131</v>
      </c>
      <c r="N1181">
        <v>397.59999999999997</v>
      </c>
      <c r="O1181" s="38" t="s">
        <v>11</v>
      </c>
      <c r="P1181" s="38" t="s">
        <v>16</v>
      </c>
      <c r="Q1181">
        <v>2025</v>
      </c>
      <c r="R1181" t="s">
        <v>131</v>
      </c>
      <c r="S1181" t="s">
        <v>14</v>
      </c>
      <c r="T1181" t="s">
        <v>1411</v>
      </c>
      <c r="U1181" t="str">
        <f>IFERROR(_xlfn.XLOOKUP(A1181,'2025 EOY'!A:A,'2025 EOY'!B:B),"No")</f>
        <v>No</v>
      </c>
    </row>
    <row r="1182" spans="1:23" x14ac:dyDescent="0.35">
      <c r="A1182" t="s">
        <v>127</v>
      </c>
      <c r="B1182" s="174">
        <v>45898</v>
      </c>
      <c r="C1182" s="4" t="s">
        <v>22</v>
      </c>
      <c r="D1182" s="4" t="s">
        <v>128</v>
      </c>
      <c r="E1182" s="253">
        <v>200</v>
      </c>
      <c r="F1182" t="s">
        <v>1390</v>
      </c>
      <c r="G1182" s="190">
        <v>45930</v>
      </c>
      <c r="H1182" s="15">
        <v>0.72</v>
      </c>
      <c r="I1182" s="191">
        <v>0.221</v>
      </c>
      <c r="J1182" s="9">
        <v>-99.8</v>
      </c>
      <c r="K1182">
        <v>144</v>
      </c>
      <c r="L1182" s="14" t="s">
        <v>93</v>
      </c>
      <c r="M1182" s="8" t="s">
        <v>131</v>
      </c>
      <c r="N1182">
        <v>397.59999999999997</v>
      </c>
      <c r="O1182" s="38" t="s">
        <v>11</v>
      </c>
      <c r="P1182" s="38" t="s">
        <v>16</v>
      </c>
      <c r="Q1182">
        <v>2025</v>
      </c>
      <c r="R1182" t="s">
        <v>131</v>
      </c>
      <c r="S1182" t="s">
        <v>14</v>
      </c>
      <c r="T1182" t="s">
        <v>1412</v>
      </c>
      <c r="U1182" t="str">
        <f>IFERROR(_xlfn.XLOOKUP(A1182,'2025 EOY'!A:A,'2025 EOY'!B:B),"No")</f>
        <v>No</v>
      </c>
    </row>
    <row r="1183" spans="1:23" x14ac:dyDescent="0.35">
      <c r="A1183" s="37" t="s">
        <v>1393</v>
      </c>
      <c r="B1183" s="174">
        <v>45902</v>
      </c>
      <c r="C1183" s="10" t="s">
        <v>10</v>
      </c>
      <c r="D1183" s="4" t="s">
        <v>128</v>
      </c>
      <c r="E1183" s="253">
        <v>250</v>
      </c>
      <c r="F1183" s="172">
        <v>45991</v>
      </c>
      <c r="G1183" s="172">
        <v>45991</v>
      </c>
      <c r="H1183" s="218">
        <v>-4.0599999999999996</v>
      </c>
      <c r="I1183" s="192">
        <v>-4.6500000000000004</v>
      </c>
      <c r="J1183" s="9">
        <v>-147.5000000000002</v>
      </c>
      <c r="K1183">
        <v>-1014.9999999999999</v>
      </c>
      <c r="L1183" s="14" t="s">
        <v>90</v>
      </c>
      <c r="M1183" s="8" t="s">
        <v>131</v>
      </c>
      <c r="N1183">
        <v>-1162.5</v>
      </c>
      <c r="O1183" s="38" t="s">
        <v>11</v>
      </c>
      <c r="P1183" s="38" t="s">
        <v>10</v>
      </c>
      <c r="Q1183">
        <v>2025</v>
      </c>
      <c r="R1183" t="s">
        <v>131</v>
      </c>
      <c r="S1183" t="s">
        <v>14</v>
      </c>
      <c r="T1183" t="s">
        <v>1413</v>
      </c>
      <c r="U1183" t="str">
        <f>IFERROR(_xlfn.XLOOKUP(A1183,'2025 EOY'!A:A,'2025 EOY'!B:B),"No")</f>
        <v>No</v>
      </c>
      <c r="V1183" s="4"/>
      <c r="W1183" s="4"/>
    </row>
    <row r="1184" spans="1:23" x14ac:dyDescent="0.35">
      <c r="A1184" s="37" t="s">
        <v>1393</v>
      </c>
      <c r="B1184" s="174">
        <v>45905</v>
      </c>
      <c r="C1184" s="10" t="s">
        <v>10</v>
      </c>
      <c r="D1184" s="4" t="s">
        <v>128</v>
      </c>
      <c r="E1184" s="253">
        <v>250</v>
      </c>
      <c r="F1184" s="172">
        <v>45991</v>
      </c>
      <c r="G1184" s="172">
        <v>45991</v>
      </c>
      <c r="H1184" s="218">
        <v>-4.05</v>
      </c>
      <c r="I1184" s="192">
        <v>-4.6500000000000004</v>
      </c>
      <c r="J1184" s="9">
        <v>-150.00000000000014</v>
      </c>
      <c r="K1184">
        <v>-1012.5</v>
      </c>
      <c r="L1184" s="14" t="s">
        <v>90</v>
      </c>
      <c r="M1184" s="8" t="s">
        <v>131</v>
      </c>
      <c r="N1184">
        <v>-1162.5</v>
      </c>
      <c r="O1184" s="38" t="s">
        <v>11</v>
      </c>
      <c r="P1184" s="38" t="s">
        <v>10</v>
      </c>
      <c r="Q1184">
        <v>2025</v>
      </c>
      <c r="R1184" t="s">
        <v>131</v>
      </c>
      <c r="S1184" t="s">
        <v>14</v>
      </c>
      <c r="T1184" t="s">
        <v>1414</v>
      </c>
      <c r="U1184" t="str">
        <f>IFERROR(_xlfn.XLOOKUP(A1184,'2025 EOY'!A:A,'2025 EOY'!B:B),"No")</f>
        <v>No</v>
      </c>
      <c r="V1184" s="4"/>
      <c r="W1184" s="4"/>
    </row>
    <row r="1185" spans="1:23" x14ac:dyDescent="0.35">
      <c r="A1185" s="37" t="s">
        <v>1393</v>
      </c>
      <c r="B1185" s="174">
        <v>45905</v>
      </c>
      <c r="C1185" s="10" t="s">
        <v>10</v>
      </c>
      <c r="D1185" s="4" t="s">
        <v>128</v>
      </c>
      <c r="E1185" s="253">
        <v>250</v>
      </c>
      <c r="F1185" s="172">
        <v>45991</v>
      </c>
      <c r="G1185" s="172">
        <v>45991</v>
      </c>
      <c r="H1185" s="218">
        <v>-4.07</v>
      </c>
      <c r="I1185" s="192">
        <v>-4.6500000000000004</v>
      </c>
      <c r="J1185" s="9">
        <v>-145.00000000000003</v>
      </c>
      <c r="K1185">
        <v>-1017.5000000000001</v>
      </c>
      <c r="L1185" s="14" t="s">
        <v>90</v>
      </c>
      <c r="M1185" s="8" t="s">
        <v>131</v>
      </c>
      <c r="N1185">
        <v>-1162.5</v>
      </c>
      <c r="O1185" s="38" t="s">
        <v>11</v>
      </c>
      <c r="P1185" s="38" t="s">
        <v>10</v>
      </c>
      <c r="Q1185">
        <v>2025</v>
      </c>
      <c r="R1185" t="s">
        <v>131</v>
      </c>
      <c r="S1185" t="s">
        <v>14</v>
      </c>
      <c r="T1185" t="s">
        <v>1415</v>
      </c>
      <c r="U1185" t="str">
        <f>IFERROR(_xlfn.XLOOKUP(A1185,'2025 EOY'!A:A,'2025 EOY'!B:B),"No")</f>
        <v>No</v>
      </c>
      <c r="V1185" s="4"/>
      <c r="W1185" s="4"/>
    </row>
    <row r="1186" spans="1:23" x14ac:dyDescent="0.35">
      <c r="A1186" s="37" t="s">
        <v>1393</v>
      </c>
      <c r="B1186" s="174">
        <v>45905</v>
      </c>
      <c r="C1186" s="10" t="s">
        <v>10</v>
      </c>
      <c r="D1186" s="4" t="s">
        <v>128</v>
      </c>
      <c r="E1186" s="253">
        <v>500</v>
      </c>
      <c r="F1186" s="172">
        <v>45991</v>
      </c>
      <c r="G1186" s="172">
        <v>45991</v>
      </c>
      <c r="H1186" s="218">
        <v>-4.0999999999999996</v>
      </c>
      <c r="I1186" s="192">
        <v>-4.6500000000000004</v>
      </c>
      <c r="J1186" s="9">
        <v>-275.00000000000034</v>
      </c>
      <c r="K1186">
        <v>-2050</v>
      </c>
      <c r="L1186" s="14" t="s">
        <v>90</v>
      </c>
      <c r="M1186" s="8" t="s">
        <v>131</v>
      </c>
      <c r="N1186">
        <v>-2325</v>
      </c>
      <c r="O1186" s="38" t="s">
        <v>11</v>
      </c>
      <c r="P1186" s="38" t="s">
        <v>10</v>
      </c>
      <c r="Q1186">
        <v>2025</v>
      </c>
      <c r="R1186" t="s">
        <v>131</v>
      </c>
      <c r="S1186" t="s">
        <v>14</v>
      </c>
      <c r="T1186" t="s">
        <v>1416</v>
      </c>
      <c r="U1186" t="str">
        <f>IFERROR(_xlfn.XLOOKUP(A1186,'2025 EOY'!A:A,'2025 EOY'!B:B),"No")</f>
        <v>No</v>
      </c>
      <c r="V1186" s="4"/>
      <c r="W1186" s="4"/>
    </row>
    <row r="1187" spans="1:23" x14ac:dyDescent="0.35">
      <c r="A1187" s="37" t="s">
        <v>1393</v>
      </c>
      <c r="B1187" s="174">
        <v>45905</v>
      </c>
      <c r="C1187" s="10" t="s">
        <v>10</v>
      </c>
      <c r="D1187" s="4" t="s">
        <v>128</v>
      </c>
      <c r="E1187" s="253">
        <v>500</v>
      </c>
      <c r="F1187" s="172">
        <v>45991</v>
      </c>
      <c r="G1187" s="172">
        <v>45991</v>
      </c>
      <c r="H1187" s="218">
        <v>-4.1500000000000004</v>
      </c>
      <c r="I1187" s="192">
        <v>-4.6500000000000004</v>
      </c>
      <c r="J1187" s="9">
        <v>-250</v>
      </c>
      <c r="K1187">
        <v>-2075</v>
      </c>
      <c r="L1187" s="14" t="s">
        <v>90</v>
      </c>
      <c r="M1187" s="8" t="s">
        <v>131</v>
      </c>
      <c r="N1187">
        <v>-2325</v>
      </c>
      <c r="O1187" s="38" t="s">
        <v>11</v>
      </c>
      <c r="P1187" s="38" t="s">
        <v>10</v>
      </c>
      <c r="Q1187">
        <v>2025</v>
      </c>
      <c r="R1187" t="s">
        <v>131</v>
      </c>
      <c r="S1187" t="s">
        <v>14</v>
      </c>
      <c r="T1187" t="s">
        <v>1417</v>
      </c>
      <c r="U1187" t="str">
        <f>IFERROR(_xlfn.XLOOKUP(A1187,'2025 EOY'!A:A,'2025 EOY'!B:B),"No")</f>
        <v>No</v>
      </c>
      <c r="V1187" s="4"/>
      <c r="W1187" s="4"/>
    </row>
    <row r="1188" spans="1:23" x14ac:dyDescent="0.35">
      <c r="A1188" t="s">
        <v>127</v>
      </c>
      <c r="B1188" s="174">
        <v>45911</v>
      </c>
      <c r="C1188" s="10" t="s">
        <v>7</v>
      </c>
      <c r="D1188" s="4" t="s">
        <v>128</v>
      </c>
      <c r="E1188" s="253">
        <v>2000</v>
      </c>
      <c r="F1188" s="172">
        <v>45991</v>
      </c>
      <c r="G1188" s="172">
        <v>46022</v>
      </c>
      <c r="H1188" s="218">
        <v>0.41499999999999998</v>
      </c>
      <c r="I1188" s="192">
        <v>0.99</v>
      </c>
      <c r="J1188" s="9">
        <v>1150</v>
      </c>
      <c r="K1188">
        <v>830</v>
      </c>
      <c r="L1188" s="14" t="s">
        <v>13</v>
      </c>
      <c r="M1188" s="8" t="s">
        <v>131</v>
      </c>
      <c r="N1188">
        <v>1980</v>
      </c>
      <c r="O1188" s="38" t="s">
        <v>4</v>
      </c>
      <c r="P1188" s="38" t="s">
        <v>7</v>
      </c>
      <c r="Q1188">
        <v>2025</v>
      </c>
      <c r="R1188" t="s">
        <v>131</v>
      </c>
      <c r="S1188" t="s">
        <v>14</v>
      </c>
      <c r="T1188" t="s">
        <v>1418</v>
      </c>
      <c r="U1188" t="str">
        <f>IFERROR(_xlfn.XLOOKUP(A1188,'2025 EOY'!A:A,'2025 EOY'!B:B),"No")</f>
        <v>No</v>
      </c>
    </row>
    <row r="1189" spans="1:23" x14ac:dyDescent="0.35">
      <c r="A1189" t="s">
        <v>127</v>
      </c>
      <c r="B1189" s="174">
        <v>45911</v>
      </c>
      <c r="C1189" s="10" t="s">
        <v>7</v>
      </c>
      <c r="D1189" s="4" t="s">
        <v>128</v>
      </c>
      <c r="E1189" s="253">
        <v>2000</v>
      </c>
      <c r="F1189" s="172">
        <v>46022</v>
      </c>
      <c r="G1189" s="172">
        <v>46053</v>
      </c>
      <c r="H1189" s="218">
        <v>0.41499999999999998</v>
      </c>
      <c r="I1189" s="192">
        <v>0.3</v>
      </c>
      <c r="J1189" s="9">
        <v>-229.99999999999997</v>
      </c>
      <c r="K1189">
        <v>830</v>
      </c>
      <c r="L1189" s="14" t="s">
        <v>18</v>
      </c>
      <c r="M1189" s="8" t="s">
        <v>131</v>
      </c>
      <c r="N1189">
        <v>600</v>
      </c>
      <c r="O1189" s="38" t="s">
        <v>4</v>
      </c>
      <c r="P1189" s="38" t="s">
        <v>7</v>
      </c>
      <c r="Q1189">
        <v>2025</v>
      </c>
      <c r="R1189" t="s">
        <v>131</v>
      </c>
      <c r="S1189" t="s">
        <v>14</v>
      </c>
      <c r="T1189" t="s">
        <v>1419</v>
      </c>
      <c r="U1189" t="str">
        <f>IFERROR(_xlfn.XLOOKUP(A1189,'2025 EOY'!A:A,'2025 EOY'!B:B),"No")</f>
        <v>No</v>
      </c>
    </row>
    <row r="1190" spans="1:23" x14ac:dyDescent="0.35">
      <c r="A1190" t="s">
        <v>127</v>
      </c>
      <c r="B1190" s="174">
        <v>45911</v>
      </c>
      <c r="C1190" s="10" t="s">
        <v>3</v>
      </c>
      <c r="D1190" s="4" t="s">
        <v>128</v>
      </c>
      <c r="E1190" s="253">
        <v>1000</v>
      </c>
      <c r="F1190" s="172">
        <v>45961</v>
      </c>
      <c r="G1190" s="172">
        <v>45991</v>
      </c>
      <c r="H1190" s="129">
        <v>0.31</v>
      </c>
      <c r="I1190" s="192">
        <v>0.28000000000000003</v>
      </c>
      <c r="J1190" s="9">
        <v>-29.999999999999972</v>
      </c>
      <c r="K1190">
        <v>310</v>
      </c>
      <c r="L1190" s="14" t="s">
        <v>79</v>
      </c>
      <c r="M1190" s="8" t="s">
        <v>131</v>
      </c>
      <c r="N1190">
        <v>280</v>
      </c>
      <c r="O1190" s="38" t="s">
        <v>4</v>
      </c>
      <c r="P1190" s="38" t="s">
        <v>3</v>
      </c>
      <c r="Q1190">
        <v>2025</v>
      </c>
      <c r="R1190" t="s">
        <v>131</v>
      </c>
      <c r="S1190" t="s">
        <v>14</v>
      </c>
      <c r="T1190" t="s">
        <v>1420</v>
      </c>
      <c r="U1190" t="str">
        <f>IFERROR(_xlfn.XLOOKUP(A1190,'2025 EOY'!A:A,'2025 EOY'!B:B),"No")</f>
        <v>No</v>
      </c>
    </row>
    <row r="1191" spans="1:23" x14ac:dyDescent="0.35">
      <c r="A1191" s="37" t="s">
        <v>1421</v>
      </c>
      <c r="B1191" s="174">
        <v>45912</v>
      </c>
      <c r="C1191" s="10" t="s">
        <v>19</v>
      </c>
      <c r="D1191" s="4" t="s">
        <v>268</v>
      </c>
      <c r="E1191" s="264">
        <v>700</v>
      </c>
      <c r="F1191" s="172">
        <v>45930</v>
      </c>
      <c r="G1191" s="172">
        <v>45930</v>
      </c>
      <c r="H1191" s="218">
        <v>-1.0000000000000675E-2</v>
      </c>
      <c r="I1191" s="192">
        <v>-0.01</v>
      </c>
      <c r="J1191" s="9">
        <v>4.7236520250848457E-13</v>
      </c>
      <c r="K1191">
        <v>-7.0000000000004725</v>
      </c>
      <c r="L1191" s="14" t="s">
        <v>86</v>
      </c>
      <c r="M1191" s="8" t="s">
        <v>131</v>
      </c>
      <c r="N1191">
        <v>-7</v>
      </c>
      <c r="O1191" s="38" t="s">
        <v>19</v>
      </c>
      <c r="P1191" s="38" t="s">
        <v>19</v>
      </c>
      <c r="Q1191">
        <v>2025</v>
      </c>
      <c r="R1191" t="s">
        <v>131</v>
      </c>
      <c r="S1191" t="s">
        <v>96</v>
      </c>
      <c r="T1191" t="s">
        <v>1422</v>
      </c>
      <c r="U1191" t="str">
        <f>IFERROR(_xlfn.XLOOKUP(A1191,'2025 EOY'!A:A,'2025 EOY'!B:B),"No")</f>
        <v>No</v>
      </c>
    </row>
    <row r="1192" spans="1:23" x14ac:dyDescent="0.35">
      <c r="A1192" s="37" t="s">
        <v>1421</v>
      </c>
      <c r="B1192" s="174">
        <v>45912</v>
      </c>
      <c r="C1192" s="10" t="s">
        <v>3</v>
      </c>
      <c r="D1192" s="4" t="s">
        <v>268</v>
      </c>
      <c r="E1192" s="265">
        <v>-700</v>
      </c>
      <c r="F1192" s="172">
        <v>45961</v>
      </c>
      <c r="G1192" s="172">
        <v>45991</v>
      </c>
      <c r="H1192" s="129">
        <v>0.27</v>
      </c>
      <c r="I1192" s="192">
        <v>0.28000000000000003</v>
      </c>
      <c r="J1192" s="9">
        <v>-7.0000000000000062</v>
      </c>
      <c r="K1192">
        <v>-189</v>
      </c>
      <c r="L1192" s="14" t="s">
        <v>79</v>
      </c>
      <c r="M1192" s="8" t="s">
        <v>129</v>
      </c>
      <c r="N1192">
        <v>-196.00000000000003</v>
      </c>
      <c r="O1192" s="38" t="s">
        <v>4</v>
      </c>
      <c r="P1192" s="38" t="s">
        <v>3</v>
      </c>
      <c r="Q1192">
        <v>2025</v>
      </c>
      <c r="R1192" t="s">
        <v>129</v>
      </c>
      <c r="S1192" t="s">
        <v>14</v>
      </c>
      <c r="T1192" t="s">
        <v>1423</v>
      </c>
      <c r="U1192" t="str">
        <f>IFERROR(_xlfn.XLOOKUP(A1192,'2025 EOY'!A:A,'2025 EOY'!B:B),"No")</f>
        <v>No</v>
      </c>
    </row>
    <row r="1193" spans="1:23" x14ac:dyDescent="0.35">
      <c r="A1193" s="37" t="s">
        <v>1421</v>
      </c>
      <c r="B1193" s="174">
        <v>45912</v>
      </c>
      <c r="C1193" s="10" t="s">
        <v>10</v>
      </c>
      <c r="D1193" s="4" t="s">
        <v>268</v>
      </c>
      <c r="E1193" s="265">
        <v>-700</v>
      </c>
      <c r="F1193" s="172">
        <v>45991</v>
      </c>
      <c r="G1193" s="172">
        <v>45991</v>
      </c>
      <c r="H1193" s="218">
        <v>-4.57</v>
      </c>
      <c r="I1193" s="192">
        <v>-4.6500000000000004</v>
      </c>
      <c r="J1193" s="9">
        <v>56.00000000000005</v>
      </c>
      <c r="K1193">
        <v>3199</v>
      </c>
      <c r="L1193" s="14" t="s">
        <v>90</v>
      </c>
      <c r="M1193" s="8" t="s">
        <v>129</v>
      </c>
      <c r="N1193">
        <v>3255.0000000000005</v>
      </c>
      <c r="O1193" s="38" t="s">
        <v>11</v>
      </c>
      <c r="P1193" s="38" t="s">
        <v>10</v>
      </c>
      <c r="Q1193">
        <v>2025</v>
      </c>
      <c r="R1193" t="s">
        <v>129</v>
      </c>
      <c r="S1193" t="s">
        <v>14</v>
      </c>
      <c r="T1193" t="s">
        <v>1424</v>
      </c>
      <c r="U1193" t="str">
        <f>IFERROR(_xlfn.XLOOKUP(A1193,'2025 EOY'!A:A,'2025 EOY'!B:B),"No")</f>
        <v>No</v>
      </c>
      <c r="V1193" s="4"/>
      <c r="W1193" s="4"/>
    </row>
    <row r="1194" spans="1:23" x14ac:dyDescent="0.35">
      <c r="A1194" s="37" t="s">
        <v>1421</v>
      </c>
      <c r="B1194" s="174">
        <v>45912</v>
      </c>
      <c r="C1194" s="47" t="s">
        <v>36</v>
      </c>
      <c r="D1194" s="4" t="s">
        <v>268</v>
      </c>
      <c r="E1194" s="265">
        <v>-700</v>
      </c>
      <c r="F1194" s="172">
        <v>45961</v>
      </c>
      <c r="G1194" s="172">
        <v>45961</v>
      </c>
      <c r="H1194" s="219">
        <v>190</v>
      </c>
      <c r="I1194" s="206">
        <v>175.15</v>
      </c>
      <c r="J1194" s="9">
        <v>207.89999999999992</v>
      </c>
      <c r="K1194">
        <v>-133000</v>
      </c>
      <c r="L1194" s="14" t="s">
        <v>89</v>
      </c>
      <c r="M1194" s="8" t="s">
        <v>129</v>
      </c>
      <c r="N1194">
        <v>-122605</v>
      </c>
      <c r="O1194" s="38" t="s">
        <v>29</v>
      </c>
      <c r="P1194" s="38" t="s">
        <v>29</v>
      </c>
      <c r="Q1194">
        <v>2025</v>
      </c>
      <c r="R1194" t="s">
        <v>129</v>
      </c>
      <c r="S1194" t="s">
        <v>14</v>
      </c>
      <c r="T1194" t="s">
        <v>1425</v>
      </c>
      <c r="U1194" t="str">
        <f>IFERROR(_xlfn.XLOOKUP(A1194,'2025 EOY'!A:A,'2025 EOY'!B:B),"No")</f>
        <v>No</v>
      </c>
      <c r="V1194" s="4"/>
      <c r="W1194" s="4"/>
    </row>
    <row r="1195" spans="1:23" x14ac:dyDescent="0.35">
      <c r="A1195" s="37" t="s">
        <v>1421</v>
      </c>
      <c r="B1195" s="174">
        <v>45912</v>
      </c>
      <c r="C1195" s="47" t="s">
        <v>36</v>
      </c>
      <c r="D1195" s="4" t="s">
        <v>128</v>
      </c>
      <c r="E1195" s="265">
        <v>700</v>
      </c>
      <c r="F1195" s="172">
        <v>45961</v>
      </c>
      <c r="G1195" s="172">
        <v>45961</v>
      </c>
      <c r="H1195" s="219">
        <v>180</v>
      </c>
      <c r="I1195" s="206">
        <v>175.15</v>
      </c>
      <c r="J1195" s="9">
        <v>-101.84999999999988</v>
      </c>
      <c r="K1195">
        <v>126000</v>
      </c>
      <c r="L1195" s="14" t="s">
        <v>89</v>
      </c>
      <c r="M1195" s="8" t="s">
        <v>131</v>
      </c>
      <c r="N1195">
        <v>122605</v>
      </c>
      <c r="O1195" s="38" t="s">
        <v>29</v>
      </c>
      <c r="P1195" s="38" t="s">
        <v>29</v>
      </c>
      <c r="Q1195">
        <v>2025</v>
      </c>
      <c r="R1195" t="s">
        <v>131</v>
      </c>
      <c r="S1195" t="s">
        <v>14</v>
      </c>
      <c r="T1195" t="s">
        <v>1426</v>
      </c>
      <c r="U1195" t="str">
        <f>IFERROR(_xlfn.XLOOKUP(A1195,'2025 EOY'!A:A,'2025 EOY'!B:B),"No")</f>
        <v>No</v>
      </c>
      <c r="V1195" s="4"/>
      <c r="W1195" s="4"/>
    </row>
    <row r="1196" spans="1:23" x14ac:dyDescent="0.35">
      <c r="A1196" s="37" t="s">
        <v>1421</v>
      </c>
      <c r="B1196" s="174">
        <v>45912</v>
      </c>
      <c r="C1196" s="47" t="s">
        <v>39</v>
      </c>
      <c r="D1196" s="4" t="s">
        <v>268</v>
      </c>
      <c r="E1196" s="273">
        <v>700</v>
      </c>
      <c r="F1196" s="172">
        <v>45991</v>
      </c>
      <c r="G1196" s="172">
        <v>45991</v>
      </c>
      <c r="H1196" s="219">
        <v>125</v>
      </c>
      <c r="I1196" s="206">
        <v>158</v>
      </c>
      <c r="J1196" s="9">
        <v>115.5</v>
      </c>
      <c r="K1196">
        <v>87500</v>
      </c>
      <c r="L1196" s="14" t="s">
        <v>90</v>
      </c>
      <c r="M1196" s="8" t="s">
        <v>131</v>
      </c>
      <c r="N1196">
        <v>110600</v>
      </c>
      <c r="O1196" s="38" t="s">
        <v>29</v>
      </c>
      <c r="P1196" s="38" t="s">
        <v>29</v>
      </c>
      <c r="Q1196">
        <v>2025</v>
      </c>
      <c r="R1196" t="s">
        <v>131</v>
      </c>
      <c r="S1196" t="s">
        <v>14</v>
      </c>
      <c r="T1196" t="s">
        <v>1427</v>
      </c>
      <c r="U1196" t="str">
        <f>IFERROR(_xlfn.XLOOKUP(A1196,'2025 EOY'!A:A,'2025 EOY'!B:B),"No")</f>
        <v>No</v>
      </c>
      <c r="V1196" s="4"/>
      <c r="W1196" s="4"/>
    </row>
    <row r="1197" spans="1:23" x14ac:dyDescent="0.35">
      <c r="A1197" s="37" t="s">
        <v>1421</v>
      </c>
      <c r="B1197" s="174">
        <v>45912</v>
      </c>
      <c r="C1197" s="47" t="s">
        <v>39</v>
      </c>
      <c r="D1197" s="4" t="s">
        <v>128</v>
      </c>
      <c r="E1197" s="273">
        <v>-700</v>
      </c>
      <c r="F1197" s="172">
        <v>45991</v>
      </c>
      <c r="G1197" s="172">
        <v>45991</v>
      </c>
      <c r="H1197" s="219">
        <v>158</v>
      </c>
      <c r="I1197" s="206">
        <v>158</v>
      </c>
      <c r="J1197" s="9">
        <v>0</v>
      </c>
      <c r="K1197">
        <v>-110600</v>
      </c>
      <c r="L1197" s="14" t="s">
        <v>90</v>
      </c>
      <c r="M1197" s="8" t="s">
        <v>129</v>
      </c>
      <c r="N1197">
        <v>-110600</v>
      </c>
      <c r="O1197" s="38" t="s">
        <v>29</v>
      </c>
      <c r="P1197" s="38" t="s">
        <v>29</v>
      </c>
      <c r="Q1197">
        <v>2025</v>
      </c>
      <c r="R1197" t="s">
        <v>129</v>
      </c>
      <c r="S1197" t="s">
        <v>14</v>
      </c>
      <c r="T1197" t="s">
        <v>1428</v>
      </c>
      <c r="U1197" t="str">
        <f>IFERROR(_xlfn.XLOOKUP(A1197,'2025 EOY'!A:A,'2025 EOY'!B:B),"No")</f>
        <v>No</v>
      </c>
      <c r="V1197" s="4"/>
      <c r="W1197" s="4"/>
    </row>
    <row r="1198" spans="1:23" x14ac:dyDescent="0.35">
      <c r="A1198" t="s">
        <v>127</v>
      </c>
      <c r="B1198" s="174">
        <v>45906</v>
      </c>
      <c r="C1198" s="4" t="s">
        <v>22</v>
      </c>
      <c r="D1198" s="4" t="s">
        <v>128</v>
      </c>
      <c r="E1198" s="253">
        <v>700</v>
      </c>
      <c r="F1198" t="s">
        <v>1386</v>
      </c>
      <c r="G1198" s="190">
        <v>45930</v>
      </c>
      <c r="H1198" s="218">
        <v>0.41</v>
      </c>
      <c r="I1198" s="191">
        <v>0.41200000000000003</v>
      </c>
      <c r="J1198" s="9">
        <v>1.4000000000000401</v>
      </c>
      <c r="K1198">
        <v>287</v>
      </c>
      <c r="L1198" s="14" t="s">
        <v>91</v>
      </c>
      <c r="M1198" s="8" t="s">
        <v>131</v>
      </c>
      <c r="N1198">
        <v>397.59999999999997</v>
      </c>
      <c r="O1198" s="38" t="s">
        <v>11</v>
      </c>
      <c r="P1198" s="38" t="s">
        <v>16</v>
      </c>
      <c r="Q1198">
        <v>2025</v>
      </c>
      <c r="R1198" t="s">
        <v>131</v>
      </c>
      <c r="S1198" t="s">
        <v>14</v>
      </c>
      <c r="T1198" t="s">
        <v>1429</v>
      </c>
      <c r="U1198" t="str">
        <f>IFERROR(_xlfn.XLOOKUP(A1198,'2025 EOY'!A:A,'2025 EOY'!B:B),"No")</f>
        <v>No</v>
      </c>
    </row>
    <row r="1199" spans="1:23" x14ac:dyDescent="0.35">
      <c r="A1199" s="37" t="s">
        <v>1430</v>
      </c>
      <c r="B1199" s="174">
        <v>45915</v>
      </c>
      <c r="C1199" s="10" t="s">
        <v>19</v>
      </c>
      <c r="D1199" s="4" t="s">
        <v>268</v>
      </c>
      <c r="E1199" s="264">
        <v>700</v>
      </c>
      <c r="F1199" s="172">
        <v>45930</v>
      </c>
      <c r="G1199" s="172">
        <v>45930</v>
      </c>
      <c r="H1199" s="218">
        <v>0</v>
      </c>
      <c r="I1199" s="192">
        <v>0</v>
      </c>
      <c r="J1199" s="9">
        <v>0</v>
      </c>
      <c r="K1199">
        <v>0</v>
      </c>
      <c r="L1199" s="14" t="s">
        <v>86</v>
      </c>
      <c r="M1199" s="8" t="s">
        <v>131</v>
      </c>
      <c r="N1199">
        <v>0</v>
      </c>
      <c r="O1199" s="38" t="s">
        <v>19</v>
      </c>
      <c r="P1199" s="38" t="s">
        <v>19</v>
      </c>
      <c r="Q1199">
        <v>2025</v>
      </c>
      <c r="R1199" t="s">
        <v>131</v>
      </c>
      <c r="S1199" t="s">
        <v>96</v>
      </c>
      <c r="T1199" t="s">
        <v>1431</v>
      </c>
      <c r="U1199" t="str">
        <f>IFERROR(_xlfn.XLOOKUP(A1199,'2025 EOY'!A:A,'2025 EOY'!B:B),"No")</f>
        <v>No</v>
      </c>
    </row>
    <row r="1200" spans="1:23" x14ac:dyDescent="0.35">
      <c r="A1200" s="37" t="s">
        <v>1430</v>
      </c>
      <c r="B1200" s="174">
        <v>45915</v>
      </c>
      <c r="C1200" s="10" t="s">
        <v>3</v>
      </c>
      <c r="D1200" s="4" t="s">
        <v>268</v>
      </c>
      <c r="E1200" s="265">
        <v>-700</v>
      </c>
      <c r="F1200" s="172">
        <v>45961</v>
      </c>
      <c r="G1200" s="172">
        <v>45991</v>
      </c>
      <c r="H1200" s="129">
        <v>0.27</v>
      </c>
      <c r="I1200" s="192">
        <v>0.28000000000000003</v>
      </c>
      <c r="J1200" s="9">
        <v>-7.0000000000000062</v>
      </c>
      <c r="K1200">
        <v>-189</v>
      </c>
      <c r="L1200" s="14" t="s">
        <v>79</v>
      </c>
      <c r="M1200" s="8" t="s">
        <v>129</v>
      </c>
      <c r="N1200">
        <v>-196.00000000000003</v>
      </c>
      <c r="O1200" s="38" t="s">
        <v>4</v>
      </c>
      <c r="P1200" s="38" t="s">
        <v>3</v>
      </c>
      <c r="Q1200">
        <v>2025</v>
      </c>
      <c r="R1200" t="s">
        <v>129</v>
      </c>
      <c r="S1200" t="s">
        <v>14</v>
      </c>
      <c r="T1200" t="s">
        <v>1432</v>
      </c>
      <c r="U1200" t="str">
        <f>IFERROR(_xlfn.XLOOKUP(A1200,'2025 EOY'!A:A,'2025 EOY'!B:B),"No")</f>
        <v>No</v>
      </c>
    </row>
    <row r="1201" spans="1:23" x14ac:dyDescent="0.35">
      <c r="A1201" s="37" t="s">
        <v>1430</v>
      </c>
      <c r="B1201" s="174">
        <v>45915</v>
      </c>
      <c r="C1201" s="10" t="s">
        <v>10</v>
      </c>
      <c r="D1201" s="4" t="s">
        <v>268</v>
      </c>
      <c r="E1201" s="265">
        <v>-700</v>
      </c>
      <c r="F1201" s="172">
        <v>46022</v>
      </c>
      <c r="G1201" s="172">
        <v>46022</v>
      </c>
      <c r="H1201" s="218">
        <v>-4.28</v>
      </c>
      <c r="I1201" s="192">
        <v>-4.09</v>
      </c>
      <c r="J1201" s="9">
        <v>-133.00000000000028</v>
      </c>
      <c r="K1201">
        <v>2996</v>
      </c>
      <c r="L1201" s="14" t="s">
        <v>94</v>
      </c>
      <c r="M1201" s="8" t="s">
        <v>129</v>
      </c>
      <c r="N1201">
        <v>2863</v>
      </c>
      <c r="O1201" s="38" t="s">
        <v>11</v>
      </c>
      <c r="P1201" s="38" t="s">
        <v>10</v>
      </c>
      <c r="Q1201">
        <v>2025</v>
      </c>
      <c r="R1201" t="s">
        <v>129</v>
      </c>
      <c r="S1201" t="s">
        <v>14</v>
      </c>
      <c r="T1201" t="s">
        <v>1433</v>
      </c>
      <c r="U1201" t="str">
        <f>IFERROR(_xlfn.XLOOKUP(A1201,'2025 EOY'!A:A,'2025 EOY'!B:B),"No")</f>
        <v>No</v>
      </c>
    </row>
    <row r="1202" spans="1:23" x14ac:dyDescent="0.35">
      <c r="A1202" s="37" t="s">
        <v>1430</v>
      </c>
      <c r="B1202" s="174">
        <v>45915</v>
      </c>
      <c r="C1202" s="10" t="s">
        <v>3</v>
      </c>
      <c r="D1202" s="4" t="s">
        <v>268</v>
      </c>
      <c r="E1202" s="273">
        <v>-700</v>
      </c>
      <c r="F1202" s="172">
        <v>45991</v>
      </c>
      <c r="G1202" s="172">
        <v>46022</v>
      </c>
      <c r="H1202" s="129">
        <v>0.27</v>
      </c>
      <c r="I1202" s="192">
        <v>0.5</v>
      </c>
      <c r="J1202" s="9">
        <v>-161</v>
      </c>
      <c r="K1202">
        <v>-189</v>
      </c>
      <c r="L1202" s="14" t="s">
        <v>13</v>
      </c>
      <c r="M1202" s="8" t="s">
        <v>129</v>
      </c>
      <c r="N1202">
        <v>-350</v>
      </c>
      <c r="O1202" s="38" t="s">
        <v>4</v>
      </c>
      <c r="P1202" s="38" t="s">
        <v>3</v>
      </c>
      <c r="Q1202">
        <v>2025</v>
      </c>
      <c r="R1202" t="s">
        <v>129</v>
      </c>
      <c r="S1202" t="s">
        <v>14</v>
      </c>
      <c r="T1202" t="s">
        <v>1434</v>
      </c>
      <c r="U1202" t="str">
        <f>IFERROR(_xlfn.XLOOKUP(A1202,'2025 EOY'!A:A,'2025 EOY'!B:B),"No")</f>
        <v>No</v>
      </c>
    </row>
    <row r="1203" spans="1:23" x14ac:dyDescent="0.35">
      <c r="A1203" s="37" t="s">
        <v>127</v>
      </c>
      <c r="B1203" s="174">
        <v>45916</v>
      </c>
      <c r="C1203" s="4" t="s">
        <v>3</v>
      </c>
      <c r="D1203" s="4" t="s">
        <v>128</v>
      </c>
      <c r="E1203" s="253">
        <v>-772</v>
      </c>
      <c r="F1203" s="172">
        <v>46022</v>
      </c>
      <c r="G1203" s="172">
        <v>46053</v>
      </c>
      <c r="H1203" s="218">
        <v>0.18</v>
      </c>
      <c r="I1203" s="192">
        <v>0.19</v>
      </c>
      <c r="J1203" s="9">
        <v>-7.7200000000000069</v>
      </c>
      <c r="K1203">
        <v>-138.96</v>
      </c>
      <c r="L1203" s="14" t="s">
        <v>18</v>
      </c>
      <c r="M1203" s="8" t="s">
        <v>129</v>
      </c>
      <c r="N1203">
        <v>-146.68</v>
      </c>
      <c r="O1203" s="38" t="s">
        <v>4</v>
      </c>
      <c r="P1203" s="38" t="s">
        <v>3</v>
      </c>
      <c r="Q1203">
        <v>2025</v>
      </c>
      <c r="R1203" t="s">
        <v>129</v>
      </c>
      <c r="S1203" t="s">
        <v>14</v>
      </c>
      <c r="T1203" t="s">
        <v>1435</v>
      </c>
      <c r="U1203" t="str">
        <f>IFERROR(_xlfn.XLOOKUP(A1203,'2025 EOY'!A:A,'2025 EOY'!B:B),"No")</f>
        <v>No</v>
      </c>
    </row>
    <row r="1204" spans="1:23" x14ac:dyDescent="0.35">
      <c r="A1204" s="37" t="s">
        <v>127</v>
      </c>
      <c r="B1204" s="174">
        <v>45916</v>
      </c>
      <c r="C1204" s="4" t="s">
        <v>3</v>
      </c>
      <c r="D1204" s="4" t="s">
        <v>128</v>
      </c>
      <c r="E1204" s="253">
        <v>-378</v>
      </c>
      <c r="F1204" s="172">
        <v>45991</v>
      </c>
      <c r="G1204" s="172">
        <v>46022</v>
      </c>
      <c r="H1204" s="218">
        <v>0.31</v>
      </c>
      <c r="I1204" s="192">
        <v>0.5</v>
      </c>
      <c r="J1204" s="9">
        <v>-71.820000000000007</v>
      </c>
      <c r="K1204">
        <v>-117.17999999999999</v>
      </c>
      <c r="L1204" s="14" t="s">
        <v>13</v>
      </c>
      <c r="M1204" s="8" t="s">
        <v>129</v>
      </c>
      <c r="N1204">
        <v>-189</v>
      </c>
      <c r="O1204" s="38" t="s">
        <v>4</v>
      </c>
      <c r="P1204" s="38" t="s">
        <v>3</v>
      </c>
      <c r="Q1204">
        <v>2025</v>
      </c>
      <c r="R1204" t="s">
        <v>129</v>
      </c>
      <c r="S1204" t="s">
        <v>14</v>
      </c>
      <c r="T1204" t="s">
        <v>1436</v>
      </c>
      <c r="U1204" t="str">
        <f>IFERROR(_xlfn.XLOOKUP(A1204,'2025 EOY'!A:A,'2025 EOY'!B:B),"No")</f>
        <v>No</v>
      </c>
    </row>
    <row r="1205" spans="1:23" x14ac:dyDescent="0.35">
      <c r="A1205" s="37" t="s">
        <v>127</v>
      </c>
      <c r="B1205" s="174">
        <v>45915</v>
      </c>
      <c r="C1205" s="10" t="s">
        <v>7</v>
      </c>
      <c r="D1205" s="4" t="s">
        <v>128</v>
      </c>
      <c r="E1205" s="253">
        <v>-1500</v>
      </c>
      <c r="F1205" s="172">
        <v>46022</v>
      </c>
      <c r="G1205" s="172">
        <v>46053</v>
      </c>
      <c r="H1205" s="218">
        <v>0.35</v>
      </c>
      <c r="I1205" s="192">
        <v>0.3</v>
      </c>
      <c r="J1205" s="9">
        <v>74.999999999999986</v>
      </c>
      <c r="K1205">
        <v>-525</v>
      </c>
      <c r="L1205" s="14" t="s">
        <v>18</v>
      </c>
      <c r="M1205" s="8" t="s">
        <v>129</v>
      </c>
      <c r="N1205">
        <v>-450</v>
      </c>
      <c r="O1205" s="38" t="s">
        <v>4</v>
      </c>
      <c r="P1205" s="38" t="s">
        <v>7</v>
      </c>
      <c r="Q1205">
        <v>2025</v>
      </c>
      <c r="R1205" t="s">
        <v>129</v>
      </c>
      <c r="S1205" t="s">
        <v>14</v>
      </c>
      <c r="T1205" t="s">
        <v>1437</v>
      </c>
      <c r="U1205" t="str">
        <f>IFERROR(_xlfn.XLOOKUP(A1205,'2025 EOY'!A:A,'2025 EOY'!B:B),"No")</f>
        <v>No</v>
      </c>
    </row>
    <row r="1206" spans="1:23" x14ac:dyDescent="0.35">
      <c r="A1206" s="37" t="s">
        <v>127</v>
      </c>
      <c r="B1206" s="174">
        <v>45915</v>
      </c>
      <c r="C1206" s="10" t="s">
        <v>7</v>
      </c>
      <c r="D1206" s="4" t="s">
        <v>128</v>
      </c>
      <c r="E1206" s="253">
        <v>-800</v>
      </c>
      <c r="F1206" s="172">
        <v>45991</v>
      </c>
      <c r="G1206" s="172">
        <v>46022</v>
      </c>
      <c r="H1206" s="218">
        <v>0.4</v>
      </c>
      <c r="I1206" s="192">
        <v>0.99</v>
      </c>
      <c r="J1206" s="9">
        <v>-472</v>
      </c>
      <c r="K1206">
        <v>-320</v>
      </c>
      <c r="L1206" s="14" t="s">
        <v>13</v>
      </c>
      <c r="M1206" s="8" t="s">
        <v>129</v>
      </c>
      <c r="N1206">
        <v>-792</v>
      </c>
      <c r="O1206" s="38" t="s">
        <v>4</v>
      </c>
      <c r="P1206" s="38" t="s">
        <v>7</v>
      </c>
      <c r="Q1206">
        <v>2025</v>
      </c>
      <c r="R1206" t="s">
        <v>129</v>
      </c>
      <c r="S1206" t="s">
        <v>14</v>
      </c>
      <c r="T1206" t="s">
        <v>1438</v>
      </c>
      <c r="U1206" t="str">
        <f>IFERROR(_xlfn.XLOOKUP(A1206,'2025 EOY'!A:A,'2025 EOY'!B:B),"No")</f>
        <v>No</v>
      </c>
    </row>
    <row r="1207" spans="1:23" x14ac:dyDescent="0.35">
      <c r="A1207" s="37" t="s">
        <v>127</v>
      </c>
      <c r="B1207" s="174">
        <v>45916</v>
      </c>
      <c r="C1207" s="4" t="s">
        <v>3</v>
      </c>
      <c r="D1207" s="4" t="s">
        <v>128</v>
      </c>
      <c r="E1207" s="253">
        <v>549</v>
      </c>
      <c r="F1207" s="172">
        <v>45961</v>
      </c>
      <c r="G1207" s="172">
        <v>45991</v>
      </c>
      <c r="H1207" s="218">
        <v>0.28000000000000003</v>
      </c>
      <c r="I1207" s="192">
        <v>0.28000000000000003</v>
      </c>
      <c r="J1207" s="9">
        <v>0</v>
      </c>
      <c r="K1207">
        <v>153.72000000000003</v>
      </c>
      <c r="L1207" s="14" t="s">
        <v>79</v>
      </c>
      <c r="M1207" s="8" t="s">
        <v>131</v>
      </c>
      <c r="N1207">
        <v>153.72000000000003</v>
      </c>
      <c r="O1207" s="38" t="s">
        <v>4</v>
      </c>
      <c r="P1207" s="38" t="s">
        <v>3</v>
      </c>
      <c r="Q1207">
        <v>2025</v>
      </c>
      <c r="R1207" t="s">
        <v>131</v>
      </c>
      <c r="S1207" t="s">
        <v>14</v>
      </c>
      <c r="T1207" t="s">
        <v>1439</v>
      </c>
      <c r="U1207" t="str">
        <f>IFERROR(_xlfn.XLOOKUP(A1207,'2025 EOY'!A:A,'2025 EOY'!B:B),"No")</f>
        <v>No</v>
      </c>
    </row>
    <row r="1208" spans="1:23" x14ac:dyDescent="0.35">
      <c r="A1208" s="37" t="s">
        <v>127</v>
      </c>
      <c r="B1208" s="174">
        <v>45915</v>
      </c>
      <c r="C1208" s="10" t="s">
        <v>7</v>
      </c>
      <c r="D1208" s="4" t="s">
        <v>128</v>
      </c>
      <c r="E1208" s="253">
        <v>240</v>
      </c>
      <c r="F1208" s="172">
        <v>45991</v>
      </c>
      <c r="G1208" s="172">
        <v>46022</v>
      </c>
      <c r="H1208" s="218">
        <v>0.85</v>
      </c>
      <c r="I1208" s="192">
        <v>0.99</v>
      </c>
      <c r="J1208" s="9">
        <v>33.6</v>
      </c>
      <c r="K1208">
        <v>204</v>
      </c>
      <c r="L1208" s="14" t="s">
        <v>13</v>
      </c>
      <c r="M1208" s="8" t="s">
        <v>131</v>
      </c>
      <c r="N1208">
        <v>237.6</v>
      </c>
      <c r="O1208" s="38" t="s">
        <v>4</v>
      </c>
      <c r="P1208" s="38" t="s">
        <v>7</v>
      </c>
      <c r="Q1208">
        <v>2025</v>
      </c>
      <c r="R1208" t="s">
        <v>131</v>
      </c>
      <c r="S1208" t="s">
        <v>14</v>
      </c>
      <c r="T1208" t="s">
        <v>1440</v>
      </c>
      <c r="U1208" t="str">
        <f>IFERROR(_xlfn.XLOOKUP(A1208,'2025 EOY'!A:A,'2025 EOY'!B:B),"No")</f>
        <v>No</v>
      </c>
    </row>
    <row r="1209" spans="1:23" x14ac:dyDescent="0.35">
      <c r="A1209" s="37" t="s">
        <v>127</v>
      </c>
      <c r="B1209" s="174">
        <v>45915</v>
      </c>
      <c r="C1209" s="10" t="s">
        <v>10</v>
      </c>
      <c r="D1209" s="4" t="s">
        <v>128</v>
      </c>
      <c r="E1209" s="265">
        <v>17</v>
      </c>
      <c r="F1209" s="172">
        <v>45991</v>
      </c>
      <c r="G1209" s="172">
        <v>45991</v>
      </c>
      <c r="H1209" s="218">
        <v>-4.5199999999999996</v>
      </c>
      <c r="I1209" s="192">
        <v>-4.6500000000000004</v>
      </c>
      <c r="J1209" s="9">
        <v>-2.2100000000000133</v>
      </c>
      <c r="K1209">
        <v>-76.839999999999989</v>
      </c>
      <c r="L1209" s="14" t="s">
        <v>90</v>
      </c>
      <c r="M1209" s="8" t="s">
        <v>131</v>
      </c>
      <c r="N1209">
        <v>-79.050000000000011</v>
      </c>
      <c r="O1209" s="38" t="s">
        <v>11</v>
      </c>
      <c r="P1209" s="38" t="s">
        <v>10</v>
      </c>
      <c r="Q1209">
        <v>2025</v>
      </c>
      <c r="R1209" t="s">
        <v>131</v>
      </c>
      <c r="S1209" t="s">
        <v>14</v>
      </c>
      <c r="T1209" t="s">
        <v>1441</v>
      </c>
      <c r="U1209" t="str">
        <f>IFERROR(_xlfn.XLOOKUP(A1209,'2025 EOY'!A:A,'2025 EOY'!B:B),"No")</f>
        <v>No</v>
      </c>
    </row>
    <row r="1210" spans="1:23" x14ac:dyDescent="0.35">
      <c r="A1210" s="37" t="s">
        <v>127</v>
      </c>
      <c r="B1210" s="174">
        <v>45930</v>
      </c>
      <c r="C1210" s="4" t="s">
        <v>3</v>
      </c>
      <c r="D1210" s="4" t="s">
        <v>128</v>
      </c>
      <c r="E1210" s="253">
        <v>250</v>
      </c>
      <c r="F1210" s="172">
        <v>45991</v>
      </c>
      <c r="G1210" s="172">
        <v>46022</v>
      </c>
      <c r="H1210" s="218">
        <v>0.4</v>
      </c>
      <c r="I1210" s="192">
        <v>0.5</v>
      </c>
      <c r="J1210" s="9">
        <v>24.999999999999993</v>
      </c>
      <c r="K1210">
        <v>100</v>
      </c>
      <c r="L1210" s="14" t="s">
        <v>13</v>
      </c>
      <c r="M1210" s="8" t="s">
        <v>131</v>
      </c>
      <c r="N1210">
        <v>125</v>
      </c>
      <c r="O1210" s="38" t="s">
        <v>4</v>
      </c>
      <c r="P1210" s="38" t="s">
        <v>3</v>
      </c>
      <c r="Q1210">
        <v>2025</v>
      </c>
      <c r="R1210" t="s">
        <v>131</v>
      </c>
      <c r="S1210" t="s">
        <v>14</v>
      </c>
      <c r="T1210" t="s">
        <v>1442</v>
      </c>
      <c r="U1210" t="str">
        <f>IFERROR(_xlfn.XLOOKUP(A1210,'2025 EOY'!A:A,'2025 EOY'!B:B),"No")</f>
        <v>No</v>
      </c>
    </row>
    <row r="1211" spans="1:23" x14ac:dyDescent="0.35">
      <c r="A1211" t="s">
        <v>127</v>
      </c>
      <c r="B1211" s="174">
        <v>45930</v>
      </c>
      <c r="C1211" s="10" t="s">
        <v>15</v>
      </c>
      <c r="D1211" s="4" t="s">
        <v>128</v>
      </c>
      <c r="E1211" s="253">
        <v>-1290</v>
      </c>
      <c r="F1211" s="173">
        <v>45930</v>
      </c>
      <c r="G1211" s="172">
        <v>45930</v>
      </c>
      <c r="H1211" s="218">
        <v>0.49</v>
      </c>
      <c r="I1211" s="191">
        <v>0.49</v>
      </c>
      <c r="J1211" s="9">
        <v>0</v>
      </c>
      <c r="K1211">
        <v>-632.1</v>
      </c>
      <c r="L1211" s="14" t="s">
        <v>86</v>
      </c>
      <c r="M1211" s="8" t="s">
        <v>129</v>
      </c>
      <c r="N1211">
        <v>-632.1</v>
      </c>
      <c r="O1211" s="38" t="s">
        <v>11</v>
      </c>
      <c r="P1211" s="38" t="s">
        <v>16</v>
      </c>
      <c r="Q1211">
        <v>2025</v>
      </c>
      <c r="R1211" t="s">
        <v>129</v>
      </c>
      <c r="S1211" t="s">
        <v>14</v>
      </c>
      <c r="T1211" t="s">
        <v>1443</v>
      </c>
      <c r="U1211" t="str">
        <f>IFERROR(_xlfn.XLOOKUP(A1211,'2025 EOY'!A:A,'2025 EOY'!B:B),"No")</f>
        <v>No</v>
      </c>
    </row>
    <row r="1212" spans="1:23" x14ac:dyDescent="0.35">
      <c r="A1212" s="37" t="s">
        <v>127</v>
      </c>
      <c r="B1212" s="174">
        <v>45930</v>
      </c>
      <c r="C1212" s="47" t="s">
        <v>36</v>
      </c>
      <c r="D1212" s="4" t="s">
        <v>128</v>
      </c>
      <c r="E1212" s="265">
        <v>-500</v>
      </c>
      <c r="F1212" s="172">
        <v>45930</v>
      </c>
      <c r="G1212" s="172">
        <v>45930</v>
      </c>
      <c r="H1212" s="219">
        <v>162</v>
      </c>
      <c r="I1212" s="206">
        <v>162</v>
      </c>
      <c r="J1212" s="9">
        <v>0</v>
      </c>
      <c r="K1212">
        <v>-81000</v>
      </c>
      <c r="L1212" s="14" t="s">
        <v>86</v>
      </c>
      <c r="M1212" s="8" t="s">
        <v>129</v>
      </c>
      <c r="N1212">
        <v>-81000</v>
      </c>
      <c r="O1212" s="38" t="s">
        <v>29</v>
      </c>
      <c r="P1212" s="38" t="s">
        <v>29</v>
      </c>
      <c r="Q1212">
        <v>2025</v>
      </c>
      <c r="R1212" t="s">
        <v>129</v>
      </c>
      <c r="S1212" t="s">
        <v>14</v>
      </c>
      <c r="T1212" t="s">
        <v>1444</v>
      </c>
      <c r="U1212" t="str">
        <f>IFERROR(_xlfn.XLOOKUP(A1212,'2025 EOY'!A:A,'2025 EOY'!B:B),"No")</f>
        <v>No</v>
      </c>
      <c r="V1212" s="4"/>
      <c r="W1212" s="4"/>
    </row>
    <row r="1213" spans="1:23" x14ac:dyDescent="0.35">
      <c r="A1213" t="s">
        <v>127</v>
      </c>
      <c r="B1213" s="174">
        <v>45931</v>
      </c>
      <c r="C1213" s="10" t="s">
        <v>15</v>
      </c>
      <c r="D1213" s="4" t="s">
        <v>128</v>
      </c>
      <c r="E1213" s="253">
        <v>210</v>
      </c>
      <c r="F1213" s="173">
        <v>45991</v>
      </c>
      <c r="G1213" s="172">
        <v>45991</v>
      </c>
      <c r="H1213" s="218">
        <v>0.499</v>
      </c>
      <c r="I1213" s="191">
        <v>7.0000000000000007E-2</v>
      </c>
      <c r="J1213" s="9">
        <v>-90.09</v>
      </c>
      <c r="K1213">
        <v>104.79</v>
      </c>
      <c r="L1213" s="14" t="s">
        <v>90</v>
      </c>
      <c r="M1213" s="8" t="s">
        <v>131</v>
      </c>
      <c r="N1213">
        <v>14.700000000000001</v>
      </c>
      <c r="O1213" s="38" t="s">
        <v>11</v>
      </c>
      <c r="P1213" s="38" t="s">
        <v>16</v>
      </c>
      <c r="Q1213">
        <v>2025</v>
      </c>
      <c r="R1213" t="s">
        <v>131</v>
      </c>
      <c r="S1213" t="s">
        <v>14</v>
      </c>
      <c r="T1213" t="s">
        <v>1445</v>
      </c>
      <c r="U1213" t="str">
        <f>IFERROR(_xlfn.XLOOKUP(A1213,'2025 EOY'!A:A,'2025 EOY'!B:B),"No")</f>
        <v>No</v>
      </c>
    </row>
    <row r="1214" spans="1:23" x14ac:dyDescent="0.35">
      <c r="A1214" s="37" t="s">
        <v>127</v>
      </c>
      <c r="B1214" s="220">
        <v>45932</v>
      </c>
      <c r="C1214" s="221" t="s">
        <v>10</v>
      </c>
      <c r="D1214" s="222" t="s">
        <v>128</v>
      </c>
      <c r="E1214" s="275">
        <v>272</v>
      </c>
      <c r="F1214" s="223">
        <v>46022</v>
      </c>
      <c r="G1214" s="223">
        <v>46022</v>
      </c>
      <c r="H1214" s="224">
        <v>-3.9500000000000028</v>
      </c>
      <c r="I1214" s="192">
        <v>-4.09</v>
      </c>
      <c r="J1214" s="9">
        <v>-38.079999999999188</v>
      </c>
      <c r="K1214">
        <v>-1074.4000000000008</v>
      </c>
      <c r="L1214" s="14" t="s">
        <v>94</v>
      </c>
      <c r="M1214" s="8" t="s">
        <v>131</v>
      </c>
      <c r="N1214">
        <v>-1112.48</v>
      </c>
      <c r="O1214" s="38" t="s">
        <v>11</v>
      </c>
      <c r="P1214" s="38" t="s">
        <v>10</v>
      </c>
      <c r="Q1214">
        <v>2025</v>
      </c>
      <c r="R1214" t="s">
        <v>131</v>
      </c>
      <c r="S1214" t="s">
        <v>14</v>
      </c>
      <c r="T1214" t="s">
        <v>1446</v>
      </c>
      <c r="U1214" t="str">
        <f>IFERROR(_xlfn.XLOOKUP(A1214,'2025 EOY'!A:A,'2025 EOY'!B:B),"No")</f>
        <v>No</v>
      </c>
    </row>
    <row r="1215" spans="1:23" x14ac:dyDescent="0.35">
      <c r="A1215" s="37" t="s">
        <v>127</v>
      </c>
      <c r="B1215" s="220">
        <v>45932</v>
      </c>
      <c r="C1215" s="222" t="s">
        <v>3</v>
      </c>
      <c r="D1215" s="222" t="s">
        <v>128</v>
      </c>
      <c r="E1215" s="278">
        <v>272</v>
      </c>
      <c r="F1215" s="223">
        <v>45991</v>
      </c>
      <c r="G1215" s="223">
        <v>46022</v>
      </c>
      <c r="H1215" s="224">
        <v>0.32000000000000028</v>
      </c>
      <c r="I1215" s="192">
        <v>0.5</v>
      </c>
      <c r="J1215" s="9">
        <v>48.959999999999923</v>
      </c>
      <c r="K1215">
        <v>87.040000000000077</v>
      </c>
      <c r="L1215" s="14" t="s">
        <v>13</v>
      </c>
      <c r="M1215" s="8" t="s">
        <v>131</v>
      </c>
      <c r="N1215">
        <v>136</v>
      </c>
      <c r="O1215" s="38" t="s">
        <v>4</v>
      </c>
      <c r="P1215" s="38" t="s">
        <v>3</v>
      </c>
      <c r="Q1215">
        <v>2025</v>
      </c>
      <c r="R1215" t="s">
        <v>131</v>
      </c>
      <c r="S1215" t="s">
        <v>14</v>
      </c>
      <c r="T1215" t="s">
        <v>1447</v>
      </c>
      <c r="U1215" t="str">
        <f>IFERROR(_xlfn.XLOOKUP(A1215,'2025 EOY'!A:A,'2025 EOY'!B:B),"No")</f>
        <v>No</v>
      </c>
    </row>
    <row r="1216" spans="1:23" x14ac:dyDescent="0.35">
      <c r="A1216" t="s">
        <v>1448</v>
      </c>
      <c r="B1216" s="174">
        <v>45944</v>
      </c>
      <c r="C1216" s="187" t="s">
        <v>19</v>
      </c>
      <c r="D1216" s="10" t="s">
        <v>268</v>
      </c>
      <c r="E1216" s="264">
        <v>2100</v>
      </c>
      <c r="F1216" s="172">
        <v>45991</v>
      </c>
      <c r="G1216" s="172">
        <v>45991</v>
      </c>
      <c r="H1216" s="15">
        <v>-2.0699999999999998</v>
      </c>
      <c r="I1216" s="201">
        <v>-2.0499999999999998</v>
      </c>
      <c r="J1216" s="9">
        <v>42.000000000000036</v>
      </c>
      <c r="K1216">
        <v>-4347</v>
      </c>
      <c r="L1216" s="14" t="s">
        <v>90</v>
      </c>
      <c r="M1216" s="8" t="s">
        <v>131</v>
      </c>
      <c r="N1216">
        <v>-4305</v>
      </c>
      <c r="O1216" s="38" t="s">
        <v>19</v>
      </c>
      <c r="P1216" s="38" t="s">
        <v>19</v>
      </c>
      <c r="Q1216">
        <v>2025</v>
      </c>
      <c r="R1216" t="s">
        <v>131</v>
      </c>
      <c r="S1216" t="s">
        <v>96</v>
      </c>
      <c r="T1216" t="s">
        <v>1449</v>
      </c>
      <c r="U1216" t="str">
        <f>IFERROR(_xlfn.XLOOKUP(A1216,'2025 EOY'!A:A,'2025 EOY'!B:B),"No")</f>
        <v>No</v>
      </c>
    </row>
    <row r="1217" spans="1:21" ht="13.5" customHeight="1" x14ac:dyDescent="0.35">
      <c r="A1217" t="s">
        <v>1448</v>
      </c>
      <c r="B1217" s="174">
        <v>45944</v>
      </c>
      <c r="C1217" s="10" t="s">
        <v>3</v>
      </c>
      <c r="D1217" s="4" t="s">
        <v>268</v>
      </c>
      <c r="E1217" s="265">
        <v>-2100</v>
      </c>
      <c r="F1217" s="172">
        <v>45991</v>
      </c>
      <c r="G1217" s="172">
        <v>46022</v>
      </c>
      <c r="H1217" s="15">
        <v>0.43</v>
      </c>
      <c r="I1217" s="192">
        <v>0.5</v>
      </c>
      <c r="J1217" s="9">
        <v>-147</v>
      </c>
      <c r="K1217">
        <v>-903</v>
      </c>
      <c r="L1217" s="14" t="s">
        <v>13</v>
      </c>
      <c r="M1217" s="8" t="s">
        <v>129</v>
      </c>
      <c r="N1217">
        <v>-1050</v>
      </c>
      <c r="O1217" s="38" t="s">
        <v>4</v>
      </c>
      <c r="P1217" s="38" t="s">
        <v>3</v>
      </c>
      <c r="Q1217">
        <v>2025</v>
      </c>
      <c r="R1217" t="s">
        <v>129</v>
      </c>
      <c r="S1217" t="s">
        <v>14</v>
      </c>
      <c r="T1217" t="s">
        <v>1450</v>
      </c>
      <c r="U1217" t="str">
        <f>IFERROR(_xlfn.XLOOKUP(A1217,'2025 EOY'!A:A,'2025 EOY'!B:B),"No")</f>
        <v>No</v>
      </c>
    </row>
    <row r="1218" spans="1:21" x14ac:dyDescent="0.35">
      <c r="A1218" t="s">
        <v>1448</v>
      </c>
      <c r="B1218" s="174">
        <v>45944</v>
      </c>
      <c r="C1218" s="10" t="s">
        <v>3</v>
      </c>
      <c r="D1218" s="4" t="s">
        <v>268</v>
      </c>
      <c r="E1218" s="265">
        <v>-2100</v>
      </c>
      <c r="F1218" s="172">
        <v>46022</v>
      </c>
      <c r="G1218" s="172">
        <v>46053</v>
      </c>
      <c r="H1218" s="15">
        <v>0.17</v>
      </c>
      <c r="I1218" s="192">
        <v>0.19</v>
      </c>
      <c r="J1218" s="9">
        <v>-41.999999999999979</v>
      </c>
      <c r="K1218">
        <v>-357</v>
      </c>
      <c r="L1218" s="14" t="s">
        <v>18</v>
      </c>
      <c r="M1218" s="8" t="s">
        <v>129</v>
      </c>
      <c r="N1218">
        <v>-399</v>
      </c>
      <c r="O1218" s="38" t="s">
        <v>4</v>
      </c>
      <c r="P1218" s="38" t="s">
        <v>3</v>
      </c>
      <c r="Q1218">
        <v>2025</v>
      </c>
      <c r="R1218" t="s">
        <v>129</v>
      </c>
      <c r="S1218" t="s">
        <v>14</v>
      </c>
      <c r="T1218" t="s">
        <v>1451</v>
      </c>
      <c r="U1218" t="str">
        <f>IFERROR(_xlfn.XLOOKUP(A1218,'2025 EOY'!A:A,'2025 EOY'!B:B),"No")</f>
        <v>No</v>
      </c>
    </row>
    <row r="1219" spans="1:21" x14ac:dyDescent="0.35">
      <c r="A1219" t="s">
        <v>1448</v>
      </c>
      <c r="B1219" s="174">
        <v>45944</v>
      </c>
      <c r="C1219" s="10" t="s">
        <v>10</v>
      </c>
      <c r="D1219" s="4" t="s">
        <v>268</v>
      </c>
      <c r="E1219" s="265">
        <v>-2100</v>
      </c>
      <c r="F1219" s="172">
        <v>46053</v>
      </c>
      <c r="G1219" s="172">
        <v>46053</v>
      </c>
      <c r="H1219" s="15">
        <v>-3.96</v>
      </c>
      <c r="I1219" s="192">
        <v>-4.6500000000000004</v>
      </c>
      <c r="J1219" s="9">
        <v>1449.0000000000009</v>
      </c>
      <c r="K1219">
        <v>8316</v>
      </c>
      <c r="L1219" s="14" t="s">
        <v>95</v>
      </c>
      <c r="M1219" s="8" t="s">
        <v>129</v>
      </c>
      <c r="N1219">
        <v>9765</v>
      </c>
      <c r="O1219" s="38" t="s">
        <v>11</v>
      </c>
      <c r="P1219" s="38" t="s">
        <v>10</v>
      </c>
      <c r="Q1219">
        <v>2026</v>
      </c>
      <c r="R1219" t="s">
        <v>129</v>
      </c>
      <c r="S1219" t="s">
        <v>14</v>
      </c>
      <c r="T1219" t="s">
        <v>1452</v>
      </c>
      <c r="U1219" t="str">
        <f>IFERROR(_xlfn.XLOOKUP(A1219,'2025 EOY'!A:A,'2025 EOY'!B:B),"No")</f>
        <v>No</v>
      </c>
    </row>
    <row r="1220" spans="1:21" x14ac:dyDescent="0.35">
      <c r="A1220" t="s">
        <v>127</v>
      </c>
      <c r="B1220" s="174">
        <v>45944</v>
      </c>
      <c r="C1220" s="10" t="s">
        <v>15</v>
      </c>
      <c r="D1220" s="4" t="s">
        <v>128</v>
      </c>
      <c r="E1220" s="253">
        <v>-500</v>
      </c>
      <c r="F1220" s="173">
        <v>45991</v>
      </c>
      <c r="G1220" s="172">
        <v>45991</v>
      </c>
      <c r="H1220" s="218">
        <v>0.42</v>
      </c>
      <c r="I1220" s="191">
        <v>7.0000000000000007E-2</v>
      </c>
      <c r="J1220" s="9">
        <v>175</v>
      </c>
      <c r="K1220">
        <v>-210</v>
      </c>
      <c r="L1220" s="14" t="s">
        <v>90</v>
      </c>
      <c r="M1220" s="8" t="s">
        <v>129</v>
      </c>
      <c r="N1220">
        <v>-35</v>
      </c>
      <c r="O1220" s="38" t="s">
        <v>11</v>
      </c>
      <c r="P1220" s="38" t="s">
        <v>16</v>
      </c>
      <c r="Q1220">
        <v>2025</v>
      </c>
      <c r="R1220" t="s">
        <v>129</v>
      </c>
      <c r="S1220" t="s">
        <v>14</v>
      </c>
      <c r="T1220" t="s">
        <v>1453</v>
      </c>
      <c r="U1220" t="str">
        <f>IFERROR(_xlfn.XLOOKUP(A1220,'2025 EOY'!A:A,'2025 EOY'!B:B),"No")</f>
        <v>No</v>
      </c>
    </row>
    <row r="1221" spans="1:21" x14ac:dyDescent="0.35">
      <c r="A1221" s="37" t="s">
        <v>127</v>
      </c>
      <c r="B1221" s="174">
        <v>45946</v>
      </c>
      <c r="C1221" s="4" t="s">
        <v>3</v>
      </c>
      <c r="D1221" s="4" t="s">
        <v>128</v>
      </c>
      <c r="E1221" s="253">
        <v>400</v>
      </c>
      <c r="F1221" s="172">
        <v>45991</v>
      </c>
      <c r="G1221" s="172">
        <v>46022</v>
      </c>
      <c r="H1221" s="218">
        <v>0.45</v>
      </c>
      <c r="I1221" s="192">
        <v>0.5</v>
      </c>
      <c r="J1221" s="9">
        <v>19.999999999999996</v>
      </c>
      <c r="K1221">
        <v>180</v>
      </c>
      <c r="L1221" s="14" t="s">
        <v>13</v>
      </c>
      <c r="M1221" s="8" t="s">
        <v>131</v>
      </c>
      <c r="N1221">
        <v>200</v>
      </c>
      <c r="O1221" s="38" t="s">
        <v>4</v>
      </c>
      <c r="P1221" s="38" t="s">
        <v>3</v>
      </c>
      <c r="Q1221">
        <v>2025</v>
      </c>
      <c r="R1221" t="s">
        <v>131</v>
      </c>
      <c r="S1221" t="s">
        <v>14</v>
      </c>
      <c r="T1221" t="s">
        <v>1454</v>
      </c>
      <c r="U1221" t="str">
        <f>IFERROR(_xlfn.XLOOKUP(A1221,'2025 EOY'!A:A,'2025 EOY'!B:B),"No")</f>
        <v>No</v>
      </c>
    </row>
    <row r="1222" spans="1:21" x14ac:dyDescent="0.35">
      <c r="A1222" s="37" t="s">
        <v>127</v>
      </c>
      <c r="B1222" s="174">
        <v>45946</v>
      </c>
      <c r="C1222" s="4" t="s">
        <v>3</v>
      </c>
      <c r="D1222" s="4" t="s">
        <v>128</v>
      </c>
      <c r="E1222" s="253">
        <v>400</v>
      </c>
      <c r="F1222" s="172">
        <v>45991</v>
      </c>
      <c r="G1222" s="172">
        <v>46022</v>
      </c>
      <c r="H1222" s="218">
        <v>0.44</v>
      </c>
      <c r="I1222" s="192">
        <v>0.5</v>
      </c>
      <c r="J1222" s="9">
        <v>24</v>
      </c>
      <c r="K1222">
        <v>176</v>
      </c>
      <c r="L1222" s="14" t="s">
        <v>13</v>
      </c>
      <c r="M1222" s="8" t="s">
        <v>131</v>
      </c>
      <c r="N1222">
        <v>200</v>
      </c>
      <c r="O1222" s="38" t="s">
        <v>4</v>
      </c>
      <c r="P1222" s="38" t="s">
        <v>3</v>
      </c>
      <c r="Q1222">
        <v>2025</v>
      </c>
      <c r="R1222" t="s">
        <v>131</v>
      </c>
      <c r="S1222" t="s">
        <v>14</v>
      </c>
      <c r="T1222" t="s">
        <v>1455</v>
      </c>
      <c r="U1222" t="str">
        <f>IFERROR(_xlfn.XLOOKUP(A1222,'2025 EOY'!A:A,'2025 EOY'!B:B),"No")</f>
        <v>No</v>
      </c>
    </row>
    <row r="1223" spans="1:21" x14ac:dyDescent="0.35">
      <c r="A1223" s="37" t="s">
        <v>127</v>
      </c>
      <c r="B1223" s="174">
        <v>45946</v>
      </c>
      <c r="C1223" s="4" t="s">
        <v>3</v>
      </c>
      <c r="D1223" s="4" t="s">
        <v>128</v>
      </c>
      <c r="E1223" s="253">
        <v>139</v>
      </c>
      <c r="F1223" s="172">
        <v>45991</v>
      </c>
      <c r="G1223" s="172">
        <v>46022</v>
      </c>
      <c r="H1223" s="218">
        <v>0.43</v>
      </c>
      <c r="I1223" s="192">
        <v>0.5</v>
      </c>
      <c r="J1223" s="9">
        <v>9.73</v>
      </c>
      <c r="K1223">
        <v>59.769999999999996</v>
      </c>
      <c r="L1223" s="14" t="s">
        <v>13</v>
      </c>
      <c r="M1223" s="8" t="s">
        <v>131</v>
      </c>
      <c r="N1223">
        <v>69.5</v>
      </c>
      <c r="O1223" s="38" t="s">
        <v>4</v>
      </c>
      <c r="P1223" s="38" t="s">
        <v>3</v>
      </c>
      <c r="Q1223">
        <v>2025</v>
      </c>
      <c r="R1223" t="s">
        <v>131</v>
      </c>
      <c r="S1223" t="s">
        <v>14</v>
      </c>
      <c r="T1223" t="s">
        <v>1456</v>
      </c>
      <c r="U1223" t="str">
        <f>IFERROR(_xlfn.XLOOKUP(A1223,'2025 EOY'!A:A,'2025 EOY'!B:B),"No")</f>
        <v>No</v>
      </c>
    </row>
    <row r="1224" spans="1:21" ht="15" thickBot="1" x14ac:dyDescent="0.4">
      <c r="A1224" t="s">
        <v>1448</v>
      </c>
      <c r="B1224" s="174">
        <v>45946</v>
      </c>
      <c r="C1224" s="10" t="s">
        <v>10</v>
      </c>
      <c r="D1224" s="4" t="s">
        <v>128</v>
      </c>
      <c r="E1224" s="265">
        <v>82</v>
      </c>
      <c r="F1224" s="172">
        <v>46022</v>
      </c>
      <c r="G1224" s="172">
        <v>46022</v>
      </c>
      <c r="H1224" s="15">
        <v>-4.1500000000000004</v>
      </c>
      <c r="I1224" s="192">
        <v>-4.09</v>
      </c>
      <c r="J1224" s="9">
        <v>4.9200000000000408</v>
      </c>
      <c r="K1224">
        <v>-340.3</v>
      </c>
      <c r="L1224" s="14" t="s">
        <v>94</v>
      </c>
      <c r="M1224" s="8" t="s">
        <v>131</v>
      </c>
      <c r="N1224">
        <v>-335.38</v>
      </c>
      <c r="O1224" s="38" t="s">
        <v>11</v>
      </c>
      <c r="P1224" s="38" t="s">
        <v>10</v>
      </c>
      <c r="Q1224">
        <v>2025</v>
      </c>
      <c r="R1224" t="s">
        <v>131</v>
      </c>
      <c r="S1224" t="s">
        <v>14</v>
      </c>
      <c r="T1224" t="s">
        <v>1457</v>
      </c>
      <c r="U1224" t="str">
        <f>IFERROR(_xlfn.XLOOKUP(A1224,'2025 EOY'!A:A,'2025 EOY'!B:B),"No")</f>
        <v>No</v>
      </c>
    </row>
    <row r="1225" spans="1:21" x14ac:dyDescent="0.35">
      <c r="A1225" s="227" t="s">
        <v>1458</v>
      </c>
      <c r="B1225" s="228">
        <v>45947</v>
      </c>
      <c r="C1225" s="229" t="s">
        <v>19</v>
      </c>
      <c r="D1225" s="230" t="s">
        <v>268</v>
      </c>
      <c r="E1225" s="276">
        <v>2100</v>
      </c>
      <c r="F1225" s="231">
        <v>45991</v>
      </c>
      <c r="G1225" s="231">
        <v>45991</v>
      </c>
      <c r="H1225" s="232">
        <v>3.8866666666666667</v>
      </c>
      <c r="I1225" s="233">
        <v>3.98</v>
      </c>
      <c r="J1225" s="234">
        <v>195.99999999999986</v>
      </c>
      <c r="K1225" s="227">
        <v>8162</v>
      </c>
      <c r="L1225" s="235" t="s">
        <v>90</v>
      </c>
      <c r="M1225" s="236" t="s">
        <v>131</v>
      </c>
      <c r="N1225" s="227">
        <v>8358</v>
      </c>
      <c r="O1225" s="237" t="s">
        <v>19</v>
      </c>
      <c r="P1225" s="237" t="s">
        <v>19</v>
      </c>
      <c r="Q1225" s="238">
        <v>2025</v>
      </c>
      <c r="R1225" t="s">
        <v>131</v>
      </c>
      <c r="S1225" t="s">
        <v>96</v>
      </c>
      <c r="T1225" t="s">
        <v>1459</v>
      </c>
      <c r="U1225" t="str">
        <f>IFERROR(_xlfn.XLOOKUP(A1225,'2025 EOY'!A:A,'2025 EOY'!B:B),"No")</f>
        <v>Yes</v>
      </c>
    </row>
    <row r="1226" spans="1:21" x14ac:dyDescent="0.35">
      <c r="A1226" t="s">
        <v>1458</v>
      </c>
      <c r="B1226" s="174">
        <v>45947</v>
      </c>
      <c r="C1226" s="10" t="s">
        <v>3</v>
      </c>
      <c r="D1226" s="4" t="s">
        <v>268</v>
      </c>
      <c r="E1226" s="253">
        <v>-2075</v>
      </c>
      <c r="F1226" s="172">
        <v>45991</v>
      </c>
      <c r="G1226" s="172">
        <v>46022</v>
      </c>
      <c r="H1226" s="212">
        <v>0.43</v>
      </c>
      <c r="I1226" s="192">
        <v>0.5</v>
      </c>
      <c r="J1226" s="9">
        <v>-145.25</v>
      </c>
      <c r="K1226">
        <v>-892.25</v>
      </c>
      <c r="L1226" s="14" t="s">
        <v>13</v>
      </c>
      <c r="M1226" s="8" t="s">
        <v>129</v>
      </c>
      <c r="N1226">
        <v>-1037.5</v>
      </c>
      <c r="O1226" s="38" t="s">
        <v>4</v>
      </c>
      <c r="P1226" s="38" t="s">
        <v>3</v>
      </c>
      <c r="Q1226" s="240">
        <v>2025</v>
      </c>
      <c r="R1226" t="s">
        <v>129</v>
      </c>
      <c r="S1226" t="s">
        <v>14</v>
      </c>
      <c r="T1226" t="s">
        <v>1460</v>
      </c>
      <c r="U1226" t="str">
        <f>IFERROR(_xlfn.XLOOKUP(A1226,'2025 EOY'!A:A,'2025 EOY'!B:B),"No")</f>
        <v>Yes</v>
      </c>
    </row>
    <row r="1227" spans="1:21" x14ac:dyDescent="0.35">
      <c r="A1227" t="s">
        <v>1458</v>
      </c>
      <c r="B1227" s="174">
        <v>45947</v>
      </c>
      <c r="C1227" s="10" t="s">
        <v>3</v>
      </c>
      <c r="D1227" s="4" t="s">
        <v>268</v>
      </c>
      <c r="E1227" s="253">
        <v>-2100</v>
      </c>
      <c r="F1227" s="172">
        <v>46022</v>
      </c>
      <c r="G1227" s="172">
        <v>46053</v>
      </c>
      <c r="H1227" s="212">
        <v>0.04</v>
      </c>
      <c r="I1227" s="192">
        <v>0.19</v>
      </c>
      <c r="J1227" s="9">
        <v>-315</v>
      </c>
      <c r="K1227">
        <v>-84</v>
      </c>
      <c r="L1227" s="14" t="s">
        <v>18</v>
      </c>
      <c r="M1227" s="8" t="s">
        <v>129</v>
      </c>
      <c r="N1227">
        <v>-399</v>
      </c>
      <c r="O1227" s="38" t="s">
        <v>4</v>
      </c>
      <c r="P1227" s="38" t="s">
        <v>3</v>
      </c>
      <c r="Q1227" s="240">
        <v>2025</v>
      </c>
      <c r="R1227" t="s">
        <v>129</v>
      </c>
      <c r="S1227" t="s">
        <v>14</v>
      </c>
      <c r="T1227" t="s">
        <v>1461</v>
      </c>
      <c r="U1227" t="str">
        <f>IFERROR(_xlfn.XLOOKUP(A1227,'2025 EOY'!A:A,'2025 EOY'!B:B),"No")</f>
        <v>Yes</v>
      </c>
    </row>
    <row r="1228" spans="1:21" x14ac:dyDescent="0.35">
      <c r="A1228" t="s">
        <v>1458</v>
      </c>
      <c r="B1228" s="174">
        <v>45947</v>
      </c>
      <c r="C1228" s="10" t="s">
        <v>10</v>
      </c>
      <c r="D1228" s="4" t="s">
        <v>268</v>
      </c>
      <c r="E1228" s="253">
        <v>-2100</v>
      </c>
      <c r="F1228" s="172">
        <v>46053</v>
      </c>
      <c r="G1228" s="172">
        <v>46053</v>
      </c>
      <c r="H1228" s="212">
        <v>-3.95</v>
      </c>
      <c r="I1228" s="192">
        <v>-4.6500000000000004</v>
      </c>
      <c r="J1228" s="9">
        <v>1470.0000000000005</v>
      </c>
      <c r="K1228">
        <v>8295</v>
      </c>
      <c r="L1228" s="14" t="s">
        <v>95</v>
      </c>
      <c r="M1228" s="8" t="s">
        <v>129</v>
      </c>
      <c r="N1228">
        <v>9765</v>
      </c>
      <c r="O1228" s="38" t="s">
        <v>11</v>
      </c>
      <c r="P1228" s="38" t="s">
        <v>10</v>
      </c>
      <c r="Q1228" s="240">
        <v>2026</v>
      </c>
      <c r="R1228" t="s">
        <v>129</v>
      </c>
      <c r="S1228" t="s">
        <v>14</v>
      </c>
      <c r="T1228" t="s">
        <v>1462</v>
      </c>
      <c r="U1228" t="str">
        <f>IFERROR(_xlfn.XLOOKUP(A1228,'2025 EOY'!A:A,'2025 EOY'!B:B),"No")</f>
        <v>Yes</v>
      </c>
    </row>
    <row r="1229" spans="1:21" x14ac:dyDescent="0.35">
      <c r="A1229" t="s">
        <v>1458</v>
      </c>
      <c r="B1229" s="174">
        <v>45947</v>
      </c>
      <c r="C1229" s="10" t="s">
        <v>15</v>
      </c>
      <c r="D1229" s="4" t="s">
        <v>268</v>
      </c>
      <c r="E1229" s="253">
        <v>2100</v>
      </c>
      <c r="F1229" s="173">
        <v>46022</v>
      </c>
      <c r="G1229" s="173">
        <v>46022</v>
      </c>
      <c r="H1229" s="212">
        <v>0.08</v>
      </c>
      <c r="I1229" s="191">
        <v>0.99</v>
      </c>
      <c r="J1229" s="9">
        <v>1911</v>
      </c>
      <c r="K1229">
        <v>168</v>
      </c>
      <c r="L1229" s="14" t="s">
        <v>94</v>
      </c>
      <c r="M1229" s="8" t="s">
        <v>131</v>
      </c>
      <c r="N1229">
        <v>2079</v>
      </c>
      <c r="O1229" s="38" t="s">
        <v>11</v>
      </c>
      <c r="P1229" s="38" t="s">
        <v>16</v>
      </c>
      <c r="Q1229" s="240">
        <v>2025</v>
      </c>
      <c r="R1229" t="s">
        <v>131</v>
      </c>
      <c r="S1229" t="s">
        <v>14</v>
      </c>
      <c r="T1229" t="s">
        <v>1463</v>
      </c>
      <c r="U1229" t="str">
        <f>IFERROR(_xlfn.XLOOKUP(A1229,'2025 EOY'!A:A,'2025 EOY'!B:B),"No")</f>
        <v>Yes</v>
      </c>
    </row>
    <row r="1230" spans="1:21" x14ac:dyDescent="0.35">
      <c r="A1230" t="s">
        <v>1458</v>
      </c>
      <c r="B1230" s="174">
        <v>45947</v>
      </c>
      <c r="C1230" s="10" t="s">
        <v>7</v>
      </c>
      <c r="D1230" s="4" t="s">
        <v>268</v>
      </c>
      <c r="E1230" s="253">
        <v>-2100</v>
      </c>
      <c r="F1230" s="172">
        <v>46053</v>
      </c>
      <c r="G1230" s="172">
        <v>46081</v>
      </c>
      <c r="H1230" s="218">
        <v>0.11</v>
      </c>
      <c r="I1230" s="192">
        <v>0.82</v>
      </c>
      <c r="J1230" s="9">
        <v>-1491</v>
      </c>
      <c r="K1230">
        <v>-231</v>
      </c>
      <c r="L1230" s="14" t="s">
        <v>97</v>
      </c>
      <c r="M1230" s="8" t="s">
        <v>129</v>
      </c>
      <c r="N1230">
        <v>-1722</v>
      </c>
      <c r="O1230" s="38" t="s">
        <v>4</v>
      </c>
      <c r="P1230" s="38" t="s">
        <v>7</v>
      </c>
      <c r="Q1230">
        <v>2026</v>
      </c>
      <c r="R1230" t="s">
        <v>129</v>
      </c>
      <c r="S1230" t="s">
        <v>14</v>
      </c>
      <c r="T1230" t="s">
        <v>1464</v>
      </c>
      <c r="U1230" t="str">
        <f>IFERROR(_xlfn.XLOOKUP(A1230,'2025 EOY'!A:A,'2025 EOY'!B:B),"No")</f>
        <v>Yes</v>
      </c>
    </row>
    <row r="1231" spans="1:21" ht="15" thickBot="1" x14ac:dyDescent="0.4">
      <c r="A1231" s="160" t="s">
        <v>1458</v>
      </c>
      <c r="B1231" s="241">
        <v>45947</v>
      </c>
      <c r="C1231" s="242" t="s">
        <v>28</v>
      </c>
      <c r="D1231" s="243" t="s">
        <v>268</v>
      </c>
      <c r="E1231" s="277">
        <v>-2000</v>
      </c>
      <c r="F1231" s="244">
        <v>45991</v>
      </c>
      <c r="G1231" s="244">
        <v>45991</v>
      </c>
      <c r="H1231" s="245">
        <v>12250</v>
      </c>
      <c r="I1231" s="246">
        <v>12250</v>
      </c>
      <c r="J1231" s="247">
        <v>0</v>
      </c>
      <c r="K1231" s="252">
        <v>0</v>
      </c>
      <c r="L1231" s="248" t="s">
        <v>90</v>
      </c>
      <c r="M1231" s="249" t="s">
        <v>129</v>
      </c>
      <c r="N1231" s="160">
        <v>-24500000</v>
      </c>
      <c r="O1231" s="250" t="s">
        <v>29</v>
      </c>
      <c r="P1231" s="250" t="s">
        <v>29</v>
      </c>
      <c r="Q1231" s="251">
        <v>2025</v>
      </c>
      <c r="R1231" t="s">
        <v>129</v>
      </c>
      <c r="S1231" t="s">
        <v>14</v>
      </c>
      <c r="T1231" t="s">
        <v>1465</v>
      </c>
      <c r="U1231" t="str">
        <f>IFERROR(_xlfn.XLOOKUP(A1231,'2025 EOY'!A:A,'2025 EOY'!B:B),"No")</f>
        <v>Yes</v>
      </c>
    </row>
    <row r="1232" spans="1:21" ht="15" thickBot="1" x14ac:dyDescent="0.4">
      <c r="A1232" s="160" t="s">
        <v>1458</v>
      </c>
      <c r="B1232" s="241">
        <v>45947</v>
      </c>
      <c r="C1232" s="242" t="s">
        <v>28</v>
      </c>
      <c r="D1232" s="243" t="s">
        <v>268</v>
      </c>
      <c r="E1232" s="277">
        <v>2000</v>
      </c>
      <c r="F1232" s="244">
        <v>45991</v>
      </c>
      <c r="G1232" s="244">
        <v>45991</v>
      </c>
      <c r="H1232" s="245">
        <v>11700</v>
      </c>
      <c r="I1232" s="246">
        <v>12250</v>
      </c>
      <c r="J1232" s="247">
        <v>550</v>
      </c>
      <c r="K1232" s="252">
        <v>550</v>
      </c>
      <c r="L1232" s="248" t="s">
        <v>90</v>
      </c>
      <c r="M1232" s="249" t="s">
        <v>131</v>
      </c>
      <c r="N1232" s="160">
        <v>24500000</v>
      </c>
      <c r="O1232" s="250" t="s">
        <v>29</v>
      </c>
      <c r="P1232" s="250" t="s">
        <v>29</v>
      </c>
      <c r="Q1232" s="251">
        <v>2025</v>
      </c>
      <c r="R1232" t="s">
        <v>131</v>
      </c>
      <c r="S1232" t="s">
        <v>14</v>
      </c>
      <c r="T1232" t="s">
        <v>1466</v>
      </c>
      <c r="U1232" t="str">
        <f>IFERROR(_xlfn.XLOOKUP(A1232,'2025 EOY'!A:A,'2025 EOY'!B:B),"No")</f>
        <v>Yes</v>
      </c>
    </row>
    <row r="1233" spans="1:21" x14ac:dyDescent="0.35">
      <c r="A1233" t="s">
        <v>127</v>
      </c>
      <c r="B1233" s="174">
        <v>45950</v>
      </c>
      <c r="C1233" s="10" t="s">
        <v>3</v>
      </c>
      <c r="D1233" s="4" t="s">
        <v>128</v>
      </c>
      <c r="E1233" s="253">
        <v>3414</v>
      </c>
      <c r="F1233" s="172">
        <v>45991</v>
      </c>
      <c r="G1233" s="172">
        <v>46022</v>
      </c>
      <c r="H1233" s="212">
        <v>0.5</v>
      </c>
      <c r="I1233" s="192">
        <v>0.5</v>
      </c>
      <c r="J1233" s="9">
        <v>0</v>
      </c>
      <c r="K1233">
        <v>1707</v>
      </c>
      <c r="L1233" s="14" t="s">
        <v>13</v>
      </c>
      <c r="M1233" s="8" t="s">
        <v>131</v>
      </c>
      <c r="N1233">
        <v>1707</v>
      </c>
      <c r="O1233" s="38" t="s">
        <v>4</v>
      </c>
      <c r="P1233" s="38" t="s">
        <v>3</v>
      </c>
      <c r="Q1233" s="240">
        <v>2025</v>
      </c>
      <c r="R1233" t="s">
        <v>131</v>
      </c>
      <c r="S1233" t="s">
        <v>14</v>
      </c>
      <c r="T1233" t="s">
        <v>1467</v>
      </c>
      <c r="U1233" t="str">
        <f>IFERROR(_xlfn.XLOOKUP(A1233,'2025 EOY'!A:A,'2025 EOY'!B:B),"No")</f>
        <v>No</v>
      </c>
    </row>
    <row r="1234" spans="1:21" x14ac:dyDescent="0.35">
      <c r="A1234" t="s">
        <v>1458</v>
      </c>
      <c r="B1234" s="174">
        <v>45951</v>
      </c>
      <c r="C1234" s="10" t="s">
        <v>3</v>
      </c>
      <c r="D1234" s="4" t="s">
        <v>128</v>
      </c>
      <c r="E1234" s="253">
        <v>300</v>
      </c>
      <c r="F1234" s="172">
        <v>46022</v>
      </c>
      <c r="G1234" s="172">
        <v>46053</v>
      </c>
      <c r="H1234" s="212">
        <v>0.04</v>
      </c>
      <c r="I1234" s="192">
        <v>0.19</v>
      </c>
      <c r="J1234" s="9">
        <v>45</v>
      </c>
      <c r="K1234">
        <v>12</v>
      </c>
      <c r="L1234" s="14" t="s">
        <v>18</v>
      </c>
      <c r="M1234" s="8" t="s">
        <v>131</v>
      </c>
      <c r="N1234">
        <v>57</v>
      </c>
      <c r="O1234" s="38" t="s">
        <v>4</v>
      </c>
      <c r="P1234" s="38" t="s">
        <v>3</v>
      </c>
      <c r="Q1234" s="240">
        <v>2025</v>
      </c>
      <c r="R1234" t="s">
        <v>131</v>
      </c>
      <c r="S1234" t="s">
        <v>14</v>
      </c>
      <c r="T1234" t="s">
        <v>1468</v>
      </c>
      <c r="U1234" t="str">
        <f>IFERROR(_xlfn.XLOOKUP(A1234,'2025 EOY'!A:A,'2025 EOY'!B:B),"No")</f>
        <v>Yes</v>
      </c>
    </row>
    <row r="1235" spans="1:21" x14ac:dyDescent="0.35">
      <c r="A1235" s="37" t="s">
        <v>127</v>
      </c>
      <c r="B1235" s="174">
        <v>45951</v>
      </c>
      <c r="C1235" s="10" t="s">
        <v>7</v>
      </c>
      <c r="D1235" s="4" t="s">
        <v>128</v>
      </c>
      <c r="E1235" s="253">
        <v>1000</v>
      </c>
      <c r="F1235" s="172">
        <v>46053</v>
      </c>
      <c r="G1235" s="172">
        <v>46081</v>
      </c>
      <c r="H1235" s="218">
        <v>0.08</v>
      </c>
      <c r="I1235" s="192">
        <v>0.82</v>
      </c>
      <c r="J1235" s="9">
        <v>740</v>
      </c>
      <c r="K1235">
        <v>80</v>
      </c>
      <c r="L1235" s="14" t="s">
        <v>97</v>
      </c>
      <c r="M1235" s="8" t="s">
        <v>131</v>
      </c>
      <c r="N1235">
        <v>820</v>
      </c>
      <c r="O1235" s="38" t="s">
        <v>4</v>
      </c>
      <c r="P1235" s="38" t="s">
        <v>7</v>
      </c>
      <c r="Q1235">
        <v>2026</v>
      </c>
      <c r="R1235" t="s">
        <v>131</v>
      </c>
      <c r="S1235" t="s">
        <v>14</v>
      </c>
      <c r="T1235" t="s">
        <v>1469</v>
      </c>
      <c r="U1235" t="str">
        <f>IFERROR(_xlfn.XLOOKUP(A1235,'2025 EOY'!A:A,'2025 EOY'!B:B),"No")</f>
        <v>No</v>
      </c>
    </row>
    <row r="1236" spans="1:21" x14ac:dyDescent="0.35">
      <c r="A1236" t="s">
        <v>127</v>
      </c>
      <c r="B1236" s="174">
        <v>45951</v>
      </c>
      <c r="C1236" s="10" t="s">
        <v>3</v>
      </c>
      <c r="D1236" s="4" t="s">
        <v>128</v>
      </c>
      <c r="E1236" s="253">
        <v>893</v>
      </c>
      <c r="F1236" s="172">
        <v>46022</v>
      </c>
      <c r="G1236" s="172">
        <v>46053</v>
      </c>
      <c r="H1236" s="212">
        <v>4.0000000000000008E-2</v>
      </c>
      <c r="I1236" s="192">
        <v>0.19</v>
      </c>
      <c r="J1236" s="9">
        <v>133.94999999999999</v>
      </c>
      <c r="K1236">
        <v>35.720000000000006</v>
      </c>
      <c r="L1236" s="14" t="s">
        <v>18</v>
      </c>
      <c r="M1236" s="8" t="s">
        <v>131</v>
      </c>
      <c r="N1236">
        <v>169.67000000000002</v>
      </c>
      <c r="O1236" s="38" t="s">
        <v>4</v>
      </c>
      <c r="P1236" s="38" t="s">
        <v>3</v>
      </c>
      <c r="Q1236" s="240">
        <v>2025</v>
      </c>
      <c r="R1236" t="s">
        <v>131</v>
      </c>
      <c r="S1236" t="s">
        <v>14</v>
      </c>
      <c r="T1236" t="s">
        <v>1470</v>
      </c>
      <c r="U1236" t="str">
        <f>IFERROR(_xlfn.XLOOKUP(A1236,'2025 EOY'!A:A,'2025 EOY'!B:B),"No")</f>
        <v>No</v>
      </c>
    </row>
    <row r="1237" spans="1:21" x14ac:dyDescent="0.35">
      <c r="A1237" t="s">
        <v>127</v>
      </c>
      <c r="B1237" s="174">
        <v>45951</v>
      </c>
      <c r="C1237" s="10" t="s">
        <v>3</v>
      </c>
      <c r="D1237" s="4" t="s">
        <v>128</v>
      </c>
      <c r="E1237" s="253">
        <v>-893</v>
      </c>
      <c r="F1237" s="172">
        <v>46053</v>
      </c>
      <c r="G1237" s="172">
        <v>46081</v>
      </c>
      <c r="H1237" s="212">
        <v>-0.06</v>
      </c>
      <c r="I1237" s="192">
        <v>0.15</v>
      </c>
      <c r="J1237" s="9">
        <v>-187.53</v>
      </c>
      <c r="K1237">
        <v>53.58</v>
      </c>
      <c r="L1237" s="14" t="s">
        <v>97</v>
      </c>
      <c r="M1237" s="8" t="s">
        <v>129</v>
      </c>
      <c r="N1237">
        <v>-133.94999999999999</v>
      </c>
      <c r="O1237" s="38" t="s">
        <v>4</v>
      </c>
      <c r="P1237" s="38" t="s">
        <v>3</v>
      </c>
      <c r="Q1237" s="240">
        <v>2026</v>
      </c>
      <c r="R1237" t="s">
        <v>129</v>
      </c>
      <c r="S1237" t="s">
        <v>14</v>
      </c>
      <c r="T1237" t="s">
        <v>1471</v>
      </c>
      <c r="U1237" t="str">
        <f>IFERROR(_xlfn.XLOOKUP(A1237,'2025 EOY'!A:A,'2025 EOY'!B:B),"No")</f>
        <v>No</v>
      </c>
    </row>
    <row r="1238" spans="1:21" x14ac:dyDescent="0.35">
      <c r="A1238" t="s">
        <v>127</v>
      </c>
      <c r="B1238" s="174">
        <v>45947</v>
      </c>
      <c r="C1238" s="10" t="s">
        <v>15</v>
      </c>
      <c r="D1238" s="4" t="s">
        <v>128</v>
      </c>
      <c r="E1238" s="253">
        <v>500</v>
      </c>
      <c r="F1238" s="173">
        <v>45991</v>
      </c>
      <c r="G1238" s="173">
        <v>45991</v>
      </c>
      <c r="H1238" s="212">
        <v>0.4</v>
      </c>
      <c r="I1238" s="191">
        <v>0.03</v>
      </c>
      <c r="J1238" s="9">
        <v>-185</v>
      </c>
      <c r="K1238">
        <v>200</v>
      </c>
      <c r="L1238" s="14" t="s">
        <v>90</v>
      </c>
      <c r="M1238" s="8" t="s">
        <v>131</v>
      </c>
      <c r="N1238">
        <v>15</v>
      </c>
      <c r="O1238" s="38" t="s">
        <v>11</v>
      </c>
      <c r="P1238" s="38" t="s">
        <v>16</v>
      </c>
      <c r="Q1238" s="240">
        <v>2025</v>
      </c>
      <c r="R1238" t="s">
        <v>131</v>
      </c>
      <c r="S1238" t="s">
        <v>14</v>
      </c>
      <c r="T1238" t="s">
        <v>1472</v>
      </c>
      <c r="U1238" t="str">
        <f>IFERROR(_xlfn.XLOOKUP(A1238,'2025 EOY'!A:A,'2025 EOY'!B:B),"No")</f>
        <v>No</v>
      </c>
    </row>
    <row r="1239" spans="1:21" x14ac:dyDescent="0.35">
      <c r="A1239" t="s">
        <v>127</v>
      </c>
      <c r="B1239" s="174">
        <v>45947</v>
      </c>
      <c r="C1239" s="10" t="s">
        <v>15</v>
      </c>
      <c r="D1239" s="4" t="s">
        <v>128</v>
      </c>
      <c r="E1239" s="253">
        <v>500</v>
      </c>
      <c r="F1239" s="173">
        <v>45991</v>
      </c>
      <c r="G1239" s="173">
        <v>45991</v>
      </c>
      <c r="H1239" s="212">
        <v>0.4</v>
      </c>
      <c r="I1239" s="191">
        <v>0.03</v>
      </c>
      <c r="J1239" s="9">
        <v>-185</v>
      </c>
      <c r="K1239">
        <v>200</v>
      </c>
      <c r="L1239" s="14" t="s">
        <v>90</v>
      </c>
      <c r="M1239" s="8" t="s">
        <v>131</v>
      </c>
      <c r="N1239">
        <v>15</v>
      </c>
      <c r="O1239" s="38" t="s">
        <v>11</v>
      </c>
      <c r="P1239" s="38" t="s">
        <v>16</v>
      </c>
      <c r="Q1239" s="240">
        <v>2025</v>
      </c>
      <c r="R1239" t="s">
        <v>131</v>
      </c>
      <c r="S1239" t="s">
        <v>14</v>
      </c>
      <c r="T1239" t="s">
        <v>1473</v>
      </c>
      <c r="U1239" t="str">
        <f>IFERROR(_xlfn.XLOOKUP(A1239,'2025 EOY'!A:A,'2025 EOY'!B:B),"No")</f>
        <v>No</v>
      </c>
    </row>
    <row r="1240" spans="1:21" x14ac:dyDescent="0.35">
      <c r="A1240" t="s">
        <v>127</v>
      </c>
      <c r="B1240" s="174">
        <v>45952</v>
      </c>
      <c r="C1240" s="10" t="s">
        <v>3</v>
      </c>
      <c r="D1240" s="4" t="s">
        <v>128</v>
      </c>
      <c r="E1240" s="253">
        <v>1000</v>
      </c>
      <c r="F1240" s="172">
        <v>46022</v>
      </c>
      <c r="G1240" s="172">
        <v>46053</v>
      </c>
      <c r="H1240" s="212">
        <v>0.16999999999999998</v>
      </c>
      <c r="I1240" s="192">
        <v>0.19</v>
      </c>
      <c r="J1240" s="9">
        <v>20.000000000000018</v>
      </c>
      <c r="K1240">
        <v>169.99999999999997</v>
      </c>
      <c r="L1240" s="14" t="s">
        <v>18</v>
      </c>
      <c r="M1240" s="8" t="s">
        <v>131</v>
      </c>
      <c r="N1240">
        <v>190</v>
      </c>
      <c r="O1240" s="38" t="s">
        <v>4</v>
      </c>
      <c r="P1240" s="38" t="s">
        <v>3</v>
      </c>
      <c r="Q1240" s="240">
        <v>2025</v>
      </c>
      <c r="R1240" t="s">
        <v>131</v>
      </c>
      <c r="S1240" t="s">
        <v>14</v>
      </c>
      <c r="T1240" t="s">
        <v>1474</v>
      </c>
      <c r="U1240" t="str">
        <f>IFERROR(_xlfn.XLOOKUP(A1240,'2025 EOY'!A:A,'2025 EOY'!B:B),"No")</f>
        <v>No</v>
      </c>
    </row>
    <row r="1241" spans="1:21" x14ac:dyDescent="0.35">
      <c r="A1241" t="s">
        <v>127</v>
      </c>
      <c r="B1241" s="174">
        <v>45952</v>
      </c>
      <c r="C1241" s="10" t="s">
        <v>3</v>
      </c>
      <c r="D1241" s="4" t="s">
        <v>128</v>
      </c>
      <c r="E1241" s="253">
        <v>-1000</v>
      </c>
      <c r="F1241" s="172">
        <v>46053</v>
      </c>
      <c r="G1241" s="172">
        <v>46081</v>
      </c>
      <c r="H1241" s="212">
        <v>0.06</v>
      </c>
      <c r="I1241" s="192">
        <v>0.15</v>
      </c>
      <c r="J1241" s="9">
        <v>-90</v>
      </c>
      <c r="K1241">
        <v>-60</v>
      </c>
      <c r="L1241" s="14" t="s">
        <v>97</v>
      </c>
      <c r="M1241" s="8" t="s">
        <v>129</v>
      </c>
      <c r="N1241">
        <v>-150</v>
      </c>
      <c r="O1241" s="38" t="s">
        <v>4</v>
      </c>
      <c r="P1241" s="38" t="s">
        <v>3</v>
      </c>
      <c r="Q1241" s="240">
        <v>2026</v>
      </c>
      <c r="R1241" t="s">
        <v>129</v>
      </c>
      <c r="S1241" t="s">
        <v>14</v>
      </c>
      <c r="T1241" t="s">
        <v>1475</v>
      </c>
      <c r="U1241" t="str">
        <f>IFERROR(_xlfn.XLOOKUP(A1241,'2025 EOY'!A:A,'2025 EOY'!B:B),"No")</f>
        <v>No</v>
      </c>
    </row>
    <row r="1242" spans="1:21" x14ac:dyDescent="0.35">
      <c r="A1242" s="37" t="s">
        <v>127</v>
      </c>
      <c r="B1242" s="174">
        <v>45953</v>
      </c>
      <c r="C1242" s="10" t="s">
        <v>7</v>
      </c>
      <c r="D1242" s="4" t="s">
        <v>128</v>
      </c>
      <c r="E1242" s="253">
        <v>1000</v>
      </c>
      <c r="F1242" s="172">
        <v>46022</v>
      </c>
      <c r="G1242" s="172">
        <v>46053</v>
      </c>
      <c r="H1242" s="218">
        <v>0.69</v>
      </c>
      <c r="I1242" s="192">
        <v>0.3</v>
      </c>
      <c r="J1242" s="9">
        <v>-389.99999999999994</v>
      </c>
      <c r="K1242">
        <v>690</v>
      </c>
      <c r="L1242" s="14" t="s">
        <v>18</v>
      </c>
      <c r="M1242" s="8" t="s">
        <v>131</v>
      </c>
      <c r="N1242">
        <v>300</v>
      </c>
      <c r="O1242" s="38" t="s">
        <v>4</v>
      </c>
      <c r="P1242" s="38" t="s">
        <v>7</v>
      </c>
      <c r="Q1242">
        <v>2025</v>
      </c>
      <c r="R1242" t="s">
        <v>131</v>
      </c>
      <c r="S1242" t="s">
        <v>14</v>
      </c>
      <c r="T1242" t="s">
        <v>1476</v>
      </c>
      <c r="U1242" t="str">
        <f>IFERROR(_xlfn.XLOOKUP(A1242,'2025 EOY'!A:A,'2025 EOY'!B:B),"No")</f>
        <v>No</v>
      </c>
    </row>
    <row r="1243" spans="1:21" x14ac:dyDescent="0.35">
      <c r="A1243" s="37" t="s">
        <v>127</v>
      </c>
      <c r="B1243" s="174">
        <v>45953</v>
      </c>
      <c r="C1243" s="10" t="s">
        <v>7</v>
      </c>
      <c r="D1243" s="4" t="s">
        <v>128</v>
      </c>
      <c r="E1243" s="253">
        <v>1000</v>
      </c>
      <c r="F1243" s="172">
        <v>46022</v>
      </c>
      <c r="G1243" s="172">
        <v>46053</v>
      </c>
      <c r="H1243" s="218">
        <v>0.68</v>
      </c>
      <c r="I1243" s="192">
        <v>0.3</v>
      </c>
      <c r="J1243" s="9">
        <v>-380.00000000000006</v>
      </c>
      <c r="K1243">
        <v>680</v>
      </c>
      <c r="L1243" s="14" t="s">
        <v>18</v>
      </c>
      <c r="M1243" s="8" t="s">
        <v>131</v>
      </c>
      <c r="N1243">
        <v>300</v>
      </c>
      <c r="O1243" s="38" t="s">
        <v>4</v>
      </c>
      <c r="P1243" s="38" t="s">
        <v>7</v>
      </c>
      <c r="Q1243">
        <v>2025</v>
      </c>
      <c r="R1243" t="s">
        <v>131</v>
      </c>
      <c r="S1243" t="s">
        <v>14</v>
      </c>
      <c r="T1243" t="s">
        <v>1477</v>
      </c>
      <c r="U1243" t="str">
        <f>IFERROR(_xlfn.XLOOKUP(A1243,'2025 EOY'!A:A,'2025 EOY'!B:B),"No")</f>
        <v>No</v>
      </c>
    </row>
    <row r="1244" spans="1:21" x14ac:dyDescent="0.35">
      <c r="A1244" t="s">
        <v>127</v>
      </c>
      <c r="B1244" s="174">
        <v>45957</v>
      </c>
      <c r="C1244" s="10" t="s">
        <v>15</v>
      </c>
      <c r="D1244" s="4" t="s">
        <v>128</v>
      </c>
      <c r="E1244" s="253">
        <v>-301</v>
      </c>
      <c r="F1244" s="173">
        <v>45991</v>
      </c>
      <c r="G1244" s="173">
        <v>45991</v>
      </c>
      <c r="H1244" s="212">
        <v>0.88</v>
      </c>
      <c r="I1244" s="191">
        <v>0.03</v>
      </c>
      <c r="J1244" s="9">
        <v>255.85</v>
      </c>
      <c r="K1244">
        <v>-264.88</v>
      </c>
      <c r="L1244" s="14" t="s">
        <v>90</v>
      </c>
      <c r="M1244" s="8" t="s">
        <v>129</v>
      </c>
      <c r="N1244">
        <v>-9.0299999999999994</v>
      </c>
      <c r="O1244" s="38" t="s">
        <v>11</v>
      </c>
      <c r="P1244" s="38" t="s">
        <v>16</v>
      </c>
      <c r="Q1244" s="240">
        <v>2025</v>
      </c>
      <c r="R1244" t="s">
        <v>129</v>
      </c>
      <c r="S1244" t="s">
        <v>14</v>
      </c>
      <c r="T1244" t="s">
        <v>1478</v>
      </c>
      <c r="U1244" t="str">
        <f>IFERROR(_xlfn.XLOOKUP(A1244,'2025 EOY'!A:A,'2025 EOY'!B:B),"No")</f>
        <v>No</v>
      </c>
    </row>
    <row r="1245" spans="1:21" x14ac:dyDescent="0.35">
      <c r="A1245" t="s">
        <v>127</v>
      </c>
      <c r="B1245" s="174">
        <v>45957</v>
      </c>
      <c r="C1245" s="10" t="s">
        <v>15</v>
      </c>
      <c r="D1245" s="4" t="s">
        <v>128</v>
      </c>
      <c r="E1245" s="253">
        <v>301</v>
      </c>
      <c r="F1245" s="173">
        <v>46022</v>
      </c>
      <c r="G1245" s="173">
        <v>46022</v>
      </c>
      <c r="H1245" s="212">
        <v>0.77</v>
      </c>
      <c r="I1245" s="191">
        <v>0.99</v>
      </c>
      <c r="J1245" s="9">
        <v>66.22</v>
      </c>
      <c r="K1245">
        <v>231.77</v>
      </c>
      <c r="L1245" s="14" t="s">
        <v>94</v>
      </c>
      <c r="M1245" s="8" t="s">
        <v>131</v>
      </c>
      <c r="N1245">
        <v>297.99</v>
      </c>
      <c r="O1245" s="38" t="s">
        <v>11</v>
      </c>
      <c r="P1245" s="38" t="s">
        <v>16</v>
      </c>
      <c r="Q1245" s="240">
        <v>2025</v>
      </c>
      <c r="R1245" t="s">
        <v>131</v>
      </c>
      <c r="S1245" t="s">
        <v>14</v>
      </c>
      <c r="T1245" t="s">
        <v>1479</v>
      </c>
      <c r="U1245" t="str">
        <f>IFERROR(_xlfn.XLOOKUP(A1245,'2025 EOY'!A:A,'2025 EOY'!B:B),"No")</f>
        <v>No</v>
      </c>
    </row>
    <row r="1246" spans="1:21" x14ac:dyDescent="0.35">
      <c r="A1246" t="s">
        <v>127</v>
      </c>
      <c r="B1246" s="174">
        <v>45957</v>
      </c>
      <c r="C1246" s="10" t="s">
        <v>3</v>
      </c>
      <c r="D1246" s="4" t="s">
        <v>128</v>
      </c>
      <c r="E1246" s="253">
        <v>500</v>
      </c>
      <c r="F1246" s="172">
        <v>46022</v>
      </c>
      <c r="G1246" s="172">
        <v>46053</v>
      </c>
      <c r="H1246" s="212">
        <v>0.55000000000000004</v>
      </c>
      <c r="I1246" s="192">
        <v>0.19</v>
      </c>
      <c r="J1246" s="9">
        <v>-180.00000000000003</v>
      </c>
      <c r="K1246">
        <v>275</v>
      </c>
      <c r="L1246" s="14" t="s">
        <v>18</v>
      </c>
      <c r="M1246" s="8" t="s">
        <v>131</v>
      </c>
      <c r="N1246">
        <v>95</v>
      </c>
      <c r="O1246" s="38" t="s">
        <v>4</v>
      </c>
      <c r="P1246" s="38" t="s">
        <v>3</v>
      </c>
      <c r="Q1246" s="240">
        <v>2025</v>
      </c>
      <c r="R1246" t="s">
        <v>131</v>
      </c>
      <c r="S1246" t="s">
        <v>14</v>
      </c>
      <c r="T1246" t="s">
        <v>1480</v>
      </c>
      <c r="U1246" t="str">
        <f>IFERROR(_xlfn.XLOOKUP(A1246,'2025 EOY'!A:A,'2025 EOY'!B:B),"No")</f>
        <v>No</v>
      </c>
    </row>
    <row r="1247" spans="1:21" x14ac:dyDescent="0.35">
      <c r="A1247" t="s">
        <v>127</v>
      </c>
      <c r="B1247" s="174">
        <v>45957</v>
      </c>
      <c r="C1247" s="10" t="s">
        <v>3</v>
      </c>
      <c r="D1247" s="4" t="s">
        <v>128</v>
      </c>
      <c r="E1247" s="253">
        <v>200</v>
      </c>
      <c r="F1247" s="172">
        <v>46022</v>
      </c>
      <c r="G1247" s="172">
        <v>46053</v>
      </c>
      <c r="H1247" s="212">
        <v>0.52</v>
      </c>
      <c r="I1247" s="192">
        <v>0.19</v>
      </c>
      <c r="J1247" s="9">
        <v>-66</v>
      </c>
      <c r="K1247">
        <v>104</v>
      </c>
      <c r="L1247" s="14" t="s">
        <v>18</v>
      </c>
      <c r="M1247" s="8" t="s">
        <v>131</v>
      </c>
      <c r="N1247">
        <v>38</v>
      </c>
      <c r="O1247" s="38" t="s">
        <v>4</v>
      </c>
      <c r="P1247" s="38" t="s">
        <v>3</v>
      </c>
      <c r="Q1247" s="240">
        <v>2025</v>
      </c>
      <c r="R1247" t="s">
        <v>131</v>
      </c>
      <c r="S1247" t="s">
        <v>14</v>
      </c>
      <c r="T1247" t="s">
        <v>1481</v>
      </c>
      <c r="U1247" t="str">
        <f>IFERROR(_xlfn.XLOOKUP(A1247,'2025 EOY'!A:A,'2025 EOY'!B:B),"No")</f>
        <v>No</v>
      </c>
    </row>
    <row r="1248" spans="1:21" x14ac:dyDescent="0.35">
      <c r="A1248" t="s">
        <v>127</v>
      </c>
      <c r="B1248" s="174">
        <v>45958</v>
      </c>
      <c r="C1248" s="10" t="s">
        <v>3</v>
      </c>
      <c r="D1248" s="4" t="s">
        <v>128</v>
      </c>
      <c r="E1248" s="253">
        <v>1000</v>
      </c>
      <c r="F1248" s="172">
        <v>46022</v>
      </c>
      <c r="G1248" s="172">
        <v>46053</v>
      </c>
      <c r="H1248" s="212">
        <v>0.46</v>
      </c>
      <c r="I1248" s="192">
        <v>0.19</v>
      </c>
      <c r="J1248" s="9">
        <v>-270</v>
      </c>
      <c r="K1248">
        <v>460</v>
      </c>
      <c r="L1248" s="14" t="s">
        <v>18</v>
      </c>
      <c r="M1248" s="8" t="s">
        <v>131</v>
      </c>
      <c r="N1248">
        <v>190</v>
      </c>
      <c r="O1248" s="38" t="s">
        <v>4</v>
      </c>
      <c r="P1248" s="38" t="s">
        <v>3</v>
      </c>
      <c r="Q1248" s="240">
        <v>2025</v>
      </c>
      <c r="R1248" t="s">
        <v>131</v>
      </c>
      <c r="S1248" t="s">
        <v>14</v>
      </c>
      <c r="T1248" t="s">
        <v>1482</v>
      </c>
      <c r="U1248" t="str">
        <f>IFERROR(_xlfn.XLOOKUP(A1248,'2025 EOY'!A:A,'2025 EOY'!B:B),"No")</f>
        <v>No</v>
      </c>
    </row>
    <row r="1249" spans="1:23" x14ac:dyDescent="0.35">
      <c r="A1249" s="37" t="s">
        <v>1483</v>
      </c>
      <c r="B1249" s="174">
        <v>45958</v>
      </c>
      <c r="C1249" s="10" t="s">
        <v>19</v>
      </c>
      <c r="D1249" s="4" t="s">
        <v>268</v>
      </c>
      <c r="E1249" s="264">
        <v>700</v>
      </c>
      <c r="F1249" s="172">
        <v>46022</v>
      </c>
      <c r="G1249" s="172">
        <v>46022</v>
      </c>
      <c r="H1249" s="218">
        <v>6.999999999999984E-2</v>
      </c>
      <c r="I1249" s="192">
        <v>-0.02</v>
      </c>
      <c r="J1249" s="9">
        <v>-62.999999999999893</v>
      </c>
      <c r="K1249">
        <v>48.999999999999886</v>
      </c>
      <c r="L1249" s="14" t="s">
        <v>94</v>
      </c>
      <c r="M1249" s="8" t="s">
        <v>131</v>
      </c>
      <c r="N1249">
        <v>-14</v>
      </c>
      <c r="O1249" s="38" t="s">
        <v>19</v>
      </c>
      <c r="P1249" s="38" t="s">
        <v>19</v>
      </c>
      <c r="Q1249">
        <v>2025</v>
      </c>
      <c r="R1249" t="s">
        <v>131</v>
      </c>
      <c r="S1249" t="s">
        <v>96</v>
      </c>
      <c r="T1249" t="s">
        <v>1484</v>
      </c>
      <c r="U1249" t="str">
        <f>IFERROR(_xlfn.XLOOKUP(A1249,'2025 EOY'!A:A,'2025 EOY'!B:B),"No")</f>
        <v>No</v>
      </c>
    </row>
    <row r="1250" spans="1:23" x14ac:dyDescent="0.35">
      <c r="A1250" s="37" t="s">
        <v>1483</v>
      </c>
      <c r="B1250" s="174">
        <v>45958</v>
      </c>
      <c r="C1250" s="10" t="s">
        <v>10</v>
      </c>
      <c r="D1250" s="4" t="s">
        <v>268</v>
      </c>
      <c r="E1250" s="265">
        <v>-700</v>
      </c>
      <c r="F1250" s="172">
        <v>46022</v>
      </c>
      <c r="G1250" s="172">
        <v>46022</v>
      </c>
      <c r="H1250" s="218">
        <v>-4.25</v>
      </c>
      <c r="I1250" s="192">
        <v>-4.09</v>
      </c>
      <c r="J1250" s="9">
        <v>-112.0000000000001</v>
      </c>
      <c r="K1250">
        <v>2975</v>
      </c>
      <c r="L1250" s="14" t="s">
        <v>94</v>
      </c>
      <c r="M1250" s="8" t="s">
        <v>129</v>
      </c>
      <c r="N1250">
        <v>2863</v>
      </c>
      <c r="O1250" s="38" t="s">
        <v>11</v>
      </c>
      <c r="P1250" s="38" t="s">
        <v>10</v>
      </c>
      <c r="Q1250">
        <v>2025</v>
      </c>
      <c r="R1250" t="s">
        <v>129</v>
      </c>
      <c r="S1250" t="s">
        <v>14</v>
      </c>
      <c r="T1250" t="s">
        <v>1485</v>
      </c>
      <c r="U1250" t="str">
        <f>IFERROR(_xlfn.XLOOKUP(A1250,'2025 EOY'!A:A,'2025 EOY'!B:B),"No")</f>
        <v>No</v>
      </c>
      <c r="V1250" s="4"/>
      <c r="W1250" s="4"/>
    </row>
    <row r="1251" spans="1:23" x14ac:dyDescent="0.35">
      <c r="A1251" s="37" t="s">
        <v>1483</v>
      </c>
      <c r="B1251" s="174">
        <v>45958</v>
      </c>
      <c r="C1251" s="47" t="s">
        <v>36</v>
      </c>
      <c r="D1251" s="4" t="s">
        <v>268</v>
      </c>
      <c r="E1251" s="265">
        <v>-700</v>
      </c>
      <c r="F1251" s="172">
        <v>46022</v>
      </c>
      <c r="G1251" s="172">
        <v>46022</v>
      </c>
      <c r="H1251" s="219">
        <v>200</v>
      </c>
      <c r="I1251" s="206">
        <v>208.93</v>
      </c>
      <c r="J1251" s="9">
        <v>-125.02000000000011</v>
      </c>
      <c r="K1251">
        <v>-140000</v>
      </c>
      <c r="L1251" s="14" t="s">
        <v>94</v>
      </c>
      <c r="M1251" s="8" t="s">
        <v>129</v>
      </c>
      <c r="N1251">
        <v>-146251</v>
      </c>
      <c r="O1251" s="38" t="s">
        <v>29</v>
      </c>
      <c r="P1251" s="38" t="s">
        <v>29</v>
      </c>
      <c r="Q1251">
        <v>2025</v>
      </c>
      <c r="R1251" t="s">
        <v>129</v>
      </c>
      <c r="S1251" t="s">
        <v>14</v>
      </c>
      <c r="T1251" t="s">
        <v>1486</v>
      </c>
      <c r="U1251" t="str">
        <f>IFERROR(_xlfn.XLOOKUP(A1251,'2025 EOY'!A:A,'2025 EOY'!B:B),"No")</f>
        <v>No</v>
      </c>
      <c r="V1251" s="4"/>
      <c r="W1251" s="4"/>
    </row>
    <row r="1252" spans="1:23" x14ac:dyDescent="0.35">
      <c r="A1252" s="37" t="s">
        <v>1483</v>
      </c>
      <c r="B1252" s="174">
        <v>45979</v>
      </c>
      <c r="C1252" s="47" t="s">
        <v>36</v>
      </c>
      <c r="D1252" s="4" t="s">
        <v>128</v>
      </c>
      <c r="E1252" s="265">
        <v>700</v>
      </c>
      <c r="F1252" s="172">
        <v>46022</v>
      </c>
      <c r="G1252" s="172">
        <v>46022</v>
      </c>
      <c r="H1252" s="219">
        <v>185</v>
      </c>
      <c r="I1252" s="206">
        <v>208.93</v>
      </c>
      <c r="J1252" s="9">
        <v>335.0200000000001</v>
      </c>
      <c r="K1252">
        <v>129500</v>
      </c>
      <c r="L1252" s="14" t="s">
        <v>94</v>
      </c>
      <c r="M1252" s="8" t="s">
        <v>131</v>
      </c>
      <c r="N1252">
        <v>146251</v>
      </c>
      <c r="O1252" s="38" t="s">
        <v>29</v>
      </c>
      <c r="P1252" s="38" t="s">
        <v>29</v>
      </c>
      <c r="Q1252">
        <v>2025</v>
      </c>
      <c r="R1252" t="s">
        <v>131</v>
      </c>
      <c r="S1252" t="s">
        <v>14</v>
      </c>
      <c r="T1252" t="s">
        <v>1487</v>
      </c>
      <c r="U1252" t="str">
        <f>IFERROR(_xlfn.XLOOKUP(A1252,'2025 EOY'!A:A,'2025 EOY'!B:B),"No")</f>
        <v>No</v>
      </c>
      <c r="V1252" s="4"/>
      <c r="W1252" s="4"/>
    </row>
    <row r="1253" spans="1:23" x14ac:dyDescent="0.35">
      <c r="A1253" s="37" t="s">
        <v>1483</v>
      </c>
      <c r="B1253" s="174">
        <v>45958</v>
      </c>
      <c r="C1253" s="47" t="s">
        <v>39</v>
      </c>
      <c r="D1253" s="4" t="s">
        <v>268</v>
      </c>
      <c r="E1253" s="273">
        <v>700</v>
      </c>
      <c r="F1253" s="172">
        <v>46022</v>
      </c>
      <c r="G1253" s="172">
        <v>46022</v>
      </c>
      <c r="H1253" s="219">
        <v>145</v>
      </c>
      <c r="I1253" s="206">
        <v>160</v>
      </c>
      <c r="J1253" s="9">
        <v>52.5</v>
      </c>
      <c r="K1253">
        <v>101500</v>
      </c>
      <c r="L1253" s="14" t="s">
        <v>94</v>
      </c>
      <c r="M1253" s="8" t="s">
        <v>131</v>
      </c>
      <c r="N1253">
        <v>112000</v>
      </c>
      <c r="O1253" s="38" t="s">
        <v>29</v>
      </c>
      <c r="P1253" s="38" t="s">
        <v>29</v>
      </c>
      <c r="Q1253">
        <v>2025</v>
      </c>
      <c r="R1253" t="s">
        <v>131</v>
      </c>
      <c r="S1253" t="s">
        <v>14</v>
      </c>
      <c r="T1253" t="s">
        <v>1488</v>
      </c>
      <c r="U1253" t="str">
        <f>IFERROR(_xlfn.XLOOKUP(A1253,'2025 EOY'!A:A,'2025 EOY'!B:B),"No")</f>
        <v>No</v>
      </c>
      <c r="V1253" s="4"/>
      <c r="W1253" s="4"/>
    </row>
    <row r="1254" spans="1:23" x14ac:dyDescent="0.35">
      <c r="A1254" s="37" t="s">
        <v>1483</v>
      </c>
      <c r="B1254" s="174">
        <v>45958</v>
      </c>
      <c r="C1254" s="47" t="s">
        <v>39</v>
      </c>
      <c r="D1254" s="4" t="s">
        <v>268</v>
      </c>
      <c r="E1254" s="273">
        <v>-700</v>
      </c>
      <c r="F1254" s="172">
        <v>46022</v>
      </c>
      <c r="G1254" s="172">
        <v>46022</v>
      </c>
      <c r="H1254" s="219">
        <v>150</v>
      </c>
      <c r="I1254" s="206">
        <v>160</v>
      </c>
      <c r="J1254" s="9">
        <v>-35</v>
      </c>
      <c r="K1254">
        <v>-105000</v>
      </c>
      <c r="L1254" s="14" t="s">
        <v>94</v>
      </c>
      <c r="M1254" s="8" t="s">
        <v>129</v>
      </c>
      <c r="N1254">
        <v>-112000</v>
      </c>
      <c r="O1254" s="38" t="s">
        <v>29</v>
      </c>
      <c r="P1254" s="38" t="s">
        <v>29</v>
      </c>
      <c r="Q1254">
        <v>2025</v>
      </c>
      <c r="R1254" t="s">
        <v>129</v>
      </c>
      <c r="S1254" t="s">
        <v>14</v>
      </c>
      <c r="T1254" t="s">
        <v>1489</v>
      </c>
      <c r="U1254" t="str">
        <f>IFERROR(_xlfn.XLOOKUP(A1254,'2025 EOY'!A:A,'2025 EOY'!B:B),"No")</f>
        <v>No</v>
      </c>
      <c r="V1254" s="4"/>
      <c r="W1254" s="4"/>
    </row>
    <row r="1255" spans="1:23" x14ac:dyDescent="0.35">
      <c r="A1255" s="37" t="s">
        <v>1483</v>
      </c>
      <c r="B1255" s="174">
        <v>45958</v>
      </c>
      <c r="C1255" s="10" t="s">
        <v>10</v>
      </c>
      <c r="D1255" s="4" t="s">
        <v>128</v>
      </c>
      <c r="E1255" s="265">
        <v>700</v>
      </c>
      <c r="F1255" s="172">
        <v>46022</v>
      </c>
      <c r="G1255" s="172">
        <v>46022</v>
      </c>
      <c r="H1255" s="218">
        <v>-4.26</v>
      </c>
      <c r="I1255" s="192">
        <v>-4.09</v>
      </c>
      <c r="J1255" s="9">
        <v>118.99999999999994</v>
      </c>
      <c r="K1255">
        <v>-2982</v>
      </c>
      <c r="L1255" s="14" t="s">
        <v>94</v>
      </c>
      <c r="M1255" s="8" t="s">
        <v>131</v>
      </c>
      <c r="N1255">
        <v>-2863</v>
      </c>
      <c r="O1255" s="38" t="s">
        <v>11</v>
      </c>
      <c r="P1255" s="38" t="s">
        <v>10</v>
      </c>
      <c r="Q1255">
        <v>2025</v>
      </c>
      <c r="R1255" t="s">
        <v>131</v>
      </c>
      <c r="S1255" t="s">
        <v>14</v>
      </c>
      <c r="T1255" t="s">
        <v>1490</v>
      </c>
      <c r="U1255" t="str">
        <f>IFERROR(_xlfn.XLOOKUP(A1255,'2025 EOY'!A:A,'2025 EOY'!B:B),"No")</f>
        <v>No</v>
      </c>
      <c r="V1255" s="4"/>
      <c r="W1255" s="4"/>
    </row>
    <row r="1256" spans="1:23" x14ac:dyDescent="0.35">
      <c r="A1256" t="s">
        <v>1458</v>
      </c>
      <c r="B1256" s="174">
        <v>45958</v>
      </c>
      <c r="C1256" s="10" t="s">
        <v>10</v>
      </c>
      <c r="D1256" s="4" t="s">
        <v>128</v>
      </c>
      <c r="E1256" s="265">
        <v>1000</v>
      </c>
      <c r="F1256" s="172">
        <v>46053</v>
      </c>
      <c r="G1256" s="172">
        <v>46053</v>
      </c>
      <c r="H1256" s="218">
        <v>-4.05</v>
      </c>
      <c r="I1256" s="192">
        <v>-4.6500000000000004</v>
      </c>
      <c r="J1256" s="9">
        <v>-600.00000000000057</v>
      </c>
      <c r="K1256">
        <v>-4050</v>
      </c>
      <c r="L1256" s="14" t="s">
        <v>95</v>
      </c>
      <c r="M1256" s="8" t="s">
        <v>131</v>
      </c>
      <c r="N1256">
        <v>-4650</v>
      </c>
      <c r="O1256" s="38" t="s">
        <v>11</v>
      </c>
      <c r="P1256" s="38" t="s">
        <v>10</v>
      </c>
      <c r="Q1256">
        <v>2026</v>
      </c>
      <c r="R1256" t="s">
        <v>131</v>
      </c>
      <c r="S1256" t="s">
        <v>14</v>
      </c>
      <c r="T1256" t="s">
        <v>1491</v>
      </c>
      <c r="U1256" t="str">
        <f>IFERROR(_xlfn.XLOOKUP(A1256,'2025 EOY'!A:A,'2025 EOY'!B:B),"No")</f>
        <v>Yes</v>
      </c>
      <c r="V1256" s="4"/>
      <c r="W1256" s="4"/>
    </row>
    <row r="1257" spans="1:23" x14ac:dyDescent="0.35">
      <c r="A1257" t="s">
        <v>127</v>
      </c>
      <c r="B1257" s="174">
        <v>45959</v>
      </c>
      <c r="C1257" s="10" t="s">
        <v>15</v>
      </c>
      <c r="D1257" s="4" t="s">
        <v>128</v>
      </c>
      <c r="E1257" s="253">
        <v>-400</v>
      </c>
      <c r="F1257" s="173">
        <v>45991</v>
      </c>
      <c r="G1257" s="173">
        <v>45991</v>
      </c>
      <c r="H1257" s="212">
        <v>0.79499999999999993</v>
      </c>
      <c r="I1257" s="191">
        <v>0.03</v>
      </c>
      <c r="J1257" s="9">
        <v>305.99999999999994</v>
      </c>
      <c r="K1257">
        <v>-318</v>
      </c>
      <c r="L1257" s="14" t="s">
        <v>90</v>
      </c>
      <c r="M1257" s="8" t="s">
        <v>129</v>
      </c>
      <c r="N1257">
        <v>-12</v>
      </c>
      <c r="O1257" s="38" t="s">
        <v>11</v>
      </c>
      <c r="P1257" s="38" t="s">
        <v>16</v>
      </c>
      <c r="Q1257" s="240">
        <v>2025</v>
      </c>
      <c r="R1257" t="s">
        <v>129</v>
      </c>
      <c r="S1257" t="s">
        <v>14</v>
      </c>
      <c r="T1257" t="s">
        <v>1492</v>
      </c>
      <c r="U1257" t="str">
        <f>IFERROR(_xlfn.XLOOKUP(A1257,'2025 EOY'!A:A,'2025 EOY'!B:B),"No")</f>
        <v>No</v>
      </c>
    </row>
    <row r="1258" spans="1:23" x14ac:dyDescent="0.35">
      <c r="A1258" t="s">
        <v>127</v>
      </c>
      <c r="B1258" s="174">
        <v>45959</v>
      </c>
      <c r="C1258" s="10" t="s">
        <v>15</v>
      </c>
      <c r="D1258" s="4" t="s">
        <v>128</v>
      </c>
      <c r="E1258" s="253">
        <v>400</v>
      </c>
      <c r="F1258" s="173">
        <v>46022</v>
      </c>
      <c r="G1258" s="173">
        <v>46022</v>
      </c>
      <c r="H1258" s="212">
        <v>0.61</v>
      </c>
      <c r="I1258" s="191">
        <v>0.99</v>
      </c>
      <c r="J1258" s="9">
        <v>152</v>
      </c>
      <c r="K1258">
        <v>244</v>
      </c>
      <c r="L1258" s="14" t="s">
        <v>94</v>
      </c>
      <c r="M1258" s="8" t="s">
        <v>131</v>
      </c>
      <c r="N1258">
        <v>396</v>
      </c>
      <c r="O1258" s="38" t="s">
        <v>11</v>
      </c>
      <c r="P1258" s="38" t="s">
        <v>16</v>
      </c>
      <c r="Q1258" s="240">
        <v>2025</v>
      </c>
      <c r="R1258" t="s">
        <v>131</v>
      </c>
      <c r="S1258" t="s">
        <v>14</v>
      </c>
      <c r="T1258" t="s">
        <v>1493</v>
      </c>
      <c r="U1258" t="str">
        <f>IFERROR(_xlfn.XLOOKUP(A1258,'2025 EOY'!A:A,'2025 EOY'!B:B),"No")</f>
        <v>No</v>
      </c>
    </row>
    <row r="1259" spans="1:23" x14ac:dyDescent="0.35">
      <c r="A1259" s="37" t="s">
        <v>127</v>
      </c>
      <c r="B1259" s="174">
        <v>45959</v>
      </c>
      <c r="C1259" s="10" t="s">
        <v>10</v>
      </c>
      <c r="D1259" s="4" t="s">
        <v>128</v>
      </c>
      <c r="E1259" s="265">
        <v>346</v>
      </c>
      <c r="F1259" s="172">
        <v>46022</v>
      </c>
      <c r="G1259" s="172">
        <v>46022</v>
      </c>
      <c r="H1259" s="218">
        <v>-4.3499999999999996</v>
      </c>
      <c r="I1259" s="192">
        <v>-4.09</v>
      </c>
      <c r="J1259" s="9">
        <v>89.959999999999923</v>
      </c>
      <c r="K1259">
        <v>-1505.1</v>
      </c>
      <c r="L1259" s="14" t="s">
        <v>94</v>
      </c>
      <c r="M1259" s="8" t="s">
        <v>131</v>
      </c>
      <c r="N1259">
        <v>-1415.1399999999999</v>
      </c>
      <c r="O1259" s="38" t="s">
        <v>11</v>
      </c>
      <c r="P1259" s="38" t="s">
        <v>10</v>
      </c>
      <c r="Q1259">
        <v>2025</v>
      </c>
      <c r="R1259" t="s">
        <v>131</v>
      </c>
      <c r="S1259" t="s">
        <v>14</v>
      </c>
      <c r="T1259" t="s">
        <v>1494</v>
      </c>
      <c r="U1259" t="str">
        <f>IFERROR(_xlfn.XLOOKUP(A1259,'2025 EOY'!A:A,'2025 EOY'!B:B),"No")</f>
        <v>No</v>
      </c>
      <c r="V1259" s="4"/>
      <c r="W1259" s="4"/>
    </row>
    <row r="1260" spans="1:23" x14ac:dyDescent="0.35">
      <c r="A1260" s="37" t="s">
        <v>127</v>
      </c>
      <c r="B1260" s="174">
        <v>45959</v>
      </c>
      <c r="C1260" s="10" t="s">
        <v>10</v>
      </c>
      <c r="D1260" s="4" t="s">
        <v>128</v>
      </c>
      <c r="E1260" s="265">
        <v>1000</v>
      </c>
      <c r="F1260" s="172">
        <v>46053</v>
      </c>
      <c r="G1260" s="172">
        <v>46053</v>
      </c>
      <c r="H1260" s="224">
        <v>-4.2</v>
      </c>
      <c r="I1260" s="192">
        <v>-4.6500000000000004</v>
      </c>
      <c r="J1260" s="9">
        <v>-450.00000000000017</v>
      </c>
      <c r="K1260">
        <v>-4200</v>
      </c>
      <c r="L1260" s="14" t="s">
        <v>95</v>
      </c>
      <c r="M1260" s="8" t="s">
        <v>131</v>
      </c>
      <c r="N1260">
        <v>-4650</v>
      </c>
      <c r="O1260" s="38" t="s">
        <v>11</v>
      </c>
      <c r="P1260" s="38" t="s">
        <v>10</v>
      </c>
      <c r="Q1260">
        <v>2026</v>
      </c>
      <c r="R1260" t="s">
        <v>131</v>
      </c>
      <c r="S1260" t="s">
        <v>14</v>
      </c>
      <c r="T1260" t="s">
        <v>1495</v>
      </c>
      <c r="U1260" t="str">
        <f>IFERROR(_xlfn.XLOOKUP(A1260,'2025 EOY'!A:A,'2025 EOY'!B:B),"No")</f>
        <v>No</v>
      </c>
      <c r="V1260" s="4"/>
      <c r="W1260" s="4"/>
    </row>
    <row r="1261" spans="1:23" x14ac:dyDescent="0.35">
      <c r="A1261" t="s">
        <v>127</v>
      </c>
      <c r="B1261" s="174">
        <v>45959</v>
      </c>
      <c r="C1261" s="10" t="s">
        <v>3</v>
      </c>
      <c r="D1261" s="4" t="s">
        <v>128</v>
      </c>
      <c r="E1261" s="253">
        <v>500</v>
      </c>
      <c r="F1261" s="172">
        <v>46022</v>
      </c>
      <c r="G1261" s="172">
        <v>46053</v>
      </c>
      <c r="H1261" s="212">
        <v>0.36</v>
      </c>
      <c r="I1261" s="192">
        <v>0.19</v>
      </c>
      <c r="J1261" s="9">
        <v>-84.999999999999986</v>
      </c>
      <c r="K1261">
        <v>180</v>
      </c>
      <c r="L1261" s="14" t="s">
        <v>18</v>
      </c>
      <c r="M1261" s="8" t="s">
        <v>131</v>
      </c>
      <c r="N1261">
        <v>95</v>
      </c>
      <c r="O1261" s="38" t="s">
        <v>4</v>
      </c>
      <c r="P1261" s="38" t="s">
        <v>3</v>
      </c>
      <c r="Q1261" s="240">
        <v>2025</v>
      </c>
      <c r="R1261" t="s">
        <v>131</v>
      </c>
      <c r="S1261" t="s">
        <v>14</v>
      </c>
      <c r="T1261" t="s">
        <v>1496</v>
      </c>
      <c r="U1261" t="str">
        <f>IFERROR(_xlfn.XLOOKUP(A1261,'2025 EOY'!A:A,'2025 EOY'!B:B),"No")</f>
        <v>No</v>
      </c>
    </row>
    <row r="1262" spans="1:23" x14ac:dyDescent="0.35">
      <c r="A1262" s="37" t="s">
        <v>127</v>
      </c>
      <c r="B1262" s="174">
        <v>45959</v>
      </c>
      <c r="C1262" s="10" t="s">
        <v>7</v>
      </c>
      <c r="D1262" s="4" t="s">
        <v>128</v>
      </c>
      <c r="E1262" s="253">
        <v>-1000</v>
      </c>
      <c r="F1262" s="172">
        <v>46022</v>
      </c>
      <c r="G1262" s="172">
        <v>46053</v>
      </c>
      <c r="H1262" s="218">
        <v>0.61</v>
      </c>
      <c r="I1262" s="192">
        <v>0.3</v>
      </c>
      <c r="J1262" s="9">
        <v>310</v>
      </c>
      <c r="K1262">
        <v>-610</v>
      </c>
      <c r="L1262" s="14" t="s">
        <v>18</v>
      </c>
      <c r="M1262" s="8" t="s">
        <v>129</v>
      </c>
      <c r="N1262">
        <v>-300</v>
      </c>
      <c r="O1262" s="38" t="s">
        <v>4</v>
      </c>
      <c r="P1262" s="38" t="s">
        <v>7</v>
      </c>
      <c r="Q1262">
        <v>2025</v>
      </c>
      <c r="R1262" t="s">
        <v>129</v>
      </c>
      <c r="S1262" t="s">
        <v>14</v>
      </c>
      <c r="T1262" t="s">
        <v>1497</v>
      </c>
      <c r="U1262" t="str">
        <f>IFERROR(_xlfn.XLOOKUP(A1262,'2025 EOY'!A:A,'2025 EOY'!B:B),"No")</f>
        <v>No</v>
      </c>
    </row>
    <row r="1263" spans="1:23" x14ac:dyDescent="0.35">
      <c r="A1263" s="37" t="s">
        <v>127</v>
      </c>
      <c r="B1263" s="174">
        <v>45959</v>
      </c>
      <c r="C1263" s="10" t="s">
        <v>7</v>
      </c>
      <c r="D1263" s="4" t="s">
        <v>128</v>
      </c>
      <c r="E1263" s="253">
        <v>1000</v>
      </c>
      <c r="F1263" s="172">
        <v>46053</v>
      </c>
      <c r="G1263" s="172">
        <v>46081</v>
      </c>
      <c r="H1263" s="218">
        <v>0.46</v>
      </c>
      <c r="I1263" s="192">
        <v>0.82</v>
      </c>
      <c r="J1263" s="9">
        <v>359.99999999999994</v>
      </c>
      <c r="K1263">
        <v>460</v>
      </c>
      <c r="L1263" s="14" t="s">
        <v>97</v>
      </c>
      <c r="M1263" s="8" t="s">
        <v>131</v>
      </c>
      <c r="N1263">
        <v>820</v>
      </c>
      <c r="O1263" s="38" t="s">
        <v>4</v>
      </c>
      <c r="P1263" s="38" t="s">
        <v>7</v>
      </c>
      <c r="Q1263">
        <v>2026</v>
      </c>
      <c r="R1263" t="s">
        <v>131</v>
      </c>
      <c r="S1263" t="s">
        <v>14</v>
      </c>
      <c r="T1263" t="s">
        <v>1498</v>
      </c>
      <c r="U1263" t="str">
        <f>IFERROR(_xlfn.XLOOKUP(A1263,'2025 EOY'!A:A,'2025 EOY'!B:B),"No")</f>
        <v>No</v>
      </c>
    </row>
    <row r="1264" spans="1:23" x14ac:dyDescent="0.35">
      <c r="A1264" s="21" t="s">
        <v>1499</v>
      </c>
      <c r="B1264" s="280">
        <v>45960</v>
      </c>
      <c r="C1264" s="22" t="s">
        <v>19</v>
      </c>
      <c r="D1264" s="23" t="s">
        <v>268</v>
      </c>
      <c r="E1264" s="264"/>
      <c r="F1264" s="24">
        <v>46022</v>
      </c>
      <c r="G1264" s="24">
        <v>46022</v>
      </c>
      <c r="H1264" s="281">
        <v>6.999999999999984E-2</v>
      </c>
      <c r="I1264" s="193">
        <v>0.01</v>
      </c>
      <c r="J1264" s="25">
        <v>0</v>
      </c>
      <c r="K1264" s="26">
        <v>0</v>
      </c>
      <c r="L1264" s="282" t="s">
        <v>94</v>
      </c>
      <c r="M1264" s="27" t="s">
        <v>131</v>
      </c>
      <c r="N1264" s="26">
        <v>0</v>
      </c>
      <c r="O1264" s="28" t="s">
        <v>19</v>
      </c>
      <c r="P1264" s="28" t="s">
        <v>19</v>
      </c>
      <c r="Q1264" s="28">
        <v>2025</v>
      </c>
      <c r="R1264" t="s">
        <v>129</v>
      </c>
      <c r="S1264" t="s">
        <v>96</v>
      </c>
      <c r="T1264" t="s">
        <v>1500</v>
      </c>
      <c r="U1264" t="str">
        <f>IFERROR(_xlfn.XLOOKUP(A1264,'2025 EOY'!A:A,'2025 EOY'!B:B),"No")</f>
        <v>No</v>
      </c>
    </row>
    <row r="1265" spans="1:23" x14ac:dyDescent="0.35">
      <c r="A1265" s="37" t="s">
        <v>1499</v>
      </c>
      <c r="B1265" s="174">
        <v>45960</v>
      </c>
      <c r="C1265" s="10" t="s">
        <v>10</v>
      </c>
      <c r="D1265" s="4" t="s">
        <v>268</v>
      </c>
      <c r="E1265" s="265">
        <v>0</v>
      </c>
      <c r="F1265" s="172">
        <v>46022</v>
      </c>
      <c r="G1265" s="172">
        <v>46022</v>
      </c>
      <c r="H1265" s="219">
        <v>-4.3899999999999997</v>
      </c>
      <c r="I1265" s="192">
        <v>-4.09</v>
      </c>
      <c r="J1265" s="9">
        <v>0</v>
      </c>
      <c r="K1265">
        <v>0</v>
      </c>
      <c r="L1265" s="14" t="s">
        <v>94</v>
      </c>
      <c r="M1265" s="8" t="s">
        <v>131</v>
      </c>
      <c r="N1265">
        <v>0</v>
      </c>
      <c r="O1265" s="38" t="s">
        <v>11</v>
      </c>
      <c r="P1265" s="38" t="s">
        <v>10</v>
      </c>
      <c r="Q1265" s="38">
        <v>2025</v>
      </c>
      <c r="R1265" t="s">
        <v>129</v>
      </c>
      <c r="S1265" t="s">
        <v>14</v>
      </c>
      <c r="T1265" t="s">
        <v>1501</v>
      </c>
      <c r="U1265" t="str">
        <f>IFERROR(_xlfn.XLOOKUP(A1265,'2025 EOY'!A:A,'2025 EOY'!B:B),"No")</f>
        <v>No</v>
      </c>
      <c r="V1265" s="4"/>
      <c r="W1265" s="4"/>
    </row>
    <row r="1266" spans="1:23" x14ac:dyDescent="0.35">
      <c r="A1266" s="37" t="s">
        <v>1499</v>
      </c>
      <c r="B1266" s="174">
        <v>45960</v>
      </c>
      <c r="C1266" s="10" t="s">
        <v>10</v>
      </c>
      <c r="D1266" s="4" t="s">
        <v>268</v>
      </c>
      <c r="E1266" s="265">
        <v>0</v>
      </c>
      <c r="F1266" s="172">
        <v>46022</v>
      </c>
      <c r="G1266" s="172">
        <v>46022</v>
      </c>
      <c r="H1266" s="219">
        <v>-4.3899999999999997</v>
      </c>
      <c r="I1266" s="192">
        <v>-4.09</v>
      </c>
      <c r="J1266" s="9">
        <v>0</v>
      </c>
      <c r="K1266">
        <v>0</v>
      </c>
      <c r="L1266" s="14" t="s">
        <v>94</v>
      </c>
      <c r="M1266" s="8" t="s">
        <v>131</v>
      </c>
      <c r="N1266">
        <v>0</v>
      </c>
      <c r="O1266" s="38" t="s">
        <v>11</v>
      </c>
      <c r="P1266" s="38" t="s">
        <v>10</v>
      </c>
      <c r="Q1266" s="38">
        <v>2025</v>
      </c>
      <c r="R1266" t="s">
        <v>129</v>
      </c>
      <c r="S1266" t="s">
        <v>14</v>
      </c>
      <c r="T1266" t="s">
        <v>1502</v>
      </c>
      <c r="U1266" t="str">
        <f>IFERROR(_xlfn.XLOOKUP(A1266,'2025 EOY'!A:A,'2025 EOY'!B:B),"No")</f>
        <v>No</v>
      </c>
      <c r="V1266" s="4"/>
      <c r="W1266" s="4"/>
    </row>
    <row r="1267" spans="1:23" x14ac:dyDescent="0.35">
      <c r="A1267" s="37" t="s">
        <v>1499</v>
      </c>
      <c r="B1267" s="174">
        <v>45960</v>
      </c>
      <c r="C1267" s="10" t="s">
        <v>10</v>
      </c>
      <c r="D1267" s="4" t="s">
        <v>268</v>
      </c>
      <c r="E1267" s="265">
        <v>0</v>
      </c>
      <c r="F1267" s="172">
        <v>46053</v>
      </c>
      <c r="G1267" s="172">
        <v>46053</v>
      </c>
      <c r="H1267" s="219">
        <v>-4.0999999999999996</v>
      </c>
      <c r="I1267" s="192">
        <v>-4.6500000000000004</v>
      </c>
      <c r="J1267" s="9">
        <v>0</v>
      </c>
      <c r="K1267">
        <v>0</v>
      </c>
      <c r="L1267" s="14" t="s">
        <v>95</v>
      </c>
      <c r="M1267" s="8" t="s">
        <v>131</v>
      </c>
      <c r="N1267">
        <v>0</v>
      </c>
      <c r="O1267" s="38" t="s">
        <v>11</v>
      </c>
      <c r="P1267" s="38" t="s">
        <v>10</v>
      </c>
      <c r="Q1267" s="38">
        <v>2026</v>
      </c>
      <c r="R1267" t="s">
        <v>129</v>
      </c>
      <c r="S1267" t="s">
        <v>14</v>
      </c>
      <c r="T1267" t="s">
        <v>1503</v>
      </c>
      <c r="U1267" t="str">
        <f>IFERROR(_xlfn.XLOOKUP(A1267,'2025 EOY'!A:A,'2025 EOY'!B:B),"No")</f>
        <v>No</v>
      </c>
      <c r="V1267" s="4"/>
      <c r="W1267" s="4"/>
    </row>
    <row r="1268" spans="1:23" x14ac:dyDescent="0.35">
      <c r="A1268" s="37" t="s">
        <v>1499</v>
      </c>
      <c r="B1268" s="174">
        <v>45959</v>
      </c>
      <c r="C1268" s="10" t="s">
        <v>3</v>
      </c>
      <c r="D1268" s="4" t="s">
        <v>268</v>
      </c>
      <c r="E1268" s="253">
        <v>0</v>
      </c>
      <c r="F1268" s="172">
        <v>46022</v>
      </c>
      <c r="G1268" s="172">
        <v>46053</v>
      </c>
      <c r="H1268" s="212">
        <v>0.37</v>
      </c>
      <c r="I1268" s="192">
        <v>0.19</v>
      </c>
      <c r="J1268" s="9">
        <v>0</v>
      </c>
      <c r="K1268">
        <v>0</v>
      </c>
      <c r="L1268" s="14" t="s">
        <v>18</v>
      </c>
      <c r="M1268" s="8" t="s">
        <v>131</v>
      </c>
      <c r="N1268">
        <v>0</v>
      </c>
      <c r="O1268" s="38" t="s">
        <v>4</v>
      </c>
      <c r="P1268" s="38" t="s">
        <v>3</v>
      </c>
      <c r="Q1268" s="38">
        <v>2025</v>
      </c>
      <c r="R1268" t="s">
        <v>129</v>
      </c>
      <c r="S1268" t="s">
        <v>14</v>
      </c>
      <c r="T1268" t="s">
        <v>1504</v>
      </c>
      <c r="U1268" t="str">
        <f>IFERROR(_xlfn.XLOOKUP(A1268,'2025 EOY'!A:A,'2025 EOY'!B:B),"No")</f>
        <v>No</v>
      </c>
    </row>
    <row r="1269" spans="1:23" x14ac:dyDescent="0.35">
      <c r="A1269" s="37" t="s">
        <v>1499</v>
      </c>
      <c r="B1269" s="174">
        <v>45959</v>
      </c>
      <c r="C1269" s="10" t="s">
        <v>7</v>
      </c>
      <c r="D1269" s="4" t="s">
        <v>268</v>
      </c>
      <c r="E1269" s="253">
        <v>0</v>
      </c>
      <c r="F1269" s="172">
        <v>46022</v>
      </c>
      <c r="G1269" s="172">
        <v>46053</v>
      </c>
      <c r="H1269" s="219">
        <v>0.66</v>
      </c>
      <c r="I1269" s="192">
        <v>0.3</v>
      </c>
      <c r="J1269" s="9">
        <v>0</v>
      </c>
      <c r="K1269">
        <v>0</v>
      </c>
      <c r="L1269" s="14" t="s">
        <v>18</v>
      </c>
      <c r="M1269" s="8" t="s">
        <v>131</v>
      </c>
      <c r="N1269">
        <v>0</v>
      </c>
      <c r="O1269" s="38" t="s">
        <v>4</v>
      </c>
      <c r="P1269" s="38" t="s">
        <v>7</v>
      </c>
      <c r="Q1269" s="38">
        <v>2025</v>
      </c>
      <c r="R1269" t="s">
        <v>129</v>
      </c>
      <c r="S1269" t="s">
        <v>14</v>
      </c>
      <c r="T1269" t="s">
        <v>1505</v>
      </c>
      <c r="U1269" t="str">
        <f>IFERROR(_xlfn.XLOOKUP(A1269,'2025 EOY'!A:A,'2025 EOY'!B:B),"No")</f>
        <v>No</v>
      </c>
    </row>
    <row r="1270" spans="1:23" ht="16.5" customHeight="1" x14ac:dyDescent="0.35">
      <c r="A1270" s="37" t="s">
        <v>1499</v>
      </c>
      <c r="B1270" s="174">
        <v>45959</v>
      </c>
      <c r="C1270" s="10" t="s">
        <v>7</v>
      </c>
      <c r="D1270" s="4" t="s">
        <v>128</v>
      </c>
      <c r="E1270" s="253">
        <v>-700</v>
      </c>
      <c r="F1270" s="172">
        <v>46022</v>
      </c>
      <c r="G1270" s="172">
        <v>46053</v>
      </c>
      <c r="H1270" s="219">
        <v>0.66</v>
      </c>
      <c r="I1270" s="192">
        <v>0.3</v>
      </c>
      <c r="J1270" s="9">
        <v>252.00000000000003</v>
      </c>
      <c r="K1270">
        <v>-462</v>
      </c>
      <c r="L1270" s="14" t="s">
        <v>18</v>
      </c>
      <c r="M1270" s="8" t="s">
        <v>129</v>
      </c>
      <c r="N1270">
        <v>-210</v>
      </c>
      <c r="O1270" s="38" t="s">
        <v>4</v>
      </c>
      <c r="P1270" s="38" t="s">
        <v>7</v>
      </c>
      <c r="Q1270" s="38">
        <v>2025</v>
      </c>
      <c r="R1270" t="s">
        <v>129</v>
      </c>
      <c r="S1270" t="s">
        <v>14</v>
      </c>
      <c r="T1270" t="s">
        <v>1506</v>
      </c>
      <c r="U1270" t="str">
        <f>IFERROR(_xlfn.XLOOKUP(A1270,'2025 EOY'!A:A,'2025 EOY'!B:B),"No")</f>
        <v>No</v>
      </c>
    </row>
    <row r="1271" spans="1:23" x14ac:dyDescent="0.35">
      <c r="A1271" s="37" t="s">
        <v>1499</v>
      </c>
      <c r="B1271" s="174">
        <v>45960</v>
      </c>
      <c r="C1271" s="47" t="s">
        <v>36</v>
      </c>
      <c r="D1271" s="4" t="s">
        <v>268</v>
      </c>
      <c r="E1271" s="265"/>
      <c r="F1271" s="172">
        <v>46022</v>
      </c>
      <c r="G1271" s="172">
        <v>46022</v>
      </c>
      <c r="H1271" s="219">
        <v>200</v>
      </c>
      <c r="I1271" s="206">
        <v>208.93</v>
      </c>
      <c r="J1271" s="9">
        <v>0</v>
      </c>
      <c r="K1271">
        <v>0</v>
      </c>
      <c r="L1271" s="14" t="s">
        <v>94</v>
      </c>
      <c r="M1271" s="8" t="s">
        <v>131</v>
      </c>
      <c r="N1271">
        <v>0</v>
      </c>
      <c r="O1271" s="38" t="s">
        <v>29</v>
      </c>
      <c r="P1271" s="38" t="s">
        <v>29</v>
      </c>
      <c r="Q1271" s="38">
        <v>2025</v>
      </c>
      <c r="R1271" t="s">
        <v>129</v>
      </c>
      <c r="S1271" t="s">
        <v>14</v>
      </c>
      <c r="T1271" t="s">
        <v>1507</v>
      </c>
      <c r="U1271" t="str">
        <f>IFERROR(_xlfn.XLOOKUP(A1271,'2025 EOY'!A:A,'2025 EOY'!B:B),"No")</f>
        <v>No</v>
      </c>
      <c r="V1271" s="4"/>
      <c r="W1271" s="4"/>
    </row>
    <row r="1272" spans="1:23" x14ac:dyDescent="0.35">
      <c r="A1272" s="29" t="s">
        <v>1499</v>
      </c>
      <c r="B1272" s="283">
        <v>45960</v>
      </c>
      <c r="C1272" s="94" t="s">
        <v>39</v>
      </c>
      <c r="D1272" s="31" t="s">
        <v>268</v>
      </c>
      <c r="E1272" s="273"/>
      <c r="F1272" s="32">
        <v>46022</v>
      </c>
      <c r="G1272" s="32">
        <v>46022</v>
      </c>
      <c r="H1272" s="284">
        <v>145</v>
      </c>
      <c r="I1272" s="285">
        <v>160</v>
      </c>
      <c r="J1272" s="33">
        <v>0</v>
      </c>
      <c r="K1272" s="34">
        <v>0</v>
      </c>
      <c r="L1272" s="286" t="s">
        <v>94</v>
      </c>
      <c r="M1272" s="35" t="s">
        <v>131</v>
      </c>
      <c r="N1272" s="34">
        <v>0</v>
      </c>
      <c r="O1272" s="36" t="s">
        <v>29</v>
      </c>
      <c r="P1272" s="36" t="s">
        <v>29</v>
      </c>
      <c r="Q1272" s="36">
        <v>2025</v>
      </c>
      <c r="R1272" t="s">
        <v>129</v>
      </c>
      <c r="S1272" t="s">
        <v>14</v>
      </c>
      <c r="T1272" t="s">
        <v>1508</v>
      </c>
      <c r="U1272" t="str">
        <f>IFERROR(_xlfn.XLOOKUP(A1272,'2025 EOY'!A:A,'2025 EOY'!B:B),"No")</f>
        <v>No</v>
      </c>
      <c r="V1272" s="4"/>
      <c r="W1272" s="4"/>
    </row>
    <row r="1273" spans="1:23" x14ac:dyDescent="0.35">
      <c r="A1273" s="37" t="s">
        <v>127</v>
      </c>
      <c r="B1273" s="174">
        <v>45960</v>
      </c>
      <c r="C1273" s="10" t="s">
        <v>7</v>
      </c>
      <c r="D1273" s="4" t="s">
        <v>128</v>
      </c>
      <c r="E1273" s="253">
        <v>-1000</v>
      </c>
      <c r="F1273" s="172">
        <v>46022</v>
      </c>
      <c r="G1273" s="172">
        <v>46053</v>
      </c>
      <c r="H1273" s="218">
        <v>0.63</v>
      </c>
      <c r="I1273" s="192">
        <v>0.3</v>
      </c>
      <c r="J1273" s="9">
        <v>330</v>
      </c>
      <c r="K1273">
        <v>-630</v>
      </c>
      <c r="L1273" s="14" t="s">
        <v>18</v>
      </c>
      <c r="M1273" s="8" t="s">
        <v>129</v>
      </c>
      <c r="N1273">
        <v>-300</v>
      </c>
      <c r="O1273" s="38" t="s">
        <v>4</v>
      </c>
      <c r="P1273" s="38" t="s">
        <v>7</v>
      </c>
      <c r="Q1273">
        <v>2025</v>
      </c>
      <c r="R1273" t="s">
        <v>129</v>
      </c>
      <c r="S1273" t="s">
        <v>14</v>
      </c>
      <c r="T1273" t="s">
        <v>1509</v>
      </c>
      <c r="U1273" t="str">
        <f>IFERROR(_xlfn.XLOOKUP(A1273,'2025 EOY'!A:A,'2025 EOY'!B:B),"No")</f>
        <v>No</v>
      </c>
    </row>
    <row r="1274" spans="1:23" x14ac:dyDescent="0.35">
      <c r="A1274" s="37" t="s">
        <v>127</v>
      </c>
      <c r="B1274" s="174">
        <v>45960</v>
      </c>
      <c r="C1274" s="10" t="s">
        <v>7</v>
      </c>
      <c r="D1274" s="4" t="s">
        <v>128</v>
      </c>
      <c r="E1274" s="253">
        <v>1000</v>
      </c>
      <c r="F1274" s="172">
        <v>46053</v>
      </c>
      <c r="G1274" s="172">
        <v>46081</v>
      </c>
      <c r="H1274" s="218">
        <v>0.48</v>
      </c>
      <c r="I1274" s="192">
        <v>0.82</v>
      </c>
      <c r="J1274" s="9">
        <v>339.99999999999994</v>
      </c>
      <c r="K1274">
        <v>480</v>
      </c>
      <c r="L1274" s="14" t="s">
        <v>97</v>
      </c>
      <c r="M1274" s="8" t="s">
        <v>131</v>
      </c>
      <c r="N1274">
        <v>820</v>
      </c>
      <c r="O1274" s="38" t="s">
        <v>4</v>
      </c>
      <c r="P1274" s="38" t="s">
        <v>7</v>
      </c>
      <c r="Q1274">
        <v>2026</v>
      </c>
      <c r="R1274" t="s">
        <v>131</v>
      </c>
      <c r="S1274" t="s">
        <v>14</v>
      </c>
      <c r="T1274" t="s">
        <v>1510</v>
      </c>
      <c r="U1274" t="str">
        <f>IFERROR(_xlfn.XLOOKUP(A1274,'2025 EOY'!A:A,'2025 EOY'!B:B),"No")</f>
        <v>No</v>
      </c>
    </row>
    <row r="1275" spans="1:23" x14ac:dyDescent="0.35">
      <c r="A1275" s="287" t="s">
        <v>127</v>
      </c>
      <c r="B1275" s="289">
        <v>45960</v>
      </c>
      <c r="C1275" s="290" t="s">
        <v>19</v>
      </c>
      <c r="D1275" s="291" t="s">
        <v>128</v>
      </c>
      <c r="E1275" s="292">
        <v>-208</v>
      </c>
      <c r="F1275" s="293">
        <v>46053</v>
      </c>
      <c r="G1275" s="293">
        <v>46053</v>
      </c>
      <c r="H1275" s="294">
        <v>67.02</v>
      </c>
      <c r="I1275" s="295">
        <v>65</v>
      </c>
      <c r="J1275" s="301">
        <v>420.15999999999917</v>
      </c>
      <c r="K1275" s="288">
        <v>-13940.16</v>
      </c>
      <c r="L1275" s="296" t="s">
        <v>95</v>
      </c>
      <c r="M1275" s="297" t="s">
        <v>129</v>
      </c>
      <c r="N1275" s="288">
        <v>-13520</v>
      </c>
      <c r="O1275" s="298" t="s">
        <v>19</v>
      </c>
      <c r="P1275" s="298" t="s">
        <v>19</v>
      </c>
      <c r="Q1275" s="298">
        <v>2026</v>
      </c>
      <c r="R1275" t="s">
        <v>129</v>
      </c>
      <c r="S1275" t="s">
        <v>96</v>
      </c>
      <c r="T1275" t="s">
        <v>1511</v>
      </c>
      <c r="U1275" t="str">
        <f>IFERROR(_xlfn.XLOOKUP(A1275,'2025 EOY'!A:A,'2025 EOY'!B:B),"No")</f>
        <v>No</v>
      </c>
    </row>
    <row r="1276" spans="1:23" x14ac:dyDescent="0.35">
      <c r="A1276" s="37" t="s">
        <v>1483</v>
      </c>
      <c r="B1276" s="174">
        <v>45961</v>
      </c>
      <c r="C1276" s="10" t="s">
        <v>7</v>
      </c>
      <c r="D1276" s="4" t="s">
        <v>128</v>
      </c>
      <c r="E1276" s="253">
        <v>700</v>
      </c>
      <c r="F1276" s="172">
        <v>46022</v>
      </c>
      <c r="G1276" s="172">
        <v>46053</v>
      </c>
      <c r="H1276" s="219">
        <v>0.65</v>
      </c>
      <c r="I1276" s="192">
        <v>0.3</v>
      </c>
      <c r="J1276" s="9">
        <v>-245.00000000000003</v>
      </c>
      <c r="K1276">
        <v>455</v>
      </c>
      <c r="L1276" s="14" t="s">
        <v>18</v>
      </c>
      <c r="M1276" s="8" t="s">
        <v>131</v>
      </c>
      <c r="N1276">
        <v>210</v>
      </c>
      <c r="O1276" s="38" t="s">
        <v>4</v>
      </c>
      <c r="P1276" s="38" t="s">
        <v>7</v>
      </c>
      <c r="Q1276" s="38">
        <v>2025</v>
      </c>
      <c r="R1276" t="s">
        <v>131</v>
      </c>
      <c r="S1276" t="s">
        <v>14</v>
      </c>
      <c r="T1276" t="s">
        <v>1512</v>
      </c>
      <c r="U1276" t="str">
        <f>IFERROR(_xlfn.XLOOKUP(A1276,'2025 EOY'!A:A,'2025 EOY'!B:B),"No")</f>
        <v>No</v>
      </c>
    </row>
    <row r="1277" spans="1:23" x14ac:dyDescent="0.35">
      <c r="A1277" t="s">
        <v>127</v>
      </c>
      <c r="B1277" s="174">
        <v>45961</v>
      </c>
      <c r="C1277" s="10" t="s">
        <v>15</v>
      </c>
      <c r="D1277" s="4" t="s">
        <v>128</v>
      </c>
      <c r="E1277" s="253">
        <v>-9</v>
      </c>
      <c r="F1277" s="173">
        <v>45991</v>
      </c>
      <c r="G1277" s="173">
        <v>45991</v>
      </c>
      <c r="H1277" s="212">
        <v>0.8</v>
      </c>
      <c r="I1277" s="191">
        <v>0.03</v>
      </c>
      <c r="J1277" s="9">
        <v>6.93</v>
      </c>
      <c r="K1277">
        <v>-7.2</v>
      </c>
      <c r="L1277" s="14" t="s">
        <v>90</v>
      </c>
      <c r="M1277" s="8" t="s">
        <v>129</v>
      </c>
      <c r="N1277">
        <v>-0.27</v>
      </c>
      <c r="O1277" s="38" t="s">
        <v>11</v>
      </c>
      <c r="P1277" s="38" t="s">
        <v>16</v>
      </c>
      <c r="Q1277" s="240">
        <v>2025</v>
      </c>
      <c r="R1277" t="s">
        <v>129</v>
      </c>
      <c r="S1277" t="s">
        <v>14</v>
      </c>
      <c r="T1277" t="s">
        <v>1513</v>
      </c>
      <c r="U1277" t="str">
        <f>IFERROR(_xlfn.XLOOKUP(A1277,'2025 EOY'!A:A,'2025 EOY'!B:B),"No")</f>
        <v>No</v>
      </c>
    </row>
    <row r="1278" spans="1:23" x14ac:dyDescent="0.35">
      <c r="A1278" t="s">
        <v>127</v>
      </c>
      <c r="B1278" s="174">
        <v>45961</v>
      </c>
      <c r="C1278" s="10" t="s">
        <v>15</v>
      </c>
      <c r="D1278" s="4" t="s">
        <v>128</v>
      </c>
      <c r="E1278" s="253">
        <v>-1000</v>
      </c>
      <c r="F1278" s="173">
        <v>46022</v>
      </c>
      <c r="G1278" s="173">
        <v>46022</v>
      </c>
      <c r="H1278" s="212">
        <v>0.73</v>
      </c>
      <c r="I1278" s="191">
        <v>0.99</v>
      </c>
      <c r="J1278" s="9">
        <v>-260</v>
      </c>
      <c r="K1278">
        <v>-730</v>
      </c>
      <c r="L1278" s="14" t="s">
        <v>94</v>
      </c>
      <c r="M1278" s="8" t="s">
        <v>129</v>
      </c>
      <c r="N1278">
        <v>-990</v>
      </c>
      <c r="O1278" s="38" t="s">
        <v>11</v>
      </c>
      <c r="P1278" s="38" t="s">
        <v>16</v>
      </c>
      <c r="Q1278" s="240">
        <v>2025</v>
      </c>
      <c r="R1278" t="s">
        <v>129</v>
      </c>
      <c r="S1278" t="s">
        <v>14</v>
      </c>
      <c r="T1278" t="s">
        <v>1514</v>
      </c>
      <c r="U1278" t="str">
        <f>IFERROR(_xlfn.XLOOKUP(A1278,'2025 EOY'!A:A,'2025 EOY'!B:B),"No")</f>
        <v>No</v>
      </c>
    </row>
    <row r="1279" spans="1:23" x14ac:dyDescent="0.35">
      <c r="A1279" t="s">
        <v>127</v>
      </c>
      <c r="B1279" s="174">
        <v>45961</v>
      </c>
      <c r="C1279" s="10" t="s">
        <v>15</v>
      </c>
      <c r="D1279" s="4" t="s">
        <v>128</v>
      </c>
      <c r="E1279" s="253">
        <v>-1000</v>
      </c>
      <c r="F1279" s="173">
        <v>46022</v>
      </c>
      <c r="G1279" s="173">
        <v>46022</v>
      </c>
      <c r="H1279" s="212">
        <v>0.74</v>
      </c>
      <c r="I1279" s="191">
        <v>0.99</v>
      </c>
      <c r="J1279" s="9">
        <v>-250</v>
      </c>
      <c r="K1279">
        <v>-740</v>
      </c>
      <c r="L1279" s="14" t="s">
        <v>94</v>
      </c>
      <c r="M1279" s="8" t="s">
        <v>129</v>
      </c>
      <c r="N1279">
        <v>-990</v>
      </c>
      <c r="O1279" s="38" t="s">
        <v>11</v>
      </c>
      <c r="P1279" s="38" t="s">
        <v>16</v>
      </c>
      <c r="Q1279" s="240">
        <v>2025</v>
      </c>
      <c r="R1279" t="s">
        <v>129</v>
      </c>
      <c r="S1279" t="s">
        <v>14</v>
      </c>
      <c r="T1279" t="s">
        <v>1515</v>
      </c>
      <c r="U1279" t="str">
        <f>IFERROR(_xlfn.XLOOKUP(A1279,'2025 EOY'!A:A,'2025 EOY'!B:B),"No")</f>
        <v>No</v>
      </c>
    </row>
    <row r="1280" spans="1:23" x14ac:dyDescent="0.35">
      <c r="A1280" t="s">
        <v>127</v>
      </c>
      <c r="B1280" s="174">
        <v>45959</v>
      </c>
      <c r="C1280" s="10" t="s">
        <v>3</v>
      </c>
      <c r="D1280" s="4" t="s">
        <v>128</v>
      </c>
      <c r="E1280" s="253">
        <v>500</v>
      </c>
      <c r="F1280" s="172">
        <v>46053</v>
      </c>
      <c r="G1280" s="172">
        <v>46081</v>
      </c>
      <c r="H1280" s="212">
        <v>0.32</v>
      </c>
      <c r="I1280" s="192">
        <v>0.15</v>
      </c>
      <c r="J1280" s="9">
        <v>-85</v>
      </c>
      <c r="K1280">
        <v>160</v>
      </c>
      <c r="L1280" s="14" t="s">
        <v>97</v>
      </c>
      <c r="M1280" s="8" t="s">
        <v>131</v>
      </c>
      <c r="N1280">
        <v>75</v>
      </c>
      <c r="O1280" s="38" t="s">
        <v>4</v>
      </c>
      <c r="P1280" s="38" t="s">
        <v>3</v>
      </c>
      <c r="Q1280" s="240">
        <v>2026</v>
      </c>
      <c r="R1280" t="s">
        <v>131</v>
      </c>
      <c r="S1280" t="s">
        <v>14</v>
      </c>
      <c r="T1280" t="s">
        <v>1516</v>
      </c>
      <c r="U1280" t="str">
        <f>IFERROR(_xlfn.XLOOKUP(A1280,'2025 EOY'!A:A,'2025 EOY'!B:B),"No")</f>
        <v>No</v>
      </c>
    </row>
    <row r="1281" spans="1:23" x14ac:dyDescent="0.35">
      <c r="A1281" t="s">
        <v>127</v>
      </c>
      <c r="B1281" s="174">
        <v>45959</v>
      </c>
      <c r="C1281" s="10" t="s">
        <v>3</v>
      </c>
      <c r="D1281" s="4" t="s">
        <v>128</v>
      </c>
      <c r="E1281" s="253">
        <v>300</v>
      </c>
      <c r="F1281" s="172">
        <v>46022</v>
      </c>
      <c r="G1281" s="172">
        <v>46053</v>
      </c>
      <c r="H1281" s="212">
        <v>0.29499999999999998</v>
      </c>
      <c r="I1281" s="192">
        <v>0.19</v>
      </c>
      <c r="J1281" s="9">
        <v>-31.499999999999993</v>
      </c>
      <c r="K1281">
        <v>88.5</v>
      </c>
      <c r="L1281" s="14" t="s">
        <v>18</v>
      </c>
      <c r="M1281" s="8" t="s">
        <v>131</v>
      </c>
      <c r="N1281">
        <v>57</v>
      </c>
      <c r="O1281" s="38" t="s">
        <v>4</v>
      </c>
      <c r="P1281" s="38" t="s">
        <v>3</v>
      </c>
      <c r="Q1281" s="240">
        <v>2025</v>
      </c>
      <c r="R1281" t="s">
        <v>131</v>
      </c>
      <c r="S1281" t="s">
        <v>14</v>
      </c>
      <c r="T1281" t="s">
        <v>1517</v>
      </c>
      <c r="U1281" t="str">
        <f>IFERROR(_xlfn.XLOOKUP(A1281,'2025 EOY'!A:A,'2025 EOY'!B:B),"No")</f>
        <v>No</v>
      </c>
    </row>
    <row r="1282" spans="1:23" x14ac:dyDescent="0.35">
      <c r="A1282" t="s">
        <v>127</v>
      </c>
      <c r="B1282" s="174">
        <v>45959</v>
      </c>
      <c r="C1282" s="10" t="s">
        <v>3</v>
      </c>
      <c r="D1282" s="4" t="s">
        <v>128</v>
      </c>
      <c r="E1282" s="253">
        <v>300</v>
      </c>
      <c r="F1282" s="172">
        <v>46053</v>
      </c>
      <c r="G1282" s="172">
        <v>46081</v>
      </c>
      <c r="H1282" s="212">
        <v>0.29499999999999998</v>
      </c>
      <c r="I1282" s="192">
        <v>0.15</v>
      </c>
      <c r="J1282" s="9">
        <v>-43.5</v>
      </c>
      <c r="K1282">
        <v>88.5</v>
      </c>
      <c r="L1282" s="14" t="s">
        <v>97</v>
      </c>
      <c r="M1282" s="8" t="s">
        <v>131</v>
      </c>
      <c r="N1282">
        <v>45</v>
      </c>
      <c r="O1282" s="38" t="s">
        <v>4</v>
      </c>
      <c r="P1282" s="38" t="s">
        <v>3</v>
      </c>
      <c r="Q1282" s="240">
        <v>2026</v>
      </c>
      <c r="R1282" t="s">
        <v>131</v>
      </c>
      <c r="S1282" t="s">
        <v>14</v>
      </c>
      <c r="T1282" t="s">
        <v>1518</v>
      </c>
      <c r="U1282" t="str">
        <f>IFERROR(_xlfn.XLOOKUP(A1282,'2025 EOY'!A:A,'2025 EOY'!B:B),"No")</f>
        <v>No</v>
      </c>
    </row>
    <row r="1283" spans="1:23" x14ac:dyDescent="0.35">
      <c r="A1283" t="s">
        <v>127</v>
      </c>
      <c r="B1283" s="174">
        <v>45961</v>
      </c>
      <c r="C1283" s="10" t="s">
        <v>15</v>
      </c>
      <c r="D1283" s="4" t="s">
        <v>128</v>
      </c>
      <c r="E1283" s="253">
        <v>-400</v>
      </c>
      <c r="F1283" s="173">
        <v>46022</v>
      </c>
      <c r="G1283" s="173">
        <v>46022</v>
      </c>
      <c r="H1283" s="212">
        <v>0.625</v>
      </c>
      <c r="I1283" s="191">
        <v>0.99</v>
      </c>
      <c r="J1283" s="9">
        <v>-146</v>
      </c>
      <c r="K1283">
        <v>-250</v>
      </c>
      <c r="L1283" s="14" t="s">
        <v>94</v>
      </c>
      <c r="M1283" s="8" t="s">
        <v>129</v>
      </c>
      <c r="N1283">
        <v>-396</v>
      </c>
      <c r="O1283" s="38" t="s">
        <v>11</v>
      </c>
      <c r="P1283" s="38" t="s">
        <v>16</v>
      </c>
      <c r="Q1283" s="240">
        <v>2025</v>
      </c>
      <c r="R1283" t="s">
        <v>129</v>
      </c>
      <c r="S1283" t="s">
        <v>14</v>
      </c>
      <c r="T1283" t="s">
        <v>1519</v>
      </c>
      <c r="U1283" t="str">
        <f>IFERROR(_xlfn.XLOOKUP(A1283,'2025 EOY'!A:A,'2025 EOY'!B:B),"No")</f>
        <v>No</v>
      </c>
    </row>
    <row r="1284" spans="1:23" x14ac:dyDescent="0.35">
      <c r="A1284" t="s">
        <v>127</v>
      </c>
      <c r="B1284" s="174">
        <v>45966</v>
      </c>
      <c r="C1284" s="10" t="s">
        <v>15</v>
      </c>
      <c r="D1284" s="4" t="s">
        <v>128</v>
      </c>
      <c r="E1284" s="253">
        <v>-401</v>
      </c>
      <c r="F1284" s="173">
        <v>46022</v>
      </c>
      <c r="G1284" s="173">
        <v>46022</v>
      </c>
      <c r="H1284" s="212">
        <v>0.46</v>
      </c>
      <c r="I1284" s="191">
        <v>0.99</v>
      </c>
      <c r="J1284" s="9">
        <v>-212.53</v>
      </c>
      <c r="K1284">
        <v>-184.46</v>
      </c>
      <c r="L1284" s="14" t="s">
        <v>94</v>
      </c>
      <c r="M1284" s="8" t="s">
        <v>129</v>
      </c>
      <c r="N1284">
        <v>-396.99</v>
      </c>
      <c r="O1284" s="38" t="s">
        <v>11</v>
      </c>
      <c r="P1284" s="38" t="s">
        <v>16</v>
      </c>
      <c r="Q1284" s="240">
        <v>2025</v>
      </c>
      <c r="R1284" t="s">
        <v>129</v>
      </c>
      <c r="S1284" t="s">
        <v>14</v>
      </c>
      <c r="T1284" t="s">
        <v>1520</v>
      </c>
      <c r="U1284" t="str">
        <f>IFERROR(_xlfn.XLOOKUP(A1284,'2025 EOY'!A:A,'2025 EOY'!B:B),"No")</f>
        <v>No</v>
      </c>
    </row>
    <row r="1285" spans="1:23" x14ac:dyDescent="0.35">
      <c r="A1285" t="s">
        <v>127</v>
      </c>
      <c r="B1285" s="174">
        <v>45966</v>
      </c>
      <c r="C1285" s="10" t="s">
        <v>3</v>
      </c>
      <c r="D1285" s="4" t="s">
        <v>128</v>
      </c>
      <c r="E1285" s="253">
        <v>-843</v>
      </c>
      <c r="F1285" s="172">
        <v>46022</v>
      </c>
      <c r="G1285" s="172">
        <v>46053</v>
      </c>
      <c r="H1285" s="299">
        <v>0.17999999999999972</v>
      </c>
      <c r="I1285" s="192">
        <v>0.19</v>
      </c>
      <c r="J1285" s="9">
        <v>-8.4300000000002413</v>
      </c>
      <c r="K1285">
        <v>-151.73999999999975</v>
      </c>
      <c r="L1285" s="14" t="s">
        <v>18</v>
      </c>
      <c r="M1285" s="8" t="s">
        <v>129</v>
      </c>
      <c r="N1285">
        <v>-160.17000000000002</v>
      </c>
      <c r="O1285" s="38" t="s">
        <v>4</v>
      </c>
      <c r="P1285" s="38" t="s">
        <v>3</v>
      </c>
      <c r="Q1285" s="240">
        <v>2025</v>
      </c>
      <c r="R1285" t="s">
        <v>129</v>
      </c>
      <c r="S1285" t="s">
        <v>14</v>
      </c>
      <c r="T1285" t="s">
        <v>1521</v>
      </c>
      <c r="U1285" t="str">
        <f>IFERROR(_xlfn.XLOOKUP(A1285,'2025 EOY'!A:A,'2025 EOY'!B:B),"No")</f>
        <v>No</v>
      </c>
    </row>
    <row r="1286" spans="1:23" x14ac:dyDescent="0.35">
      <c r="A1286" t="s">
        <v>127</v>
      </c>
      <c r="B1286" s="174">
        <v>45966</v>
      </c>
      <c r="C1286" s="10" t="s">
        <v>3</v>
      </c>
      <c r="D1286" s="4" t="s">
        <v>128</v>
      </c>
      <c r="E1286" s="253">
        <v>1093</v>
      </c>
      <c r="F1286" s="172">
        <v>46053</v>
      </c>
      <c r="G1286" s="172">
        <v>46081</v>
      </c>
      <c r="H1286" s="299">
        <v>0.14999999999999858</v>
      </c>
      <c r="I1286" s="192">
        <v>0.15</v>
      </c>
      <c r="J1286" s="9">
        <v>1.5471790515420025E-12</v>
      </c>
      <c r="K1286">
        <v>163.94999999999845</v>
      </c>
      <c r="L1286" s="14" t="s">
        <v>97</v>
      </c>
      <c r="M1286" s="8" t="s">
        <v>131</v>
      </c>
      <c r="N1286">
        <v>163.95</v>
      </c>
      <c r="O1286" s="38" t="s">
        <v>4</v>
      </c>
      <c r="P1286" s="38" t="s">
        <v>3</v>
      </c>
      <c r="Q1286" s="240">
        <v>2026</v>
      </c>
      <c r="R1286" t="s">
        <v>131</v>
      </c>
      <c r="S1286" t="s">
        <v>14</v>
      </c>
      <c r="T1286" t="s">
        <v>1522</v>
      </c>
      <c r="U1286" t="str">
        <f>IFERROR(_xlfn.XLOOKUP(A1286,'2025 EOY'!A:A,'2025 EOY'!B:B),"No")</f>
        <v>No</v>
      </c>
    </row>
    <row r="1287" spans="1:23" x14ac:dyDescent="0.35">
      <c r="A1287" s="37" t="s">
        <v>1499</v>
      </c>
      <c r="B1287" s="174">
        <v>45966</v>
      </c>
      <c r="C1287" s="10" t="s">
        <v>10</v>
      </c>
      <c r="D1287" s="4" t="s">
        <v>128</v>
      </c>
      <c r="E1287" s="265">
        <v>1200</v>
      </c>
      <c r="F1287" s="172">
        <v>46053</v>
      </c>
      <c r="G1287" s="172">
        <v>46053</v>
      </c>
      <c r="H1287" s="219">
        <v>-4.1000000000000014</v>
      </c>
      <c r="I1287" s="192">
        <v>-4.6500000000000004</v>
      </c>
      <c r="J1287" s="9">
        <v>-659.99999999999875</v>
      </c>
      <c r="K1287">
        <v>-4920.0000000000018</v>
      </c>
      <c r="L1287" s="14" t="s">
        <v>95</v>
      </c>
      <c r="M1287" s="8" t="s">
        <v>131</v>
      </c>
      <c r="N1287">
        <v>-5580</v>
      </c>
      <c r="O1287" s="38" t="s">
        <v>11</v>
      </c>
      <c r="P1287" s="38" t="s">
        <v>10</v>
      </c>
      <c r="Q1287" s="38">
        <v>2026</v>
      </c>
      <c r="R1287" t="s">
        <v>131</v>
      </c>
      <c r="S1287" t="s">
        <v>14</v>
      </c>
      <c r="T1287" t="s">
        <v>1523</v>
      </c>
      <c r="U1287" t="str">
        <f>IFERROR(_xlfn.XLOOKUP(A1287,'2025 EOY'!A:A,'2025 EOY'!B:B),"No")</f>
        <v>No</v>
      </c>
      <c r="V1287" s="4"/>
      <c r="W1287" s="4"/>
    </row>
    <row r="1288" spans="1:23" x14ac:dyDescent="0.35">
      <c r="A1288" s="37" t="s">
        <v>1499</v>
      </c>
      <c r="B1288" s="174">
        <v>45966</v>
      </c>
      <c r="C1288" s="10" t="s">
        <v>7</v>
      </c>
      <c r="D1288" s="4" t="s">
        <v>128</v>
      </c>
      <c r="E1288" s="253">
        <v>-900</v>
      </c>
      <c r="F1288" s="172">
        <v>46053</v>
      </c>
      <c r="G1288" s="172">
        <v>46081</v>
      </c>
      <c r="H1288" s="219">
        <v>0.35</v>
      </c>
      <c r="I1288" s="192">
        <v>0.82</v>
      </c>
      <c r="J1288" s="9">
        <v>-423</v>
      </c>
      <c r="K1288">
        <v>-315</v>
      </c>
      <c r="L1288" s="14" t="s">
        <v>97</v>
      </c>
      <c r="M1288" s="8" t="s">
        <v>129</v>
      </c>
      <c r="N1288">
        <v>-738</v>
      </c>
      <c r="O1288" s="38" t="s">
        <v>4</v>
      </c>
      <c r="P1288" s="38" t="s">
        <v>7</v>
      </c>
      <c r="Q1288" s="38">
        <v>2026</v>
      </c>
      <c r="R1288" t="s">
        <v>129</v>
      </c>
      <c r="S1288" t="s">
        <v>14</v>
      </c>
      <c r="T1288" t="s">
        <v>1524</v>
      </c>
      <c r="U1288" t="str">
        <f>IFERROR(_xlfn.XLOOKUP(A1288,'2025 EOY'!A:A,'2025 EOY'!B:B),"No")</f>
        <v>No</v>
      </c>
    </row>
    <row r="1289" spans="1:23" ht="15" thickBot="1" x14ac:dyDescent="0.4">
      <c r="A1289" s="37" t="s">
        <v>1499</v>
      </c>
      <c r="B1289" s="174">
        <v>45966</v>
      </c>
      <c r="C1289" s="10" t="s">
        <v>10</v>
      </c>
      <c r="D1289" s="4" t="s">
        <v>128</v>
      </c>
      <c r="E1289" s="265">
        <v>893</v>
      </c>
      <c r="F1289" s="172">
        <v>46053</v>
      </c>
      <c r="G1289" s="172">
        <v>46053</v>
      </c>
      <c r="H1289" s="219">
        <v>-4.1500000000000004</v>
      </c>
      <c r="I1289" s="192">
        <v>-4.6500000000000004</v>
      </c>
      <c r="J1289" s="9">
        <v>-446.5</v>
      </c>
      <c r="K1289">
        <v>-3705.9500000000003</v>
      </c>
      <c r="L1289" s="14" t="s">
        <v>95</v>
      </c>
      <c r="M1289" s="8" t="s">
        <v>131</v>
      </c>
      <c r="N1289">
        <v>-4152.4500000000007</v>
      </c>
      <c r="O1289" s="38" t="s">
        <v>11</v>
      </c>
      <c r="P1289" s="38" t="s">
        <v>10</v>
      </c>
      <c r="Q1289" s="38">
        <v>2026</v>
      </c>
      <c r="R1289" t="s">
        <v>131</v>
      </c>
      <c r="S1289" t="s">
        <v>14</v>
      </c>
      <c r="T1289" t="s">
        <v>1525</v>
      </c>
      <c r="U1289" t="str">
        <f>IFERROR(_xlfn.XLOOKUP(A1289,'2025 EOY'!A:A,'2025 EOY'!B:B),"No")</f>
        <v>No</v>
      </c>
      <c r="V1289" s="4"/>
      <c r="W1289" s="4"/>
    </row>
    <row r="1290" spans="1:23" x14ac:dyDescent="0.35">
      <c r="A1290" s="227" t="s">
        <v>1526</v>
      </c>
      <c r="B1290" s="228">
        <v>45973</v>
      </c>
      <c r="C1290" s="229" t="s">
        <v>19</v>
      </c>
      <c r="D1290" s="230" t="s">
        <v>268</v>
      </c>
      <c r="E1290" s="276">
        <v>2100</v>
      </c>
      <c r="F1290" s="231">
        <v>46022</v>
      </c>
      <c r="G1290" s="231">
        <v>46022</v>
      </c>
      <c r="H1290" s="232">
        <v>4.540588235294118</v>
      </c>
      <c r="I1290" s="233">
        <v>4.8099999999999996</v>
      </c>
      <c r="J1290" s="234">
        <v>565.76470588235134</v>
      </c>
      <c r="K1290" s="227">
        <v>9535.2352941176487</v>
      </c>
      <c r="L1290" s="235" t="s">
        <v>94</v>
      </c>
      <c r="M1290" s="236" t="s">
        <v>131</v>
      </c>
      <c r="N1290" s="227">
        <v>10101</v>
      </c>
      <c r="O1290" s="237" t="s">
        <v>19</v>
      </c>
      <c r="P1290" s="237" t="s">
        <v>19</v>
      </c>
      <c r="Q1290" s="238">
        <v>2025</v>
      </c>
      <c r="R1290" t="s">
        <v>131</v>
      </c>
      <c r="S1290" t="s">
        <v>96</v>
      </c>
      <c r="T1290" t="s">
        <v>1527</v>
      </c>
      <c r="U1290" t="str">
        <f>IFERROR(_xlfn.XLOOKUP(A1290,'2025 EOY'!A:A,'2025 EOY'!B:B),"No")</f>
        <v>No</v>
      </c>
    </row>
    <row r="1291" spans="1:23" x14ac:dyDescent="0.35">
      <c r="A1291" t="s">
        <v>1526</v>
      </c>
      <c r="B1291" s="174">
        <v>45973</v>
      </c>
      <c r="C1291" s="10" t="s">
        <v>3</v>
      </c>
      <c r="D1291" s="4" t="s">
        <v>268</v>
      </c>
      <c r="E1291" s="253">
        <v>-2100</v>
      </c>
      <c r="F1291" s="172">
        <v>46022</v>
      </c>
      <c r="G1291" s="172">
        <v>46053</v>
      </c>
      <c r="H1291" s="212">
        <v>0.02</v>
      </c>
      <c r="I1291" s="192">
        <v>0.19</v>
      </c>
      <c r="J1291" s="9">
        <v>-357</v>
      </c>
      <c r="K1291">
        <v>-42</v>
      </c>
      <c r="L1291" s="14" t="s">
        <v>18</v>
      </c>
      <c r="M1291" s="8" t="s">
        <v>129</v>
      </c>
      <c r="N1291">
        <v>-399</v>
      </c>
      <c r="O1291" s="38" t="s">
        <v>4</v>
      </c>
      <c r="P1291" s="38" t="s">
        <v>3</v>
      </c>
      <c r="Q1291" s="240">
        <v>2025</v>
      </c>
      <c r="R1291" t="s">
        <v>129</v>
      </c>
      <c r="S1291" t="s">
        <v>14</v>
      </c>
      <c r="T1291" t="s">
        <v>1528</v>
      </c>
      <c r="U1291" t="str">
        <f>IFERROR(_xlfn.XLOOKUP(A1291,'2025 EOY'!A:A,'2025 EOY'!B:B),"No")</f>
        <v>No</v>
      </c>
    </row>
    <row r="1292" spans="1:23" x14ac:dyDescent="0.35">
      <c r="A1292" t="s">
        <v>1526</v>
      </c>
      <c r="B1292" s="174">
        <v>45973</v>
      </c>
      <c r="C1292" s="10" t="s">
        <v>3</v>
      </c>
      <c r="D1292" s="4" t="s">
        <v>268</v>
      </c>
      <c r="E1292" s="253">
        <v>-2100</v>
      </c>
      <c r="F1292" s="172">
        <v>46053</v>
      </c>
      <c r="G1292" s="172">
        <v>46081</v>
      </c>
      <c r="H1292" s="212">
        <v>0.08</v>
      </c>
      <c r="I1292" s="192">
        <v>0.15</v>
      </c>
      <c r="J1292" s="9">
        <v>-146.99999999999997</v>
      </c>
      <c r="K1292">
        <v>-168</v>
      </c>
      <c r="L1292" s="14" t="s">
        <v>97</v>
      </c>
      <c r="M1292" s="8" t="s">
        <v>129</v>
      </c>
      <c r="N1292">
        <v>-315</v>
      </c>
      <c r="O1292" s="38" t="s">
        <v>4</v>
      </c>
      <c r="P1292" s="38" t="s">
        <v>3</v>
      </c>
      <c r="Q1292" s="240">
        <v>2026</v>
      </c>
      <c r="R1292" t="s">
        <v>129</v>
      </c>
      <c r="S1292" t="s">
        <v>14</v>
      </c>
      <c r="T1292" t="s">
        <v>1529</v>
      </c>
      <c r="U1292" t="str">
        <f>IFERROR(_xlfn.XLOOKUP(A1292,'2025 EOY'!A:A,'2025 EOY'!B:B),"No")</f>
        <v>No</v>
      </c>
    </row>
    <row r="1293" spans="1:23" x14ac:dyDescent="0.35">
      <c r="A1293" t="s">
        <v>1526</v>
      </c>
      <c r="B1293" s="174">
        <v>45973</v>
      </c>
      <c r="C1293" s="10" t="s">
        <v>10</v>
      </c>
      <c r="D1293" s="4" t="s">
        <v>268</v>
      </c>
      <c r="E1293" s="253">
        <v>-2100</v>
      </c>
      <c r="F1293" s="172">
        <v>46081</v>
      </c>
      <c r="G1293" s="172">
        <v>46081</v>
      </c>
      <c r="H1293" s="212">
        <v>-3.98</v>
      </c>
      <c r="I1293" s="192">
        <v>-3.97</v>
      </c>
      <c r="J1293" s="9">
        <v>-20.999999999999552</v>
      </c>
      <c r="K1293">
        <v>8358</v>
      </c>
      <c r="L1293" s="14" t="s">
        <v>98</v>
      </c>
      <c r="M1293" s="8" t="s">
        <v>129</v>
      </c>
      <c r="N1293">
        <v>8337</v>
      </c>
      <c r="O1293" s="38" t="s">
        <v>11</v>
      </c>
      <c r="P1293" s="38" t="s">
        <v>10</v>
      </c>
      <c r="Q1293" s="240">
        <v>2026</v>
      </c>
      <c r="R1293" t="s">
        <v>129</v>
      </c>
      <c r="S1293" t="s">
        <v>96</v>
      </c>
      <c r="T1293" t="s">
        <v>1530</v>
      </c>
      <c r="U1293" t="str">
        <f>IFERROR(_xlfn.XLOOKUP(A1293,'2025 EOY'!A:A,'2025 EOY'!B:B),"No")</f>
        <v>No</v>
      </c>
    </row>
    <row r="1294" spans="1:23" x14ac:dyDescent="0.35">
      <c r="A1294" t="s">
        <v>1526</v>
      </c>
      <c r="B1294" s="174">
        <v>45973</v>
      </c>
      <c r="C1294" s="10" t="s">
        <v>7</v>
      </c>
      <c r="D1294" s="4" t="s">
        <v>268</v>
      </c>
      <c r="E1294" s="253">
        <v>-2005</v>
      </c>
      <c r="F1294" s="172">
        <v>46081</v>
      </c>
      <c r="G1294" s="172">
        <v>46112</v>
      </c>
      <c r="H1294" s="218">
        <v>0.15</v>
      </c>
      <c r="I1294" s="192">
        <v>0.59</v>
      </c>
      <c r="J1294" s="9">
        <v>-882.19999999999993</v>
      </c>
      <c r="K1294">
        <v>-300.75</v>
      </c>
      <c r="L1294" s="14" t="s">
        <v>99</v>
      </c>
      <c r="M1294" s="8" t="s">
        <v>129</v>
      </c>
      <c r="N1294">
        <v>-1182.95</v>
      </c>
      <c r="O1294" s="38" t="s">
        <v>4</v>
      </c>
      <c r="P1294" s="38" t="s">
        <v>7</v>
      </c>
      <c r="Q1294">
        <v>2026</v>
      </c>
      <c r="R1294" t="s">
        <v>129</v>
      </c>
      <c r="S1294" t="s">
        <v>96</v>
      </c>
      <c r="T1294" t="s">
        <v>1531</v>
      </c>
      <c r="U1294" t="str">
        <f>IFERROR(_xlfn.XLOOKUP(A1294,'2025 EOY'!A:A,'2025 EOY'!B:B),"No")</f>
        <v>No</v>
      </c>
    </row>
    <row r="1295" spans="1:23" x14ac:dyDescent="0.35">
      <c r="A1295" t="s">
        <v>1526</v>
      </c>
      <c r="B1295" s="174">
        <v>45973</v>
      </c>
      <c r="C1295" s="10" t="s">
        <v>7</v>
      </c>
      <c r="D1295" s="4" t="s">
        <v>268</v>
      </c>
      <c r="E1295" s="253">
        <v>-95</v>
      </c>
      <c r="F1295" s="172">
        <v>46112</v>
      </c>
      <c r="G1295" s="172">
        <v>46142</v>
      </c>
      <c r="H1295" s="218">
        <v>0.05</v>
      </c>
      <c r="I1295" s="192">
        <v>0.63</v>
      </c>
      <c r="J1295" s="9">
        <v>-55.099999999999994</v>
      </c>
      <c r="K1295">
        <v>-4.75</v>
      </c>
      <c r="L1295" s="14" t="s">
        <v>100</v>
      </c>
      <c r="M1295" s="8" t="s">
        <v>129</v>
      </c>
      <c r="N1295">
        <v>-59.85</v>
      </c>
      <c r="O1295" s="38" t="s">
        <v>4</v>
      </c>
      <c r="P1295" s="38" t="s">
        <v>7</v>
      </c>
      <c r="Q1295">
        <v>2026</v>
      </c>
      <c r="R1295" t="s">
        <v>129</v>
      </c>
      <c r="S1295" t="s">
        <v>96</v>
      </c>
      <c r="T1295" t="s">
        <v>1532</v>
      </c>
      <c r="U1295" t="str">
        <f>IFERROR(_xlfn.XLOOKUP(A1295,'2025 EOY'!A:A,'2025 EOY'!B:B),"No")</f>
        <v>No</v>
      </c>
    </row>
    <row r="1296" spans="1:23" ht="15" thickBot="1" x14ac:dyDescent="0.4">
      <c r="A1296" s="160" t="s">
        <v>1526</v>
      </c>
      <c r="B1296" s="300">
        <v>45973</v>
      </c>
      <c r="C1296" s="242" t="s">
        <v>28</v>
      </c>
      <c r="D1296" s="243" t="s">
        <v>268</v>
      </c>
      <c r="E1296" s="277">
        <v>-2000</v>
      </c>
      <c r="F1296" s="244">
        <v>46022</v>
      </c>
      <c r="G1296" s="244">
        <v>46022</v>
      </c>
      <c r="H1296" s="245">
        <v>13750</v>
      </c>
      <c r="I1296" s="246">
        <v>13750</v>
      </c>
      <c r="J1296" s="247">
        <v>0</v>
      </c>
      <c r="K1296" s="252">
        <v>0</v>
      </c>
      <c r="L1296" s="248" t="s">
        <v>94</v>
      </c>
      <c r="M1296" s="249" t="s">
        <v>129</v>
      </c>
      <c r="N1296" s="160">
        <v>-27500000</v>
      </c>
      <c r="O1296" s="250" t="s">
        <v>29</v>
      </c>
      <c r="P1296" s="250" t="s">
        <v>29</v>
      </c>
      <c r="Q1296" s="251">
        <v>2025</v>
      </c>
      <c r="R1296" t="s">
        <v>129</v>
      </c>
      <c r="S1296" t="s">
        <v>14</v>
      </c>
      <c r="T1296" t="s">
        <v>1533</v>
      </c>
      <c r="U1296" t="str">
        <f>IFERROR(_xlfn.XLOOKUP(A1296,'2025 EOY'!A:A,'2025 EOY'!B:B),"No")</f>
        <v>No</v>
      </c>
    </row>
    <row r="1297" spans="1:21" ht="15" thickBot="1" x14ac:dyDescent="0.4">
      <c r="A1297" s="160" t="s">
        <v>1526</v>
      </c>
      <c r="B1297" s="300">
        <v>45973</v>
      </c>
      <c r="C1297" s="242" t="s">
        <v>28</v>
      </c>
      <c r="D1297" s="243" t="s">
        <v>268</v>
      </c>
      <c r="E1297" s="277">
        <v>2000</v>
      </c>
      <c r="F1297" s="244">
        <v>46022</v>
      </c>
      <c r="G1297" s="244">
        <v>46022</v>
      </c>
      <c r="H1297" s="245">
        <v>13250</v>
      </c>
      <c r="I1297" s="246">
        <v>13750</v>
      </c>
      <c r="J1297" s="247">
        <v>500</v>
      </c>
      <c r="K1297" s="252">
        <v>500</v>
      </c>
      <c r="L1297" s="248" t="s">
        <v>94</v>
      </c>
      <c r="M1297" s="249" t="s">
        <v>131</v>
      </c>
      <c r="N1297" s="160">
        <v>27500000</v>
      </c>
      <c r="O1297" s="250" t="s">
        <v>29</v>
      </c>
      <c r="P1297" s="250" t="s">
        <v>29</v>
      </c>
      <c r="Q1297" s="251">
        <v>2025</v>
      </c>
      <c r="R1297" t="s">
        <v>131</v>
      </c>
      <c r="S1297" t="s">
        <v>14</v>
      </c>
      <c r="T1297" t="s">
        <v>1534</v>
      </c>
      <c r="U1297" t="str">
        <f>IFERROR(_xlfn.XLOOKUP(A1297,'2025 EOY'!A:A,'2025 EOY'!B:B),"No")</f>
        <v>No</v>
      </c>
    </row>
    <row r="1298" spans="1:21" x14ac:dyDescent="0.35">
      <c r="A1298" t="s">
        <v>1526</v>
      </c>
      <c r="B1298" s="174">
        <v>45972</v>
      </c>
      <c r="C1298" s="10" t="s">
        <v>3</v>
      </c>
      <c r="D1298" s="4" t="s">
        <v>128</v>
      </c>
      <c r="E1298" s="253">
        <v>725</v>
      </c>
      <c r="F1298" s="172">
        <v>46022</v>
      </c>
      <c r="G1298" s="172">
        <v>46053</v>
      </c>
      <c r="H1298" s="212">
        <v>4.9999999999997158E-2</v>
      </c>
      <c r="I1298" s="192">
        <v>0.19</v>
      </c>
      <c r="J1298" s="9">
        <v>101.50000000000206</v>
      </c>
      <c r="K1298">
        <v>36.249999999997939</v>
      </c>
      <c r="L1298" s="14" t="s">
        <v>18</v>
      </c>
      <c r="M1298" s="8" t="s">
        <v>131</v>
      </c>
      <c r="N1298">
        <v>137.75</v>
      </c>
      <c r="O1298" s="38" t="s">
        <v>4</v>
      </c>
      <c r="P1298" s="38" t="s">
        <v>3</v>
      </c>
      <c r="Q1298" s="240">
        <v>2025</v>
      </c>
      <c r="R1298" t="s">
        <v>131</v>
      </c>
      <c r="S1298" t="s">
        <v>14</v>
      </c>
      <c r="T1298" t="s">
        <v>1535</v>
      </c>
      <c r="U1298" t="str">
        <f>IFERROR(_xlfn.XLOOKUP(A1298,'2025 EOY'!A:A,'2025 EOY'!B:B),"No")</f>
        <v>No</v>
      </c>
    </row>
    <row r="1299" spans="1:21" x14ac:dyDescent="0.35">
      <c r="A1299" t="s">
        <v>1526</v>
      </c>
      <c r="B1299" s="174">
        <v>45972</v>
      </c>
      <c r="C1299" s="10" t="s">
        <v>3</v>
      </c>
      <c r="D1299" s="4" t="s">
        <v>128</v>
      </c>
      <c r="E1299" s="253">
        <v>725</v>
      </c>
      <c r="F1299" s="172">
        <v>46053</v>
      </c>
      <c r="G1299" s="172">
        <v>46081</v>
      </c>
      <c r="H1299" s="212">
        <v>0.12000000000000455</v>
      </c>
      <c r="I1299" s="192">
        <v>0.15</v>
      </c>
      <c r="J1299" s="9">
        <v>21.7499999999967</v>
      </c>
      <c r="K1299">
        <v>87.000000000003297</v>
      </c>
      <c r="L1299" s="14" t="s">
        <v>97</v>
      </c>
      <c r="M1299" s="8" t="s">
        <v>131</v>
      </c>
      <c r="N1299">
        <v>108.75</v>
      </c>
      <c r="O1299" s="38" t="s">
        <v>4</v>
      </c>
      <c r="P1299" s="38" t="s">
        <v>3</v>
      </c>
      <c r="Q1299" s="240">
        <v>2026</v>
      </c>
      <c r="R1299" t="s">
        <v>131</v>
      </c>
      <c r="S1299" t="s">
        <v>14</v>
      </c>
      <c r="T1299" t="s">
        <v>1536</v>
      </c>
      <c r="U1299" t="str">
        <f>IFERROR(_xlfn.XLOOKUP(A1299,'2025 EOY'!A:A,'2025 EOY'!B:B),"No")</f>
        <v>No</v>
      </c>
    </row>
    <row r="1300" spans="1:21" x14ac:dyDescent="0.35">
      <c r="A1300" t="s">
        <v>1526</v>
      </c>
      <c r="B1300" s="174">
        <v>45972</v>
      </c>
      <c r="C1300" s="10" t="s">
        <v>10</v>
      </c>
      <c r="D1300" s="4" t="s">
        <v>128</v>
      </c>
      <c r="E1300" s="253">
        <v>725</v>
      </c>
      <c r="F1300" s="172">
        <v>46081</v>
      </c>
      <c r="G1300" s="172">
        <v>46081</v>
      </c>
      <c r="H1300" s="212">
        <v>-4.0000000000000071</v>
      </c>
      <c r="I1300" s="192">
        <v>-3.97</v>
      </c>
      <c r="J1300" s="9">
        <v>21.750000000005009</v>
      </c>
      <c r="K1300">
        <v>-2900.000000000005</v>
      </c>
      <c r="L1300" s="14" t="s">
        <v>98</v>
      </c>
      <c r="M1300" s="8" t="s">
        <v>131</v>
      </c>
      <c r="N1300">
        <v>-2878.25</v>
      </c>
      <c r="O1300" s="38" t="s">
        <v>11</v>
      </c>
      <c r="P1300" s="38" t="s">
        <v>10</v>
      </c>
      <c r="Q1300" s="240">
        <v>2026</v>
      </c>
      <c r="R1300" t="s">
        <v>131</v>
      </c>
      <c r="S1300" t="s">
        <v>96</v>
      </c>
      <c r="T1300" t="s">
        <v>1537</v>
      </c>
      <c r="U1300" t="str">
        <f>IFERROR(_xlfn.XLOOKUP(A1300,'2025 EOY'!A:A,'2025 EOY'!B:B),"No")</f>
        <v>No</v>
      </c>
    </row>
    <row r="1301" spans="1:21" x14ac:dyDescent="0.35">
      <c r="A1301" t="s">
        <v>1526</v>
      </c>
      <c r="B1301" s="174">
        <v>45973</v>
      </c>
      <c r="C1301" s="10" t="s">
        <v>3</v>
      </c>
      <c r="D1301" s="4" t="s">
        <v>128</v>
      </c>
      <c r="E1301" s="253">
        <v>1400</v>
      </c>
      <c r="F1301" s="172">
        <v>46022</v>
      </c>
      <c r="G1301" s="172">
        <v>46053</v>
      </c>
      <c r="H1301" s="212">
        <v>0</v>
      </c>
      <c r="I1301" s="192">
        <v>0.19</v>
      </c>
      <c r="J1301" s="9">
        <v>266</v>
      </c>
      <c r="K1301">
        <v>0</v>
      </c>
      <c r="L1301" s="14" t="s">
        <v>18</v>
      </c>
      <c r="M1301" s="8" t="s">
        <v>131</v>
      </c>
      <c r="N1301">
        <v>266</v>
      </c>
      <c r="O1301" s="38" t="s">
        <v>4</v>
      </c>
      <c r="P1301" s="38" t="s">
        <v>3</v>
      </c>
      <c r="Q1301" s="240">
        <v>2025</v>
      </c>
      <c r="R1301" t="s">
        <v>131</v>
      </c>
      <c r="S1301" t="s">
        <v>14</v>
      </c>
      <c r="T1301" t="s">
        <v>1538</v>
      </c>
      <c r="U1301" t="str">
        <f>IFERROR(_xlfn.XLOOKUP(A1301,'2025 EOY'!A:A,'2025 EOY'!B:B),"No")</f>
        <v>No</v>
      </c>
    </row>
    <row r="1302" spans="1:21" x14ac:dyDescent="0.35">
      <c r="A1302" t="s">
        <v>1526</v>
      </c>
      <c r="B1302" s="174">
        <v>45973</v>
      </c>
      <c r="C1302" s="10" t="s">
        <v>3</v>
      </c>
      <c r="D1302" s="4" t="s">
        <v>128</v>
      </c>
      <c r="E1302" s="253">
        <v>1400</v>
      </c>
      <c r="F1302" s="172">
        <v>46053</v>
      </c>
      <c r="G1302" s="172">
        <v>46081</v>
      </c>
      <c r="H1302" s="212">
        <v>7.0000000000000284E-2</v>
      </c>
      <c r="I1302" s="192">
        <v>0.15</v>
      </c>
      <c r="J1302" s="9">
        <v>111.99999999999959</v>
      </c>
      <c r="K1302">
        <v>98.000000000000398</v>
      </c>
      <c r="L1302" s="14" t="s">
        <v>97</v>
      </c>
      <c r="M1302" s="8" t="s">
        <v>131</v>
      </c>
      <c r="N1302">
        <v>210</v>
      </c>
      <c r="O1302" s="38" t="s">
        <v>4</v>
      </c>
      <c r="P1302" s="38" t="s">
        <v>3</v>
      </c>
      <c r="Q1302" s="240">
        <v>2026</v>
      </c>
      <c r="R1302" t="s">
        <v>131</v>
      </c>
      <c r="S1302" t="s">
        <v>14</v>
      </c>
      <c r="T1302" t="s">
        <v>1539</v>
      </c>
      <c r="U1302" t="str">
        <f>IFERROR(_xlfn.XLOOKUP(A1302,'2025 EOY'!A:A,'2025 EOY'!B:B),"No")</f>
        <v>No</v>
      </c>
    </row>
    <row r="1303" spans="1:21" ht="15" thickBot="1" x14ac:dyDescent="0.4">
      <c r="A1303" t="s">
        <v>1526</v>
      </c>
      <c r="B1303" s="174">
        <v>45973</v>
      </c>
      <c r="C1303" s="10" t="s">
        <v>10</v>
      </c>
      <c r="D1303" s="4" t="s">
        <v>128</v>
      </c>
      <c r="E1303" s="253">
        <v>1400</v>
      </c>
      <c r="F1303" s="172">
        <v>46081</v>
      </c>
      <c r="G1303" s="172">
        <v>46081</v>
      </c>
      <c r="H1303" s="212">
        <v>-4.0300000000000011</v>
      </c>
      <c r="I1303" s="192">
        <v>-3.97</v>
      </c>
      <c r="J1303" s="9">
        <v>84.000000000001322</v>
      </c>
      <c r="K1303">
        <v>-5642.0000000000018</v>
      </c>
      <c r="L1303" s="14" t="s">
        <v>98</v>
      </c>
      <c r="M1303" s="8" t="s">
        <v>131</v>
      </c>
      <c r="N1303">
        <v>-5558</v>
      </c>
      <c r="O1303" s="38" t="s">
        <v>11</v>
      </c>
      <c r="P1303" s="38" t="s">
        <v>10</v>
      </c>
      <c r="Q1303" s="240">
        <v>2026</v>
      </c>
      <c r="R1303" t="s">
        <v>131</v>
      </c>
      <c r="S1303" t="s">
        <v>96</v>
      </c>
      <c r="T1303" t="s">
        <v>1540</v>
      </c>
      <c r="U1303" t="str">
        <f>IFERROR(_xlfn.XLOOKUP(A1303,'2025 EOY'!A:A,'2025 EOY'!B:B),"No")</f>
        <v>No</v>
      </c>
    </row>
    <row r="1304" spans="1:21" x14ac:dyDescent="0.35">
      <c r="A1304" s="227" t="s">
        <v>127</v>
      </c>
      <c r="B1304" s="228">
        <v>45973</v>
      </c>
      <c r="C1304" s="229" t="s">
        <v>19</v>
      </c>
      <c r="D1304" s="230" t="s">
        <v>268</v>
      </c>
      <c r="E1304" s="276">
        <v>-700</v>
      </c>
      <c r="F1304" s="231">
        <v>46022</v>
      </c>
      <c r="G1304" s="231">
        <v>46022</v>
      </c>
      <c r="H1304" s="232">
        <v>-2.8</v>
      </c>
      <c r="I1304" s="233">
        <v>-3</v>
      </c>
      <c r="J1304" s="234">
        <v>140.00000000000011</v>
      </c>
      <c r="K1304" s="227">
        <v>1959.9999999999998</v>
      </c>
      <c r="L1304" s="235" t="s">
        <v>94</v>
      </c>
      <c r="M1304" s="236" t="s">
        <v>129</v>
      </c>
      <c r="N1304" s="227">
        <v>2100</v>
      </c>
      <c r="O1304" s="237" t="s">
        <v>19</v>
      </c>
      <c r="P1304" s="237" t="s">
        <v>19</v>
      </c>
      <c r="Q1304" s="238">
        <v>2025</v>
      </c>
      <c r="R1304" t="s">
        <v>129</v>
      </c>
      <c r="S1304" t="s">
        <v>96</v>
      </c>
      <c r="T1304" t="s">
        <v>1541</v>
      </c>
      <c r="U1304" t="str">
        <f>IFERROR(_xlfn.XLOOKUP(A1304,'2025 EOY'!A:A,'2025 EOY'!B:B),"No")</f>
        <v>No</v>
      </c>
    </row>
    <row r="1305" spans="1:21" x14ac:dyDescent="0.35">
      <c r="A1305" t="s">
        <v>1526</v>
      </c>
      <c r="B1305" s="174">
        <v>45978</v>
      </c>
      <c r="C1305" s="10" t="s">
        <v>7</v>
      </c>
      <c r="D1305" s="4" t="s">
        <v>128</v>
      </c>
      <c r="E1305" s="253">
        <v>200</v>
      </c>
      <c r="F1305" s="172">
        <v>46081</v>
      </c>
      <c r="G1305" s="172">
        <v>46112</v>
      </c>
      <c r="H1305" s="218">
        <v>0.25</v>
      </c>
      <c r="I1305" s="192">
        <v>0.59</v>
      </c>
      <c r="J1305" s="9">
        <v>68</v>
      </c>
      <c r="K1305">
        <v>50</v>
      </c>
      <c r="L1305" s="14" t="s">
        <v>99</v>
      </c>
      <c r="M1305" s="8" t="s">
        <v>131</v>
      </c>
      <c r="N1305">
        <v>118</v>
      </c>
      <c r="O1305" s="38" t="s">
        <v>4</v>
      </c>
      <c r="P1305" s="38" t="s">
        <v>7</v>
      </c>
      <c r="Q1305">
        <v>2026</v>
      </c>
      <c r="R1305" t="s">
        <v>131</v>
      </c>
      <c r="S1305" t="s">
        <v>96</v>
      </c>
      <c r="T1305" t="s">
        <v>1542</v>
      </c>
      <c r="U1305" t="str">
        <f>IFERROR(_xlfn.XLOOKUP(A1305,'2025 EOY'!A:A,'2025 EOY'!B:B),"No")</f>
        <v>No</v>
      </c>
    </row>
    <row r="1306" spans="1:21" ht="15" thickBot="1" x14ac:dyDescent="0.4">
      <c r="A1306" t="s">
        <v>1526</v>
      </c>
      <c r="B1306" s="174">
        <v>45978</v>
      </c>
      <c r="C1306" s="10" t="s">
        <v>7</v>
      </c>
      <c r="D1306" s="4" t="s">
        <v>128</v>
      </c>
      <c r="E1306" s="253">
        <v>200</v>
      </c>
      <c r="F1306" s="172">
        <v>46081</v>
      </c>
      <c r="G1306" s="172">
        <v>46112</v>
      </c>
      <c r="H1306" s="218">
        <v>0.24</v>
      </c>
      <c r="I1306" s="192">
        <v>0.59</v>
      </c>
      <c r="J1306" s="9">
        <v>70</v>
      </c>
      <c r="K1306">
        <v>48</v>
      </c>
      <c r="L1306" s="14" t="s">
        <v>99</v>
      </c>
      <c r="M1306" s="8" t="s">
        <v>131</v>
      </c>
      <c r="N1306">
        <v>118</v>
      </c>
      <c r="O1306" s="38" t="s">
        <v>4</v>
      </c>
      <c r="P1306" s="38" t="s">
        <v>7</v>
      </c>
      <c r="Q1306">
        <v>2026</v>
      </c>
      <c r="R1306" t="s">
        <v>131</v>
      </c>
      <c r="S1306" t="s">
        <v>96</v>
      </c>
      <c r="T1306" t="s">
        <v>1543</v>
      </c>
      <c r="U1306" t="str">
        <f>IFERROR(_xlfn.XLOOKUP(A1306,'2025 EOY'!A:A,'2025 EOY'!B:B),"No")</f>
        <v>No</v>
      </c>
    </row>
    <row r="1307" spans="1:21" x14ac:dyDescent="0.35">
      <c r="A1307" s="227"/>
      <c r="B1307" s="228">
        <v>45979</v>
      </c>
      <c r="C1307" s="229" t="s">
        <v>19</v>
      </c>
      <c r="D1307" s="230" t="s">
        <v>268</v>
      </c>
      <c r="E1307" s="276">
        <v>700</v>
      </c>
      <c r="F1307" s="231">
        <v>46022</v>
      </c>
      <c r="G1307" s="231">
        <v>46022</v>
      </c>
      <c r="H1307" s="232">
        <v>-2.5499999999999998</v>
      </c>
      <c r="I1307" s="233">
        <v>-2.5</v>
      </c>
      <c r="J1307" s="234">
        <v>34.999999999999872</v>
      </c>
      <c r="K1307" s="227">
        <v>-1784.9999999999998</v>
      </c>
      <c r="L1307" s="235" t="s">
        <v>94</v>
      </c>
      <c r="M1307" s="236" t="s">
        <v>131</v>
      </c>
      <c r="N1307" s="227">
        <v>-1750</v>
      </c>
      <c r="O1307" s="237" t="s">
        <v>19</v>
      </c>
      <c r="P1307" s="237" t="s">
        <v>19</v>
      </c>
      <c r="Q1307" s="238">
        <v>2025</v>
      </c>
      <c r="R1307" t="s">
        <v>131</v>
      </c>
      <c r="S1307" t="s">
        <v>96</v>
      </c>
      <c r="T1307" t="s">
        <v>1544</v>
      </c>
      <c r="U1307">
        <f>IFERROR(_xlfn.XLOOKUP(A1307,'2025 EOY'!A:A,'2025 EOY'!B:B),"No")</f>
        <v>0</v>
      </c>
    </row>
    <row r="1308" spans="1:21" x14ac:dyDescent="0.35">
      <c r="B1308" s="174">
        <v>45979</v>
      </c>
      <c r="C1308" s="10" t="s">
        <v>3</v>
      </c>
      <c r="D1308" s="4" t="s">
        <v>268</v>
      </c>
      <c r="E1308" s="253">
        <v>-700</v>
      </c>
      <c r="F1308" s="172">
        <v>46022</v>
      </c>
      <c r="G1308" s="172">
        <v>46053</v>
      </c>
      <c r="H1308" s="212">
        <v>0.08</v>
      </c>
      <c r="I1308" s="192">
        <v>0.19</v>
      </c>
      <c r="J1308" s="9">
        <v>-77</v>
      </c>
      <c r="K1308">
        <v>-56</v>
      </c>
      <c r="L1308" s="14" t="s">
        <v>18</v>
      </c>
      <c r="M1308" s="8" t="s">
        <v>129</v>
      </c>
      <c r="N1308">
        <v>-133</v>
      </c>
      <c r="O1308" s="38" t="s">
        <v>4</v>
      </c>
      <c r="P1308" s="38" t="s">
        <v>3</v>
      </c>
      <c r="Q1308" s="240">
        <v>2025</v>
      </c>
      <c r="R1308" t="s">
        <v>129</v>
      </c>
      <c r="S1308" t="s">
        <v>14</v>
      </c>
      <c r="T1308" t="s">
        <v>1545</v>
      </c>
      <c r="U1308">
        <f>IFERROR(_xlfn.XLOOKUP(A1308,'2025 EOY'!A:A,'2025 EOY'!B:B),"No")</f>
        <v>0</v>
      </c>
    </row>
    <row r="1309" spans="1:21" x14ac:dyDescent="0.35">
      <c r="B1309" s="174">
        <v>45979</v>
      </c>
      <c r="C1309" s="10" t="s">
        <v>3</v>
      </c>
      <c r="D1309" s="4" t="s">
        <v>268</v>
      </c>
      <c r="E1309" s="253">
        <v>-700</v>
      </c>
      <c r="F1309" s="172">
        <v>46053</v>
      </c>
      <c r="G1309" s="172">
        <v>46081</v>
      </c>
      <c r="H1309" s="212">
        <v>0.22</v>
      </c>
      <c r="I1309" s="192">
        <v>0.15</v>
      </c>
      <c r="J1309" s="9">
        <v>49.000000000000007</v>
      </c>
      <c r="K1309">
        <v>-154</v>
      </c>
      <c r="L1309" s="14" t="s">
        <v>97</v>
      </c>
      <c r="M1309" s="8" t="s">
        <v>129</v>
      </c>
      <c r="N1309">
        <v>-105</v>
      </c>
      <c r="O1309" s="38" t="s">
        <v>4</v>
      </c>
      <c r="P1309" s="38" t="s">
        <v>3</v>
      </c>
      <c r="Q1309" s="240">
        <v>2026</v>
      </c>
      <c r="R1309" t="s">
        <v>129</v>
      </c>
      <c r="S1309" t="s">
        <v>14</v>
      </c>
      <c r="T1309" t="s">
        <v>1546</v>
      </c>
      <c r="U1309">
        <f>IFERROR(_xlfn.XLOOKUP(A1309,'2025 EOY'!A:A,'2025 EOY'!B:B),"No")</f>
        <v>0</v>
      </c>
    </row>
    <row r="1310" spans="1:21" x14ac:dyDescent="0.35">
      <c r="B1310" s="174">
        <v>45979</v>
      </c>
      <c r="C1310" s="10" t="s">
        <v>10</v>
      </c>
      <c r="D1310" s="4" t="s">
        <v>268</v>
      </c>
      <c r="E1310" s="253">
        <v>-700</v>
      </c>
      <c r="F1310" s="172">
        <v>46081</v>
      </c>
      <c r="G1310" s="172">
        <v>46081</v>
      </c>
      <c r="H1310" s="212">
        <v>-4</v>
      </c>
      <c r="I1310" s="192">
        <v>-3.97</v>
      </c>
      <c r="J1310" s="9">
        <v>-20.999999999999865</v>
      </c>
      <c r="K1310">
        <v>2800</v>
      </c>
      <c r="L1310" s="14" t="s">
        <v>98</v>
      </c>
      <c r="M1310" s="8" t="s">
        <v>129</v>
      </c>
      <c r="N1310">
        <v>2779</v>
      </c>
      <c r="O1310" s="38" t="s">
        <v>11</v>
      </c>
      <c r="P1310" s="38" t="s">
        <v>10</v>
      </c>
      <c r="Q1310" s="240">
        <v>2026</v>
      </c>
      <c r="R1310" t="s">
        <v>129</v>
      </c>
      <c r="S1310" t="s">
        <v>96</v>
      </c>
      <c r="T1310" t="s">
        <v>1547</v>
      </c>
      <c r="U1310">
        <f>IFERROR(_xlfn.XLOOKUP(A1310,'2025 EOY'!A:A,'2025 EOY'!B:B),"No")</f>
        <v>0</v>
      </c>
    </row>
    <row r="1311" spans="1:21" x14ac:dyDescent="0.35">
      <c r="B1311" s="174">
        <v>45979</v>
      </c>
      <c r="C1311" s="10" t="s">
        <v>3</v>
      </c>
      <c r="D1311" s="4" t="s">
        <v>128</v>
      </c>
      <c r="E1311" s="253">
        <v>1000</v>
      </c>
      <c r="F1311" s="172">
        <v>46022</v>
      </c>
      <c r="G1311" s="172">
        <v>46053</v>
      </c>
      <c r="H1311" s="212">
        <v>0.13</v>
      </c>
      <c r="I1311" s="192">
        <v>0.19</v>
      </c>
      <c r="J1311" s="9">
        <v>60</v>
      </c>
      <c r="K1311">
        <v>130</v>
      </c>
      <c r="L1311" s="14" t="s">
        <v>18</v>
      </c>
      <c r="M1311" s="8" t="s">
        <v>131</v>
      </c>
      <c r="N1311">
        <v>190</v>
      </c>
      <c r="O1311" s="38" t="s">
        <v>4</v>
      </c>
      <c r="P1311" s="38" t="s">
        <v>3</v>
      </c>
      <c r="Q1311" s="240">
        <v>2025</v>
      </c>
      <c r="R1311" t="s">
        <v>131</v>
      </c>
      <c r="S1311" t="s">
        <v>14</v>
      </c>
      <c r="T1311" t="s">
        <v>1548</v>
      </c>
      <c r="U1311">
        <f>IFERROR(_xlfn.XLOOKUP(A1311,'2025 EOY'!A:A,'2025 EOY'!B:B),"No")</f>
        <v>0</v>
      </c>
    </row>
    <row r="1312" spans="1:21" x14ac:dyDescent="0.35">
      <c r="B1312" s="174">
        <v>45979</v>
      </c>
      <c r="C1312" s="10" t="s">
        <v>3</v>
      </c>
      <c r="D1312" s="4" t="s">
        <v>128</v>
      </c>
      <c r="E1312" s="253">
        <v>-1000</v>
      </c>
      <c r="F1312" s="172">
        <v>46053</v>
      </c>
      <c r="G1312" s="172">
        <v>46081</v>
      </c>
      <c r="H1312" s="212">
        <v>0.24</v>
      </c>
      <c r="I1312" s="192">
        <v>0.15</v>
      </c>
      <c r="J1312" s="9">
        <v>90</v>
      </c>
      <c r="K1312">
        <v>-240</v>
      </c>
      <c r="L1312" s="14" t="s">
        <v>97</v>
      </c>
      <c r="M1312" s="8" t="s">
        <v>129</v>
      </c>
      <c r="N1312">
        <v>-150</v>
      </c>
      <c r="O1312" s="38" t="s">
        <v>4</v>
      </c>
      <c r="P1312" s="38" t="s">
        <v>3</v>
      </c>
      <c r="Q1312" s="240">
        <v>2026</v>
      </c>
      <c r="R1312" t="s">
        <v>129</v>
      </c>
      <c r="S1312" t="s">
        <v>14</v>
      </c>
      <c r="T1312" t="s">
        <v>1549</v>
      </c>
      <c r="U1312">
        <f>IFERROR(_xlfn.XLOOKUP(A1312,'2025 EOY'!A:A,'2025 EOY'!B:B),"No")</f>
        <v>0</v>
      </c>
    </row>
    <row r="1313" spans="1:21" x14ac:dyDescent="0.35">
      <c r="A1313" t="s">
        <v>127</v>
      </c>
      <c r="B1313" s="174">
        <v>45979</v>
      </c>
      <c r="C1313" s="10" t="s">
        <v>15</v>
      </c>
      <c r="D1313" s="4" t="s">
        <v>128</v>
      </c>
      <c r="E1313" s="253">
        <v>-400</v>
      </c>
      <c r="F1313" s="173">
        <v>46022</v>
      </c>
      <c r="G1313" s="173">
        <v>46022</v>
      </c>
      <c r="H1313" s="212">
        <v>0.6</v>
      </c>
      <c r="I1313" s="191">
        <v>0.99</v>
      </c>
      <c r="J1313" s="9">
        <v>-156</v>
      </c>
      <c r="K1313">
        <v>-240</v>
      </c>
      <c r="L1313" s="14" t="s">
        <v>94</v>
      </c>
      <c r="M1313" s="8" t="s">
        <v>129</v>
      </c>
      <c r="N1313">
        <v>-396</v>
      </c>
      <c r="O1313" s="38" t="s">
        <v>11</v>
      </c>
      <c r="P1313" s="38" t="s">
        <v>16</v>
      </c>
      <c r="Q1313" s="240">
        <v>2025</v>
      </c>
      <c r="R1313" t="s">
        <v>129</v>
      </c>
      <c r="S1313" t="s">
        <v>14</v>
      </c>
      <c r="T1313" t="s">
        <v>1550</v>
      </c>
      <c r="U1313" t="str">
        <f>IFERROR(_xlfn.XLOOKUP(A1313,'2025 EOY'!A:A,'2025 EOY'!B:B),"No")</f>
        <v>No</v>
      </c>
    </row>
    <row r="1314" spans="1:21" x14ac:dyDescent="0.35">
      <c r="A1314" t="s">
        <v>127</v>
      </c>
      <c r="B1314" s="174">
        <v>45979</v>
      </c>
      <c r="C1314" s="10" t="s">
        <v>15</v>
      </c>
      <c r="D1314" s="4" t="s">
        <v>128</v>
      </c>
      <c r="E1314" s="253">
        <v>-350</v>
      </c>
      <c r="F1314" s="173">
        <v>46022</v>
      </c>
      <c r="G1314" s="173">
        <v>46022</v>
      </c>
      <c r="H1314" s="212">
        <v>0.59</v>
      </c>
      <c r="I1314" s="191">
        <v>0.99</v>
      </c>
      <c r="J1314" s="9">
        <v>-140</v>
      </c>
      <c r="K1314">
        <v>-206.5</v>
      </c>
      <c r="L1314" s="14" t="s">
        <v>94</v>
      </c>
      <c r="M1314" s="8" t="s">
        <v>129</v>
      </c>
      <c r="N1314">
        <v>-346.5</v>
      </c>
      <c r="O1314" s="38" t="s">
        <v>11</v>
      </c>
      <c r="P1314" s="38" t="s">
        <v>16</v>
      </c>
      <c r="Q1314" s="240">
        <v>2025</v>
      </c>
      <c r="R1314" t="s">
        <v>129</v>
      </c>
      <c r="S1314" t="s">
        <v>14</v>
      </c>
      <c r="T1314" t="s">
        <v>1551</v>
      </c>
      <c r="U1314" t="str">
        <f>IFERROR(_xlfn.XLOOKUP(A1314,'2025 EOY'!A:A,'2025 EOY'!B:B),"No")</f>
        <v>No</v>
      </c>
    </row>
    <row r="1315" spans="1:21" x14ac:dyDescent="0.35">
      <c r="B1315" s="174">
        <v>45979</v>
      </c>
      <c r="C1315" s="10" t="s">
        <v>10</v>
      </c>
      <c r="D1315" s="4" t="s">
        <v>128</v>
      </c>
      <c r="E1315" s="253">
        <v>350</v>
      </c>
      <c r="F1315" s="172">
        <v>46081</v>
      </c>
      <c r="G1315" s="172">
        <v>46081</v>
      </c>
      <c r="H1315" s="212">
        <v>-4.0200000000000005</v>
      </c>
      <c r="I1315" s="192">
        <v>-3.97</v>
      </c>
      <c r="J1315" s="9">
        <v>17.500000000000092</v>
      </c>
      <c r="K1315">
        <v>-1407.0000000000002</v>
      </c>
      <c r="L1315" s="14" t="s">
        <v>98</v>
      </c>
      <c r="M1315" s="8" t="s">
        <v>131</v>
      </c>
      <c r="N1315">
        <v>-1389.5</v>
      </c>
      <c r="O1315" s="38" t="s">
        <v>11</v>
      </c>
      <c r="P1315" s="38" t="s">
        <v>10</v>
      </c>
      <c r="Q1315" s="240">
        <v>2026</v>
      </c>
      <c r="R1315" t="s">
        <v>131</v>
      </c>
      <c r="S1315" t="s">
        <v>96</v>
      </c>
      <c r="T1315" t="s">
        <v>1552</v>
      </c>
      <c r="U1315">
        <f>IFERROR(_xlfn.XLOOKUP(A1315,'2025 EOY'!A:A,'2025 EOY'!B:B),"No")</f>
        <v>0</v>
      </c>
    </row>
    <row r="1316" spans="1:21" x14ac:dyDescent="0.35">
      <c r="B1316" s="174">
        <v>45979</v>
      </c>
      <c r="C1316" s="10" t="s">
        <v>10</v>
      </c>
      <c r="D1316" s="4" t="s">
        <v>128</v>
      </c>
      <c r="E1316" s="253">
        <v>-350</v>
      </c>
      <c r="F1316" s="172">
        <v>46203</v>
      </c>
      <c r="G1316" s="172">
        <v>46203</v>
      </c>
      <c r="H1316" s="212">
        <v>-3.68</v>
      </c>
      <c r="I1316" s="192">
        <v>-3.65</v>
      </c>
      <c r="J1316" s="9">
        <v>-10.500000000000087</v>
      </c>
      <c r="K1316">
        <v>1288</v>
      </c>
      <c r="L1316" s="14" t="s">
        <v>101</v>
      </c>
      <c r="M1316" s="8" t="s">
        <v>129</v>
      </c>
      <c r="N1316">
        <v>1277.5</v>
      </c>
      <c r="O1316" s="38" t="s">
        <v>11</v>
      </c>
      <c r="P1316" s="38" t="s">
        <v>10</v>
      </c>
      <c r="Q1316" s="240">
        <v>2026</v>
      </c>
      <c r="R1316" t="s">
        <v>129</v>
      </c>
      <c r="S1316" t="s">
        <v>96</v>
      </c>
      <c r="T1316" t="s">
        <v>1553</v>
      </c>
      <c r="U1316">
        <f>IFERROR(_xlfn.XLOOKUP(A1316,'2025 EOY'!A:A,'2025 EOY'!B:B),"No")</f>
        <v>0</v>
      </c>
    </row>
    <row r="1317" spans="1:21" x14ac:dyDescent="0.35">
      <c r="B1317" s="174">
        <v>45980</v>
      </c>
      <c r="C1317" s="10" t="s">
        <v>10</v>
      </c>
      <c r="D1317" s="4" t="s">
        <v>128</v>
      </c>
      <c r="E1317" s="253">
        <v>500</v>
      </c>
      <c r="F1317" s="172">
        <v>46081</v>
      </c>
      <c r="G1317" s="172">
        <v>46081</v>
      </c>
      <c r="H1317" s="212">
        <v>-4</v>
      </c>
      <c r="I1317" s="192">
        <v>-3.97</v>
      </c>
      <c r="J1317" s="9">
        <v>14.999999999999902</v>
      </c>
      <c r="K1317">
        <v>-2000</v>
      </c>
      <c r="L1317" s="14" t="s">
        <v>98</v>
      </c>
      <c r="M1317" s="8" t="s">
        <v>131</v>
      </c>
      <c r="N1317">
        <v>-1985</v>
      </c>
      <c r="O1317" s="38" t="s">
        <v>11</v>
      </c>
      <c r="P1317" s="38" t="s">
        <v>10</v>
      </c>
      <c r="Q1317" s="240">
        <v>2026</v>
      </c>
      <c r="R1317" t="s">
        <v>131</v>
      </c>
      <c r="S1317" t="s">
        <v>96</v>
      </c>
      <c r="T1317" t="s">
        <v>1554</v>
      </c>
      <c r="U1317">
        <f>IFERROR(_xlfn.XLOOKUP(A1317,'2025 EOY'!A:A,'2025 EOY'!B:B),"No")</f>
        <v>0</v>
      </c>
    </row>
    <row r="1318" spans="1:21" x14ac:dyDescent="0.35">
      <c r="B1318" s="174">
        <v>45980</v>
      </c>
      <c r="C1318" s="10" t="s">
        <v>10</v>
      </c>
      <c r="D1318" s="4" t="s">
        <v>128</v>
      </c>
      <c r="E1318" s="253">
        <v>-500</v>
      </c>
      <c r="F1318" s="172">
        <v>46203</v>
      </c>
      <c r="G1318" s="172">
        <v>46203</v>
      </c>
      <c r="H1318" s="212">
        <v>-3.6520000000000001</v>
      </c>
      <c r="I1318" s="192">
        <v>-3.65</v>
      </c>
      <c r="J1318" s="9">
        <v>-1.0000000000001119</v>
      </c>
      <c r="K1318">
        <v>1826</v>
      </c>
      <c r="L1318" s="14" t="s">
        <v>101</v>
      </c>
      <c r="M1318" s="8" t="s">
        <v>129</v>
      </c>
      <c r="N1318">
        <v>1825</v>
      </c>
      <c r="O1318" s="38" t="s">
        <v>11</v>
      </c>
      <c r="P1318" s="38" t="s">
        <v>10</v>
      </c>
      <c r="Q1318" s="240">
        <v>2026</v>
      </c>
      <c r="R1318" t="s">
        <v>129</v>
      </c>
      <c r="S1318" t="s">
        <v>96</v>
      </c>
      <c r="T1318" t="s">
        <v>1555</v>
      </c>
      <c r="U1318">
        <f>IFERROR(_xlfn.XLOOKUP(A1318,'2025 EOY'!A:A,'2025 EOY'!B:B),"No")</f>
        <v>0</v>
      </c>
    </row>
    <row r="1319" spans="1:21" x14ac:dyDescent="0.35">
      <c r="A1319" t="s">
        <v>127</v>
      </c>
      <c r="B1319" s="174">
        <v>45980</v>
      </c>
      <c r="C1319" s="10" t="s">
        <v>15</v>
      </c>
      <c r="D1319" s="4" t="s">
        <v>128</v>
      </c>
      <c r="E1319" s="253">
        <v>-400</v>
      </c>
      <c r="F1319" s="173">
        <v>46022</v>
      </c>
      <c r="G1319" s="173">
        <v>46022</v>
      </c>
      <c r="H1319" s="212">
        <v>0.62</v>
      </c>
      <c r="I1319" s="191">
        <v>0.99</v>
      </c>
      <c r="J1319" s="9">
        <v>-148</v>
      </c>
      <c r="K1319">
        <v>-248</v>
      </c>
      <c r="L1319" s="14" t="s">
        <v>94</v>
      </c>
      <c r="M1319" s="8" t="s">
        <v>129</v>
      </c>
      <c r="N1319">
        <v>-396</v>
      </c>
      <c r="O1319" s="38" t="s">
        <v>11</v>
      </c>
      <c r="P1319" s="38" t="s">
        <v>16</v>
      </c>
      <c r="Q1319" s="240">
        <v>2025</v>
      </c>
      <c r="R1319" t="s">
        <v>129</v>
      </c>
      <c r="S1319" t="s">
        <v>14</v>
      </c>
      <c r="T1319" t="s">
        <v>1556</v>
      </c>
      <c r="U1319" t="str">
        <f>IFERROR(_xlfn.XLOOKUP(A1319,'2025 EOY'!A:A,'2025 EOY'!B:B),"No")</f>
        <v>No</v>
      </c>
    </row>
    <row r="1320" spans="1:21" ht="15" thickBot="1" x14ac:dyDescent="0.4">
      <c r="A1320" t="s">
        <v>127</v>
      </c>
      <c r="B1320" s="174">
        <v>45980</v>
      </c>
      <c r="C1320" s="10" t="s">
        <v>15</v>
      </c>
      <c r="D1320" s="4" t="s">
        <v>128</v>
      </c>
      <c r="E1320" s="253">
        <v>-500</v>
      </c>
      <c r="F1320" s="173">
        <v>46022</v>
      </c>
      <c r="G1320" s="173">
        <v>46022</v>
      </c>
      <c r="H1320" s="212">
        <v>0.7</v>
      </c>
      <c r="I1320" s="191">
        <v>0.99</v>
      </c>
      <c r="J1320" s="9">
        <v>-145.00000000000003</v>
      </c>
      <c r="K1320">
        <v>-350</v>
      </c>
      <c r="L1320" s="14" t="s">
        <v>94</v>
      </c>
      <c r="M1320" s="8" t="s">
        <v>129</v>
      </c>
      <c r="N1320">
        <v>-495</v>
      </c>
      <c r="O1320" s="38" t="s">
        <v>11</v>
      </c>
      <c r="P1320" s="38" t="s">
        <v>16</v>
      </c>
      <c r="Q1320" s="240">
        <v>2025</v>
      </c>
      <c r="R1320" t="s">
        <v>129</v>
      </c>
      <c r="S1320" t="s">
        <v>14</v>
      </c>
      <c r="T1320" t="s">
        <v>1557</v>
      </c>
      <c r="U1320" t="str">
        <f>IFERROR(_xlfn.XLOOKUP(A1320,'2025 EOY'!A:A,'2025 EOY'!B:B),"No")</f>
        <v>No</v>
      </c>
    </row>
    <row r="1321" spans="1:21" x14ac:dyDescent="0.35">
      <c r="A1321" t="s">
        <v>1558</v>
      </c>
      <c r="B1321" s="302">
        <v>45980</v>
      </c>
      <c r="C1321" s="229" t="s">
        <v>19</v>
      </c>
      <c r="D1321" s="230" t="s">
        <v>268</v>
      </c>
      <c r="E1321" s="276">
        <v>700</v>
      </c>
      <c r="F1321" s="231">
        <v>46022</v>
      </c>
      <c r="G1321" s="231">
        <v>46022</v>
      </c>
      <c r="H1321" s="232">
        <v>1.7800000000000007</v>
      </c>
      <c r="I1321" s="233">
        <v>1.86</v>
      </c>
      <c r="J1321" s="234">
        <v>55.999999999999581</v>
      </c>
      <c r="K1321" s="227">
        <v>1246.0000000000005</v>
      </c>
      <c r="L1321" s="235" t="s">
        <v>94</v>
      </c>
      <c r="M1321" s="236" t="s">
        <v>131</v>
      </c>
      <c r="N1321" s="227">
        <v>1302</v>
      </c>
      <c r="O1321" s="237" t="s">
        <v>19</v>
      </c>
      <c r="P1321" s="237" t="s">
        <v>19</v>
      </c>
      <c r="Q1321" s="238">
        <v>2025</v>
      </c>
      <c r="R1321" t="s">
        <v>131</v>
      </c>
      <c r="S1321" t="s">
        <v>96</v>
      </c>
      <c r="T1321" t="s">
        <v>1559</v>
      </c>
      <c r="U1321" t="str">
        <f>IFERROR(_xlfn.XLOOKUP(A1321,'2025 EOY'!A:A,'2025 EOY'!B:B),"No")</f>
        <v>Yes</v>
      </c>
    </row>
    <row r="1322" spans="1:21" x14ac:dyDescent="0.35">
      <c r="A1322" t="s">
        <v>1558</v>
      </c>
      <c r="B1322" s="16">
        <v>45980</v>
      </c>
      <c r="C1322" s="10" t="s">
        <v>3</v>
      </c>
      <c r="D1322" s="4" t="s">
        <v>268</v>
      </c>
      <c r="E1322" s="253">
        <v>-700</v>
      </c>
      <c r="F1322" s="172">
        <v>46022</v>
      </c>
      <c r="G1322" s="172">
        <v>46053</v>
      </c>
      <c r="H1322" s="212">
        <v>0.18</v>
      </c>
      <c r="I1322" s="192">
        <v>0.19</v>
      </c>
      <c r="J1322" s="9">
        <v>-7.0000000000000062</v>
      </c>
      <c r="K1322">
        <v>-126</v>
      </c>
      <c r="L1322" s="14" t="s">
        <v>18</v>
      </c>
      <c r="M1322" s="8" t="s">
        <v>129</v>
      </c>
      <c r="N1322">
        <v>-133</v>
      </c>
      <c r="O1322" s="38" t="s">
        <v>4</v>
      </c>
      <c r="P1322" s="38" t="s">
        <v>3</v>
      </c>
      <c r="Q1322" s="240">
        <v>2025</v>
      </c>
      <c r="R1322" t="s">
        <v>129</v>
      </c>
      <c r="S1322" t="s">
        <v>14</v>
      </c>
      <c r="T1322" t="s">
        <v>1560</v>
      </c>
      <c r="U1322" t="str">
        <f>IFERROR(_xlfn.XLOOKUP(A1322,'2025 EOY'!A:A,'2025 EOY'!B:B),"No")</f>
        <v>Yes</v>
      </c>
    </row>
    <row r="1323" spans="1:21" x14ac:dyDescent="0.35">
      <c r="A1323" t="s">
        <v>1558</v>
      </c>
      <c r="B1323" s="16">
        <v>45980</v>
      </c>
      <c r="C1323" s="10" t="s">
        <v>3</v>
      </c>
      <c r="D1323" s="4" t="s">
        <v>268</v>
      </c>
      <c r="E1323" s="253">
        <v>-700</v>
      </c>
      <c r="F1323" s="172">
        <v>46053</v>
      </c>
      <c r="G1323" s="172">
        <v>46081</v>
      </c>
      <c r="H1323" s="212">
        <v>0.27</v>
      </c>
      <c r="I1323" s="192">
        <v>0.15</v>
      </c>
      <c r="J1323" s="9">
        <v>84.000000000000014</v>
      </c>
      <c r="K1323">
        <v>-189</v>
      </c>
      <c r="L1323" s="14" t="s">
        <v>97</v>
      </c>
      <c r="M1323" s="8" t="s">
        <v>129</v>
      </c>
      <c r="N1323">
        <v>-105</v>
      </c>
      <c r="O1323" s="38" t="s">
        <v>4</v>
      </c>
      <c r="P1323" s="38" t="s">
        <v>3</v>
      </c>
      <c r="Q1323" s="240">
        <v>2026</v>
      </c>
      <c r="R1323" t="s">
        <v>129</v>
      </c>
      <c r="S1323" t="s">
        <v>14</v>
      </c>
      <c r="T1323" t="s">
        <v>1561</v>
      </c>
      <c r="U1323" t="str">
        <f>IFERROR(_xlfn.XLOOKUP(A1323,'2025 EOY'!A:A,'2025 EOY'!B:B),"No")</f>
        <v>Yes</v>
      </c>
    </row>
    <row r="1324" spans="1:21" x14ac:dyDescent="0.35">
      <c r="A1324" t="s">
        <v>1558</v>
      </c>
      <c r="B1324" s="16">
        <v>45980</v>
      </c>
      <c r="C1324" s="10" t="s">
        <v>10</v>
      </c>
      <c r="D1324" s="4" t="s">
        <v>268</v>
      </c>
      <c r="E1324" s="253">
        <v>-700</v>
      </c>
      <c r="F1324" s="172">
        <v>46081</v>
      </c>
      <c r="G1324" s="172">
        <v>46081</v>
      </c>
      <c r="H1324" s="212">
        <v>-4.0199999999999996</v>
      </c>
      <c r="I1324" s="192">
        <v>-3.97</v>
      </c>
      <c r="J1324" s="9">
        <v>-34.999999999999567</v>
      </c>
      <c r="K1324">
        <v>2813.9999999999995</v>
      </c>
      <c r="L1324" s="14" t="s">
        <v>98</v>
      </c>
      <c r="M1324" s="8" t="s">
        <v>129</v>
      </c>
      <c r="N1324">
        <v>2779</v>
      </c>
      <c r="O1324" s="38" t="s">
        <v>11</v>
      </c>
      <c r="P1324" s="38" t="s">
        <v>10</v>
      </c>
      <c r="Q1324" s="240">
        <v>2026</v>
      </c>
      <c r="R1324" t="s">
        <v>129</v>
      </c>
      <c r="S1324" t="s">
        <v>96</v>
      </c>
      <c r="T1324" t="s">
        <v>1562</v>
      </c>
      <c r="U1324" t="str">
        <f>IFERROR(_xlfn.XLOOKUP(A1324,'2025 EOY'!A:A,'2025 EOY'!B:B),"No")</f>
        <v>Yes</v>
      </c>
    </row>
    <row r="1325" spans="1:21" x14ac:dyDescent="0.35">
      <c r="A1325" t="s">
        <v>1558</v>
      </c>
      <c r="B1325" s="16">
        <v>45980</v>
      </c>
      <c r="C1325" s="10" t="s">
        <v>7</v>
      </c>
      <c r="D1325" s="4" t="s">
        <v>268</v>
      </c>
      <c r="E1325" s="253">
        <v>-700</v>
      </c>
      <c r="F1325" s="172">
        <v>46081</v>
      </c>
      <c r="G1325" s="172">
        <v>46112</v>
      </c>
      <c r="H1325" s="218">
        <v>0.33</v>
      </c>
      <c r="I1325" s="192">
        <v>0.59</v>
      </c>
      <c r="J1325" s="9">
        <v>-181.99999999999997</v>
      </c>
      <c r="K1325">
        <v>-231</v>
      </c>
      <c r="L1325" s="14" t="s">
        <v>99</v>
      </c>
      <c r="M1325" s="8" t="s">
        <v>129</v>
      </c>
      <c r="N1325">
        <v>-413</v>
      </c>
      <c r="O1325" s="38" t="s">
        <v>4</v>
      </c>
      <c r="P1325" s="38" t="s">
        <v>7</v>
      </c>
      <c r="Q1325">
        <v>2026</v>
      </c>
      <c r="R1325" t="s">
        <v>129</v>
      </c>
      <c r="S1325" t="s">
        <v>96</v>
      </c>
      <c r="T1325" t="s">
        <v>1563</v>
      </c>
      <c r="U1325" t="str">
        <f>IFERROR(_xlfn.XLOOKUP(A1325,'2025 EOY'!A:A,'2025 EOY'!B:B),"No")</f>
        <v>Yes</v>
      </c>
    </row>
    <row r="1326" spans="1:21" x14ac:dyDescent="0.35">
      <c r="A1326" t="s">
        <v>1558</v>
      </c>
      <c r="B1326" s="16">
        <v>45980</v>
      </c>
      <c r="C1326" s="10" t="s">
        <v>15</v>
      </c>
      <c r="D1326" s="4" t="s">
        <v>268</v>
      </c>
      <c r="E1326" s="253">
        <v>700</v>
      </c>
      <c r="F1326" s="173">
        <v>46053</v>
      </c>
      <c r="G1326" s="173">
        <v>46053</v>
      </c>
      <c r="H1326" s="212">
        <v>0.4</v>
      </c>
      <c r="I1326" s="191">
        <v>1.83</v>
      </c>
      <c r="J1326" s="9">
        <v>1001.0000000000001</v>
      </c>
      <c r="K1326">
        <v>280</v>
      </c>
      <c r="L1326" s="14" t="s">
        <v>95</v>
      </c>
      <c r="M1326" s="8" t="s">
        <v>131</v>
      </c>
      <c r="N1326">
        <v>1281</v>
      </c>
      <c r="O1326" s="38" t="s">
        <v>11</v>
      </c>
      <c r="P1326" s="38" t="s">
        <v>16</v>
      </c>
      <c r="Q1326" s="240">
        <v>2026</v>
      </c>
      <c r="R1326" t="s">
        <v>131</v>
      </c>
      <c r="S1326" t="s">
        <v>96</v>
      </c>
      <c r="T1326" t="s">
        <v>1564</v>
      </c>
      <c r="U1326" t="str">
        <f>IFERROR(_xlfn.XLOOKUP(A1326,'2025 EOY'!A:A,'2025 EOY'!B:B),"No")</f>
        <v>Yes</v>
      </c>
    </row>
    <row r="1327" spans="1:21" x14ac:dyDescent="0.35">
      <c r="A1327" t="s">
        <v>1558</v>
      </c>
      <c r="B1327" s="16">
        <v>45980</v>
      </c>
      <c r="C1327" s="10" t="s">
        <v>3</v>
      </c>
      <c r="D1327" s="4" t="s">
        <v>128</v>
      </c>
      <c r="E1327" s="253">
        <v>700</v>
      </c>
      <c r="F1327" s="172">
        <v>46022</v>
      </c>
      <c r="G1327" s="172">
        <v>46053</v>
      </c>
      <c r="H1327" s="212">
        <v>0.19</v>
      </c>
      <c r="I1327" s="192">
        <v>0.19</v>
      </c>
      <c r="J1327" s="9">
        <v>0</v>
      </c>
      <c r="K1327">
        <v>133</v>
      </c>
      <c r="L1327" s="14" t="s">
        <v>18</v>
      </c>
      <c r="M1327" s="8" t="s">
        <v>131</v>
      </c>
      <c r="N1327">
        <v>133</v>
      </c>
      <c r="O1327" s="38" t="s">
        <v>4</v>
      </c>
      <c r="P1327" s="38" t="s">
        <v>3</v>
      </c>
      <c r="Q1327" s="240">
        <v>2025</v>
      </c>
      <c r="R1327" t="s">
        <v>131</v>
      </c>
      <c r="S1327" t="s">
        <v>14</v>
      </c>
      <c r="T1327" t="s">
        <v>1565</v>
      </c>
      <c r="U1327" t="str">
        <f>IFERROR(_xlfn.XLOOKUP(A1327,'2025 EOY'!A:A,'2025 EOY'!B:B),"No")</f>
        <v>Yes</v>
      </c>
    </row>
    <row r="1328" spans="1:21" x14ac:dyDescent="0.35">
      <c r="A1328" t="s">
        <v>127</v>
      </c>
      <c r="B1328" s="16">
        <v>45980</v>
      </c>
      <c r="C1328" s="10" t="s">
        <v>3</v>
      </c>
      <c r="D1328" s="4" t="s">
        <v>268</v>
      </c>
      <c r="E1328" s="253">
        <v>-1400</v>
      </c>
      <c r="F1328" s="172">
        <v>46022</v>
      </c>
      <c r="G1328" s="172">
        <v>46053</v>
      </c>
      <c r="H1328" s="212">
        <v>0.19</v>
      </c>
      <c r="I1328" s="192">
        <v>0.19</v>
      </c>
      <c r="J1328" s="9">
        <v>0</v>
      </c>
      <c r="K1328">
        <v>-266</v>
      </c>
      <c r="L1328" s="14" t="s">
        <v>18</v>
      </c>
      <c r="M1328" s="8" t="s">
        <v>129</v>
      </c>
      <c r="N1328">
        <v>-266</v>
      </c>
      <c r="O1328" s="38" t="s">
        <v>4</v>
      </c>
      <c r="P1328" s="38" t="s">
        <v>3</v>
      </c>
      <c r="Q1328" s="240">
        <v>2025</v>
      </c>
      <c r="R1328" t="s">
        <v>129</v>
      </c>
      <c r="S1328" t="s">
        <v>14</v>
      </c>
      <c r="T1328" t="s">
        <v>1566</v>
      </c>
      <c r="U1328" t="str">
        <f>IFERROR(_xlfn.XLOOKUP(A1328,'2025 EOY'!A:A,'2025 EOY'!B:B),"No")</f>
        <v>No</v>
      </c>
    </row>
    <row r="1329" spans="1:23" x14ac:dyDescent="0.35">
      <c r="A1329" t="s">
        <v>127</v>
      </c>
      <c r="B1329" s="16">
        <v>45980</v>
      </c>
      <c r="C1329" s="10" t="s">
        <v>3</v>
      </c>
      <c r="D1329" s="4" t="s">
        <v>128</v>
      </c>
      <c r="E1329" s="253">
        <v>1075</v>
      </c>
      <c r="F1329" s="172">
        <v>46022</v>
      </c>
      <c r="G1329" s="172">
        <v>46053</v>
      </c>
      <c r="H1329" s="212">
        <v>0.19</v>
      </c>
      <c r="I1329" s="192">
        <v>0.19</v>
      </c>
      <c r="J1329" s="9">
        <v>0</v>
      </c>
      <c r="K1329">
        <v>204.25</v>
      </c>
      <c r="L1329" s="14" t="s">
        <v>18</v>
      </c>
      <c r="M1329" s="8" t="s">
        <v>131</v>
      </c>
      <c r="N1329">
        <v>204.25</v>
      </c>
      <c r="O1329" s="38" t="s">
        <v>4</v>
      </c>
      <c r="P1329" s="38" t="s">
        <v>3</v>
      </c>
      <c r="Q1329" s="240">
        <v>2025</v>
      </c>
      <c r="R1329" t="s">
        <v>131</v>
      </c>
      <c r="S1329" t="s">
        <v>14</v>
      </c>
      <c r="T1329" t="s">
        <v>1567</v>
      </c>
      <c r="U1329" t="str">
        <f>IFERROR(_xlfn.XLOOKUP(A1329,'2025 EOY'!A:A,'2025 EOY'!B:B),"No")</f>
        <v>No</v>
      </c>
    </row>
    <row r="1330" spans="1:23" x14ac:dyDescent="0.35">
      <c r="A1330" t="s">
        <v>127</v>
      </c>
      <c r="B1330" s="16">
        <v>45980</v>
      </c>
      <c r="C1330" s="10" t="s">
        <v>10</v>
      </c>
      <c r="D1330" s="4" t="s">
        <v>128</v>
      </c>
      <c r="E1330" s="253">
        <v>107</v>
      </c>
      <c r="F1330" s="172">
        <v>46053</v>
      </c>
      <c r="G1330" s="172">
        <v>46053</v>
      </c>
      <c r="H1330" s="212">
        <v>-4.25</v>
      </c>
      <c r="I1330" s="192">
        <v>-4.6500000000000004</v>
      </c>
      <c r="J1330" s="9">
        <v>-42.80000000000004</v>
      </c>
      <c r="K1330">
        <v>-454.75</v>
      </c>
      <c r="L1330" s="14" t="s">
        <v>95</v>
      </c>
      <c r="M1330" s="8" t="s">
        <v>131</v>
      </c>
      <c r="N1330">
        <v>-497.55</v>
      </c>
      <c r="O1330" s="38" t="s">
        <v>11</v>
      </c>
      <c r="P1330" s="38" t="s">
        <v>10</v>
      </c>
      <c r="Q1330" s="240">
        <v>2026</v>
      </c>
      <c r="R1330" t="s">
        <v>131</v>
      </c>
      <c r="S1330" t="s">
        <v>14</v>
      </c>
      <c r="T1330" t="s">
        <v>1568</v>
      </c>
      <c r="U1330" t="str">
        <f>IFERROR(_xlfn.XLOOKUP(A1330,'2025 EOY'!A:A,'2025 EOY'!B:B),"No")</f>
        <v>No</v>
      </c>
    </row>
    <row r="1331" spans="1:23" x14ac:dyDescent="0.35">
      <c r="A1331" s="37" t="s">
        <v>1483</v>
      </c>
      <c r="B1331" s="174">
        <v>45981</v>
      </c>
      <c r="C1331" s="47" t="s">
        <v>36</v>
      </c>
      <c r="D1331" s="4" t="s">
        <v>268</v>
      </c>
      <c r="E1331" s="265">
        <v>-700</v>
      </c>
      <c r="F1331" s="172">
        <v>46022</v>
      </c>
      <c r="G1331" s="172">
        <v>46022</v>
      </c>
      <c r="H1331" s="219">
        <v>208</v>
      </c>
      <c r="I1331" s="206">
        <v>208.93</v>
      </c>
      <c r="J1331" s="9">
        <v>-13.020000000000095</v>
      </c>
      <c r="K1331">
        <v>-145600</v>
      </c>
      <c r="L1331" s="14" t="s">
        <v>94</v>
      </c>
      <c r="M1331" s="8" t="s">
        <v>129</v>
      </c>
      <c r="N1331">
        <v>-146251</v>
      </c>
      <c r="O1331" s="38" t="s">
        <v>29</v>
      </c>
      <c r="P1331" s="38" t="s">
        <v>29</v>
      </c>
      <c r="Q1331">
        <v>2025</v>
      </c>
      <c r="R1331" t="s">
        <v>129</v>
      </c>
      <c r="S1331" t="s">
        <v>14</v>
      </c>
      <c r="T1331" t="s">
        <v>1569</v>
      </c>
      <c r="U1331" t="str">
        <f>IFERROR(_xlfn.XLOOKUP(A1331,'2025 EOY'!A:A,'2025 EOY'!B:B),"No")</f>
        <v>No</v>
      </c>
      <c r="V1331" s="4"/>
      <c r="W1331" s="4"/>
    </row>
    <row r="1332" spans="1:23" x14ac:dyDescent="0.35">
      <c r="A1332" s="37" t="s">
        <v>1483</v>
      </c>
      <c r="B1332" s="174">
        <v>45981</v>
      </c>
      <c r="C1332" s="47" t="s">
        <v>36</v>
      </c>
      <c r="D1332" s="4" t="s">
        <v>128</v>
      </c>
      <c r="E1332" s="265">
        <v>700</v>
      </c>
      <c r="F1332" s="172">
        <v>46022</v>
      </c>
      <c r="G1332" s="172">
        <v>46022</v>
      </c>
      <c r="H1332" s="219">
        <v>205</v>
      </c>
      <c r="I1332" s="206">
        <v>208.93</v>
      </c>
      <c r="J1332" s="9">
        <v>55.020000000000103</v>
      </c>
      <c r="K1332">
        <v>143500</v>
      </c>
      <c r="L1332" s="14" t="s">
        <v>94</v>
      </c>
      <c r="M1332" s="8" t="s">
        <v>131</v>
      </c>
      <c r="N1332">
        <v>146251</v>
      </c>
      <c r="O1332" s="38" t="s">
        <v>29</v>
      </c>
      <c r="P1332" s="38" t="s">
        <v>29</v>
      </c>
      <c r="Q1332">
        <v>2025</v>
      </c>
      <c r="R1332" t="s">
        <v>131</v>
      </c>
      <c r="S1332" t="s">
        <v>14</v>
      </c>
      <c r="T1332" t="s">
        <v>1570</v>
      </c>
      <c r="U1332" t="str">
        <f>IFERROR(_xlfn.XLOOKUP(A1332,'2025 EOY'!A:A,'2025 EOY'!B:B),"No")</f>
        <v>No</v>
      </c>
      <c r="V1332" s="4"/>
      <c r="W1332" s="4"/>
    </row>
    <row r="1333" spans="1:23" x14ac:dyDescent="0.35">
      <c r="A1333" s="37" t="s">
        <v>1483</v>
      </c>
      <c r="B1333" s="174">
        <v>45981</v>
      </c>
      <c r="C1333" s="47" t="s">
        <v>36</v>
      </c>
      <c r="D1333" s="4" t="s">
        <v>268</v>
      </c>
      <c r="E1333" s="265">
        <v>-250</v>
      </c>
      <c r="F1333" s="172">
        <v>46022</v>
      </c>
      <c r="G1333" s="172">
        <v>46022</v>
      </c>
      <c r="H1333" s="219">
        <v>219</v>
      </c>
      <c r="I1333" s="206">
        <v>208.93</v>
      </c>
      <c r="J1333" s="9">
        <v>50.349999999999966</v>
      </c>
      <c r="K1333">
        <v>-54750</v>
      </c>
      <c r="L1333" s="14" t="s">
        <v>94</v>
      </c>
      <c r="M1333" s="8" t="s">
        <v>129</v>
      </c>
      <c r="N1333">
        <v>-52232.5</v>
      </c>
      <c r="O1333" s="38" t="s">
        <v>29</v>
      </c>
      <c r="P1333" s="38" t="s">
        <v>29</v>
      </c>
      <c r="Q1333">
        <v>2025</v>
      </c>
      <c r="R1333" t="s">
        <v>129</v>
      </c>
      <c r="S1333" t="s">
        <v>14</v>
      </c>
      <c r="T1333" t="s">
        <v>1571</v>
      </c>
      <c r="U1333" t="str">
        <f>IFERROR(_xlfn.XLOOKUP(A1333,'2025 EOY'!A:A,'2025 EOY'!B:B),"No")</f>
        <v>No</v>
      </c>
      <c r="V1333" s="4"/>
      <c r="W1333" s="4"/>
    </row>
    <row r="1334" spans="1:23" x14ac:dyDescent="0.35">
      <c r="A1334" t="s">
        <v>127</v>
      </c>
      <c r="B1334" s="16">
        <v>45982</v>
      </c>
      <c r="C1334" s="10" t="s">
        <v>7</v>
      </c>
      <c r="D1334" s="4" t="s">
        <v>128</v>
      </c>
      <c r="E1334" s="253">
        <v>1000</v>
      </c>
      <c r="F1334" s="172">
        <v>46081</v>
      </c>
      <c r="G1334" s="172">
        <v>46112</v>
      </c>
      <c r="H1334" s="212">
        <v>0.34</v>
      </c>
      <c r="I1334" s="192">
        <v>0.59</v>
      </c>
      <c r="J1334" s="9">
        <v>249.99999999999994</v>
      </c>
      <c r="K1334">
        <v>340</v>
      </c>
      <c r="L1334" s="14" t="s">
        <v>99</v>
      </c>
      <c r="M1334" s="8" t="s">
        <v>131</v>
      </c>
      <c r="N1334">
        <v>590</v>
      </c>
      <c r="O1334" s="38" t="s">
        <v>4</v>
      </c>
      <c r="P1334" s="38" t="s">
        <v>7</v>
      </c>
      <c r="Q1334" s="240">
        <v>2026</v>
      </c>
      <c r="R1334" t="s">
        <v>131</v>
      </c>
      <c r="S1334" t="s">
        <v>96</v>
      </c>
      <c r="T1334" t="s">
        <v>1572</v>
      </c>
      <c r="U1334" t="str">
        <f>IFERROR(_xlfn.XLOOKUP(A1334,'2025 EOY'!A:A,'2025 EOY'!B:B),"No")</f>
        <v>No</v>
      </c>
    </row>
    <row r="1335" spans="1:23" x14ac:dyDescent="0.35">
      <c r="A1335" t="s">
        <v>127</v>
      </c>
      <c r="B1335" s="16">
        <v>45982</v>
      </c>
      <c r="C1335" s="10" t="s">
        <v>3</v>
      </c>
      <c r="D1335" s="4" t="s">
        <v>128</v>
      </c>
      <c r="E1335" s="253">
        <v>1000</v>
      </c>
      <c r="F1335" s="172">
        <v>46053</v>
      </c>
      <c r="G1335" s="172">
        <v>46081</v>
      </c>
      <c r="H1335" s="212">
        <v>0.25</v>
      </c>
      <c r="I1335" s="192">
        <v>0.15</v>
      </c>
      <c r="J1335" s="9">
        <v>-100</v>
      </c>
      <c r="K1335">
        <v>250</v>
      </c>
      <c r="L1335" s="14" t="s">
        <v>97</v>
      </c>
      <c r="M1335" s="8" t="s">
        <v>131</v>
      </c>
      <c r="N1335">
        <v>150</v>
      </c>
      <c r="O1335" s="38" t="s">
        <v>4</v>
      </c>
      <c r="P1335" s="38" t="s">
        <v>3</v>
      </c>
      <c r="Q1335" s="240">
        <v>2026</v>
      </c>
      <c r="R1335" t="s">
        <v>131</v>
      </c>
      <c r="S1335" t="s">
        <v>14</v>
      </c>
      <c r="T1335" t="s">
        <v>1573</v>
      </c>
      <c r="U1335" t="str">
        <f>IFERROR(_xlfn.XLOOKUP(A1335,'2025 EOY'!A:A,'2025 EOY'!B:B),"No")</f>
        <v>No</v>
      </c>
    </row>
    <row r="1336" spans="1:23" x14ac:dyDescent="0.35">
      <c r="A1336" t="s">
        <v>127</v>
      </c>
      <c r="B1336" s="16">
        <v>45985</v>
      </c>
      <c r="C1336" s="10" t="s">
        <v>15</v>
      </c>
      <c r="D1336" s="4" t="s">
        <v>128</v>
      </c>
      <c r="E1336" s="253">
        <v>1000</v>
      </c>
      <c r="F1336" s="173">
        <v>46022</v>
      </c>
      <c r="G1336" s="173">
        <v>46022</v>
      </c>
      <c r="H1336" s="212">
        <v>0.91</v>
      </c>
      <c r="I1336" s="191">
        <v>0.99</v>
      </c>
      <c r="J1336" s="9">
        <v>79.999999999999957</v>
      </c>
      <c r="K1336">
        <v>910</v>
      </c>
      <c r="L1336" s="14" t="s">
        <v>94</v>
      </c>
      <c r="M1336" s="8" t="s">
        <v>131</v>
      </c>
      <c r="N1336">
        <v>990</v>
      </c>
      <c r="O1336" s="38" t="s">
        <v>11</v>
      </c>
      <c r="P1336" s="38" t="s">
        <v>16</v>
      </c>
      <c r="Q1336" s="240">
        <v>2025</v>
      </c>
      <c r="R1336" t="s">
        <v>131</v>
      </c>
      <c r="S1336" t="s">
        <v>14</v>
      </c>
      <c r="T1336" t="s">
        <v>1574</v>
      </c>
      <c r="U1336" t="str">
        <f>IFERROR(_xlfn.XLOOKUP(A1336,'2025 EOY'!A:A,'2025 EOY'!B:B),"No")</f>
        <v>No</v>
      </c>
    </row>
    <row r="1337" spans="1:23" x14ac:dyDescent="0.35">
      <c r="A1337" t="s">
        <v>127</v>
      </c>
      <c r="B1337" s="16">
        <v>45985</v>
      </c>
      <c r="C1337" s="10" t="s">
        <v>15</v>
      </c>
      <c r="D1337" s="4" t="s">
        <v>128</v>
      </c>
      <c r="E1337" s="253">
        <v>-1000</v>
      </c>
      <c r="F1337" s="173">
        <v>46053</v>
      </c>
      <c r="G1337" s="173">
        <v>46053</v>
      </c>
      <c r="H1337" s="212">
        <v>0.48</v>
      </c>
      <c r="I1337" s="191">
        <v>1.83</v>
      </c>
      <c r="J1337" s="9">
        <v>-1350</v>
      </c>
      <c r="K1337">
        <v>-480</v>
      </c>
      <c r="L1337" s="14" t="s">
        <v>95</v>
      </c>
      <c r="M1337" s="8" t="s">
        <v>129</v>
      </c>
      <c r="N1337">
        <v>-1830</v>
      </c>
      <c r="O1337" s="38" t="s">
        <v>11</v>
      </c>
      <c r="P1337" s="38" t="s">
        <v>16</v>
      </c>
      <c r="Q1337" s="240">
        <v>2026</v>
      </c>
      <c r="R1337" t="s">
        <v>129</v>
      </c>
      <c r="S1337" t="s">
        <v>96</v>
      </c>
      <c r="T1337" t="s">
        <v>1575</v>
      </c>
      <c r="U1337" t="str">
        <f>IFERROR(_xlfn.XLOOKUP(A1337,'2025 EOY'!A:A,'2025 EOY'!B:B),"No")</f>
        <v>No</v>
      </c>
    </row>
    <row r="1338" spans="1:23" x14ac:dyDescent="0.35">
      <c r="A1338" s="37" t="s">
        <v>127</v>
      </c>
      <c r="B1338" s="12">
        <v>45985</v>
      </c>
      <c r="C1338" s="10" t="s">
        <v>22</v>
      </c>
      <c r="D1338" s="4" t="s">
        <v>128</v>
      </c>
      <c r="E1338" s="253">
        <v>300</v>
      </c>
      <c r="F1338" s="173" t="s">
        <v>1576</v>
      </c>
      <c r="G1338" s="172">
        <v>46022</v>
      </c>
      <c r="H1338" s="15">
        <v>0.56499999999999995</v>
      </c>
      <c r="I1338" s="191">
        <v>1.1100000000000001</v>
      </c>
      <c r="J1338" s="9">
        <v>163.50000000000006</v>
      </c>
      <c r="K1338">
        <v>169.49999999999997</v>
      </c>
      <c r="L1338" s="14" t="s">
        <v>94</v>
      </c>
      <c r="M1338" s="8" t="s">
        <v>131</v>
      </c>
      <c r="N1338">
        <v>333.00000000000006</v>
      </c>
      <c r="O1338" s="38" t="s">
        <v>11</v>
      </c>
      <c r="P1338" s="38" t="s">
        <v>16</v>
      </c>
      <c r="Q1338">
        <v>2025</v>
      </c>
      <c r="R1338" t="s">
        <v>131</v>
      </c>
      <c r="S1338" t="s">
        <v>14</v>
      </c>
      <c r="T1338" t="s">
        <v>1577</v>
      </c>
      <c r="U1338" t="str">
        <f>IFERROR(_xlfn.XLOOKUP(A1338,'2025 EOY'!A:A,'2025 EOY'!B:B),"No")</f>
        <v>No</v>
      </c>
    </row>
    <row r="1339" spans="1:23" ht="15" thickBot="1" x14ac:dyDescent="0.4">
      <c r="A1339" t="s">
        <v>127</v>
      </c>
      <c r="B1339" s="16">
        <v>45985</v>
      </c>
      <c r="C1339" s="10" t="s">
        <v>15</v>
      </c>
      <c r="D1339" s="4" t="s">
        <v>128</v>
      </c>
      <c r="E1339" s="253">
        <v>72</v>
      </c>
      <c r="F1339" s="173">
        <v>46022</v>
      </c>
      <c r="G1339" s="173">
        <v>46022</v>
      </c>
      <c r="H1339" s="212">
        <v>0.9</v>
      </c>
      <c r="I1339" s="191">
        <v>0.99</v>
      </c>
      <c r="J1339" s="9">
        <v>6.4799999999999978</v>
      </c>
      <c r="K1339">
        <v>64.8</v>
      </c>
      <c r="L1339" s="14" t="s">
        <v>94</v>
      </c>
      <c r="M1339" s="8" t="s">
        <v>131</v>
      </c>
      <c r="N1339">
        <v>71.28</v>
      </c>
      <c r="O1339" s="38" t="s">
        <v>11</v>
      </c>
      <c r="P1339" s="38" t="s">
        <v>16</v>
      </c>
      <c r="Q1339" s="240">
        <v>2025</v>
      </c>
      <c r="R1339" t="s">
        <v>131</v>
      </c>
      <c r="S1339" t="s">
        <v>14</v>
      </c>
      <c r="T1339" t="s">
        <v>1578</v>
      </c>
      <c r="U1339" t="str">
        <f>IFERROR(_xlfn.XLOOKUP(A1339,'2025 EOY'!A:A,'2025 EOY'!B:B),"No")</f>
        <v>No</v>
      </c>
    </row>
    <row r="1340" spans="1:23" x14ac:dyDescent="0.35">
      <c r="A1340" s="227" t="s">
        <v>1579</v>
      </c>
      <c r="B1340" s="302">
        <v>45986</v>
      </c>
      <c r="C1340" s="229" t="s">
        <v>19</v>
      </c>
      <c r="D1340" s="230" t="s">
        <v>268</v>
      </c>
      <c r="E1340" s="276">
        <v>1349</v>
      </c>
      <c r="F1340" s="231">
        <v>46022</v>
      </c>
      <c r="G1340" s="231">
        <v>46022</v>
      </c>
      <c r="H1340" s="232">
        <v>0.75768667642752585</v>
      </c>
      <c r="I1340" s="315">
        <v>0.5</v>
      </c>
      <c r="J1340" s="234">
        <v>-347.61932650073237</v>
      </c>
      <c r="K1340" s="227">
        <v>1022.1193265007324</v>
      </c>
      <c r="L1340" s="235" t="s">
        <v>94</v>
      </c>
      <c r="M1340" s="236" t="s">
        <v>131</v>
      </c>
      <c r="N1340" s="227">
        <v>674.5</v>
      </c>
      <c r="O1340" s="227" t="s">
        <v>19</v>
      </c>
      <c r="P1340" s="227" t="s">
        <v>19</v>
      </c>
      <c r="Q1340" s="227">
        <v>2025</v>
      </c>
      <c r="R1340" s="238" t="s">
        <v>131</v>
      </c>
      <c r="S1340" t="s">
        <v>96</v>
      </c>
      <c r="T1340" t="s">
        <v>1580</v>
      </c>
      <c r="U1340" t="str">
        <f>IFERROR(_xlfn.XLOOKUP(A1340,'2025 EOY'!A:A,'2025 EOY'!B:B),"No")</f>
        <v>Yes</v>
      </c>
    </row>
    <row r="1341" spans="1:23" x14ac:dyDescent="0.35">
      <c r="A1341" t="s">
        <v>1579</v>
      </c>
      <c r="B1341" s="16">
        <v>45986</v>
      </c>
      <c r="C1341" s="187" t="s">
        <v>19</v>
      </c>
      <c r="D1341" s="10" t="s">
        <v>268</v>
      </c>
      <c r="E1341" s="259">
        <v>700</v>
      </c>
      <c r="F1341" s="172">
        <v>46022</v>
      </c>
      <c r="G1341" s="172">
        <v>46022</v>
      </c>
      <c r="H1341" s="212">
        <v>0.86768667642752573</v>
      </c>
      <c r="I1341" s="311">
        <v>0.5</v>
      </c>
      <c r="J1341" s="9">
        <v>-257.38067349926803</v>
      </c>
      <c r="K1341">
        <v>607.38067349926803</v>
      </c>
      <c r="L1341" s="14" t="s">
        <v>94</v>
      </c>
      <c r="M1341" s="8" t="s">
        <v>131</v>
      </c>
      <c r="N1341">
        <v>350</v>
      </c>
      <c r="O1341" t="s">
        <v>19</v>
      </c>
      <c r="P1341" t="s">
        <v>19</v>
      </c>
      <c r="Q1341">
        <v>2025</v>
      </c>
      <c r="R1341" s="240" t="s">
        <v>131</v>
      </c>
      <c r="S1341" t="s">
        <v>96</v>
      </c>
      <c r="T1341" t="s">
        <v>1581</v>
      </c>
      <c r="U1341" t="str">
        <f>IFERROR(_xlfn.XLOOKUP(A1341,'2025 EOY'!A:A,'2025 EOY'!B:B),"No")</f>
        <v>Yes</v>
      </c>
    </row>
    <row r="1342" spans="1:23" x14ac:dyDescent="0.35">
      <c r="A1342" t="s">
        <v>1579</v>
      </c>
      <c r="B1342" s="16">
        <v>45986</v>
      </c>
      <c r="C1342" s="10" t="s">
        <v>3</v>
      </c>
      <c r="D1342" s="4" t="s">
        <v>268</v>
      </c>
      <c r="E1342" s="253">
        <v>-1365</v>
      </c>
      <c r="F1342" s="172">
        <v>46053</v>
      </c>
      <c r="G1342" s="172">
        <v>46081</v>
      </c>
      <c r="H1342" s="212">
        <v>0.21</v>
      </c>
      <c r="I1342" s="7">
        <v>0.15</v>
      </c>
      <c r="J1342" s="9">
        <v>81.899999999999991</v>
      </c>
      <c r="K1342">
        <v>-286.64999999999998</v>
      </c>
      <c r="L1342" s="14" t="s">
        <v>97</v>
      </c>
      <c r="M1342" s="8" t="s">
        <v>129</v>
      </c>
      <c r="N1342">
        <v>-204.75</v>
      </c>
      <c r="O1342" t="s">
        <v>4</v>
      </c>
      <c r="P1342" t="s">
        <v>3</v>
      </c>
      <c r="Q1342">
        <v>2026</v>
      </c>
      <c r="R1342" s="240" t="s">
        <v>129</v>
      </c>
      <c r="S1342" t="s">
        <v>14</v>
      </c>
      <c r="T1342" t="s">
        <v>1582</v>
      </c>
      <c r="U1342" t="str">
        <f>IFERROR(_xlfn.XLOOKUP(A1342,'2025 EOY'!A:A,'2025 EOY'!B:B),"No")</f>
        <v>Yes</v>
      </c>
    </row>
    <row r="1343" spans="1:23" x14ac:dyDescent="0.35">
      <c r="A1343" t="s">
        <v>1579</v>
      </c>
      <c r="B1343" s="16">
        <v>45986</v>
      </c>
      <c r="C1343" s="10" t="s">
        <v>10</v>
      </c>
      <c r="D1343" s="4" t="s">
        <v>268</v>
      </c>
      <c r="E1343" s="253">
        <v>-1349</v>
      </c>
      <c r="F1343" s="172">
        <v>46081</v>
      </c>
      <c r="G1343" s="172">
        <v>46081</v>
      </c>
      <c r="H1343" s="212">
        <v>-4.05</v>
      </c>
      <c r="I1343" s="7">
        <v>-3.97</v>
      </c>
      <c r="J1343" s="9">
        <v>-107.91999999999949</v>
      </c>
      <c r="K1343">
        <v>5463.45</v>
      </c>
      <c r="L1343" s="14" t="s">
        <v>98</v>
      </c>
      <c r="M1343" s="8" t="s">
        <v>129</v>
      </c>
      <c r="N1343">
        <v>5355.5300000000007</v>
      </c>
      <c r="O1343" t="s">
        <v>11</v>
      </c>
      <c r="P1343" t="s">
        <v>10</v>
      </c>
      <c r="Q1343">
        <v>2026</v>
      </c>
      <c r="R1343" s="240" t="s">
        <v>129</v>
      </c>
      <c r="S1343" t="s">
        <v>96</v>
      </c>
      <c r="T1343" t="s">
        <v>1583</v>
      </c>
      <c r="U1343" t="str">
        <f>IFERROR(_xlfn.XLOOKUP(A1343,'2025 EOY'!A:A,'2025 EOY'!B:B),"No")</f>
        <v>Yes</v>
      </c>
    </row>
    <row r="1344" spans="1:23" x14ac:dyDescent="0.35">
      <c r="A1344" t="s">
        <v>1579</v>
      </c>
      <c r="B1344" s="16">
        <v>45986</v>
      </c>
      <c r="C1344" s="10" t="s">
        <v>7</v>
      </c>
      <c r="D1344" s="4" t="s">
        <v>268</v>
      </c>
      <c r="E1344" s="253">
        <v>-2049</v>
      </c>
      <c r="F1344" s="172">
        <v>46081</v>
      </c>
      <c r="G1344" s="172">
        <v>46112</v>
      </c>
      <c r="H1344" s="219">
        <v>0.3</v>
      </c>
      <c r="I1344" s="7">
        <v>0.59</v>
      </c>
      <c r="J1344" s="9">
        <v>-594.20999999999992</v>
      </c>
      <c r="K1344">
        <v>-614.69999999999993</v>
      </c>
      <c r="L1344" s="14" t="s">
        <v>99</v>
      </c>
      <c r="M1344" s="8" t="s">
        <v>129</v>
      </c>
      <c r="N1344">
        <v>-1208.9099999999999</v>
      </c>
      <c r="O1344" t="s">
        <v>4</v>
      </c>
      <c r="P1344" t="s">
        <v>7</v>
      </c>
      <c r="Q1344">
        <v>2026</v>
      </c>
      <c r="R1344" s="240" t="s">
        <v>129</v>
      </c>
      <c r="S1344" t="s">
        <v>96</v>
      </c>
      <c r="T1344" t="s">
        <v>1584</v>
      </c>
      <c r="U1344" t="str">
        <f>IFERROR(_xlfn.XLOOKUP(A1344,'2025 EOY'!A:A,'2025 EOY'!B:B),"No")</f>
        <v>Yes</v>
      </c>
    </row>
    <row r="1345" spans="1:23" ht="15" thickBot="1" x14ac:dyDescent="0.4">
      <c r="A1345" s="160" t="s">
        <v>1579</v>
      </c>
      <c r="B1345" s="316">
        <v>45986</v>
      </c>
      <c r="C1345" s="243" t="s">
        <v>15</v>
      </c>
      <c r="D1345" s="317" t="s">
        <v>268</v>
      </c>
      <c r="E1345" s="277">
        <v>2049</v>
      </c>
      <c r="F1345" s="320">
        <v>46053</v>
      </c>
      <c r="G1345" s="320">
        <v>46053</v>
      </c>
      <c r="H1345" s="245">
        <v>0.45</v>
      </c>
      <c r="I1345" s="317">
        <v>1.83</v>
      </c>
      <c r="J1345" s="247">
        <v>2827.6200000000003</v>
      </c>
      <c r="K1345" s="160">
        <v>922.05000000000007</v>
      </c>
      <c r="L1345" s="248" t="s">
        <v>95</v>
      </c>
      <c r="M1345" s="249" t="s">
        <v>131</v>
      </c>
      <c r="N1345" s="160">
        <v>3749.67</v>
      </c>
      <c r="O1345" s="160" t="s">
        <v>11</v>
      </c>
      <c r="P1345" s="160" t="s">
        <v>16</v>
      </c>
      <c r="Q1345" s="160">
        <v>2026</v>
      </c>
      <c r="R1345" s="251" t="s">
        <v>131</v>
      </c>
      <c r="S1345" t="s">
        <v>96</v>
      </c>
      <c r="T1345" t="s">
        <v>1585</v>
      </c>
      <c r="U1345" t="str">
        <f>IFERROR(_xlfn.XLOOKUP(A1345,'2025 EOY'!A:A,'2025 EOY'!B:B),"No")</f>
        <v>Yes</v>
      </c>
    </row>
    <row r="1346" spans="1:23" x14ac:dyDescent="0.35">
      <c r="A1346" t="s">
        <v>1526</v>
      </c>
      <c r="B1346" s="174">
        <v>45986</v>
      </c>
      <c r="C1346" s="10" t="s">
        <v>10</v>
      </c>
      <c r="D1346" s="4" t="s">
        <v>128</v>
      </c>
      <c r="E1346" s="253">
        <v>450</v>
      </c>
      <c r="F1346" s="172">
        <v>46081</v>
      </c>
      <c r="G1346" s="172">
        <v>46081</v>
      </c>
      <c r="H1346" s="212">
        <v>-4.1067</v>
      </c>
      <c r="I1346" s="192">
        <v>-3.97</v>
      </c>
      <c r="J1346" s="9">
        <v>61.514999999999922</v>
      </c>
      <c r="K1346">
        <v>-1848.0150000000001</v>
      </c>
      <c r="L1346" s="14" t="s">
        <v>98</v>
      </c>
      <c r="M1346" s="8" t="s">
        <v>131</v>
      </c>
      <c r="N1346">
        <v>-1786.5</v>
      </c>
      <c r="O1346" s="38" t="s">
        <v>11</v>
      </c>
      <c r="P1346" s="38" t="s">
        <v>10</v>
      </c>
      <c r="Q1346" s="240">
        <v>2026</v>
      </c>
      <c r="R1346" t="s">
        <v>131</v>
      </c>
      <c r="S1346" t="s">
        <v>96</v>
      </c>
      <c r="T1346" t="s">
        <v>1586</v>
      </c>
      <c r="U1346" t="str">
        <f>IFERROR(_xlfn.XLOOKUP(A1346,'2025 EOY'!A:A,'2025 EOY'!B:B),"No")</f>
        <v>No</v>
      </c>
    </row>
    <row r="1347" spans="1:23" x14ac:dyDescent="0.35">
      <c r="A1347" t="s">
        <v>1526</v>
      </c>
      <c r="B1347" s="174">
        <v>45986</v>
      </c>
      <c r="C1347" s="10" t="s">
        <v>7</v>
      </c>
      <c r="D1347" s="4" t="s">
        <v>128</v>
      </c>
      <c r="E1347" s="253">
        <v>1000</v>
      </c>
      <c r="F1347" s="172">
        <v>46081</v>
      </c>
      <c r="G1347" s="172">
        <v>46112</v>
      </c>
      <c r="H1347" s="218">
        <v>0.29799999999999999</v>
      </c>
      <c r="I1347" s="192">
        <v>0.59</v>
      </c>
      <c r="J1347" s="9">
        <v>292</v>
      </c>
      <c r="K1347">
        <v>298</v>
      </c>
      <c r="L1347" s="14" t="s">
        <v>99</v>
      </c>
      <c r="M1347" s="8" t="s">
        <v>131</v>
      </c>
      <c r="N1347">
        <v>590</v>
      </c>
      <c r="O1347" s="38" t="s">
        <v>4</v>
      </c>
      <c r="P1347" s="38" t="s">
        <v>7</v>
      </c>
      <c r="Q1347">
        <v>2026</v>
      </c>
      <c r="R1347" t="s">
        <v>131</v>
      </c>
      <c r="S1347" t="s">
        <v>96</v>
      </c>
      <c r="T1347" t="s">
        <v>1587</v>
      </c>
      <c r="U1347" t="str">
        <f>IFERROR(_xlfn.XLOOKUP(A1347,'2025 EOY'!A:A,'2025 EOY'!B:B),"No")</f>
        <v>No</v>
      </c>
    </row>
    <row r="1348" spans="1:23" x14ac:dyDescent="0.35">
      <c r="A1348" t="s">
        <v>1526</v>
      </c>
      <c r="B1348" s="174">
        <v>45986</v>
      </c>
      <c r="C1348" s="10" t="s">
        <v>3</v>
      </c>
      <c r="D1348" s="4" t="s">
        <v>128</v>
      </c>
      <c r="E1348" s="253">
        <v>1400</v>
      </c>
      <c r="F1348" s="172">
        <v>46053</v>
      </c>
      <c r="G1348" s="172">
        <v>46081</v>
      </c>
      <c r="H1348" s="212">
        <v>0.2</v>
      </c>
      <c r="I1348" s="192">
        <v>0.15</v>
      </c>
      <c r="J1348" s="9">
        <v>-70.000000000000028</v>
      </c>
      <c r="K1348">
        <v>280</v>
      </c>
      <c r="L1348" s="14" t="s">
        <v>97</v>
      </c>
      <c r="M1348" s="8" t="s">
        <v>131</v>
      </c>
      <c r="N1348">
        <v>210</v>
      </c>
      <c r="O1348" s="38" t="s">
        <v>4</v>
      </c>
      <c r="P1348" s="38" t="s">
        <v>3</v>
      </c>
      <c r="Q1348" s="240">
        <v>2026</v>
      </c>
      <c r="R1348" t="s">
        <v>131</v>
      </c>
      <c r="S1348" t="s">
        <v>14</v>
      </c>
      <c r="T1348" t="s">
        <v>1588</v>
      </c>
      <c r="U1348" t="str">
        <f>IFERROR(_xlfn.XLOOKUP(A1348,'2025 EOY'!A:A,'2025 EOY'!B:B),"No")</f>
        <v>No</v>
      </c>
    </row>
    <row r="1349" spans="1:23" x14ac:dyDescent="0.35">
      <c r="A1349" t="s">
        <v>1526</v>
      </c>
      <c r="B1349" s="174">
        <v>45986</v>
      </c>
      <c r="C1349" s="10" t="s">
        <v>10</v>
      </c>
      <c r="D1349" s="4" t="s">
        <v>128</v>
      </c>
      <c r="E1349" s="253">
        <v>1400</v>
      </c>
      <c r="F1349" s="172">
        <v>46081</v>
      </c>
      <c r="G1349" s="172">
        <v>46081</v>
      </c>
      <c r="H1349" s="212">
        <v>-4.05</v>
      </c>
      <c r="I1349" s="192">
        <v>-3.97</v>
      </c>
      <c r="J1349" s="9">
        <v>111.99999999999947</v>
      </c>
      <c r="K1349">
        <v>-5670</v>
      </c>
      <c r="L1349" s="14" t="s">
        <v>98</v>
      </c>
      <c r="M1349" s="8" t="s">
        <v>131</v>
      </c>
      <c r="N1349">
        <v>-5558</v>
      </c>
      <c r="O1349" s="38" t="s">
        <v>11</v>
      </c>
      <c r="P1349" s="38" t="s">
        <v>10</v>
      </c>
      <c r="Q1349" s="240">
        <v>2026</v>
      </c>
      <c r="R1349" t="s">
        <v>131</v>
      </c>
      <c r="S1349" t="s">
        <v>96</v>
      </c>
      <c r="T1349" t="s">
        <v>1589</v>
      </c>
      <c r="U1349" t="str">
        <f>IFERROR(_xlfn.XLOOKUP(A1349,'2025 EOY'!A:A,'2025 EOY'!B:B),"No")</f>
        <v>No</v>
      </c>
    </row>
    <row r="1350" spans="1:23" x14ac:dyDescent="0.35">
      <c r="A1350" t="s">
        <v>127</v>
      </c>
      <c r="B1350" s="16">
        <v>45986</v>
      </c>
      <c r="C1350" s="10" t="s">
        <v>15</v>
      </c>
      <c r="D1350" s="4" t="s">
        <v>128</v>
      </c>
      <c r="E1350" s="253">
        <v>188</v>
      </c>
      <c r="F1350" s="173">
        <v>46142</v>
      </c>
      <c r="G1350" s="173">
        <v>46142</v>
      </c>
      <c r="H1350" s="212">
        <v>0.45</v>
      </c>
      <c r="I1350" s="191">
        <v>0.1</v>
      </c>
      <c r="J1350" s="9">
        <v>-65.8</v>
      </c>
      <c r="K1350">
        <v>84.600000000000009</v>
      </c>
      <c r="L1350" s="14" t="s">
        <v>102</v>
      </c>
      <c r="M1350" s="8" t="s">
        <v>131</v>
      </c>
      <c r="N1350">
        <v>18.8</v>
      </c>
      <c r="O1350" s="38" t="s">
        <v>11</v>
      </c>
      <c r="P1350" s="38" t="s">
        <v>16</v>
      </c>
      <c r="Q1350" s="240">
        <v>2026</v>
      </c>
      <c r="R1350" t="s">
        <v>131</v>
      </c>
      <c r="S1350" t="s">
        <v>96</v>
      </c>
      <c r="T1350" t="s">
        <v>1590</v>
      </c>
      <c r="U1350" t="str">
        <f>IFERROR(_xlfn.XLOOKUP(A1350,'2025 EOY'!A:A,'2025 EOY'!B:B),"No")</f>
        <v>No</v>
      </c>
    </row>
    <row r="1351" spans="1:23" x14ac:dyDescent="0.35">
      <c r="A1351" t="s">
        <v>127</v>
      </c>
      <c r="B1351" s="16">
        <v>45986</v>
      </c>
      <c r="C1351" s="10" t="s">
        <v>15</v>
      </c>
      <c r="D1351" s="4" t="s">
        <v>128</v>
      </c>
      <c r="E1351" s="253">
        <v>188</v>
      </c>
      <c r="F1351" s="173">
        <v>46173</v>
      </c>
      <c r="G1351" s="173">
        <v>46173</v>
      </c>
      <c r="H1351" s="212">
        <v>0.45</v>
      </c>
      <c r="I1351" s="191">
        <v>0.1</v>
      </c>
      <c r="J1351" s="9">
        <v>-65.8</v>
      </c>
      <c r="K1351">
        <v>84.600000000000009</v>
      </c>
      <c r="L1351" s="14" t="s">
        <v>103</v>
      </c>
      <c r="M1351" s="8" t="s">
        <v>131</v>
      </c>
      <c r="N1351">
        <v>18.8</v>
      </c>
      <c r="O1351" s="38" t="s">
        <v>11</v>
      </c>
      <c r="P1351" s="38" t="s">
        <v>16</v>
      </c>
      <c r="Q1351" s="240">
        <v>2026</v>
      </c>
      <c r="R1351" t="s">
        <v>131</v>
      </c>
      <c r="S1351" t="s">
        <v>96</v>
      </c>
      <c r="T1351" t="s">
        <v>1591</v>
      </c>
      <c r="U1351" t="str">
        <f>IFERROR(_xlfn.XLOOKUP(A1351,'2025 EOY'!A:A,'2025 EOY'!B:B),"No")</f>
        <v>No</v>
      </c>
    </row>
    <row r="1352" spans="1:23" x14ac:dyDescent="0.35">
      <c r="A1352" t="s">
        <v>127</v>
      </c>
      <c r="B1352" s="16">
        <v>45986</v>
      </c>
      <c r="C1352" s="10" t="s">
        <v>15</v>
      </c>
      <c r="D1352" s="4" t="s">
        <v>128</v>
      </c>
      <c r="E1352" s="253">
        <v>188</v>
      </c>
      <c r="F1352" s="173">
        <v>46203</v>
      </c>
      <c r="G1352" s="173">
        <v>46203</v>
      </c>
      <c r="H1352" s="212">
        <v>0.45</v>
      </c>
      <c r="I1352" s="191">
        <v>0.1</v>
      </c>
      <c r="J1352" s="9">
        <v>-65.8</v>
      </c>
      <c r="K1352">
        <v>84.600000000000009</v>
      </c>
      <c r="L1352" s="14" t="s">
        <v>101</v>
      </c>
      <c r="M1352" s="8" t="s">
        <v>131</v>
      </c>
      <c r="N1352">
        <v>18.8</v>
      </c>
      <c r="O1352" s="38" t="s">
        <v>11</v>
      </c>
      <c r="P1352" s="38" t="s">
        <v>16</v>
      </c>
      <c r="Q1352" s="240">
        <v>2026</v>
      </c>
      <c r="R1352" t="s">
        <v>131</v>
      </c>
      <c r="S1352" t="s">
        <v>96</v>
      </c>
      <c r="T1352" t="s">
        <v>1592</v>
      </c>
      <c r="U1352" t="str">
        <f>IFERROR(_xlfn.XLOOKUP(A1352,'2025 EOY'!A:A,'2025 EOY'!B:B),"No")</f>
        <v>No</v>
      </c>
    </row>
    <row r="1353" spans="1:23" x14ac:dyDescent="0.35">
      <c r="A1353" s="37" t="s">
        <v>127</v>
      </c>
      <c r="B1353" s="16">
        <v>45986</v>
      </c>
      <c r="C1353" s="10" t="s">
        <v>22</v>
      </c>
      <c r="D1353" s="4" t="s">
        <v>128</v>
      </c>
      <c r="E1353" s="253">
        <v>300</v>
      </c>
      <c r="F1353" t="s">
        <v>1593</v>
      </c>
      <c r="G1353" s="172">
        <v>46022</v>
      </c>
      <c r="H1353" s="15">
        <v>0.77</v>
      </c>
      <c r="I1353" s="191">
        <v>1.1000000000000001</v>
      </c>
      <c r="J1353" s="9">
        <v>99.000000000000028</v>
      </c>
      <c r="K1353">
        <v>231</v>
      </c>
      <c r="L1353" s="14" t="s">
        <v>94</v>
      </c>
      <c r="M1353" s="8" t="s">
        <v>131</v>
      </c>
      <c r="N1353">
        <v>330</v>
      </c>
      <c r="O1353" s="38" t="s">
        <v>11</v>
      </c>
      <c r="P1353" s="38" t="s">
        <v>16</v>
      </c>
      <c r="Q1353">
        <v>2025</v>
      </c>
      <c r="R1353" t="s">
        <v>131</v>
      </c>
      <c r="S1353" t="s">
        <v>14</v>
      </c>
      <c r="T1353" t="s">
        <v>1594</v>
      </c>
      <c r="U1353" t="str">
        <f>IFERROR(_xlfn.XLOOKUP(A1353,'2025 EOY'!A:A,'2025 EOY'!B:B),"No")</f>
        <v>No</v>
      </c>
    </row>
    <row r="1354" spans="1:23" x14ac:dyDescent="0.35">
      <c r="A1354" s="37" t="s">
        <v>127</v>
      </c>
      <c r="B1354" s="16">
        <v>45986</v>
      </c>
      <c r="C1354" s="10" t="s">
        <v>22</v>
      </c>
      <c r="D1354" s="4" t="s">
        <v>128</v>
      </c>
      <c r="E1354" s="253">
        <v>-300</v>
      </c>
      <c r="F1354" s="173" t="s">
        <v>1576</v>
      </c>
      <c r="G1354" s="172">
        <v>46022</v>
      </c>
      <c r="H1354" s="15">
        <v>0.53</v>
      </c>
      <c r="I1354" s="191">
        <v>1.1100000000000001</v>
      </c>
      <c r="J1354" s="9">
        <v>-174.00000000000003</v>
      </c>
      <c r="K1354">
        <v>-159</v>
      </c>
      <c r="L1354" s="14" t="s">
        <v>94</v>
      </c>
      <c r="M1354" s="8" t="s">
        <v>129</v>
      </c>
      <c r="N1354">
        <v>-333.00000000000006</v>
      </c>
      <c r="O1354" s="38" t="s">
        <v>11</v>
      </c>
      <c r="P1354" s="38" t="s">
        <v>16</v>
      </c>
      <c r="Q1354">
        <v>2025</v>
      </c>
      <c r="R1354" t="s">
        <v>129</v>
      </c>
      <c r="S1354" t="s">
        <v>14</v>
      </c>
      <c r="T1354" t="s">
        <v>1595</v>
      </c>
      <c r="U1354" t="str">
        <f>IFERROR(_xlfn.XLOOKUP(A1354,'2025 EOY'!A:A,'2025 EOY'!B:B),"No")</f>
        <v>No</v>
      </c>
    </row>
    <row r="1355" spans="1:23" x14ac:dyDescent="0.35">
      <c r="A1355" t="s">
        <v>1526</v>
      </c>
      <c r="B1355" s="174">
        <v>45986</v>
      </c>
      <c r="C1355" s="10" t="s">
        <v>3</v>
      </c>
      <c r="D1355" s="4" t="s">
        <v>128</v>
      </c>
      <c r="E1355" s="253">
        <v>1000</v>
      </c>
      <c r="F1355" s="172">
        <v>46053</v>
      </c>
      <c r="G1355" s="172">
        <v>46081</v>
      </c>
      <c r="H1355" s="212">
        <v>0.25</v>
      </c>
      <c r="I1355" s="192">
        <v>0.15</v>
      </c>
      <c r="J1355" s="9">
        <v>-100</v>
      </c>
      <c r="K1355">
        <v>250</v>
      </c>
      <c r="L1355" s="14" t="s">
        <v>97</v>
      </c>
      <c r="M1355" s="8" t="s">
        <v>131</v>
      </c>
      <c r="N1355">
        <v>150</v>
      </c>
      <c r="O1355" s="38" t="s">
        <v>4</v>
      </c>
      <c r="P1355" s="38" t="s">
        <v>3</v>
      </c>
      <c r="Q1355" s="240">
        <v>2026</v>
      </c>
      <c r="R1355" t="s">
        <v>131</v>
      </c>
      <c r="S1355" t="s">
        <v>14</v>
      </c>
      <c r="T1355" t="s">
        <v>1596</v>
      </c>
      <c r="U1355" t="str">
        <f>IFERROR(_xlfn.XLOOKUP(A1355,'2025 EOY'!A:A,'2025 EOY'!B:B),"No")</f>
        <v>No</v>
      </c>
    </row>
    <row r="1356" spans="1:23" x14ac:dyDescent="0.35">
      <c r="A1356" t="s">
        <v>1579</v>
      </c>
      <c r="B1356" s="16">
        <v>45986</v>
      </c>
      <c r="C1356" s="187" t="s">
        <v>19</v>
      </c>
      <c r="D1356" s="10" t="s">
        <v>128</v>
      </c>
      <c r="E1356" s="259">
        <v>0</v>
      </c>
      <c r="F1356" s="172">
        <v>46022</v>
      </c>
      <c r="G1356" s="172">
        <v>46022</v>
      </c>
      <c r="H1356" s="212">
        <v>0.75768667642752585</v>
      </c>
      <c r="I1356" s="311">
        <v>0.5</v>
      </c>
      <c r="J1356" s="9"/>
      <c r="K1356">
        <v>0</v>
      </c>
      <c r="L1356" s="14" t="s">
        <v>94</v>
      </c>
      <c r="M1356" s="8" t="s">
        <v>131</v>
      </c>
      <c r="N1356">
        <v>0</v>
      </c>
      <c r="O1356" t="s">
        <v>19</v>
      </c>
      <c r="P1356" t="s">
        <v>19</v>
      </c>
      <c r="Q1356">
        <v>2025</v>
      </c>
      <c r="R1356" t="s">
        <v>129</v>
      </c>
      <c r="S1356" t="s">
        <v>96</v>
      </c>
      <c r="T1356" t="s">
        <v>1597</v>
      </c>
      <c r="U1356" t="str">
        <f>IFERROR(_xlfn.XLOOKUP(A1356,'2025 EOY'!A:A,'2025 EOY'!B:B),"No")</f>
        <v>Yes</v>
      </c>
    </row>
    <row r="1357" spans="1:23" ht="15" thickBot="1" x14ac:dyDescent="0.4">
      <c r="A1357" t="s">
        <v>1579</v>
      </c>
      <c r="B1357" s="16">
        <v>45986</v>
      </c>
      <c r="C1357" s="187" t="s">
        <v>44</v>
      </c>
      <c r="D1357" s="10" t="s">
        <v>128</v>
      </c>
      <c r="E1357" s="259">
        <v>0</v>
      </c>
      <c r="F1357" s="172">
        <v>46022</v>
      </c>
      <c r="G1357" s="172">
        <v>46022</v>
      </c>
      <c r="H1357" s="212">
        <v>0.75768667642752585</v>
      </c>
      <c r="I1357" s="311">
        <v>0.5</v>
      </c>
      <c r="J1357" s="9"/>
      <c r="K1357">
        <v>0</v>
      </c>
      <c r="L1357" s="14" t="s">
        <v>94</v>
      </c>
      <c r="M1357" s="8" t="s">
        <v>131</v>
      </c>
      <c r="N1357">
        <v>0</v>
      </c>
      <c r="O1357" t="s">
        <v>11</v>
      </c>
      <c r="P1357" t="s">
        <v>44</v>
      </c>
      <c r="Q1357">
        <v>2025</v>
      </c>
      <c r="R1357" t="s">
        <v>129</v>
      </c>
      <c r="S1357" t="s">
        <v>14</v>
      </c>
      <c r="T1357" t="s">
        <v>1598</v>
      </c>
      <c r="U1357" t="str">
        <f>IFERROR(_xlfn.XLOOKUP(A1357,'2025 EOY'!A:A,'2025 EOY'!B:B),"No")</f>
        <v>Yes</v>
      </c>
    </row>
    <row r="1358" spans="1:23" x14ac:dyDescent="0.35">
      <c r="A1358" s="227" t="s">
        <v>1599</v>
      </c>
      <c r="B1358" s="302">
        <v>45987</v>
      </c>
      <c r="C1358" s="229" t="s">
        <v>19</v>
      </c>
      <c r="D1358" s="230" t="s">
        <v>268</v>
      </c>
      <c r="E1358" s="276">
        <v>1400</v>
      </c>
      <c r="F1358" s="231">
        <v>46022</v>
      </c>
      <c r="G1358" s="231">
        <v>46022</v>
      </c>
      <c r="H1358" s="232">
        <v>-0.30000000000000004</v>
      </c>
      <c r="I1358" s="315">
        <v>-0.01</v>
      </c>
      <c r="J1358" s="234">
        <v>406.00000000000006</v>
      </c>
      <c r="K1358" s="227">
        <v>-420.00000000000006</v>
      </c>
      <c r="L1358" s="235" t="s">
        <v>94</v>
      </c>
      <c r="M1358" s="236" t="s">
        <v>131</v>
      </c>
      <c r="N1358" s="227">
        <v>-14</v>
      </c>
      <c r="O1358" s="227" t="s">
        <v>19</v>
      </c>
      <c r="P1358" s="227" t="s">
        <v>19</v>
      </c>
      <c r="Q1358" s="227">
        <v>2025</v>
      </c>
      <c r="R1358" s="238" t="s">
        <v>131</v>
      </c>
      <c r="S1358" t="s">
        <v>96</v>
      </c>
      <c r="T1358" t="s">
        <v>1600</v>
      </c>
      <c r="U1358" t="str">
        <f>IFERROR(_xlfn.XLOOKUP(A1358,'2025 EOY'!A:A,'2025 EOY'!B:B),"No")</f>
        <v>No</v>
      </c>
    </row>
    <row r="1359" spans="1:23" x14ac:dyDescent="0.35">
      <c r="A1359" t="s">
        <v>1599</v>
      </c>
      <c r="B1359" s="16">
        <v>45987</v>
      </c>
      <c r="C1359" s="10" t="s">
        <v>10</v>
      </c>
      <c r="D1359" s="4" t="s">
        <v>268</v>
      </c>
      <c r="E1359" s="253">
        <v>-1400</v>
      </c>
      <c r="F1359" s="172">
        <v>46053</v>
      </c>
      <c r="G1359" s="172">
        <v>46053</v>
      </c>
      <c r="H1359" s="212">
        <v>-4.4400000000000004</v>
      </c>
      <c r="I1359" s="192">
        <v>-4.6500000000000004</v>
      </c>
      <c r="J1359" s="9">
        <v>293.99999999999994</v>
      </c>
      <c r="K1359">
        <v>6216.0000000000009</v>
      </c>
      <c r="L1359" s="14" t="s">
        <v>95</v>
      </c>
      <c r="M1359" s="8" t="s">
        <v>129</v>
      </c>
      <c r="N1359">
        <v>6510.0000000000009</v>
      </c>
      <c r="O1359" t="s">
        <v>11</v>
      </c>
      <c r="P1359" t="s">
        <v>10</v>
      </c>
      <c r="Q1359">
        <v>2026</v>
      </c>
      <c r="R1359" s="240" t="s">
        <v>129</v>
      </c>
      <c r="S1359" t="s">
        <v>14</v>
      </c>
      <c r="T1359" t="s">
        <v>1601</v>
      </c>
      <c r="U1359" t="str">
        <f>IFERROR(_xlfn.XLOOKUP(A1359,'2025 EOY'!A:A,'2025 EOY'!B:B),"No")</f>
        <v>No</v>
      </c>
    </row>
    <row r="1360" spans="1:23" x14ac:dyDescent="0.35">
      <c r="A1360" t="s">
        <v>1599</v>
      </c>
      <c r="B1360" s="16">
        <v>45960</v>
      </c>
      <c r="C1360" s="47" t="s">
        <v>36</v>
      </c>
      <c r="D1360" s="4" t="s">
        <v>268</v>
      </c>
      <c r="E1360" s="253">
        <v>-1400</v>
      </c>
      <c r="F1360" s="172">
        <v>46053</v>
      </c>
      <c r="G1360" s="172">
        <v>46053</v>
      </c>
      <c r="H1360" s="219">
        <v>208</v>
      </c>
      <c r="I1360" s="314">
        <v>233.51</v>
      </c>
      <c r="J1360" s="9">
        <v>-714.27999999999986</v>
      </c>
      <c r="K1360">
        <v>-291200</v>
      </c>
      <c r="L1360" s="14" t="s">
        <v>95</v>
      </c>
      <c r="M1360" s="8" t="s">
        <v>129</v>
      </c>
      <c r="N1360">
        <v>-326914</v>
      </c>
      <c r="O1360" t="s">
        <v>29</v>
      </c>
      <c r="P1360" t="s">
        <v>29</v>
      </c>
      <c r="Q1360">
        <v>2026</v>
      </c>
      <c r="R1360" s="240" t="s">
        <v>129</v>
      </c>
      <c r="S1360" t="s">
        <v>96</v>
      </c>
      <c r="T1360" t="s">
        <v>1602</v>
      </c>
      <c r="U1360" t="str">
        <f>IFERROR(_xlfn.XLOOKUP(A1360,'2025 EOY'!A:A,'2025 EOY'!B:B),"No")</f>
        <v>No</v>
      </c>
      <c r="V1360" s="4"/>
      <c r="W1360" s="4"/>
    </row>
    <row r="1361" spans="1:23" x14ac:dyDescent="0.35">
      <c r="A1361" t="s">
        <v>1599</v>
      </c>
      <c r="B1361" s="16">
        <v>46014</v>
      </c>
      <c r="C1361" s="47" t="s">
        <v>36</v>
      </c>
      <c r="D1361" s="4" t="s">
        <v>128</v>
      </c>
      <c r="E1361" s="253">
        <v>700</v>
      </c>
      <c r="F1361" s="172">
        <v>46053</v>
      </c>
      <c r="G1361" s="172">
        <v>46053</v>
      </c>
      <c r="H1361" s="219">
        <v>215</v>
      </c>
      <c r="I1361" s="314">
        <v>233.51</v>
      </c>
      <c r="J1361" s="9">
        <v>259.13999999999987</v>
      </c>
      <c r="K1361">
        <v>150500</v>
      </c>
      <c r="L1361" s="14" t="s">
        <v>95</v>
      </c>
      <c r="M1361" s="8" t="s">
        <v>131</v>
      </c>
      <c r="N1361">
        <v>163457</v>
      </c>
      <c r="O1361" t="s">
        <v>29</v>
      </c>
      <c r="P1361" t="s">
        <v>29</v>
      </c>
      <c r="Q1361">
        <v>2026</v>
      </c>
      <c r="R1361" s="240" t="s">
        <v>131</v>
      </c>
      <c r="S1361" t="s">
        <v>96</v>
      </c>
      <c r="T1361" t="s">
        <v>1603</v>
      </c>
      <c r="U1361" t="str">
        <f>IFERROR(_xlfn.XLOOKUP(A1361,'2025 EOY'!A:A,'2025 EOY'!B:B),"No")</f>
        <v>No</v>
      </c>
      <c r="V1361" s="4"/>
      <c r="W1361" s="4"/>
    </row>
    <row r="1362" spans="1:23" x14ac:dyDescent="0.35">
      <c r="A1362" t="s">
        <v>1599</v>
      </c>
      <c r="B1362" s="16">
        <v>46014</v>
      </c>
      <c r="C1362" s="47" t="s">
        <v>36</v>
      </c>
      <c r="D1362" s="4" t="s">
        <v>128</v>
      </c>
      <c r="E1362" s="253">
        <v>700</v>
      </c>
      <c r="F1362" s="172">
        <v>46053</v>
      </c>
      <c r="G1362" s="172">
        <v>46053</v>
      </c>
      <c r="H1362" s="219">
        <v>215</v>
      </c>
      <c r="I1362" s="314">
        <v>233.51</v>
      </c>
      <c r="J1362" s="9">
        <v>259.13999999999987</v>
      </c>
      <c r="K1362">
        <v>150500</v>
      </c>
      <c r="L1362" s="14" t="s">
        <v>95</v>
      </c>
      <c r="M1362" s="8" t="s">
        <v>131</v>
      </c>
      <c r="N1362">
        <v>163457</v>
      </c>
      <c r="O1362" t="s">
        <v>29</v>
      </c>
      <c r="P1362" t="s">
        <v>29</v>
      </c>
      <c r="Q1362">
        <v>2026</v>
      </c>
      <c r="R1362" s="240" t="s">
        <v>131</v>
      </c>
      <c r="S1362" t="s">
        <v>96</v>
      </c>
      <c r="T1362" t="s">
        <v>1604</v>
      </c>
      <c r="U1362" t="str">
        <f>IFERROR(_xlfn.XLOOKUP(A1362,'2025 EOY'!A:A,'2025 EOY'!B:B),"No")</f>
        <v>No</v>
      </c>
      <c r="V1362" s="4"/>
      <c r="W1362" s="4"/>
    </row>
    <row r="1363" spans="1:23" ht="15" thickBot="1" x14ac:dyDescent="0.4">
      <c r="A1363" s="160" t="s">
        <v>1599</v>
      </c>
      <c r="B1363" s="316">
        <v>45960</v>
      </c>
      <c r="C1363" s="242" t="s">
        <v>39</v>
      </c>
      <c r="D1363" s="317" t="s">
        <v>268</v>
      </c>
      <c r="E1363" s="277">
        <v>1400</v>
      </c>
      <c r="F1363" s="244">
        <v>46053</v>
      </c>
      <c r="G1363" s="244">
        <v>46053</v>
      </c>
      <c r="H1363" s="318">
        <v>140</v>
      </c>
      <c r="I1363" s="319">
        <v>148</v>
      </c>
      <c r="J1363" s="33">
        <v>56</v>
      </c>
      <c r="K1363" s="160">
        <v>196000</v>
      </c>
      <c r="L1363" s="248" t="s">
        <v>95</v>
      </c>
      <c r="M1363" s="249" t="s">
        <v>131</v>
      </c>
      <c r="N1363" s="160">
        <v>207200</v>
      </c>
      <c r="O1363" s="160" t="s">
        <v>29</v>
      </c>
      <c r="P1363" s="160" t="s">
        <v>29</v>
      </c>
      <c r="Q1363" s="160">
        <v>2026</v>
      </c>
      <c r="R1363" s="251" t="s">
        <v>131</v>
      </c>
      <c r="S1363" t="s">
        <v>96</v>
      </c>
      <c r="T1363" t="s">
        <v>1605</v>
      </c>
      <c r="U1363" t="str">
        <f>IFERROR(_xlfn.XLOOKUP(A1363,'2025 EOY'!A:A,'2025 EOY'!B:B),"No")</f>
        <v>No</v>
      </c>
      <c r="V1363" s="4"/>
      <c r="W1363" s="4"/>
    </row>
    <row r="1364" spans="1:23" ht="15" thickBot="1" x14ac:dyDescent="0.4">
      <c r="A1364" s="160" t="s">
        <v>1599</v>
      </c>
      <c r="B1364" s="316">
        <v>45994</v>
      </c>
      <c r="C1364" s="242" t="s">
        <v>39</v>
      </c>
      <c r="D1364" s="317" t="s">
        <v>128</v>
      </c>
      <c r="E1364" s="277">
        <v>-1400</v>
      </c>
      <c r="F1364" s="244">
        <v>46053</v>
      </c>
      <c r="G1364" s="244">
        <v>46053</v>
      </c>
      <c r="H1364" s="318">
        <v>14.23</v>
      </c>
      <c r="I1364" s="319">
        <v>15.451199999999998</v>
      </c>
      <c r="J1364" s="33">
        <v>-195.39199999999965</v>
      </c>
      <c r="K1364" s="160">
        <v>-19922</v>
      </c>
      <c r="L1364" s="248" t="s">
        <v>95</v>
      </c>
      <c r="M1364" s="249" t="s">
        <v>129</v>
      </c>
      <c r="N1364" s="160">
        <v>-21631.679999999997</v>
      </c>
      <c r="O1364" s="160" t="s">
        <v>29</v>
      </c>
      <c r="P1364" s="160" t="s">
        <v>29</v>
      </c>
      <c r="Q1364" s="160">
        <v>2026</v>
      </c>
      <c r="R1364" s="251" t="s">
        <v>129</v>
      </c>
      <c r="S1364" t="s">
        <v>96</v>
      </c>
      <c r="T1364" t="s">
        <v>1606</v>
      </c>
      <c r="U1364" t="str">
        <f>IFERROR(_xlfn.XLOOKUP(A1364,'2025 EOY'!A:A,'2025 EOY'!B:B),"No")</f>
        <v>No</v>
      </c>
      <c r="V1364" s="4"/>
      <c r="W1364" s="4"/>
    </row>
    <row r="1365" spans="1:23" x14ac:dyDescent="0.35">
      <c r="A1365" t="s">
        <v>127</v>
      </c>
      <c r="B1365" s="16">
        <v>45986</v>
      </c>
      <c r="C1365" s="10" t="s">
        <v>15</v>
      </c>
      <c r="D1365" s="4" t="s">
        <v>128</v>
      </c>
      <c r="E1365" s="253">
        <v>1075</v>
      </c>
      <c r="F1365" s="173">
        <v>46022</v>
      </c>
      <c r="G1365" s="173">
        <v>46022</v>
      </c>
      <c r="H1365" s="212">
        <v>0.9</v>
      </c>
      <c r="I1365" s="191">
        <v>0.99</v>
      </c>
      <c r="J1365" s="9">
        <v>96.749999999999972</v>
      </c>
      <c r="K1365">
        <v>967.5</v>
      </c>
      <c r="L1365" s="14" t="s">
        <v>94</v>
      </c>
      <c r="M1365" s="8" t="s">
        <v>131</v>
      </c>
      <c r="N1365">
        <v>1064.25</v>
      </c>
      <c r="O1365" s="38" t="s">
        <v>11</v>
      </c>
      <c r="P1365" s="38" t="s">
        <v>16</v>
      </c>
      <c r="Q1365" s="240">
        <v>2025</v>
      </c>
      <c r="R1365" t="s">
        <v>131</v>
      </c>
      <c r="S1365" t="s">
        <v>14</v>
      </c>
      <c r="T1365" t="s">
        <v>1607</v>
      </c>
      <c r="U1365" t="str">
        <f>IFERROR(_xlfn.XLOOKUP(A1365,'2025 EOY'!A:A,'2025 EOY'!B:B),"No")</f>
        <v>No</v>
      </c>
    </row>
    <row r="1366" spans="1:23" x14ac:dyDescent="0.35">
      <c r="A1366" t="s">
        <v>127</v>
      </c>
      <c r="B1366" s="16">
        <v>45986</v>
      </c>
      <c r="C1366" s="10" t="s">
        <v>15</v>
      </c>
      <c r="D1366" s="4" t="s">
        <v>128</v>
      </c>
      <c r="E1366" s="253">
        <v>-1075</v>
      </c>
      <c r="F1366" s="173">
        <v>46053</v>
      </c>
      <c r="G1366" s="173">
        <v>46053</v>
      </c>
      <c r="H1366" s="212">
        <v>0.44</v>
      </c>
      <c r="I1366" s="191">
        <v>1.83</v>
      </c>
      <c r="J1366" s="9">
        <v>-1494.2500000000002</v>
      </c>
      <c r="K1366">
        <v>-473</v>
      </c>
      <c r="L1366" s="14" t="s">
        <v>95</v>
      </c>
      <c r="M1366" s="8" t="s">
        <v>129</v>
      </c>
      <c r="N1366">
        <v>-1967.25</v>
      </c>
      <c r="O1366" s="38" t="s">
        <v>11</v>
      </c>
      <c r="P1366" s="38" t="s">
        <v>16</v>
      </c>
      <c r="Q1366" s="240">
        <v>2026</v>
      </c>
      <c r="R1366" t="s">
        <v>129</v>
      </c>
      <c r="S1366" t="s">
        <v>96</v>
      </c>
      <c r="T1366" t="s">
        <v>1608</v>
      </c>
      <c r="U1366" t="str">
        <f>IFERROR(_xlfn.XLOOKUP(A1366,'2025 EOY'!A:A,'2025 EOY'!B:B),"No")</f>
        <v>No</v>
      </c>
    </row>
    <row r="1367" spans="1:23" x14ac:dyDescent="0.35">
      <c r="A1367" t="s">
        <v>1599</v>
      </c>
      <c r="B1367" s="16">
        <v>45987</v>
      </c>
      <c r="C1367" s="10" t="s">
        <v>10</v>
      </c>
      <c r="D1367" s="4" t="s">
        <v>268</v>
      </c>
      <c r="E1367" s="253">
        <v>1400</v>
      </c>
      <c r="F1367" s="172">
        <v>46053</v>
      </c>
      <c r="G1367" s="172">
        <v>46053</v>
      </c>
      <c r="H1367" s="212">
        <v>-4.4400000000000004</v>
      </c>
      <c r="I1367" s="192">
        <v>-4.6500000000000004</v>
      </c>
      <c r="J1367" s="9">
        <v>-293.99999999999994</v>
      </c>
      <c r="K1367">
        <v>-6216.0000000000009</v>
      </c>
      <c r="L1367" s="14" t="s">
        <v>95</v>
      </c>
      <c r="M1367" s="8" t="s">
        <v>131</v>
      </c>
      <c r="N1367">
        <v>-6510.0000000000009</v>
      </c>
      <c r="O1367" t="s">
        <v>11</v>
      </c>
      <c r="P1367" t="s">
        <v>10</v>
      </c>
      <c r="Q1367">
        <v>2026</v>
      </c>
      <c r="R1367" s="240" t="s">
        <v>131</v>
      </c>
      <c r="S1367" t="s">
        <v>14</v>
      </c>
      <c r="T1367" t="s">
        <v>1609</v>
      </c>
      <c r="U1367" t="str">
        <f>IFERROR(_xlfn.XLOOKUP(A1367,'2025 EOY'!A:A,'2025 EOY'!B:B),"No")</f>
        <v>No</v>
      </c>
    </row>
    <row r="1368" spans="1:23" x14ac:dyDescent="0.35">
      <c r="A1368" t="s">
        <v>127</v>
      </c>
      <c r="B1368" s="174">
        <v>45987</v>
      </c>
      <c r="C1368" s="10" t="s">
        <v>3</v>
      </c>
      <c r="D1368" s="4" t="s">
        <v>128</v>
      </c>
      <c r="E1368" s="253">
        <v>335</v>
      </c>
      <c r="F1368" s="172">
        <v>46053</v>
      </c>
      <c r="G1368" s="172">
        <v>46081</v>
      </c>
      <c r="H1368" s="212">
        <v>0.23</v>
      </c>
      <c r="I1368" s="192">
        <v>0.15</v>
      </c>
      <c r="J1368" s="9">
        <v>-26.800000000000004</v>
      </c>
      <c r="K1368">
        <v>77.05</v>
      </c>
      <c r="L1368" s="14" t="s">
        <v>97</v>
      </c>
      <c r="M1368" s="8" t="s">
        <v>131</v>
      </c>
      <c r="N1368">
        <v>50.25</v>
      </c>
      <c r="O1368" s="38" t="s">
        <v>4</v>
      </c>
      <c r="P1368" s="38" t="s">
        <v>3</v>
      </c>
      <c r="Q1368" s="240">
        <v>2026</v>
      </c>
      <c r="R1368" t="s">
        <v>131</v>
      </c>
      <c r="S1368" t="s">
        <v>14</v>
      </c>
      <c r="T1368" t="s">
        <v>1610</v>
      </c>
      <c r="U1368" t="str">
        <f>IFERROR(_xlfn.XLOOKUP(A1368,'2025 EOY'!A:A,'2025 EOY'!B:B),"No")</f>
        <v>No</v>
      </c>
    </row>
    <row r="1369" spans="1:23" x14ac:dyDescent="0.35">
      <c r="A1369" t="s">
        <v>127</v>
      </c>
      <c r="B1369" s="174">
        <v>45987</v>
      </c>
      <c r="C1369" s="10" t="s">
        <v>3</v>
      </c>
      <c r="D1369" s="4" t="s">
        <v>128</v>
      </c>
      <c r="E1369" s="253">
        <v>134</v>
      </c>
      <c r="F1369" s="172">
        <v>46081</v>
      </c>
      <c r="G1369" s="172">
        <v>46112</v>
      </c>
      <c r="H1369" s="212">
        <v>0.16</v>
      </c>
      <c r="I1369" s="192">
        <v>0.13</v>
      </c>
      <c r="J1369" s="9">
        <v>-4.0199999999999996</v>
      </c>
      <c r="K1369">
        <v>21.44</v>
      </c>
      <c r="L1369" s="14" t="s">
        <v>99</v>
      </c>
      <c r="M1369" s="8" t="s">
        <v>131</v>
      </c>
      <c r="N1369">
        <v>17.420000000000002</v>
      </c>
      <c r="O1369" s="38" t="s">
        <v>4</v>
      </c>
      <c r="P1369" s="38" t="s">
        <v>3</v>
      </c>
      <c r="Q1369" s="240">
        <v>2026</v>
      </c>
      <c r="R1369" t="s">
        <v>131</v>
      </c>
      <c r="S1369" t="s">
        <v>96</v>
      </c>
      <c r="T1369" t="s">
        <v>1611</v>
      </c>
      <c r="U1369" t="str">
        <f>IFERROR(_xlfn.XLOOKUP(A1369,'2025 EOY'!A:A,'2025 EOY'!B:B),"No")</f>
        <v>No</v>
      </c>
    </row>
    <row r="1370" spans="1:23" x14ac:dyDescent="0.35">
      <c r="A1370" t="s">
        <v>127</v>
      </c>
      <c r="B1370" s="174">
        <v>45989</v>
      </c>
      <c r="C1370" s="10" t="s">
        <v>3</v>
      </c>
      <c r="D1370" s="4" t="s">
        <v>128</v>
      </c>
      <c r="E1370" s="253">
        <v>335</v>
      </c>
      <c r="F1370" s="172">
        <v>46053</v>
      </c>
      <c r="G1370" s="172">
        <v>46081</v>
      </c>
      <c r="H1370" s="212">
        <v>0.26</v>
      </c>
      <c r="I1370" s="192">
        <v>0.15</v>
      </c>
      <c r="J1370" s="9">
        <v>-36.85</v>
      </c>
      <c r="K1370">
        <v>87.100000000000009</v>
      </c>
      <c r="L1370" s="14" t="s">
        <v>97</v>
      </c>
      <c r="M1370" s="8" t="s">
        <v>131</v>
      </c>
      <c r="N1370">
        <v>50.25</v>
      </c>
      <c r="O1370" s="38" t="s">
        <v>4</v>
      </c>
      <c r="P1370" s="38" t="s">
        <v>3</v>
      </c>
      <c r="Q1370" s="240">
        <v>2026</v>
      </c>
      <c r="R1370" t="s">
        <v>131</v>
      </c>
      <c r="S1370" t="s">
        <v>14</v>
      </c>
      <c r="T1370" t="s">
        <v>1612</v>
      </c>
      <c r="U1370" t="str">
        <f>IFERROR(_xlfn.XLOOKUP(A1370,'2025 EOY'!A:A,'2025 EOY'!B:B),"No")</f>
        <v>No</v>
      </c>
    </row>
    <row r="1371" spans="1:23" x14ac:dyDescent="0.35">
      <c r="A1371" t="s">
        <v>127</v>
      </c>
      <c r="B1371" s="174">
        <v>45989</v>
      </c>
      <c r="C1371" s="10" t="s">
        <v>3</v>
      </c>
      <c r="D1371" s="4" t="s">
        <v>128</v>
      </c>
      <c r="E1371" s="253">
        <v>134</v>
      </c>
      <c r="F1371" s="172">
        <v>46081</v>
      </c>
      <c r="G1371" s="172">
        <v>46112</v>
      </c>
      <c r="H1371" s="212">
        <v>0.2</v>
      </c>
      <c r="I1371" s="192">
        <v>0.13</v>
      </c>
      <c r="J1371" s="9">
        <v>-9.3800000000000008</v>
      </c>
      <c r="K1371">
        <v>26.8</v>
      </c>
      <c r="L1371" s="14" t="s">
        <v>99</v>
      </c>
      <c r="M1371" s="8" t="s">
        <v>131</v>
      </c>
      <c r="N1371">
        <v>17.420000000000002</v>
      </c>
      <c r="O1371" s="38" t="s">
        <v>4</v>
      </c>
      <c r="P1371" s="38" t="s">
        <v>3</v>
      </c>
      <c r="Q1371" s="240">
        <v>2026</v>
      </c>
      <c r="R1371" t="s">
        <v>131</v>
      </c>
      <c r="S1371" t="s">
        <v>96</v>
      </c>
      <c r="T1371" t="s">
        <v>1613</v>
      </c>
      <c r="U1371" t="str">
        <f>IFERROR(_xlfn.XLOOKUP(A1371,'2025 EOY'!A:A,'2025 EOY'!B:B),"No")</f>
        <v>No</v>
      </c>
    </row>
    <row r="1372" spans="1:23" x14ac:dyDescent="0.35">
      <c r="A1372" t="s">
        <v>127</v>
      </c>
      <c r="B1372" s="174">
        <v>45992</v>
      </c>
      <c r="C1372" s="10" t="s">
        <v>3</v>
      </c>
      <c r="D1372" s="4" t="s">
        <v>128</v>
      </c>
      <c r="E1372" s="253">
        <v>335</v>
      </c>
      <c r="F1372" s="172">
        <v>46053</v>
      </c>
      <c r="G1372" s="172">
        <v>46081</v>
      </c>
      <c r="H1372" s="212">
        <v>0.25</v>
      </c>
      <c r="I1372" s="192">
        <v>0.15</v>
      </c>
      <c r="J1372" s="9">
        <v>-33.5</v>
      </c>
      <c r="K1372">
        <v>83.75</v>
      </c>
      <c r="L1372" s="14" t="s">
        <v>97</v>
      </c>
      <c r="M1372" s="8" t="s">
        <v>131</v>
      </c>
      <c r="N1372">
        <v>50.25</v>
      </c>
      <c r="O1372" s="38" t="s">
        <v>4</v>
      </c>
      <c r="P1372" s="38" t="s">
        <v>3</v>
      </c>
      <c r="Q1372" s="240">
        <v>2026</v>
      </c>
      <c r="R1372" t="s">
        <v>131</v>
      </c>
      <c r="S1372" t="s">
        <v>14</v>
      </c>
      <c r="T1372" t="s">
        <v>1614</v>
      </c>
      <c r="U1372" t="str">
        <f>IFERROR(_xlfn.XLOOKUP(A1372,'2025 EOY'!A:A,'2025 EOY'!B:B),"No")</f>
        <v>No</v>
      </c>
    </row>
    <row r="1373" spans="1:23" x14ac:dyDescent="0.35">
      <c r="A1373" t="s">
        <v>127</v>
      </c>
      <c r="B1373" s="174">
        <v>45992</v>
      </c>
      <c r="C1373" s="10" t="s">
        <v>3</v>
      </c>
      <c r="D1373" s="4" t="s">
        <v>128</v>
      </c>
      <c r="E1373" s="253">
        <v>134</v>
      </c>
      <c r="F1373" s="172">
        <v>46081</v>
      </c>
      <c r="G1373" s="172">
        <v>46112</v>
      </c>
      <c r="H1373" s="212">
        <v>0.2</v>
      </c>
      <c r="I1373" s="192">
        <v>0.13</v>
      </c>
      <c r="J1373" s="9">
        <v>-9.3800000000000008</v>
      </c>
      <c r="K1373">
        <v>26.8</v>
      </c>
      <c r="L1373" s="14" t="s">
        <v>99</v>
      </c>
      <c r="M1373" s="8" t="s">
        <v>131</v>
      </c>
      <c r="N1373">
        <v>17.420000000000002</v>
      </c>
      <c r="O1373" s="38" t="s">
        <v>4</v>
      </c>
      <c r="P1373" s="38" t="s">
        <v>3</v>
      </c>
      <c r="Q1373" s="240">
        <v>2026</v>
      </c>
      <c r="R1373" t="s">
        <v>131</v>
      </c>
      <c r="S1373" t="s">
        <v>96</v>
      </c>
      <c r="T1373" t="s">
        <v>1615</v>
      </c>
      <c r="U1373" t="str">
        <f>IFERROR(_xlfn.XLOOKUP(A1373,'2025 EOY'!A:A,'2025 EOY'!B:B),"No")</f>
        <v>No</v>
      </c>
    </row>
    <row r="1374" spans="1:23" x14ac:dyDescent="0.35">
      <c r="A1374" t="s">
        <v>127</v>
      </c>
      <c r="B1374" s="174">
        <v>45992</v>
      </c>
      <c r="C1374" s="10" t="s">
        <v>7</v>
      </c>
      <c r="D1374" s="4" t="s">
        <v>128</v>
      </c>
      <c r="E1374" s="253">
        <v>429</v>
      </c>
      <c r="F1374" s="172">
        <v>46081</v>
      </c>
      <c r="G1374" s="172">
        <v>46112</v>
      </c>
      <c r="H1374" s="212">
        <v>0.38</v>
      </c>
      <c r="I1374" s="192">
        <v>0.59</v>
      </c>
      <c r="J1374" s="9">
        <v>90.089999999999989</v>
      </c>
      <c r="K1374">
        <v>163.02000000000001</v>
      </c>
      <c r="L1374" s="14" t="s">
        <v>99</v>
      </c>
      <c r="M1374" s="8" t="s">
        <v>131</v>
      </c>
      <c r="N1374">
        <v>253.10999999999999</v>
      </c>
      <c r="O1374" s="38" t="s">
        <v>4</v>
      </c>
      <c r="P1374" s="38" t="s">
        <v>7</v>
      </c>
      <c r="Q1374" s="240">
        <v>2026</v>
      </c>
      <c r="R1374" t="s">
        <v>131</v>
      </c>
      <c r="S1374" t="s">
        <v>96</v>
      </c>
      <c r="T1374" t="s">
        <v>1616</v>
      </c>
      <c r="U1374" t="str">
        <f>IFERROR(_xlfn.XLOOKUP(A1374,'2025 EOY'!A:A,'2025 EOY'!B:B),"No")</f>
        <v>No</v>
      </c>
    </row>
    <row r="1375" spans="1:23" x14ac:dyDescent="0.35">
      <c r="A1375" s="37" t="s">
        <v>127</v>
      </c>
      <c r="B1375" s="16">
        <v>45993</v>
      </c>
      <c r="C1375" s="10" t="s">
        <v>22</v>
      </c>
      <c r="D1375" s="4" t="s">
        <v>128</v>
      </c>
      <c r="E1375" s="253">
        <v>-200</v>
      </c>
      <c r="F1375" t="s">
        <v>1593</v>
      </c>
      <c r="G1375" s="172">
        <v>46022</v>
      </c>
      <c r="H1375" s="15">
        <v>0.69499999999999995</v>
      </c>
      <c r="I1375" s="191">
        <v>1.1000000000000001</v>
      </c>
      <c r="J1375" s="9">
        <v>-81.000000000000028</v>
      </c>
      <c r="K1375">
        <v>-139</v>
      </c>
      <c r="L1375" s="14" t="s">
        <v>94</v>
      </c>
      <c r="M1375" s="8" t="s">
        <v>129</v>
      </c>
      <c r="N1375">
        <v>-220.00000000000003</v>
      </c>
      <c r="O1375" s="38" t="s">
        <v>11</v>
      </c>
      <c r="P1375" s="38" t="s">
        <v>16</v>
      </c>
      <c r="Q1375">
        <v>2025</v>
      </c>
      <c r="R1375" t="s">
        <v>129</v>
      </c>
      <c r="S1375" t="s">
        <v>14</v>
      </c>
      <c r="T1375" t="s">
        <v>1617</v>
      </c>
      <c r="U1375" t="str">
        <f>IFERROR(_xlfn.XLOOKUP(A1375,'2025 EOY'!A:A,'2025 EOY'!B:B),"No")</f>
        <v>No</v>
      </c>
    </row>
    <row r="1376" spans="1:23" x14ac:dyDescent="0.35">
      <c r="A1376" t="s">
        <v>127</v>
      </c>
      <c r="B1376" s="16">
        <v>45993</v>
      </c>
      <c r="C1376" s="10" t="s">
        <v>15</v>
      </c>
      <c r="D1376" s="4" t="s">
        <v>128</v>
      </c>
      <c r="E1376" s="253">
        <v>-400</v>
      </c>
      <c r="F1376" s="173">
        <v>46053</v>
      </c>
      <c r="G1376" s="173">
        <v>46053</v>
      </c>
      <c r="H1376" s="212">
        <v>0.45</v>
      </c>
      <c r="I1376" s="191">
        <v>1.83</v>
      </c>
      <c r="J1376" s="9">
        <v>-552</v>
      </c>
      <c r="K1376">
        <v>-180</v>
      </c>
      <c r="L1376" s="14" t="s">
        <v>95</v>
      </c>
      <c r="M1376" s="8" t="s">
        <v>129</v>
      </c>
      <c r="N1376">
        <v>-732</v>
      </c>
      <c r="O1376" s="38" t="s">
        <v>11</v>
      </c>
      <c r="P1376" s="38" t="s">
        <v>16</v>
      </c>
      <c r="Q1376" s="240">
        <v>2026</v>
      </c>
      <c r="R1376" t="s">
        <v>129</v>
      </c>
      <c r="S1376" t="s">
        <v>96</v>
      </c>
      <c r="T1376" t="s">
        <v>1618</v>
      </c>
      <c r="U1376" t="str">
        <f>IFERROR(_xlfn.XLOOKUP(A1376,'2025 EOY'!A:A,'2025 EOY'!B:B),"No")</f>
        <v>No</v>
      </c>
    </row>
    <row r="1377" spans="1:21" x14ac:dyDescent="0.35">
      <c r="A1377" t="s">
        <v>127</v>
      </c>
      <c r="B1377" s="174">
        <v>45993</v>
      </c>
      <c r="C1377" s="10" t="s">
        <v>7</v>
      </c>
      <c r="D1377" s="4" t="s">
        <v>128</v>
      </c>
      <c r="E1377" s="253">
        <v>200</v>
      </c>
      <c r="F1377" s="172">
        <v>46081</v>
      </c>
      <c r="G1377" s="172">
        <v>46112</v>
      </c>
      <c r="H1377" s="212">
        <v>0.39</v>
      </c>
      <c r="I1377" s="192">
        <v>0.59</v>
      </c>
      <c r="J1377" s="9">
        <v>39.999999999999993</v>
      </c>
      <c r="K1377">
        <v>78</v>
      </c>
      <c r="L1377" s="14" t="s">
        <v>99</v>
      </c>
      <c r="M1377" s="8" t="s">
        <v>131</v>
      </c>
      <c r="N1377">
        <v>118</v>
      </c>
      <c r="O1377" s="38" t="s">
        <v>4</v>
      </c>
      <c r="P1377" s="38" t="s">
        <v>7</v>
      </c>
      <c r="Q1377" s="240">
        <v>2026</v>
      </c>
      <c r="R1377" t="s">
        <v>131</v>
      </c>
      <c r="S1377" t="s">
        <v>96</v>
      </c>
      <c r="T1377" t="s">
        <v>1619</v>
      </c>
      <c r="U1377" t="str">
        <f>IFERROR(_xlfn.XLOOKUP(A1377,'2025 EOY'!A:A,'2025 EOY'!B:B),"No")</f>
        <v>No</v>
      </c>
    </row>
    <row r="1378" spans="1:21" x14ac:dyDescent="0.35">
      <c r="A1378" t="s">
        <v>127</v>
      </c>
      <c r="B1378" s="174">
        <v>45993</v>
      </c>
      <c r="C1378" s="10" t="s">
        <v>7</v>
      </c>
      <c r="D1378" s="4" t="s">
        <v>128</v>
      </c>
      <c r="E1378" s="253">
        <v>200</v>
      </c>
      <c r="F1378" s="172">
        <v>46081</v>
      </c>
      <c r="G1378" s="172">
        <v>46112</v>
      </c>
      <c r="H1378" s="212">
        <v>0.38</v>
      </c>
      <c r="I1378" s="192">
        <v>0.59</v>
      </c>
      <c r="J1378" s="9">
        <v>41.999999999999993</v>
      </c>
      <c r="K1378">
        <v>76</v>
      </c>
      <c r="L1378" s="14" t="s">
        <v>99</v>
      </c>
      <c r="M1378" s="8" t="s">
        <v>131</v>
      </c>
      <c r="N1378">
        <v>118</v>
      </c>
      <c r="O1378" s="38" t="s">
        <v>4</v>
      </c>
      <c r="P1378" s="38" t="s">
        <v>7</v>
      </c>
      <c r="Q1378" s="240">
        <v>2026</v>
      </c>
      <c r="R1378" t="s">
        <v>131</v>
      </c>
      <c r="S1378" t="s">
        <v>96</v>
      </c>
      <c r="T1378" t="s">
        <v>1620</v>
      </c>
      <c r="U1378" t="str">
        <f>IFERROR(_xlfn.XLOOKUP(A1378,'2025 EOY'!A:A,'2025 EOY'!B:B),"No")</f>
        <v>No</v>
      </c>
    </row>
    <row r="1379" spans="1:21" x14ac:dyDescent="0.35">
      <c r="A1379" t="s">
        <v>127</v>
      </c>
      <c r="B1379" s="174">
        <v>45993</v>
      </c>
      <c r="C1379" s="10" t="s">
        <v>7</v>
      </c>
      <c r="D1379" s="4" t="s">
        <v>128</v>
      </c>
      <c r="E1379" s="253">
        <v>200</v>
      </c>
      <c r="F1379" s="172">
        <v>46081</v>
      </c>
      <c r="G1379" s="172">
        <v>46112</v>
      </c>
      <c r="H1379" s="212">
        <v>0.37</v>
      </c>
      <c r="I1379" s="192">
        <v>0.59</v>
      </c>
      <c r="J1379" s="9">
        <v>43.999999999999993</v>
      </c>
      <c r="K1379">
        <v>74</v>
      </c>
      <c r="L1379" s="14" t="s">
        <v>99</v>
      </c>
      <c r="M1379" s="8" t="s">
        <v>131</v>
      </c>
      <c r="N1379">
        <v>118</v>
      </c>
      <c r="O1379" s="38" t="s">
        <v>4</v>
      </c>
      <c r="P1379" s="38" t="s">
        <v>7</v>
      </c>
      <c r="Q1379" s="240">
        <v>2026</v>
      </c>
      <c r="R1379" t="s">
        <v>131</v>
      </c>
      <c r="S1379" t="s">
        <v>96</v>
      </c>
      <c r="T1379" t="s">
        <v>1621</v>
      </c>
      <c r="U1379" t="str">
        <f>IFERROR(_xlfn.XLOOKUP(A1379,'2025 EOY'!A:A,'2025 EOY'!B:B),"No")</f>
        <v>No</v>
      </c>
    </row>
    <row r="1380" spans="1:21" x14ac:dyDescent="0.35">
      <c r="A1380" t="s">
        <v>127</v>
      </c>
      <c r="B1380" s="174">
        <v>45993</v>
      </c>
      <c r="C1380" s="10" t="s">
        <v>7</v>
      </c>
      <c r="D1380" s="4" t="s">
        <v>128</v>
      </c>
      <c r="E1380" s="253">
        <v>200</v>
      </c>
      <c r="F1380" s="172">
        <v>46081</v>
      </c>
      <c r="G1380" s="172">
        <v>46112</v>
      </c>
      <c r="H1380" s="212">
        <v>0.36</v>
      </c>
      <c r="I1380" s="192">
        <v>0.59</v>
      </c>
      <c r="J1380" s="9">
        <v>46</v>
      </c>
      <c r="K1380">
        <v>72</v>
      </c>
      <c r="L1380" s="14" t="s">
        <v>99</v>
      </c>
      <c r="M1380" s="8" t="s">
        <v>131</v>
      </c>
      <c r="N1380">
        <v>118</v>
      </c>
      <c r="O1380" s="38" t="s">
        <v>4</v>
      </c>
      <c r="P1380" s="38" t="s">
        <v>7</v>
      </c>
      <c r="Q1380" s="240">
        <v>2026</v>
      </c>
      <c r="R1380" t="s">
        <v>131</v>
      </c>
      <c r="S1380" t="s">
        <v>96</v>
      </c>
      <c r="T1380" t="s">
        <v>1622</v>
      </c>
      <c r="U1380" t="str">
        <f>IFERROR(_xlfn.XLOOKUP(A1380,'2025 EOY'!A:A,'2025 EOY'!B:B),"No")</f>
        <v>No</v>
      </c>
    </row>
    <row r="1381" spans="1:21" x14ac:dyDescent="0.35">
      <c r="A1381" t="s">
        <v>127</v>
      </c>
      <c r="B1381" s="174">
        <v>45993</v>
      </c>
      <c r="C1381" s="10" t="s">
        <v>3</v>
      </c>
      <c r="D1381" s="4" t="s">
        <v>128</v>
      </c>
      <c r="E1381" s="253">
        <v>335</v>
      </c>
      <c r="F1381" s="172">
        <v>46053</v>
      </c>
      <c r="G1381" s="172">
        <v>46081</v>
      </c>
      <c r="H1381" s="321">
        <v>0.26</v>
      </c>
      <c r="I1381" s="192">
        <v>0.15</v>
      </c>
      <c r="J1381" s="9">
        <v>-36.85</v>
      </c>
      <c r="K1381">
        <v>87.100000000000009</v>
      </c>
      <c r="L1381" s="14" t="s">
        <v>97</v>
      </c>
      <c r="M1381" s="8" t="s">
        <v>131</v>
      </c>
      <c r="N1381">
        <v>50.25</v>
      </c>
      <c r="O1381" s="38" t="s">
        <v>4</v>
      </c>
      <c r="P1381" s="38" t="s">
        <v>3</v>
      </c>
      <c r="Q1381" s="240">
        <v>2026</v>
      </c>
      <c r="R1381" t="s">
        <v>131</v>
      </c>
      <c r="S1381" t="s">
        <v>14</v>
      </c>
      <c r="T1381" t="s">
        <v>1623</v>
      </c>
      <c r="U1381" t="str">
        <f>IFERROR(_xlfn.XLOOKUP(A1381,'2025 EOY'!A:A,'2025 EOY'!B:B),"No")</f>
        <v>No</v>
      </c>
    </row>
    <row r="1382" spans="1:21" x14ac:dyDescent="0.35">
      <c r="A1382" t="s">
        <v>127</v>
      </c>
      <c r="B1382" s="174">
        <v>45993</v>
      </c>
      <c r="C1382" s="10" t="s">
        <v>3</v>
      </c>
      <c r="D1382" s="4" t="s">
        <v>128</v>
      </c>
      <c r="E1382" s="253">
        <v>134</v>
      </c>
      <c r="F1382" s="172">
        <v>46081</v>
      </c>
      <c r="G1382" s="172">
        <v>46112</v>
      </c>
      <c r="H1382" s="321">
        <v>0.2</v>
      </c>
      <c r="I1382" s="192">
        <v>0.13</v>
      </c>
      <c r="J1382" s="9">
        <v>-9.3800000000000008</v>
      </c>
      <c r="K1382">
        <v>26.8</v>
      </c>
      <c r="L1382" s="14" t="s">
        <v>99</v>
      </c>
      <c r="M1382" s="8" t="s">
        <v>131</v>
      </c>
      <c r="N1382">
        <v>17.420000000000002</v>
      </c>
      <c r="O1382" s="38" t="s">
        <v>4</v>
      </c>
      <c r="P1382" s="38" t="s">
        <v>3</v>
      </c>
      <c r="Q1382" s="240">
        <v>2026</v>
      </c>
      <c r="R1382" t="s">
        <v>131</v>
      </c>
      <c r="S1382" t="s">
        <v>96</v>
      </c>
      <c r="T1382" t="s">
        <v>1624</v>
      </c>
      <c r="U1382" t="str">
        <f>IFERROR(_xlfn.XLOOKUP(A1382,'2025 EOY'!A:A,'2025 EOY'!B:B),"No")</f>
        <v>No</v>
      </c>
    </row>
    <row r="1383" spans="1:21" x14ac:dyDescent="0.35">
      <c r="A1383" s="26" t="s">
        <v>1625</v>
      </c>
      <c r="B1383" s="324">
        <v>46000</v>
      </c>
      <c r="C1383" s="325" t="s">
        <v>19</v>
      </c>
      <c r="D1383" s="22" t="s">
        <v>268</v>
      </c>
      <c r="E1383" s="262">
        <v>700</v>
      </c>
      <c r="F1383" s="24">
        <v>46022</v>
      </c>
      <c r="G1383" s="24">
        <v>46022</v>
      </c>
      <c r="H1383" s="207">
        <v>1.06</v>
      </c>
      <c r="I1383" s="203">
        <v>1.1000000000000001</v>
      </c>
      <c r="J1383" s="25">
        <v>28.000000000000025</v>
      </c>
      <c r="K1383" s="26">
        <v>742</v>
      </c>
      <c r="L1383" s="282" t="s">
        <v>94</v>
      </c>
      <c r="M1383" s="27" t="s">
        <v>131</v>
      </c>
      <c r="N1383" s="26">
        <v>770.00000000000011</v>
      </c>
      <c r="O1383" s="28" t="s">
        <v>19</v>
      </c>
      <c r="P1383" s="28" t="s">
        <v>19</v>
      </c>
      <c r="Q1383" s="326">
        <v>2025</v>
      </c>
      <c r="R1383" s="28" t="s">
        <v>131</v>
      </c>
      <c r="S1383" t="s">
        <v>96</v>
      </c>
      <c r="T1383" t="s">
        <v>1626</v>
      </c>
      <c r="U1383" t="str">
        <f>IFERROR(_xlfn.XLOOKUP(A1383,'2025 EOY'!A:A,'2025 EOY'!B:B),"No")</f>
        <v>No</v>
      </c>
    </row>
    <row r="1384" spans="1:21" x14ac:dyDescent="0.35">
      <c r="A1384" t="s">
        <v>1625</v>
      </c>
      <c r="B1384" s="16">
        <v>46000</v>
      </c>
      <c r="C1384" s="10" t="s">
        <v>3</v>
      </c>
      <c r="D1384" s="4" t="s">
        <v>268</v>
      </c>
      <c r="E1384" s="253">
        <v>-700</v>
      </c>
      <c r="F1384" s="172">
        <v>46053</v>
      </c>
      <c r="G1384" s="172">
        <v>46081</v>
      </c>
      <c r="H1384" s="212">
        <v>0.17</v>
      </c>
      <c r="I1384" s="192">
        <v>0.15</v>
      </c>
      <c r="J1384" s="9">
        <v>14.000000000000012</v>
      </c>
      <c r="K1384">
        <v>-119.00000000000001</v>
      </c>
      <c r="L1384" s="14" t="s">
        <v>97</v>
      </c>
      <c r="M1384" s="8" t="s">
        <v>129</v>
      </c>
      <c r="N1384">
        <v>-105</v>
      </c>
      <c r="O1384" s="38" t="s">
        <v>4</v>
      </c>
      <c r="P1384" s="38" t="s">
        <v>3</v>
      </c>
      <c r="Q1384" s="240">
        <v>2026</v>
      </c>
      <c r="R1384" s="38" t="s">
        <v>129</v>
      </c>
      <c r="S1384" t="s">
        <v>14</v>
      </c>
      <c r="T1384" t="s">
        <v>1627</v>
      </c>
      <c r="U1384" t="str">
        <f>IFERROR(_xlfn.XLOOKUP(A1384,'2025 EOY'!A:A,'2025 EOY'!B:B),"No")</f>
        <v>No</v>
      </c>
    </row>
    <row r="1385" spans="1:21" x14ac:dyDescent="0.35">
      <c r="A1385" t="s">
        <v>1625</v>
      </c>
      <c r="B1385" s="327">
        <v>46000</v>
      </c>
      <c r="C1385" s="30" t="s">
        <v>3</v>
      </c>
      <c r="D1385" s="31" t="s">
        <v>268</v>
      </c>
      <c r="E1385" s="257">
        <v>-233</v>
      </c>
      <c r="F1385" s="32">
        <v>46081</v>
      </c>
      <c r="G1385" s="32">
        <v>46112</v>
      </c>
      <c r="H1385" s="208">
        <v>0.12</v>
      </c>
      <c r="I1385" s="328">
        <v>0.13</v>
      </c>
      <c r="J1385" s="33">
        <v>-2.3300000000000018</v>
      </c>
      <c r="K1385" s="34">
        <v>-27.959999999999997</v>
      </c>
      <c r="L1385" s="286" t="s">
        <v>99</v>
      </c>
      <c r="M1385" s="35" t="s">
        <v>129</v>
      </c>
      <c r="N1385" s="34">
        <v>-30.290000000000003</v>
      </c>
      <c r="O1385" s="36" t="s">
        <v>4</v>
      </c>
      <c r="P1385" s="36" t="s">
        <v>3</v>
      </c>
      <c r="Q1385" s="329">
        <v>2026</v>
      </c>
      <c r="R1385" s="36" t="s">
        <v>129</v>
      </c>
      <c r="S1385" t="s">
        <v>96</v>
      </c>
      <c r="T1385" t="s">
        <v>1628</v>
      </c>
      <c r="U1385" t="str">
        <f>IFERROR(_xlfn.XLOOKUP(A1385,'2025 EOY'!A:A,'2025 EOY'!B:B),"No")</f>
        <v>No</v>
      </c>
    </row>
    <row r="1386" spans="1:21" x14ac:dyDescent="0.35">
      <c r="A1386" s="37" t="s">
        <v>127</v>
      </c>
      <c r="B1386" s="16">
        <v>46000</v>
      </c>
      <c r="C1386" s="10" t="s">
        <v>22</v>
      </c>
      <c r="D1386" s="4" t="s">
        <v>128</v>
      </c>
      <c r="E1386" s="253">
        <v>-200</v>
      </c>
      <c r="F1386" t="s">
        <v>1629</v>
      </c>
      <c r="G1386" s="172">
        <v>46053</v>
      </c>
      <c r="H1386" s="15">
        <v>0.52</v>
      </c>
      <c r="I1386" s="191">
        <v>0.97</v>
      </c>
      <c r="J1386" s="9">
        <v>-89.999999999999986</v>
      </c>
      <c r="K1386">
        <v>-104</v>
      </c>
      <c r="L1386" s="14" t="s">
        <v>95</v>
      </c>
      <c r="M1386" s="8" t="s">
        <v>129</v>
      </c>
      <c r="N1386">
        <v>-194</v>
      </c>
      <c r="O1386" s="38" t="s">
        <v>11</v>
      </c>
      <c r="P1386" s="38" t="s">
        <v>16</v>
      </c>
      <c r="Q1386">
        <v>2025</v>
      </c>
      <c r="R1386" t="s">
        <v>129</v>
      </c>
      <c r="S1386" t="s">
        <v>96</v>
      </c>
      <c r="T1386" t="s">
        <v>1630</v>
      </c>
      <c r="U1386" t="str">
        <f>IFERROR(_xlfn.XLOOKUP(A1386,'2025 EOY'!A:A,'2025 EOY'!B:B),"No")</f>
        <v>No</v>
      </c>
    </row>
    <row r="1387" spans="1:21" x14ac:dyDescent="0.35">
      <c r="A1387" s="37" t="s">
        <v>127</v>
      </c>
      <c r="B1387" s="16">
        <v>46000</v>
      </c>
      <c r="C1387" s="10" t="s">
        <v>22</v>
      </c>
      <c r="D1387" s="4" t="s">
        <v>128</v>
      </c>
      <c r="E1387" s="253">
        <v>200</v>
      </c>
      <c r="F1387" t="s">
        <v>1631</v>
      </c>
      <c r="G1387" s="172">
        <v>46053</v>
      </c>
      <c r="H1387" s="15">
        <v>0.27</v>
      </c>
      <c r="I1387" s="191">
        <v>0.42</v>
      </c>
      <c r="J1387" s="9">
        <v>29.999999999999993</v>
      </c>
      <c r="K1387">
        <v>54</v>
      </c>
      <c r="L1387" s="14" t="s">
        <v>95</v>
      </c>
      <c r="M1387" s="8" t="s">
        <v>131</v>
      </c>
      <c r="N1387">
        <v>84</v>
      </c>
      <c r="O1387" s="38" t="s">
        <v>11</v>
      </c>
      <c r="P1387" s="38" t="s">
        <v>16</v>
      </c>
      <c r="Q1387">
        <v>2025</v>
      </c>
      <c r="R1387" t="s">
        <v>131</v>
      </c>
      <c r="S1387" t="s">
        <v>96</v>
      </c>
      <c r="T1387" t="s">
        <v>1632</v>
      </c>
      <c r="U1387" t="str">
        <f>IFERROR(_xlfn.XLOOKUP(A1387,'2025 EOY'!A:A,'2025 EOY'!B:B),"No")</f>
        <v>No</v>
      </c>
    </row>
    <row r="1388" spans="1:21" x14ac:dyDescent="0.35">
      <c r="A1388" t="s">
        <v>127</v>
      </c>
      <c r="B1388" s="16">
        <v>46000</v>
      </c>
      <c r="C1388" s="10" t="s">
        <v>15</v>
      </c>
      <c r="D1388" s="4" t="s">
        <v>128</v>
      </c>
      <c r="E1388" s="253">
        <v>-500</v>
      </c>
      <c r="F1388" s="173">
        <v>46022</v>
      </c>
      <c r="G1388" s="173">
        <v>46022</v>
      </c>
      <c r="H1388" s="330">
        <v>0.62</v>
      </c>
      <c r="I1388" s="346">
        <v>0.96</v>
      </c>
      <c r="J1388" s="9">
        <v>-169.99999999999997</v>
      </c>
      <c r="K1388">
        <v>-310</v>
      </c>
      <c r="L1388" s="14" t="s">
        <v>94</v>
      </c>
      <c r="M1388" s="8" t="s">
        <v>129</v>
      </c>
      <c r="N1388">
        <v>-480</v>
      </c>
      <c r="O1388" s="38" t="s">
        <v>11</v>
      </c>
      <c r="P1388" s="38" t="s">
        <v>16</v>
      </c>
      <c r="Q1388" s="240">
        <v>2025</v>
      </c>
      <c r="R1388" t="s">
        <v>129</v>
      </c>
      <c r="S1388" t="s">
        <v>14</v>
      </c>
      <c r="T1388" t="s">
        <v>1633</v>
      </c>
      <c r="U1388" t="str">
        <f>IFERROR(_xlfn.XLOOKUP(A1388,'2025 EOY'!A:A,'2025 EOY'!B:B),"No")</f>
        <v>No</v>
      </c>
    </row>
    <row r="1389" spans="1:21" ht="15" thickBot="1" x14ac:dyDescent="0.4">
      <c r="A1389" s="37" t="s">
        <v>127</v>
      </c>
      <c r="B1389" s="16">
        <v>46001</v>
      </c>
      <c r="C1389" s="10" t="s">
        <v>22</v>
      </c>
      <c r="D1389" s="4" t="s">
        <v>128</v>
      </c>
      <c r="E1389" s="253">
        <v>-100</v>
      </c>
      <c r="F1389" t="s">
        <v>1593</v>
      </c>
      <c r="G1389" s="172">
        <v>46022</v>
      </c>
      <c r="H1389" s="15">
        <v>0.84</v>
      </c>
      <c r="I1389" s="191">
        <v>1.1000000000000001</v>
      </c>
      <c r="J1389" s="9">
        <v>-26.000000000000011</v>
      </c>
      <c r="K1389">
        <v>-84</v>
      </c>
      <c r="L1389" s="14" t="s">
        <v>94</v>
      </c>
      <c r="M1389" s="8" t="s">
        <v>129</v>
      </c>
      <c r="N1389">
        <v>-110.00000000000001</v>
      </c>
      <c r="O1389" s="38" t="s">
        <v>11</v>
      </c>
      <c r="P1389" s="38" t="s">
        <v>16</v>
      </c>
      <c r="Q1389">
        <v>2025</v>
      </c>
      <c r="R1389" t="s">
        <v>129</v>
      </c>
      <c r="S1389" t="s">
        <v>14</v>
      </c>
      <c r="T1389" t="s">
        <v>1634</v>
      </c>
      <c r="U1389" t="str">
        <f>IFERROR(_xlfn.XLOOKUP(A1389,'2025 EOY'!A:A,'2025 EOY'!B:B),"No")</f>
        <v>No</v>
      </c>
    </row>
    <row r="1390" spans="1:21" x14ac:dyDescent="0.35">
      <c r="A1390" s="227" t="s">
        <v>1635</v>
      </c>
      <c r="B1390" s="228">
        <v>46002</v>
      </c>
      <c r="C1390" s="229" t="s">
        <v>19</v>
      </c>
      <c r="D1390" s="230" t="s">
        <v>268</v>
      </c>
      <c r="E1390" s="276">
        <v>2073</v>
      </c>
      <c r="F1390" s="231">
        <v>46053</v>
      </c>
      <c r="G1390" s="231">
        <v>46053</v>
      </c>
      <c r="H1390" s="232">
        <v>5.1426869271587066</v>
      </c>
      <c r="I1390" s="233">
        <v>5.25</v>
      </c>
      <c r="J1390" s="234">
        <v>222.46000000000129</v>
      </c>
      <c r="K1390" s="227">
        <v>10660.789999999999</v>
      </c>
      <c r="L1390" s="235" t="s">
        <v>95</v>
      </c>
      <c r="M1390" s="236" t="s">
        <v>131</v>
      </c>
      <c r="N1390" s="227">
        <v>10883.25</v>
      </c>
      <c r="O1390" s="237" t="s">
        <v>19</v>
      </c>
      <c r="P1390" s="237" t="s">
        <v>19</v>
      </c>
      <c r="Q1390" s="238">
        <v>2026</v>
      </c>
      <c r="R1390" t="s">
        <v>131</v>
      </c>
      <c r="S1390" t="s">
        <v>96</v>
      </c>
      <c r="T1390" t="s">
        <v>1636</v>
      </c>
      <c r="U1390" t="str">
        <f>IFERROR(_xlfn.XLOOKUP(A1390,'2025 EOY'!A:A,'2025 EOY'!B:B),"No")</f>
        <v>Yes</v>
      </c>
    </row>
    <row r="1391" spans="1:21" x14ac:dyDescent="0.35">
      <c r="A1391" t="s">
        <v>1635</v>
      </c>
      <c r="B1391" s="174">
        <v>46002</v>
      </c>
      <c r="C1391" s="10" t="s">
        <v>3</v>
      </c>
      <c r="D1391" s="4" t="s">
        <v>268</v>
      </c>
      <c r="E1391" s="253">
        <v>-2073</v>
      </c>
      <c r="F1391" s="172">
        <v>46053</v>
      </c>
      <c r="G1391" s="172">
        <v>46081</v>
      </c>
      <c r="H1391" s="212">
        <v>0.16</v>
      </c>
      <c r="I1391" s="192">
        <v>0.15</v>
      </c>
      <c r="J1391" s="9">
        <v>20.730000000000018</v>
      </c>
      <c r="K1391">
        <v>-331.68</v>
      </c>
      <c r="L1391" s="14" t="s">
        <v>97</v>
      </c>
      <c r="M1391" s="8" t="s">
        <v>129</v>
      </c>
      <c r="N1391">
        <v>-310.95</v>
      </c>
      <c r="O1391" s="38" t="s">
        <v>4</v>
      </c>
      <c r="P1391" s="38" t="s">
        <v>3</v>
      </c>
      <c r="Q1391" s="240">
        <v>2026</v>
      </c>
      <c r="R1391" t="s">
        <v>129</v>
      </c>
      <c r="S1391" t="s">
        <v>14</v>
      </c>
      <c r="T1391" t="s">
        <v>1637</v>
      </c>
      <c r="U1391" t="str">
        <f>IFERROR(_xlfn.XLOOKUP(A1391,'2025 EOY'!A:A,'2025 EOY'!B:B),"No")</f>
        <v>Yes</v>
      </c>
    </row>
    <row r="1392" spans="1:21" x14ac:dyDescent="0.35">
      <c r="A1392" t="s">
        <v>1635</v>
      </c>
      <c r="B1392" s="174">
        <v>46002</v>
      </c>
      <c r="C1392" s="10" t="s">
        <v>3</v>
      </c>
      <c r="D1392" s="4" t="s">
        <v>268</v>
      </c>
      <c r="E1392" s="253">
        <v>-2073</v>
      </c>
      <c r="F1392" s="172">
        <v>46081</v>
      </c>
      <c r="G1392" s="172">
        <v>46112</v>
      </c>
      <c r="H1392" s="212">
        <v>0.1</v>
      </c>
      <c r="I1392" s="192">
        <v>0.13</v>
      </c>
      <c r="J1392" s="9">
        <v>-62.19</v>
      </c>
      <c r="K1392">
        <v>-207.3</v>
      </c>
      <c r="L1392" s="14" t="s">
        <v>99</v>
      </c>
      <c r="M1392" s="8" t="s">
        <v>129</v>
      </c>
      <c r="N1392">
        <v>-269.49</v>
      </c>
      <c r="O1392" s="38" t="s">
        <v>4</v>
      </c>
      <c r="P1392" s="38" t="s">
        <v>3</v>
      </c>
      <c r="Q1392" s="240">
        <v>2026</v>
      </c>
      <c r="R1392" t="s">
        <v>129</v>
      </c>
      <c r="S1392" t="s">
        <v>96</v>
      </c>
      <c r="T1392" t="s">
        <v>1638</v>
      </c>
      <c r="U1392" t="str">
        <f>IFERROR(_xlfn.XLOOKUP(A1392,'2025 EOY'!A:A,'2025 EOY'!B:B),"No")</f>
        <v>Yes</v>
      </c>
    </row>
    <row r="1393" spans="1:21" x14ac:dyDescent="0.35">
      <c r="A1393" t="s">
        <v>1635</v>
      </c>
      <c r="B1393" s="174">
        <v>46002</v>
      </c>
      <c r="C1393" s="10" t="s">
        <v>10</v>
      </c>
      <c r="D1393" s="4" t="s">
        <v>268</v>
      </c>
      <c r="E1393" s="253">
        <v>-2073</v>
      </c>
      <c r="F1393" s="172">
        <v>46112</v>
      </c>
      <c r="G1393" s="172">
        <v>46112</v>
      </c>
      <c r="H1393" s="212">
        <v>-3.75</v>
      </c>
      <c r="I1393" s="192">
        <v>-4.47</v>
      </c>
      <c r="J1393" s="9">
        <v>1492.5599999999995</v>
      </c>
      <c r="K1393">
        <v>7773.75</v>
      </c>
      <c r="L1393" s="14" t="s">
        <v>104</v>
      </c>
      <c r="M1393" s="8" t="s">
        <v>129</v>
      </c>
      <c r="N1393">
        <v>9266.31</v>
      </c>
      <c r="O1393" s="38" t="s">
        <v>11</v>
      </c>
      <c r="P1393" s="38" t="s">
        <v>10</v>
      </c>
      <c r="Q1393" s="240">
        <v>2026</v>
      </c>
      <c r="R1393" t="s">
        <v>129</v>
      </c>
      <c r="S1393" t="s">
        <v>96</v>
      </c>
      <c r="T1393" t="s">
        <v>1639</v>
      </c>
      <c r="U1393" t="str">
        <f>IFERROR(_xlfn.XLOOKUP(A1393,'2025 EOY'!A:A,'2025 EOY'!B:B),"No")</f>
        <v>Yes</v>
      </c>
    </row>
    <row r="1394" spans="1:21" x14ac:dyDescent="0.35">
      <c r="A1394" t="s">
        <v>1635</v>
      </c>
      <c r="B1394" s="174">
        <v>46002</v>
      </c>
      <c r="C1394" s="10" t="s">
        <v>7</v>
      </c>
      <c r="D1394" s="4" t="s">
        <v>268</v>
      </c>
      <c r="E1394" s="253">
        <v>-1980</v>
      </c>
      <c r="F1394" s="172">
        <v>46112</v>
      </c>
      <c r="G1394" s="172">
        <v>46142</v>
      </c>
      <c r="H1394" s="218">
        <v>0.16</v>
      </c>
      <c r="I1394" s="192">
        <v>0.63</v>
      </c>
      <c r="J1394" s="9">
        <v>-930.59999999999991</v>
      </c>
      <c r="K1394">
        <v>-316.8</v>
      </c>
      <c r="L1394" s="14" t="s">
        <v>100</v>
      </c>
      <c r="M1394" s="8" t="s">
        <v>129</v>
      </c>
      <c r="N1394">
        <v>-1247.4000000000001</v>
      </c>
      <c r="O1394" s="38" t="s">
        <v>4</v>
      </c>
      <c r="P1394" s="38" t="s">
        <v>7</v>
      </c>
      <c r="Q1394">
        <v>2026</v>
      </c>
      <c r="R1394" t="s">
        <v>129</v>
      </c>
      <c r="S1394" t="s">
        <v>96</v>
      </c>
      <c r="T1394" t="s">
        <v>1640</v>
      </c>
      <c r="U1394" t="str">
        <f>IFERROR(_xlfn.XLOOKUP(A1394,'2025 EOY'!A:A,'2025 EOY'!B:B),"No")</f>
        <v>Yes</v>
      </c>
    </row>
    <row r="1395" spans="1:21" x14ac:dyDescent="0.35">
      <c r="A1395" t="s">
        <v>1635</v>
      </c>
      <c r="B1395" s="174">
        <v>46002</v>
      </c>
      <c r="C1395" s="10" t="s">
        <v>7</v>
      </c>
      <c r="D1395" s="4" t="s">
        <v>268</v>
      </c>
      <c r="E1395" s="253">
        <v>-93</v>
      </c>
      <c r="F1395" s="172">
        <v>46142</v>
      </c>
      <c r="G1395" s="172">
        <v>46173</v>
      </c>
      <c r="H1395" s="218">
        <v>0.05</v>
      </c>
      <c r="I1395" s="192">
        <v>0.37</v>
      </c>
      <c r="J1395" s="9">
        <v>-29.76</v>
      </c>
      <c r="K1395">
        <v>-4.6500000000000004</v>
      </c>
      <c r="L1395" s="14" t="s">
        <v>105</v>
      </c>
      <c r="M1395" s="8" t="s">
        <v>129</v>
      </c>
      <c r="N1395">
        <v>-34.409999999999997</v>
      </c>
      <c r="O1395" s="38" t="s">
        <v>4</v>
      </c>
      <c r="P1395" s="38" t="s">
        <v>7</v>
      </c>
      <c r="Q1395">
        <v>2026</v>
      </c>
      <c r="R1395" t="s">
        <v>129</v>
      </c>
      <c r="S1395" t="s">
        <v>96</v>
      </c>
      <c r="T1395" t="s">
        <v>1641</v>
      </c>
      <c r="U1395" t="str">
        <f>IFERROR(_xlfn.XLOOKUP(A1395,'2025 EOY'!A:A,'2025 EOY'!B:B),"No")</f>
        <v>Yes</v>
      </c>
    </row>
    <row r="1396" spans="1:21" ht="15" thickBot="1" x14ac:dyDescent="0.4">
      <c r="A1396" s="160" t="s">
        <v>1635</v>
      </c>
      <c r="B1396" s="300">
        <v>46002</v>
      </c>
      <c r="C1396" s="242" t="s">
        <v>28</v>
      </c>
      <c r="D1396" s="243" t="s">
        <v>268</v>
      </c>
      <c r="E1396" s="277">
        <v>-2000</v>
      </c>
      <c r="F1396" s="244">
        <v>46053</v>
      </c>
      <c r="G1396" s="244">
        <v>46053</v>
      </c>
      <c r="H1396" s="245">
        <v>13750</v>
      </c>
      <c r="I1396" s="246">
        <v>13750</v>
      </c>
      <c r="J1396" s="247">
        <v>0</v>
      </c>
      <c r="K1396" s="252">
        <v>0</v>
      </c>
      <c r="L1396" s="248" t="s">
        <v>95</v>
      </c>
      <c r="M1396" s="249" t="s">
        <v>129</v>
      </c>
      <c r="N1396" s="160">
        <v>-27500000</v>
      </c>
      <c r="O1396" s="250" t="s">
        <v>29</v>
      </c>
      <c r="P1396" s="250" t="s">
        <v>29</v>
      </c>
      <c r="Q1396" s="251">
        <v>2026</v>
      </c>
      <c r="R1396" t="s">
        <v>129</v>
      </c>
      <c r="S1396" t="s">
        <v>96</v>
      </c>
      <c r="T1396" t="s">
        <v>1642</v>
      </c>
      <c r="U1396" t="str">
        <f>IFERROR(_xlfn.XLOOKUP(A1396,'2025 EOY'!A:A,'2025 EOY'!B:B),"No")</f>
        <v>Yes</v>
      </c>
    </row>
    <row r="1397" spans="1:21" ht="15" thickBot="1" x14ac:dyDescent="0.4">
      <c r="A1397" s="160" t="s">
        <v>1635</v>
      </c>
      <c r="B1397" s="300">
        <v>46002</v>
      </c>
      <c r="C1397" s="242" t="s">
        <v>28</v>
      </c>
      <c r="D1397" s="243" t="s">
        <v>128</v>
      </c>
      <c r="E1397" s="277">
        <v>2000</v>
      </c>
      <c r="F1397" s="244">
        <v>46053</v>
      </c>
      <c r="G1397" s="244">
        <v>46053</v>
      </c>
      <c r="H1397" s="245">
        <v>13300</v>
      </c>
      <c r="I1397" s="246">
        <v>13750</v>
      </c>
      <c r="J1397" s="247">
        <v>450</v>
      </c>
      <c r="K1397" s="252">
        <v>450</v>
      </c>
      <c r="L1397" s="248" t="s">
        <v>95</v>
      </c>
      <c r="M1397" s="249" t="s">
        <v>131</v>
      </c>
      <c r="N1397" s="160">
        <v>27500000</v>
      </c>
      <c r="O1397" s="250" t="s">
        <v>29</v>
      </c>
      <c r="P1397" s="250" t="s">
        <v>29</v>
      </c>
      <c r="Q1397" s="251">
        <v>2026</v>
      </c>
      <c r="R1397" t="s">
        <v>131</v>
      </c>
      <c r="S1397" t="s">
        <v>96</v>
      </c>
      <c r="T1397" t="s">
        <v>1643</v>
      </c>
      <c r="U1397" t="str">
        <f>IFERROR(_xlfn.XLOOKUP(A1397,'2025 EOY'!A:A,'2025 EOY'!B:B),"No")</f>
        <v>Yes</v>
      </c>
    </row>
    <row r="1398" spans="1:21" x14ac:dyDescent="0.35">
      <c r="A1398" t="s">
        <v>1635</v>
      </c>
      <c r="B1398" s="174">
        <v>46002</v>
      </c>
      <c r="C1398" s="10" t="s">
        <v>3</v>
      </c>
      <c r="D1398" s="4" t="s">
        <v>128</v>
      </c>
      <c r="E1398" s="253">
        <v>1024</v>
      </c>
      <c r="F1398" s="172">
        <v>46053</v>
      </c>
      <c r="G1398" s="172">
        <v>46081</v>
      </c>
      <c r="H1398" s="212">
        <v>0.16</v>
      </c>
      <c r="I1398" s="192">
        <v>0.15</v>
      </c>
      <c r="J1398" s="9">
        <v>-10.240000000000009</v>
      </c>
      <c r="K1398">
        <v>163.84</v>
      </c>
      <c r="L1398" s="14" t="s">
        <v>97</v>
      </c>
      <c r="M1398" s="8" t="s">
        <v>131</v>
      </c>
      <c r="N1398">
        <v>153.6</v>
      </c>
      <c r="O1398" s="38" t="s">
        <v>4</v>
      </c>
      <c r="P1398" s="38" t="s">
        <v>3</v>
      </c>
      <c r="Q1398" s="240">
        <v>2026</v>
      </c>
      <c r="R1398" t="s">
        <v>131</v>
      </c>
      <c r="S1398" t="s">
        <v>14</v>
      </c>
      <c r="T1398" t="s">
        <v>1644</v>
      </c>
      <c r="U1398" t="str">
        <f>IFERROR(_xlfn.XLOOKUP(A1398,'2025 EOY'!A:A,'2025 EOY'!B:B),"No")</f>
        <v>Yes</v>
      </c>
    </row>
    <row r="1399" spans="1:21" x14ac:dyDescent="0.35">
      <c r="A1399" t="s">
        <v>1635</v>
      </c>
      <c r="B1399" s="174">
        <v>46002</v>
      </c>
      <c r="C1399" s="10" t="s">
        <v>3</v>
      </c>
      <c r="D1399" s="4" t="s">
        <v>128</v>
      </c>
      <c r="E1399" s="253">
        <v>1024</v>
      </c>
      <c r="F1399" s="172">
        <v>46081</v>
      </c>
      <c r="G1399" s="172">
        <v>46112</v>
      </c>
      <c r="H1399" s="212">
        <v>0.1</v>
      </c>
      <c r="I1399" s="192">
        <v>0.13</v>
      </c>
      <c r="J1399" s="9">
        <v>30.72</v>
      </c>
      <c r="K1399">
        <v>102.4</v>
      </c>
      <c r="L1399" s="14" t="s">
        <v>99</v>
      </c>
      <c r="M1399" s="8" t="s">
        <v>131</v>
      </c>
      <c r="N1399">
        <v>133.12</v>
      </c>
      <c r="O1399" s="38" t="s">
        <v>4</v>
      </c>
      <c r="P1399" s="38" t="s">
        <v>3</v>
      </c>
      <c r="Q1399" s="240">
        <v>2026</v>
      </c>
      <c r="R1399" t="s">
        <v>131</v>
      </c>
      <c r="S1399" t="s">
        <v>96</v>
      </c>
      <c r="T1399" t="s">
        <v>1645</v>
      </c>
      <c r="U1399" t="str">
        <f>IFERROR(_xlfn.XLOOKUP(A1399,'2025 EOY'!A:A,'2025 EOY'!B:B),"No")</f>
        <v>Yes</v>
      </c>
    </row>
    <row r="1400" spans="1:21" x14ac:dyDescent="0.35">
      <c r="A1400" t="s">
        <v>1635</v>
      </c>
      <c r="B1400" s="174">
        <v>46002</v>
      </c>
      <c r="C1400" s="10" t="s">
        <v>10</v>
      </c>
      <c r="D1400" s="4" t="s">
        <v>128</v>
      </c>
      <c r="E1400" s="253">
        <v>1024</v>
      </c>
      <c r="F1400" s="172">
        <v>46112</v>
      </c>
      <c r="G1400" s="172">
        <v>46112</v>
      </c>
      <c r="H1400" s="212">
        <v>-3.72</v>
      </c>
      <c r="I1400" s="192">
        <v>-4.47</v>
      </c>
      <c r="J1400" s="9">
        <v>-767.99999999999955</v>
      </c>
      <c r="K1400">
        <v>-3809.28</v>
      </c>
      <c r="L1400" s="14" t="s">
        <v>104</v>
      </c>
      <c r="M1400" s="8" t="s">
        <v>131</v>
      </c>
      <c r="N1400">
        <v>-4577.28</v>
      </c>
      <c r="O1400" s="38" t="s">
        <v>11</v>
      </c>
      <c r="P1400" s="38" t="s">
        <v>10</v>
      </c>
      <c r="Q1400" s="240">
        <v>2026</v>
      </c>
      <c r="R1400" t="s">
        <v>131</v>
      </c>
      <c r="S1400" t="s">
        <v>96</v>
      </c>
      <c r="T1400" t="s">
        <v>1646</v>
      </c>
      <c r="U1400" t="str">
        <f>IFERROR(_xlfn.XLOOKUP(A1400,'2025 EOY'!A:A,'2025 EOY'!B:B),"No")</f>
        <v>Yes</v>
      </c>
    </row>
    <row r="1401" spans="1:21" x14ac:dyDescent="0.35">
      <c r="A1401" t="s">
        <v>1635</v>
      </c>
      <c r="B1401" s="174">
        <v>46002</v>
      </c>
      <c r="C1401" s="10" t="s">
        <v>10</v>
      </c>
      <c r="D1401" s="4" t="s">
        <v>128</v>
      </c>
      <c r="E1401" s="253">
        <v>500</v>
      </c>
      <c r="F1401" s="172">
        <v>46112</v>
      </c>
      <c r="G1401" s="172">
        <v>46112</v>
      </c>
      <c r="H1401" s="212">
        <v>-3.71</v>
      </c>
      <c r="I1401" s="192">
        <v>-4.47</v>
      </c>
      <c r="J1401" s="9">
        <v>-379.99999999999989</v>
      </c>
      <c r="K1401">
        <v>-1855</v>
      </c>
      <c r="L1401" s="14" t="s">
        <v>104</v>
      </c>
      <c r="M1401" s="8" t="s">
        <v>131</v>
      </c>
      <c r="N1401">
        <v>-2235</v>
      </c>
      <c r="O1401" s="38" t="s">
        <v>11</v>
      </c>
      <c r="P1401" s="38" t="s">
        <v>10</v>
      </c>
      <c r="Q1401" s="240">
        <v>2026</v>
      </c>
      <c r="R1401" t="s">
        <v>131</v>
      </c>
      <c r="S1401" t="s">
        <v>96</v>
      </c>
      <c r="T1401" t="s">
        <v>1647</v>
      </c>
      <c r="U1401" t="str">
        <f>IFERROR(_xlfn.XLOOKUP(A1401,'2025 EOY'!A:A,'2025 EOY'!B:B),"No")</f>
        <v>Yes</v>
      </c>
    </row>
    <row r="1402" spans="1:21" x14ac:dyDescent="0.35">
      <c r="A1402" t="s">
        <v>1635</v>
      </c>
      <c r="B1402" s="174">
        <v>46002</v>
      </c>
      <c r="C1402" s="10" t="s">
        <v>7</v>
      </c>
      <c r="D1402" s="4" t="s">
        <v>128</v>
      </c>
      <c r="E1402" s="253">
        <v>2000</v>
      </c>
      <c r="F1402" s="172">
        <v>46112</v>
      </c>
      <c r="G1402" s="172">
        <v>46142</v>
      </c>
      <c r="H1402" s="218">
        <v>0.16</v>
      </c>
      <c r="I1402" s="192">
        <v>0.63</v>
      </c>
      <c r="J1402" s="9">
        <v>940</v>
      </c>
      <c r="K1402">
        <v>320</v>
      </c>
      <c r="L1402" s="14" t="s">
        <v>100</v>
      </c>
      <c r="M1402" s="8" t="s">
        <v>131</v>
      </c>
      <c r="N1402">
        <v>1260</v>
      </c>
      <c r="O1402" s="38" t="s">
        <v>4</v>
      </c>
      <c r="P1402" s="38" t="s">
        <v>7</v>
      </c>
      <c r="Q1402">
        <v>2026</v>
      </c>
      <c r="R1402" t="s">
        <v>131</v>
      </c>
      <c r="S1402" t="s">
        <v>96</v>
      </c>
      <c r="T1402" t="s">
        <v>1648</v>
      </c>
      <c r="U1402" t="str">
        <f>IFERROR(_xlfn.XLOOKUP(A1402,'2025 EOY'!A:A,'2025 EOY'!B:B),"No")</f>
        <v>Yes</v>
      </c>
    </row>
    <row r="1403" spans="1:21" x14ac:dyDescent="0.35">
      <c r="A1403" t="s">
        <v>1635</v>
      </c>
      <c r="B1403" s="174">
        <v>46002</v>
      </c>
      <c r="C1403" s="10" t="s">
        <v>7</v>
      </c>
      <c r="D1403" s="4" t="s">
        <v>128</v>
      </c>
      <c r="E1403" s="253">
        <v>1000</v>
      </c>
      <c r="F1403" s="172">
        <v>46081</v>
      </c>
      <c r="G1403" s="172">
        <v>46112</v>
      </c>
      <c r="H1403" s="218">
        <v>0.23</v>
      </c>
      <c r="I1403" s="192">
        <v>0.59</v>
      </c>
      <c r="J1403" s="9">
        <v>360</v>
      </c>
      <c r="K1403">
        <v>230</v>
      </c>
      <c r="L1403" s="14" t="s">
        <v>99</v>
      </c>
      <c r="M1403" s="8" t="s">
        <v>131</v>
      </c>
      <c r="N1403">
        <v>590</v>
      </c>
      <c r="O1403" s="38" t="s">
        <v>4</v>
      </c>
      <c r="P1403" s="38" t="s">
        <v>7</v>
      </c>
      <c r="Q1403">
        <v>2026</v>
      </c>
      <c r="R1403" t="s">
        <v>131</v>
      </c>
      <c r="S1403" t="s">
        <v>96</v>
      </c>
      <c r="T1403" t="s">
        <v>1649</v>
      </c>
      <c r="U1403" t="str">
        <f>IFERROR(_xlfn.XLOOKUP(A1403,'2025 EOY'!A:A,'2025 EOY'!B:B),"No")</f>
        <v>Yes</v>
      </c>
    </row>
    <row r="1404" spans="1:21" x14ac:dyDescent="0.35">
      <c r="A1404" t="s">
        <v>1635</v>
      </c>
      <c r="B1404" s="174">
        <v>46003</v>
      </c>
      <c r="C1404" s="10" t="s">
        <v>10</v>
      </c>
      <c r="D1404" s="4" t="s">
        <v>128</v>
      </c>
      <c r="E1404" s="253">
        <v>500</v>
      </c>
      <c r="F1404" s="172">
        <v>46112</v>
      </c>
      <c r="G1404" s="172">
        <v>46112</v>
      </c>
      <c r="H1404" s="212">
        <v>-3.73</v>
      </c>
      <c r="I1404" s="192">
        <v>-4.47</v>
      </c>
      <c r="J1404" s="9">
        <v>-369.99999999999989</v>
      </c>
      <c r="K1404">
        <v>-1865</v>
      </c>
      <c r="L1404" s="14" t="s">
        <v>104</v>
      </c>
      <c r="M1404" s="8" t="s">
        <v>131</v>
      </c>
      <c r="N1404">
        <v>-2235</v>
      </c>
      <c r="O1404" s="38" t="s">
        <v>11</v>
      </c>
      <c r="P1404" s="38" t="s">
        <v>10</v>
      </c>
      <c r="Q1404" s="240">
        <v>2026</v>
      </c>
      <c r="R1404" t="s">
        <v>131</v>
      </c>
      <c r="S1404" t="s">
        <v>96</v>
      </c>
      <c r="T1404" t="s">
        <v>1650</v>
      </c>
      <c r="U1404" t="str">
        <f>IFERROR(_xlfn.XLOOKUP(A1404,'2025 EOY'!A:A,'2025 EOY'!B:B),"No")</f>
        <v>Yes</v>
      </c>
    </row>
    <row r="1405" spans="1:21" x14ac:dyDescent="0.35">
      <c r="A1405" t="s">
        <v>127</v>
      </c>
      <c r="B1405" s="16">
        <v>46006</v>
      </c>
      <c r="C1405" s="10" t="s">
        <v>15</v>
      </c>
      <c r="D1405" s="4" t="s">
        <v>128</v>
      </c>
      <c r="E1405" s="253">
        <v>-375</v>
      </c>
      <c r="F1405" s="173">
        <v>46053</v>
      </c>
      <c r="G1405" s="173">
        <v>46053</v>
      </c>
      <c r="H1405" s="330">
        <v>0.33</v>
      </c>
      <c r="I1405" s="191">
        <v>1.83</v>
      </c>
      <c r="J1405" s="9">
        <v>-562.5</v>
      </c>
      <c r="K1405">
        <v>-123.75</v>
      </c>
      <c r="L1405" s="14" t="s">
        <v>95</v>
      </c>
      <c r="M1405" s="8" t="s">
        <v>129</v>
      </c>
      <c r="N1405">
        <v>-686.25</v>
      </c>
      <c r="O1405" s="38" t="s">
        <v>11</v>
      </c>
      <c r="P1405" s="38" t="s">
        <v>16</v>
      </c>
      <c r="Q1405" s="240">
        <v>2026</v>
      </c>
      <c r="R1405" t="s">
        <v>129</v>
      </c>
      <c r="S1405" t="s">
        <v>96</v>
      </c>
      <c r="T1405" t="s">
        <v>1651</v>
      </c>
      <c r="U1405" t="str">
        <f>IFERROR(_xlfn.XLOOKUP(A1405,'2025 EOY'!A:A,'2025 EOY'!B:B),"No")</f>
        <v>No</v>
      </c>
    </row>
    <row r="1406" spans="1:21" x14ac:dyDescent="0.35">
      <c r="A1406" t="s">
        <v>1635</v>
      </c>
      <c r="B1406" s="174">
        <v>46007</v>
      </c>
      <c r="C1406" s="10" t="s">
        <v>3</v>
      </c>
      <c r="D1406" s="4" t="s">
        <v>128</v>
      </c>
      <c r="E1406" s="253">
        <v>230</v>
      </c>
      <c r="F1406" s="172">
        <v>46053</v>
      </c>
      <c r="G1406" s="172">
        <v>46081</v>
      </c>
      <c r="H1406" s="218">
        <v>0.14000000000000001</v>
      </c>
      <c r="I1406" s="192">
        <v>0.15</v>
      </c>
      <c r="J1406" s="9">
        <v>2.2999999999999958</v>
      </c>
      <c r="K1406">
        <v>32.200000000000003</v>
      </c>
      <c r="L1406" s="14" t="s">
        <v>97</v>
      </c>
      <c r="M1406" s="8" t="s">
        <v>131</v>
      </c>
      <c r="N1406">
        <v>34.5</v>
      </c>
      <c r="O1406" s="38" t="s">
        <v>4</v>
      </c>
      <c r="P1406" s="38" t="s">
        <v>3</v>
      </c>
      <c r="Q1406">
        <v>2026</v>
      </c>
      <c r="R1406" t="s">
        <v>131</v>
      </c>
      <c r="S1406" t="s">
        <v>14</v>
      </c>
      <c r="T1406" t="s">
        <v>1652</v>
      </c>
      <c r="U1406" t="str">
        <f>IFERROR(_xlfn.XLOOKUP(A1406,'2025 EOY'!A:A,'2025 EOY'!B:B),"No")</f>
        <v>Yes</v>
      </c>
    </row>
    <row r="1407" spans="1:21" x14ac:dyDescent="0.35">
      <c r="A1407" t="s">
        <v>1635</v>
      </c>
      <c r="B1407" s="174">
        <v>46007</v>
      </c>
      <c r="C1407" s="10" t="s">
        <v>3</v>
      </c>
      <c r="D1407" s="4" t="s">
        <v>128</v>
      </c>
      <c r="E1407" s="253">
        <v>92</v>
      </c>
      <c r="F1407" s="172">
        <v>46081</v>
      </c>
      <c r="G1407" s="172">
        <v>46112</v>
      </c>
      <c r="H1407" s="218">
        <v>0.08</v>
      </c>
      <c r="I1407" s="192">
        <v>0.13</v>
      </c>
      <c r="J1407" s="9">
        <v>4.6000000000000005</v>
      </c>
      <c r="K1407">
        <v>7.36</v>
      </c>
      <c r="L1407" s="14" t="s">
        <v>99</v>
      </c>
      <c r="M1407" s="8" t="s">
        <v>131</v>
      </c>
      <c r="N1407">
        <v>11.96</v>
      </c>
      <c r="O1407" s="38" t="s">
        <v>4</v>
      </c>
      <c r="P1407" s="38" t="s">
        <v>3</v>
      </c>
      <c r="Q1407">
        <v>2026</v>
      </c>
      <c r="R1407" t="s">
        <v>131</v>
      </c>
      <c r="S1407" t="s">
        <v>96</v>
      </c>
      <c r="T1407" t="s">
        <v>1653</v>
      </c>
      <c r="U1407" t="str">
        <f>IFERROR(_xlfn.XLOOKUP(A1407,'2025 EOY'!A:A,'2025 EOY'!B:B),"No")</f>
        <v>Yes</v>
      </c>
    </row>
    <row r="1408" spans="1:21" x14ac:dyDescent="0.35">
      <c r="A1408" t="s">
        <v>1635</v>
      </c>
      <c r="B1408" s="174">
        <v>46008</v>
      </c>
      <c r="C1408" s="10" t="s">
        <v>3</v>
      </c>
      <c r="D1408" s="4" t="s">
        <v>128</v>
      </c>
      <c r="E1408" s="253">
        <v>230</v>
      </c>
      <c r="F1408" s="172">
        <v>46053</v>
      </c>
      <c r="G1408" s="172">
        <v>46081</v>
      </c>
      <c r="H1408" s="218">
        <v>0.14000000000000001</v>
      </c>
      <c r="I1408" s="192">
        <v>0.15</v>
      </c>
      <c r="J1408" s="9">
        <v>2.2999999999999958</v>
      </c>
      <c r="K1408">
        <v>32.200000000000003</v>
      </c>
      <c r="L1408" s="14" t="s">
        <v>97</v>
      </c>
      <c r="M1408" s="8" t="s">
        <v>131</v>
      </c>
      <c r="N1408">
        <v>34.5</v>
      </c>
      <c r="O1408" s="38" t="s">
        <v>4</v>
      </c>
      <c r="P1408" s="38" t="s">
        <v>3</v>
      </c>
      <c r="Q1408">
        <v>2026</v>
      </c>
      <c r="R1408" t="s">
        <v>131</v>
      </c>
      <c r="S1408" t="s">
        <v>14</v>
      </c>
      <c r="T1408" t="s">
        <v>1654</v>
      </c>
      <c r="U1408" t="str">
        <f>IFERROR(_xlfn.XLOOKUP(A1408,'2025 EOY'!A:A,'2025 EOY'!B:B),"No")</f>
        <v>Yes</v>
      </c>
    </row>
    <row r="1409" spans="1:21" x14ac:dyDescent="0.35">
      <c r="A1409" t="s">
        <v>1635</v>
      </c>
      <c r="B1409" s="174">
        <v>46008</v>
      </c>
      <c r="C1409" s="10" t="s">
        <v>3</v>
      </c>
      <c r="D1409" s="4" t="s">
        <v>128</v>
      </c>
      <c r="E1409" s="253">
        <v>92</v>
      </c>
      <c r="F1409" s="172">
        <v>46081</v>
      </c>
      <c r="G1409" s="172">
        <v>46112</v>
      </c>
      <c r="H1409" s="218">
        <v>0.08</v>
      </c>
      <c r="I1409" s="192">
        <v>0.13</v>
      </c>
      <c r="J1409" s="9">
        <v>4.6000000000000005</v>
      </c>
      <c r="K1409">
        <v>7.36</v>
      </c>
      <c r="L1409" s="14" t="s">
        <v>99</v>
      </c>
      <c r="M1409" s="8" t="s">
        <v>131</v>
      </c>
      <c r="N1409">
        <v>11.96</v>
      </c>
      <c r="O1409" s="38" t="s">
        <v>4</v>
      </c>
      <c r="P1409" s="38" t="s">
        <v>3</v>
      </c>
      <c r="Q1409">
        <v>2026</v>
      </c>
      <c r="R1409" t="s">
        <v>131</v>
      </c>
      <c r="S1409" t="s">
        <v>96</v>
      </c>
      <c r="T1409" t="s">
        <v>1655</v>
      </c>
      <c r="U1409" t="str">
        <f>IFERROR(_xlfn.XLOOKUP(A1409,'2025 EOY'!A:A,'2025 EOY'!B:B),"No")</f>
        <v>Yes</v>
      </c>
    </row>
    <row r="1410" spans="1:21" x14ac:dyDescent="0.35">
      <c r="A1410" t="s">
        <v>1635</v>
      </c>
      <c r="B1410" s="174">
        <v>46009</v>
      </c>
      <c r="C1410" s="10" t="s">
        <v>3</v>
      </c>
      <c r="D1410" s="4" t="s">
        <v>128</v>
      </c>
      <c r="E1410" s="253">
        <v>289</v>
      </c>
      <c r="F1410" s="172">
        <v>46053</v>
      </c>
      <c r="G1410" s="172">
        <v>46081</v>
      </c>
      <c r="H1410" s="218">
        <v>0.14000000000000001</v>
      </c>
      <c r="I1410" s="192">
        <v>0.15</v>
      </c>
      <c r="J1410" s="9">
        <v>2.8899999999999944</v>
      </c>
      <c r="K1410">
        <v>40.46</v>
      </c>
      <c r="L1410" s="14" t="s">
        <v>97</v>
      </c>
      <c r="M1410" s="8" t="s">
        <v>131</v>
      </c>
      <c r="N1410">
        <v>43.35</v>
      </c>
      <c r="O1410" s="38" t="s">
        <v>4</v>
      </c>
      <c r="P1410" s="38" t="s">
        <v>3</v>
      </c>
      <c r="Q1410">
        <v>2026</v>
      </c>
      <c r="R1410" t="s">
        <v>131</v>
      </c>
      <c r="S1410" t="s">
        <v>14</v>
      </c>
      <c r="T1410" t="s">
        <v>1656</v>
      </c>
      <c r="U1410" t="str">
        <f>IFERROR(_xlfn.XLOOKUP(A1410,'2025 EOY'!A:A,'2025 EOY'!B:B),"No")</f>
        <v>Yes</v>
      </c>
    </row>
    <row r="1411" spans="1:21" x14ac:dyDescent="0.35">
      <c r="A1411" t="s">
        <v>1635</v>
      </c>
      <c r="B1411" s="174">
        <v>46009</v>
      </c>
      <c r="C1411" s="10" t="s">
        <v>3</v>
      </c>
      <c r="D1411" s="4" t="s">
        <v>128</v>
      </c>
      <c r="E1411" s="253">
        <v>92</v>
      </c>
      <c r="F1411" s="172">
        <v>46081</v>
      </c>
      <c r="G1411" s="172">
        <v>46112</v>
      </c>
      <c r="H1411" s="218">
        <v>0.08</v>
      </c>
      <c r="I1411" s="192">
        <v>0.13</v>
      </c>
      <c r="J1411" s="9">
        <v>4.6000000000000005</v>
      </c>
      <c r="K1411">
        <v>7.36</v>
      </c>
      <c r="L1411" s="14" t="s">
        <v>99</v>
      </c>
      <c r="M1411" s="8" t="s">
        <v>131</v>
      </c>
      <c r="N1411">
        <v>11.96</v>
      </c>
      <c r="O1411" s="38" t="s">
        <v>4</v>
      </c>
      <c r="P1411" s="38" t="s">
        <v>3</v>
      </c>
      <c r="Q1411">
        <v>2026</v>
      </c>
      <c r="R1411" t="s">
        <v>131</v>
      </c>
      <c r="S1411" t="s">
        <v>96</v>
      </c>
      <c r="T1411" t="s">
        <v>1657</v>
      </c>
      <c r="U1411" t="str">
        <f>IFERROR(_xlfn.XLOOKUP(A1411,'2025 EOY'!A:A,'2025 EOY'!B:B),"No")</f>
        <v>Yes</v>
      </c>
    </row>
    <row r="1412" spans="1:21" x14ac:dyDescent="0.35">
      <c r="A1412" t="s">
        <v>1635</v>
      </c>
      <c r="B1412" s="174">
        <v>46008</v>
      </c>
      <c r="C1412" s="10" t="s">
        <v>10</v>
      </c>
      <c r="D1412" s="4" t="s">
        <v>128</v>
      </c>
      <c r="E1412" s="253">
        <v>500</v>
      </c>
      <c r="F1412" s="172">
        <v>46203</v>
      </c>
      <c r="G1412" s="172">
        <v>46203</v>
      </c>
      <c r="H1412" s="218">
        <v>-3.45</v>
      </c>
      <c r="I1412" s="192">
        <v>-3.65</v>
      </c>
      <c r="J1412" s="9">
        <v>-99.999999999999872</v>
      </c>
      <c r="K1412">
        <v>-1725</v>
      </c>
      <c r="L1412" s="14" t="s">
        <v>101</v>
      </c>
      <c r="M1412" s="8" t="s">
        <v>131</v>
      </c>
      <c r="N1412">
        <v>-1825</v>
      </c>
      <c r="O1412" s="38" t="s">
        <v>11</v>
      </c>
      <c r="P1412" s="38" t="s">
        <v>10</v>
      </c>
      <c r="Q1412">
        <v>2026</v>
      </c>
      <c r="R1412" t="s">
        <v>131</v>
      </c>
      <c r="S1412" t="s">
        <v>96</v>
      </c>
      <c r="T1412" t="s">
        <v>1658</v>
      </c>
      <c r="U1412" t="str">
        <f>IFERROR(_xlfn.XLOOKUP(A1412,'2025 EOY'!A:A,'2025 EOY'!B:B),"No")</f>
        <v>Yes</v>
      </c>
    </row>
    <row r="1413" spans="1:21" x14ac:dyDescent="0.35">
      <c r="A1413" t="s">
        <v>127</v>
      </c>
      <c r="B1413" s="174">
        <v>46009</v>
      </c>
      <c r="C1413" s="10" t="s">
        <v>10</v>
      </c>
      <c r="D1413" s="4" t="s">
        <v>128</v>
      </c>
      <c r="E1413" s="253">
        <v>409</v>
      </c>
      <c r="F1413" s="172">
        <v>46112</v>
      </c>
      <c r="G1413" s="172">
        <v>46112</v>
      </c>
      <c r="H1413" s="218">
        <v>-3.7</v>
      </c>
      <c r="I1413" s="192">
        <v>-4.47</v>
      </c>
      <c r="J1413" s="9">
        <v>-314.92999999999984</v>
      </c>
      <c r="K1413">
        <v>-1513.3000000000002</v>
      </c>
      <c r="L1413" s="14" t="s">
        <v>104</v>
      </c>
      <c r="M1413" s="8" t="s">
        <v>131</v>
      </c>
      <c r="N1413">
        <v>-1828.2299999999998</v>
      </c>
      <c r="O1413" s="38" t="s">
        <v>11</v>
      </c>
      <c r="P1413" s="38" t="s">
        <v>10</v>
      </c>
      <c r="Q1413">
        <v>2026</v>
      </c>
      <c r="R1413" t="s">
        <v>131</v>
      </c>
      <c r="S1413" t="s">
        <v>96</v>
      </c>
      <c r="T1413" t="s">
        <v>1659</v>
      </c>
      <c r="U1413" t="str">
        <f>IFERROR(_xlfn.XLOOKUP(A1413,'2025 EOY'!A:A,'2025 EOY'!B:B),"No")</f>
        <v>No</v>
      </c>
    </row>
    <row r="1414" spans="1:21" x14ac:dyDescent="0.35">
      <c r="A1414" t="s">
        <v>127</v>
      </c>
      <c r="B1414" s="174">
        <v>46009</v>
      </c>
      <c r="C1414" s="10" t="s">
        <v>3</v>
      </c>
      <c r="D1414" s="4" t="s">
        <v>128</v>
      </c>
      <c r="E1414" s="253">
        <v>1000</v>
      </c>
      <c r="F1414" s="172">
        <v>46081</v>
      </c>
      <c r="G1414" s="172">
        <v>46112</v>
      </c>
      <c r="H1414" s="218">
        <v>0.14000000000000001</v>
      </c>
      <c r="I1414" s="192">
        <v>0.13</v>
      </c>
      <c r="J1414" s="9">
        <v>-10.000000000000009</v>
      </c>
      <c r="K1414">
        <v>140</v>
      </c>
      <c r="L1414" s="14" t="s">
        <v>99</v>
      </c>
      <c r="M1414" s="8" t="s">
        <v>131</v>
      </c>
      <c r="N1414">
        <v>130</v>
      </c>
      <c r="O1414" s="38" t="s">
        <v>4</v>
      </c>
      <c r="P1414" s="38" t="s">
        <v>3</v>
      </c>
      <c r="Q1414">
        <v>2026</v>
      </c>
      <c r="R1414" t="s">
        <v>131</v>
      </c>
      <c r="S1414" t="s">
        <v>96</v>
      </c>
      <c r="T1414" t="s">
        <v>1660</v>
      </c>
      <c r="U1414" t="str">
        <f>IFERROR(_xlfn.XLOOKUP(A1414,'2025 EOY'!A:A,'2025 EOY'!B:B),"No")</f>
        <v>No</v>
      </c>
    </row>
    <row r="1415" spans="1:21" x14ac:dyDescent="0.35">
      <c r="A1415" t="s">
        <v>127</v>
      </c>
      <c r="B1415" s="174">
        <v>46009</v>
      </c>
      <c r="C1415" s="10" t="s">
        <v>3</v>
      </c>
      <c r="D1415" s="4" t="s">
        <v>128</v>
      </c>
      <c r="E1415" s="253">
        <v>1000</v>
      </c>
      <c r="F1415" s="172">
        <v>46112</v>
      </c>
      <c r="G1415" s="172">
        <v>46142</v>
      </c>
      <c r="H1415" s="218">
        <v>7.0000000000000007E-2</v>
      </c>
      <c r="I1415" s="192">
        <v>0.19</v>
      </c>
      <c r="J1415" s="9">
        <v>120</v>
      </c>
      <c r="K1415">
        <v>70</v>
      </c>
      <c r="L1415" s="14" t="s">
        <v>100</v>
      </c>
      <c r="M1415" s="8" t="s">
        <v>131</v>
      </c>
      <c r="N1415">
        <v>190</v>
      </c>
      <c r="O1415" s="38" t="s">
        <v>4</v>
      </c>
      <c r="P1415" s="38" t="s">
        <v>3</v>
      </c>
      <c r="Q1415">
        <v>2026</v>
      </c>
      <c r="R1415" t="s">
        <v>131</v>
      </c>
      <c r="S1415" t="s">
        <v>96</v>
      </c>
      <c r="T1415" t="s">
        <v>1661</v>
      </c>
      <c r="U1415" t="str">
        <f>IFERROR(_xlfn.XLOOKUP(A1415,'2025 EOY'!A:A,'2025 EOY'!B:B),"No")</f>
        <v>No</v>
      </c>
    </row>
    <row r="1416" spans="1:21" ht="15" thickBot="1" x14ac:dyDescent="0.4">
      <c r="A1416" t="s">
        <v>127</v>
      </c>
      <c r="B1416" s="174">
        <v>46009</v>
      </c>
      <c r="C1416" s="10" t="s">
        <v>3</v>
      </c>
      <c r="D1416" s="4" t="s">
        <v>128</v>
      </c>
      <c r="E1416" s="253">
        <v>1000</v>
      </c>
      <c r="F1416" s="172">
        <v>46142</v>
      </c>
      <c r="G1416" s="172">
        <v>46173</v>
      </c>
      <c r="H1416" s="218">
        <v>0</v>
      </c>
      <c r="I1416" s="192">
        <v>0.14000000000000001</v>
      </c>
      <c r="J1416" s="9">
        <v>140</v>
      </c>
      <c r="K1416">
        <v>0</v>
      </c>
      <c r="L1416" s="14" t="s">
        <v>105</v>
      </c>
      <c r="M1416" s="8" t="s">
        <v>131</v>
      </c>
      <c r="N1416">
        <v>140</v>
      </c>
      <c r="O1416" s="38" t="s">
        <v>4</v>
      </c>
      <c r="P1416" s="38" t="s">
        <v>3</v>
      </c>
      <c r="Q1416">
        <v>2026</v>
      </c>
      <c r="R1416" t="s">
        <v>131</v>
      </c>
      <c r="S1416" t="s">
        <v>96</v>
      </c>
      <c r="T1416" t="s">
        <v>1662</v>
      </c>
      <c r="U1416" t="str">
        <f>IFERROR(_xlfn.XLOOKUP(A1416,'2025 EOY'!A:A,'2025 EOY'!B:B),"No")</f>
        <v>No</v>
      </c>
    </row>
    <row r="1417" spans="1:21" ht="15" thickBot="1" x14ac:dyDescent="0.4">
      <c r="A1417" s="333" t="s">
        <v>127</v>
      </c>
      <c r="B1417" s="334">
        <v>46012</v>
      </c>
      <c r="C1417" s="335" t="s">
        <v>19</v>
      </c>
      <c r="D1417" s="336" t="s">
        <v>268</v>
      </c>
      <c r="E1417" s="337"/>
      <c r="F1417" s="338">
        <v>46022</v>
      </c>
      <c r="G1417" s="338">
        <v>46022</v>
      </c>
      <c r="H1417" s="339"/>
      <c r="I1417" s="340"/>
      <c r="J1417" s="341">
        <v>-882</v>
      </c>
      <c r="K1417" s="333">
        <v>0</v>
      </c>
      <c r="L1417" s="342" t="s">
        <v>94</v>
      </c>
      <c r="M1417" s="343" t="s">
        <v>131</v>
      </c>
      <c r="N1417" s="333">
        <v>0</v>
      </c>
      <c r="O1417" s="344" t="s">
        <v>19</v>
      </c>
      <c r="P1417" s="344" t="s">
        <v>19</v>
      </c>
      <c r="Q1417" s="345">
        <v>2025</v>
      </c>
      <c r="R1417" s="20" t="s">
        <v>129</v>
      </c>
      <c r="S1417" t="s">
        <v>96</v>
      </c>
      <c r="T1417" t="s">
        <v>1663</v>
      </c>
      <c r="U1417" t="str">
        <f>IFERROR(_xlfn.XLOOKUP(A1417,'2025 EOY'!A:A,'2025 EOY'!B:B),"No")</f>
        <v>No</v>
      </c>
    </row>
    <row r="1418" spans="1:21" x14ac:dyDescent="0.35">
      <c r="A1418" s="227" t="s">
        <v>1664</v>
      </c>
      <c r="B1418" s="228">
        <v>46014</v>
      </c>
      <c r="C1418" s="229" t="s">
        <v>19</v>
      </c>
      <c r="D1418" s="230" t="s">
        <v>268</v>
      </c>
      <c r="E1418" s="276">
        <v>1400</v>
      </c>
      <c r="F1418" s="231">
        <v>46053</v>
      </c>
      <c r="G1418" s="231">
        <v>46053</v>
      </c>
      <c r="H1418" s="232">
        <v>-2.4499999999999997</v>
      </c>
      <c r="I1418" s="233">
        <v>-2.02</v>
      </c>
      <c r="J1418" s="234">
        <v>601.99999999999955</v>
      </c>
      <c r="K1418" s="227">
        <v>-3429.9999999999995</v>
      </c>
      <c r="L1418" s="235" t="s">
        <v>95</v>
      </c>
      <c r="M1418" s="236" t="s">
        <v>131</v>
      </c>
      <c r="N1418" s="227">
        <v>-2828</v>
      </c>
      <c r="O1418" s="237" t="s">
        <v>19</v>
      </c>
      <c r="P1418" s="237" t="s">
        <v>19</v>
      </c>
      <c r="Q1418" s="238">
        <v>2026</v>
      </c>
      <c r="R1418" t="s">
        <v>131</v>
      </c>
      <c r="S1418" t="s">
        <v>96</v>
      </c>
      <c r="T1418" t="s">
        <v>1665</v>
      </c>
      <c r="U1418" t="str">
        <f>IFERROR(_xlfn.XLOOKUP(A1418,'2025 EOY'!A:A,'2025 EOY'!B:B),"No")</f>
        <v>Yes</v>
      </c>
    </row>
    <row r="1419" spans="1:21" x14ac:dyDescent="0.35">
      <c r="A1419" t="s">
        <v>1664</v>
      </c>
      <c r="B1419" s="174">
        <v>46014</v>
      </c>
      <c r="C1419" s="10" t="s">
        <v>3</v>
      </c>
      <c r="D1419" s="4" t="s">
        <v>268</v>
      </c>
      <c r="E1419" s="253">
        <v>-1400</v>
      </c>
      <c r="F1419" s="172">
        <v>46081</v>
      </c>
      <c r="G1419" s="172">
        <v>46112</v>
      </c>
      <c r="H1419" s="212">
        <v>0.22</v>
      </c>
      <c r="I1419" s="192">
        <v>0.13</v>
      </c>
      <c r="J1419" s="9">
        <v>126</v>
      </c>
      <c r="K1419">
        <v>-308</v>
      </c>
      <c r="L1419" s="14" t="s">
        <v>99</v>
      </c>
      <c r="M1419" s="8" t="s">
        <v>129</v>
      </c>
      <c r="N1419">
        <v>-182</v>
      </c>
      <c r="O1419" s="38" t="s">
        <v>4</v>
      </c>
      <c r="P1419" s="38" t="s">
        <v>3</v>
      </c>
      <c r="Q1419" s="240">
        <v>2026</v>
      </c>
      <c r="R1419" t="s">
        <v>129</v>
      </c>
      <c r="S1419" t="s">
        <v>96</v>
      </c>
      <c r="T1419" t="s">
        <v>1666</v>
      </c>
      <c r="U1419" t="str">
        <f>IFERROR(_xlfn.XLOOKUP(A1419,'2025 EOY'!A:A,'2025 EOY'!B:B),"No")</f>
        <v>Yes</v>
      </c>
    </row>
    <row r="1420" spans="1:21" x14ac:dyDescent="0.35">
      <c r="A1420" t="s">
        <v>1664</v>
      </c>
      <c r="B1420" s="174">
        <v>46014</v>
      </c>
      <c r="C1420" s="10" t="s">
        <v>3</v>
      </c>
      <c r="D1420" s="4" t="s">
        <v>268</v>
      </c>
      <c r="E1420" s="253">
        <v>-1400</v>
      </c>
      <c r="F1420" s="172">
        <v>46112</v>
      </c>
      <c r="G1420" s="172">
        <v>46142</v>
      </c>
      <c r="H1420" s="212">
        <v>0.14000000000000001</v>
      </c>
      <c r="I1420" s="192">
        <v>0.19</v>
      </c>
      <c r="J1420" s="9">
        <v>-69.999999999999986</v>
      </c>
      <c r="K1420">
        <v>-196.00000000000003</v>
      </c>
      <c r="L1420" s="14" t="s">
        <v>100</v>
      </c>
      <c r="M1420" s="8" t="s">
        <v>129</v>
      </c>
      <c r="N1420">
        <v>-266</v>
      </c>
      <c r="O1420" s="38" t="s">
        <v>4</v>
      </c>
      <c r="P1420" s="38" t="s">
        <v>3</v>
      </c>
      <c r="Q1420" s="240">
        <v>2026</v>
      </c>
      <c r="R1420" t="s">
        <v>129</v>
      </c>
      <c r="S1420" t="s">
        <v>96</v>
      </c>
      <c r="T1420" t="s">
        <v>1667</v>
      </c>
      <c r="U1420" t="str">
        <f>IFERROR(_xlfn.XLOOKUP(A1420,'2025 EOY'!A:A,'2025 EOY'!B:B),"No")</f>
        <v>Yes</v>
      </c>
    </row>
    <row r="1421" spans="1:21" x14ac:dyDescent="0.35">
      <c r="A1421" t="s">
        <v>1664</v>
      </c>
      <c r="B1421" s="174">
        <v>46014</v>
      </c>
      <c r="C1421" s="10" t="s">
        <v>10</v>
      </c>
      <c r="D1421" s="4" t="s">
        <v>268</v>
      </c>
      <c r="E1421" s="253">
        <v>-1400</v>
      </c>
      <c r="F1421" s="172">
        <v>46142</v>
      </c>
      <c r="G1421" s="172">
        <v>46142</v>
      </c>
      <c r="H1421" s="212">
        <v>-3.55</v>
      </c>
      <c r="I1421" s="192">
        <v>-4.03</v>
      </c>
      <c r="J1421" s="9">
        <v>672.00000000000057</v>
      </c>
      <c r="K1421">
        <v>4970</v>
      </c>
      <c r="L1421" s="14" t="s">
        <v>102</v>
      </c>
      <c r="M1421" s="8" t="s">
        <v>129</v>
      </c>
      <c r="N1421">
        <v>5642</v>
      </c>
      <c r="O1421" s="38" t="s">
        <v>11</v>
      </c>
      <c r="P1421" s="38" t="s">
        <v>10</v>
      </c>
      <c r="Q1421" s="240">
        <v>2026</v>
      </c>
      <c r="R1421" t="s">
        <v>129</v>
      </c>
      <c r="S1421" t="s">
        <v>96</v>
      </c>
      <c r="T1421" t="s">
        <v>1668</v>
      </c>
      <c r="U1421" t="str">
        <f>IFERROR(_xlfn.XLOOKUP(A1421,'2025 EOY'!A:A,'2025 EOY'!B:B),"No")</f>
        <v>Yes</v>
      </c>
    </row>
    <row r="1422" spans="1:21" x14ac:dyDescent="0.35">
      <c r="A1422" t="s">
        <v>1664</v>
      </c>
      <c r="B1422" s="174">
        <v>46014</v>
      </c>
      <c r="C1422" s="10" t="s">
        <v>10</v>
      </c>
      <c r="D1422" s="4" t="s">
        <v>128</v>
      </c>
      <c r="E1422" s="253">
        <v>500</v>
      </c>
      <c r="F1422" s="172">
        <v>46112</v>
      </c>
      <c r="G1422" s="172">
        <v>46112</v>
      </c>
      <c r="H1422" s="212">
        <v>-3.73</v>
      </c>
      <c r="I1422" s="192">
        <v>-4.47</v>
      </c>
      <c r="J1422" s="9">
        <v>-369.99999999999989</v>
      </c>
      <c r="K1422">
        <v>-1865</v>
      </c>
      <c r="L1422" s="14" t="s">
        <v>104</v>
      </c>
      <c r="M1422" s="8" t="s">
        <v>131</v>
      </c>
      <c r="N1422">
        <v>-2235</v>
      </c>
      <c r="O1422" s="38" t="s">
        <v>11</v>
      </c>
      <c r="P1422" s="38" t="s">
        <v>10</v>
      </c>
      <c r="Q1422" s="240">
        <v>2026</v>
      </c>
      <c r="R1422" t="s">
        <v>131</v>
      </c>
      <c r="S1422" t="s">
        <v>96</v>
      </c>
      <c r="T1422" t="s">
        <v>1669</v>
      </c>
      <c r="U1422" t="str">
        <f>IFERROR(_xlfn.XLOOKUP(A1422,'2025 EOY'!A:A,'2025 EOY'!B:B),"No")</f>
        <v>Yes</v>
      </c>
    </row>
    <row r="1423" spans="1:21" x14ac:dyDescent="0.35">
      <c r="A1423" t="s">
        <v>1664</v>
      </c>
      <c r="B1423" s="174">
        <v>46014</v>
      </c>
      <c r="C1423" s="10" t="s">
        <v>3</v>
      </c>
      <c r="D1423" s="4" t="s">
        <v>128</v>
      </c>
      <c r="E1423" s="253">
        <v>87</v>
      </c>
      <c r="F1423" s="172">
        <v>46081</v>
      </c>
      <c r="G1423" s="172">
        <v>46112</v>
      </c>
      <c r="H1423" s="212">
        <v>0.25</v>
      </c>
      <c r="I1423" s="192">
        <v>0.13</v>
      </c>
      <c r="J1423" s="9">
        <v>-10.44</v>
      </c>
      <c r="K1423">
        <v>21.75</v>
      </c>
      <c r="L1423" s="14" t="s">
        <v>99</v>
      </c>
      <c r="M1423" s="8" t="s">
        <v>131</v>
      </c>
      <c r="N1423">
        <v>11.31</v>
      </c>
      <c r="O1423" s="38" t="s">
        <v>4</v>
      </c>
      <c r="P1423" s="38" t="s">
        <v>3</v>
      </c>
      <c r="Q1423" s="240">
        <v>2026</v>
      </c>
      <c r="R1423" t="s">
        <v>131</v>
      </c>
      <c r="S1423" t="s">
        <v>96</v>
      </c>
      <c r="T1423" t="s">
        <v>1670</v>
      </c>
      <c r="U1423" t="str">
        <f>IFERROR(_xlfn.XLOOKUP(A1423,'2025 EOY'!A:A,'2025 EOY'!B:B),"No")</f>
        <v>Yes</v>
      </c>
    </row>
    <row r="1424" spans="1:21" ht="15" thickBot="1" x14ac:dyDescent="0.4">
      <c r="A1424" t="s">
        <v>1664</v>
      </c>
      <c r="B1424" s="174">
        <v>46015</v>
      </c>
      <c r="C1424" s="10" t="s">
        <v>3</v>
      </c>
      <c r="D1424" s="4" t="s">
        <v>128</v>
      </c>
      <c r="E1424" s="253">
        <v>500</v>
      </c>
      <c r="F1424" s="172">
        <v>46081</v>
      </c>
      <c r="G1424" s="172">
        <v>46112</v>
      </c>
      <c r="H1424" s="212">
        <v>0.22</v>
      </c>
      <c r="I1424" s="192">
        <v>0.13</v>
      </c>
      <c r="J1424" s="9">
        <v>-45</v>
      </c>
      <c r="K1424">
        <v>110</v>
      </c>
      <c r="L1424" s="14" t="s">
        <v>99</v>
      </c>
      <c r="M1424" s="8" t="s">
        <v>131</v>
      </c>
      <c r="N1424">
        <v>65</v>
      </c>
      <c r="O1424" s="38" t="s">
        <v>4</v>
      </c>
      <c r="P1424" s="38" t="s">
        <v>3</v>
      </c>
      <c r="Q1424" s="240">
        <v>2026</v>
      </c>
      <c r="R1424" t="s">
        <v>131</v>
      </c>
      <c r="S1424" t="s">
        <v>96</v>
      </c>
      <c r="T1424" t="s">
        <v>1671</v>
      </c>
      <c r="U1424" t="str">
        <f>IFERROR(_xlfn.XLOOKUP(A1424,'2025 EOY'!A:A,'2025 EOY'!B:B),"No")</f>
        <v>Yes</v>
      </c>
    </row>
    <row r="1425" spans="1:23" x14ac:dyDescent="0.35">
      <c r="A1425" s="227" t="s">
        <v>1672</v>
      </c>
      <c r="B1425" s="302">
        <v>46020</v>
      </c>
      <c r="C1425" s="229" t="s">
        <v>19</v>
      </c>
      <c r="D1425" s="230" t="s">
        <v>268</v>
      </c>
      <c r="E1425" s="276">
        <v>700</v>
      </c>
      <c r="F1425" s="231">
        <v>46053</v>
      </c>
      <c r="G1425" s="231">
        <v>46053</v>
      </c>
      <c r="H1425" s="232">
        <v>0.17862179999999928</v>
      </c>
      <c r="I1425" s="315">
        <v>0.01</v>
      </c>
      <c r="J1425" s="234">
        <v>-118.03525999999948</v>
      </c>
      <c r="K1425" s="227">
        <v>125.0352599999995</v>
      </c>
      <c r="L1425" s="235" t="s">
        <v>95</v>
      </c>
      <c r="M1425" s="236" t="s">
        <v>131</v>
      </c>
      <c r="N1425" s="227">
        <v>7</v>
      </c>
      <c r="O1425" s="227" t="s">
        <v>19</v>
      </c>
      <c r="P1425" s="227" t="s">
        <v>19</v>
      </c>
      <c r="Q1425" s="227">
        <v>2026</v>
      </c>
      <c r="R1425" s="238" t="s">
        <v>131</v>
      </c>
      <c r="S1425" t="s">
        <v>96</v>
      </c>
      <c r="T1425" t="s">
        <v>1673</v>
      </c>
      <c r="U1425" t="str">
        <f>IFERROR(_xlfn.XLOOKUP(A1425,'2025 EOY'!A:A,'2025 EOY'!B:B),"No")</f>
        <v>Yes</v>
      </c>
    </row>
    <row r="1426" spans="1:23" x14ac:dyDescent="0.35">
      <c r="A1426" t="s">
        <v>1672</v>
      </c>
      <c r="B1426" s="16">
        <v>46020</v>
      </c>
      <c r="C1426" s="10" t="s">
        <v>10</v>
      </c>
      <c r="D1426" s="4" t="s">
        <v>268</v>
      </c>
      <c r="E1426" s="253">
        <v>-700</v>
      </c>
      <c r="F1426" s="172">
        <v>46081</v>
      </c>
      <c r="G1426" s="172">
        <v>46081</v>
      </c>
      <c r="H1426" s="212">
        <v>-3.83</v>
      </c>
      <c r="I1426" s="192">
        <v>-3.97</v>
      </c>
      <c r="J1426" s="9">
        <v>98.000000000000085</v>
      </c>
      <c r="K1426">
        <v>2681</v>
      </c>
      <c r="L1426" s="14" t="s">
        <v>98</v>
      </c>
      <c r="M1426" s="8" t="s">
        <v>129</v>
      </c>
      <c r="N1426">
        <v>2779</v>
      </c>
      <c r="O1426" t="s">
        <v>11</v>
      </c>
      <c r="P1426" t="s">
        <v>10</v>
      </c>
      <c r="Q1426">
        <v>2026</v>
      </c>
      <c r="R1426" s="240" t="s">
        <v>129</v>
      </c>
      <c r="S1426" t="s">
        <v>96</v>
      </c>
      <c r="T1426" t="s">
        <v>1674</v>
      </c>
      <c r="U1426" t="str">
        <f>IFERROR(_xlfn.XLOOKUP(A1426,'2025 EOY'!A:A,'2025 EOY'!B:B),"No")</f>
        <v>Yes</v>
      </c>
    </row>
    <row r="1427" spans="1:23" x14ac:dyDescent="0.35">
      <c r="A1427" t="s">
        <v>1672</v>
      </c>
      <c r="B1427" s="16">
        <v>46020</v>
      </c>
      <c r="C1427" s="10" t="s">
        <v>10</v>
      </c>
      <c r="D1427" s="4" t="s">
        <v>128</v>
      </c>
      <c r="E1427" s="253">
        <v>700</v>
      </c>
      <c r="F1427" s="172">
        <v>46081</v>
      </c>
      <c r="G1427" s="172">
        <v>46081</v>
      </c>
      <c r="H1427" s="212">
        <v>-3.86</v>
      </c>
      <c r="I1427" s="192">
        <v>-3.97</v>
      </c>
      <c r="J1427" s="9">
        <v>-77.000000000000227</v>
      </c>
      <c r="K1427">
        <v>-2702</v>
      </c>
      <c r="L1427" s="14" t="s">
        <v>98</v>
      </c>
      <c r="M1427" s="8" t="s">
        <v>131</v>
      </c>
      <c r="N1427">
        <v>-2779</v>
      </c>
      <c r="O1427" t="s">
        <v>11</v>
      </c>
      <c r="P1427" t="s">
        <v>10</v>
      </c>
      <c r="Q1427">
        <v>2026</v>
      </c>
      <c r="R1427" s="240" t="s">
        <v>131</v>
      </c>
      <c r="S1427" t="s">
        <v>96</v>
      </c>
      <c r="T1427" t="s">
        <v>1675</v>
      </c>
      <c r="U1427" t="str">
        <f>IFERROR(_xlfn.XLOOKUP(A1427,'2025 EOY'!A:A,'2025 EOY'!B:B),"No")</f>
        <v>Yes</v>
      </c>
    </row>
    <row r="1428" spans="1:23" x14ac:dyDescent="0.35">
      <c r="A1428" t="s">
        <v>1672</v>
      </c>
      <c r="B1428" s="16">
        <v>46020</v>
      </c>
      <c r="C1428" s="47" t="s">
        <v>36</v>
      </c>
      <c r="D1428" s="4" t="s">
        <v>268</v>
      </c>
      <c r="E1428" s="253">
        <v>-700</v>
      </c>
      <c r="F1428" s="172">
        <v>46081</v>
      </c>
      <c r="G1428" s="172">
        <v>46081</v>
      </c>
      <c r="H1428" s="219">
        <v>188</v>
      </c>
      <c r="I1428" s="314">
        <v>229.755</v>
      </c>
      <c r="J1428" s="9">
        <v>-584.56999999999994</v>
      </c>
      <c r="K1428">
        <v>-131600</v>
      </c>
      <c r="L1428" s="14" t="s">
        <v>98</v>
      </c>
      <c r="M1428" s="8" t="s">
        <v>129</v>
      </c>
      <c r="N1428">
        <v>-160828.5</v>
      </c>
      <c r="O1428" t="s">
        <v>29</v>
      </c>
      <c r="P1428" t="s">
        <v>29</v>
      </c>
      <c r="Q1428">
        <v>2026</v>
      </c>
      <c r="R1428" s="240" t="s">
        <v>129</v>
      </c>
      <c r="S1428" t="s">
        <v>96</v>
      </c>
      <c r="T1428" t="s">
        <v>1676</v>
      </c>
      <c r="U1428" t="str">
        <f>IFERROR(_xlfn.XLOOKUP(A1428,'2025 EOY'!A:A,'2025 EOY'!B:B),"No")</f>
        <v>Yes</v>
      </c>
      <c r="V1428" s="4"/>
      <c r="W1428" s="4"/>
    </row>
    <row r="1429" spans="1:23" ht="15" thickBot="1" x14ac:dyDescent="0.4">
      <c r="A1429" s="160" t="s">
        <v>1672</v>
      </c>
      <c r="B1429" s="316">
        <v>46020</v>
      </c>
      <c r="C1429" s="242" t="s">
        <v>39</v>
      </c>
      <c r="D1429" s="317" t="s">
        <v>268</v>
      </c>
      <c r="E1429" s="277">
        <v>700</v>
      </c>
      <c r="F1429" s="244">
        <v>46081</v>
      </c>
      <c r="G1429" s="244">
        <v>46081</v>
      </c>
      <c r="H1429" s="318">
        <v>123</v>
      </c>
      <c r="I1429" s="319">
        <v>135</v>
      </c>
      <c r="J1429" s="33">
        <v>42</v>
      </c>
      <c r="K1429" s="160">
        <v>86100</v>
      </c>
      <c r="L1429" s="248" t="s">
        <v>98</v>
      </c>
      <c r="M1429" s="249" t="s">
        <v>131</v>
      </c>
      <c r="N1429" s="160">
        <v>94500</v>
      </c>
      <c r="O1429" s="160" t="s">
        <v>29</v>
      </c>
      <c r="P1429" s="160" t="s">
        <v>29</v>
      </c>
      <c r="Q1429" s="160">
        <v>2026</v>
      </c>
      <c r="R1429" s="251" t="s">
        <v>131</v>
      </c>
      <c r="S1429" t="s">
        <v>96</v>
      </c>
      <c r="T1429" t="s">
        <v>1677</v>
      </c>
      <c r="U1429" t="str">
        <f>IFERROR(_xlfn.XLOOKUP(A1429,'2025 EOY'!A:A,'2025 EOY'!B:B),"No")</f>
        <v>Yes</v>
      </c>
      <c r="V1429" s="4"/>
      <c r="W1429" s="4"/>
    </row>
    <row r="1430" spans="1:23" x14ac:dyDescent="0.35">
      <c r="A1430" s="227" t="s">
        <v>1678</v>
      </c>
      <c r="B1430" s="302">
        <v>46020</v>
      </c>
      <c r="C1430" s="229" t="s">
        <v>19</v>
      </c>
      <c r="D1430" s="230" t="s">
        <v>268</v>
      </c>
      <c r="E1430" s="276">
        <v>700</v>
      </c>
      <c r="F1430" s="231">
        <v>46081</v>
      </c>
      <c r="G1430" s="231">
        <v>46081</v>
      </c>
      <c r="H1430" s="232">
        <v>-2.65</v>
      </c>
      <c r="I1430" s="315">
        <v>-2.3199999999999998</v>
      </c>
      <c r="J1430" s="234">
        <v>231.00000000000006</v>
      </c>
      <c r="K1430" s="227">
        <v>-1855</v>
      </c>
      <c r="L1430" s="235" t="s">
        <v>98</v>
      </c>
      <c r="M1430" s="236" t="s">
        <v>131</v>
      </c>
      <c r="N1430" s="227">
        <v>-1624</v>
      </c>
      <c r="O1430" s="227" t="s">
        <v>19</v>
      </c>
      <c r="P1430" s="227" t="s">
        <v>19</v>
      </c>
      <c r="Q1430" s="227">
        <v>2026</v>
      </c>
      <c r="R1430" s="238" t="s">
        <v>131</v>
      </c>
      <c r="S1430" t="s">
        <v>96</v>
      </c>
      <c r="T1430" t="s">
        <v>1679</v>
      </c>
      <c r="U1430" t="str">
        <f>IFERROR(_xlfn.XLOOKUP(A1430,'2025 EOY'!A:A,'2025 EOY'!B:B),"No")</f>
        <v>Yes</v>
      </c>
    </row>
    <row r="1431" spans="1:23" x14ac:dyDescent="0.35">
      <c r="A1431" t="s">
        <v>1678</v>
      </c>
      <c r="B1431" s="12">
        <v>46020</v>
      </c>
      <c r="C1431" s="10" t="s">
        <v>44</v>
      </c>
      <c r="D1431" s="10" t="s">
        <v>268</v>
      </c>
      <c r="E1431" s="259"/>
      <c r="F1431" s="172">
        <v>46081</v>
      </c>
      <c r="G1431" s="172">
        <v>46081</v>
      </c>
      <c r="H1431" s="15">
        <v>0.73</v>
      </c>
      <c r="I1431" s="191">
        <v>1.1499999999999999</v>
      </c>
      <c r="J1431" s="9">
        <v>0</v>
      </c>
      <c r="K1431">
        <v>0</v>
      </c>
      <c r="L1431" s="14" t="s">
        <v>98</v>
      </c>
      <c r="M1431" s="8" t="s">
        <v>131</v>
      </c>
      <c r="N1431">
        <v>0</v>
      </c>
      <c r="O1431" s="38" t="s">
        <v>11</v>
      </c>
      <c r="P1431" s="38" t="s">
        <v>44</v>
      </c>
      <c r="Q1431">
        <v>2026</v>
      </c>
      <c r="R1431" t="s">
        <v>129</v>
      </c>
      <c r="S1431" t="s">
        <v>96</v>
      </c>
      <c r="T1431" t="s">
        <v>1680</v>
      </c>
      <c r="U1431" t="str">
        <f>IFERROR(_xlfn.XLOOKUP(A1431,'2025 EOY'!A:A,'2025 EOY'!B:B),"No")</f>
        <v>Yes</v>
      </c>
    </row>
    <row r="1432" spans="1:23" x14ac:dyDescent="0.35">
      <c r="A1432" t="s">
        <v>1678</v>
      </c>
      <c r="B1432" s="16">
        <v>46020</v>
      </c>
      <c r="C1432" s="10" t="s">
        <v>3</v>
      </c>
      <c r="D1432" s="4" t="s">
        <v>268</v>
      </c>
      <c r="E1432" s="253">
        <v>-700</v>
      </c>
      <c r="F1432" s="172">
        <v>46081</v>
      </c>
      <c r="G1432" s="172">
        <v>46112</v>
      </c>
      <c r="H1432" s="212">
        <v>0.24</v>
      </c>
      <c r="I1432" s="192">
        <v>0.13</v>
      </c>
      <c r="J1432" s="9">
        <v>76.999999999999986</v>
      </c>
      <c r="K1432">
        <v>-168</v>
      </c>
      <c r="L1432" s="14" t="s">
        <v>99</v>
      </c>
      <c r="M1432" s="8" t="s">
        <v>129</v>
      </c>
      <c r="N1432">
        <v>-91</v>
      </c>
      <c r="O1432" t="s">
        <v>4</v>
      </c>
      <c r="P1432" t="s">
        <v>3</v>
      </c>
      <c r="Q1432">
        <v>2026</v>
      </c>
      <c r="R1432" s="240" t="s">
        <v>129</v>
      </c>
      <c r="S1432" t="s">
        <v>96</v>
      </c>
      <c r="T1432" t="s">
        <v>1681</v>
      </c>
      <c r="U1432" t="str">
        <f>IFERROR(_xlfn.XLOOKUP(A1432,'2025 EOY'!A:A,'2025 EOY'!B:B),"No")</f>
        <v>Yes</v>
      </c>
    </row>
    <row r="1433" spans="1:23" x14ac:dyDescent="0.35">
      <c r="A1433" t="s">
        <v>1678</v>
      </c>
      <c r="B1433" s="16">
        <v>46020</v>
      </c>
      <c r="C1433" s="10" t="s">
        <v>10</v>
      </c>
      <c r="D1433" s="4" t="s">
        <v>268</v>
      </c>
      <c r="E1433" s="253">
        <v>-700</v>
      </c>
      <c r="F1433" s="172">
        <v>46112</v>
      </c>
      <c r="G1433" s="172">
        <v>46112</v>
      </c>
      <c r="H1433" s="212">
        <v>-3.63</v>
      </c>
      <c r="I1433" s="192">
        <v>-4.47</v>
      </c>
      <c r="J1433" s="9">
        <v>587.99999999999989</v>
      </c>
      <c r="K1433">
        <v>2541</v>
      </c>
      <c r="L1433" s="14" t="s">
        <v>104</v>
      </c>
      <c r="M1433" s="8" t="s">
        <v>129</v>
      </c>
      <c r="N1433">
        <v>3129</v>
      </c>
      <c r="O1433" t="s">
        <v>11</v>
      </c>
      <c r="P1433" t="s">
        <v>10</v>
      </c>
      <c r="Q1433">
        <v>2026</v>
      </c>
      <c r="R1433" s="240" t="s">
        <v>129</v>
      </c>
      <c r="S1433" t="s">
        <v>96</v>
      </c>
      <c r="T1433" t="s">
        <v>1682</v>
      </c>
      <c r="U1433" t="str">
        <f>IFERROR(_xlfn.XLOOKUP(A1433,'2025 EOY'!A:A,'2025 EOY'!B:B),"No")</f>
        <v>Yes</v>
      </c>
    </row>
    <row r="1434" spans="1:23" x14ac:dyDescent="0.35">
      <c r="A1434" s="37" t="s">
        <v>127</v>
      </c>
      <c r="B1434" s="16">
        <v>46020</v>
      </c>
      <c r="C1434" s="10" t="s">
        <v>22</v>
      </c>
      <c r="D1434" s="4" t="s">
        <v>128</v>
      </c>
      <c r="E1434" s="253">
        <v>200</v>
      </c>
      <c r="F1434" t="s">
        <v>1629</v>
      </c>
      <c r="G1434" s="172">
        <v>46053</v>
      </c>
      <c r="H1434" s="15">
        <v>0.97</v>
      </c>
      <c r="I1434" s="191">
        <v>0.97</v>
      </c>
      <c r="J1434" s="9">
        <v>0</v>
      </c>
      <c r="K1434">
        <v>194</v>
      </c>
      <c r="L1434" s="347" t="s">
        <v>95</v>
      </c>
      <c r="M1434" s="8" t="s">
        <v>131</v>
      </c>
      <c r="N1434">
        <v>194</v>
      </c>
      <c r="O1434" s="38" t="s">
        <v>11</v>
      </c>
      <c r="P1434" s="38" t="s">
        <v>16</v>
      </c>
      <c r="Q1434">
        <v>2026</v>
      </c>
      <c r="R1434" t="s">
        <v>131</v>
      </c>
      <c r="S1434" t="s">
        <v>96</v>
      </c>
      <c r="T1434" t="s">
        <v>1683</v>
      </c>
      <c r="U1434" t="str">
        <f>IFERROR(_xlfn.XLOOKUP(A1434,'2025 EOY'!A:A,'2025 EOY'!B:B),"No")</f>
        <v>No</v>
      </c>
    </row>
    <row r="1435" spans="1:23" x14ac:dyDescent="0.35">
      <c r="A1435" s="37" t="s">
        <v>127</v>
      </c>
      <c r="B1435" s="16">
        <v>46020</v>
      </c>
      <c r="C1435" s="10" t="s">
        <v>22</v>
      </c>
      <c r="D1435" s="4" t="s">
        <v>128</v>
      </c>
      <c r="E1435" s="253">
        <v>-200</v>
      </c>
      <c r="F1435" t="s">
        <v>1631</v>
      </c>
      <c r="G1435" s="172">
        <v>46053</v>
      </c>
      <c r="H1435" s="15">
        <v>0.42999999999999994</v>
      </c>
      <c r="I1435" s="191">
        <v>0.42</v>
      </c>
      <c r="J1435" s="9">
        <v>1.9999999999999907</v>
      </c>
      <c r="K1435">
        <v>-85.999999999999986</v>
      </c>
      <c r="L1435" s="347" t="s">
        <v>95</v>
      </c>
      <c r="M1435" s="8" t="s">
        <v>129</v>
      </c>
      <c r="N1435">
        <v>-84</v>
      </c>
      <c r="O1435" s="38" t="s">
        <v>11</v>
      </c>
      <c r="P1435" s="38" t="s">
        <v>16</v>
      </c>
      <c r="Q1435">
        <v>2026</v>
      </c>
      <c r="R1435" t="s">
        <v>129</v>
      </c>
      <c r="S1435" t="s">
        <v>96</v>
      </c>
      <c r="T1435" t="s">
        <v>1684</v>
      </c>
      <c r="U1435" t="str">
        <f>IFERROR(_xlfn.XLOOKUP(A1435,'2025 EOY'!A:A,'2025 EOY'!B:B),"No")</f>
        <v>No</v>
      </c>
    </row>
    <row r="1436" spans="1:23" x14ac:dyDescent="0.35">
      <c r="A1436" t="s">
        <v>1678</v>
      </c>
      <c r="B1436" s="174">
        <v>46020</v>
      </c>
      <c r="C1436" s="10" t="s">
        <v>3</v>
      </c>
      <c r="D1436" s="4" t="s">
        <v>128</v>
      </c>
      <c r="E1436" s="253">
        <v>354</v>
      </c>
      <c r="F1436" s="172">
        <v>46081</v>
      </c>
      <c r="G1436" s="172">
        <v>46112</v>
      </c>
      <c r="H1436" s="218">
        <v>0.23</v>
      </c>
      <c r="I1436" s="192">
        <v>0.13</v>
      </c>
      <c r="J1436" s="9">
        <v>-35.4</v>
      </c>
      <c r="K1436">
        <v>81.42</v>
      </c>
      <c r="L1436" s="14" t="s">
        <v>99</v>
      </c>
      <c r="M1436" s="8" t="s">
        <v>131</v>
      </c>
      <c r="N1436">
        <v>46.02</v>
      </c>
      <c r="O1436" s="38" t="s">
        <v>4</v>
      </c>
      <c r="P1436" s="38" t="s">
        <v>3</v>
      </c>
      <c r="Q1436">
        <v>2026</v>
      </c>
      <c r="R1436" t="s">
        <v>131</v>
      </c>
      <c r="S1436" t="s">
        <v>96</v>
      </c>
      <c r="T1436" t="s">
        <v>1685</v>
      </c>
      <c r="U1436" t="str">
        <f>IFERROR(_xlfn.XLOOKUP(A1436,'2025 EOY'!A:A,'2025 EOY'!B:B),"No")</f>
        <v>Yes</v>
      </c>
    </row>
    <row r="1437" spans="1:23" x14ac:dyDescent="0.35">
      <c r="A1437" t="s">
        <v>1678</v>
      </c>
      <c r="B1437" s="174">
        <v>46020</v>
      </c>
      <c r="C1437" s="10" t="s">
        <v>3</v>
      </c>
      <c r="D1437" s="4" t="s">
        <v>128</v>
      </c>
      <c r="E1437" s="253">
        <v>93</v>
      </c>
      <c r="F1437" s="172">
        <v>46112</v>
      </c>
      <c r="G1437" s="172">
        <v>46142</v>
      </c>
      <c r="H1437" s="218">
        <v>0.17</v>
      </c>
      <c r="I1437" s="192">
        <v>0.19</v>
      </c>
      <c r="J1437" s="9">
        <v>1.859999999999999</v>
      </c>
      <c r="K1437">
        <v>15.81</v>
      </c>
      <c r="L1437" s="14" t="s">
        <v>100</v>
      </c>
      <c r="M1437" s="8" t="s">
        <v>131</v>
      </c>
      <c r="N1437">
        <v>17.670000000000002</v>
      </c>
      <c r="O1437" s="38" t="s">
        <v>4</v>
      </c>
      <c r="P1437" s="38" t="s">
        <v>3</v>
      </c>
      <c r="Q1437">
        <v>2026</v>
      </c>
      <c r="R1437" t="s">
        <v>131</v>
      </c>
      <c r="S1437" t="s">
        <v>96</v>
      </c>
      <c r="T1437" t="s">
        <v>1686</v>
      </c>
      <c r="U1437" t="str">
        <f>IFERROR(_xlfn.XLOOKUP(A1437,'2025 EOY'!A:A,'2025 EOY'!B:B),"No")</f>
        <v>Yes</v>
      </c>
    </row>
    <row r="1438" spans="1:23" x14ac:dyDescent="0.35">
      <c r="A1438" t="s">
        <v>1678</v>
      </c>
      <c r="B1438" s="174">
        <v>46021</v>
      </c>
      <c r="C1438" s="10" t="s">
        <v>7</v>
      </c>
      <c r="D1438" s="4" t="s">
        <v>128</v>
      </c>
      <c r="E1438" s="253">
        <v>125</v>
      </c>
      <c r="F1438" s="172">
        <v>46081</v>
      </c>
      <c r="G1438" s="172">
        <v>46112</v>
      </c>
      <c r="H1438" s="219">
        <v>0.4</v>
      </c>
      <c r="I1438" s="192">
        <v>0.59</v>
      </c>
      <c r="J1438" s="9">
        <v>23.749999999999993</v>
      </c>
      <c r="K1438">
        <v>50</v>
      </c>
      <c r="L1438" s="14" t="s">
        <v>99</v>
      </c>
      <c r="M1438" s="8" t="s">
        <v>131</v>
      </c>
      <c r="N1438">
        <v>73.75</v>
      </c>
      <c r="O1438" s="38" t="s">
        <v>4</v>
      </c>
      <c r="P1438" s="38" t="s">
        <v>7</v>
      </c>
      <c r="Q1438">
        <v>2026</v>
      </c>
      <c r="R1438" t="s">
        <v>131</v>
      </c>
      <c r="S1438" t="s">
        <v>96</v>
      </c>
      <c r="T1438" t="s">
        <v>1687</v>
      </c>
      <c r="U1438" t="str">
        <f>IFERROR(_xlfn.XLOOKUP(A1438,'2025 EOY'!A:A,'2025 EOY'!B:B),"No")</f>
        <v>Yes</v>
      </c>
    </row>
    <row r="1439" spans="1:23" x14ac:dyDescent="0.35">
      <c r="A1439" t="s">
        <v>1678</v>
      </c>
      <c r="B1439" s="174">
        <v>46021</v>
      </c>
      <c r="C1439" s="10" t="s">
        <v>10</v>
      </c>
      <c r="D1439" s="4" t="s">
        <v>128</v>
      </c>
      <c r="E1439" s="253">
        <v>24</v>
      </c>
      <c r="F1439" s="172">
        <v>46081</v>
      </c>
      <c r="G1439" s="172">
        <v>46081</v>
      </c>
      <c r="H1439" s="348">
        <v>-3.97</v>
      </c>
      <c r="I1439" s="192">
        <v>-3.97</v>
      </c>
      <c r="J1439" s="9">
        <v>0</v>
      </c>
      <c r="K1439">
        <v>-95.28</v>
      </c>
      <c r="L1439" s="14" t="s">
        <v>98</v>
      </c>
      <c r="M1439" s="8" t="s">
        <v>131</v>
      </c>
      <c r="N1439">
        <v>-95.28</v>
      </c>
      <c r="O1439" s="38" t="s">
        <v>11</v>
      </c>
      <c r="P1439" s="38" t="s">
        <v>10</v>
      </c>
      <c r="Q1439">
        <v>2026</v>
      </c>
      <c r="R1439" t="s">
        <v>131</v>
      </c>
      <c r="S1439" t="s">
        <v>96</v>
      </c>
      <c r="T1439" t="s">
        <v>1688</v>
      </c>
      <c r="U1439" t="str">
        <f>IFERROR(_xlfn.XLOOKUP(A1439,'2025 EOY'!A:A,'2025 EOY'!B:B),"No")</f>
        <v>Yes</v>
      </c>
    </row>
    <row r="1440" spans="1:23" x14ac:dyDescent="0.35">
      <c r="A1440" t="s">
        <v>1678</v>
      </c>
      <c r="B1440" s="174">
        <v>46021</v>
      </c>
      <c r="C1440" s="10" t="s">
        <v>3</v>
      </c>
      <c r="D1440" s="4" t="s">
        <v>128</v>
      </c>
      <c r="E1440" s="253">
        <v>354</v>
      </c>
      <c r="F1440" s="172">
        <v>46081</v>
      </c>
      <c r="G1440" s="172">
        <v>46112</v>
      </c>
      <c r="H1440" s="348">
        <v>0.21</v>
      </c>
      <c r="I1440" s="192">
        <v>0.13</v>
      </c>
      <c r="J1440" s="9">
        <v>-28.319999999999997</v>
      </c>
      <c r="K1440">
        <v>74.34</v>
      </c>
      <c r="L1440" s="14" t="s">
        <v>99</v>
      </c>
      <c r="M1440" s="8" t="s">
        <v>131</v>
      </c>
      <c r="N1440">
        <v>46.02</v>
      </c>
      <c r="O1440" s="38" t="s">
        <v>4</v>
      </c>
      <c r="P1440" s="38" t="s">
        <v>3</v>
      </c>
      <c r="Q1440">
        <v>2026</v>
      </c>
      <c r="R1440" t="s">
        <v>131</v>
      </c>
      <c r="S1440" t="s">
        <v>96</v>
      </c>
      <c r="T1440" t="s">
        <v>1689</v>
      </c>
      <c r="U1440" t="str">
        <f>IFERROR(_xlfn.XLOOKUP(A1440,'2025 EOY'!A:A,'2025 EOY'!B:B),"No")</f>
        <v>Yes</v>
      </c>
    </row>
    <row r="1441" spans="1:29" x14ac:dyDescent="0.35">
      <c r="A1441" t="s">
        <v>1678</v>
      </c>
      <c r="B1441" s="174">
        <v>46021</v>
      </c>
      <c r="C1441" s="10" t="s">
        <v>3</v>
      </c>
      <c r="D1441" s="4" t="s">
        <v>128</v>
      </c>
      <c r="E1441" s="253">
        <v>93</v>
      </c>
      <c r="F1441" s="172">
        <v>46112</v>
      </c>
      <c r="G1441" s="172">
        <v>46142</v>
      </c>
      <c r="H1441" s="348">
        <v>0.16</v>
      </c>
      <c r="I1441" s="192">
        <v>0.19</v>
      </c>
      <c r="J1441" s="9">
        <v>2.79</v>
      </c>
      <c r="K1441">
        <v>14.88</v>
      </c>
      <c r="L1441" s="14" t="s">
        <v>100</v>
      </c>
      <c r="M1441" s="8" t="s">
        <v>131</v>
      </c>
      <c r="N1441">
        <v>17.670000000000002</v>
      </c>
      <c r="O1441" s="38" t="s">
        <v>4</v>
      </c>
      <c r="P1441" s="38" t="s">
        <v>3</v>
      </c>
      <c r="Q1441">
        <v>2026</v>
      </c>
      <c r="R1441" t="s">
        <v>131</v>
      </c>
      <c r="S1441" t="s">
        <v>96</v>
      </c>
      <c r="T1441" t="s">
        <v>1690</v>
      </c>
      <c r="U1441" t="str">
        <f>IFERROR(_xlfn.XLOOKUP(A1441,'2025 EOY'!A:A,'2025 EOY'!B:B),"No")</f>
        <v>Yes</v>
      </c>
    </row>
    <row r="1442" spans="1:29" x14ac:dyDescent="0.35">
      <c r="A1442" s="37" t="s">
        <v>1678</v>
      </c>
      <c r="B1442" s="174">
        <v>46021</v>
      </c>
      <c r="C1442" s="10" t="s">
        <v>44</v>
      </c>
      <c r="D1442" s="10" t="s">
        <v>128</v>
      </c>
      <c r="E1442" s="259">
        <v>375</v>
      </c>
      <c r="F1442" s="172">
        <v>46081</v>
      </c>
      <c r="G1442" s="172">
        <v>46081</v>
      </c>
      <c r="H1442" s="15">
        <v>0.67</v>
      </c>
      <c r="I1442" s="191">
        <v>1.1499999999999999</v>
      </c>
      <c r="J1442" s="9">
        <v>179.99999999999994</v>
      </c>
      <c r="K1442">
        <v>251.25000000000003</v>
      </c>
      <c r="L1442" s="14" t="s">
        <v>98</v>
      </c>
      <c r="M1442" s="8" t="s">
        <v>131</v>
      </c>
      <c r="N1442">
        <v>431.24999999999994</v>
      </c>
      <c r="O1442" s="38" t="s">
        <v>11</v>
      </c>
      <c r="P1442" s="38" t="s">
        <v>44</v>
      </c>
      <c r="Q1442">
        <v>2026</v>
      </c>
      <c r="R1442" t="s">
        <v>131</v>
      </c>
      <c r="S1442" t="s">
        <v>96</v>
      </c>
      <c r="T1442" t="s">
        <v>1691</v>
      </c>
      <c r="U1442" t="str">
        <f>IFERROR(_xlfn.XLOOKUP(A1442,'2025 EOY'!A:A,'2025 EOY'!B:B),"No")</f>
        <v>Yes</v>
      </c>
    </row>
    <row r="1443" spans="1:29" x14ac:dyDescent="0.35">
      <c r="A1443" s="37" t="s">
        <v>1678</v>
      </c>
      <c r="B1443" s="174">
        <v>46021</v>
      </c>
      <c r="C1443" s="10" t="s">
        <v>44</v>
      </c>
      <c r="D1443" s="10" t="s">
        <v>268</v>
      </c>
      <c r="E1443" s="259">
        <v>12</v>
      </c>
      <c r="F1443" s="172">
        <v>46081</v>
      </c>
      <c r="G1443" s="172">
        <v>46081</v>
      </c>
      <c r="H1443" s="15">
        <v>0.69</v>
      </c>
      <c r="I1443" s="191">
        <v>1.1499999999999999</v>
      </c>
      <c r="J1443" s="9">
        <v>5.52</v>
      </c>
      <c r="K1443">
        <v>8.2799999999999994</v>
      </c>
      <c r="L1443" s="14" t="s">
        <v>98</v>
      </c>
      <c r="M1443" s="8" t="s">
        <v>131</v>
      </c>
      <c r="N1443">
        <v>13.799999999999999</v>
      </c>
      <c r="O1443" s="38" t="s">
        <v>11</v>
      </c>
      <c r="P1443" s="38" t="s">
        <v>44</v>
      </c>
      <c r="Q1443">
        <v>2026</v>
      </c>
      <c r="R1443" t="s">
        <v>131</v>
      </c>
      <c r="S1443" t="s">
        <v>96</v>
      </c>
      <c r="T1443" t="s">
        <v>1692</v>
      </c>
      <c r="U1443" t="str">
        <f>IFERROR(_xlfn.XLOOKUP(A1443,'2025 EOY'!A:A,'2025 EOY'!B:B),"No")</f>
        <v>Yes</v>
      </c>
    </row>
    <row r="1444" spans="1:29" x14ac:dyDescent="0.35">
      <c r="A1444" t="s">
        <v>1678</v>
      </c>
      <c r="B1444" s="174">
        <v>46021</v>
      </c>
      <c r="C1444" s="10" t="s">
        <v>10</v>
      </c>
      <c r="D1444" s="4" t="s">
        <v>128</v>
      </c>
      <c r="E1444" s="253">
        <v>400</v>
      </c>
      <c r="F1444" s="172">
        <v>46142</v>
      </c>
      <c r="G1444" s="172">
        <v>46142</v>
      </c>
      <c r="H1444" s="348">
        <v>-3.42</v>
      </c>
      <c r="I1444" s="192">
        <v>-4.03</v>
      </c>
      <c r="J1444" s="9">
        <v>-244.00000000000011</v>
      </c>
      <c r="K1444">
        <v>-1368</v>
      </c>
      <c r="L1444" s="14" t="s">
        <v>102</v>
      </c>
      <c r="M1444" s="8" t="s">
        <v>131</v>
      </c>
      <c r="N1444">
        <v>-1612</v>
      </c>
      <c r="O1444" s="38" t="s">
        <v>11</v>
      </c>
      <c r="P1444" s="38" t="s">
        <v>10</v>
      </c>
      <c r="Q1444">
        <v>2026</v>
      </c>
      <c r="R1444" t="s">
        <v>131</v>
      </c>
      <c r="S1444" t="s">
        <v>96</v>
      </c>
      <c r="T1444" t="s">
        <v>1693</v>
      </c>
      <c r="U1444" t="str">
        <f>IFERROR(_xlfn.XLOOKUP(A1444,'2025 EOY'!A:A,'2025 EOY'!B:B),"No")</f>
        <v>Yes</v>
      </c>
    </row>
    <row r="1445" spans="1:29" x14ac:dyDescent="0.35">
      <c r="A1445" t="s">
        <v>1678</v>
      </c>
      <c r="B1445" s="174">
        <v>46022</v>
      </c>
      <c r="C1445" s="10" t="s">
        <v>3</v>
      </c>
      <c r="D1445" s="4" t="s">
        <v>128</v>
      </c>
      <c r="E1445" s="253">
        <v>354</v>
      </c>
      <c r="F1445" s="172">
        <v>46081</v>
      </c>
      <c r="G1445" s="172">
        <v>46112</v>
      </c>
      <c r="H1445" s="348">
        <v>0.21</v>
      </c>
      <c r="I1445" s="192">
        <v>0.13</v>
      </c>
      <c r="J1445" s="9">
        <v>-28.319999999999997</v>
      </c>
      <c r="K1445">
        <v>74.34</v>
      </c>
      <c r="L1445" s="14" t="s">
        <v>99</v>
      </c>
      <c r="M1445" s="8" t="s">
        <v>131</v>
      </c>
      <c r="N1445">
        <v>46.02</v>
      </c>
      <c r="O1445" s="38" t="s">
        <v>4</v>
      </c>
      <c r="P1445" s="38" t="s">
        <v>3</v>
      </c>
      <c r="Q1445">
        <v>2026</v>
      </c>
      <c r="R1445" t="s">
        <v>131</v>
      </c>
      <c r="S1445" t="s">
        <v>96</v>
      </c>
      <c r="T1445" t="s">
        <v>1694</v>
      </c>
      <c r="U1445" t="str">
        <f>IFERROR(_xlfn.XLOOKUP(A1445,'2025 EOY'!A:A,'2025 EOY'!B:B),"No")</f>
        <v>Yes</v>
      </c>
    </row>
    <row r="1446" spans="1:29" x14ac:dyDescent="0.35">
      <c r="A1446" t="s">
        <v>1678</v>
      </c>
      <c r="B1446" s="174">
        <v>46022</v>
      </c>
      <c r="C1446" s="10" t="s">
        <v>3</v>
      </c>
      <c r="D1446" s="4" t="s">
        <v>128</v>
      </c>
      <c r="E1446" s="253">
        <v>93</v>
      </c>
      <c r="F1446" s="172">
        <v>46112</v>
      </c>
      <c r="G1446" s="172">
        <v>46142</v>
      </c>
      <c r="H1446" s="348">
        <v>0.16</v>
      </c>
      <c r="I1446" s="192">
        <v>0.19</v>
      </c>
      <c r="J1446" s="9">
        <v>2.79</v>
      </c>
      <c r="K1446">
        <v>14.88</v>
      </c>
      <c r="L1446" s="14" t="s">
        <v>100</v>
      </c>
      <c r="M1446" s="8" t="s">
        <v>131</v>
      </c>
      <c r="N1446">
        <v>17.670000000000002</v>
      </c>
      <c r="O1446" s="38" t="s">
        <v>4</v>
      </c>
      <c r="P1446" s="38" t="s">
        <v>3</v>
      </c>
      <c r="Q1446">
        <v>2026</v>
      </c>
      <c r="R1446" t="s">
        <v>131</v>
      </c>
      <c r="S1446" t="s">
        <v>96</v>
      </c>
      <c r="T1446" t="s">
        <v>1695</v>
      </c>
      <c r="U1446" t="str">
        <f>IFERROR(_xlfn.XLOOKUP(A1446,'2025 EOY'!A:A,'2025 EOY'!B:B),"No")</f>
        <v>Yes</v>
      </c>
    </row>
    <row r="1447" spans="1:29" x14ac:dyDescent="0.35">
      <c r="A1447" s="37" t="s">
        <v>1483</v>
      </c>
      <c r="B1447" s="174">
        <v>46022</v>
      </c>
      <c r="C1447" s="47" t="s">
        <v>36</v>
      </c>
      <c r="D1447" s="4" t="s">
        <v>268</v>
      </c>
      <c r="E1447" s="265">
        <v>250</v>
      </c>
      <c r="F1447" s="172">
        <v>46022</v>
      </c>
      <c r="G1447" s="172">
        <v>46022</v>
      </c>
      <c r="H1447" s="219">
        <v>208.93</v>
      </c>
      <c r="I1447" s="206">
        <v>208.93</v>
      </c>
      <c r="J1447" s="9">
        <v>0</v>
      </c>
      <c r="K1447">
        <v>52232.5</v>
      </c>
      <c r="L1447" s="14" t="s">
        <v>94</v>
      </c>
      <c r="M1447" s="8" t="s">
        <v>131</v>
      </c>
      <c r="N1447">
        <v>52232.5</v>
      </c>
      <c r="O1447" s="38" t="s">
        <v>29</v>
      </c>
      <c r="P1447" s="38" t="s">
        <v>29</v>
      </c>
      <c r="Q1447">
        <v>2025</v>
      </c>
      <c r="R1447" t="s">
        <v>131</v>
      </c>
      <c r="S1447" t="s">
        <v>14</v>
      </c>
      <c r="T1447" t="s">
        <v>1696</v>
      </c>
      <c r="U1447" t="str">
        <f>IFERROR(_xlfn.XLOOKUP(A1447,'2025 EOY'!A:A,'2025 EOY'!B:B),"No")</f>
        <v>No</v>
      </c>
    </row>
    <row r="1448" spans="1:29" x14ac:dyDescent="0.35">
      <c r="A1448" t="s">
        <v>127</v>
      </c>
      <c r="B1448" s="16">
        <v>46022</v>
      </c>
      <c r="C1448" s="10" t="s">
        <v>15</v>
      </c>
      <c r="D1448" s="4" t="s">
        <v>128</v>
      </c>
      <c r="E1448" s="253">
        <v>3</v>
      </c>
      <c r="F1448" s="173">
        <v>46022</v>
      </c>
      <c r="G1448" s="173">
        <v>46022</v>
      </c>
      <c r="H1448" s="330">
        <v>0.99</v>
      </c>
      <c r="I1448" s="191">
        <v>0.99</v>
      </c>
      <c r="J1448" s="9">
        <v>0</v>
      </c>
      <c r="K1448">
        <v>2.9699999999999998</v>
      </c>
      <c r="L1448" s="14" t="s">
        <v>94</v>
      </c>
      <c r="M1448" s="8" t="s">
        <v>131</v>
      </c>
      <c r="N1448">
        <v>2.9699999999999998</v>
      </c>
      <c r="O1448" s="38" t="s">
        <v>11</v>
      </c>
      <c r="P1448" s="38" t="s">
        <v>16</v>
      </c>
      <c r="Q1448" s="240">
        <v>2025</v>
      </c>
      <c r="R1448" t="s">
        <v>131</v>
      </c>
      <c r="S1448" t="s">
        <v>14</v>
      </c>
      <c r="T1448" t="s">
        <v>1697</v>
      </c>
      <c r="U1448" t="str">
        <f>IFERROR(_xlfn.XLOOKUP(A1448,'2025 EOY'!A:A,'2025 EOY'!B:B),"No")</f>
        <v>No</v>
      </c>
    </row>
    <row r="1449" spans="1:29" x14ac:dyDescent="0.35">
      <c r="A1449" s="37" t="s">
        <v>1678</v>
      </c>
      <c r="B1449" s="174">
        <v>46022</v>
      </c>
      <c r="C1449" s="10" t="s">
        <v>44</v>
      </c>
      <c r="D1449" s="10" t="s">
        <v>128</v>
      </c>
      <c r="E1449" s="259">
        <v>200</v>
      </c>
      <c r="F1449" s="172">
        <v>46081</v>
      </c>
      <c r="G1449" s="172">
        <v>46081</v>
      </c>
      <c r="H1449" s="15">
        <v>0.71</v>
      </c>
      <c r="I1449" s="191">
        <v>1.1499999999999999</v>
      </c>
      <c r="J1449" s="9">
        <v>87.999999999999986</v>
      </c>
      <c r="K1449">
        <v>142</v>
      </c>
      <c r="L1449" s="14" t="s">
        <v>98</v>
      </c>
      <c r="M1449" s="8" t="s">
        <v>131</v>
      </c>
      <c r="N1449">
        <v>229.99999999999997</v>
      </c>
      <c r="O1449" s="38" t="s">
        <v>11</v>
      </c>
      <c r="P1449" s="38" t="s">
        <v>44</v>
      </c>
      <c r="Q1449">
        <v>2026</v>
      </c>
      <c r="R1449" t="s">
        <v>131</v>
      </c>
      <c r="S1449" t="s">
        <v>96</v>
      </c>
      <c r="T1449" t="s">
        <v>1698</v>
      </c>
      <c r="U1449" t="str">
        <f>IFERROR(_xlfn.XLOOKUP(A1449,'2025 EOY'!A:A,'2025 EOY'!B:B),"No")</f>
        <v>Yes</v>
      </c>
    </row>
    <row r="1450" spans="1:29" x14ac:dyDescent="0.35">
      <c r="A1450" s="26" t="s">
        <v>278</v>
      </c>
      <c r="B1450" s="280">
        <v>46024</v>
      </c>
      <c r="C1450" s="23" t="s">
        <v>7</v>
      </c>
      <c r="D1450" s="26" t="s">
        <v>128</v>
      </c>
      <c r="E1450" s="256"/>
      <c r="F1450" s="324">
        <v>46022</v>
      </c>
      <c r="G1450" s="351">
        <v>46022</v>
      </c>
      <c r="H1450" s="207"/>
      <c r="I1450" s="193"/>
      <c r="J1450" s="26">
        <v>-311.44900000002588</v>
      </c>
      <c r="K1450" s="26">
        <v>0</v>
      </c>
      <c r="L1450" s="282" t="s">
        <v>94</v>
      </c>
      <c r="M1450" s="27" t="s">
        <v>131</v>
      </c>
      <c r="N1450" s="26">
        <v>0</v>
      </c>
      <c r="O1450" s="28" t="s">
        <v>4</v>
      </c>
      <c r="P1450" s="28" t="s">
        <v>7</v>
      </c>
      <c r="Q1450" s="28">
        <v>2025</v>
      </c>
      <c r="R1450" t="s">
        <v>129</v>
      </c>
      <c r="S1450" t="s">
        <v>14</v>
      </c>
      <c r="T1450" t="s">
        <v>1699</v>
      </c>
      <c r="U1450" t="str">
        <f>IFERROR(_xlfn.XLOOKUP(A1450,'2025 EOY'!A:A,'2025 EOY'!B:B),"No")</f>
        <v>No</v>
      </c>
    </row>
    <row r="1451" spans="1:29" x14ac:dyDescent="0.35">
      <c r="A1451" t="s">
        <v>278</v>
      </c>
      <c r="B1451" s="174">
        <v>46024</v>
      </c>
      <c r="C1451" s="4" t="s">
        <v>22</v>
      </c>
      <c r="D1451" t="s">
        <v>128</v>
      </c>
      <c r="F1451" s="16">
        <v>46022</v>
      </c>
      <c r="G1451" s="181">
        <v>46022</v>
      </c>
      <c r="H1451" s="212"/>
      <c r="I1451" s="192"/>
      <c r="J1451">
        <v>-47.534000000000027</v>
      </c>
      <c r="K1451">
        <v>0</v>
      </c>
      <c r="L1451" s="14" t="s">
        <v>94</v>
      </c>
      <c r="M1451" s="8" t="s">
        <v>131</v>
      </c>
      <c r="N1451">
        <v>0</v>
      </c>
      <c r="O1451" s="38" t="s">
        <v>11</v>
      </c>
      <c r="P1451" s="38" t="s">
        <v>16</v>
      </c>
      <c r="Q1451" s="38">
        <v>2025</v>
      </c>
      <c r="R1451" t="s">
        <v>129</v>
      </c>
      <c r="S1451" t="s">
        <v>14</v>
      </c>
      <c r="T1451" t="s">
        <v>1700</v>
      </c>
      <c r="U1451" t="str">
        <f>IFERROR(_xlfn.XLOOKUP(A1451,'2025 EOY'!A:A,'2025 EOY'!B:B),"No")</f>
        <v>No</v>
      </c>
    </row>
    <row r="1452" spans="1:29" x14ac:dyDescent="0.35">
      <c r="A1452" t="s">
        <v>278</v>
      </c>
      <c r="B1452" s="174">
        <v>46024</v>
      </c>
      <c r="C1452" s="4" t="s">
        <v>15</v>
      </c>
      <c r="D1452" t="s">
        <v>128</v>
      </c>
      <c r="F1452" s="16">
        <v>46022</v>
      </c>
      <c r="G1452" s="181">
        <v>46022</v>
      </c>
      <c r="H1452" s="212"/>
      <c r="I1452" s="192"/>
      <c r="J1452">
        <v>-8569.2546979999988</v>
      </c>
      <c r="K1452">
        <v>0</v>
      </c>
      <c r="L1452" s="14" t="s">
        <v>94</v>
      </c>
      <c r="M1452" s="8" t="s">
        <v>131</v>
      </c>
      <c r="N1452">
        <v>0</v>
      </c>
      <c r="O1452" s="38" t="s">
        <v>11</v>
      </c>
      <c r="P1452" s="38" t="s">
        <v>16</v>
      </c>
      <c r="Q1452" s="38">
        <v>2025</v>
      </c>
      <c r="R1452" t="s">
        <v>129</v>
      </c>
      <c r="S1452" t="s">
        <v>14</v>
      </c>
      <c r="T1452" t="s">
        <v>1701</v>
      </c>
      <c r="U1452" t="str">
        <f>IFERROR(_xlfn.XLOOKUP(A1452,'2025 EOY'!A:A,'2025 EOY'!B:B),"No")</f>
        <v>No</v>
      </c>
    </row>
    <row r="1453" spans="1:29" x14ac:dyDescent="0.35">
      <c r="A1453" t="s">
        <v>278</v>
      </c>
      <c r="B1453" s="174">
        <v>46024</v>
      </c>
      <c r="C1453" s="4" t="s">
        <v>28</v>
      </c>
      <c r="D1453" t="s">
        <v>128</v>
      </c>
      <c r="F1453" s="16">
        <v>46022</v>
      </c>
      <c r="G1453" s="181">
        <v>46022</v>
      </c>
      <c r="H1453" s="212"/>
      <c r="I1453" s="37"/>
      <c r="J1453">
        <v>-2050</v>
      </c>
      <c r="K1453">
        <v>0</v>
      </c>
      <c r="L1453" s="14" t="s">
        <v>94</v>
      </c>
      <c r="M1453" s="8" t="s">
        <v>131</v>
      </c>
      <c r="N1453">
        <v>0</v>
      </c>
      <c r="O1453" s="38" t="s">
        <v>29</v>
      </c>
      <c r="P1453" s="38" t="s">
        <v>29</v>
      </c>
      <c r="Q1453" s="38">
        <v>2025</v>
      </c>
      <c r="R1453" t="s">
        <v>129</v>
      </c>
      <c r="S1453" t="s">
        <v>14</v>
      </c>
      <c r="T1453" t="s">
        <v>1702</v>
      </c>
      <c r="U1453" t="str">
        <f>IFERROR(_xlfn.XLOOKUP(A1453,'2025 EOY'!A:A,'2025 EOY'!B:B),"No")</f>
        <v>No</v>
      </c>
    </row>
    <row r="1454" spans="1:29" x14ac:dyDescent="0.35">
      <c r="A1454" t="s">
        <v>278</v>
      </c>
      <c r="B1454" s="174">
        <v>46024</v>
      </c>
      <c r="C1454" s="4" t="s">
        <v>36</v>
      </c>
      <c r="D1454" t="s">
        <v>128</v>
      </c>
      <c r="F1454" s="16">
        <v>46022</v>
      </c>
      <c r="G1454" s="181">
        <v>46022</v>
      </c>
      <c r="H1454" s="212"/>
      <c r="I1454" s="37"/>
      <c r="J1454">
        <v>-1009.8591360891787</v>
      </c>
      <c r="K1454">
        <v>0</v>
      </c>
      <c r="L1454" s="14" t="s">
        <v>94</v>
      </c>
      <c r="M1454" s="8" t="s">
        <v>131</v>
      </c>
      <c r="N1454">
        <v>0</v>
      </c>
      <c r="O1454" s="38" t="s">
        <v>29</v>
      </c>
      <c r="P1454" s="38" t="s">
        <v>29</v>
      </c>
      <c r="Q1454" s="38">
        <v>2025</v>
      </c>
      <c r="R1454" t="s">
        <v>129</v>
      </c>
      <c r="S1454" t="s">
        <v>14</v>
      </c>
      <c r="T1454" t="s">
        <v>1703</v>
      </c>
      <c r="U1454" t="str">
        <f>IFERROR(_xlfn.XLOOKUP(A1454,'2025 EOY'!A:A,'2025 EOY'!B:B),"No")</f>
        <v>No</v>
      </c>
    </row>
    <row r="1455" spans="1:29" x14ac:dyDescent="0.35">
      <c r="A1455" t="s">
        <v>278</v>
      </c>
      <c r="B1455" s="174">
        <v>46024</v>
      </c>
      <c r="C1455" s="4" t="s">
        <v>39</v>
      </c>
      <c r="D1455" t="s">
        <v>128</v>
      </c>
      <c r="F1455" s="16">
        <v>46022</v>
      </c>
      <c r="G1455" s="181">
        <v>46022</v>
      </c>
      <c r="H1455" s="212"/>
      <c r="I1455" s="37"/>
      <c r="J1455">
        <v>100.91439708939703</v>
      </c>
      <c r="K1455">
        <v>0</v>
      </c>
      <c r="L1455" s="14" t="s">
        <v>94</v>
      </c>
      <c r="M1455" s="8" t="s">
        <v>131</v>
      </c>
      <c r="N1455">
        <v>0</v>
      </c>
      <c r="O1455" s="38" t="s">
        <v>29</v>
      </c>
      <c r="P1455" s="38" t="s">
        <v>29</v>
      </c>
      <c r="Q1455" s="38">
        <v>2025</v>
      </c>
      <c r="R1455" t="s">
        <v>129</v>
      </c>
      <c r="S1455" t="s">
        <v>14</v>
      </c>
      <c r="T1455" t="s">
        <v>1704</v>
      </c>
      <c r="U1455" t="str">
        <f>IFERROR(_xlfn.XLOOKUP(A1455,'2025 EOY'!A:A,'2025 EOY'!B:B),"No")</f>
        <v>No</v>
      </c>
      <c r="W1455" s="18"/>
      <c r="X1455" s="18"/>
      <c r="Y1455" s="106"/>
      <c r="Z1455" s="105"/>
      <c r="AA1455" s="107"/>
      <c r="AB1455" s="106"/>
      <c r="AC1455" s="106"/>
    </row>
    <row r="1456" spans="1:29" x14ac:dyDescent="0.35">
      <c r="A1456" t="s">
        <v>278</v>
      </c>
      <c r="B1456" s="174">
        <v>46024</v>
      </c>
      <c r="C1456" s="4" t="s">
        <v>55</v>
      </c>
      <c r="D1456" t="s">
        <v>128</v>
      </c>
      <c r="F1456" s="16">
        <v>46022</v>
      </c>
      <c r="G1456" s="181">
        <v>46022</v>
      </c>
      <c r="H1456" s="212"/>
      <c r="I1456" s="192"/>
      <c r="J1456">
        <v>949</v>
      </c>
      <c r="K1456">
        <v>0</v>
      </c>
      <c r="L1456" s="14" t="s">
        <v>94</v>
      </c>
      <c r="M1456" s="8" t="s">
        <v>131</v>
      </c>
      <c r="N1456">
        <v>0</v>
      </c>
      <c r="O1456" s="38" t="s">
        <v>55</v>
      </c>
      <c r="P1456" s="38" t="s">
        <v>55</v>
      </c>
      <c r="Q1456" s="38">
        <v>2025</v>
      </c>
      <c r="R1456" t="s">
        <v>129</v>
      </c>
      <c r="S1456" t="s">
        <v>14</v>
      </c>
      <c r="T1456" t="s">
        <v>1705</v>
      </c>
      <c r="U1456" t="str">
        <f>IFERROR(_xlfn.XLOOKUP(A1456,'2025 EOY'!A:A,'2025 EOY'!B:B),"No")</f>
        <v>No</v>
      </c>
      <c r="Y1456" s="106"/>
      <c r="Z1456" s="105"/>
      <c r="AA1456" s="106"/>
      <c r="AB1456" s="106"/>
      <c r="AC1456" s="106"/>
    </row>
    <row r="1457" spans="1:29" x14ac:dyDescent="0.35">
      <c r="A1457" t="s">
        <v>278</v>
      </c>
      <c r="B1457" s="174">
        <v>46024</v>
      </c>
      <c r="C1457" s="4" t="s">
        <v>44</v>
      </c>
      <c r="D1457" t="s">
        <v>128</v>
      </c>
      <c r="F1457" s="16">
        <v>46022</v>
      </c>
      <c r="G1457" s="181">
        <v>46022</v>
      </c>
      <c r="H1457" s="212"/>
      <c r="I1457" s="37"/>
      <c r="J1457">
        <v>-234.36999999999998</v>
      </c>
      <c r="K1457">
        <v>0</v>
      </c>
      <c r="L1457" s="14" t="s">
        <v>94</v>
      </c>
      <c r="M1457" s="8" t="s">
        <v>131</v>
      </c>
      <c r="N1457">
        <v>0</v>
      </c>
      <c r="O1457" s="38" t="s">
        <v>11</v>
      </c>
      <c r="P1457" s="38" t="s">
        <v>44</v>
      </c>
      <c r="Q1457" s="38">
        <v>2025</v>
      </c>
      <c r="R1457" t="s">
        <v>129</v>
      </c>
      <c r="S1457" t="s">
        <v>14</v>
      </c>
      <c r="T1457" t="s">
        <v>1706</v>
      </c>
      <c r="U1457" t="str">
        <f>IFERROR(_xlfn.XLOOKUP(A1457,'2025 EOY'!A:A,'2025 EOY'!B:B),"No")</f>
        <v>No</v>
      </c>
      <c r="V1457" s="18"/>
      <c r="X1457" s="18"/>
      <c r="Y1457" s="106"/>
      <c r="Z1457" s="105"/>
      <c r="AA1457" s="106"/>
      <c r="AB1457" s="106"/>
      <c r="AC1457" s="106"/>
    </row>
    <row r="1458" spans="1:29" x14ac:dyDescent="0.35">
      <c r="A1458" t="s">
        <v>278</v>
      </c>
      <c r="B1458" s="174">
        <v>46024</v>
      </c>
      <c r="C1458" s="4" t="s">
        <v>19</v>
      </c>
      <c r="D1458" t="s">
        <v>128</v>
      </c>
      <c r="F1458" s="16">
        <v>46022</v>
      </c>
      <c r="G1458" s="181">
        <v>46022</v>
      </c>
      <c r="H1458" s="212"/>
      <c r="I1458" s="37"/>
      <c r="J1458">
        <v>-3312.3642646368235</v>
      </c>
      <c r="K1458">
        <v>0</v>
      </c>
      <c r="L1458" s="14" t="s">
        <v>94</v>
      </c>
      <c r="M1458" s="8" t="s">
        <v>131</v>
      </c>
      <c r="N1458">
        <v>0</v>
      </c>
      <c r="O1458" s="38" t="s">
        <v>19</v>
      </c>
      <c r="P1458" s="38" t="s">
        <v>19</v>
      </c>
      <c r="Q1458" s="38">
        <v>2025</v>
      </c>
      <c r="R1458" t="s">
        <v>129</v>
      </c>
      <c r="S1458" t="s">
        <v>96</v>
      </c>
      <c r="T1458" t="s">
        <v>1707</v>
      </c>
      <c r="U1458" t="str">
        <f>IFERROR(_xlfn.XLOOKUP(A1458,'2025 EOY'!A:A,'2025 EOY'!B:B),"No")</f>
        <v>No</v>
      </c>
      <c r="Y1458" s="106"/>
      <c r="Z1458" s="105"/>
      <c r="AA1458" s="106"/>
      <c r="AB1458" s="106"/>
      <c r="AC1458" s="106"/>
    </row>
    <row r="1459" spans="1:29" x14ac:dyDescent="0.35">
      <c r="A1459" t="s">
        <v>278</v>
      </c>
      <c r="B1459" s="174">
        <v>46024</v>
      </c>
      <c r="C1459" s="4" t="s">
        <v>3</v>
      </c>
      <c r="D1459" t="s">
        <v>128</v>
      </c>
      <c r="F1459" s="16">
        <v>46022</v>
      </c>
      <c r="G1459" s="181">
        <v>46022</v>
      </c>
      <c r="H1459" s="212"/>
      <c r="I1459" s="37"/>
      <c r="J1459">
        <v>-601.40999999993574</v>
      </c>
      <c r="K1459">
        <v>0</v>
      </c>
      <c r="L1459" s="14" t="s">
        <v>94</v>
      </c>
      <c r="M1459" s="8" t="s">
        <v>131</v>
      </c>
      <c r="N1459">
        <v>0</v>
      </c>
      <c r="O1459" s="38" t="s">
        <v>4</v>
      </c>
      <c r="P1459" s="38" t="s">
        <v>3</v>
      </c>
      <c r="Q1459" s="38">
        <v>2025</v>
      </c>
      <c r="R1459" t="s">
        <v>129</v>
      </c>
      <c r="S1459" t="s">
        <v>14</v>
      </c>
      <c r="T1459" t="s">
        <v>1708</v>
      </c>
      <c r="U1459" t="str">
        <f>IFERROR(_xlfn.XLOOKUP(A1459,'2025 EOY'!A:A,'2025 EOY'!B:B),"No")</f>
        <v>No</v>
      </c>
      <c r="Y1459" s="106"/>
      <c r="Z1459" s="105"/>
      <c r="AA1459" s="107"/>
      <c r="AB1459" s="106"/>
      <c r="AC1459" s="106"/>
    </row>
    <row r="1460" spans="1:29" x14ac:dyDescent="0.35">
      <c r="A1460" t="s">
        <v>278</v>
      </c>
      <c r="B1460" s="174">
        <v>46024</v>
      </c>
      <c r="C1460" s="4" t="s">
        <v>25</v>
      </c>
      <c r="D1460" t="s">
        <v>128</v>
      </c>
      <c r="F1460" s="16">
        <v>46022</v>
      </c>
      <c r="G1460" s="181">
        <v>46022</v>
      </c>
      <c r="H1460" s="212"/>
      <c r="I1460" s="37"/>
      <c r="J1460">
        <v>-1478.3600000000131</v>
      </c>
      <c r="K1460">
        <v>0</v>
      </c>
      <c r="L1460" s="14" t="s">
        <v>94</v>
      </c>
      <c r="M1460" s="8" t="s">
        <v>131</v>
      </c>
      <c r="N1460">
        <v>0</v>
      </c>
      <c r="O1460" s="38" t="s">
        <v>4</v>
      </c>
      <c r="P1460" s="38" t="s">
        <v>3</v>
      </c>
      <c r="Q1460" s="38">
        <v>2025</v>
      </c>
      <c r="R1460" t="s">
        <v>129</v>
      </c>
      <c r="S1460" t="s">
        <v>14</v>
      </c>
      <c r="T1460" t="s">
        <v>1709</v>
      </c>
      <c r="U1460" t="str">
        <f>IFERROR(_xlfn.XLOOKUP(A1460,'2025 EOY'!A:A,'2025 EOY'!B:B),"No")</f>
        <v>No</v>
      </c>
      <c r="V1460" s="98"/>
      <c r="Y1460" s="106"/>
      <c r="Z1460" s="105"/>
      <c r="AA1460" s="106"/>
      <c r="AB1460" s="106"/>
      <c r="AC1460" s="106"/>
    </row>
    <row r="1461" spans="1:29" x14ac:dyDescent="0.35">
      <c r="A1461" s="34" t="s">
        <v>278</v>
      </c>
      <c r="B1461" s="283">
        <v>46024</v>
      </c>
      <c r="C1461" s="31" t="s">
        <v>10</v>
      </c>
      <c r="D1461" s="34" t="s">
        <v>128</v>
      </c>
      <c r="E1461" s="257"/>
      <c r="F1461" s="327">
        <v>46022</v>
      </c>
      <c r="G1461" s="352">
        <v>46022</v>
      </c>
      <c r="H1461" s="208"/>
      <c r="I1461" s="29"/>
      <c r="J1461" s="34">
        <v>-4108.5550000000512</v>
      </c>
      <c r="K1461" s="34">
        <v>0</v>
      </c>
      <c r="L1461" s="286" t="s">
        <v>94</v>
      </c>
      <c r="M1461" s="35" t="s">
        <v>131</v>
      </c>
      <c r="N1461" s="34">
        <v>0</v>
      </c>
      <c r="O1461" s="36" t="s">
        <v>11</v>
      </c>
      <c r="P1461" s="36" t="s">
        <v>10</v>
      </c>
      <c r="Q1461" s="36">
        <v>2025</v>
      </c>
      <c r="R1461" t="s">
        <v>129</v>
      </c>
      <c r="S1461" t="s">
        <v>14</v>
      </c>
      <c r="T1461" t="s">
        <v>1710</v>
      </c>
      <c r="U1461" t="str">
        <f>IFERROR(_xlfn.XLOOKUP(A1461,'2025 EOY'!A:A,'2025 EOY'!B:B),"No")</f>
        <v>No</v>
      </c>
    </row>
    <row r="1462" spans="1:29" x14ac:dyDescent="0.35">
      <c r="B1462" s="174"/>
      <c r="F1462" s="16"/>
      <c r="G1462" s="181"/>
      <c r="H1462" s="212"/>
      <c r="I1462" s="37"/>
      <c r="L1462" s="14"/>
      <c r="M1462" s="8"/>
      <c r="O1462" s="38"/>
      <c r="P1462" s="38"/>
      <c r="U1462" s="350"/>
    </row>
    <row r="1463" spans="1:29" x14ac:dyDescent="0.35">
      <c r="B1463" s="174"/>
      <c r="F1463" s="16"/>
      <c r="G1463" s="181"/>
      <c r="H1463" s="212"/>
      <c r="I1463" s="37"/>
      <c r="L1463" s="14"/>
      <c r="M1463" s="8"/>
      <c r="O1463" s="38"/>
      <c r="P1463" s="38"/>
      <c r="U1463" s="350"/>
    </row>
    <row r="1464" spans="1:29" s="20" customFormat="1" x14ac:dyDescent="0.35">
      <c r="A1464" s="20" t="s">
        <v>127</v>
      </c>
      <c r="B1464" s="182">
        <v>46024</v>
      </c>
      <c r="C1464" s="178" t="s">
        <v>3</v>
      </c>
      <c r="D1464" s="217" t="s">
        <v>128</v>
      </c>
      <c r="E1464" s="269">
        <v>-103</v>
      </c>
      <c r="F1464" s="365">
        <v>46081</v>
      </c>
      <c r="G1464" s="365">
        <v>46112</v>
      </c>
      <c r="H1464" s="366">
        <v>0.15</v>
      </c>
      <c r="I1464" s="202">
        <v>0.13</v>
      </c>
      <c r="J1464" s="367">
        <v>2.0599999999999992</v>
      </c>
      <c r="K1464" s="20">
        <v>-15.45</v>
      </c>
      <c r="L1464" s="368" t="s">
        <v>99</v>
      </c>
      <c r="M1464" s="153" t="s">
        <v>129</v>
      </c>
      <c r="N1464" s="20">
        <v>-13.39</v>
      </c>
      <c r="O1464" s="154" t="s">
        <v>4</v>
      </c>
      <c r="P1464" s="154" t="s">
        <v>3</v>
      </c>
      <c r="Q1464" s="20">
        <v>2026</v>
      </c>
      <c r="R1464" s="20" t="s">
        <v>129</v>
      </c>
      <c r="S1464" s="20" t="s">
        <v>96</v>
      </c>
      <c r="U1464" s="369" t="s">
        <v>1711</v>
      </c>
    </row>
    <row r="1465" spans="1:29" x14ac:dyDescent="0.35">
      <c r="A1465" s="26" t="s">
        <v>1712</v>
      </c>
      <c r="B1465" s="324">
        <v>46030</v>
      </c>
      <c r="C1465" s="325" t="s">
        <v>19</v>
      </c>
      <c r="D1465" s="22" t="s">
        <v>268</v>
      </c>
      <c r="E1465" s="262">
        <v>2065</v>
      </c>
      <c r="F1465" s="24">
        <v>46053</v>
      </c>
      <c r="G1465" s="24">
        <v>46053</v>
      </c>
      <c r="H1465" s="207">
        <v>0.84387409200968477</v>
      </c>
      <c r="I1465" s="353">
        <v>1.08</v>
      </c>
      <c r="J1465" s="25">
        <v>487.6000000000011</v>
      </c>
      <c r="K1465" s="26">
        <v>1742.599999999999</v>
      </c>
      <c r="L1465" s="282" t="s">
        <v>95</v>
      </c>
      <c r="M1465" s="27" t="s">
        <v>131</v>
      </c>
      <c r="N1465" s="26">
        <v>2230.2000000000003</v>
      </c>
      <c r="O1465" s="26" t="s">
        <v>19</v>
      </c>
      <c r="P1465" s="26" t="s">
        <v>19</v>
      </c>
      <c r="Q1465" s="28">
        <v>2026</v>
      </c>
      <c r="R1465" t="s">
        <v>131</v>
      </c>
      <c r="S1465" t="s">
        <v>96</v>
      </c>
    </row>
    <row r="1466" spans="1:29" x14ac:dyDescent="0.35">
      <c r="A1466" t="s">
        <v>1712</v>
      </c>
      <c r="B1466" s="16">
        <v>46030</v>
      </c>
      <c r="C1466" s="10" t="s">
        <v>3</v>
      </c>
      <c r="D1466" s="4" t="s">
        <v>268</v>
      </c>
      <c r="E1466" s="253">
        <v>-2065</v>
      </c>
      <c r="F1466" s="172">
        <v>46081</v>
      </c>
      <c r="G1466" s="172">
        <v>46112</v>
      </c>
      <c r="H1466" s="212">
        <v>0.13</v>
      </c>
      <c r="I1466" s="7">
        <v>0.13</v>
      </c>
      <c r="J1466" s="9">
        <v>0</v>
      </c>
      <c r="K1466">
        <v>-268.45</v>
      </c>
      <c r="L1466" s="14" t="s">
        <v>99</v>
      </c>
      <c r="M1466" s="8" t="s">
        <v>129</v>
      </c>
      <c r="N1466">
        <v>-268.45</v>
      </c>
      <c r="O1466" t="s">
        <v>4</v>
      </c>
      <c r="P1466" t="s">
        <v>3</v>
      </c>
      <c r="Q1466" s="38">
        <v>2026</v>
      </c>
      <c r="R1466" t="s">
        <v>129</v>
      </c>
      <c r="S1466" t="s">
        <v>96</v>
      </c>
    </row>
    <row r="1467" spans="1:29" x14ac:dyDescent="0.35">
      <c r="A1467" t="s">
        <v>1712</v>
      </c>
      <c r="B1467" s="16">
        <v>46030</v>
      </c>
      <c r="C1467" s="10" t="s">
        <v>3</v>
      </c>
      <c r="D1467" s="4" t="s">
        <v>268</v>
      </c>
      <c r="E1467" s="253">
        <v>-2065</v>
      </c>
      <c r="F1467" s="172">
        <v>46112</v>
      </c>
      <c r="G1467" s="172">
        <v>46142</v>
      </c>
      <c r="H1467" s="212">
        <v>0.13</v>
      </c>
      <c r="I1467" s="7">
        <v>0.19</v>
      </c>
      <c r="J1467" s="9">
        <v>-123.89999999999999</v>
      </c>
      <c r="K1467">
        <v>-268.45</v>
      </c>
      <c r="L1467" s="14" t="s">
        <v>100</v>
      </c>
      <c r="M1467" s="8" t="s">
        <v>129</v>
      </c>
      <c r="N1467">
        <v>-392.35</v>
      </c>
      <c r="O1467" t="s">
        <v>4</v>
      </c>
      <c r="P1467" t="s">
        <v>3</v>
      </c>
      <c r="Q1467" s="38">
        <v>2026</v>
      </c>
      <c r="R1467" t="s">
        <v>129</v>
      </c>
      <c r="S1467" t="s">
        <v>96</v>
      </c>
    </row>
    <row r="1468" spans="1:29" x14ac:dyDescent="0.35">
      <c r="A1468" t="s">
        <v>1712</v>
      </c>
      <c r="B1468" s="16">
        <v>46030</v>
      </c>
      <c r="C1468" s="10" t="s">
        <v>10</v>
      </c>
      <c r="D1468" s="4" t="s">
        <v>268</v>
      </c>
      <c r="E1468" s="253">
        <v>-2065</v>
      </c>
      <c r="F1468" s="172">
        <v>46142</v>
      </c>
      <c r="G1468" s="172">
        <v>46142</v>
      </c>
      <c r="H1468" s="212">
        <v>-3.89</v>
      </c>
      <c r="I1468" s="7">
        <v>-4.03</v>
      </c>
      <c r="J1468" s="9">
        <v>289.10000000000025</v>
      </c>
      <c r="K1468">
        <v>8032.85</v>
      </c>
      <c r="L1468" s="14" t="s">
        <v>102</v>
      </c>
      <c r="M1468" s="8" t="s">
        <v>129</v>
      </c>
      <c r="N1468">
        <v>8321.9500000000007</v>
      </c>
      <c r="O1468" t="s">
        <v>11</v>
      </c>
      <c r="P1468" t="s">
        <v>10</v>
      </c>
      <c r="Q1468" s="38">
        <v>2026</v>
      </c>
      <c r="R1468" t="s">
        <v>129</v>
      </c>
      <c r="S1468" t="s">
        <v>96</v>
      </c>
    </row>
    <row r="1469" spans="1:29" x14ac:dyDescent="0.35">
      <c r="A1469" t="s">
        <v>1712</v>
      </c>
      <c r="B1469" s="16">
        <v>46030</v>
      </c>
      <c r="C1469" s="10" t="s">
        <v>7</v>
      </c>
      <c r="D1469" s="4" t="s">
        <v>268</v>
      </c>
      <c r="E1469" s="253">
        <v>-2065</v>
      </c>
      <c r="F1469" s="172">
        <v>46142</v>
      </c>
      <c r="G1469" s="172">
        <v>46173</v>
      </c>
      <c r="H1469" s="219">
        <v>0.26</v>
      </c>
      <c r="I1469" s="7">
        <v>0.37</v>
      </c>
      <c r="J1469" s="9">
        <v>-227.14999999999998</v>
      </c>
      <c r="K1469">
        <v>-536.9</v>
      </c>
      <c r="L1469" s="14" t="s">
        <v>105</v>
      </c>
      <c r="M1469" s="8" t="s">
        <v>129</v>
      </c>
      <c r="N1469">
        <v>-764.05</v>
      </c>
      <c r="O1469" t="s">
        <v>4</v>
      </c>
      <c r="P1469" t="s">
        <v>7</v>
      </c>
      <c r="Q1469" s="38">
        <v>2026</v>
      </c>
      <c r="R1469" t="s">
        <v>129</v>
      </c>
      <c r="S1469" t="s">
        <v>96</v>
      </c>
    </row>
    <row r="1470" spans="1:29" x14ac:dyDescent="0.35">
      <c r="A1470" t="s">
        <v>1712</v>
      </c>
      <c r="B1470" s="16">
        <v>46030</v>
      </c>
      <c r="C1470" s="10" t="s">
        <v>7</v>
      </c>
      <c r="D1470" s="4" t="s">
        <v>268</v>
      </c>
      <c r="E1470" s="253">
        <v>-94</v>
      </c>
      <c r="F1470" s="172">
        <v>46173</v>
      </c>
      <c r="G1470" s="172">
        <v>46203</v>
      </c>
      <c r="H1470" s="219">
        <v>0.18</v>
      </c>
      <c r="I1470" s="7">
        <v>0.23</v>
      </c>
      <c r="J1470" s="9">
        <v>-4.700000000000002</v>
      </c>
      <c r="K1470">
        <v>-16.919999999999998</v>
      </c>
      <c r="L1470" s="14" t="s">
        <v>1713</v>
      </c>
      <c r="M1470" s="8" t="s">
        <v>129</v>
      </c>
      <c r="N1470">
        <v>-21.62</v>
      </c>
      <c r="O1470" t="s">
        <v>4</v>
      </c>
      <c r="P1470" t="s">
        <v>7</v>
      </c>
      <c r="Q1470" s="38">
        <v>2026</v>
      </c>
      <c r="R1470" t="s">
        <v>129</v>
      </c>
      <c r="S1470" t="s">
        <v>96</v>
      </c>
    </row>
    <row r="1471" spans="1:29" x14ac:dyDescent="0.35">
      <c r="A1471" t="s">
        <v>127</v>
      </c>
      <c r="B1471" s="16">
        <v>46030</v>
      </c>
      <c r="C1471" s="10" t="s">
        <v>15</v>
      </c>
      <c r="D1471" s="4" t="s">
        <v>128</v>
      </c>
      <c r="E1471" s="253">
        <v>2065</v>
      </c>
      <c r="F1471" s="173">
        <v>46112</v>
      </c>
      <c r="G1471" s="173">
        <v>46112</v>
      </c>
      <c r="H1471" s="212">
        <v>0.31</v>
      </c>
      <c r="I1471" s="191">
        <v>0.5</v>
      </c>
      <c r="J1471" s="9">
        <v>392.35</v>
      </c>
      <c r="K1471">
        <v>640.15</v>
      </c>
      <c r="L1471" s="14" t="s">
        <v>104</v>
      </c>
      <c r="M1471" s="8" t="s">
        <v>131</v>
      </c>
      <c r="N1471">
        <v>1032.5</v>
      </c>
      <c r="O1471" s="38" t="s">
        <v>11</v>
      </c>
      <c r="P1471" s="38" t="s">
        <v>16</v>
      </c>
      <c r="Q1471" s="240">
        <v>2026</v>
      </c>
      <c r="R1471" t="s">
        <v>131</v>
      </c>
      <c r="S1471" t="s">
        <v>96</v>
      </c>
    </row>
    <row r="1472" spans="1:29" x14ac:dyDescent="0.35">
      <c r="A1472" t="s">
        <v>1712</v>
      </c>
      <c r="B1472" s="16">
        <v>46030</v>
      </c>
      <c r="C1472" s="47" t="s">
        <v>28</v>
      </c>
      <c r="D1472" s="10" t="s">
        <v>268</v>
      </c>
      <c r="E1472" s="253">
        <v>-2000</v>
      </c>
      <c r="F1472" s="172">
        <v>46053</v>
      </c>
      <c r="G1472" s="172">
        <v>46053</v>
      </c>
      <c r="H1472" s="212">
        <v>4850</v>
      </c>
      <c r="I1472" s="314">
        <v>4850</v>
      </c>
      <c r="J1472" s="9">
        <v>0</v>
      </c>
      <c r="K1472" s="91">
        <v>0</v>
      </c>
      <c r="L1472" s="14" t="s">
        <v>95</v>
      </c>
      <c r="M1472" s="8" t="s">
        <v>129</v>
      </c>
      <c r="N1472">
        <v>-9700000</v>
      </c>
      <c r="O1472" t="s">
        <v>29</v>
      </c>
      <c r="P1472" t="s">
        <v>29</v>
      </c>
      <c r="Q1472" s="38">
        <v>2026</v>
      </c>
      <c r="R1472" t="s">
        <v>129</v>
      </c>
      <c r="S1472" t="s">
        <v>96</v>
      </c>
    </row>
    <row r="1473" spans="1:19" x14ac:dyDescent="0.35">
      <c r="A1473" s="34" t="s">
        <v>1712</v>
      </c>
      <c r="B1473" s="327">
        <v>46030</v>
      </c>
      <c r="C1473" s="94" t="s">
        <v>28</v>
      </c>
      <c r="D1473" s="30" t="s">
        <v>128</v>
      </c>
      <c r="E1473" s="257">
        <v>2000</v>
      </c>
      <c r="F1473" s="32">
        <v>46053</v>
      </c>
      <c r="G1473" s="32">
        <v>46053</v>
      </c>
      <c r="H1473" s="356">
        <v>6500</v>
      </c>
      <c r="I1473" s="354">
        <v>4850</v>
      </c>
      <c r="J1473" s="33">
        <v>-1650</v>
      </c>
      <c r="K1473" s="355">
        <v>-1650</v>
      </c>
      <c r="L1473" s="286" t="s">
        <v>95</v>
      </c>
      <c r="M1473" s="35" t="s">
        <v>131</v>
      </c>
      <c r="N1473" s="34">
        <v>9700000</v>
      </c>
      <c r="O1473" s="34" t="s">
        <v>29</v>
      </c>
      <c r="P1473" s="34" t="s">
        <v>29</v>
      </c>
      <c r="Q1473" s="36">
        <v>2026</v>
      </c>
      <c r="R1473" t="s">
        <v>131</v>
      </c>
      <c r="S1473" t="s">
        <v>96</v>
      </c>
    </row>
    <row r="1474" spans="1:19" x14ac:dyDescent="0.35">
      <c r="A1474" t="s">
        <v>1678</v>
      </c>
      <c r="B1474" s="174">
        <v>46024</v>
      </c>
      <c r="C1474" s="10" t="s">
        <v>10</v>
      </c>
      <c r="D1474" s="4" t="s">
        <v>128</v>
      </c>
      <c r="E1474" s="253">
        <v>400</v>
      </c>
      <c r="F1474" s="172">
        <v>46142</v>
      </c>
      <c r="G1474" s="172">
        <v>46142</v>
      </c>
      <c r="H1474" s="357">
        <v>-3.45</v>
      </c>
      <c r="I1474" s="192">
        <v>-4.03</v>
      </c>
      <c r="J1474" s="9">
        <v>-232.00000000000003</v>
      </c>
      <c r="K1474">
        <v>-1380</v>
      </c>
      <c r="L1474" s="14" t="s">
        <v>102</v>
      </c>
      <c r="M1474" s="8" t="s">
        <v>131</v>
      </c>
      <c r="N1474">
        <v>-1612</v>
      </c>
      <c r="O1474" s="38" t="s">
        <v>11</v>
      </c>
      <c r="P1474" s="38" t="s">
        <v>10</v>
      </c>
      <c r="Q1474">
        <v>2026</v>
      </c>
      <c r="R1474" t="s">
        <v>131</v>
      </c>
      <c r="S1474" t="s">
        <v>96</v>
      </c>
    </row>
    <row r="1475" spans="1:19" x14ac:dyDescent="0.35">
      <c r="A1475" t="s">
        <v>1678</v>
      </c>
      <c r="B1475" s="174">
        <v>46027</v>
      </c>
      <c r="C1475" s="10" t="s">
        <v>10</v>
      </c>
      <c r="D1475" s="4" t="s">
        <v>128</v>
      </c>
      <c r="E1475" s="253">
        <v>400</v>
      </c>
      <c r="F1475" s="172">
        <v>46142</v>
      </c>
      <c r="G1475" s="172">
        <v>46142</v>
      </c>
      <c r="H1475" s="357">
        <v>-3.49</v>
      </c>
      <c r="I1475" s="192">
        <v>-4.03</v>
      </c>
      <c r="J1475" s="9">
        <v>-216</v>
      </c>
      <c r="K1475">
        <v>-1396</v>
      </c>
      <c r="L1475" s="14" t="s">
        <v>102</v>
      </c>
      <c r="M1475" s="8" t="s">
        <v>131</v>
      </c>
      <c r="N1475">
        <v>-1612</v>
      </c>
      <c r="O1475" s="38" t="s">
        <v>11</v>
      </c>
      <c r="P1475" s="38" t="s">
        <v>10</v>
      </c>
      <c r="Q1475">
        <v>2026</v>
      </c>
      <c r="R1475" t="s">
        <v>131</v>
      </c>
      <c r="S1475" t="s">
        <v>96</v>
      </c>
    </row>
    <row r="1476" spans="1:19" x14ac:dyDescent="0.35">
      <c r="A1476" t="s">
        <v>1664</v>
      </c>
      <c r="B1476" s="16">
        <v>46031</v>
      </c>
      <c r="C1476" s="10" t="s">
        <v>3</v>
      </c>
      <c r="D1476" s="4" t="s">
        <v>128</v>
      </c>
      <c r="E1476" s="253">
        <v>500</v>
      </c>
      <c r="F1476" s="172">
        <v>46081</v>
      </c>
      <c r="G1476" s="172">
        <v>46112</v>
      </c>
      <c r="H1476" s="212">
        <v>0.125</v>
      </c>
      <c r="I1476" s="7">
        <v>0.13</v>
      </c>
      <c r="J1476" s="9">
        <v>2.5000000000000022</v>
      </c>
      <c r="K1476">
        <v>62.5</v>
      </c>
      <c r="L1476" s="14" t="s">
        <v>99</v>
      </c>
      <c r="M1476" s="8" t="s">
        <v>131</v>
      </c>
      <c r="N1476">
        <v>65</v>
      </c>
      <c r="O1476" t="s">
        <v>4</v>
      </c>
      <c r="P1476" t="s">
        <v>3</v>
      </c>
      <c r="Q1476" s="38">
        <v>2026</v>
      </c>
      <c r="R1476" t="s">
        <v>131</v>
      </c>
      <c r="S1476" t="s">
        <v>96</v>
      </c>
    </row>
    <row r="1477" spans="1:19" x14ac:dyDescent="0.35">
      <c r="A1477" t="s">
        <v>1714</v>
      </c>
      <c r="B1477" s="16">
        <v>46031</v>
      </c>
      <c r="C1477" s="10" t="s">
        <v>3</v>
      </c>
      <c r="D1477" s="4" t="s">
        <v>128</v>
      </c>
      <c r="E1477" s="253">
        <v>500</v>
      </c>
      <c r="F1477" s="172">
        <v>46112</v>
      </c>
      <c r="G1477" s="172">
        <v>46142</v>
      </c>
      <c r="H1477" s="212">
        <v>0.125</v>
      </c>
      <c r="I1477" s="7">
        <v>0.19</v>
      </c>
      <c r="J1477" s="9">
        <v>32.5</v>
      </c>
      <c r="K1477">
        <v>62.5</v>
      </c>
      <c r="L1477" s="14" t="s">
        <v>100</v>
      </c>
      <c r="M1477" s="8" t="s">
        <v>131</v>
      </c>
      <c r="N1477">
        <v>95</v>
      </c>
      <c r="O1477" t="s">
        <v>4</v>
      </c>
      <c r="P1477" t="s">
        <v>3</v>
      </c>
      <c r="Q1477" s="38">
        <v>2026</v>
      </c>
      <c r="R1477" t="s">
        <v>131</v>
      </c>
      <c r="S1477" t="s">
        <v>96</v>
      </c>
    </row>
    <row r="1478" spans="1:19" x14ac:dyDescent="0.35">
      <c r="A1478" t="s">
        <v>1712</v>
      </c>
      <c r="B1478" s="16">
        <v>46031</v>
      </c>
      <c r="C1478" s="10" t="s">
        <v>3</v>
      </c>
      <c r="D1478" s="4" t="s">
        <v>128</v>
      </c>
      <c r="E1478" s="253">
        <v>2100</v>
      </c>
      <c r="F1478" s="172">
        <v>46081</v>
      </c>
      <c r="G1478" s="172">
        <v>46112</v>
      </c>
      <c r="H1478" s="212">
        <v>0.18</v>
      </c>
      <c r="I1478" s="7">
        <v>0.13</v>
      </c>
      <c r="J1478" s="9">
        <v>-104.99999999999997</v>
      </c>
      <c r="K1478">
        <v>378</v>
      </c>
      <c r="L1478" s="14" t="s">
        <v>99</v>
      </c>
      <c r="M1478" s="8" t="s">
        <v>131</v>
      </c>
      <c r="N1478">
        <v>273</v>
      </c>
      <c r="O1478" t="s">
        <v>4</v>
      </c>
      <c r="P1478" t="s">
        <v>3</v>
      </c>
      <c r="Q1478" s="38">
        <v>2026</v>
      </c>
      <c r="R1478" t="s">
        <v>131</v>
      </c>
      <c r="S1478" t="s">
        <v>96</v>
      </c>
    </row>
    <row r="1479" spans="1:19" x14ac:dyDescent="0.35">
      <c r="A1479" t="s">
        <v>1712</v>
      </c>
      <c r="B1479" s="16">
        <v>46031</v>
      </c>
      <c r="C1479" s="10" t="s">
        <v>3</v>
      </c>
      <c r="D1479" s="4" t="s">
        <v>128</v>
      </c>
      <c r="E1479" s="253">
        <v>2100</v>
      </c>
      <c r="F1479" s="172">
        <v>46112</v>
      </c>
      <c r="G1479" s="172">
        <v>46142</v>
      </c>
      <c r="H1479" s="212">
        <v>0.15</v>
      </c>
      <c r="I1479" s="7">
        <v>0.19</v>
      </c>
      <c r="J1479" s="9">
        <v>84.000000000000014</v>
      </c>
      <c r="K1479">
        <v>315</v>
      </c>
      <c r="L1479" s="14" t="s">
        <v>100</v>
      </c>
      <c r="M1479" s="8" t="s">
        <v>131</v>
      </c>
      <c r="N1479">
        <v>399</v>
      </c>
      <c r="O1479" t="s">
        <v>4</v>
      </c>
      <c r="P1479" t="s">
        <v>3</v>
      </c>
      <c r="Q1479" s="38">
        <v>2026</v>
      </c>
      <c r="R1479" t="s">
        <v>131</v>
      </c>
      <c r="S1479" t="s">
        <v>96</v>
      </c>
    </row>
    <row r="1480" spans="1:19" x14ac:dyDescent="0.35">
      <c r="A1480" t="s">
        <v>1712</v>
      </c>
      <c r="B1480" s="16">
        <v>46031</v>
      </c>
      <c r="C1480" s="10" t="s">
        <v>10</v>
      </c>
      <c r="D1480" s="4" t="s">
        <v>128</v>
      </c>
      <c r="E1480" s="253">
        <v>2100</v>
      </c>
      <c r="F1480" s="172">
        <v>46142</v>
      </c>
      <c r="G1480" s="172">
        <v>46142</v>
      </c>
      <c r="H1480" s="212">
        <v>-4</v>
      </c>
      <c r="I1480" s="7">
        <v>-4.03</v>
      </c>
      <c r="J1480" s="9">
        <v>-63.000000000000526</v>
      </c>
      <c r="K1480">
        <v>-8400</v>
      </c>
      <c r="L1480" s="14" t="s">
        <v>102</v>
      </c>
      <c r="M1480" s="8" t="s">
        <v>131</v>
      </c>
      <c r="N1480">
        <v>-8463</v>
      </c>
      <c r="O1480" t="s">
        <v>11</v>
      </c>
      <c r="P1480" t="s">
        <v>10</v>
      </c>
      <c r="Q1480" s="38">
        <v>2026</v>
      </c>
      <c r="R1480" t="s">
        <v>131</v>
      </c>
      <c r="S1480" t="s">
        <v>96</v>
      </c>
    </row>
    <row r="1481" spans="1:19" x14ac:dyDescent="0.35">
      <c r="A1481" t="s">
        <v>1712</v>
      </c>
      <c r="B1481" s="16">
        <v>46031</v>
      </c>
      <c r="C1481" s="10" t="s">
        <v>7</v>
      </c>
      <c r="D1481" s="4" t="s">
        <v>128</v>
      </c>
      <c r="E1481" s="253">
        <v>2100</v>
      </c>
      <c r="F1481" s="172">
        <v>46142</v>
      </c>
      <c r="G1481" s="172">
        <v>46173</v>
      </c>
      <c r="H1481" s="219">
        <v>0.32</v>
      </c>
      <c r="I1481" s="7">
        <v>0.37</v>
      </c>
      <c r="J1481" s="9">
        <v>104.99999999999997</v>
      </c>
      <c r="K1481">
        <v>672</v>
      </c>
      <c r="L1481" s="14" t="s">
        <v>105</v>
      </c>
      <c r="M1481" s="8" t="s">
        <v>131</v>
      </c>
      <c r="N1481">
        <v>777</v>
      </c>
      <c r="O1481" t="s">
        <v>4</v>
      </c>
      <c r="P1481" t="s">
        <v>7</v>
      </c>
      <c r="Q1481" s="38">
        <v>2026</v>
      </c>
      <c r="R1481" t="s">
        <v>131</v>
      </c>
      <c r="S1481" t="s">
        <v>96</v>
      </c>
    </row>
    <row r="1482" spans="1:19" x14ac:dyDescent="0.35">
      <c r="A1482" t="s">
        <v>127</v>
      </c>
      <c r="B1482" s="174">
        <v>46033</v>
      </c>
      <c r="C1482" s="10" t="s">
        <v>3</v>
      </c>
      <c r="D1482" s="4" t="s">
        <v>128</v>
      </c>
      <c r="E1482" s="253">
        <v>-1000</v>
      </c>
      <c r="F1482" s="172">
        <v>46081</v>
      </c>
      <c r="G1482" s="172">
        <v>46112</v>
      </c>
      <c r="H1482" s="218">
        <v>0.18</v>
      </c>
      <c r="I1482" s="192">
        <v>0.13</v>
      </c>
      <c r="J1482" s="9">
        <v>49.999999999999986</v>
      </c>
      <c r="K1482">
        <v>-180</v>
      </c>
      <c r="L1482" s="14" t="s">
        <v>99</v>
      </c>
      <c r="M1482" s="8" t="s">
        <v>129</v>
      </c>
      <c r="N1482">
        <v>-130</v>
      </c>
      <c r="O1482" s="38" t="s">
        <v>4</v>
      </c>
      <c r="P1482" s="38" t="s">
        <v>3</v>
      </c>
      <c r="Q1482">
        <v>2026</v>
      </c>
      <c r="R1482" t="s">
        <v>129</v>
      </c>
      <c r="S1482" t="s">
        <v>96</v>
      </c>
    </row>
    <row r="1483" spans="1:19" x14ac:dyDescent="0.35">
      <c r="A1483" t="s">
        <v>1625</v>
      </c>
      <c r="B1483" s="174">
        <v>46033</v>
      </c>
      <c r="C1483" s="10" t="s">
        <v>3</v>
      </c>
      <c r="D1483" s="4" t="s">
        <v>128</v>
      </c>
      <c r="E1483" s="253">
        <v>233</v>
      </c>
      <c r="F1483" s="172">
        <v>46081</v>
      </c>
      <c r="G1483" s="172">
        <v>46112</v>
      </c>
      <c r="H1483" s="218">
        <v>0.18</v>
      </c>
      <c r="I1483" s="192">
        <v>0.13</v>
      </c>
      <c r="J1483" s="9">
        <v>-11.649999999999997</v>
      </c>
      <c r="K1483">
        <v>41.94</v>
      </c>
      <c r="L1483" s="14" t="s">
        <v>99</v>
      </c>
      <c r="M1483" s="8" t="s">
        <v>131</v>
      </c>
      <c r="N1483">
        <v>30.290000000000003</v>
      </c>
      <c r="O1483" s="38" t="s">
        <v>4</v>
      </c>
      <c r="P1483" s="38" t="s">
        <v>3</v>
      </c>
      <c r="Q1483">
        <v>2026</v>
      </c>
      <c r="R1483" t="s">
        <v>131</v>
      </c>
      <c r="S1483" t="s">
        <v>96</v>
      </c>
    </row>
    <row r="1484" spans="1:19" x14ac:dyDescent="0.35">
      <c r="A1484" t="s">
        <v>1635</v>
      </c>
      <c r="B1484" s="174">
        <v>46033</v>
      </c>
      <c r="C1484" s="10" t="s">
        <v>3</v>
      </c>
      <c r="D1484" s="4" t="s">
        <v>128</v>
      </c>
      <c r="E1484" s="253">
        <v>767</v>
      </c>
      <c r="F1484" s="172">
        <v>46081</v>
      </c>
      <c r="G1484" s="172">
        <v>46112</v>
      </c>
      <c r="H1484" s="218">
        <v>0.18</v>
      </c>
      <c r="I1484" s="192">
        <v>0.13</v>
      </c>
      <c r="J1484" s="9">
        <v>-38.349999999999994</v>
      </c>
      <c r="K1484">
        <v>138.06</v>
      </c>
      <c r="L1484" s="14" t="s">
        <v>99</v>
      </c>
      <c r="M1484" s="8" t="s">
        <v>131</v>
      </c>
      <c r="N1484">
        <v>99.710000000000008</v>
      </c>
      <c r="O1484" s="38" t="s">
        <v>4</v>
      </c>
      <c r="P1484" s="38" t="s">
        <v>3</v>
      </c>
      <c r="Q1484">
        <v>2026</v>
      </c>
      <c r="R1484" t="s">
        <v>131</v>
      </c>
      <c r="S1484" t="s">
        <v>96</v>
      </c>
    </row>
    <row r="1485" spans="1:19" x14ac:dyDescent="0.35">
      <c r="A1485" t="s">
        <v>1712</v>
      </c>
      <c r="B1485" s="174">
        <v>46033</v>
      </c>
      <c r="C1485" s="10" t="s">
        <v>3</v>
      </c>
      <c r="D1485" s="4" t="s">
        <v>128</v>
      </c>
      <c r="E1485" s="253">
        <v>-35</v>
      </c>
      <c r="F1485" s="172">
        <v>46081</v>
      </c>
      <c r="G1485" s="172">
        <v>46112</v>
      </c>
      <c r="H1485" s="218">
        <v>0.18</v>
      </c>
      <c r="I1485" s="192">
        <v>0.13</v>
      </c>
      <c r="J1485" s="9">
        <v>1.7499999999999996</v>
      </c>
      <c r="K1485">
        <v>-6.3</v>
      </c>
      <c r="L1485" s="14" t="s">
        <v>99</v>
      </c>
      <c r="M1485" s="8" t="s">
        <v>129</v>
      </c>
      <c r="N1485">
        <v>-4.55</v>
      </c>
      <c r="O1485" s="38" t="s">
        <v>4</v>
      </c>
      <c r="P1485" s="38" t="s">
        <v>3</v>
      </c>
      <c r="Q1485">
        <v>2026</v>
      </c>
      <c r="R1485" t="s">
        <v>129</v>
      </c>
      <c r="S1485" t="s">
        <v>96</v>
      </c>
    </row>
    <row r="1486" spans="1:19" x14ac:dyDescent="0.35">
      <c r="A1486" t="s">
        <v>1664</v>
      </c>
      <c r="B1486" s="174">
        <v>46033</v>
      </c>
      <c r="C1486" s="10" t="s">
        <v>3</v>
      </c>
      <c r="D1486" s="4" t="s">
        <v>128</v>
      </c>
      <c r="E1486" s="253">
        <v>313</v>
      </c>
      <c r="F1486" s="172">
        <v>46081</v>
      </c>
      <c r="G1486" s="172">
        <v>46112</v>
      </c>
      <c r="H1486" s="218">
        <v>0.18</v>
      </c>
      <c r="I1486" s="192">
        <v>0.13</v>
      </c>
      <c r="J1486" s="9">
        <v>-15.649999999999997</v>
      </c>
      <c r="K1486">
        <v>56.339999999999996</v>
      </c>
      <c r="L1486" s="14" t="s">
        <v>99</v>
      </c>
      <c r="M1486" s="8" t="s">
        <v>131</v>
      </c>
      <c r="N1486">
        <v>40.690000000000005</v>
      </c>
      <c r="O1486" s="38" t="s">
        <v>4</v>
      </c>
      <c r="P1486" s="38" t="s">
        <v>3</v>
      </c>
      <c r="Q1486">
        <v>2026</v>
      </c>
      <c r="R1486" t="s">
        <v>131</v>
      </c>
      <c r="S1486" t="s">
        <v>96</v>
      </c>
    </row>
    <row r="1487" spans="1:19" x14ac:dyDescent="0.35">
      <c r="A1487" t="s">
        <v>1635</v>
      </c>
      <c r="B1487" s="174">
        <v>46033</v>
      </c>
      <c r="C1487" s="10" t="s">
        <v>3</v>
      </c>
      <c r="D1487" s="4" t="s">
        <v>128</v>
      </c>
      <c r="E1487" s="253">
        <v>6</v>
      </c>
      <c r="F1487" s="172">
        <v>46081</v>
      </c>
      <c r="G1487" s="172">
        <v>46112</v>
      </c>
      <c r="H1487" s="218">
        <v>0.18</v>
      </c>
      <c r="I1487" s="192">
        <v>0.13</v>
      </c>
      <c r="J1487" s="9">
        <v>-0.29999999999999993</v>
      </c>
      <c r="K1487">
        <v>1.08</v>
      </c>
      <c r="L1487" s="14" t="s">
        <v>99</v>
      </c>
      <c r="M1487" s="8" t="s">
        <v>131</v>
      </c>
      <c r="N1487">
        <v>0.78</v>
      </c>
      <c r="O1487" s="38" t="s">
        <v>4</v>
      </c>
      <c r="P1487" s="38" t="s">
        <v>3</v>
      </c>
      <c r="Q1487">
        <v>2026</v>
      </c>
      <c r="R1487" t="s">
        <v>131</v>
      </c>
      <c r="S1487" t="s">
        <v>96</v>
      </c>
    </row>
    <row r="1488" spans="1:19" x14ac:dyDescent="0.35">
      <c r="A1488" t="s">
        <v>127</v>
      </c>
      <c r="B1488" s="174">
        <v>46033</v>
      </c>
      <c r="C1488" s="10" t="s">
        <v>3</v>
      </c>
      <c r="D1488" s="4" t="s">
        <v>128</v>
      </c>
      <c r="E1488" s="253">
        <v>-284</v>
      </c>
      <c r="F1488" s="172">
        <v>46081</v>
      </c>
      <c r="G1488" s="172">
        <v>46112</v>
      </c>
      <c r="H1488" s="218">
        <v>0.18</v>
      </c>
      <c r="I1488" s="192">
        <v>0.13</v>
      </c>
      <c r="J1488" s="9">
        <v>14.199999999999998</v>
      </c>
      <c r="K1488">
        <v>-51.12</v>
      </c>
      <c r="L1488" s="14" t="s">
        <v>99</v>
      </c>
      <c r="M1488" s="8" t="s">
        <v>129</v>
      </c>
      <c r="N1488">
        <v>-36.92</v>
      </c>
      <c r="O1488" s="38" t="s">
        <v>4</v>
      </c>
      <c r="P1488" s="38" t="s">
        <v>3</v>
      </c>
      <c r="Q1488">
        <v>2026</v>
      </c>
      <c r="R1488" t="s">
        <v>129</v>
      </c>
      <c r="S1488" t="s">
        <v>96</v>
      </c>
    </row>
    <row r="1489" spans="1:19" x14ac:dyDescent="0.35">
      <c r="A1489" t="s">
        <v>1678</v>
      </c>
      <c r="B1489" s="174">
        <v>46033</v>
      </c>
      <c r="C1489" s="10" t="s">
        <v>3</v>
      </c>
      <c r="D1489" s="4" t="s">
        <v>128</v>
      </c>
      <c r="E1489" s="253">
        <v>-362</v>
      </c>
      <c r="F1489" s="172">
        <v>46081</v>
      </c>
      <c r="G1489" s="172">
        <v>46112</v>
      </c>
      <c r="H1489" s="218">
        <v>0.18</v>
      </c>
      <c r="I1489" s="192">
        <v>0.13</v>
      </c>
      <c r="J1489" s="9">
        <v>18.099999999999994</v>
      </c>
      <c r="K1489">
        <v>-65.16</v>
      </c>
      <c r="L1489" s="14" t="s">
        <v>99</v>
      </c>
      <c r="M1489" s="8" t="s">
        <v>129</v>
      </c>
      <c r="N1489">
        <v>-47.06</v>
      </c>
      <c r="O1489" s="38" t="s">
        <v>4</v>
      </c>
      <c r="P1489" s="38" t="s">
        <v>3</v>
      </c>
      <c r="Q1489">
        <v>2026</v>
      </c>
      <c r="R1489" t="s">
        <v>129</v>
      </c>
      <c r="S1489" t="s">
        <v>96</v>
      </c>
    </row>
    <row r="1490" spans="1:19" x14ac:dyDescent="0.35">
      <c r="A1490" t="s">
        <v>127</v>
      </c>
      <c r="B1490" s="174">
        <v>46033</v>
      </c>
      <c r="C1490" s="10" t="s">
        <v>3</v>
      </c>
      <c r="D1490" s="4" t="s">
        <v>128</v>
      </c>
      <c r="E1490" s="253">
        <v>362</v>
      </c>
      <c r="F1490" s="172">
        <v>46081</v>
      </c>
      <c r="G1490" s="172">
        <v>46112</v>
      </c>
      <c r="H1490" s="218">
        <v>0.18</v>
      </c>
      <c r="I1490" s="192">
        <v>0.13</v>
      </c>
      <c r="J1490" s="9">
        <v>-18.099999999999994</v>
      </c>
      <c r="K1490">
        <v>65.16</v>
      </c>
      <c r="L1490" s="14" t="s">
        <v>99</v>
      </c>
      <c r="M1490" s="8" t="s">
        <v>131</v>
      </c>
      <c r="N1490">
        <v>47.06</v>
      </c>
      <c r="O1490" s="38" t="s">
        <v>4</v>
      </c>
      <c r="P1490" s="38" t="s">
        <v>3</v>
      </c>
      <c r="Q1490">
        <v>2026</v>
      </c>
      <c r="R1490" t="s">
        <v>131</v>
      </c>
      <c r="S1490" t="s">
        <v>96</v>
      </c>
    </row>
    <row r="1491" spans="1:19" x14ac:dyDescent="0.35">
      <c r="A1491" s="37" t="s">
        <v>1678</v>
      </c>
      <c r="B1491" s="174">
        <v>46034</v>
      </c>
      <c r="C1491" s="10" t="s">
        <v>44</v>
      </c>
      <c r="D1491" s="10" t="s">
        <v>128</v>
      </c>
      <c r="E1491" s="259">
        <v>-587</v>
      </c>
      <c r="F1491" s="172">
        <v>46081</v>
      </c>
      <c r="G1491" s="172">
        <v>46081</v>
      </c>
      <c r="H1491" s="15">
        <v>1.25</v>
      </c>
      <c r="I1491" s="191">
        <v>1.1499999999999999</v>
      </c>
      <c r="J1491" s="9">
        <v>58.700000000000053</v>
      </c>
      <c r="K1491">
        <v>-733.75</v>
      </c>
      <c r="L1491" s="14" t="s">
        <v>98</v>
      </c>
      <c r="M1491" s="8" t="s">
        <v>129</v>
      </c>
      <c r="N1491">
        <v>-675.05</v>
      </c>
      <c r="O1491" s="38" t="s">
        <v>11</v>
      </c>
      <c r="P1491" s="38" t="s">
        <v>44</v>
      </c>
      <c r="Q1491">
        <v>2026</v>
      </c>
      <c r="R1491" t="s">
        <v>129</v>
      </c>
      <c r="S1491" t="s">
        <v>96</v>
      </c>
    </row>
    <row r="1492" spans="1:19" x14ac:dyDescent="0.35">
      <c r="A1492" t="s">
        <v>127</v>
      </c>
      <c r="B1492" s="174">
        <v>46034</v>
      </c>
      <c r="C1492" s="10" t="s">
        <v>3</v>
      </c>
      <c r="D1492" s="4" t="s">
        <v>128</v>
      </c>
      <c r="F1492" s="172">
        <v>46081</v>
      </c>
      <c r="G1492" s="172">
        <v>46112</v>
      </c>
      <c r="H1492" s="218">
        <v>0.18</v>
      </c>
      <c r="I1492" s="192">
        <v>0.13</v>
      </c>
      <c r="J1492" s="9">
        <v>0</v>
      </c>
      <c r="K1492">
        <v>0</v>
      </c>
      <c r="L1492" s="14" t="s">
        <v>99</v>
      </c>
      <c r="M1492" s="8" t="s">
        <v>131</v>
      </c>
      <c r="N1492">
        <v>0</v>
      </c>
      <c r="O1492" s="38" t="s">
        <v>4</v>
      </c>
      <c r="P1492" s="38" t="s">
        <v>3</v>
      </c>
      <c r="Q1492">
        <v>2026</v>
      </c>
      <c r="R1492" t="s">
        <v>129</v>
      </c>
      <c r="S1492" t="s">
        <v>96</v>
      </c>
    </row>
    <row r="1493" spans="1:19" x14ac:dyDescent="0.35">
      <c r="A1493" t="s">
        <v>127</v>
      </c>
      <c r="B1493" s="174">
        <v>46034</v>
      </c>
      <c r="C1493" s="10" t="s">
        <v>3</v>
      </c>
      <c r="D1493" s="4" t="s">
        <v>128</v>
      </c>
      <c r="F1493" s="172">
        <v>46112</v>
      </c>
      <c r="G1493" s="172">
        <v>46142</v>
      </c>
      <c r="H1493" s="218">
        <v>0.18</v>
      </c>
      <c r="I1493" s="192">
        <v>0.19</v>
      </c>
      <c r="J1493" s="9">
        <v>0</v>
      </c>
      <c r="K1493">
        <v>0</v>
      </c>
      <c r="L1493" s="14" t="s">
        <v>100</v>
      </c>
      <c r="M1493" s="8" t="s">
        <v>131</v>
      </c>
      <c r="N1493">
        <v>0</v>
      </c>
      <c r="O1493" s="38" t="s">
        <v>4</v>
      </c>
      <c r="P1493" s="38" t="s">
        <v>3</v>
      </c>
      <c r="Q1493">
        <v>2026</v>
      </c>
      <c r="R1493" t="s">
        <v>129</v>
      </c>
      <c r="S1493" t="s">
        <v>96</v>
      </c>
    </row>
    <row r="1494" spans="1:19" x14ac:dyDescent="0.35">
      <c r="A1494" t="s">
        <v>127</v>
      </c>
      <c r="B1494" s="174">
        <v>46035</v>
      </c>
      <c r="C1494" s="10" t="s">
        <v>3</v>
      </c>
      <c r="D1494" s="4" t="s">
        <v>128</v>
      </c>
      <c r="E1494" s="253">
        <v>354</v>
      </c>
      <c r="F1494" s="172">
        <v>46081</v>
      </c>
      <c r="G1494" s="172">
        <v>46112</v>
      </c>
      <c r="H1494" s="218">
        <v>0.22</v>
      </c>
      <c r="I1494" s="192">
        <v>0.13</v>
      </c>
      <c r="J1494" s="9">
        <v>-31.86</v>
      </c>
      <c r="K1494">
        <v>77.88</v>
      </c>
      <c r="L1494" s="14" t="s">
        <v>99</v>
      </c>
      <c r="M1494" s="8" t="s">
        <v>131</v>
      </c>
      <c r="N1494">
        <v>46.02</v>
      </c>
      <c r="O1494" s="38" t="s">
        <v>4</v>
      </c>
      <c r="P1494" s="38" t="s">
        <v>3</v>
      </c>
      <c r="Q1494">
        <v>2026</v>
      </c>
      <c r="R1494" t="s">
        <v>131</v>
      </c>
      <c r="S1494" t="s">
        <v>96</v>
      </c>
    </row>
    <row r="1495" spans="1:19" x14ac:dyDescent="0.35">
      <c r="A1495" t="s">
        <v>127</v>
      </c>
      <c r="B1495" s="174">
        <v>46035</v>
      </c>
      <c r="C1495" s="10" t="s">
        <v>3</v>
      </c>
      <c r="D1495" s="4" t="s">
        <v>128</v>
      </c>
      <c r="E1495" s="253">
        <v>93</v>
      </c>
      <c r="F1495" s="172">
        <v>46112</v>
      </c>
      <c r="G1495" s="172">
        <v>46142</v>
      </c>
      <c r="H1495" s="218">
        <v>0.28000000000000003</v>
      </c>
      <c r="I1495" s="192">
        <v>0.19</v>
      </c>
      <c r="J1495" s="9">
        <v>-8.3700000000000028</v>
      </c>
      <c r="K1495">
        <v>26.040000000000003</v>
      </c>
      <c r="L1495" s="14" t="s">
        <v>100</v>
      </c>
      <c r="M1495" s="8" t="s">
        <v>131</v>
      </c>
      <c r="N1495">
        <v>17.670000000000002</v>
      </c>
      <c r="O1495" s="38" t="s">
        <v>4</v>
      </c>
      <c r="P1495" s="38" t="s">
        <v>3</v>
      </c>
      <c r="Q1495">
        <v>2026</v>
      </c>
      <c r="R1495" t="s">
        <v>131</v>
      </c>
      <c r="S1495" t="s">
        <v>96</v>
      </c>
    </row>
    <row r="1496" spans="1:19" x14ac:dyDescent="0.35">
      <c r="A1496" t="s">
        <v>127</v>
      </c>
      <c r="B1496" s="16">
        <v>46035</v>
      </c>
      <c r="C1496" s="10" t="s">
        <v>3</v>
      </c>
      <c r="D1496" s="4" t="s">
        <v>128</v>
      </c>
      <c r="E1496" s="253">
        <v>2100</v>
      </c>
      <c r="F1496" s="172">
        <v>46081</v>
      </c>
      <c r="G1496" s="172">
        <v>46112</v>
      </c>
      <c r="H1496" s="212">
        <v>0.22</v>
      </c>
      <c r="I1496" s="7">
        <v>0.13</v>
      </c>
      <c r="J1496" s="9">
        <v>-189</v>
      </c>
      <c r="K1496">
        <v>462</v>
      </c>
      <c r="L1496" s="14" t="s">
        <v>99</v>
      </c>
      <c r="M1496" s="8" t="s">
        <v>131</v>
      </c>
      <c r="N1496">
        <v>273</v>
      </c>
      <c r="O1496" t="s">
        <v>4</v>
      </c>
      <c r="P1496" t="s">
        <v>3</v>
      </c>
      <c r="Q1496" s="38">
        <v>2026</v>
      </c>
      <c r="R1496" t="s">
        <v>131</v>
      </c>
      <c r="S1496" t="s">
        <v>96</v>
      </c>
    </row>
    <row r="1497" spans="1:19" x14ac:dyDescent="0.35">
      <c r="A1497" t="s">
        <v>127</v>
      </c>
      <c r="B1497" s="16">
        <v>46035</v>
      </c>
      <c r="C1497" s="10" t="s">
        <v>3</v>
      </c>
      <c r="D1497" s="4" t="s">
        <v>128</v>
      </c>
      <c r="E1497" s="253">
        <v>2100</v>
      </c>
      <c r="F1497" s="172">
        <v>46112</v>
      </c>
      <c r="G1497" s="172">
        <v>46142</v>
      </c>
      <c r="H1497" s="212">
        <v>0.28000000000000003</v>
      </c>
      <c r="I1497" s="7">
        <v>0.19</v>
      </c>
      <c r="J1497" s="9">
        <v>-189.00000000000006</v>
      </c>
      <c r="K1497">
        <v>588</v>
      </c>
      <c r="L1497" s="14" t="s">
        <v>100</v>
      </c>
      <c r="M1497" s="8" t="s">
        <v>131</v>
      </c>
      <c r="N1497">
        <v>399</v>
      </c>
      <c r="O1497" t="s">
        <v>4</v>
      </c>
      <c r="P1497" t="s">
        <v>3</v>
      </c>
      <c r="Q1497" s="38">
        <v>2026</v>
      </c>
      <c r="R1497" t="s">
        <v>131</v>
      </c>
      <c r="S1497" t="s">
        <v>96</v>
      </c>
    </row>
    <row r="1498" spans="1:19" x14ac:dyDescent="0.35">
      <c r="A1498" t="s">
        <v>127</v>
      </c>
      <c r="B1498" s="16">
        <v>46035</v>
      </c>
      <c r="C1498" s="10" t="s">
        <v>10</v>
      </c>
      <c r="D1498" s="4" t="s">
        <v>128</v>
      </c>
      <c r="E1498" s="253">
        <v>2100</v>
      </c>
      <c r="F1498" s="172">
        <v>46142</v>
      </c>
      <c r="G1498" s="172">
        <v>46142</v>
      </c>
      <c r="H1498" s="212">
        <v>-4.0999999999999996</v>
      </c>
      <c r="I1498" s="7">
        <v>-4.03</v>
      </c>
      <c r="J1498" s="9">
        <v>146.99999999999872</v>
      </c>
      <c r="K1498">
        <v>-8610</v>
      </c>
      <c r="L1498" s="14" t="s">
        <v>102</v>
      </c>
      <c r="M1498" s="8" t="s">
        <v>131</v>
      </c>
      <c r="N1498">
        <v>-8463</v>
      </c>
      <c r="O1498" t="s">
        <v>11</v>
      </c>
      <c r="P1498" t="s">
        <v>10</v>
      </c>
      <c r="Q1498" s="38">
        <v>2026</v>
      </c>
      <c r="R1498" t="s">
        <v>131</v>
      </c>
      <c r="S1498" t="s">
        <v>96</v>
      </c>
    </row>
    <row r="1499" spans="1:19" x14ac:dyDescent="0.35">
      <c r="A1499" t="s">
        <v>127</v>
      </c>
      <c r="B1499" s="16">
        <v>46035</v>
      </c>
      <c r="C1499" s="10" t="s">
        <v>7</v>
      </c>
      <c r="D1499" s="4" t="s">
        <v>128</v>
      </c>
      <c r="E1499" s="253">
        <v>2100</v>
      </c>
      <c r="F1499" s="172">
        <v>46142</v>
      </c>
      <c r="G1499" s="172">
        <v>46173</v>
      </c>
      <c r="H1499" s="219">
        <v>0.46</v>
      </c>
      <c r="I1499" s="7">
        <v>0.37</v>
      </c>
      <c r="J1499" s="9">
        <v>-189.00000000000006</v>
      </c>
      <c r="K1499">
        <v>966</v>
      </c>
      <c r="L1499" s="14" t="s">
        <v>105</v>
      </c>
      <c r="M1499" s="8" t="s">
        <v>131</v>
      </c>
      <c r="N1499">
        <v>777</v>
      </c>
      <c r="O1499" t="s">
        <v>4</v>
      </c>
      <c r="P1499" t="s">
        <v>7</v>
      </c>
      <c r="Q1499" s="38">
        <v>2026</v>
      </c>
      <c r="R1499" t="s">
        <v>131</v>
      </c>
      <c r="S1499" t="s">
        <v>96</v>
      </c>
    </row>
    <row r="1500" spans="1:19" x14ac:dyDescent="0.35">
      <c r="A1500" t="s">
        <v>127</v>
      </c>
      <c r="B1500" s="174">
        <v>46036</v>
      </c>
      <c r="C1500" s="10" t="s">
        <v>3</v>
      </c>
      <c r="D1500" s="4" t="s">
        <v>128</v>
      </c>
      <c r="E1500" s="253">
        <v>-1000</v>
      </c>
      <c r="F1500" s="172">
        <v>46142</v>
      </c>
      <c r="G1500" s="172">
        <v>46173</v>
      </c>
      <c r="H1500" s="218">
        <v>0.25</v>
      </c>
      <c r="I1500" s="192">
        <v>0.14000000000000001</v>
      </c>
      <c r="J1500" s="9">
        <v>109.99999999999999</v>
      </c>
      <c r="K1500">
        <v>-250</v>
      </c>
      <c r="L1500" s="14" t="s">
        <v>105</v>
      </c>
      <c r="M1500" s="8" t="s">
        <v>129</v>
      </c>
      <c r="N1500">
        <v>-140</v>
      </c>
      <c r="O1500" s="38" t="s">
        <v>4</v>
      </c>
      <c r="P1500" s="38" t="s">
        <v>3</v>
      </c>
      <c r="Q1500">
        <v>2026</v>
      </c>
      <c r="R1500" t="s">
        <v>129</v>
      </c>
      <c r="S1500" t="s">
        <v>96</v>
      </c>
    </row>
    <row r="1501" spans="1:19" x14ac:dyDescent="0.35">
      <c r="A1501" t="s">
        <v>127</v>
      </c>
      <c r="B1501" s="174">
        <v>46036</v>
      </c>
      <c r="C1501" s="10" t="s">
        <v>10</v>
      </c>
      <c r="D1501" s="4" t="s">
        <v>128</v>
      </c>
      <c r="E1501" s="253">
        <v>-1000</v>
      </c>
      <c r="F1501" s="172">
        <v>46142</v>
      </c>
      <c r="G1501" s="172">
        <v>46142</v>
      </c>
      <c r="H1501" s="212">
        <v>-4.1500000000000004</v>
      </c>
      <c r="I1501" s="7">
        <v>-4.03</v>
      </c>
      <c r="J1501" s="9">
        <v>-120.00000000000011</v>
      </c>
      <c r="K1501">
        <v>4150</v>
      </c>
      <c r="L1501" s="14" t="s">
        <v>102</v>
      </c>
      <c r="M1501" s="8" t="s">
        <v>129</v>
      </c>
      <c r="N1501">
        <v>4030.0000000000005</v>
      </c>
      <c r="O1501" t="s">
        <v>11</v>
      </c>
      <c r="P1501" t="s">
        <v>10</v>
      </c>
      <c r="Q1501" s="38">
        <v>2026</v>
      </c>
      <c r="R1501" t="s">
        <v>129</v>
      </c>
      <c r="S1501" t="s">
        <v>96</v>
      </c>
    </row>
    <row r="1502" spans="1:19" x14ac:dyDescent="0.35">
      <c r="A1502" t="s">
        <v>127</v>
      </c>
      <c r="B1502" s="174">
        <v>46036</v>
      </c>
      <c r="C1502" s="10" t="s">
        <v>10</v>
      </c>
      <c r="D1502" s="4" t="s">
        <v>128</v>
      </c>
      <c r="E1502" s="253">
        <v>350</v>
      </c>
      <c r="F1502" s="172">
        <v>46203</v>
      </c>
      <c r="G1502" s="172">
        <v>46203</v>
      </c>
      <c r="H1502" s="212">
        <v>-3.65</v>
      </c>
      <c r="I1502" s="7">
        <v>-3.65</v>
      </c>
      <c r="J1502" s="9">
        <v>0</v>
      </c>
      <c r="K1502">
        <v>-1277.5</v>
      </c>
      <c r="L1502" s="14" t="s">
        <v>101</v>
      </c>
      <c r="M1502" s="8" t="s">
        <v>131</v>
      </c>
      <c r="N1502">
        <v>-1277.5</v>
      </c>
      <c r="O1502" t="s">
        <v>11</v>
      </c>
      <c r="P1502" t="s">
        <v>10</v>
      </c>
      <c r="Q1502" s="38">
        <v>2026</v>
      </c>
      <c r="R1502" t="s">
        <v>131</v>
      </c>
      <c r="S1502" t="s">
        <v>96</v>
      </c>
    </row>
    <row r="1503" spans="1:19" x14ac:dyDescent="0.35">
      <c r="A1503" t="s">
        <v>127</v>
      </c>
      <c r="B1503" s="174">
        <v>46036</v>
      </c>
      <c r="C1503" s="10" t="s">
        <v>7</v>
      </c>
      <c r="D1503" s="4" t="s">
        <v>128</v>
      </c>
      <c r="E1503" s="253">
        <v>-1000</v>
      </c>
      <c r="F1503" s="172">
        <v>46142</v>
      </c>
      <c r="G1503" s="172">
        <v>46173</v>
      </c>
      <c r="H1503" s="212">
        <v>0.37</v>
      </c>
      <c r="I1503" s="7">
        <v>0.37</v>
      </c>
      <c r="J1503" s="9">
        <v>0</v>
      </c>
      <c r="K1503">
        <v>-370</v>
      </c>
      <c r="L1503" s="14" t="s">
        <v>105</v>
      </c>
      <c r="M1503" s="8" t="s">
        <v>129</v>
      </c>
      <c r="N1503">
        <v>-370</v>
      </c>
      <c r="O1503" t="s">
        <v>4</v>
      </c>
      <c r="P1503" t="s">
        <v>7</v>
      </c>
      <c r="Q1503" s="38">
        <v>2026</v>
      </c>
      <c r="R1503" t="s">
        <v>129</v>
      </c>
      <c r="S1503" t="s">
        <v>96</v>
      </c>
    </row>
  </sheetData>
  <autoFilter ref="A1:S1461" xr:uid="{E64D0E6E-C2AF-4373-9ACF-B988F8E7DB94}"/>
  <sortState xmlns:xlrd2="http://schemas.microsoft.com/office/spreadsheetml/2017/richdata2" ref="A124:O207">
    <sortCondition ref="B124:B207"/>
    <sortCondition ref="C124:C207"/>
  </sortState>
  <phoneticPr fontId="12" type="noConversion"/>
  <dataValidations count="1">
    <dataValidation type="list" allowBlank="1" showInputMessage="1" showErrorMessage="1" sqref="A1026:A1038 A124:A1023 A1:A106 A1040:A1048576" xr:uid="{898BF071-7EDC-4688-9C03-EB00AEAD9263}">
      <formula1>Ledgerdd</formula1>
    </dataValidation>
  </dataValidations>
  <pageMargins left="0.7" right="0.7" top="0.75" bottom="0.75" header="0.3" footer="0.3"/>
  <pageSetup orientation="portrait" r:id="rId1"/>
  <headerFooter>
    <oddHeader>&amp;C&amp;"Calibri"&amp;10&amp;K008000 Classification: AramcoTrading-US  General Use&amp;1#_x000D_</oddHeader>
    <oddFooter>&amp;C_x000D_&amp;1#&amp;"Calibri"&amp;10&amp;K008000 This content is classified as AramcoTrading-US General Use by Cantafio, Alberto (ATA) on 2025-08-20T18:20:26.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6855D8-CB28-4C13-8598-2669705F6FA1}">
          <x14:formula1>
            <xm:f>Control!$B$2:$B$17</xm:f>
          </x14:formula1>
          <xm:sqref>C6:C1503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0522-FD56-4222-B1E1-E7DBF5F5919F}">
  <sheetPr>
    <tabColor rgb="FFFF66CC"/>
  </sheetPr>
  <dimension ref="A1:AC595"/>
  <sheetViews>
    <sheetView showGridLines="0" zoomScale="115" zoomScaleNormal="115" workbookViewId="0">
      <pane xSplit="4" ySplit="1" topLeftCell="E563" activePane="bottomRight" state="frozen"/>
      <selection pane="topRight" activeCell="B1" sqref="B1"/>
      <selection pane="bottomLeft" activeCell="A2" sqref="A2"/>
      <selection pane="bottomRight" activeCell="L563" sqref="L563"/>
    </sheetView>
  </sheetViews>
  <sheetFormatPr defaultRowHeight="14.5" outlineLevelCol="1" x14ac:dyDescent="0.35"/>
  <cols>
    <col min="1" max="1" width="17" hidden="1" customWidth="1" outlineLevel="1"/>
    <col min="2" max="2" width="18.453125" hidden="1" customWidth="1" outlineLevel="1"/>
    <col min="3" max="3" width="13.7265625" hidden="1" customWidth="1" outlineLevel="1"/>
    <col min="4" max="4" width="28.7265625" bestFit="1" customWidth="1" collapsed="1"/>
    <col min="5" max="5" width="11.54296875" bestFit="1" customWidth="1"/>
    <col min="6" max="6" width="16.26953125" customWidth="1"/>
    <col min="7" max="7" width="11.453125" customWidth="1"/>
    <col min="8" max="8" width="11.54296875" customWidth="1"/>
    <col min="9" max="10" width="11.54296875" bestFit="1" customWidth="1"/>
    <col min="11" max="11" width="14.453125" bestFit="1" customWidth="1"/>
    <col min="12" max="12" width="13" bestFit="1" customWidth="1"/>
    <col min="13" max="13" width="9.7265625" bestFit="1" customWidth="1"/>
    <col min="14" max="14" width="9.7265625" customWidth="1"/>
    <col min="15" max="15" width="22.453125" customWidth="1"/>
    <col min="16" max="16" width="10.26953125" customWidth="1"/>
    <col min="17" max="17" width="14.7265625" customWidth="1"/>
    <col min="18" max="18" width="18" bestFit="1" customWidth="1"/>
    <col min="19" max="20" width="18" customWidth="1"/>
    <col min="21" max="21" width="13" customWidth="1"/>
    <col min="22" max="22" width="18" customWidth="1"/>
    <col min="25" max="25" width="25.26953125" customWidth="1"/>
    <col min="26" max="26" width="13.7265625" bestFit="1" customWidth="1"/>
    <col min="27" max="27" width="13.7265625" customWidth="1"/>
    <col min="28" max="28" width="14.54296875" bestFit="1" customWidth="1"/>
    <col min="29" max="29" width="11.54296875" bestFit="1" customWidth="1"/>
    <col min="31" max="31" width="13" bestFit="1" customWidth="1"/>
    <col min="32" max="32" width="14.54296875" customWidth="1"/>
    <col min="33" max="33" width="19.26953125" customWidth="1"/>
  </cols>
  <sheetData>
    <row r="1" spans="1:28" ht="15" thickBot="1" x14ac:dyDescent="0.4">
      <c r="A1" t="s">
        <v>1715</v>
      </c>
      <c r="B1" t="s">
        <v>1716</v>
      </c>
      <c r="C1" t="s">
        <v>1717</v>
      </c>
      <c r="D1" t="s">
        <v>106</v>
      </c>
      <c r="E1" s="37" t="s">
        <v>107</v>
      </c>
      <c r="F1" s="4" t="s">
        <v>108</v>
      </c>
      <c r="G1" s="10" t="s">
        <v>109</v>
      </c>
      <c r="H1" s="171" t="s">
        <v>110</v>
      </c>
      <c r="I1" t="s">
        <v>111</v>
      </c>
      <c r="J1" s="4" t="s">
        <v>112</v>
      </c>
      <c r="K1" s="15" t="s">
        <v>113</v>
      </c>
      <c r="L1" s="19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1718</v>
      </c>
      <c r="X1" t="s">
        <v>1719</v>
      </c>
      <c r="Y1" t="s">
        <v>1720</v>
      </c>
      <c r="Z1" t="s">
        <v>1721</v>
      </c>
      <c r="AA1" t="s">
        <v>1722</v>
      </c>
      <c r="AB1" t="s">
        <v>1723</v>
      </c>
    </row>
    <row r="2" spans="1:28" ht="15.75" hidden="1" customHeight="1" x14ac:dyDescent="0.35">
      <c r="A2" t="s">
        <v>1724</v>
      </c>
      <c r="B2" t="str">
        <f>_xlfn.XLOOKUP(Table3[[#This Row],[Cargo Name]],Ledger[Cargo Name],Ledger[SAP Deal Number])</f>
        <v>ARA26HS00006</v>
      </c>
      <c r="C2">
        <v>0</v>
      </c>
      <c r="D2" s="226" t="s">
        <v>1458</v>
      </c>
      <c r="E2" s="302">
        <v>46022</v>
      </c>
      <c r="F2" s="229" t="s">
        <v>53</v>
      </c>
      <c r="G2" s="230" t="s">
        <v>268</v>
      </c>
      <c r="H2" s="276"/>
      <c r="I2" s="231">
        <v>45991</v>
      </c>
      <c r="J2" s="231">
        <f t="shared" ref="J2:J4" si="0">I2</f>
        <v>45991</v>
      </c>
      <c r="K2" s="232"/>
      <c r="L2" s="315"/>
      <c r="M2" s="234">
        <v>-196</v>
      </c>
      <c r="N2" s="227">
        <f t="shared" ref="N2:N4" si="1">H2*K2</f>
        <v>0</v>
      </c>
      <c r="O2" s="235" t="str">
        <f>IF(I2=J2,TEXT(I2,"MMM YY"),TEXT(I2,"MMM")&amp;"/"&amp;TEXT(J2,"MMM")&amp;" "&amp;RIGHT(T2,2))</f>
        <v>Nov 25</v>
      </c>
      <c r="P2" s="236" t="str">
        <f t="shared" ref="P2:P4" si="2">IF(H2&lt;0,"Sell","Buy")</f>
        <v>Buy</v>
      </c>
      <c r="Q2" s="227">
        <f t="shared" ref="Q2:Q4" si="3">H2*L2</f>
        <v>0</v>
      </c>
      <c r="R2" s="227" t="str">
        <f>VLOOKUP(F2,Control!$B:$C,2,FALSE)</f>
        <v>Legacy 2025</v>
      </c>
      <c r="S2" s="227" t="str">
        <f>VLOOKUP(F2,Control!$B:$D,3,FALSE)</f>
        <v>Legacy 2025</v>
      </c>
      <c r="T2" s="227">
        <f>YEAR(I2)</f>
        <v>2025</v>
      </c>
      <c r="U2" s="227" t="str">
        <f t="shared" ref="U2:U4" si="4">IFERROR(IF(H2&gt;0,"Buy","Sell"),"")</f>
        <v>Sell</v>
      </c>
      <c r="V2" s="238" t="s">
        <v>96</v>
      </c>
      <c r="W2">
        <f>_xlfn.XLOOKUP(Table3[[#This Row],[Instrument]],Control!$B$2:$B$19,Control!$E$2:$E$19)</f>
        <v>0</v>
      </c>
      <c r="X2" s="14">
        <f>Table3[[#This Row],[Month1]]</f>
        <v>45991</v>
      </c>
      <c r="Y2" s="350">
        <f>Table3[[#This Row],[Quantity]]</f>
        <v>0</v>
      </c>
      <c r="Z2">
        <f>_xlfn.XLOOKUP(Table3[[#This Row],[Instrument]],Control!$B$2:$B$19,Control!$F$2:$F$19)</f>
        <v>0</v>
      </c>
      <c r="AA2" s="14">
        <f>Table3[[#This Row],[Month2]]</f>
        <v>45991</v>
      </c>
      <c r="AB2" s="350">
        <f>-Y2</f>
        <v>0</v>
      </c>
    </row>
    <row r="3" spans="1:28" ht="15.75" hidden="1" customHeight="1" x14ac:dyDescent="0.35">
      <c r="A3" t="s">
        <v>1724</v>
      </c>
      <c r="B3" t="str">
        <f>_xlfn.XLOOKUP(Table3[[#This Row],[Cargo Name]],Ledger[Cargo Name],Ledger[SAP Deal Number])</f>
        <v>ARA26HS00013</v>
      </c>
      <c r="C3">
        <v>0</v>
      </c>
      <c r="D3" s="239" t="s">
        <v>1635</v>
      </c>
      <c r="E3" s="16">
        <v>46022</v>
      </c>
      <c r="F3" s="187" t="s">
        <v>53</v>
      </c>
      <c r="G3" s="10" t="s">
        <v>268</v>
      </c>
      <c r="H3" s="259"/>
      <c r="I3" s="172">
        <v>46022</v>
      </c>
      <c r="J3" s="172">
        <f t="shared" si="0"/>
        <v>46022</v>
      </c>
      <c r="K3" s="212"/>
      <c r="L3" s="311"/>
      <c r="M3" s="9">
        <v>-222</v>
      </c>
      <c r="N3">
        <f t="shared" si="1"/>
        <v>0</v>
      </c>
      <c r="O3" s="14" t="str">
        <f>IF(I3=J3,TEXT(I3,"MMM YY"),TEXT(I3,"MMM")&amp;"/"&amp;TEXT(J3,"MMM")&amp;" "&amp;RIGHT(T3,2))</f>
        <v>Dec 25</v>
      </c>
      <c r="P3" s="8" t="str">
        <f t="shared" si="2"/>
        <v>Buy</v>
      </c>
      <c r="Q3">
        <f t="shared" si="3"/>
        <v>0</v>
      </c>
      <c r="R3" t="str">
        <f>VLOOKUP(F3,Control!$B:$C,2,FALSE)</f>
        <v>Legacy 2025</v>
      </c>
      <c r="S3" t="str">
        <f>VLOOKUP(F3,Control!$B:$D,3,FALSE)</f>
        <v>Legacy 2025</v>
      </c>
      <c r="T3">
        <f>YEAR(I3)</f>
        <v>2025</v>
      </c>
      <c r="U3" t="str">
        <f t="shared" si="4"/>
        <v>Sell</v>
      </c>
      <c r="V3" s="240" t="s">
        <v>96</v>
      </c>
      <c r="W3">
        <f>_xlfn.XLOOKUP(Table3[[#This Row],[Instrument]],Control!$B$2:$B$19,Control!$E$2:$E$19)</f>
        <v>0</v>
      </c>
      <c r="X3" s="14">
        <f>Table3[[#This Row],[Month1]]</f>
        <v>46022</v>
      </c>
      <c r="Y3" s="350">
        <f>Table3[[#This Row],[Quantity]]</f>
        <v>0</v>
      </c>
      <c r="Z3">
        <f>_xlfn.XLOOKUP(Table3[[#This Row],[Instrument]],Control!$B$2:$B$19,Control!$F$2:$F$19)</f>
        <v>0</v>
      </c>
      <c r="AA3" s="14">
        <f>Table3[[#This Row],[Month2]]</f>
        <v>46022</v>
      </c>
      <c r="AB3" s="350">
        <f t="shared" ref="AB3:AB66" si="5">-Y3</f>
        <v>0</v>
      </c>
    </row>
    <row r="4" spans="1:28" ht="15.75" hidden="1" customHeight="1" x14ac:dyDescent="0.35">
      <c r="A4" t="s">
        <v>1724</v>
      </c>
      <c r="B4" t="str">
        <f>_xlfn.XLOOKUP(Table3[[#This Row],[Cargo Name]],Ledger[Cargo Name],Ledger[SAP Deal Number])</f>
        <v>ARA26HS00009</v>
      </c>
      <c r="C4">
        <v>0</v>
      </c>
      <c r="D4" s="239" t="s">
        <v>1579</v>
      </c>
      <c r="E4" s="16">
        <v>46022</v>
      </c>
      <c r="F4" s="187" t="s">
        <v>53</v>
      </c>
      <c r="G4" s="10" t="s">
        <v>268</v>
      </c>
      <c r="H4" s="259"/>
      <c r="I4" s="172">
        <v>46022</v>
      </c>
      <c r="J4" s="172">
        <f t="shared" si="0"/>
        <v>46022</v>
      </c>
      <c r="K4" s="212"/>
      <c r="L4" s="311"/>
      <c r="M4" s="9">
        <v>605</v>
      </c>
      <c r="N4">
        <f t="shared" si="1"/>
        <v>0</v>
      </c>
      <c r="O4" s="14" t="str">
        <f>IF(I4=J4,TEXT(I4,"MMM YY"),TEXT(I4,"MMM")&amp;"/"&amp;TEXT(J4,"MMM")&amp;" "&amp;RIGHT(T4,2))</f>
        <v>Dec 25</v>
      </c>
      <c r="P4" s="8" t="str">
        <f t="shared" si="2"/>
        <v>Buy</v>
      </c>
      <c r="Q4">
        <f t="shared" si="3"/>
        <v>0</v>
      </c>
      <c r="R4" t="str">
        <f>VLOOKUP(F4,Control!$B:$C,2,FALSE)</f>
        <v>Legacy 2025</v>
      </c>
      <c r="S4" t="str">
        <f>VLOOKUP(F4,Control!$B:$D,3,FALSE)</f>
        <v>Legacy 2025</v>
      </c>
      <c r="T4">
        <f>YEAR(I4)</f>
        <v>2025</v>
      </c>
      <c r="U4" t="str">
        <f t="shared" si="4"/>
        <v>Sell</v>
      </c>
      <c r="V4" s="240" t="s">
        <v>96</v>
      </c>
      <c r="W4">
        <f>_xlfn.XLOOKUP(Table3[[#This Row],[Instrument]],Control!$B$2:$B$19,Control!$E$2:$E$19)</f>
        <v>0</v>
      </c>
      <c r="X4" s="14">
        <f>Table3[[#This Row],[Month1]]</f>
        <v>46022</v>
      </c>
      <c r="Y4" s="350">
        <f>Table3[[#This Row],[Quantity]]</f>
        <v>0</v>
      </c>
      <c r="Z4">
        <f>_xlfn.XLOOKUP(Table3[[#This Row],[Instrument]],Control!$B$2:$B$19,Control!$F$2:$F$19)</f>
        <v>0</v>
      </c>
      <c r="AA4" s="14">
        <f>Table3[[#This Row],[Month2]]</f>
        <v>46022</v>
      </c>
      <c r="AB4" s="350">
        <f t="shared" si="5"/>
        <v>0</v>
      </c>
    </row>
    <row r="5" spans="1:28" ht="15" hidden="1" thickBot="1" x14ac:dyDescent="0.4">
      <c r="D5" s="239" t="s">
        <v>53</v>
      </c>
      <c r="E5" s="16">
        <v>46022</v>
      </c>
      <c r="F5" s="187" t="s">
        <v>53</v>
      </c>
      <c r="G5" s="10"/>
      <c r="H5" s="259"/>
      <c r="I5" s="172"/>
      <c r="J5" s="172"/>
      <c r="K5" s="212"/>
      <c r="L5" s="311"/>
      <c r="M5" s="374">
        <v>408</v>
      </c>
      <c r="N5">
        <f t="shared" ref="N5" si="6">H5*K5</f>
        <v>0</v>
      </c>
      <c r="O5" s="14"/>
      <c r="P5" s="8" t="str">
        <f t="shared" ref="P5" si="7">IF(H5&lt;0,"Sell","Buy")</f>
        <v>Buy</v>
      </c>
      <c r="Q5">
        <f t="shared" ref="Q5" si="8">H5*L5</f>
        <v>0</v>
      </c>
      <c r="R5" t="str">
        <f>VLOOKUP(F5,Control!$B:$C,2,FALSE)</f>
        <v>Legacy 2025</v>
      </c>
      <c r="S5" t="s">
        <v>7</v>
      </c>
      <c r="T5">
        <v>2025</v>
      </c>
      <c r="U5" t="str">
        <f t="shared" ref="U5" si="9">IFERROR(IF(H5&gt;0,"Buy","Sell"),"")</f>
        <v>Sell</v>
      </c>
      <c r="V5" s="240" t="s">
        <v>96</v>
      </c>
      <c r="W5" t="str">
        <f>_xlfn.XLOOKUP(Table3[[#This Row],[Instrument]],Control!$B$2:$B$19,Control!$E$2:$E$19)</f>
        <v>Brent</v>
      </c>
      <c r="X5" s="14">
        <f>Table3[[#This Row],[Month1]]</f>
        <v>0</v>
      </c>
      <c r="Y5" s="350">
        <f>Table3[[#This Row],[Quantity]]</f>
        <v>0</v>
      </c>
      <c r="Z5" t="str">
        <f>_xlfn.XLOOKUP(Table3[[#This Row],[Instrument]],Control!$B$2:$B$19,Control!$F$2:$F$19)</f>
        <v>Brent</v>
      </c>
      <c r="AA5" s="14">
        <f>Table3[[#This Row],[Month2]]</f>
        <v>0</v>
      </c>
      <c r="AB5" s="350">
        <f t="shared" si="5"/>
        <v>0</v>
      </c>
    </row>
    <row r="6" spans="1:28" ht="15" hidden="1" thickBot="1" x14ac:dyDescent="0.4">
      <c r="D6" s="239" t="s">
        <v>53</v>
      </c>
      <c r="E6" s="16">
        <v>46022</v>
      </c>
      <c r="F6" s="4" t="s">
        <v>53</v>
      </c>
      <c r="G6" s="10"/>
      <c r="H6" s="171"/>
      <c r="J6" s="4"/>
      <c r="K6" s="212"/>
      <c r="L6" s="191"/>
      <c r="M6" s="171">
        <v>-191</v>
      </c>
      <c r="N6">
        <f>H6*K6</f>
        <v>0</v>
      </c>
      <c r="P6" t="str">
        <f>IF(H6&lt;0,"Sell","Buy")</f>
        <v>Buy</v>
      </c>
      <c r="Q6" s="331">
        <f>H6*L6</f>
        <v>0</v>
      </c>
      <c r="R6" t="str">
        <f>VLOOKUP(F6,Control!$B:$C,2,FALSE)</f>
        <v>Legacy 2025</v>
      </c>
      <c r="S6" t="s">
        <v>3</v>
      </c>
      <c r="T6">
        <v>2025</v>
      </c>
      <c r="U6" t="str">
        <f>IFERROR(IF(H6&gt;0,"Buy","Sell"),"")</f>
        <v>Sell</v>
      </c>
      <c r="V6" s="240"/>
      <c r="W6" t="str">
        <f>_xlfn.XLOOKUP(Table3[[#This Row],[Instrument]],Control!$B$2:$B$19,Control!$E$2:$E$19)</f>
        <v>WTI</v>
      </c>
      <c r="X6" s="14">
        <f>Table3[[#This Row],[Month1]]</f>
        <v>0</v>
      </c>
      <c r="Y6" s="350">
        <f>Table3[[#This Row],[Quantity]]</f>
        <v>0</v>
      </c>
      <c r="Z6" t="str">
        <f>_xlfn.XLOOKUP(Table3[[#This Row],[Instrument]],Control!$B$2:$B$19,Control!$F$2:$F$19)</f>
        <v>WTI</v>
      </c>
      <c r="AA6" s="14">
        <f>Table3[[#This Row],[Month2]]</f>
        <v>0</v>
      </c>
      <c r="AB6" s="350">
        <f t="shared" si="5"/>
        <v>0</v>
      </c>
    </row>
    <row r="7" spans="1:28" ht="15" hidden="1" thickBot="1" x14ac:dyDescent="0.4">
      <c r="D7" s="239" t="s">
        <v>53</v>
      </c>
      <c r="E7" s="16">
        <v>46022</v>
      </c>
      <c r="F7" s="4" t="s">
        <v>53</v>
      </c>
      <c r="G7" s="10"/>
      <c r="H7" s="171"/>
      <c r="J7" s="4"/>
      <c r="K7" s="212"/>
      <c r="L7" s="191"/>
      <c r="M7" s="171">
        <v>428</v>
      </c>
      <c r="N7">
        <f>H7*K7</f>
        <v>0</v>
      </c>
      <c r="P7" t="str">
        <f>IF(H7&lt;0,"Sell","Buy")</f>
        <v>Buy</v>
      </c>
      <c r="Q7" s="331">
        <f>H7*L7</f>
        <v>0</v>
      </c>
      <c r="R7" t="str">
        <f>VLOOKUP(F7,Control!$B:$C,2,FALSE)</f>
        <v>Legacy 2025</v>
      </c>
      <c r="S7" t="s">
        <v>29</v>
      </c>
      <c r="T7">
        <v>2025</v>
      </c>
      <c r="U7" t="str">
        <f>IFERROR(IF(H7&gt;0,"Buy","Sell"),"")</f>
        <v>Sell</v>
      </c>
      <c r="V7" s="240"/>
      <c r="W7" t="e">
        <f>_xlfn.XLOOKUP(Table3[[#This Row],[Instrument]],Control!$B$2:$B$19,Control!$E$2:$E$19)</f>
        <v>#N/A</v>
      </c>
      <c r="X7" s="14">
        <f>Table3[[#This Row],[Month1]]</f>
        <v>0</v>
      </c>
      <c r="Y7" s="350">
        <f>Table3[[#This Row],[Quantity]]</f>
        <v>0</v>
      </c>
      <c r="Z7" t="e">
        <f>_xlfn.XLOOKUP(Table3[[#This Row],[Instrument]],Control!$B$2:$B$19,Control!$F$2:$F$19)</f>
        <v>#N/A</v>
      </c>
      <c r="AA7" s="14">
        <f>Table3[[#This Row],[Month2]]</f>
        <v>0</v>
      </c>
      <c r="AB7" s="350">
        <f t="shared" si="5"/>
        <v>0</v>
      </c>
    </row>
    <row r="8" spans="1:28" ht="15" hidden="1" thickBot="1" x14ac:dyDescent="0.4">
      <c r="D8" s="239" t="s">
        <v>53</v>
      </c>
      <c r="E8" s="16">
        <v>46022</v>
      </c>
      <c r="F8" s="4" t="s">
        <v>53</v>
      </c>
      <c r="G8" s="10"/>
      <c r="H8" s="171"/>
      <c r="J8" s="4"/>
      <c r="K8" s="212"/>
      <c r="L8" s="191"/>
      <c r="M8" s="171">
        <v>386</v>
      </c>
      <c r="N8">
        <f>H8*K8</f>
        <v>0</v>
      </c>
      <c r="P8" t="str">
        <f>IF(H8&lt;0,"Sell","Buy")</f>
        <v>Buy</v>
      </c>
      <c r="Q8" s="331">
        <f>H8*L8</f>
        <v>0</v>
      </c>
      <c r="R8" t="str">
        <f>VLOOKUP(F8,Control!$B:$C,2,FALSE)</f>
        <v>Legacy 2025</v>
      </c>
      <c r="S8" t="s">
        <v>16</v>
      </c>
      <c r="T8">
        <v>2025</v>
      </c>
      <c r="U8" t="str">
        <f>IFERROR(IF(H8&gt;0,"Buy","Sell"),"")</f>
        <v>Sell</v>
      </c>
      <c r="V8" s="240"/>
      <c r="W8" t="e">
        <f>_xlfn.XLOOKUP(Table3[[#This Row],[Instrument]],Control!$B$2:$B$19,Control!$E$2:$E$19)</f>
        <v>#N/A</v>
      </c>
      <c r="X8" s="14">
        <f>Table3[[#This Row],[Month1]]</f>
        <v>0</v>
      </c>
      <c r="Y8" s="350">
        <f>Table3[[#This Row],[Quantity]]</f>
        <v>0</v>
      </c>
      <c r="Z8" t="e">
        <f>_xlfn.XLOOKUP(Table3[[#This Row],[Instrument]],Control!$B$2:$B$19,Control!$F$2:$F$19)</f>
        <v>#N/A</v>
      </c>
      <c r="AA8" s="14">
        <f>Table3[[#This Row],[Month2]]</f>
        <v>0</v>
      </c>
      <c r="AB8" s="350">
        <f t="shared" si="5"/>
        <v>0</v>
      </c>
    </row>
    <row r="9" spans="1:28" ht="15" hidden="1" thickBot="1" x14ac:dyDescent="0.4">
      <c r="D9" s="239" t="s">
        <v>53</v>
      </c>
      <c r="E9" s="16">
        <v>46022</v>
      </c>
      <c r="F9" s="4" t="s">
        <v>53</v>
      </c>
      <c r="G9" s="10"/>
      <c r="H9" s="171"/>
      <c r="J9" s="4"/>
      <c r="K9" s="212"/>
      <c r="L9" s="191"/>
      <c r="M9" s="171">
        <v>-274</v>
      </c>
      <c r="N9" s="91">
        <f>H9*K9</f>
        <v>0</v>
      </c>
      <c r="P9" t="str">
        <f>IF(H9&lt;0,"Sell","Buy")</f>
        <v>Buy</v>
      </c>
      <c r="Q9" s="331">
        <f>H9*L9</f>
        <v>0</v>
      </c>
      <c r="R9" t="str">
        <f>VLOOKUP(F9,Control!$B:$C,2,FALSE)</f>
        <v>Legacy 2025</v>
      </c>
      <c r="S9" t="s">
        <v>44</v>
      </c>
      <c r="T9">
        <v>2025</v>
      </c>
      <c r="U9" t="str">
        <f>IFERROR(IF(H9&gt;0,"Buy","Sell"),"")</f>
        <v>Sell</v>
      </c>
      <c r="V9" s="240"/>
      <c r="W9">
        <f>_xlfn.XLOOKUP(Table3[[#This Row],[Instrument]],Control!$B$2:$B$19,Control!$E$2:$E$19)</f>
        <v>0</v>
      </c>
      <c r="X9" s="14">
        <f>Table3[[#This Row],[Month1]]</f>
        <v>0</v>
      </c>
      <c r="Y9" s="350">
        <f>Table3[[#This Row],[Quantity]]</f>
        <v>0</v>
      </c>
      <c r="Z9">
        <f>_xlfn.XLOOKUP(Table3[[#This Row],[Instrument]],Control!$B$2:$B$19,Control!$F$2:$F$19)</f>
        <v>0</v>
      </c>
      <c r="AA9" s="14">
        <f>Table3[[#This Row],[Month2]]</f>
        <v>0</v>
      </c>
      <c r="AB9" s="350">
        <f t="shared" si="5"/>
        <v>0</v>
      </c>
    </row>
    <row r="10" spans="1:28" ht="15" hidden="1" thickBot="1" x14ac:dyDescent="0.4">
      <c r="D10" s="239" t="s">
        <v>53</v>
      </c>
      <c r="E10" s="16">
        <v>46022</v>
      </c>
      <c r="F10" s="4" t="s">
        <v>53</v>
      </c>
      <c r="G10" s="10"/>
      <c r="H10" s="171"/>
      <c r="J10" s="4"/>
      <c r="K10" s="212"/>
      <c r="L10" s="191"/>
      <c r="M10" s="171">
        <v>-342</v>
      </c>
      <c r="N10" s="91">
        <f>H10*K10</f>
        <v>0</v>
      </c>
      <c r="P10" t="str">
        <f>IF(H10&lt;0,"Sell","Buy")</f>
        <v>Buy</v>
      </c>
      <c r="Q10" s="331">
        <f>H10*L10</f>
        <v>0</v>
      </c>
      <c r="R10" t="str">
        <f>VLOOKUP(F10,Control!$B:$C,2,FALSE)</f>
        <v>Legacy 2025</v>
      </c>
      <c r="S10" t="s">
        <v>10</v>
      </c>
      <c r="T10">
        <v>2025</v>
      </c>
      <c r="U10" t="str">
        <f>IFERROR(IF(H10&gt;0,"Buy","Sell"),"")</f>
        <v>Sell</v>
      </c>
      <c r="V10" s="240"/>
      <c r="W10" t="str">
        <f>_xlfn.XLOOKUP(Table3[[#This Row],[Instrument]],Control!$B$2:$B$19,Control!$E$2:$E$19)</f>
        <v>WTI</v>
      </c>
      <c r="X10" s="14">
        <f>Table3[[#This Row],[Month1]]</f>
        <v>0</v>
      </c>
      <c r="Y10" s="350">
        <f>Table3[[#This Row],[Quantity]]</f>
        <v>0</v>
      </c>
      <c r="Z10" t="str">
        <f>_xlfn.XLOOKUP(Table3[[#This Row],[Instrument]],Control!$B$2:$B$19,Control!$F$2:$F$19)</f>
        <v>Brent</v>
      </c>
      <c r="AA10" s="14">
        <f>Table3[[#This Row],[Month2]]</f>
        <v>0</v>
      </c>
      <c r="AB10" s="350">
        <f t="shared" si="5"/>
        <v>0</v>
      </c>
    </row>
    <row r="11" spans="1:28" ht="15" hidden="1" thickBot="1" x14ac:dyDescent="0.4">
      <c r="A11" t="s">
        <v>1724</v>
      </c>
      <c r="B11" t="str">
        <f>_xlfn.XLOOKUP(Table3[[#This Row],[Cargo Name]],Ledger[Cargo Name],Ledger[SAP Deal Number])</f>
        <v>BPP25HS00089</v>
      </c>
      <c r="C11">
        <v>0</v>
      </c>
      <c r="D11" t="s">
        <v>1448</v>
      </c>
      <c r="E11" s="16">
        <v>45944</v>
      </c>
      <c r="F11" s="10" t="s">
        <v>10</v>
      </c>
      <c r="G11" s="4" t="s">
        <v>268</v>
      </c>
      <c r="H11" s="253">
        <v>-2100</v>
      </c>
      <c r="I11" s="172">
        <v>46053</v>
      </c>
      <c r="J11" s="172">
        <v>46053</v>
      </c>
      <c r="K11" s="212">
        <v>-3.96</v>
      </c>
      <c r="L11" s="7">
        <v>-4.6500000000000004</v>
      </c>
      <c r="M11" s="9"/>
      <c r="N11">
        <v>8316</v>
      </c>
      <c r="O11" s="14" t="s">
        <v>95</v>
      </c>
      <c r="P11" s="8" t="s">
        <v>129</v>
      </c>
      <c r="Q11">
        <v>9765</v>
      </c>
      <c r="R11" t="s">
        <v>11</v>
      </c>
      <c r="S11" t="s">
        <v>10</v>
      </c>
      <c r="T11">
        <v>2026</v>
      </c>
      <c r="U11" t="s">
        <v>129</v>
      </c>
      <c r="V11" t="s">
        <v>96</v>
      </c>
      <c r="W11" t="str">
        <f>_xlfn.XLOOKUP(Table3[[#This Row],[Instrument]],Control!$B$2:$B$19,Control!$E$2:$E$19)</f>
        <v>WTI</v>
      </c>
      <c r="X11" s="14">
        <f>Table3[[#This Row],[Month1]]</f>
        <v>46053</v>
      </c>
      <c r="Y11" s="350">
        <f>Table3[[#This Row],[Quantity]]</f>
        <v>-2100</v>
      </c>
      <c r="Z11" t="str">
        <f>_xlfn.XLOOKUP(Table3[[#This Row],[Instrument]],Control!$B$2:$B$19,Control!$F$2:$F$19)</f>
        <v>Brent</v>
      </c>
      <c r="AA11" s="14">
        <f>Table3[[#This Row],[Month2]]</f>
        <v>46053</v>
      </c>
      <c r="AB11" s="350">
        <f t="shared" si="5"/>
        <v>2100</v>
      </c>
    </row>
    <row r="12" spans="1:28" ht="15" hidden="1" thickBot="1" x14ac:dyDescent="0.4">
      <c r="A12" t="s">
        <v>1724</v>
      </c>
      <c r="B12" t="str">
        <f>_xlfn.XLOOKUP(Table3[[#This Row],[Cargo Name]],Ledger[Cargo Name],Ledger[SAP Deal Number])</f>
        <v>ARA26HS00006</v>
      </c>
      <c r="C12">
        <v>0</v>
      </c>
      <c r="D12" t="s">
        <v>1458</v>
      </c>
      <c r="E12" s="16">
        <v>45947</v>
      </c>
      <c r="F12" s="187" t="s">
        <v>19</v>
      </c>
      <c r="G12" s="10" t="s">
        <v>268</v>
      </c>
      <c r="H12" s="259">
        <v>2100</v>
      </c>
      <c r="I12" s="172">
        <v>45991</v>
      </c>
      <c r="J12" s="172">
        <v>45991</v>
      </c>
      <c r="K12" s="212">
        <f>'Cargo Econs 2025'!$J$343</f>
        <v>3.8866666666666667</v>
      </c>
      <c r="L12" s="311">
        <f>'Cargo Econs 2025'!$J$344</f>
        <v>3.98</v>
      </c>
      <c r="M12" s="9">
        <f t="shared" ref="M12" si="10">IFERROR((L12-K12)*H12,"")</f>
        <v>195.99999999999986</v>
      </c>
      <c r="N12">
        <f t="shared" ref="N12:N13" si="11">H12*K12</f>
        <v>8162</v>
      </c>
      <c r="O12" s="14" t="str">
        <f t="shared" ref="O12:O17" si="12">IF(I12=J12,TEXT(I12,"MMM YY"),TEXT(I12,"MMM")&amp;"/"&amp;TEXT(J12,"MMM")&amp;" "&amp;RIGHT(T12,2))</f>
        <v>Nov 25</v>
      </c>
      <c r="P12" s="8" t="str">
        <f t="shared" ref="P12:P17" si="13">IF(H12&lt;0,"Sell","Buy")</f>
        <v>Buy</v>
      </c>
      <c r="Q12">
        <f t="shared" ref="Q12:Q17" si="14">H12*L12</f>
        <v>8358</v>
      </c>
      <c r="R12" t="str">
        <f>VLOOKUP(F12,Control!$B:$C,2,FALSE)</f>
        <v>Physical</v>
      </c>
      <c r="S12" t="str">
        <f>VLOOKUP(F12,Control!$B:$D,3,FALSE)</f>
        <v>Physical</v>
      </c>
      <c r="T12">
        <f t="shared" ref="T12:T17" si="15">YEAR(I12)</f>
        <v>2025</v>
      </c>
      <c r="U12" t="str">
        <f t="shared" ref="U12:U17" si="16">IFERROR(IF(H12&gt;0,"Buy","Sell"),"")</f>
        <v>Buy</v>
      </c>
      <c r="V12" t="s">
        <v>96</v>
      </c>
      <c r="W12">
        <f>_xlfn.XLOOKUP(Table3[[#This Row],[Instrument]],Control!$B$2:$B$19,Control!$E$2:$E$19)</f>
        <v>0</v>
      </c>
      <c r="X12" s="14">
        <f>Table3[[#This Row],[Month1]]</f>
        <v>45991</v>
      </c>
      <c r="Y12" s="350">
        <f>Table3[[#This Row],[Quantity]]</f>
        <v>2100</v>
      </c>
      <c r="Z12">
        <f>_xlfn.XLOOKUP(Table3[[#This Row],[Instrument]],Control!$B$2:$B$19,Control!$F$2:$F$19)</f>
        <v>0</v>
      </c>
      <c r="AA12" s="14">
        <f>Table3[[#This Row],[Month2]]</f>
        <v>45991</v>
      </c>
      <c r="AB12" s="350">
        <f t="shared" si="5"/>
        <v>-2100</v>
      </c>
    </row>
    <row r="13" spans="1:28" ht="15" hidden="1" thickBot="1" x14ac:dyDescent="0.4">
      <c r="A13" t="s">
        <v>1724</v>
      </c>
      <c r="B13" t="str">
        <f>_xlfn.XLOOKUP(Table3[[#This Row],[Cargo Name]],Ledger[Cargo Name],Ledger[SAP Deal Number])</f>
        <v>ARA26HS00006</v>
      </c>
      <c r="C13">
        <v>0</v>
      </c>
      <c r="D13" t="s">
        <v>1458</v>
      </c>
      <c r="E13" s="16">
        <v>45947</v>
      </c>
      <c r="F13" s="10" t="s">
        <v>10</v>
      </c>
      <c r="G13" s="4" t="s">
        <v>268</v>
      </c>
      <c r="H13" s="253">
        <v>-2100</v>
      </c>
      <c r="I13" s="172">
        <v>46053</v>
      </c>
      <c r="J13" s="172">
        <v>46053</v>
      </c>
      <c r="K13" s="212">
        <v>-3.95</v>
      </c>
      <c r="L13" s="7">
        <f ca="1">IF(OR(S13="WTI Sprds",S13="Brent Sprds",S13="WTI-Brent",S13="DFL"),INDEX(INDIRECT("'" &amp; S13 &amp; "'!$A$6:$XFD$1048576"),MATCH('PnL26'!$P$1,INDIRECT("'" &amp; S13 &amp; "'!$A$6:$A$1048576"),0),MATCH(EOMONTH(I13,0),INDIRECT("'" &amp; S13 &amp; "'!$A$4:$XFD$4"),0)),INDEX(BBG!$A:$BA,MATCH('PnL26'!$P$1,BBG!$A:$A,0),MATCH($I13,BBG!$A$4:$BA$4,0))-INDEX(BBG!$A:$BA,MATCH('PnL26'!$P$1,BBG!$A:$A,0),MATCH($J13,BBG!$A$4:$BA$4,0)))</f>
        <v>-4.6500000000000004</v>
      </c>
      <c r="M13" s="9"/>
      <c r="N13">
        <f t="shared" si="11"/>
        <v>8295</v>
      </c>
      <c r="O13" s="14" t="str">
        <f t="shared" si="12"/>
        <v>Jan 26</v>
      </c>
      <c r="P13" s="8" t="str">
        <f t="shared" si="13"/>
        <v>Sell</v>
      </c>
      <c r="Q13">
        <f t="shared" ca="1" si="14"/>
        <v>9765</v>
      </c>
      <c r="R13" t="str">
        <f>VLOOKUP(F13,Control!$B:$C,2,FALSE)</f>
        <v>Swaps</v>
      </c>
      <c r="S13" t="str">
        <f>VLOOKUP(F13,Control!$B:$D,3,FALSE)</f>
        <v>WTI-Brent</v>
      </c>
      <c r="T13">
        <f t="shared" si="15"/>
        <v>2026</v>
      </c>
      <c r="U13" t="str">
        <f t="shared" si="16"/>
        <v>Sell</v>
      </c>
      <c r="V13" t="s">
        <v>96</v>
      </c>
      <c r="W13" t="str">
        <f>_xlfn.XLOOKUP(Table3[[#This Row],[Instrument]],Control!$B$2:$B$19,Control!$E$2:$E$19)</f>
        <v>WTI</v>
      </c>
      <c r="X13" s="14">
        <f>Table3[[#This Row],[Month1]]</f>
        <v>46053</v>
      </c>
      <c r="Y13" s="350">
        <f>Table3[[#This Row],[Quantity]]</f>
        <v>-2100</v>
      </c>
      <c r="Z13" t="str">
        <f>_xlfn.XLOOKUP(Table3[[#This Row],[Instrument]],Control!$B$2:$B$19,Control!$F$2:$F$19)</f>
        <v>Brent</v>
      </c>
      <c r="AA13" s="14">
        <f>Table3[[#This Row],[Month2]]</f>
        <v>46053</v>
      </c>
      <c r="AB13" s="350">
        <f t="shared" si="5"/>
        <v>2100</v>
      </c>
    </row>
    <row r="14" spans="1:28" ht="15" hidden="1" thickBot="1" x14ac:dyDescent="0.4">
      <c r="A14" t="s">
        <v>1724</v>
      </c>
      <c r="B14" t="str">
        <f>_xlfn.XLOOKUP(Table3[[#This Row],[Cargo Name]],Ledger[Cargo Name],Ledger[SAP Deal Number])</f>
        <v>ARA26HS00006</v>
      </c>
      <c r="C14">
        <v>0</v>
      </c>
      <c r="D14" t="s">
        <v>1458</v>
      </c>
      <c r="E14" s="16">
        <v>45958</v>
      </c>
      <c r="F14" s="10" t="s">
        <v>10</v>
      </c>
      <c r="G14" s="4" t="s">
        <v>128</v>
      </c>
      <c r="H14" s="253">
        <v>1000</v>
      </c>
      <c r="I14" s="172">
        <v>46053</v>
      </c>
      <c r="J14" s="172">
        <v>46053</v>
      </c>
      <c r="K14" s="219">
        <v>-4.05</v>
      </c>
      <c r="L14" s="7">
        <f ca="1">IF(OR(S14="WTI Sprds",S14="Brent Sprds",S14="WTI-Brent",S14="DFL"),INDEX(INDIRECT("'" &amp; S14 &amp; "'!$A$6:$XFD$1048576"),MATCH('PnL26'!$P$1,INDIRECT("'" &amp; S14 &amp; "'!$A$6:$A$1048576"),0),MATCH(EOMONTH(I14,0),INDIRECT("'" &amp; S14 &amp; "'!$A$4:$XFD$4"),0)),INDEX(BBG!$A:$BA,MATCH('PnL26'!$P$1,BBG!$A:$A,0),MATCH($I14,BBG!$A$4:$BA$4,0))-INDEX(BBG!$A:$BA,MATCH('PnL26'!$P$1,BBG!$A:$A,0),MATCH($J14,BBG!$A$4:$BA$4,0)))</f>
        <v>-4.6500000000000004</v>
      </c>
      <c r="M14" s="9"/>
      <c r="N14">
        <f t="shared" ref="N14:N21" si="17">H14*K14</f>
        <v>-4050</v>
      </c>
      <c r="O14" s="14" t="str">
        <f t="shared" si="12"/>
        <v>Jan 26</v>
      </c>
      <c r="P14" s="8" t="str">
        <f t="shared" si="13"/>
        <v>Buy</v>
      </c>
      <c r="Q14">
        <f t="shared" ca="1" si="14"/>
        <v>-4650</v>
      </c>
      <c r="R14" t="str">
        <f>VLOOKUP(F14,Control!$B:$C,2,FALSE)</f>
        <v>Swaps</v>
      </c>
      <c r="S14" t="str">
        <f>VLOOKUP(F14,Control!$B:$D,3,FALSE)</f>
        <v>WTI-Brent</v>
      </c>
      <c r="T14">
        <f t="shared" si="15"/>
        <v>2026</v>
      </c>
      <c r="U14" t="str">
        <f t="shared" si="16"/>
        <v>Buy</v>
      </c>
      <c r="V14" t="s">
        <v>96</v>
      </c>
      <c r="W14" t="str">
        <f>_xlfn.XLOOKUP(Table3[[#This Row],[Instrument]],Control!$B$2:$B$19,Control!$E$2:$E$19)</f>
        <v>WTI</v>
      </c>
      <c r="X14" s="14">
        <f>Table3[[#This Row],[Month1]]</f>
        <v>46053</v>
      </c>
      <c r="Y14" s="350">
        <f>Table3[[#This Row],[Quantity]]</f>
        <v>1000</v>
      </c>
      <c r="Z14" t="str">
        <f>_xlfn.XLOOKUP(Table3[[#This Row],[Instrument]],Control!$B$2:$B$19,Control!$F$2:$F$19)</f>
        <v>Brent</v>
      </c>
      <c r="AA14" s="14">
        <f>Table3[[#This Row],[Month2]]</f>
        <v>46053</v>
      </c>
      <c r="AB14" s="350">
        <f t="shared" si="5"/>
        <v>-1000</v>
      </c>
    </row>
    <row r="15" spans="1:28" ht="15" hidden="1" thickBot="1" x14ac:dyDescent="0.4">
      <c r="A15" t="s">
        <v>1724</v>
      </c>
      <c r="B15" t="str">
        <f>_xlfn.XLOOKUP(Table3[[#This Row],[Cargo Name]],Ledger[Cargo Name],Ledger[SAP Deal Number])</f>
        <v>Unallocated</v>
      </c>
      <c r="C15">
        <v>0</v>
      </c>
      <c r="D15" t="s">
        <v>127</v>
      </c>
      <c r="E15" s="16">
        <v>45959</v>
      </c>
      <c r="F15" s="10" t="s">
        <v>10</v>
      </c>
      <c r="G15" s="4" t="s">
        <v>128</v>
      </c>
      <c r="H15" s="253">
        <v>1000</v>
      </c>
      <c r="I15" s="172">
        <v>46053</v>
      </c>
      <c r="J15" s="172">
        <v>46053</v>
      </c>
      <c r="K15" s="321">
        <v>-4.2</v>
      </c>
      <c r="L15" s="7">
        <f ca="1">IF(OR(S15="WTI Sprds",S15="Brent Sprds",S15="WTI-Brent",S15="DFL"),INDEX(INDIRECT("'" &amp; S15 &amp; "'!$A$6:$XFD$1048576"),MATCH('PnL26'!$P$1,INDIRECT("'" &amp; S15 &amp; "'!$A$6:$A$1048576"),0),MATCH(EOMONTH(I15,0),INDIRECT("'" &amp; S15 &amp; "'!$A$4:$XFD$4"),0)),INDEX(BBG!$A:$BA,MATCH('PnL26'!$P$1,BBG!$A:$A,0),MATCH($I15,BBG!$A$4:$BA$4,0))-INDEX(BBG!$A:$BA,MATCH('PnL26'!$P$1,BBG!$A:$A,0),MATCH($J15,BBG!$A$4:$BA$4,0)))</f>
        <v>-4.6500000000000004</v>
      </c>
      <c r="M15" s="9"/>
      <c r="N15">
        <f t="shared" si="17"/>
        <v>-4200</v>
      </c>
      <c r="O15" s="14" t="str">
        <f t="shared" si="12"/>
        <v>Jan 26</v>
      </c>
      <c r="P15" s="8" t="str">
        <f t="shared" si="13"/>
        <v>Buy</v>
      </c>
      <c r="Q15">
        <f t="shared" ca="1" si="14"/>
        <v>-4650</v>
      </c>
      <c r="R15" t="str">
        <f>VLOOKUP(F15,Control!$B:$C,2,FALSE)</f>
        <v>Swaps</v>
      </c>
      <c r="S15" t="str">
        <f>VLOOKUP(F15,Control!$B:$D,3,FALSE)</f>
        <v>WTI-Brent</v>
      </c>
      <c r="T15">
        <f t="shared" si="15"/>
        <v>2026</v>
      </c>
      <c r="U15" t="str">
        <f t="shared" si="16"/>
        <v>Buy</v>
      </c>
      <c r="V15" t="s">
        <v>96</v>
      </c>
      <c r="W15" t="str">
        <f>_xlfn.XLOOKUP(Table3[[#This Row],[Instrument]],Control!$B$2:$B$19,Control!$E$2:$E$19)</f>
        <v>WTI</v>
      </c>
      <c r="X15" s="14">
        <f>Table3[[#This Row],[Month1]]</f>
        <v>46053</v>
      </c>
      <c r="Y15" s="350">
        <f>Table3[[#This Row],[Quantity]]</f>
        <v>1000</v>
      </c>
      <c r="Z15" t="str">
        <f>_xlfn.XLOOKUP(Table3[[#This Row],[Instrument]],Control!$B$2:$B$19,Control!$F$2:$F$19)</f>
        <v>Brent</v>
      </c>
      <c r="AA15" s="14">
        <f>Table3[[#This Row],[Month2]]</f>
        <v>46053</v>
      </c>
      <c r="AB15" s="350">
        <f t="shared" si="5"/>
        <v>-1000</v>
      </c>
    </row>
    <row r="16" spans="1:28" ht="15" hidden="1" thickBot="1" x14ac:dyDescent="0.4">
      <c r="A16" t="s">
        <v>1724</v>
      </c>
      <c r="B16" t="e">
        <f>_xlfn.XLOOKUP(Table3[[#This Row],[Cargo Name]],Ledger[Cargo Name],Ledger[SAP Deal Number])</f>
        <v>#N/A</v>
      </c>
      <c r="C16">
        <v>0</v>
      </c>
      <c r="D16" t="s">
        <v>1499</v>
      </c>
      <c r="E16" s="16">
        <v>45960</v>
      </c>
      <c r="F16" s="10" t="s">
        <v>10</v>
      </c>
      <c r="G16" s="4" t="s">
        <v>268</v>
      </c>
      <c r="H16" s="253">
        <v>0</v>
      </c>
      <c r="I16" s="172">
        <v>46053</v>
      </c>
      <c r="J16" s="172">
        <v>46053</v>
      </c>
      <c r="K16" s="219"/>
      <c r="L16" s="7">
        <f ca="1">IF(OR(S16="WTI Sprds",S16="Brent Sprds",S16="WTI-Brent",S16="DFL"),INDEX(INDIRECT("'" &amp; S16 &amp; "'!$A$6:$XFD$1048576"),MATCH('PnL26'!$P$1,INDIRECT("'" &amp; S16 &amp; "'!$A$6:$A$1048576"),0),MATCH(EOMONTH(I16,0),INDIRECT("'" &amp; S16 &amp; "'!$A$4:$XFD$4"),0)),INDEX(BBG!$A:$BA,MATCH('PnL26'!$P$1,BBG!$A:$A,0),MATCH($I16,BBG!$A$4:$BA$4,0))-INDEX(BBG!$A:$BA,MATCH('PnL26'!$P$1,BBG!$A:$A,0),MATCH($J16,BBG!$A$4:$BA$4,0)))</f>
        <v>-4.6500000000000004</v>
      </c>
      <c r="M16" s="9"/>
      <c r="N16">
        <f t="shared" si="17"/>
        <v>0</v>
      </c>
      <c r="O16" s="14" t="str">
        <f t="shared" si="12"/>
        <v>Jan 26</v>
      </c>
      <c r="P16" s="8" t="str">
        <f t="shared" si="13"/>
        <v>Buy</v>
      </c>
      <c r="Q16">
        <f t="shared" ca="1" si="14"/>
        <v>0</v>
      </c>
      <c r="R16" t="str">
        <f>VLOOKUP(F16,Control!$B:$C,2,FALSE)</f>
        <v>Swaps</v>
      </c>
      <c r="S16" t="str">
        <f>VLOOKUP(F16,Control!$B:$D,3,FALSE)</f>
        <v>WTI-Brent</v>
      </c>
      <c r="T16">
        <f t="shared" si="15"/>
        <v>2026</v>
      </c>
      <c r="U16" t="str">
        <f t="shared" si="16"/>
        <v>Sell</v>
      </c>
      <c r="V16" t="s">
        <v>96</v>
      </c>
      <c r="W16" t="str">
        <f>_xlfn.XLOOKUP(Table3[[#This Row],[Instrument]],Control!$B$2:$B$19,Control!$E$2:$E$19)</f>
        <v>WTI</v>
      </c>
      <c r="X16" s="14">
        <f>Table3[[#This Row],[Month1]]</f>
        <v>46053</v>
      </c>
      <c r="Y16" s="350">
        <f>Table3[[#This Row],[Quantity]]</f>
        <v>0</v>
      </c>
      <c r="Z16" t="str">
        <f>_xlfn.XLOOKUP(Table3[[#This Row],[Instrument]],Control!$B$2:$B$19,Control!$F$2:$F$19)</f>
        <v>Brent</v>
      </c>
      <c r="AA16" s="14">
        <f>Table3[[#This Row],[Month2]]</f>
        <v>46053</v>
      </c>
      <c r="AB16" s="350">
        <f t="shared" si="5"/>
        <v>0</v>
      </c>
    </row>
    <row r="17" spans="1:28" ht="15" hidden="1" thickBot="1" x14ac:dyDescent="0.4">
      <c r="A17" t="s">
        <v>1724</v>
      </c>
      <c r="B17" t="e">
        <f>_xlfn.XLOOKUP(Table3[[#This Row],[Cargo Name]],Ledger[Cargo Name],Ledger[SAP Deal Number])</f>
        <v>#N/A</v>
      </c>
      <c r="C17">
        <v>0</v>
      </c>
      <c r="D17" t="s">
        <v>1499</v>
      </c>
      <c r="E17" s="16">
        <v>45966</v>
      </c>
      <c r="F17" s="10" t="s">
        <v>10</v>
      </c>
      <c r="G17" s="4" t="s">
        <v>128</v>
      </c>
      <c r="H17" s="253">
        <v>1200</v>
      </c>
      <c r="I17" s="172">
        <v>46053</v>
      </c>
      <c r="J17" s="172">
        <v>46053</v>
      </c>
      <c r="K17" s="219">
        <v>-4.1000000000000014</v>
      </c>
      <c r="L17" s="7">
        <f ca="1">IF(OR(S17="WTI Sprds",S17="Brent Sprds",S17="WTI-Brent",S17="DFL"),INDEX(INDIRECT("'" &amp; S17 &amp; "'!$A$6:$XFD$1048576"),MATCH('PnL26'!$P$1,INDIRECT("'" &amp; S17 &amp; "'!$A$6:$A$1048576"),0),MATCH(EOMONTH(I17,0),INDIRECT("'" &amp; S17 &amp; "'!$A$4:$XFD$4"),0)),INDEX(BBG!$A:$BA,MATCH('PnL26'!$P$1,BBG!$A:$A,0),MATCH($I17,BBG!$A$4:$BA$4,0))-INDEX(BBG!$A:$BA,MATCH('PnL26'!$P$1,BBG!$A:$A,0),MATCH($J17,BBG!$A$4:$BA$4,0)))</f>
        <v>-4.6500000000000004</v>
      </c>
      <c r="M17" s="9"/>
      <c r="N17">
        <f t="shared" si="17"/>
        <v>-4920.0000000000018</v>
      </c>
      <c r="O17" s="14" t="str">
        <f t="shared" si="12"/>
        <v>Jan 26</v>
      </c>
      <c r="P17" s="8" t="str">
        <f t="shared" si="13"/>
        <v>Buy</v>
      </c>
      <c r="Q17">
        <f t="shared" ca="1" si="14"/>
        <v>-5580</v>
      </c>
      <c r="R17" t="str">
        <f>VLOOKUP(F17,Control!$B:$C,2,FALSE)</f>
        <v>Swaps</v>
      </c>
      <c r="S17" t="str">
        <f>VLOOKUP(F17,Control!$B:$D,3,FALSE)</f>
        <v>WTI-Brent</v>
      </c>
      <c r="T17">
        <f t="shared" si="15"/>
        <v>2026</v>
      </c>
      <c r="U17" t="str">
        <f t="shared" si="16"/>
        <v>Buy</v>
      </c>
      <c r="V17" t="s">
        <v>96</v>
      </c>
      <c r="W17" t="str">
        <f>_xlfn.XLOOKUP(Table3[[#This Row],[Instrument]],Control!$B$2:$B$19,Control!$E$2:$E$19)</f>
        <v>WTI</v>
      </c>
      <c r="X17" s="14">
        <f>Table3[[#This Row],[Month1]]</f>
        <v>46053</v>
      </c>
      <c r="Y17" s="350">
        <f>Table3[[#This Row],[Quantity]]</f>
        <v>1200</v>
      </c>
      <c r="Z17" t="str">
        <f>_xlfn.XLOOKUP(Table3[[#This Row],[Instrument]],Control!$B$2:$B$19,Control!$F$2:$F$19)</f>
        <v>Brent</v>
      </c>
      <c r="AA17" s="14">
        <f>Table3[[#This Row],[Month2]]</f>
        <v>46053</v>
      </c>
      <c r="AB17" s="350">
        <f t="shared" si="5"/>
        <v>-1200</v>
      </c>
    </row>
    <row r="18" spans="1:28" ht="15" hidden="1" thickBot="1" x14ac:dyDescent="0.4">
      <c r="A18" t="s">
        <v>1724</v>
      </c>
      <c r="B18" t="e">
        <f>_xlfn.XLOOKUP(Table3[[#This Row],[Cargo Name]],Ledger[Cargo Name],Ledger[SAP Deal Number])</f>
        <v>#N/A</v>
      </c>
      <c r="C18">
        <v>0</v>
      </c>
      <c r="D18" t="s">
        <v>1499</v>
      </c>
      <c r="E18" s="16">
        <v>45966</v>
      </c>
      <c r="F18" s="10" t="s">
        <v>10</v>
      </c>
      <c r="G18" s="4" t="s">
        <v>128</v>
      </c>
      <c r="H18" s="253">
        <v>893</v>
      </c>
      <c r="I18" s="172">
        <v>46053</v>
      </c>
      <c r="J18" s="172">
        <v>46053</v>
      </c>
      <c r="K18" s="219">
        <v>-4.1500000000000004</v>
      </c>
      <c r="L18" s="7">
        <f ca="1">IF(OR(S18="WTI Sprds",S18="Brent Sprds",S18="WTI-Brent",S18="DFL"),INDEX(INDIRECT("'" &amp; S18 &amp; "'!$A$6:$XFD$1048576"),MATCH('PnL26'!$P$1,INDIRECT("'" &amp; S18 &amp; "'!$A$6:$A$1048576"),0),MATCH(EOMONTH(I18,0),INDIRECT("'" &amp; S18 &amp; "'!$A$4:$XFD$4"),0)),INDEX(BBG!$A:$BA,MATCH('PnL26'!$P$1,BBG!$A:$A,0),MATCH($I18,BBG!$A$4:$BA$4,0))-INDEX(BBG!$A:$BA,MATCH('PnL26'!$P$1,BBG!$A:$A,0),MATCH($J18,BBG!$A$4:$BA$4,0)))</f>
        <v>-4.6500000000000004</v>
      </c>
      <c r="M18" s="9"/>
      <c r="N18">
        <f t="shared" si="17"/>
        <v>-3705.9500000000003</v>
      </c>
      <c r="O18" s="14" t="str">
        <f t="shared" ref="O18:O38" si="18">IF(I18=J18,TEXT(I18,"MMM YY"),TEXT(I18,"MMM")&amp;"/"&amp;TEXT(J18,"MMM")&amp;" "&amp;RIGHT(T18,2))</f>
        <v>Jan 26</v>
      </c>
      <c r="P18" s="8" t="str">
        <f t="shared" ref="P18:P49" si="19">IF(H18&lt;0,"Sell","Buy")</f>
        <v>Buy</v>
      </c>
      <c r="Q18">
        <f t="shared" ref="Q18:Q49" ca="1" si="20">H18*L18</f>
        <v>-4152.4500000000007</v>
      </c>
      <c r="R18" t="str">
        <f>VLOOKUP(F18,Control!$B:$C,2,FALSE)</f>
        <v>Swaps</v>
      </c>
      <c r="S18" t="str">
        <f>VLOOKUP(F18,Control!$B:$D,3,FALSE)</f>
        <v>WTI-Brent</v>
      </c>
      <c r="T18">
        <f t="shared" ref="T18:T38" si="21">YEAR(I18)</f>
        <v>2026</v>
      </c>
      <c r="U18" t="str">
        <f t="shared" ref="U18:U49" si="22">IFERROR(IF(H18&gt;0,"Buy","Sell"),"")</f>
        <v>Buy</v>
      </c>
      <c r="V18" t="s">
        <v>96</v>
      </c>
      <c r="W18" t="str">
        <f>_xlfn.XLOOKUP(Table3[[#This Row],[Instrument]],Control!$B$2:$B$19,Control!$E$2:$E$19)</f>
        <v>WTI</v>
      </c>
      <c r="X18" s="14">
        <f>Table3[[#This Row],[Month1]]</f>
        <v>46053</v>
      </c>
      <c r="Y18" s="350">
        <f>Table3[[#This Row],[Quantity]]</f>
        <v>893</v>
      </c>
      <c r="Z18" t="str">
        <f>_xlfn.XLOOKUP(Table3[[#This Row],[Instrument]],Control!$B$2:$B$19,Control!$F$2:$F$19)</f>
        <v>Brent</v>
      </c>
      <c r="AA18" s="14">
        <f>Table3[[#This Row],[Month2]]</f>
        <v>46053</v>
      </c>
      <c r="AB18" s="350">
        <f t="shared" si="5"/>
        <v>-893</v>
      </c>
    </row>
    <row r="19" spans="1:28" ht="15" hidden="1" thickBot="1" x14ac:dyDescent="0.4">
      <c r="A19" t="s">
        <v>1724</v>
      </c>
      <c r="B19" t="str">
        <f>_xlfn.XLOOKUP(Table3[[#This Row],[Cargo Name]],Ledger[Cargo Name],Ledger[SAP Deal Number])</f>
        <v>ARA26HS00007</v>
      </c>
      <c r="C19">
        <v>0</v>
      </c>
      <c r="D19" t="s">
        <v>1526</v>
      </c>
      <c r="E19" s="16">
        <v>45973</v>
      </c>
      <c r="F19" s="10" t="s">
        <v>10</v>
      </c>
      <c r="G19" s="4" t="s">
        <v>268</v>
      </c>
      <c r="H19" s="253">
        <v>-2100</v>
      </c>
      <c r="I19" s="172">
        <v>46081</v>
      </c>
      <c r="J19" s="172">
        <v>46081</v>
      </c>
      <c r="K19" s="212">
        <v>-3.98</v>
      </c>
      <c r="L19" s="7">
        <f ca="1">IF(OR(S19="WTI Sprds",S19="Brent Sprds",S19="WTI-Brent",S19="DFL"),INDEX(INDIRECT("'" &amp; S19 &amp; "'!$A$6:$XFD$1048576"),MATCH('PnL26'!$P$1,INDIRECT("'" &amp; S19 &amp; "'!$A$6:$A$1048576"),0),MATCH(EOMONTH(I19,0),INDIRECT("'" &amp; S19 &amp; "'!$A$4:$XFD$4"),0)),INDEX(BBG!$A:$BA,MATCH('PnL26'!$P$1,BBG!$A:$A,0),MATCH($I19,BBG!$A$4:$BA$4,0))-INDEX(BBG!$A:$BA,MATCH('PnL26'!$P$1,BBG!$A:$A,0),MATCH($J19,BBG!$A$4:$BA$4,0)))</f>
        <v>-3.97</v>
      </c>
      <c r="M19" s="9">
        <f t="shared" ref="M19:M21" ca="1" si="23">IFERROR((L19-K19)*H19,"")</f>
        <v>-20.999999999999552</v>
      </c>
      <c r="N19">
        <f t="shared" si="17"/>
        <v>8358</v>
      </c>
      <c r="O19" s="14" t="str">
        <f t="shared" si="18"/>
        <v>Feb 26</v>
      </c>
      <c r="P19" s="8" t="str">
        <f t="shared" si="19"/>
        <v>Sell</v>
      </c>
      <c r="Q19">
        <f t="shared" ca="1" si="20"/>
        <v>8337</v>
      </c>
      <c r="R19" t="str">
        <f>VLOOKUP(F19,Control!$B:$C,2,FALSE)</f>
        <v>Swaps</v>
      </c>
      <c r="S19" t="str">
        <f>VLOOKUP(F19,Control!$B:$D,3,FALSE)</f>
        <v>WTI-Brent</v>
      </c>
      <c r="T19">
        <f t="shared" si="21"/>
        <v>2026</v>
      </c>
      <c r="U19" t="str">
        <f t="shared" si="22"/>
        <v>Sell</v>
      </c>
      <c r="V19" t="s">
        <v>96</v>
      </c>
      <c r="W19" t="str">
        <f>_xlfn.XLOOKUP(Table3[[#This Row],[Instrument]],Control!$B$2:$B$19,Control!$E$2:$E$19)</f>
        <v>WTI</v>
      </c>
      <c r="X19" s="14">
        <f>Table3[[#This Row],[Month1]]</f>
        <v>46081</v>
      </c>
      <c r="Y19" s="350">
        <f>Table3[[#This Row],[Quantity]]</f>
        <v>-2100</v>
      </c>
      <c r="Z19" t="str">
        <f>_xlfn.XLOOKUP(Table3[[#This Row],[Instrument]],Control!$B$2:$B$19,Control!$F$2:$F$19)</f>
        <v>Brent</v>
      </c>
      <c r="AA19" s="14">
        <f>Table3[[#This Row],[Month2]]</f>
        <v>46081</v>
      </c>
      <c r="AB19" s="350">
        <f t="shared" si="5"/>
        <v>2100</v>
      </c>
    </row>
    <row r="20" spans="1:28" ht="15" hidden="1" thickBot="1" x14ac:dyDescent="0.4">
      <c r="A20" t="s">
        <v>1724</v>
      </c>
      <c r="B20" t="str">
        <f>_xlfn.XLOOKUP(Table3[[#This Row],[Cargo Name]],Ledger[Cargo Name],Ledger[SAP Deal Number])</f>
        <v>ARA26HS00007</v>
      </c>
      <c r="C20">
        <v>0</v>
      </c>
      <c r="D20" t="s">
        <v>1526</v>
      </c>
      <c r="E20" s="16">
        <v>45973</v>
      </c>
      <c r="F20" s="10" t="s">
        <v>7</v>
      </c>
      <c r="G20" s="4" t="s">
        <v>268</v>
      </c>
      <c r="H20" s="253">
        <v>-2005</v>
      </c>
      <c r="I20" s="172">
        <v>46081</v>
      </c>
      <c r="J20" s="172">
        <v>46112</v>
      </c>
      <c r="K20" s="219">
        <v>0.15</v>
      </c>
      <c r="L20" s="7">
        <f ca="1">IF(OR(S20="WTI Sprds",S20="Brent Sprds",S20="WTI-Brent",S20="DFL"),INDEX(INDIRECT("'" &amp; S20 &amp; "'!$A$6:$XFD$1048576"),MATCH('PnL26'!$P$1,INDIRECT("'" &amp; S20 &amp; "'!$A$6:$A$1048576"),0),MATCH(EOMONTH(I20,0),INDIRECT("'" &amp; S20 &amp; "'!$A$4:$XFD$4"),0)),INDEX(BBG!$A:$BA,MATCH('PnL26'!$P$1,BBG!$A:$A,0),MATCH($I20,BBG!$A$4:$BA$4,0))-INDEX(BBG!$A:$BA,MATCH('PnL26'!$P$1,BBG!$A:$A,0),MATCH($J20,BBG!$A$4:$BA$4,0)))</f>
        <v>0.59</v>
      </c>
      <c r="M20" s="9">
        <f t="shared" ca="1" si="23"/>
        <v>-882.19999999999993</v>
      </c>
      <c r="N20">
        <f t="shared" si="17"/>
        <v>-300.75</v>
      </c>
      <c r="O20" s="14" t="str">
        <f t="shared" si="18"/>
        <v>Feb/Mar 26</v>
      </c>
      <c r="P20" s="8" t="str">
        <f t="shared" si="19"/>
        <v>Sell</v>
      </c>
      <c r="Q20">
        <f t="shared" ca="1" si="20"/>
        <v>-1182.95</v>
      </c>
      <c r="R20" t="str">
        <f>VLOOKUP(F20,Control!$B:$C,2,FALSE)</f>
        <v>Futures</v>
      </c>
      <c r="S20" t="str">
        <f>VLOOKUP(F20,Control!$B:$D,3,FALSE)</f>
        <v>Brent Sprds</v>
      </c>
      <c r="T20">
        <f t="shared" si="21"/>
        <v>2026</v>
      </c>
      <c r="U20" t="str">
        <f t="shared" si="22"/>
        <v>Sell</v>
      </c>
      <c r="V20" t="s">
        <v>96</v>
      </c>
      <c r="W20" t="str">
        <f>_xlfn.XLOOKUP(Table3[[#This Row],[Instrument]],Control!$B$2:$B$19,Control!$E$2:$E$19)</f>
        <v>Brent</v>
      </c>
      <c r="X20" s="14">
        <f>Table3[[#This Row],[Month1]]</f>
        <v>46081</v>
      </c>
      <c r="Y20" s="350">
        <f>Table3[[#This Row],[Quantity]]</f>
        <v>-2005</v>
      </c>
      <c r="Z20" t="str">
        <f>_xlfn.XLOOKUP(Table3[[#This Row],[Instrument]],Control!$B$2:$B$19,Control!$F$2:$F$19)</f>
        <v>Brent</v>
      </c>
      <c r="AA20" s="14">
        <f>Table3[[#This Row],[Month2]]</f>
        <v>46112</v>
      </c>
      <c r="AB20" s="350">
        <f t="shared" si="5"/>
        <v>2005</v>
      </c>
    </row>
    <row r="21" spans="1:28" ht="15" hidden="1" thickBot="1" x14ac:dyDescent="0.4">
      <c r="A21" t="s">
        <v>1724</v>
      </c>
      <c r="B21" t="str">
        <f>_xlfn.XLOOKUP(Table3[[#This Row],[Cargo Name]],Ledger[Cargo Name],Ledger[SAP Deal Number])</f>
        <v>ARA26HS00007</v>
      </c>
      <c r="C21">
        <v>0</v>
      </c>
      <c r="D21" t="s">
        <v>1526</v>
      </c>
      <c r="E21" s="16">
        <v>45973</v>
      </c>
      <c r="F21" s="10" t="s">
        <v>7</v>
      </c>
      <c r="G21" s="4" t="s">
        <v>268</v>
      </c>
      <c r="H21" s="253">
        <v>-95</v>
      </c>
      <c r="I21" s="172">
        <v>46112</v>
      </c>
      <c r="J21" s="172">
        <v>46142</v>
      </c>
      <c r="K21" s="219">
        <v>0.05</v>
      </c>
      <c r="L21" s="7">
        <f ca="1">IF(OR(S21="WTI Sprds",S21="Brent Sprds",S21="WTI-Brent",S21="DFL"),INDEX(INDIRECT("'" &amp; S21 &amp; "'!$A$6:$XFD$1048576"),MATCH('PnL26'!$P$1,INDIRECT("'" &amp; S21 &amp; "'!$A$6:$A$1048576"),0),MATCH(EOMONTH(I21,0),INDIRECT("'" &amp; S21 &amp; "'!$A$4:$XFD$4"),0)),INDEX(BBG!$A:$BA,MATCH('PnL26'!$P$1,BBG!$A:$A,0),MATCH($I21,BBG!$A$4:$BA$4,0))-INDEX(BBG!$A:$BA,MATCH('PnL26'!$P$1,BBG!$A:$A,0),MATCH($J21,BBG!$A$4:$BA$4,0)))</f>
        <v>1.37</v>
      </c>
      <c r="M21" s="9">
        <f t="shared" ca="1" si="23"/>
        <v>-125.4</v>
      </c>
      <c r="N21">
        <f t="shared" si="17"/>
        <v>-4.75</v>
      </c>
      <c r="O21" s="14" t="str">
        <f t="shared" si="18"/>
        <v>Mar/Apr 26</v>
      </c>
      <c r="P21" s="8" t="str">
        <f t="shared" si="19"/>
        <v>Sell</v>
      </c>
      <c r="Q21">
        <f t="shared" ca="1" si="20"/>
        <v>-130.15</v>
      </c>
      <c r="R21" t="str">
        <f>VLOOKUP(F21,Control!$B:$C,2,FALSE)</f>
        <v>Futures</v>
      </c>
      <c r="S21" t="str">
        <f>VLOOKUP(F21,Control!$B:$D,3,FALSE)</f>
        <v>Brent Sprds</v>
      </c>
      <c r="T21">
        <f t="shared" si="21"/>
        <v>2026</v>
      </c>
      <c r="U21" t="str">
        <f t="shared" si="22"/>
        <v>Sell</v>
      </c>
      <c r="V21" t="s">
        <v>96</v>
      </c>
      <c r="W21" t="str">
        <f>_xlfn.XLOOKUP(Table3[[#This Row],[Instrument]],Control!$B$2:$B$19,Control!$E$2:$E$19)</f>
        <v>Brent</v>
      </c>
      <c r="X21" s="14">
        <f>Table3[[#This Row],[Month1]]</f>
        <v>46112</v>
      </c>
      <c r="Y21" s="350">
        <f>Table3[[#This Row],[Quantity]]</f>
        <v>-95</v>
      </c>
      <c r="Z21" t="str">
        <f>_xlfn.XLOOKUP(Table3[[#This Row],[Instrument]],Control!$B$2:$B$19,Control!$F$2:$F$19)</f>
        <v>Brent</v>
      </c>
      <c r="AA21" s="14">
        <f>Table3[[#This Row],[Month2]]</f>
        <v>46142</v>
      </c>
      <c r="AB21" s="350">
        <f t="shared" si="5"/>
        <v>95</v>
      </c>
    </row>
    <row r="22" spans="1:28" ht="15" hidden="1" thickBot="1" x14ac:dyDescent="0.4">
      <c r="A22" t="s">
        <v>1724</v>
      </c>
      <c r="B22" t="str">
        <f>_xlfn.XLOOKUP(Table3[[#This Row],[Cargo Name]],Ledger[Cargo Name],Ledger[SAP Deal Number])</f>
        <v>ARA26HS00007</v>
      </c>
      <c r="C22">
        <v>0</v>
      </c>
      <c r="D22" t="s">
        <v>1526</v>
      </c>
      <c r="E22" s="16">
        <v>45972</v>
      </c>
      <c r="F22" s="10" t="s">
        <v>10</v>
      </c>
      <c r="G22" s="4" t="s">
        <v>128</v>
      </c>
      <c r="H22" s="253">
        <v>725</v>
      </c>
      <c r="I22" s="172">
        <v>46081</v>
      </c>
      <c r="J22" s="172">
        <v>46081</v>
      </c>
      <c r="K22" s="212">
        <v>-4.0000000000000071</v>
      </c>
      <c r="L22" s="7">
        <f ca="1">IF(OR(S22="WTI Sprds",S22="Brent Sprds",S22="WTI-Brent",S22="DFL"),INDEX(INDIRECT("'" &amp; S22 &amp; "'!$A$6:$XFD$1048576"),MATCH('PnL26'!$P$1,INDIRECT("'" &amp; S22 &amp; "'!$A$6:$A$1048576"),0),MATCH(EOMONTH(I22,0),INDIRECT("'" &amp; S22 &amp; "'!$A$4:$XFD$4"),0)),INDEX(BBG!$A:$BA,MATCH('PnL26'!$P$1,BBG!$A:$A,0),MATCH($I22,BBG!$A$4:$BA$4,0))-INDEX(BBG!$A:$BA,MATCH('PnL26'!$P$1,BBG!$A:$A,0),MATCH($J22,BBG!$A$4:$BA$4,0)))</f>
        <v>-3.97</v>
      </c>
      <c r="M22" s="9">
        <f t="shared" ref="M22:M35" ca="1" si="24">IFERROR((L22-K22)*H22,"")</f>
        <v>21.750000000005009</v>
      </c>
      <c r="N22">
        <f t="shared" ref="N22:N54" si="25">H22*K22</f>
        <v>-2900.000000000005</v>
      </c>
      <c r="O22" s="14" t="str">
        <f t="shared" si="18"/>
        <v>Feb 26</v>
      </c>
      <c r="P22" s="8" t="str">
        <f t="shared" si="19"/>
        <v>Buy</v>
      </c>
      <c r="Q22">
        <f t="shared" ca="1" si="20"/>
        <v>-2878.25</v>
      </c>
      <c r="R22" t="str">
        <f>VLOOKUP(F22,Control!$B:$C,2,FALSE)</f>
        <v>Swaps</v>
      </c>
      <c r="S22" t="str">
        <f>VLOOKUP(F22,Control!$B:$D,3,FALSE)</f>
        <v>WTI-Brent</v>
      </c>
      <c r="T22">
        <f t="shared" si="21"/>
        <v>2026</v>
      </c>
      <c r="U22" t="str">
        <f t="shared" si="22"/>
        <v>Buy</v>
      </c>
      <c r="V22" t="s">
        <v>96</v>
      </c>
      <c r="W22" t="str">
        <f>_xlfn.XLOOKUP(Table3[[#This Row],[Instrument]],Control!$B$2:$B$19,Control!$E$2:$E$19)</f>
        <v>WTI</v>
      </c>
      <c r="X22" s="14">
        <f>Table3[[#This Row],[Month1]]</f>
        <v>46081</v>
      </c>
      <c r="Y22" s="350">
        <f>Table3[[#This Row],[Quantity]]</f>
        <v>725</v>
      </c>
      <c r="Z22" t="str">
        <f>_xlfn.XLOOKUP(Table3[[#This Row],[Instrument]],Control!$B$2:$B$19,Control!$F$2:$F$19)</f>
        <v>Brent</v>
      </c>
      <c r="AA22" s="14">
        <f>Table3[[#This Row],[Month2]]</f>
        <v>46081</v>
      </c>
      <c r="AB22" s="350">
        <f t="shared" si="5"/>
        <v>-725</v>
      </c>
    </row>
    <row r="23" spans="1:28" ht="0.75" hidden="1" customHeight="1" x14ac:dyDescent="0.35">
      <c r="A23" t="s">
        <v>1724</v>
      </c>
      <c r="B23" t="str">
        <f>_xlfn.XLOOKUP(Table3[[#This Row],[Cargo Name]],Ledger[Cargo Name],Ledger[SAP Deal Number])</f>
        <v>ARA26HS00007</v>
      </c>
      <c r="C23">
        <v>0</v>
      </c>
      <c r="D23" t="s">
        <v>1526</v>
      </c>
      <c r="E23" s="16">
        <v>45973</v>
      </c>
      <c r="F23" s="10" t="s">
        <v>10</v>
      </c>
      <c r="G23" s="4" t="s">
        <v>128</v>
      </c>
      <c r="H23" s="253">
        <v>1400</v>
      </c>
      <c r="I23" s="172">
        <v>46081</v>
      </c>
      <c r="J23" s="172">
        <v>46081</v>
      </c>
      <c r="K23" s="212">
        <v>-4.0300000000000011</v>
      </c>
      <c r="L23" s="7">
        <f ca="1">IF(OR(S23="WTI Sprds",S23="Brent Sprds",S23="WTI-Brent",S23="DFL"),INDEX(INDIRECT("'" &amp; S23 &amp; "'!$A$6:$XFD$1048576"),MATCH('PnL26'!$P$1,INDIRECT("'" &amp; S23 &amp; "'!$A$6:$A$1048576"),0),MATCH(EOMONTH(I23,0),INDIRECT("'" &amp; S23 &amp; "'!$A$4:$XFD$4"),0)),INDEX(BBG!$A:$BA,MATCH('PnL26'!$P$1,BBG!$A:$A,0),MATCH($I23,BBG!$A$4:$BA$4,0))-INDEX(BBG!$A:$BA,MATCH('PnL26'!$P$1,BBG!$A:$A,0),MATCH($J23,BBG!$A$4:$BA$4,0)))</f>
        <v>-3.97</v>
      </c>
      <c r="M23" s="9">
        <f t="shared" ca="1" si="24"/>
        <v>84.000000000001322</v>
      </c>
      <c r="N23">
        <f t="shared" si="25"/>
        <v>-5642.0000000000018</v>
      </c>
      <c r="O23" s="14" t="str">
        <f t="shared" si="18"/>
        <v>Feb 26</v>
      </c>
      <c r="P23" s="8" t="str">
        <f t="shared" si="19"/>
        <v>Buy</v>
      </c>
      <c r="Q23">
        <f t="shared" ca="1" si="20"/>
        <v>-5558</v>
      </c>
      <c r="R23" t="str">
        <f>VLOOKUP(F23,Control!$B:$C,2,FALSE)</f>
        <v>Swaps</v>
      </c>
      <c r="S23" t="str">
        <f>VLOOKUP(F23,Control!$B:$D,3,FALSE)</f>
        <v>WTI-Brent</v>
      </c>
      <c r="T23">
        <f t="shared" si="21"/>
        <v>2026</v>
      </c>
      <c r="U23" t="str">
        <f t="shared" si="22"/>
        <v>Buy</v>
      </c>
      <c r="V23" t="s">
        <v>96</v>
      </c>
      <c r="W23" t="str">
        <f>_xlfn.XLOOKUP(Table3[[#This Row],[Instrument]],Control!$B$2:$B$19,Control!$E$2:$E$19)</f>
        <v>WTI</v>
      </c>
      <c r="X23" s="14">
        <f>Table3[[#This Row],[Month1]]</f>
        <v>46081</v>
      </c>
      <c r="Y23" s="350">
        <f>Table3[[#This Row],[Quantity]]</f>
        <v>1400</v>
      </c>
      <c r="Z23" t="str">
        <f>_xlfn.XLOOKUP(Table3[[#This Row],[Instrument]],Control!$B$2:$B$19,Control!$F$2:$F$19)</f>
        <v>Brent</v>
      </c>
      <c r="AA23" s="14">
        <f>Table3[[#This Row],[Month2]]</f>
        <v>46081</v>
      </c>
      <c r="AB23" s="350">
        <f t="shared" si="5"/>
        <v>-1400</v>
      </c>
    </row>
    <row r="24" spans="1:28" ht="15" hidden="1" thickBot="1" x14ac:dyDescent="0.4">
      <c r="A24" t="s">
        <v>1724</v>
      </c>
      <c r="B24" t="str">
        <f>_xlfn.XLOOKUP(Table3[[#This Row],[Cargo Name]],Ledger[Cargo Name],Ledger[SAP Deal Number])</f>
        <v>ARA26HS00007</v>
      </c>
      <c r="C24">
        <v>0</v>
      </c>
      <c r="D24" t="s">
        <v>1526</v>
      </c>
      <c r="E24" s="16">
        <v>45978</v>
      </c>
      <c r="F24" s="10" t="s">
        <v>7</v>
      </c>
      <c r="G24" s="4" t="s">
        <v>128</v>
      </c>
      <c r="H24" s="253">
        <v>200</v>
      </c>
      <c r="I24" s="172">
        <v>46081</v>
      </c>
      <c r="J24" s="172">
        <v>46112</v>
      </c>
      <c r="K24" s="219">
        <v>0.25</v>
      </c>
      <c r="L24" s="7">
        <f ca="1">IF(OR(S24="WTI Sprds",S24="Brent Sprds",S24="WTI-Brent",S24="DFL"),INDEX(INDIRECT("'" &amp; S24 &amp; "'!$A$6:$XFD$1048576"),MATCH('PnL26'!$P$1,INDIRECT("'" &amp; S24 &amp; "'!$A$6:$A$1048576"),0),MATCH(EOMONTH(I24,0),INDIRECT("'" &amp; S24 &amp; "'!$A$4:$XFD$4"),0)),INDEX(BBG!$A:$BA,MATCH('PnL26'!$P$1,BBG!$A:$A,0),MATCH($I24,BBG!$A$4:$BA$4,0))-INDEX(BBG!$A:$BA,MATCH('PnL26'!$P$1,BBG!$A:$A,0),MATCH($J24,BBG!$A$4:$BA$4,0)))</f>
        <v>0.59</v>
      </c>
      <c r="M24" s="9">
        <f t="shared" ca="1" si="24"/>
        <v>68</v>
      </c>
      <c r="N24">
        <f t="shared" si="25"/>
        <v>50</v>
      </c>
      <c r="O24" s="14" t="str">
        <f t="shared" si="18"/>
        <v>Feb/Mar 26</v>
      </c>
      <c r="P24" s="8" t="str">
        <f t="shared" si="19"/>
        <v>Buy</v>
      </c>
      <c r="Q24">
        <f t="shared" ca="1" si="20"/>
        <v>118</v>
      </c>
      <c r="R24" t="str">
        <f>VLOOKUP(F24,Control!$B:$C,2,FALSE)</f>
        <v>Futures</v>
      </c>
      <c r="S24" t="str">
        <f>VLOOKUP(F24,Control!$B:$D,3,FALSE)</f>
        <v>Brent Sprds</v>
      </c>
      <c r="T24">
        <f t="shared" si="21"/>
        <v>2026</v>
      </c>
      <c r="U24" t="str">
        <f t="shared" si="22"/>
        <v>Buy</v>
      </c>
      <c r="V24" t="s">
        <v>96</v>
      </c>
      <c r="W24" t="str">
        <f>_xlfn.XLOOKUP(Table3[[#This Row],[Instrument]],Control!$B$2:$B$19,Control!$E$2:$E$19)</f>
        <v>Brent</v>
      </c>
      <c r="X24" s="14">
        <f>Table3[[#This Row],[Month1]]</f>
        <v>46081</v>
      </c>
      <c r="Y24" s="350">
        <f>Table3[[#This Row],[Quantity]]</f>
        <v>200</v>
      </c>
      <c r="Z24" t="str">
        <f>_xlfn.XLOOKUP(Table3[[#This Row],[Instrument]],Control!$B$2:$B$19,Control!$F$2:$F$19)</f>
        <v>Brent</v>
      </c>
      <c r="AA24" s="14">
        <f>Table3[[#This Row],[Month2]]</f>
        <v>46112</v>
      </c>
      <c r="AB24" s="350">
        <f t="shared" si="5"/>
        <v>-200</v>
      </c>
    </row>
    <row r="25" spans="1:28" ht="15" hidden="1" thickBot="1" x14ac:dyDescent="0.4">
      <c r="A25" t="s">
        <v>1724</v>
      </c>
      <c r="B25" t="str">
        <f>_xlfn.XLOOKUP(Table3[[#This Row],[Cargo Name]],Ledger[Cargo Name],Ledger[SAP Deal Number])</f>
        <v>ARA26HS00007</v>
      </c>
      <c r="C25">
        <v>0</v>
      </c>
      <c r="D25" t="s">
        <v>1526</v>
      </c>
      <c r="E25" s="16">
        <v>45978</v>
      </c>
      <c r="F25" s="10" t="s">
        <v>7</v>
      </c>
      <c r="G25" s="4" t="s">
        <v>128</v>
      </c>
      <c r="H25" s="253">
        <v>200</v>
      </c>
      <c r="I25" s="172">
        <v>46081</v>
      </c>
      <c r="J25" s="172">
        <v>46112</v>
      </c>
      <c r="K25" s="219">
        <v>0.24</v>
      </c>
      <c r="L25" s="7">
        <f ca="1">IF(OR(S25="WTI Sprds",S25="Brent Sprds",S25="WTI-Brent",S25="DFL"),INDEX(INDIRECT("'" &amp; S25 &amp; "'!$A$6:$XFD$1048576"),MATCH('PnL26'!$P$1,INDIRECT("'" &amp; S25 &amp; "'!$A$6:$A$1048576"),0),MATCH(EOMONTH(I25,0),INDIRECT("'" &amp; S25 &amp; "'!$A$4:$XFD$4"),0)),INDEX(BBG!$A:$BA,MATCH('PnL26'!$P$1,BBG!$A:$A,0),MATCH($I25,BBG!$A$4:$BA$4,0))-INDEX(BBG!$A:$BA,MATCH('PnL26'!$P$1,BBG!$A:$A,0),MATCH($J25,BBG!$A$4:$BA$4,0)))</f>
        <v>0.59</v>
      </c>
      <c r="M25" s="9">
        <f t="shared" ca="1" si="24"/>
        <v>70</v>
      </c>
      <c r="N25">
        <f t="shared" si="25"/>
        <v>48</v>
      </c>
      <c r="O25" s="14" t="str">
        <f t="shared" si="18"/>
        <v>Feb/Mar 26</v>
      </c>
      <c r="P25" s="8" t="str">
        <f t="shared" si="19"/>
        <v>Buy</v>
      </c>
      <c r="Q25">
        <f t="shared" ca="1" si="20"/>
        <v>118</v>
      </c>
      <c r="R25" t="str">
        <f>VLOOKUP(F25,Control!$B:$C,2,FALSE)</f>
        <v>Futures</v>
      </c>
      <c r="S25" t="str">
        <f>VLOOKUP(F25,Control!$B:$D,3,FALSE)</f>
        <v>Brent Sprds</v>
      </c>
      <c r="T25">
        <f t="shared" si="21"/>
        <v>2026</v>
      </c>
      <c r="U25" t="str">
        <f t="shared" si="22"/>
        <v>Buy</v>
      </c>
      <c r="V25" t="s">
        <v>96</v>
      </c>
      <c r="W25" t="str">
        <f>_xlfn.XLOOKUP(Table3[[#This Row],[Instrument]],Control!$B$2:$B$19,Control!$E$2:$E$19)</f>
        <v>Brent</v>
      </c>
      <c r="X25" s="14">
        <f>Table3[[#This Row],[Month1]]</f>
        <v>46081</v>
      </c>
      <c r="Y25" s="350">
        <f>Table3[[#This Row],[Quantity]]</f>
        <v>200</v>
      </c>
      <c r="Z25" t="str">
        <f>_xlfn.XLOOKUP(Table3[[#This Row],[Instrument]],Control!$B$2:$B$19,Control!$F$2:$F$19)</f>
        <v>Brent</v>
      </c>
      <c r="AA25" s="14">
        <f>Table3[[#This Row],[Month2]]</f>
        <v>46112</v>
      </c>
      <c r="AB25" s="350">
        <f t="shared" si="5"/>
        <v>-200</v>
      </c>
    </row>
    <row r="26" spans="1:28" ht="15" hidden="1" thickBot="1" x14ac:dyDescent="0.4">
      <c r="A26" t="s">
        <v>1724</v>
      </c>
      <c r="B26" t="e">
        <f>_xlfn.XLOOKUP(Table3[[#This Row],[Cargo Name]],Ledger[Cargo Name],Ledger[SAP Deal Number])</f>
        <v>#N/A</v>
      </c>
      <c r="C26">
        <v>0</v>
      </c>
      <c r="E26" s="16">
        <v>45979</v>
      </c>
      <c r="F26" s="10" t="s">
        <v>10</v>
      </c>
      <c r="G26" s="4" t="s">
        <v>268</v>
      </c>
      <c r="H26" s="253">
        <v>-700</v>
      </c>
      <c r="I26" s="172">
        <v>46081</v>
      </c>
      <c r="J26" s="172">
        <v>46081</v>
      </c>
      <c r="K26" s="212">
        <v>-4</v>
      </c>
      <c r="L26" s="7">
        <f ca="1">IF(OR(S26="WTI Sprds",S26="Brent Sprds",S26="WTI-Brent",S26="DFL"),INDEX(INDIRECT("'" &amp; S26 &amp; "'!$A$6:$XFD$1048576"),MATCH('PnL26'!$P$1,INDIRECT("'" &amp; S26 &amp; "'!$A$6:$A$1048576"),0),MATCH(EOMONTH(I26,0),INDIRECT("'" &amp; S26 &amp; "'!$A$4:$XFD$4"),0)),INDEX(BBG!$A:$BA,MATCH('PnL26'!$P$1,BBG!$A:$A,0),MATCH($I26,BBG!$A$4:$BA$4,0))-INDEX(BBG!$A:$BA,MATCH('PnL26'!$P$1,BBG!$A:$A,0),MATCH($J26,BBG!$A$4:$BA$4,0)))</f>
        <v>-3.97</v>
      </c>
      <c r="M26" s="9">
        <f t="shared" ca="1" si="24"/>
        <v>-20.999999999999865</v>
      </c>
      <c r="N26">
        <f t="shared" si="25"/>
        <v>2800</v>
      </c>
      <c r="O26" s="14" t="str">
        <f t="shared" si="18"/>
        <v>Feb 26</v>
      </c>
      <c r="P26" s="8" t="str">
        <f t="shared" si="19"/>
        <v>Sell</v>
      </c>
      <c r="Q26">
        <f t="shared" ca="1" si="20"/>
        <v>2779</v>
      </c>
      <c r="R26" t="str">
        <f>VLOOKUP(F26,Control!$B:$C,2,FALSE)</f>
        <v>Swaps</v>
      </c>
      <c r="S26" t="str">
        <f>VLOOKUP(F26,Control!$B:$D,3,FALSE)</f>
        <v>WTI-Brent</v>
      </c>
      <c r="T26">
        <f t="shared" si="21"/>
        <v>2026</v>
      </c>
      <c r="U26" t="str">
        <f t="shared" si="22"/>
        <v>Sell</v>
      </c>
      <c r="V26" t="s">
        <v>96</v>
      </c>
      <c r="W26" t="str">
        <f>_xlfn.XLOOKUP(Table3[[#This Row],[Instrument]],Control!$B$2:$B$19,Control!$E$2:$E$19)</f>
        <v>WTI</v>
      </c>
      <c r="X26" s="14">
        <f>Table3[[#This Row],[Month1]]</f>
        <v>46081</v>
      </c>
      <c r="Y26" s="350">
        <f>Table3[[#This Row],[Quantity]]</f>
        <v>-700</v>
      </c>
      <c r="Z26" t="str">
        <f>_xlfn.XLOOKUP(Table3[[#This Row],[Instrument]],Control!$B$2:$B$19,Control!$F$2:$F$19)</f>
        <v>Brent</v>
      </c>
      <c r="AA26" s="14">
        <f>Table3[[#This Row],[Month2]]</f>
        <v>46081</v>
      </c>
      <c r="AB26" s="350">
        <f t="shared" si="5"/>
        <v>700</v>
      </c>
    </row>
    <row r="27" spans="1:28" ht="15" hidden="1" thickBot="1" x14ac:dyDescent="0.4">
      <c r="A27" t="s">
        <v>1724</v>
      </c>
      <c r="B27" t="e">
        <f>_xlfn.XLOOKUP(Table3[[#This Row],[Cargo Name]],Ledger[Cargo Name],Ledger[SAP Deal Number])</f>
        <v>#N/A</v>
      </c>
      <c r="C27">
        <v>0</v>
      </c>
      <c r="E27" s="16">
        <v>45979</v>
      </c>
      <c r="F27" s="10" t="s">
        <v>10</v>
      </c>
      <c r="G27" s="4" t="s">
        <v>128</v>
      </c>
      <c r="H27" s="253">
        <v>350</v>
      </c>
      <c r="I27" s="172">
        <v>46081</v>
      </c>
      <c r="J27" s="172">
        <v>46081</v>
      </c>
      <c r="K27" s="212">
        <f>K28-0.34</f>
        <v>-4.0200000000000005</v>
      </c>
      <c r="L27" s="7">
        <f ca="1">IF(OR(S27="WTI Sprds",S27="Brent Sprds",S27="WTI-Brent",S27="DFL"),INDEX(INDIRECT("'" &amp; S27 &amp; "'!$A$6:$XFD$1048576"),MATCH('PnL26'!$P$1,INDIRECT("'" &amp; S27 &amp; "'!$A$6:$A$1048576"),0),MATCH(EOMONTH(I27,0),INDIRECT("'" &amp; S27 &amp; "'!$A$4:$XFD$4"),0)),INDEX(BBG!$A:$BA,MATCH('PnL26'!$P$1,BBG!$A:$A,0),MATCH($I27,BBG!$A$4:$BA$4,0))-INDEX(BBG!$A:$BA,MATCH('PnL26'!$P$1,BBG!$A:$A,0),MATCH($J27,BBG!$A$4:$BA$4,0)))</f>
        <v>-3.97</v>
      </c>
      <c r="M27" s="9">
        <f t="shared" ca="1" si="24"/>
        <v>17.500000000000092</v>
      </c>
      <c r="N27">
        <f t="shared" si="25"/>
        <v>-1407.0000000000002</v>
      </c>
      <c r="O27" s="14" t="str">
        <f t="shared" si="18"/>
        <v>Feb 26</v>
      </c>
      <c r="P27" s="8" t="str">
        <f t="shared" si="19"/>
        <v>Buy</v>
      </c>
      <c r="Q27">
        <f t="shared" ca="1" si="20"/>
        <v>-1389.5</v>
      </c>
      <c r="R27" t="str">
        <f>VLOOKUP(F27,Control!$B:$C,2,FALSE)</f>
        <v>Swaps</v>
      </c>
      <c r="S27" t="str">
        <f>VLOOKUP(F27,Control!$B:$D,3,FALSE)</f>
        <v>WTI-Brent</v>
      </c>
      <c r="T27">
        <f t="shared" si="21"/>
        <v>2026</v>
      </c>
      <c r="U27" t="str">
        <f t="shared" si="22"/>
        <v>Buy</v>
      </c>
      <c r="V27" t="s">
        <v>96</v>
      </c>
      <c r="W27" t="str">
        <f>_xlfn.XLOOKUP(Table3[[#This Row],[Instrument]],Control!$B$2:$B$19,Control!$E$2:$E$19)</f>
        <v>WTI</v>
      </c>
      <c r="X27" s="14">
        <f>Table3[[#This Row],[Month1]]</f>
        <v>46081</v>
      </c>
      <c r="Y27" s="350">
        <f>Table3[[#This Row],[Quantity]]</f>
        <v>350</v>
      </c>
      <c r="Z27" t="str">
        <f>_xlfn.XLOOKUP(Table3[[#This Row],[Instrument]],Control!$B$2:$B$19,Control!$F$2:$F$19)</f>
        <v>Brent</v>
      </c>
      <c r="AA27" s="14">
        <f>Table3[[#This Row],[Month2]]</f>
        <v>46081</v>
      </c>
      <c r="AB27" s="350">
        <f t="shared" si="5"/>
        <v>-350</v>
      </c>
    </row>
    <row r="28" spans="1:28" ht="15" hidden="1" thickBot="1" x14ac:dyDescent="0.4">
      <c r="A28" t="s">
        <v>1724</v>
      </c>
      <c r="B28" t="e">
        <f>_xlfn.XLOOKUP(Table3[[#This Row],[Cargo Name]],Ledger[Cargo Name],Ledger[SAP Deal Number])</f>
        <v>#N/A</v>
      </c>
      <c r="C28">
        <v>0</v>
      </c>
      <c r="E28" s="16">
        <v>45979</v>
      </c>
      <c r="F28" s="10" t="s">
        <v>10</v>
      </c>
      <c r="G28" s="4" t="s">
        <v>128</v>
      </c>
      <c r="H28" s="253">
        <v>-350</v>
      </c>
      <c r="I28" s="172">
        <v>46203</v>
      </c>
      <c r="J28" s="172">
        <v>46203</v>
      </c>
      <c r="K28" s="212">
        <v>-3.68</v>
      </c>
      <c r="L28" s="7">
        <f ca="1">IF(OR(S28="WTI Sprds",S28="Brent Sprds",S28="WTI-Brent",S28="DFL"),INDEX(INDIRECT("'" &amp; S28 &amp; "'!$A$6:$XFD$1048576"),MATCH('PnL26'!$P$1,INDIRECT("'" &amp; S28 &amp; "'!$A$6:$A$1048576"),0),MATCH(EOMONTH(I28,0),INDIRECT("'" &amp; S28 &amp; "'!$A$4:$XFD$4"),0)),INDEX(BBG!$A:$BA,MATCH('PnL26'!$P$1,BBG!$A:$A,0),MATCH($I28,BBG!$A$4:$BA$4,0))-INDEX(BBG!$A:$BA,MATCH('PnL26'!$P$1,BBG!$A:$A,0),MATCH($J28,BBG!$A$4:$BA$4,0)))</f>
        <v>-8.94</v>
      </c>
      <c r="M28" s="9">
        <f t="shared" ca="1" si="24"/>
        <v>1841</v>
      </c>
      <c r="N28">
        <f t="shared" si="25"/>
        <v>1288</v>
      </c>
      <c r="O28" s="14" t="str">
        <f t="shared" si="18"/>
        <v>Jun 26</v>
      </c>
      <c r="P28" s="8" t="str">
        <f t="shared" si="19"/>
        <v>Sell</v>
      </c>
      <c r="Q28">
        <f t="shared" ca="1" si="20"/>
        <v>3129</v>
      </c>
      <c r="R28" t="str">
        <f>VLOOKUP(F28,Control!$B:$C,2,FALSE)</f>
        <v>Swaps</v>
      </c>
      <c r="S28" t="str">
        <f>VLOOKUP(F28,Control!$B:$D,3,FALSE)</f>
        <v>WTI-Brent</v>
      </c>
      <c r="T28">
        <f t="shared" si="21"/>
        <v>2026</v>
      </c>
      <c r="U28" t="str">
        <f t="shared" si="22"/>
        <v>Sell</v>
      </c>
      <c r="V28" t="s">
        <v>96</v>
      </c>
      <c r="W28" t="str">
        <f>_xlfn.XLOOKUP(Table3[[#This Row],[Instrument]],Control!$B$2:$B$19,Control!$E$2:$E$19)</f>
        <v>WTI</v>
      </c>
      <c r="X28" s="14">
        <f>Table3[[#This Row],[Month1]]</f>
        <v>46203</v>
      </c>
      <c r="Y28" s="350">
        <f>Table3[[#This Row],[Quantity]]</f>
        <v>-350</v>
      </c>
      <c r="Z28" t="str">
        <f>_xlfn.XLOOKUP(Table3[[#This Row],[Instrument]],Control!$B$2:$B$19,Control!$F$2:$F$19)</f>
        <v>Brent</v>
      </c>
      <c r="AA28" s="14">
        <f>Table3[[#This Row],[Month2]]</f>
        <v>46203</v>
      </c>
      <c r="AB28" s="350">
        <f t="shared" si="5"/>
        <v>350</v>
      </c>
    </row>
    <row r="29" spans="1:28" ht="15" hidden="1" thickBot="1" x14ac:dyDescent="0.4">
      <c r="A29" t="s">
        <v>1724</v>
      </c>
      <c r="B29" t="e">
        <f>_xlfn.XLOOKUP(Table3[[#This Row],[Cargo Name]],Ledger[Cargo Name],Ledger[SAP Deal Number])</f>
        <v>#N/A</v>
      </c>
      <c r="C29">
        <v>0</v>
      </c>
      <c r="E29" s="16">
        <v>45980</v>
      </c>
      <c r="F29" s="10" t="s">
        <v>10</v>
      </c>
      <c r="G29" s="4" t="s">
        <v>128</v>
      </c>
      <c r="H29" s="253">
        <v>500</v>
      </c>
      <c r="I29" s="172">
        <v>46081</v>
      </c>
      <c r="J29" s="172">
        <v>46081</v>
      </c>
      <c r="K29" s="212">
        <v>-4</v>
      </c>
      <c r="L29" s="7">
        <f ca="1">IF(OR(S29="WTI Sprds",S29="Brent Sprds",S29="WTI-Brent",S29="DFL"),INDEX(INDIRECT("'" &amp; S29 &amp; "'!$A$6:$XFD$1048576"),MATCH('PnL26'!$P$1,INDIRECT("'" &amp; S29 &amp; "'!$A$6:$A$1048576"),0),MATCH(EOMONTH(I29,0),INDIRECT("'" &amp; S29 &amp; "'!$A$4:$XFD$4"),0)),INDEX(BBG!$A:$BA,MATCH('PnL26'!$P$1,BBG!$A:$A,0),MATCH($I29,BBG!$A$4:$BA$4,0))-INDEX(BBG!$A:$BA,MATCH('PnL26'!$P$1,BBG!$A:$A,0),MATCH($J29,BBG!$A$4:$BA$4,0)))</f>
        <v>-3.97</v>
      </c>
      <c r="M29" s="9">
        <f t="shared" ca="1" si="24"/>
        <v>14.999999999999902</v>
      </c>
      <c r="N29">
        <f t="shared" si="25"/>
        <v>-2000</v>
      </c>
      <c r="O29" s="14" t="str">
        <f t="shared" si="18"/>
        <v>Feb 26</v>
      </c>
      <c r="P29" s="8" t="str">
        <f t="shared" si="19"/>
        <v>Buy</v>
      </c>
      <c r="Q29">
        <f t="shared" ca="1" si="20"/>
        <v>-1985</v>
      </c>
      <c r="R29" t="str">
        <f>VLOOKUP(F29,Control!$B:$C,2,FALSE)</f>
        <v>Swaps</v>
      </c>
      <c r="S29" t="str">
        <f>VLOOKUP(F29,Control!$B:$D,3,FALSE)</f>
        <v>WTI-Brent</v>
      </c>
      <c r="T29">
        <f t="shared" si="21"/>
        <v>2026</v>
      </c>
      <c r="U29" t="str">
        <f t="shared" si="22"/>
        <v>Buy</v>
      </c>
      <c r="V29" t="s">
        <v>96</v>
      </c>
      <c r="W29" t="str">
        <f>_xlfn.XLOOKUP(Table3[[#This Row],[Instrument]],Control!$B$2:$B$19,Control!$E$2:$E$19)</f>
        <v>WTI</v>
      </c>
      <c r="X29" s="14">
        <f>Table3[[#This Row],[Month1]]</f>
        <v>46081</v>
      </c>
      <c r="Y29" s="350">
        <f>Table3[[#This Row],[Quantity]]</f>
        <v>500</v>
      </c>
      <c r="Z29" t="str">
        <f>_xlfn.XLOOKUP(Table3[[#This Row],[Instrument]],Control!$B$2:$B$19,Control!$F$2:$F$19)</f>
        <v>Brent</v>
      </c>
      <c r="AA29" s="14">
        <f>Table3[[#This Row],[Month2]]</f>
        <v>46081</v>
      </c>
      <c r="AB29" s="350">
        <f t="shared" si="5"/>
        <v>-500</v>
      </c>
    </row>
    <row r="30" spans="1:28" ht="15" hidden="1" thickBot="1" x14ac:dyDescent="0.4">
      <c r="A30" t="s">
        <v>1724</v>
      </c>
      <c r="B30" t="e">
        <f>_xlfn.XLOOKUP(Table3[[#This Row],[Cargo Name]],Ledger[Cargo Name],Ledger[SAP Deal Number])</f>
        <v>#N/A</v>
      </c>
      <c r="C30">
        <v>0</v>
      </c>
      <c r="E30" s="16">
        <v>45980</v>
      </c>
      <c r="F30" s="10" t="s">
        <v>10</v>
      </c>
      <c r="G30" s="4" t="s">
        <v>128</v>
      </c>
      <c r="H30" s="253">
        <v>-500</v>
      </c>
      <c r="I30" s="172">
        <v>46203</v>
      </c>
      <c r="J30" s="172">
        <v>46203</v>
      </c>
      <c r="K30" s="212">
        <f>+K29+0.348</f>
        <v>-3.6520000000000001</v>
      </c>
      <c r="L30" s="7">
        <f ca="1">IF(OR(S30="WTI Sprds",S30="Brent Sprds",S30="WTI-Brent",S30="DFL"),INDEX(INDIRECT("'" &amp; S30 &amp; "'!$A$6:$XFD$1048576"),MATCH('PnL26'!$P$1,INDIRECT("'" &amp; S30 &amp; "'!$A$6:$A$1048576"),0),MATCH(EOMONTH(I30,0),INDIRECT("'" &amp; S30 &amp; "'!$A$4:$XFD$4"),0)),INDEX(BBG!$A:$BA,MATCH('PnL26'!$P$1,BBG!$A:$A,0),MATCH($I30,BBG!$A$4:$BA$4,0))-INDEX(BBG!$A:$BA,MATCH('PnL26'!$P$1,BBG!$A:$A,0),MATCH($J30,BBG!$A$4:$BA$4,0)))</f>
        <v>-8.94</v>
      </c>
      <c r="M30" s="9">
        <f t="shared" ca="1" si="24"/>
        <v>2643.9999999999995</v>
      </c>
      <c r="N30">
        <f t="shared" si="25"/>
        <v>1826</v>
      </c>
      <c r="O30" s="14" t="str">
        <f t="shared" si="18"/>
        <v>Jun 26</v>
      </c>
      <c r="P30" s="8" t="str">
        <f t="shared" si="19"/>
        <v>Sell</v>
      </c>
      <c r="Q30">
        <f t="shared" ca="1" si="20"/>
        <v>4470</v>
      </c>
      <c r="R30" t="str">
        <f>VLOOKUP(F30,Control!$B:$C,2,FALSE)</f>
        <v>Swaps</v>
      </c>
      <c r="S30" t="str">
        <f>VLOOKUP(F30,Control!$B:$D,3,FALSE)</f>
        <v>WTI-Brent</v>
      </c>
      <c r="T30">
        <f t="shared" si="21"/>
        <v>2026</v>
      </c>
      <c r="U30" t="str">
        <f t="shared" si="22"/>
        <v>Sell</v>
      </c>
      <c r="V30" t="s">
        <v>96</v>
      </c>
      <c r="W30" t="str">
        <f>_xlfn.XLOOKUP(Table3[[#This Row],[Instrument]],Control!$B$2:$B$19,Control!$E$2:$E$19)</f>
        <v>WTI</v>
      </c>
      <c r="X30" s="14">
        <f>Table3[[#This Row],[Month1]]</f>
        <v>46203</v>
      </c>
      <c r="Y30" s="350">
        <f>Table3[[#This Row],[Quantity]]</f>
        <v>-500</v>
      </c>
      <c r="Z30" t="str">
        <f>_xlfn.XLOOKUP(Table3[[#This Row],[Instrument]],Control!$B$2:$B$19,Control!$F$2:$F$19)</f>
        <v>Brent</v>
      </c>
      <c r="AA30" s="14">
        <f>Table3[[#This Row],[Month2]]</f>
        <v>46203</v>
      </c>
      <c r="AB30" s="350">
        <f t="shared" si="5"/>
        <v>500</v>
      </c>
    </row>
    <row r="31" spans="1:28" ht="15" hidden="1" thickBot="1" x14ac:dyDescent="0.4">
      <c r="A31" t="s">
        <v>1724</v>
      </c>
      <c r="B31" t="str">
        <f>_xlfn.XLOOKUP(Table3[[#This Row],[Cargo Name]],Ledger[Cargo Name],Ledger[SAP Deal Number])</f>
        <v>EXX26HS00007</v>
      </c>
      <c r="C31">
        <v>0</v>
      </c>
      <c r="D31" t="s">
        <v>1558</v>
      </c>
      <c r="E31" s="16">
        <v>45980</v>
      </c>
      <c r="F31" s="187" t="s">
        <v>19</v>
      </c>
      <c r="G31" s="10" t="s">
        <v>268</v>
      </c>
      <c r="H31" s="259">
        <v>700</v>
      </c>
      <c r="I31" s="172">
        <v>46022</v>
      </c>
      <c r="J31" s="172">
        <v>46022</v>
      </c>
      <c r="K31" s="212">
        <f>'Cargo Econs 2025'!D387</f>
        <v>1.7800000000000007</v>
      </c>
      <c r="L31" s="201">
        <v>1.86</v>
      </c>
      <c r="M31" s="9">
        <f t="shared" si="24"/>
        <v>55.999999999999581</v>
      </c>
      <c r="N31">
        <f t="shared" si="25"/>
        <v>1246.0000000000005</v>
      </c>
      <c r="O31" s="14" t="str">
        <f t="shared" si="18"/>
        <v>Dec 25</v>
      </c>
      <c r="P31" s="8" t="str">
        <f t="shared" si="19"/>
        <v>Buy</v>
      </c>
      <c r="Q31">
        <f t="shared" si="20"/>
        <v>1302</v>
      </c>
      <c r="R31" s="38" t="str">
        <f>VLOOKUP(F31,Control!$B:$C,2,FALSE)</f>
        <v>Physical</v>
      </c>
      <c r="S31" s="38" t="str">
        <f>VLOOKUP(F31,Control!$B:$D,3,FALSE)</f>
        <v>Physical</v>
      </c>
      <c r="T31" s="240">
        <f t="shared" si="21"/>
        <v>2025</v>
      </c>
      <c r="U31" t="str">
        <f t="shared" si="22"/>
        <v>Buy</v>
      </c>
      <c r="V31" t="s">
        <v>96</v>
      </c>
      <c r="W31">
        <f>_xlfn.XLOOKUP(Table3[[#This Row],[Instrument]],Control!$B$2:$B$19,Control!$E$2:$E$19)</f>
        <v>0</v>
      </c>
      <c r="X31" s="14">
        <f>Table3[[#This Row],[Month1]]</f>
        <v>46022</v>
      </c>
      <c r="Y31" s="350">
        <f>Table3[[#This Row],[Quantity]]</f>
        <v>700</v>
      </c>
      <c r="Z31">
        <f>_xlfn.XLOOKUP(Table3[[#This Row],[Instrument]],Control!$B$2:$B$19,Control!$F$2:$F$19)</f>
        <v>0</v>
      </c>
      <c r="AA31" s="14">
        <f>Table3[[#This Row],[Month2]]</f>
        <v>46022</v>
      </c>
      <c r="AB31" s="350">
        <f t="shared" si="5"/>
        <v>-700</v>
      </c>
    </row>
    <row r="32" spans="1:28" ht="15" hidden="1" thickBot="1" x14ac:dyDescent="0.4">
      <c r="A32" t="s">
        <v>1724</v>
      </c>
      <c r="B32" t="str">
        <f>_xlfn.XLOOKUP(Table3[[#This Row],[Cargo Name]],Ledger[Cargo Name],Ledger[SAP Deal Number])</f>
        <v>EXX26HS00007</v>
      </c>
      <c r="C32">
        <v>0</v>
      </c>
      <c r="D32" t="s">
        <v>1558</v>
      </c>
      <c r="E32" s="16">
        <v>45980</v>
      </c>
      <c r="F32" s="10" t="s">
        <v>10</v>
      </c>
      <c r="G32" s="4" t="s">
        <v>268</v>
      </c>
      <c r="H32" s="253">
        <v>-700</v>
      </c>
      <c r="I32" s="172">
        <v>46081</v>
      </c>
      <c r="J32" s="172">
        <v>46081</v>
      </c>
      <c r="K32" s="212">
        <v>-4.0199999999999996</v>
      </c>
      <c r="L32" s="192">
        <f ca="1">IF(OR(S32="WTI Sprds",S32="Brent Sprds",S32="WTI-Brent",S32="DFL"),INDEX(INDIRECT("'" &amp; S32 &amp; "'!$A$6:$XFD$1048576"),MATCH('PnL26'!$P$1,INDIRECT("'" &amp; S32 &amp; "'!$A$6:$A$1048576"),0),MATCH(EOMONTH(I32,0),INDIRECT("'" &amp; S32 &amp; "'!$A$4:$XFD$4"),0)),INDEX(BBG!$A:$BA,MATCH('PnL26'!$P$1,BBG!$A:$A,0),MATCH($I32,BBG!$A$4:$BA$4,0))-INDEX(BBG!$A:$BA,MATCH('PnL26'!$P$1,BBG!$A:$A,0),MATCH($J32,BBG!$A$4:$BA$4,0)))</f>
        <v>-3.97</v>
      </c>
      <c r="M32" s="9">
        <f t="shared" ca="1" si="24"/>
        <v>-34.999999999999567</v>
      </c>
      <c r="N32">
        <f t="shared" si="25"/>
        <v>2813.9999999999995</v>
      </c>
      <c r="O32" s="14" t="str">
        <f t="shared" si="18"/>
        <v>Feb 26</v>
      </c>
      <c r="P32" s="8" t="str">
        <f t="shared" si="19"/>
        <v>Sell</v>
      </c>
      <c r="Q32">
        <f t="shared" ca="1" si="20"/>
        <v>2779</v>
      </c>
      <c r="R32" s="38" t="str">
        <f>VLOOKUP(F32,Control!$B:$C,2,FALSE)</f>
        <v>Swaps</v>
      </c>
      <c r="S32" s="38" t="str">
        <f>VLOOKUP(F32,Control!$B:$D,3,FALSE)</f>
        <v>WTI-Brent</v>
      </c>
      <c r="T32" s="240">
        <f t="shared" si="21"/>
        <v>2026</v>
      </c>
      <c r="U32" t="str">
        <f t="shared" si="22"/>
        <v>Sell</v>
      </c>
      <c r="V32" t="s">
        <v>96</v>
      </c>
      <c r="W32" t="str">
        <f>_xlfn.XLOOKUP(Table3[[#This Row],[Instrument]],Control!$B$2:$B$19,Control!$E$2:$E$19)</f>
        <v>WTI</v>
      </c>
      <c r="X32" s="14">
        <f>Table3[[#This Row],[Month1]]</f>
        <v>46081</v>
      </c>
      <c r="Y32" s="350">
        <f>Table3[[#This Row],[Quantity]]</f>
        <v>-700</v>
      </c>
      <c r="Z32" t="str">
        <f>_xlfn.XLOOKUP(Table3[[#This Row],[Instrument]],Control!$B$2:$B$19,Control!$F$2:$F$19)</f>
        <v>Brent</v>
      </c>
      <c r="AA32" s="14">
        <f>Table3[[#This Row],[Month2]]</f>
        <v>46081</v>
      </c>
      <c r="AB32" s="350">
        <f t="shared" si="5"/>
        <v>700</v>
      </c>
    </row>
    <row r="33" spans="1:28" ht="15" hidden="1" thickBot="1" x14ac:dyDescent="0.4">
      <c r="A33" t="s">
        <v>1724</v>
      </c>
      <c r="B33" t="str">
        <f>_xlfn.XLOOKUP(Table3[[#This Row],[Cargo Name]],Ledger[Cargo Name],Ledger[SAP Deal Number])</f>
        <v>EXX26HS00007</v>
      </c>
      <c r="C33">
        <v>0</v>
      </c>
      <c r="D33" t="s">
        <v>1558</v>
      </c>
      <c r="E33" s="16">
        <v>45980</v>
      </c>
      <c r="F33" s="10" t="s">
        <v>7</v>
      </c>
      <c r="G33" s="4" t="s">
        <v>268</v>
      </c>
      <c r="H33" s="253">
        <v>-700</v>
      </c>
      <c r="I33" s="172">
        <v>46081</v>
      </c>
      <c r="J33" s="172">
        <v>46112</v>
      </c>
      <c r="K33" s="218">
        <v>0.33</v>
      </c>
      <c r="L33" s="192">
        <f ca="1">IF(OR(S33="WTI Sprds",S33="Brent Sprds",S33="WTI-Brent",S33="DFL"),INDEX(INDIRECT("'" &amp; S33 &amp; "'!$A$6:$XFD$1048576"),MATCH('PnL26'!$P$1,INDIRECT("'" &amp; S33 &amp; "'!$A$6:$A$1048576"),0),MATCH(EOMONTH(I33,0),INDIRECT("'" &amp; S33 &amp; "'!$A$4:$XFD$4"),0)),INDEX(BBG!$A:$BA,MATCH('PnL26'!$P$1,BBG!$A:$A,0),MATCH($I33,BBG!$A$4:$BA$4,0))-INDEX(BBG!$A:$BA,MATCH('PnL26'!$P$1,BBG!$A:$A,0),MATCH($J33,BBG!$A$4:$BA$4,0)))</f>
        <v>0.59</v>
      </c>
      <c r="M33" s="9">
        <f t="shared" ca="1" si="24"/>
        <v>-181.99999999999997</v>
      </c>
      <c r="N33">
        <f t="shared" si="25"/>
        <v>-231</v>
      </c>
      <c r="O33" s="14" t="str">
        <f t="shared" si="18"/>
        <v>Feb/Mar 26</v>
      </c>
      <c r="P33" s="8" t="str">
        <f t="shared" si="19"/>
        <v>Sell</v>
      </c>
      <c r="Q33">
        <f t="shared" ca="1" si="20"/>
        <v>-413</v>
      </c>
      <c r="R33" s="38" t="str">
        <f>VLOOKUP(F33,Control!$B:$C,2,FALSE)</f>
        <v>Futures</v>
      </c>
      <c r="S33" s="38" t="str">
        <f>VLOOKUP(F33,Control!$B:$D,3,FALSE)</f>
        <v>Brent Sprds</v>
      </c>
      <c r="T33">
        <f t="shared" si="21"/>
        <v>2026</v>
      </c>
      <c r="U33" t="str">
        <f t="shared" si="22"/>
        <v>Sell</v>
      </c>
      <c r="V33" t="s">
        <v>96</v>
      </c>
      <c r="W33" t="str">
        <f>_xlfn.XLOOKUP(Table3[[#This Row],[Instrument]],Control!$B$2:$B$19,Control!$E$2:$E$19)</f>
        <v>Brent</v>
      </c>
      <c r="X33" s="14">
        <f>Table3[[#This Row],[Month1]]</f>
        <v>46081</v>
      </c>
      <c r="Y33" s="350">
        <f>Table3[[#This Row],[Quantity]]</f>
        <v>-700</v>
      </c>
      <c r="Z33" t="str">
        <f>_xlfn.XLOOKUP(Table3[[#This Row],[Instrument]],Control!$B$2:$B$19,Control!$F$2:$F$19)</f>
        <v>Brent</v>
      </c>
      <c r="AA33" s="14">
        <f>Table3[[#This Row],[Month2]]</f>
        <v>46112</v>
      </c>
      <c r="AB33" s="350">
        <f t="shared" si="5"/>
        <v>700</v>
      </c>
    </row>
    <row r="34" spans="1:28" ht="15" hidden="1" thickBot="1" x14ac:dyDescent="0.4">
      <c r="A34" t="s">
        <v>1724</v>
      </c>
      <c r="B34" t="str">
        <f>_xlfn.XLOOKUP(Table3[[#This Row],[Cargo Name]],Ledger[Cargo Name],Ledger[SAP Deal Number])</f>
        <v>EXX26HS00007</v>
      </c>
      <c r="C34">
        <v>0</v>
      </c>
      <c r="D34" t="s">
        <v>1558</v>
      </c>
      <c r="E34" s="16">
        <v>45980</v>
      </c>
      <c r="F34" s="10" t="s">
        <v>7</v>
      </c>
      <c r="G34" s="4" t="s">
        <v>268</v>
      </c>
      <c r="H34" s="253">
        <v>-33</v>
      </c>
      <c r="I34" s="172">
        <v>46112</v>
      </c>
      <c r="J34" s="172">
        <v>46142</v>
      </c>
      <c r="K34" s="218">
        <v>0.17</v>
      </c>
      <c r="L34" s="192">
        <f ca="1">IF(OR(S34="WTI Sprds",S34="Brent Sprds",S34="WTI-Brent",S34="DFL"),INDEX(INDIRECT("'" &amp; S34 &amp; "'!$A$6:$XFD$1048576"),MATCH('PnL26'!$P$1,INDIRECT("'" &amp; S34 &amp; "'!$A$6:$A$1048576"),0),MATCH(EOMONTH(I34,0),INDIRECT("'" &amp; S34 &amp; "'!$A$4:$XFD$4"),0)),INDEX(BBG!$A:$BA,MATCH('PnL26'!$P$1,BBG!$A:$A,0),MATCH($I34,BBG!$A$4:$BA$4,0))-INDEX(BBG!$A:$BA,MATCH('PnL26'!$P$1,BBG!$A:$A,0),MATCH($J34,BBG!$A$4:$BA$4,0)))</f>
        <v>1.37</v>
      </c>
      <c r="M34" s="9">
        <f t="shared" ref="M34" ca="1" si="26">IFERROR((L34-K34)*H34,"")</f>
        <v>-39.600000000000009</v>
      </c>
      <c r="N34">
        <f t="shared" ref="N34" si="27">H34*K34</f>
        <v>-5.61</v>
      </c>
      <c r="O34" s="14" t="str">
        <f t="shared" ref="O34" si="28">IF(I34=J34,TEXT(I34,"MMM YY"),TEXT(I34,"MMM")&amp;"/"&amp;TEXT(J34,"MMM")&amp;" "&amp;RIGHT(T34,2))</f>
        <v>Mar/Apr 26</v>
      </c>
      <c r="P34" s="8" t="str">
        <f t="shared" ref="P34" si="29">IF(H34&lt;0,"Sell","Buy")</f>
        <v>Sell</v>
      </c>
      <c r="Q34">
        <f t="shared" ref="Q34" ca="1" si="30">H34*L34</f>
        <v>-45.21</v>
      </c>
      <c r="R34" s="38" t="str">
        <f>VLOOKUP(F34,Control!$B:$C,2,FALSE)</f>
        <v>Futures</v>
      </c>
      <c r="S34" s="38" t="str">
        <f>VLOOKUP(F34,Control!$B:$D,3,FALSE)</f>
        <v>Brent Sprds</v>
      </c>
      <c r="T34">
        <f t="shared" ref="T34" si="31">YEAR(I34)</f>
        <v>2026</v>
      </c>
      <c r="U34" t="str">
        <f t="shared" ref="U34" si="32">IFERROR(IF(H34&gt;0,"Buy","Sell"),"")</f>
        <v>Sell</v>
      </c>
      <c r="V34" t="s">
        <v>96</v>
      </c>
      <c r="W34" t="str">
        <f>_xlfn.XLOOKUP(Table3[[#This Row],[Instrument]],Control!$B$2:$B$19,Control!$E$2:$E$19)</f>
        <v>Brent</v>
      </c>
      <c r="X34" s="14">
        <f>Table3[[#This Row],[Month1]]</f>
        <v>46112</v>
      </c>
      <c r="Y34" s="350">
        <f>Table3[[#This Row],[Quantity]]</f>
        <v>-33</v>
      </c>
      <c r="Z34" t="str">
        <f>_xlfn.XLOOKUP(Table3[[#This Row],[Instrument]],Control!$B$2:$B$19,Control!$F$2:$F$19)</f>
        <v>Brent</v>
      </c>
      <c r="AA34" s="14">
        <f>Table3[[#This Row],[Month2]]</f>
        <v>46142</v>
      </c>
      <c r="AB34" s="350">
        <f t="shared" si="5"/>
        <v>33</v>
      </c>
    </row>
    <row r="35" spans="1:28" ht="15" hidden="1" thickBot="1" x14ac:dyDescent="0.4">
      <c r="A35" t="s">
        <v>1724</v>
      </c>
      <c r="B35" t="str">
        <f>_xlfn.XLOOKUP(Table3[[#This Row],[Cargo Name]],Ledger[Cargo Name],Ledger[SAP Deal Number])</f>
        <v>EXX26HS00007</v>
      </c>
      <c r="C35">
        <v>0</v>
      </c>
      <c r="D35" t="s">
        <v>1558</v>
      </c>
      <c r="E35" s="16">
        <v>45980</v>
      </c>
      <c r="F35" s="10" t="s">
        <v>15</v>
      </c>
      <c r="G35" s="4" t="s">
        <v>268</v>
      </c>
      <c r="H35" s="253">
        <v>700</v>
      </c>
      <c r="I35" s="173">
        <v>46053</v>
      </c>
      <c r="J35" s="173">
        <v>46053</v>
      </c>
      <c r="K35" s="212">
        <v>0.4</v>
      </c>
      <c r="L35" s="191">
        <f>VLOOKUP($I35,'PnL26'!$E$7:$F$59,2,FALSE)</f>
        <v>2.09</v>
      </c>
      <c r="M35" s="9">
        <f t="shared" si="24"/>
        <v>1183</v>
      </c>
      <c r="N35">
        <f t="shared" si="25"/>
        <v>280</v>
      </c>
      <c r="O35" s="14" t="str">
        <f t="shared" si="18"/>
        <v>Jan 26</v>
      </c>
      <c r="P35" s="8" t="str">
        <f t="shared" si="19"/>
        <v>Buy</v>
      </c>
      <c r="Q35">
        <f t="shared" si="20"/>
        <v>1463</v>
      </c>
      <c r="R35" s="38" t="str">
        <f>VLOOKUP(F35,Control!$B:$C,2,FALSE)</f>
        <v>Swaps</v>
      </c>
      <c r="S35" s="38" t="str">
        <f>VLOOKUP(F35,Control!$B:$D,3,FALSE)</f>
        <v>Dated</v>
      </c>
      <c r="T35" s="240">
        <f t="shared" si="21"/>
        <v>2026</v>
      </c>
      <c r="U35" t="str">
        <f t="shared" si="22"/>
        <v>Buy</v>
      </c>
      <c r="V35" t="s">
        <v>96</v>
      </c>
      <c r="W35" t="e">
        <f>_xlfn.XLOOKUP(Table3[[#This Row],[Instrument]],Control!$B$2:$B$19,Control!$E$2:$E$19)</f>
        <v>#N/A</v>
      </c>
      <c r="X35" s="14">
        <f>Table3[[#This Row],[Month1]]</f>
        <v>46053</v>
      </c>
      <c r="Y35" s="350">
        <f>Table3[[#This Row],[Quantity]]</f>
        <v>700</v>
      </c>
      <c r="Z35" t="e">
        <f>_xlfn.XLOOKUP(Table3[[#This Row],[Instrument]],Control!$B$2:$B$19,Control!$F$2:$F$19)</f>
        <v>#N/A</v>
      </c>
      <c r="AA35" s="14">
        <f>Table3[[#This Row],[Month2]]</f>
        <v>46053</v>
      </c>
      <c r="AB35" s="350">
        <f t="shared" si="5"/>
        <v>-700</v>
      </c>
    </row>
    <row r="36" spans="1:28" ht="15" hidden="1" thickBot="1" x14ac:dyDescent="0.4">
      <c r="A36" t="s">
        <v>1724</v>
      </c>
      <c r="B36" t="str">
        <f>_xlfn.XLOOKUP(Table3[[#This Row],[Cargo Name]],Ledger[Cargo Name],Ledger[SAP Deal Number])</f>
        <v>Unallocated</v>
      </c>
      <c r="C36">
        <v>0</v>
      </c>
      <c r="D36" t="s">
        <v>127</v>
      </c>
      <c r="E36" s="16">
        <v>45980</v>
      </c>
      <c r="F36" s="10" t="s">
        <v>10</v>
      </c>
      <c r="G36" s="4" t="s">
        <v>128</v>
      </c>
      <c r="H36" s="253">
        <v>107</v>
      </c>
      <c r="I36" s="172">
        <v>46053</v>
      </c>
      <c r="J36" s="172">
        <v>46053</v>
      </c>
      <c r="K36" s="212">
        <v>-4.25</v>
      </c>
      <c r="L36" s="192">
        <f ca="1">IF(OR(S36="WTI Sprds",S36="Brent Sprds",S36="WTI-Brent",S36="DFL"),INDEX(INDIRECT("'" &amp; S36 &amp; "'!$A$6:$XFD$1048576"),MATCH('PnL26'!$P$1,INDIRECT("'" &amp; S36 &amp; "'!$A$6:$A$1048576"),0),MATCH(EOMONTH(I36,0),INDIRECT("'" &amp; S36 &amp; "'!$A$4:$XFD$4"),0)),INDEX(BBG!$A:$BA,MATCH('PnL26'!$P$1,BBG!$A:$A,0),MATCH($I36,BBG!$A$4:$BA$4,0))-INDEX(BBG!$A:$BA,MATCH('PnL26'!$P$1,BBG!$A:$A,0),MATCH($J36,BBG!$A$4:$BA$4,0)))</f>
        <v>-4.6500000000000004</v>
      </c>
      <c r="M36" s="9"/>
      <c r="N36">
        <f t="shared" si="25"/>
        <v>-454.75</v>
      </c>
      <c r="O36" s="14" t="str">
        <f t="shared" si="18"/>
        <v>Jan 26</v>
      </c>
      <c r="P36" s="8" t="str">
        <f t="shared" si="19"/>
        <v>Buy</v>
      </c>
      <c r="Q36">
        <f t="shared" ca="1" si="20"/>
        <v>-497.55</v>
      </c>
      <c r="R36" s="38" t="str">
        <f>VLOOKUP(F36,Control!$B:$C,2,FALSE)</f>
        <v>Swaps</v>
      </c>
      <c r="S36" s="38" t="str">
        <f>VLOOKUP(F36,Control!$B:$D,3,FALSE)</f>
        <v>WTI-Brent</v>
      </c>
      <c r="T36" s="240">
        <f t="shared" si="21"/>
        <v>2026</v>
      </c>
      <c r="U36" t="str">
        <f t="shared" si="22"/>
        <v>Buy</v>
      </c>
      <c r="V36" t="s">
        <v>96</v>
      </c>
      <c r="W36" t="str">
        <f>_xlfn.XLOOKUP(Table3[[#This Row],[Instrument]],Control!$B$2:$B$19,Control!$E$2:$E$19)</f>
        <v>WTI</v>
      </c>
      <c r="X36" s="14">
        <f>Table3[[#This Row],[Month1]]</f>
        <v>46053</v>
      </c>
      <c r="Y36" s="350">
        <f>Table3[[#This Row],[Quantity]]</f>
        <v>107</v>
      </c>
      <c r="Z36" t="str">
        <f>_xlfn.XLOOKUP(Table3[[#This Row],[Instrument]],Control!$B$2:$B$19,Control!$F$2:$F$19)</f>
        <v>Brent</v>
      </c>
      <c r="AA36" s="14">
        <f>Table3[[#This Row],[Month2]]</f>
        <v>46053</v>
      </c>
      <c r="AB36" s="350">
        <f t="shared" si="5"/>
        <v>-107</v>
      </c>
    </row>
    <row r="37" spans="1:28" ht="15" hidden="1" thickBot="1" x14ac:dyDescent="0.4">
      <c r="A37" t="s">
        <v>1724</v>
      </c>
      <c r="B37" t="str">
        <f>_xlfn.XLOOKUP(Table3[[#This Row],[Cargo Name]],Ledger[Cargo Name],Ledger[SAP Deal Number])</f>
        <v>Unallocated</v>
      </c>
      <c r="C37">
        <v>0</v>
      </c>
      <c r="D37" t="s">
        <v>127</v>
      </c>
      <c r="E37" s="16">
        <v>45982</v>
      </c>
      <c r="F37" s="10" t="s">
        <v>7</v>
      </c>
      <c r="G37" s="4" t="s">
        <v>128</v>
      </c>
      <c r="H37" s="253">
        <v>1000</v>
      </c>
      <c r="I37" s="172">
        <v>46081</v>
      </c>
      <c r="J37" s="172">
        <v>46112</v>
      </c>
      <c r="K37" s="212">
        <v>0.34</v>
      </c>
      <c r="L37" s="192">
        <f ca="1">IF(OR(S37="WTI Sprds",S37="Brent Sprds",S37="WTI-Brent",S37="DFL"),INDEX(INDIRECT("'" &amp; S37 &amp; "'!$A$6:$XFD$1048576"),MATCH('PnL26'!$P$1,INDIRECT("'" &amp; S37 &amp; "'!$A$6:$A$1048576"),0),MATCH(EOMONTH(I37,0),INDIRECT("'" &amp; S37 &amp; "'!$A$4:$XFD$4"),0)),INDEX(BBG!$A:$BA,MATCH('PnL26'!$P$1,BBG!$A:$A,0),MATCH($I37,BBG!$A$4:$BA$4,0))-INDEX(BBG!$A:$BA,MATCH('PnL26'!$P$1,BBG!$A:$A,0),MATCH($J37,BBG!$A$4:$BA$4,0)))</f>
        <v>0.59</v>
      </c>
      <c r="M37" s="9">
        <f t="shared" ref="M37:M50" ca="1" si="33">IFERROR((L37-K37)*H37,"")</f>
        <v>249.99999999999994</v>
      </c>
      <c r="N37">
        <f t="shared" si="25"/>
        <v>340</v>
      </c>
      <c r="O37" s="14" t="str">
        <f t="shared" si="18"/>
        <v>Feb/Mar 26</v>
      </c>
      <c r="P37" s="8" t="str">
        <f t="shared" si="19"/>
        <v>Buy</v>
      </c>
      <c r="Q37">
        <f t="shared" ca="1" si="20"/>
        <v>590</v>
      </c>
      <c r="R37" s="38" t="str">
        <f>VLOOKUP(F37,Control!$B:$C,2,FALSE)</f>
        <v>Futures</v>
      </c>
      <c r="S37" s="38" t="str">
        <f>VLOOKUP(F37,Control!$B:$D,3,FALSE)</f>
        <v>Brent Sprds</v>
      </c>
      <c r="T37" s="240">
        <f t="shared" si="21"/>
        <v>2026</v>
      </c>
      <c r="U37" t="str">
        <f t="shared" si="22"/>
        <v>Buy</v>
      </c>
      <c r="V37" t="s">
        <v>96</v>
      </c>
      <c r="W37" t="str">
        <f>_xlfn.XLOOKUP(Table3[[#This Row],[Instrument]],Control!$B$2:$B$19,Control!$E$2:$E$19)</f>
        <v>Brent</v>
      </c>
      <c r="X37" s="14">
        <f>Table3[[#This Row],[Month1]]</f>
        <v>46081</v>
      </c>
      <c r="Y37" s="350">
        <f>Table3[[#This Row],[Quantity]]</f>
        <v>1000</v>
      </c>
      <c r="Z37" t="str">
        <f>_xlfn.XLOOKUP(Table3[[#This Row],[Instrument]],Control!$B$2:$B$19,Control!$F$2:$F$19)</f>
        <v>Brent</v>
      </c>
      <c r="AA37" s="14">
        <f>Table3[[#This Row],[Month2]]</f>
        <v>46112</v>
      </c>
      <c r="AB37" s="350">
        <f t="shared" si="5"/>
        <v>-1000</v>
      </c>
    </row>
    <row r="38" spans="1:28" ht="15" hidden="1" thickBot="1" x14ac:dyDescent="0.4">
      <c r="A38" t="s">
        <v>1724</v>
      </c>
      <c r="B38" t="str">
        <f>_xlfn.XLOOKUP(Table3[[#This Row],[Cargo Name]],Ledger[Cargo Name],Ledger[SAP Deal Number])</f>
        <v>Unallocated</v>
      </c>
      <c r="C38">
        <v>0</v>
      </c>
      <c r="D38" t="s">
        <v>127</v>
      </c>
      <c r="E38" s="16">
        <v>45985</v>
      </c>
      <c r="F38" s="10" t="s">
        <v>15</v>
      </c>
      <c r="G38" s="4" t="s">
        <v>128</v>
      </c>
      <c r="H38" s="253">
        <v>-1000</v>
      </c>
      <c r="I38" s="173">
        <v>46053</v>
      </c>
      <c r="J38" s="173">
        <v>46053</v>
      </c>
      <c r="K38" s="212">
        <v>0.48</v>
      </c>
      <c r="L38" s="191">
        <f>VLOOKUP($I38,'PnL26'!$E$7:$F$59,2,FALSE)</f>
        <v>2.09</v>
      </c>
      <c r="M38" s="9">
        <f t="shared" si="33"/>
        <v>-1609.9999999999998</v>
      </c>
      <c r="N38">
        <f t="shared" si="25"/>
        <v>-480</v>
      </c>
      <c r="O38" s="14" t="str">
        <f t="shared" si="18"/>
        <v>Jan 26</v>
      </c>
      <c r="P38" s="8" t="str">
        <f t="shared" si="19"/>
        <v>Sell</v>
      </c>
      <c r="Q38">
        <f t="shared" si="20"/>
        <v>-2090</v>
      </c>
      <c r="R38" s="38" t="str">
        <f>VLOOKUP(F38,Control!$B:$C,2,FALSE)</f>
        <v>Swaps</v>
      </c>
      <c r="S38" s="38" t="str">
        <f>VLOOKUP(F38,Control!$B:$D,3,FALSE)</f>
        <v>Dated</v>
      </c>
      <c r="T38" s="240">
        <f t="shared" si="21"/>
        <v>2026</v>
      </c>
      <c r="U38" t="str">
        <f t="shared" si="22"/>
        <v>Sell</v>
      </c>
      <c r="V38" t="s">
        <v>96</v>
      </c>
      <c r="W38" t="e">
        <f>_xlfn.XLOOKUP(Table3[[#This Row],[Instrument]],Control!$B$2:$B$19,Control!$E$2:$E$19)</f>
        <v>#N/A</v>
      </c>
      <c r="X38" s="14">
        <f>Table3[[#This Row],[Month1]]</f>
        <v>46053</v>
      </c>
      <c r="Y38" s="350">
        <f>Table3[[#This Row],[Quantity]]</f>
        <v>-1000</v>
      </c>
      <c r="Z38" t="e">
        <f>_xlfn.XLOOKUP(Table3[[#This Row],[Instrument]],Control!$B$2:$B$19,Control!$F$2:$F$19)</f>
        <v>#N/A</v>
      </c>
      <c r="AA38" s="14">
        <f>Table3[[#This Row],[Month2]]</f>
        <v>46053</v>
      </c>
      <c r="AB38" s="350">
        <f t="shared" si="5"/>
        <v>1000</v>
      </c>
    </row>
    <row r="39" spans="1:28" ht="15" hidden="1" thickBot="1" x14ac:dyDescent="0.4">
      <c r="A39" t="s">
        <v>1724</v>
      </c>
      <c r="B39" t="str">
        <f>_xlfn.XLOOKUP(Table3[[#This Row],[Cargo Name]],Ledger[Cargo Name],Ledger[SAP Deal Number])</f>
        <v>ARA26HS00009</v>
      </c>
      <c r="C39">
        <v>0</v>
      </c>
      <c r="D39" s="227" t="s">
        <v>1579</v>
      </c>
      <c r="E39" s="302">
        <v>45986</v>
      </c>
      <c r="F39" s="229" t="s">
        <v>19</v>
      </c>
      <c r="G39" s="230" t="s">
        <v>268</v>
      </c>
      <c r="H39" s="276">
        <f>'Cargo Econs 2025'!G372</f>
        <v>1349</v>
      </c>
      <c r="I39" s="231">
        <v>46022</v>
      </c>
      <c r="J39" s="231">
        <v>46022</v>
      </c>
      <c r="K39" s="232">
        <f>'Cargo Econs 2025'!G387</f>
        <v>0.75768667642752585</v>
      </c>
      <c r="L39" s="315">
        <v>0.5</v>
      </c>
      <c r="M39" s="234">
        <f t="shared" si="33"/>
        <v>-347.61932650073237</v>
      </c>
      <c r="N39" s="227">
        <f t="shared" si="25"/>
        <v>1022.1193265007324</v>
      </c>
      <c r="O39" s="235" t="str">
        <f t="shared" ref="O39:O49" si="34">IF(I39=J39,TEXT(I39,"MMM YY"),TEXT(I39,"MMM")&amp;"/"&amp;TEXT(J39,"MMM")&amp;" "&amp;RIGHT(T39,2))</f>
        <v>Dec 25</v>
      </c>
      <c r="P39" s="236" t="str">
        <f t="shared" si="19"/>
        <v>Buy</v>
      </c>
      <c r="Q39" s="227">
        <f t="shared" si="20"/>
        <v>674.5</v>
      </c>
      <c r="R39" s="227" t="str">
        <f>VLOOKUP(F39,Control!$B:$C,2,FALSE)</f>
        <v>Physical</v>
      </c>
      <c r="S39" s="227" t="str">
        <f>VLOOKUP(F39,Control!$B:$D,3,FALSE)</f>
        <v>Physical</v>
      </c>
      <c r="T39" s="227">
        <f t="shared" ref="T39:T49" si="35">YEAR(I39)</f>
        <v>2025</v>
      </c>
      <c r="U39" s="238" t="str">
        <f t="shared" si="22"/>
        <v>Buy</v>
      </c>
      <c r="V39" t="s">
        <v>96</v>
      </c>
      <c r="W39">
        <f>_xlfn.XLOOKUP(Table3[[#This Row],[Instrument]],Control!$B$2:$B$19,Control!$E$2:$E$19)</f>
        <v>0</v>
      </c>
      <c r="X39" s="14">
        <f>Table3[[#This Row],[Month1]]</f>
        <v>46022</v>
      </c>
      <c r="Y39" s="350">
        <f>Table3[[#This Row],[Quantity]]</f>
        <v>1349</v>
      </c>
      <c r="Z39">
        <f>_xlfn.XLOOKUP(Table3[[#This Row],[Instrument]],Control!$B$2:$B$19,Control!$F$2:$F$19)</f>
        <v>0</v>
      </c>
      <c r="AA39" s="14">
        <f>Table3[[#This Row],[Month2]]</f>
        <v>46022</v>
      </c>
      <c r="AB39" s="350">
        <f t="shared" si="5"/>
        <v>-1349</v>
      </c>
    </row>
    <row r="40" spans="1:28" ht="15" hidden="1" thickBot="1" x14ac:dyDescent="0.4">
      <c r="A40" t="s">
        <v>1724</v>
      </c>
      <c r="B40" t="str">
        <f>_xlfn.XLOOKUP(Table3[[#This Row],[Cargo Name]],Ledger[Cargo Name],Ledger[SAP Deal Number])</f>
        <v>ARA26HS00009</v>
      </c>
      <c r="C40">
        <v>0</v>
      </c>
      <c r="D40" t="s">
        <v>1579</v>
      </c>
      <c r="E40" s="16">
        <v>45986</v>
      </c>
      <c r="F40" s="187" t="s">
        <v>19</v>
      </c>
      <c r="G40" s="10" t="s">
        <v>268</v>
      </c>
      <c r="H40" s="259">
        <v>700</v>
      </c>
      <c r="I40" s="172">
        <v>46022</v>
      </c>
      <c r="J40" s="172">
        <v>46022</v>
      </c>
      <c r="K40" s="212">
        <f>'Cargo Econs 2025'!H387</f>
        <v>0.86768667642752573</v>
      </c>
      <c r="L40" s="311">
        <v>0.5</v>
      </c>
      <c r="M40" s="9">
        <f t="shared" si="33"/>
        <v>-257.38067349926803</v>
      </c>
      <c r="N40">
        <f t="shared" si="25"/>
        <v>607.38067349926803</v>
      </c>
      <c r="O40" s="14" t="str">
        <f t="shared" si="34"/>
        <v>Dec 25</v>
      </c>
      <c r="P40" s="8" t="str">
        <f t="shared" si="19"/>
        <v>Buy</v>
      </c>
      <c r="Q40">
        <f t="shared" si="20"/>
        <v>350</v>
      </c>
      <c r="R40" t="str">
        <f>VLOOKUP(F40,Control!$B:$C,2,FALSE)</f>
        <v>Physical</v>
      </c>
      <c r="S40" t="str">
        <f>VLOOKUP(F40,Control!$B:$D,3,FALSE)</f>
        <v>Physical</v>
      </c>
      <c r="T40">
        <f t="shared" si="35"/>
        <v>2025</v>
      </c>
      <c r="U40" s="240" t="str">
        <f t="shared" si="22"/>
        <v>Buy</v>
      </c>
      <c r="V40" t="s">
        <v>96</v>
      </c>
      <c r="W40">
        <f>_xlfn.XLOOKUP(Table3[[#This Row],[Instrument]],Control!$B$2:$B$19,Control!$E$2:$E$19)</f>
        <v>0</v>
      </c>
      <c r="X40" s="14">
        <f>Table3[[#This Row],[Month1]]</f>
        <v>46022</v>
      </c>
      <c r="Y40" s="350">
        <f>Table3[[#This Row],[Quantity]]</f>
        <v>700</v>
      </c>
      <c r="Z40">
        <f>_xlfn.XLOOKUP(Table3[[#This Row],[Instrument]],Control!$B$2:$B$19,Control!$F$2:$F$19)</f>
        <v>0</v>
      </c>
      <c r="AA40" s="14">
        <f>Table3[[#This Row],[Month2]]</f>
        <v>46022</v>
      </c>
      <c r="AB40" s="350">
        <f t="shared" si="5"/>
        <v>-700</v>
      </c>
    </row>
    <row r="41" spans="1:28" ht="15" hidden="1" thickBot="1" x14ac:dyDescent="0.4">
      <c r="A41" t="s">
        <v>1724</v>
      </c>
      <c r="B41" t="str">
        <f>_xlfn.XLOOKUP(Table3[[#This Row],[Cargo Name]],Ledger[Cargo Name],Ledger[SAP Deal Number])</f>
        <v>ARA26HS00009</v>
      </c>
      <c r="C41">
        <v>0</v>
      </c>
      <c r="D41" t="s">
        <v>1579</v>
      </c>
      <c r="E41" s="16">
        <v>45986</v>
      </c>
      <c r="F41" s="10" t="s">
        <v>10</v>
      </c>
      <c r="G41" s="4" t="s">
        <v>268</v>
      </c>
      <c r="H41" s="253">
        <f>-H39</f>
        <v>-1349</v>
      </c>
      <c r="I41" s="172">
        <v>46081</v>
      </c>
      <c r="J41" s="172">
        <v>46081</v>
      </c>
      <c r="K41" s="212">
        <v>-4.05</v>
      </c>
      <c r="L41" s="7">
        <f ca="1">IF(OR(S41="WTI Sprds",S41="Brent Sprds",S41="WTI-Brent",S41="DFL"),INDEX(INDIRECT("'" &amp; S41 &amp; "'!$A$6:$XFD$1048576"),MATCH('PnL26'!$P$1,INDIRECT("'" &amp; S41 &amp; "'!$A$6:$A$1048576"),0),MATCH(EOMONTH(I41,0),INDIRECT("'" &amp; S41 &amp; "'!$A$4:$XFD$4"),0)),INDEX(BBG!$A:$BA,MATCH('PnL26'!$P$1,BBG!$A:$A,0),MATCH($I41,BBG!$A$4:$BA$4,0))-INDEX(BBG!$A:$BA,MATCH('PnL26'!$P$1,BBG!$A:$A,0),MATCH($J41,BBG!$A$4:$BA$4,0)))</f>
        <v>-3.97</v>
      </c>
      <c r="M41" s="9">
        <f t="shared" ca="1" si="33"/>
        <v>-107.91999999999949</v>
      </c>
      <c r="N41">
        <f t="shared" si="25"/>
        <v>5463.45</v>
      </c>
      <c r="O41" s="14" t="str">
        <f t="shared" si="34"/>
        <v>Feb 26</v>
      </c>
      <c r="P41" s="8" t="str">
        <f t="shared" si="19"/>
        <v>Sell</v>
      </c>
      <c r="Q41">
        <f t="shared" ca="1" si="20"/>
        <v>5355.5300000000007</v>
      </c>
      <c r="R41" t="str">
        <f>VLOOKUP(F41,Control!$B:$C,2,FALSE)</f>
        <v>Swaps</v>
      </c>
      <c r="S41" t="str">
        <f>VLOOKUP(F41,Control!$B:$D,3,FALSE)</f>
        <v>WTI-Brent</v>
      </c>
      <c r="T41">
        <f t="shared" si="35"/>
        <v>2026</v>
      </c>
      <c r="U41" s="240" t="str">
        <f t="shared" si="22"/>
        <v>Sell</v>
      </c>
      <c r="V41" t="s">
        <v>96</v>
      </c>
      <c r="W41" t="str">
        <f>_xlfn.XLOOKUP(Table3[[#This Row],[Instrument]],Control!$B$2:$B$19,Control!$E$2:$E$19)</f>
        <v>WTI</v>
      </c>
      <c r="X41" s="14">
        <f>Table3[[#This Row],[Month1]]</f>
        <v>46081</v>
      </c>
      <c r="Y41" s="350">
        <f>Table3[[#This Row],[Quantity]]</f>
        <v>-1349</v>
      </c>
      <c r="Z41" t="str">
        <f>_xlfn.XLOOKUP(Table3[[#This Row],[Instrument]],Control!$B$2:$B$19,Control!$F$2:$F$19)</f>
        <v>Brent</v>
      </c>
      <c r="AA41" s="14">
        <f>Table3[[#This Row],[Month2]]</f>
        <v>46081</v>
      </c>
      <c r="AB41" s="350">
        <f t="shared" si="5"/>
        <v>1349</v>
      </c>
    </row>
    <row r="42" spans="1:28" ht="15" hidden="1" thickBot="1" x14ac:dyDescent="0.4">
      <c r="A42" t="s">
        <v>1724</v>
      </c>
      <c r="B42" t="str">
        <f>_xlfn.XLOOKUP(Table3[[#This Row],[Cargo Name]],Ledger[Cargo Name],Ledger[SAP Deal Number])</f>
        <v>ARA26HS00009</v>
      </c>
      <c r="C42">
        <v>0</v>
      </c>
      <c r="D42" t="s">
        <v>1579</v>
      </c>
      <c r="E42" s="16">
        <v>45986</v>
      </c>
      <c r="F42" s="10" t="s">
        <v>7</v>
      </c>
      <c r="G42" s="4" t="s">
        <v>268</v>
      </c>
      <c r="H42" s="253">
        <f>-H39-H40</f>
        <v>-2049</v>
      </c>
      <c r="I42" s="172">
        <v>46081</v>
      </c>
      <c r="J42" s="172">
        <v>46112</v>
      </c>
      <c r="K42" s="219">
        <v>0.3</v>
      </c>
      <c r="L42" s="7">
        <f ca="1">IF(OR(S42="WTI Sprds",S42="Brent Sprds",S42="WTI-Brent",S42="DFL"),INDEX(INDIRECT("'" &amp; S42 &amp; "'!$A$6:$XFD$1048576"),MATCH('PnL26'!$P$1,INDIRECT("'" &amp; S42 &amp; "'!$A$6:$A$1048576"),0),MATCH(EOMONTH(I42,0),INDIRECT("'" &amp; S42 &amp; "'!$A$4:$XFD$4"),0)),INDEX(BBG!$A:$BA,MATCH('PnL26'!$P$1,BBG!$A:$A,0),MATCH($I42,BBG!$A$4:$BA$4,0))-INDEX(BBG!$A:$BA,MATCH('PnL26'!$P$1,BBG!$A:$A,0),MATCH($J42,BBG!$A$4:$BA$4,0)))</f>
        <v>0.59</v>
      </c>
      <c r="M42" s="9">
        <f t="shared" ca="1" si="33"/>
        <v>-594.20999999999992</v>
      </c>
      <c r="N42">
        <f t="shared" si="25"/>
        <v>-614.69999999999993</v>
      </c>
      <c r="O42" s="14" t="str">
        <f t="shared" si="34"/>
        <v>Feb/Mar 26</v>
      </c>
      <c r="P42" s="8" t="str">
        <f t="shared" si="19"/>
        <v>Sell</v>
      </c>
      <c r="Q42">
        <f t="shared" ca="1" si="20"/>
        <v>-1208.9099999999999</v>
      </c>
      <c r="R42" t="str">
        <f>VLOOKUP(F42,Control!$B:$C,2,FALSE)</f>
        <v>Futures</v>
      </c>
      <c r="S42" t="str">
        <f>VLOOKUP(F42,Control!$B:$D,3,FALSE)</f>
        <v>Brent Sprds</v>
      </c>
      <c r="T42">
        <f t="shared" si="35"/>
        <v>2026</v>
      </c>
      <c r="U42" s="240" t="str">
        <f t="shared" si="22"/>
        <v>Sell</v>
      </c>
      <c r="V42" t="s">
        <v>96</v>
      </c>
      <c r="W42" t="str">
        <f>_xlfn.XLOOKUP(Table3[[#This Row],[Instrument]],Control!$B$2:$B$19,Control!$E$2:$E$19)</f>
        <v>Brent</v>
      </c>
      <c r="X42" s="14">
        <f>Table3[[#This Row],[Month1]]</f>
        <v>46081</v>
      </c>
      <c r="Y42" s="350">
        <f>Table3[[#This Row],[Quantity]]</f>
        <v>-2049</v>
      </c>
      <c r="Z42" t="str">
        <f>_xlfn.XLOOKUP(Table3[[#This Row],[Instrument]],Control!$B$2:$B$19,Control!$F$2:$F$19)</f>
        <v>Brent</v>
      </c>
      <c r="AA42" s="14">
        <f>Table3[[#This Row],[Month2]]</f>
        <v>46112</v>
      </c>
      <c r="AB42" s="350">
        <f t="shared" si="5"/>
        <v>2049</v>
      </c>
    </row>
    <row r="43" spans="1:28" ht="15" hidden="1" thickBot="1" x14ac:dyDescent="0.4">
      <c r="A43" t="s">
        <v>1724</v>
      </c>
      <c r="B43" t="str">
        <f>_xlfn.XLOOKUP(Table3[[#This Row],[Cargo Name]],Ledger[Cargo Name],Ledger[SAP Deal Number])</f>
        <v>ARA26HS00009</v>
      </c>
      <c r="C43">
        <v>0</v>
      </c>
      <c r="D43" s="160" t="s">
        <v>1579</v>
      </c>
      <c r="E43" s="316">
        <v>45986</v>
      </c>
      <c r="F43" s="243" t="s">
        <v>15</v>
      </c>
      <c r="G43" s="317" t="s">
        <v>268</v>
      </c>
      <c r="H43" s="277">
        <f>-H42</f>
        <v>2049</v>
      </c>
      <c r="I43" s="320">
        <v>46053</v>
      </c>
      <c r="J43" s="320">
        <v>46053</v>
      </c>
      <c r="K43" s="245">
        <v>0.45</v>
      </c>
      <c r="L43" s="317">
        <f>VLOOKUP($I43,'PnL26'!$E$7:$F$59,2,FALSE)</f>
        <v>2.09</v>
      </c>
      <c r="M43" s="247">
        <f t="shared" si="33"/>
        <v>3360.3599999999997</v>
      </c>
      <c r="N43" s="160">
        <f t="shared" si="25"/>
        <v>922.05000000000007</v>
      </c>
      <c r="O43" s="248" t="str">
        <f t="shared" si="34"/>
        <v>Jan 26</v>
      </c>
      <c r="P43" s="249" t="str">
        <f t="shared" si="19"/>
        <v>Buy</v>
      </c>
      <c r="Q43" s="160">
        <f t="shared" si="20"/>
        <v>4282.41</v>
      </c>
      <c r="R43" s="160" t="str">
        <f>VLOOKUP(F43,Control!$B:$C,2,FALSE)</f>
        <v>Swaps</v>
      </c>
      <c r="S43" s="160" t="str">
        <f>VLOOKUP(F43,Control!$B:$D,3,FALSE)</f>
        <v>Dated</v>
      </c>
      <c r="T43" s="160">
        <f t="shared" si="35"/>
        <v>2026</v>
      </c>
      <c r="U43" s="251" t="str">
        <f t="shared" si="22"/>
        <v>Buy</v>
      </c>
      <c r="V43" t="s">
        <v>96</v>
      </c>
      <c r="W43" t="e">
        <f>_xlfn.XLOOKUP(Table3[[#This Row],[Instrument]],Control!$B$2:$B$19,Control!$E$2:$E$19)</f>
        <v>#N/A</v>
      </c>
      <c r="X43" s="14">
        <f>Table3[[#This Row],[Month1]]</f>
        <v>46053</v>
      </c>
      <c r="Y43" s="350">
        <f>Table3[[#This Row],[Quantity]]</f>
        <v>2049</v>
      </c>
      <c r="Z43" t="e">
        <f>_xlfn.XLOOKUP(Table3[[#This Row],[Instrument]],Control!$B$2:$B$19,Control!$F$2:$F$19)</f>
        <v>#N/A</v>
      </c>
      <c r="AA43" s="14">
        <f>Table3[[#This Row],[Month2]]</f>
        <v>46053</v>
      </c>
      <c r="AB43" s="350">
        <f t="shared" si="5"/>
        <v>-2049</v>
      </c>
    </row>
    <row r="44" spans="1:28" ht="15" hidden="1" thickBot="1" x14ac:dyDescent="0.4">
      <c r="A44" t="s">
        <v>1724</v>
      </c>
      <c r="B44" t="str">
        <f>_xlfn.XLOOKUP(Table3[[#This Row],[Cargo Name]],Ledger[Cargo Name],Ledger[SAP Deal Number])</f>
        <v>ARA26HS00007</v>
      </c>
      <c r="C44">
        <v>0</v>
      </c>
      <c r="D44" t="s">
        <v>1526</v>
      </c>
      <c r="E44" s="174">
        <v>45986</v>
      </c>
      <c r="F44" s="10" t="s">
        <v>10</v>
      </c>
      <c r="G44" s="4" t="s">
        <v>128</v>
      </c>
      <c r="H44" s="253">
        <v>450</v>
      </c>
      <c r="I44" s="172">
        <v>46081</v>
      </c>
      <c r="J44" s="172">
        <v>46081</v>
      </c>
      <c r="K44" s="212">
        <v>-4.1067</v>
      </c>
      <c r="L44" s="192">
        <f ca="1">IF(OR(S44="WTI Sprds",S44="Brent Sprds",S44="WTI-Brent",S44="DFL"),INDEX(INDIRECT("'" &amp; S44 &amp; "'!$A$6:$XFD$1048576"),MATCH('PnL26'!$P$1,INDIRECT("'" &amp; S44 &amp; "'!$A$6:$A$1048576"),0),MATCH(EOMONTH(I44,0),INDIRECT("'" &amp; S44 &amp; "'!$A$4:$XFD$4"),0)),INDEX(BBG!$A:$BA,MATCH('PnL26'!$P$1,BBG!$A:$A,0),MATCH($I44,BBG!$A$4:$BA$4,0))-INDEX(BBG!$A:$BA,MATCH('PnL26'!$P$1,BBG!$A:$A,0),MATCH($J44,BBG!$A$4:$BA$4,0)))</f>
        <v>-3.97</v>
      </c>
      <c r="M44" s="9">
        <f t="shared" ca="1" si="33"/>
        <v>61.514999999999922</v>
      </c>
      <c r="N44">
        <f t="shared" si="25"/>
        <v>-1848.0150000000001</v>
      </c>
      <c r="O44" s="14" t="str">
        <f t="shared" si="34"/>
        <v>Feb 26</v>
      </c>
      <c r="P44" s="8" t="str">
        <f t="shared" si="19"/>
        <v>Buy</v>
      </c>
      <c r="Q44">
        <f t="shared" ca="1" si="20"/>
        <v>-1786.5</v>
      </c>
      <c r="R44" s="38" t="str">
        <f>VLOOKUP(F44,Control!$B:$C,2,FALSE)</f>
        <v>Swaps</v>
      </c>
      <c r="S44" s="38" t="str">
        <f>VLOOKUP(F44,Control!$B:$D,3,FALSE)</f>
        <v>WTI-Brent</v>
      </c>
      <c r="T44" s="240">
        <f t="shared" si="35"/>
        <v>2026</v>
      </c>
      <c r="U44" t="str">
        <f t="shared" si="22"/>
        <v>Buy</v>
      </c>
      <c r="V44" t="s">
        <v>96</v>
      </c>
      <c r="W44" t="str">
        <f>_xlfn.XLOOKUP(Table3[[#This Row],[Instrument]],Control!$B$2:$B$19,Control!$E$2:$E$19)</f>
        <v>WTI</v>
      </c>
      <c r="X44" s="14">
        <f>Table3[[#This Row],[Month1]]</f>
        <v>46081</v>
      </c>
      <c r="Y44" s="350">
        <f>Table3[[#This Row],[Quantity]]</f>
        <v>450</v>
      </c>
      <c r="Z44" t="str">
        <f>_xlfn.XLOOKUP(Table3[[#This Row],[Instrument]],Control!$B$2:$B$19,Control!$F$2:$F$19)</f>
        <v>Brent</v>
      </c>
      <c r="AA44" s="14">
        <f>Table3[[#This Row],[Month2]]</f>
        <v>46081</v>
      </c>
      <c r="AB44" s="350">
        <f t="shared" si="5"/>
        <v>-450</v>
      </c>
    </row>
    <row r="45" spans="1:28" ht="15" hidden="1" thickBot="1" x14ac:dyDescent="0.4">
      <c r="A45" t="s">
        <v>1724</v>
      </c>
      <c r="B45" t="str">
        <f>_xlfn.XLOOKUP(Table3[[#This Row],[Cargo Name]],Ledger[Cargo Name],Ledger[SAP Deal Number])</f>
        <v>ARA26HS00007</v>
      </c>
      <c r="C45">
        <v>0</v>
      </c>
      <c r="D45" t="s">
        <v>1526</v>
      </c>
      <c r="E45" s="174">
        <v>45986</v>
      </c>
      <c r="F45" s="10" t="s">
        <v>7</v>
      </c>
      <c r="G45" s="4" t="s">
        <v>128</v>
      </c>
      <c r="H45" s="253">
        <v>1000</v>
      </c>
      <c r="I45" s="172">
        <v>46081</v>
      </c>
      <c r="J45" s="172">
        <v>46112</v>
      </c>
      <c r="K45" s="218">
        <v>0.29799999999999999</v>
      </c>
      <c r="L45" s="192">
        <f ca="1">IF(OR(S45="WTI Sprds",S45="Brent Sprds",S45="WTI-Brent",S45="DFL"),INDEX(INDIRECT("'" &amp; S45 &amp; "'!$A$6:$XFD$1048576"),MATCH('PnL26'!$P$1,INDIRECT("'" &amp; S45 &amp; "'!$A$6:$A$1048576"),0),MATCH(EOMONTH(I45,0),INDIRECT("'" &amp; S45 &amp; "'!$A$4:$XFD$4"),0)),INDEX(BBG!$A:$BA,MATCH('PnL26'!$P$1,BBG!$A:$A,0),MATCH($I45,BBG!$A$4:$BA$4,0))-INDEX(BBG!$A:$BA,MATCH('PnL26'!$P$1,BBG!$A:$A,0),MATCH($J45,BBG!$A$4:$BA$4,0)))</f>
        <v>0.59</v>
      </c>
      <c r="M45" s="9">
        <f t="shared" ca="1" si="33"/>
        <v>292</v>
      </c>
      <c r="N45">
        <f t="shared" si="25"/>
        <v>298</v>
      </c>
      <c r="O45" s="14" t="str">
        <f t="shared" si="34"/>
        <v>Feb/Mar 26</v>
      </c>
      <c r="P45" s="8" t="str">
        <f t="shared" si="19"/>
        <v>Buy</v>
      </c>
      <c r="Q45">
        <f t="shared" ca="1" si="20"/>
        <v>590</v>
      </c>
      <c r="R45" s="38" t="str">
        <f>VLOOKUP(F45,Control!$B:$C,2,FALSE)</f>
        <v>Futures</v>
      </c>
      <c r="S45" s="38" t="str">
        <f>VLOOKUP(F45,Control!$B:$D,3,FALSE)</f>
        <v>Brent Sprds</v>
      </c>
      <c r="T45">
        <f t="shared" si="35"/>
        <v>2026</v>
      </c>
      <c r="U45" t="str">
        <f t="shared" si="22"/>
        <v>Buy</v>
      </c>
      <c r="V45" t="s">
        <v>96</v>
      </c>
      <c r="W45" t="str">
        <f>_xlfn.XLOOKUP(Table3[[#This Row],[Instrument]],Control!$B$2:$B$19,Control!$E$2:$E$19)</f>
        <v>Brent</v>
      </c>
      <c r="X45" s="14">
        <f>Table3[[#This Row],[Month1]]</f>
        <v>46081</v>
      </c>
      <c r="Y45" s="350">
        <f>Table3[[#This Row],[Quantity]]</f>
        <v>1000</v>
      </c>
      <c r="Z45" t="str">
        <f>_xlfn.XLOOKUP(Table3[[#This Row],[Instrument]],Control!$B$2:$B$19,Control!$F$2:$F$19)</f>
        <v>Brent</v>
      </c>
      <c r="AA45" s="14">
        <f>Table3[[#This Row],[Month2]]</f>
        <v>46112</v>
      </c>
      <c r="AB45" s="350">
        <f t="shared" si="5"/>
        <v>-1000</v>
      </c>
    </row>
    <row r="46" spans="1:28" ht="15" hidden="1" thickBot="1" x14ac:dyDescent="0.4">
      <c r="A46" t="s">
        <v>1724</v>
      </c>
      <c r="B46" t="str">
        <f>_xlfn.XLOOKUP(Table3[[#This Row],[Cargo Name]],Ledger[Cargo Name],Ledger[SAP Deal Number])</f>
        <v>ARA26HS00007</v>
      </c>
      <c r="C46">
        <v>0</v>
      </c>
      <c r="D46" t="s">
        <v>1526</v>
      </c>
      <c r="E46" s="174">
        <v>45986</v>
      </c>
      <c r="F46" s="10" t="s">
        <v>10</v>
      </c>
      <c r="G46" s="4" t="s">
        <v>128</v>
      </c>
      <c r="H46" s="253">
        <v>1400</v>
      </c>
      <c r="I46" s="172">
        <v>46081</v>
      </c>
      <c r="J46" s="172">
        <v>46081</v>
      </c>
      <c r="K46" s="212">
        <v>-4.05</v>
      </c>
      <c r="L46" s="192">
        <f ca="1">IF(OR(S46="WTI Sprds",S46="Brent Sprds",S46="WTI-Brent",S46="DFL"),INDEX(INDIRECT("'" &amp; S46 &amp; "'!$A$6:$XFD$1048576"),MATCH('PnL26'!$P$1,INDIRECT("'" &amp; S46 &amp; "'!$A$6:$A$1048576"),0),MATCH(EOMONTH(I46,0),INDIRECT("'" &amp; S46 &amp; "'!$A$4:$XFD$4"),0)),INDEX(BBG!$A:$BA,MATCH('PnL26'!$P$1,BBG!$A:$A,0),MATCH($I46,BBG!$A$4:$BA$4,0))-INDEX(BBG!$A:$BA,MATCH('PnL26'!$P$1,BBG!$A:$A,0),MATCH($J46,BBG!$A$4:$BA$4,0)))</f>
        <v>-3.97</v>
      </c>
      <c r="M46" s="9">
        <f t="shared" ca="1" si="33"/>
        <v>111.99999999999947</v>
      </c>
      <c r="N46">
        <f t="shared" si="25"/>
        <v>-5670</v>
      </c>
      <c r="O46" s="14" t="str">
        <f t="shared" si="34"/>
        <v>Feb 26</v>
      </c>
      <c r="P46" s="8" t="str">
        <f t="shared" si="19"/>
        <v>Buy</v>
      </c>
      <c r="Q46">
        <f t="shared" ca="1" si="20"/>
        <v>-5558</v>
      </c>
      <c r="R46" s="38" t="str">
        <f>VLOOKUP(F46,Control!$B:$C,2,FALSE)</f>
        <v>Swaps</v>
      </c>
      <c r="S46" s="38" t="str">
        <f>VLOOKUP(F46,Control!$B:$D,3,FALSE)</f>
        <v>WTI-Brent</v>
      </c>
      <c r="T46" s="240">
        <f t="shared" si="35"/>
        <v>2026</v>
      </c>
      <c r="U46" t="str">
        <f t="shared" si="22"/>
        <v>Buy</v>
      </c>
      <c r="V46" t="s">
        <v>96</v>
      </c>
      <c r="W46" t="str">
        <f>_xlfn.XLOOKUP(Table3[[#This Row],[Instrument]],Control!$B$2:$B$19,Control!$E$2:$E$19)</f>
        <v>WTI</v>
      </c>
      <c r="X46" s="14">
        <f>Table3[[#This Row],[Month1]]</f>
        <v>46081</v>
      </c>
      <c r="Y46" s="350">
        <f>Table3[[#This Row],[Quantity]]</f>
        <v>1400</v>
      </c>
      <c r="Z46" t="str">
        <f>_xlfn.XLOOKUP(Table3[[#This Row],[Instrument]],Control!$B$2:$B$19,Control!$F$2:$F$19)</f>
        <v>Brent</v>
      </c>
      <c r="AA46" s="14">
        <f>Table3[[#This Row],[Month2]]</f>
        <v>46081</v>
      </c>
      <c r="AB46" s="350">
        <f t="shared" si="5"/>
        <v>-1400</v>
      </c>
    </row>
    <row r="47" spans="1:28" ht="15" hidden="1" thickBot="1" x14ac:dyDescent="0.4">
      <c r="A47" t="s">
        <v>1724</v>
      </c>
      <c r="B47" t="str">
        <f>_xlfn.XLOOKUP(Table3[[#This Row],[Cargo Name]],Ledger[Cargo Name],Ledger[SAP Deal Number])</f>
        <v>Unallocated</v>
      </c>
      <c r="C47">
        <v>0</v>
      </c>
      <c r="D47" t="s">
        <v>127</v>
      </c>
      <c r="E47" s="16">
        <v>45986</v>
      </c>
      <c r="F47" s="10" t="s">
        <v>15</v>
      </c>
      <c r="G47" s="4" t="s">
        <v>128</v>
      </c>
      <c r="H47" s="253">
        <v>188</v>
      </c>
      <c r="I47" s="173">
        <v>46142</v>
      </c>
      <c r="J47" s="173">
        <v>46142</v>
      </c>
      <c r="K47" s="212">
        <v>0.45</v>
      </c>
      <c r="L47" s="191">
        <f>VLOOKUP($I47,'PnL26'!$E$7:$F$59,2,FALSE)</f>
        <v>17.678750000000008</v>
      </c>
      <c r="M47" s="9">
        <f t="shared" si="33"/>
        <v>3239.0050000000015</v>
      </c>
      <c r="N47">
        <f t="shared" si="25"/>
        <v>84.600000000000009</v>
      </c>
      <c r="O47" s="14" t="str">
        <f t="shared" si="34"/>
        <v>Apr 26</v>
      </c>
      <c r="P47" s="8" t="str">
        <f t="shared" si="19"/>
        <v>Buy</v>
      </c>
      <c r="Q47">
        <f t="shared" si="20"/>
        <v>3323.6050000000014</v>
      </c>
      <c r="R47" s="38" t="str">
        <f>VLOOKUP(F47,Control!$B:$C,2,FALSE)</f>
        <v>Swaps</v>
      </c>
      <c r="S47" s="38" t="str">
        <f>VLOOKUP(F47,Control!$B:$D,3,FALSE)</f>
        <v>Dated</v>
      </c>
      <c r="T47" s="240">
        <f t="shared" si="35"/>
        <v>2026</v>
      </c>
      <c r="U47" t="str">
        <f t="shared" si="22"/>
        <v>Buy</v>
      </c>
      <c r="V47" t="s">
        <v>96</v>
      </c>
      <c r="W47" t="e">
        <f>_xlfn.XLOOKUP(Table3[[#This Row],[Instrument]],Control!$B$2:$B$19,Control!$E$2:$E$19)</f>
        <v>#N/A</v>
      </c>
      <c r="X47" s="14">
        <f>Table3[[#This Row],[Month1]]</f>
        <v>46142</v>
      </c>
      <c r="Y47" s="350">
        <f>Table3[[#This Row],[Quantity]]</f>
        <v>188</v>
      </c>
      <c r="Z47" t="e">
        <f>_xlfn.XLOOKUP(Table3[[#This Row],[Instrument]],Control!$B$2:$B$19,Control!$F$2:$F$19)</f>
        <v>#N/A</v>
      </c>
      <c r="AA47" s="14">
        <f>Table3[[#This Row],[Month2]]</f>
        <v>46142</v>
      </c>
      <c r="AB47" s="350">
        <f t="shared" si="5"/>
        <v>-188</v>
      </c>
    </row>
    <row r="48" spans="1:28" ht="15" hidden="1" thickBot="1" x14ac:dyDescent="0.4">
      <c r="A48" t="s">
        <v>1724</v>
      </c>
      <c r="B48" t="str">
        <f>_xlfn.XLOOKUP(Table3[[#This Row],[Cargo Name]],Ledger[Cargo Name],Ledger[SAP Deal Number])</f>
        <v>Unallocated</v>
      </c>
      <c r="C48">
        <v>0</v>
      </c>
      <c r="D48" t="s">
        <v>127</v>
      </c>
      <c r="E48" s="16">
        <v>45986</v>
      </c>
      <c r="F48" s="10" t="s">
        <v>15</v>
      </c>
      <c r="G48" s="4" t="s">
        <v>128</v>
      </c>
      <c r="H48" s="253">
        <v>188</v>
      </c>
      <c r="I48" s="173">
        <v>46173</v>
      </c>
      <c r="J48" s="173">
        <v>46173</v>
      </c>
      <c r="K48" s="212">
        <v>0.45</v>
      </c>
      <c r="L48" s="191">
        <f>VLOOKUP($I48,'PnL26'!$E$7:$F$59,2,FALSE)</f>
        <v>3.68</v>
      </c>
      <c r="M48" s="9">
        <f t="shared" si="33"/>
        <v>607.24</v>
      </c>
      <c r="N48">
        <f t="shared" si="25"/>
        <v>84.600000000000009</v>
      </c>
      <c r="O48" s="14" t="str">
        <f t="shared" si="34"/>
        <v>May 26</v>
      </c>
      <c r="P48" s="8" t="str">
        <f t="shared" si="19"/>
        <v>Buy</v>
      </c>
      <c r="Q48">
        <f t="shared" si="20"/>
        <v>691.84</v>
      </c>
      <c r="R48" s="38" t="str">
        <f>VLOOKUP(F48,Control!$B:$C,2,FALSE)</f>
        <v>Swaps</v>
      </c>
      <c r="S48" s="38" t="str">
        <f>VLOOKUP(F48,Control!$B:$D,3,FALSE)</f>
        <v>Dated</v>
      </c>
      <c r="T48" s="240">
        <f t="shared" si="35"/>
        <v>2026</v>
      </c>
      <c r="U48" t="str">
        <f t="shared" si="22"/>
        <v>Buy</v>
      </c>
      <c r="V48" t="s">
        <v>96</v>
      </c>
      <c r="W48" t="e">
        <f>_xlfn.XLOOKUP(Table3[[#This Row],[Instrument]],Control!$B$2:$B$19,Control!$E$2:$E$19)</f>
        <v>#N/A</v>
      </c>
      <c r="X48" s="14">
        <f>Table3[[#This Row],[Month1]]</f>
        <v>46173</v>
      </c>
      <c r="Y48" s="350">
        <f>Table3[[#This Row],[Quantity]]</f>
        <v>188</v>
      </c>
      <c r="Z48" t="e">
        <f>_xlfn.XLOOKUP(Table3[[#This Row],[Instrument]],Control!$B$2:$B$19,Control!$F$2:$F$19)</f>
        <v>#N/A</v>
      </c>
      <c r="AA48" s="14">
        <f>Table3[[#This Row],[Month2]]</f>
        <v>46173</v>
      </c>
      <c r="AB48" s="350">
        <f t="shared" si="5"/>
        <v>-188</v>
      </c>
    </row>
    <row r="49" spans="1:28" ht="15" hidden="1" thickBot="1" x14ac:dyDescent="0.4">
      <c r="A49" t="s">
        <v>1724</v>
      </c>
      <c r="B49" t="str">
        <f>_xlfn.XLOOKUP(Table3[[#This Row],[Cargo Name]],Ledger[Cargo Name],Ledger[SAP Deal Number])</f>
        <v>Unallocated</v>
      </c>
      <c r="C49">
        <v>0</v>
      </c>
      <c r="D49" t="s">
        <v>127</v>
      </c>
      <c r="E49" s="16">
        <v>45986</v>
      </c>
      <c r="F49" s="10" t="s">
        <v>15</v>
      </c>
      <c r="G49" s="4" t="s">
        <v>128</v>
      </c>
      <c r="H49" s="253">
        <v>188</v>
      </c>
      <c r="I49" s="173">
        <v>46203</v>
      </c>
      <c r="J49" s="173">
        <v>46203</v>
      </c>
      <c r="K49" s="212">
        <v>0.45</v>
      </c>
      <c r="L49" s="191">
        <f>VLOOKUP($I49,'PnL26'!$E$7:$F$59,2,FALSE)</f>
        <v>2.23</v>
      </c>
      <c r="M49" s="9">
        <f t="shared" si="33"/>
        <v>334.64</v>
      </c>
      <c r="N49">
        <f t="shared" si="25"/>
        <v>84.600000000000009</v>
      </c>
      <c r="O49" s="14" t="str">
        <f t="shared" si="34"/>
        <v>Jun 26</v>
      </c>
      <c r="P49" s="8" t="str">
        <f t="shared" si="19"/>
        <v>Buy</v>
      </c>
      <c r="Q49">
        <f t="shared" si="20"/>
        <v>419.24</v>
      </c>
      <c r="R49" s="38" t="str">
        <f>VLOOKUP(F49,Control!$B:$C,2,FALSE)</f>
        <v>Swaps</v>
      </c>
      <c r="S49" s="38" t="str">
        <f>VLOOKUP(F49,Control!$B:$D,3,FALSE)</f>
        <v>Dated</v>
      </c>
      <c r="T49" s="240">
        <f t="shared" si="35"/>
        <v>2026</v>
      </c>
      <c r="U49" t="str">
        <f t="shared" si="22"/>
        <v>Buy</v>
      </c>
      <c r="V49" t="s">
        <v>96</v>
      </c>
      <c r="W49" t="e">
        <f>_xlfn.XLOOKUP(Table3[[#This Row],[Instrument]],Control!$B$2:$B$19,Control!$E$2:$E$19)</f>
        <v>#N/A</v>
      </c>
      <c r="X49" s="14">
        <f>Table3[[#This Row],[Month1]]</f>
        <v>46203</v>
      </c>
      <c r="Y49" s="350">
        <f>Table3[[#This Row],[Quantity]]</f>
        <v>188</v>
      </c>
      <c r="Z49" t="e">
        <f>_xlfn.XLOOKUP(Table3[[#This Row],[Instrument]],Control!$B$2:$B$19,Control!$F$2:$F$19)</f>
        <v>#N/A</v>
      </c>
      <c r="AA49" s="14">
        <f>Table3[[#This Row],[Month2]]</f>
        <v>46203</v>
      </c>
      <c r="AB49" s="350">
        <f t="shared" si="5"/>
        <v>-188</v>
      </c>
    </row>
    <row r="50" spans="1:28" ht="15" hidden="1" thickBot="1" x14ac:dyDescent="0.4">
      <c r="A50" t="s">
        <v>1724</v>
      </c>
      <c r="B50" t="str">
        <f>_xlfn.XLOOKUP(Table3[[#This Row],[Cargo Name]],Ledger[Cargo Name],Ledger[SAP Deal Number])</f>
        <v>ARA26HS00009</v>
      </c>
      <c r="C50">
        <v>0</v>
      </c>
      <c r="D50" t="s">
        <v>1579</v>
      </c>
      <c r="E50" s="16">
        <v>45986</v>
      </c>
      <c r="F50" s="187" t="s">
        <v>19</v>
      </c>
      <c r="G50" s="10" t="s">
        <v>268</v>
      </c>
      <c r="H50" s="259">
        <v>0</v>
      </c>
      <c r="I50" s="172">
        <v>46022</v>
      </c>
      <c r="J50" s="172">
        <v>46022</v>
      </c>
      <c r="K50" s="212">
        <f>K39</f>
        <v>0.75768667642752585</v>
      </c>
      <c r="L50" s="311">
        <v>0.5</v>
      </c>
      <c r="M50" s="9">
        <f t="shared" si="33"/>
        <v>0</v>
      </c>
      <c r="N50">
        <f t="shared" si="25"/>
        <v>0</v>
      </c>
      <c r="O50" s="14" t="str">
        <f t="shared" ref="O50:O64" si="36">IF(I50=J50,TEXT(I50,"MMM YY"),TEXT(I50,"MMM")&amp;"/"&amp;TEXT(J50,"MMM")&amp;" "&amp;RIGHT(T50,2))</f>
        <v>Dec 25</v>
      </c>
      <c r="P50" s="8" t="str">
        <f t="shared" ref="P50:P95" si="37">IF(H50&lt;0,"Sell","Buy")</f>
        <v>Buy</v>
      </c>
      <c r="Q50">
        <f t="shared" ref="Q50:Q95" si="38">H50*L50</f>
        <v>0</v>
      </c>
      <c r="R50" t="str">
        <f>VLOOKUP(F50,Control!$B:$C,2,FALSE)</f>
        <v>Physical</v>
      </c>
      <c r="S50" t="str">
        <f>VLOOKUP(F50,Control!$B:$D,3,FALSE)</f>
        <v>Physical</v>
      </c>
      <c r="T50">
        <f t="shared" ref="T50:T64" si="39">YEAR(I50)</f>
        <v>2025</v>
      </c>
      <c r="U50" t="str">
        <f t="shared" ref="U50:U95" si="40">IFERROR(IF(H50&gt;0,"Buy","Sell"),"")</f>
        <v>Sell</v>
      </c>
      <c r="V50" t="s">
        <v>96</v>
      </c>
      <c r="W50">
        <f>_xlfn.XLOOKUP(Table3[[#This Row],[Instrument]],Control!$B$2:$B$19,Control!$E$2:$E$19)</f>
        <v>0</v>
      </c>
      <c r="X50" s="14">
        <f>Table3[[#This Row],[Month1]]</f>
        <v>46022</v>
      </c>
      <c r="Y50" s="350">
        <f>Table3[[#This Row],[Quantity]]</f>
        <v>0</v>
      </c>
      <c r="Z50">
        <f>_xlfn.XLOOKUP(Table3[[#This Row],[Instrument]],Control!$B$2:$B$19,Control!$F$2:$F$19)</f>
        <v>0</v>
      </c>
      <c r="AA50" s="14">
        <f>Table3[[#This Row],[Month2]]</f>
        <v>46022</v>
      </c>
      <c r="AB50" s="350">
        <f t="shared" si="5"/>
        <v>0</v>
      </c>
    </row>
    <row r="51" spans="1:28" ht="15" hidden="1" thickBot="1" x14ac:dyDescent="0.4">
      <c r="A51" t="s">
        <v>1724</v>
      </c>
      <c r="B51" t="str">
        <f>_xlfn.XLOOKUP(Table3[[#This Row],[Cargo Name]],Ledger[Cargo Name],Ledger[SAP Deal Number])</f>
        <v>ARA26HS00010</v>
      </c>
      <c r="C51">
        <v>0</v>
      </c>
      <c r="D51" t="s">
        <v>1599</v>
      </c>
      <c r="E51" s="16">
        <v>45987</v>
      </c>
      <c r="F51" s="10" t="s">
        <v>10</v>
      </c>
      <c r="G51" s="4" t="s">
        <v>268</v>
      </c>
      <c r="H51" s="253">
        <v>-1400</v>
      </c>
      <c r="I51" s="172">
        <v>46053</v>
      </c>
      <c r="J51" s="172">
        <v>46053</v>
      </c>
      <c r="K51" s="212">
        <v>-4.4400000000000004</v>
      </c>
      <c r="L51" s="192">
        <f ca="1">IF(OR(S51="WTI Sprds",S51="Brent Sprds",S51="WTI-Brent",S51="DFL"),INDEX(INDIRECT("'" &amp; S51 &amp; "'!$A$6:$XFD$1048576"),MATCH('PnL26'!$P$1,INDIRECT("'" &amp; S51 &amp; "'!$A$6:$A$1048576"),0),MATCH(EOMONTH(I51,0),INDIRECT("'" &amp; S51 &amp; "'!$A$4:$XFD$4"),0)),INDEX(BBG!$A:$BA,MATCH('PnL26'!$P$1,BBG!$A:$A,0),MATCH($I51,BBG!$A$4:$BA$4,0))-INDEX(BBG!$A:$BA,MATCH('PnL26'!$P$1,BBG!$A:$A,0),MATCH($J51,BBG!$A$4:$BA$4,0)))</f>
        <v>-4.6500000000000004</v>
      </c>
      <c r="M51" s="9"/>
      <c r="N51">
        <f t="shared" si="25"/>
        <v>6216.0000000000009</v>
      </c>
      <c r="O51" s="14" t="str">
        <f t="shared" si="36"/>
        <v>Jan 26</v>
      </c>
      <c r="P51" s="8" t="str">
        <f t="shared" si="37"/>
        <v>Sell</v>
      </c>
      <c r="Q51">
        <f t="shared" ca="1" si="38"/>
        <v>6510.0000000000009</v>
      </c>
      <c r="R51" t="str">
        <f>VLOOKUP(F51,Control!$B:$C,2,FALSE)</f>
        <v>Swaps</v>
      </c>
      <c r="S51" t="str">
        <f>VLOOKUP(F51,Control!$B:$D,3,FALSE)</f>
        <v>WTI-Brent</v>
      </c>
      <c r="T51">
        <f t="shared" si="39"/>
        <v>2026</v>
      </c>
      <c r="U51" s="240" t="str">
        <f t="shared" si="40"/>
        <v>Sell</v>
      </c>
      <c r="V51" t="s">
        <v>96</v>
      </c>
      <c r="W51" t="str">
        <f>_xlfn.XLOOKUP(Table3[[#This Row],[Instrument]],Control!$B$2:$B$19,Control!$E$2:$E$19)</f>
        <v>WTI</v>
      </c>
      <c r="X51" s="14">
        <f>Table3[[#This Row],[Month1]]</f>
        <v>46053</v>
      </c>
      <c r="Y51" s="350">
        <f>Table3[[#This Row],[Quantity]]</f>
        <v>-1400</v>
      </c>
      <c r="Z51" t="str">
        <f>_xlfn.XLOOKUP(Table3[[#This Row],[Instrument]],Control!$B$2:$B$19,Control!$F$2:$F$19)</f>
        <v>Brent</v>
      </c>
      <c r="AA51" s="14">
        <f>Table3[[#This Row],[Month2]]</f>
        <v>46053</v>
      </c>
      <c r="AB51" s="350">
        <f t="shared" si="5"/>
        <v>1400</v>
      </c>
    </row>
    <row r="52" spans="1:28" ht="15" hidden="1" thickBot="1" x14ac:dyDescent="0.4">
      <c r="A52" t="s">
        <v>1724</v>
      </c>
      <c r="B52" t="str">
        <f>_xlfn.XLOOKUP(Table3[[#This Row],[Cargo Name]],Ledger[Cargo Name],Ledger[SAP Deal Number])</f>
        <v>ARA26HS00010</v>
      </c>
      <c r="C52">
        <v>0</v>
      </c>
      <c r="D52" s="21" t="s">
        <v>1599</v>
      </c>
      <c r="E52" s="324">
        <v>45960</v>
      </c>
      <c r="F52" s="363" t="s">
        <v>36</v>
      </c>
      <c r="G52" s="23" t="s">
        <v>268</v>
      </c>
      <c r="H52" s="256">
        <v>-700</v>
      </c>
      <c r="I52" s="24">
        <v>46053</v>
      </c>
      <c r="J52" s="24">
        <v>46053</v>
      </c>
      <c r="K52" s="281">
        <v>208</v>
      </c>
      <c r="L52" s="364">
        <f>VLOOKUP(I52,[2]USG!$O$45:$S$100,MATCH(F52,[2]USG!$O$46:$S$46,0),FALSE)</f>
        <v>268</v>
      </c>
      <c r="M52" s="25">
        <f>IF(Table3[[#This Row],[Quantity]]&gt;0,-21.47*70*(Table3[[#This Row],[Price]]-Table3[[#This Row],[Mtm]])/100,21.47*70*(Table3[[#This Row],[Price]]-Table3[[#This Row],[Mtm]])/100)</f>
        <v>-901.7399999999999</v>
      </c>
      <c r="N52" s="26">
        <f t="shared" si="25"/>
        <v>-145600</v>
      </c>
      <c r="O52" s="282" t="str">
        <f t="shared" si="36"/>
        <v>Jan 26</v>
      </c>
      <c r="P52" s="27" t="str">
        <f t="shared" si="37"/>
        <v>Sell</v>
      </c>
      <c r="Q52" s="26">
        <f t="shared" si="38"/>
        <v>-187600</v>
      </c>
      <c r="R52" s="26" t="str">
        <f>VLOOKUP(F52,Control!$B:$C,2,FALSE)</f>
        <v>Freight</v>
      </c>
      <c r="S52" s="26" t="str">
        <f>VLOOKUP(F52,Control!$B:$D,3,FALSE)</f>
        <v>Freight</v>
      </c>
      <c r="T52" s="26">
        <f t="shared" si="39"/>
        <v>2026</v>
      </c>
      <c r="U52" s="26" t="str">
        <f t="shared" si="40"/>
        <v>Sell</v>
      </c>
      <c r="V52" s="28" t="s">
        <v>96</v>
      </c>
      <c r="W52" t="e">
        <f>_xlfn.XLOOKUP(Table3[[#This Row],[Instrument]],Control!$B$2:$B$19,Control!$E$2:$E$19)</f>
        <v>#N/A</v>
      </c>
      <c r="X52" s="14">
        <f>Table3[[#This Row],[Month1]]</f>
        <v>46053</v>
      </c>
      <c r="Y52" s="350">
        <f>Table3[[#This Row],[Quantity]]</f>
        <v>-700</v>
      </c>
      <c r="Z52" t="e">
        <f>_xlfn.XLOOKUP(Table3[[#This Row],[Instrument]],Control!$B$2:$B$19,Control!$F$2:$F$19)</f>
        <v>#N/A</v>
      </c>
      <c r="AA52" s="14">
        <f>Table3[[#This Row],[Month2]]</f>
        <v>46053</v>
      </c>
      <c r="AB52" s="350">
        <f t="shared" si="5"/>
        <v>700</v>
      </c>
    </row>
    <row r="53" spans="1:28" ht="15" hidden="1" thickBot="1" x14ac:dyDescent="0.4">
      <c r="A53" t="s">
        <v>1724</v>
      </c>
      <c r="B53" t="str">
        <f>_xlfn.XLOOKUP(Table3[[#This Row],[Cargo Name]],Ledger[Cargo Name],Ledger[SAP Deal Number])</f>
        <v>ARA26HS00010</v>
      </c>
      <c r="C53">
        <v>0</v>
      </c>
      <c r="D53" s="37" t="s">
        <v>1599</v>
      </c>
      <c r="E53" s="16">
        <v>45960</v>
      </c>
      <c r="F53" s="47" t="s">
        <v>36</v>
      </c>
      <c r="G53" s="4" t="s">
        <v>268</v>
      </c>
      <c r="H53" s="253">
        <v>-700</v>
      </c>
      <c r="I53" s="172">
        <v>46053</v>
      </c>
      <c r="J53" s="172">
        <v>46053</v>
      </c>
      <c r="K53" s="219">
        <v>208</v>
      </c>
      <c r="L53" s="314">
        <f>VLOOKUP(I53,[2]USG!$O$45:$S$100,MATCH(F53,[2]USG!$O$46:$S$46,0),FALSE)</f>
        <v>268</v>
      </c>
      <c r="M53" s="9">
        <f>IF(Table3[[#This Row],[Quantity]]&gt;0,-21.47*70*(Table3[[#This Row],[Price]]-Table3[[#This Row],[Mtm]])/100,21.47*70*(Table3[[#This Row],[Price]]-Table3[[#This Row],[Mtm]])/100)</f>
        <v>-901.7399999999999</v>
      </c>
      <c r="N53">
        <f t="shared" ref="N53" si="41">H53*K53</f>
        <v>-145600</v>
      </c>
      <c r="O53" s="14" t="str">
        <f t="shared" ref="O53" si="42">IF(I53=J53,TEXT(I53,"MMM YY"),TEXT(I53,"MMM")&amp;"/"&amp;TEXT(J53,"MMM")&amp;" "&amp;RIGHT(T53,2))</f>
        <v>Jan 26</v>
      </c>
      <c r="P53" s="8" t="str">
        <f t="shared" ref="P53" si="43">IF(H53&lt;0,"Sell","Buy")</f>
        <v>Sell</v>
      </c>
      <c r="Q53">
        <f t="shared" ref="Q53" si="44">H53*L53</f>
        <v>-187600</v>
      </c>
      <c r="R53" t="str">
        <f>VLOOKUP(F53,Control!$B:$C,2,FALSE)</f>
        <v>Freight</v>
      </c>
      <c r="S53" t="str">
        <f>VLOOKUP(F53,Control!$B:$D,3,FALSE)</f>
        <v>Freight</v>
      </c>
      <c r="T53">
        <f t="shared" ref="T53" si="45">YEAR(I53)</f>
        <v>2026</v>
      </c>
      <c r="U53" t="str">
        <f t="shared" ref="U53" si="46">IFERROR(IF(H53&gt;0,"Buy","Sell"),"")</f>
        <v>Sell</v>
      </c>
      <c r="V53" s="38" t="s">
        <v>96</v>
      </c>
      <c r="W53" t="e">
        <f>_xlfn.XLOOKUP(Table3[[#This Row],[Instrument]],Control!$B$2:$B$19,Control!$E$2:$E$19)</f>
        <v>#N/A</v>
      </c>
      <c r="X53" s="14">
        <f>Table3[[#This Row],[Month1]]</f>
        <v>46053</v>
      </c>
      <c r="Y53" s="350">
        <f>Table3[[#This Row],[Quantity]]</f>
        <v>-700</v>
      </c>
      <c r="Z53" t="e">
        <f>_xlfn.XLOOKUP(Table3[[#This Row],[Instrument]],Control!$B$2:$B$19,Control!$F$2:$F$19)</f>
        <v>#N/A</v>
      </c>
      <c r="AA53" s="14">
        <f>Table3[[#This Row],[Month2]]</f>
        <v>46053</v>
      </c>
      <c r="AB53" s="350">
        <f t="shared" si="5"/>
        <v>700</v>
      </c>
    </row>
    <row r="54" spans="1:28" ht="15" hidden="1" thickBot="1" x14ac:dyDescent="0.4">
      <c r="A54" t="s">
        <v>1724</v>
      </c>
      <c r="B54" t="str">
        <f>_xlfn.XLOOKUP(Table3[[#This Row],[Cargo Name]],Ledger[Cargo Name],Ledger[SAP Deal Number])</f>
        <v>ARA26HS00010</v>
      </c>
      <c r="C54">
        <v>0</v>
      </c>
      <c r="D54" s="37" t="s">
        <v>1599</v>
      </c>
      <c r="E54" s="16">
        <v>46014</v>
      </c>
      <c r="F54" s="47" t="s">
        <v>36</v>
      </c>
      <c r="G54" s="4" t="s">
        <v>128</v>
      </c>
      <c r="H54" s="253">
        <v>700</v>
      </c>
      <c r="I54" s="172">
        <v>46053</v>
      </c>
      <c r="J54" s="172">
        <v>46053</v>
      </c>
      <c r="K54" s="219">
        <v>215</v>
      </c>
      <c r="L54" s="314">
        <f>VLOOKUP(I54,[2]USG!$O$45:$S$100,MATCH(F54,[2]USG!$O$46:$S$46,0),FALSE)</f>
        <v>268</v>
      </c>
      <c r="M54" s="9">
        <f>IF(Table3[[#This Row],[Quantity]]&gt;0,-21.47*70*(Table3[[#This Row],[Price]]-Table3[[#This Row],[Mtm]])/100,21.47*70*(Table3[[#This Row],[Price]]-Table3[[#This Row],[Mtm]])/100)</f>
        <v>796.53699999999992</v>
      </c>
      <c r="N54">
        <f t="shared" si="25"/>
        <v>150500</v>
      </c>
      <c r="O54" s="14" t="str">
        <f t="shared" si="36"/>
        <v>Jan 26</v>
      </c>
      <c r="P54" s="8" t="str">
        <f t="shared" si="37"/>
        <v>Buy</v>
      </c>
      <c r="Q54">
        <f t="shared" si="38"/>
        <v>187600</v>
      </c>
      <c r="R54" t="str">
        <f>VLOOKUP(F54,Control!$B:$C,2,FALSE)</f>
        <v>Freight</v>
      </c>
      <c r="S54" t="str">
        <f>VLOOKUP(F54,Control!$B:$D,3,FALSE)</f>
        <v>Freight</v>
      </c>
      <c r="T54">
        <f t="shared" si="39"/>
        <v>2026</v>
      </c>
      <c r="U54" t="str">
        <f t="shared" si="40"/>
        <v>Buy</v>
      </c>
      <c r="V54" s="38" t="s">
        <v>96</v>
      </c>
      <c r="W54" t="e">
        <f>_xlfn.XLOOKUP(Table3[[#This Row],[Instrument]],Control!$B$2:$B$19,Control!$E$2:$E$19)</f>
        <v>#N/A</v>
      </c>
      <c r="X54" s="14">
        <f>Table3[[#This Row],[Month1]]</f>
        <v>46053</v>
      </c>
      <c r="Y54" s="350">
        <f>Table3[[#This Row],[Quantity]]</f>
        <v>700</v>
      </c>
      <c r="Z54" t="e">
        <f>_xlfn.XLOOKUP(Table3[[#This Row],[Instrument]],Control!$B$2:$B$19,Control!$F$2:$F$19)</f>
        <v>#N/A</v>
      </c>
      <c r="AA54" s="14">
        <f>Table3[[#This Row],[Month2]]</f>
        <v>46053</v>
      </c>
      <c r="AB54" s="350">
        <f t="shared" si="5"/>
        <v>-700</v>
      </c>
    </row>
    <row r="55" spans="1:28" ht="15" hidden="1" thickBot="1" x14ac:dyDescent="0.4">
      <c r="A55" t="s">
        <v>1724</v>
      </c>
      <c r="B55" t="str">
        <f>_xlfn.XLOOKUP(Table3[[#This Row],[Cargo Name]],Ledger[Cargo Name],Ledger[SAP Deal Number])</f>
        <v>ARA26HS00010</v>
      </c>
      <c r="C55">
        <v>0</v>
      </c>
      <c r="D55" s="29" t="s">
        <v>1599</v>
      </c>
      <c r="E55" s="327">
        <v>46014</v>
      </c>
      <c r="F55" s="94" t="s">
        <v>36</v>
      </c>
      <c r="G55" s="31" t="s">
        <v>128</v>
      </c>
      <c r="H55" s="257">
        <v>700</v>
      </c>
      <c r="I55" s="32">
        <v>46053</v>
      </c>
      <c r="J55" s="32">
        <v>46053</v>
      </c>
      <c r="K55" s="284">
        <v>215</v>
      </c>
      <c r="L55" s="354">
        <f>VLOOKUP(I55,[2]USG!$O$45:$S$100,MATCH(F55,[2]USG!$O$46:$S$46,0),FALSE)</f>
        <v>268</v>
      </c>
      <c r="M55" s="33">
        <f>IF(Table3[[#This Row],[Quantity]]&gt;0,-21.47*70*(Table3[[#This Row],[Price]]-Table3[[#This Row],[Mtm]])/100,21.47*70*(Table3[[#This Row],[Price]]-Table3[[#This Row],[Mtm]])/100)</f>
        <v>796.53699999999992</v>
      </c>
      <c r="N55" s="34">
        <f t="shared" ref="N55:N78" si="47">H55*K55</f>
        <v>150500</v>
      </c>
      <c r="O55" s="286" t="str">
        <f t="shared" si="36"/>
        <v>Jan 26</v>
      </c>
      <c r="P55" s="35" t="str">
        <f t="shared" si="37"/>
        <v>Buy</v>
      </c>
      <c r="Q55" s="34">
        <f t="shared" si="38"/>
        <v>187600</v>
      </c>
      <c r="R55" s="34" t="str">
        <f>VLOOKUP(F55,Control!$B:$C,2,FALSE)</f>
        <v>Freight</v>
      </c>
      <c r="S55" s="34" t="str">
        <f>VLOOKUP(F55,Control!$B:$D,3,FALSE)</f>
        <v>Freight</v>
      </c>
      <c r="T55" s="34">
        <f t="shared" si="39"/>
        <v>2026</v>
      </c>
      <c r="U55" s="34" t="str">
        <f t="shared" si="40"/>
        <v>Buy</v>
      </c>
      <c r="V55" s="36" t="s">
        <v>96</v>
      </c>
      <c r="W55" t="e">
        <f>_xlfn.XLOOKUP(Table3[[#This Row],[Instrument]],Control!$B$2:$B$19,Control!$E$2:$E$19)</f>
        <v>#N/A</v>
      </c>
      <c r="X55" s="14">
        <f>Table3[[#This Row],[Month1]]</f>
        <v>46053</v>
      </c>
      <c r="Y55" s="350">
        <f>Table3[[#This Row],[Quantity]]</f>
        <v>700</v>
      </c>
      <c r="Z55" t="e">
        <f>_xlfn.XLOOKUP(Table3[[#This Row],[Instrument]],Control!$B$2:$B$19,Control!$F$2:$F$19)</f>
        <v>#N/A</v>
      </c>
      <c r="AA55" s="14">
        <f>Table3[[#This Row],[Month2]]</f>
        <v>46053</v>
      </c>
      <c r="AB55" s="350">
        <f t="shared" si="5"/>
        <v>-700</v>
      </c>
    </row>
    <row r="56" spans="1:28" ht="15" hidden="1" thickBot="1" x14ac:dyDescent="0.4">
      <c r="A56" t="s">
        <v>1724</v>
      </c>
      <c r="B56" t="str">
        <f>_xlfn.XLOOKUP(Table3[[#This Row],[Cargo Name]],Ledger[Cargo Name],Ledger[SAP Deal Number])</f>
        <v>ARA26HS00010</v>
      </c>
      <c r="C56">
        <v>0</v>
      </c>
      <c r="D56" t="s">
        <v>1599</v>
      </c>
      <c r="E56" s="16">
        <v>45960</v>
      </c>
      <c r="F56" s="375" t="s">
        <v>39</v>
      </c>
      <c r="G56" s="4" t="s">
        <v>268</v>
      </c>
      <c r="H56" s="253">
        <v>700</v>
      </c>
      <c r="I56" s="172">
        <v>46053</v>
      </c>
      <c r="J56" s="172">
        <v>46053</v>
      </c>
      <c r="K56" s="219">
        <v>140</v>
      </c>
      <c r="L56" s="314">
        <f>VLOOKUP(I56,[2]USG!$O$45:$S$100,MATCH(F56,[2]USG!$O$46:$S$46,0),FALSE)</f>
        <v>175.25</v>
      </c>
      <c r="M56" s="9">
        <f>IF(Table3[[#This Row],[Quantity]]&gt;0,-7.14*86.7*(Table3[[#This Row],[Price]]-Table3[[#This Row],[Mtm]])/100,7.14*86.7*(Table3[[#This Row],[Price]]-Table3[[#This Row],[Mtm]])/100)</f>
        <v>218.21089500000002</v>
      </c>
      <c r="N56">
        <f t="shared" si="47"/>
        <v>98000</v>
      </c>
      <c r="O56" s="14" t="str">
        <f t="shared" si="36"/>
        <v>Jan 26</v>
      </c>
      <c r="P56" s="8" t="str">
        <f t="shared" si="37"/>
        <v>Buy</v>
      </c>
      <c r="Q56">
        <f t="shared" si="38"/>
        <v>122675</v>
      </c>
      <c r="R56" t="str">
        <f>VLOOKUP(F56,Control!$B:$C,2,FALSE)</f>
        <v>Freight</v>
      </c>
      <c r="S56" t="str">
        <f>VLOOKUP(F56,Control!$B:$D,3,FALSE)</f>
        <v>Freight</v>
      </c>
      <c r="T56">
        <f t="shared" si="39"/>
        <v>2026</v>
      </c>
      <c r="U56" t="str">
        <f t="shared" si="40"/>
        <v>Buy</v>
      </c>
      <c r="V56" t="s">
        <v>96</v>
      </c>
      <c r="W56" t="e">
        <f>_xlfn.XLOOKUP(Table3[[#This Row],[Instrument]],Control!$B$2:$B$19,Control!$E$2:$E$19)</f>
        <v>#N/A</v>
      </c>
      <c r="X56" s="14">
        <f>Table3[[#This Row],[Month1]]</f>
        <v>46053</v>
      </c>
      <c r="Y56" s="350">
        <f>Table3[[#This Row],[Quantity]]</f>
        <v>700</v>
      </c>
      <c r="Z56" t="e">
        <f>_xlfn.XLOOKUP(Table3[[#This Row],[Instrument]],Control!$B$2:$B$19,Control!$F$2:$F$19)</f>
        <v>#N/A</v>
      </c>
      <c r="AA56" s="14">
        <f>Table3[[#This Row],[Month2]]</f>
        <v>46053</v>
      </c>
      <c r="AB56" s="350">
        <f t="shared" si="5"/>
        <v>-700</v>
      </c>
    </row>
    <row r="57" spans="1:28" ht="15" hidden="1" thickBot="1" x14ac:dyDescent="0.4">
      <c r="A57" t="s">
        <v>1724</v>
      </c>
      <c r="B57" t="str">
        <f>_xlfn.XLOOKUP(Table3[[#This Row],[Cargo Name]],Ledger[Cargo Name],Ledger[SAP Deal Number])</f>
        <v>ARA26HS00010</v>
      </c>
      <c r="C57">
        <v>0</v>
      </c>
      <c r="D57" t="s">
        <v>1599</v>
      </c>
      <c r="E57" s="16">
        <v>45960</v>
      </c>
      <c r="F57" s="375" t="s">
        <v>39</v>
      </c>
      <c r="G57" s="4" t="s">
        <v>268</v>
      </c>
      <c r="H57" s="253">
        <v>700</v>
      </c>
      <c r="I57" s="172">
        <v>46053</v>
      </c>
      <c r="J57" s="172">
        <v>46053</v>
      </c>
      <c r="K57" s="219">
        <v>140</v>
      </c>
      <c r="L57" s="314">
        <f>VLOOKUP(I57,[2]USG!$O$45:$S$100,MATCH(F57,[2]USG!$O$46:$S$46,0),FALSE)</f>
        <v>175.25</v>
      </c>
      <c r="M57" s="9">
        <f>IF(Table3[[#This Row],[Quantity]]&gt;0,-7.14*86.7*(Table3[[#This Row],[Price]]-Table3[[#This Row],[Mtm]])/100,7.14*86.7*(Table3[[#This Row],[Price]]-Table3[[#This Row],[Mtm]])/100)</f>
        <v>218.21089500000002</v>
      </c>
      <c r="N57">
        <f t="shared" ref="N57" si="48">H57*K57</f>
        <v>98000</v>
      </c>
      <c r="O57" s="14" t="str">
        <f t="shared" ref="O57" si="49">IF(I57=J57,TEXT(I57,"MMM YY"),TEXT(I57,"MMM")&amp;"/"&amp;TEXT(J57,"MMM")&amp;" "&amp;RIGHT(T57,2))</f>
        <v>Jan 26</v>
      </c>
      <c r="P57" s="8" t="str">
        <f t="shared" ref="P57" si="50">IF(H57&lt;0,"Sell","Buy")</f>
        <v>Buy</v>
      </c>
      <c r="Q57">
        <f t="shared" ref="Q57" si="51">H57*L57</f>
        <v>122675</v>
      </c>
      <c r="R57" t="str">
        <f>VLOOKUP(F57,Control!$B:$C,2,FALSE)</f>
        <v>Freight</v>
      </c>
      <c r="S57" t="str">
        <f>VLOOKUP(F57,Control!$B:$D,3,FALSE)</f>
        <v>Freight</v>
      </c>
      <c r="T57">
        <f t="shared" ref="T57" si="52">YEAR(I57)</f>
        <v>2026</v>
      </c>
      <c r="U57" t="str">
        <f t="shared" ref="U57" si="53">IFERROR(IF(H57&gt;0,"Buy","Sell"),"")</f>
        <v>Buy</v>
      </c>
      <c r="V57" t="s">
        <v>96</v>
      </c>
      <c r="W57" t="e">
        <f>_xlfn.XLOOKUP(Table3[[#This Row],[Instrument]],Control!$B$2:$B$19,Control!$E$2:$E$19)</f>
        <v>#N/A</v>
      </c>
      <c r="X57" s="14">
        <f>Table3[[#This Row],[Month1]]</f>
        <v>46053</v>
      </c>
      <c r="Y57" s="350">
        <f>Table3[[#This Row],[Quantity]]</f>
        <v>700</v>
      </c>
      <c r="Z57" t="e">
        <f>_xlfn.XLOOKUP(Table3[[#This Row],[Instrument]],Control!$B$2:$B$19,Control!$F$2:$F$19)</f>
        <v>#N/A</v>
      </c>
      <c r="AA57" s="14">
        <f>Table3[[#This Row],[Month2]]</f>
        <v>46053</v>
      </c>
      <c r="AB57" s="350">
        <f t="shared" si="5"/>
        <v>-700</v>
      </c>
    </row>
    <row r="58" spans="1:28" ht="15" hidden="1" thickBot="1" x14ac:dyDescent="0.4">
      <c r="A58" t="s">
        <v>1724</v>
      </c>
      <c r="B58" t="str">
        <f>_xlfn.XLOOKUP(Table3[[#This Row],[Cargo Name]],Ledger[Cargo Name],Ledger[SAP Deal Number])</f>
        <v>ARA26HS00010</v>
      </c>
      <c r="C58">
        <v>0</v>
      </c>
      <c r="D58" t="s">
        <v>1599</v>
      </c>
      <c r="E58" s="16">
        <v>45994</v>
      </c>
      <c r="F58" s="375" t="s">
        <v>39</v>
      </c>
      <c r="G58" s="4" t="s">
        <v>128</v>
      </c>
      <c r="H58" s="253">
        <v>-1400</v>
      </c>
      <c r="I58" s="172">
        <v>46053</v>
      </c>
      <c r="J58" s="172">
        <v>46053</v>
      </c>
      <c r="K58" s="219">
        <v>14.23</v>
      </c>
      <c r="L58" s="314">
        <f>VLOOKUP(I58,[2]USG!$O$45:$S100,MATCH("Freight-TD7 $/MT",[2]USG!$O$46:$S$46,0),FALSE)</f>
        <v>18.296099999999999</v>
      </c>
      <c r="M58" s="9">
        <f>-(K58-L58)*-160</f>
        <v>-650.57599999999979</v>
      </c>
      <c r="N58">
        <f t="shared" si="47"/>
        <v>-19922</v>
      </c>
      <c r="O58" s="14" t="str">
        <f t="shared" si="36"/>
        <v>Jan 26</v>
      </c>
      <c r="P58" s="8" t="str">
        <f t="shared" si="37"/>
        <v>Sell</v>
      </c>
      <c r="Q58">
        <f t="shared" si="38"/>
        <v>-25614.539999999997</v>
      </c>
      <c r="R58" t="str">
        <f>VLOOKUP(F58,Control!$B:$C,2,FALSE)</f>
        <v>Freight</v>
      </c>
      <c r="S58" t="str">
        <f>VLOOKUP(F58,Control!$B:$D,3,FALSE)</f>
        <v>Freight</v>
      </c>
      <c r="T58">
        <f t="shared" si="39"/>
        <v>2026</v>
      </c>
      <c r="U58" t="str">
        <f t="shared" si="40"/>
        <v>Sell</v>
      </c>
      <c r="V58" t="s">
        <v>96</v>
      </c>
      <c r="W58" t="e">
        <f>_xlfn.XLOOKUP(Table3[[#This Row],[Instrument]],Control!$B$2:$B$19,Control!$E$2:$E$19)</f>
        <v>#N/A</v>
      </c>
      <c r="X58" s="14">
        <f>Table3[[#This Row],[Month1]]</f>
        <v>46053</v>
      </c>
      <c r="Y58" s="350">
        <f>Table3[[#This Row],[Quantity]]</f>
        <v>-1400</v>
      </c>
      <c r="Z58" t="e">
        <f>_xlfn.XLOOKUP(Table3[[#This Row],[Instrument]],Control!$B$2:$B$19,Control!$F$2:$F$19)</f>
        <v>#N/A</v>
      </c>
      <c r="AA58" s="14">
        <f>Table3[[#This Row],[Month2]]</f>
        <v>46053</v>
      </c>
      <c r="AB58" s="350">
        <f t="shared" si="5"/>
        <v>1400</v>
      </c>
    </row>
    <row r="59" spans="1:28" ht="15" hidden="1" thickBot="1" x14ac:dyDescent="0.4">
      <c r="A59" t="s">
        <v>1724</v>
      </c>
      <c r="B59" t="str">
        <f>_xlfn.XLOOKUP(Table3[[#This Row],[Cargo Name]],Ledger[Cargo Name],Ledger[SAP Deal Number])</f>
        <v>Unallocated</v>
      </c>
      <c r="C59">
        <v>0</v>
      </c>
      <c r="D59" t="s">
        <v>127</v>
      </c>
      <c r="E59" s="16">
        <v>45986</v>
      </c>
      <c r="F59" s="10" t="s">
        <v>15</v>
      </c>
      <c r="G59" s="4" t="s">
        <v>128</v>
      </c>
      <c r="H59" s="253">
        <v>-1075</v>
      </c>
      <c r="I59" s="173">
        <v>46053</v>
      </c>
      <c r="J59" s="173">
        <v>46053</v>
      </c>
      <c r="K59" s="212">
        <v>0.44</v>
      </c>
      <c r="L59" s="191">
        <f>VLOOKUP($I59,'PnL26'!$E$7:$F$59,2,FALSE)</f>
        <v>2.09</v>
      </c>
      <c r="M59" s="9">
        <f t="shared" ref="M59:M78" si="54">IFERROR((L59-K59)*H59,"")</f>
        <v>-1773.75</v>
      </c>
      <c r="N59">
        <f t="shared" si="47"/>
        <v>-473</v>
      </c>
      <c r="O59" s="14" t="str">
        <f t="shared" si="36"/>
        <v>Jan 26</v>
      </c>
      <c r="P59" s="8" t="str">
        <f t="shared" si="37"/>
        <v>Sell</v>
      </c>
      <c r="Q59">
        <f t="shared" si="38"/>
        <v>-2246.75</v>
      </c>
      <c r="R59" s="38" t="str">
        <f>VLOOKUP(F59,Control!$B:$C,2,FALSE)</f>
        <v>Swaps</v>
      </c>
      <c r="S59" s="38" t="str">
        <f>VLOOKUP(F59,Control!$B:$D,3,FALSE)</f>
        <v>Dated</v>
      </c>
      <c r="T59" s="240">
        <f t="shared" si="39"/>
        <v>2026</v>
      </c>
      <c r="U59" t="str">
        <f t="shared" si="40"/>
        <v>Sell</v>
      </c>
      <c r="V59" t="s">
        <v>96</v>
      </c>
      <c r="W59" t="e">
        <f>_xlfn.XLOOKUP(Table3[[#This Row],[Instrument]],Control!$B$2:$B$19,Control!$E$2:$E$19)</f>
        <v>#N/A</v>
      </c>
      <c r="X59" s="14">
        <f>Table3[[#This Row],[Month1]]</f>
        <v>46053</v>
      </c>
      <c r="Y59" s="350">
        <f>Table3[[#This Row],[Quantity]]</f>
        <v>-1075</v>
      </c>
      <c r="Z59" t="e">
        <f>_xlfn.XLOOKUP(Table3[[#This Row],[Instrument]],Control!$B$2:$B$19,Control!$F$2:$F$19)</f>
        <v>#N/A</v>
      </c>
      <c r="AA59" s="14">
        <f>Table3[[#This Row],[Month2]]</f>
        <v>46053</v>
      </c>
      <c r="AB59" s="350">
        <f t="shared" si="5"/>
        <v>1075</v>
      </c>
    </row>
    <row r="60" spans="1:28" ht="15" hidden="1" thickBot="1" x14ac:dyDescent="0.4">
      <c r="A60" t="s">
        <v>1724</v>
      </c>
      <c r="B60" t="str">
        <f>_xlfn.XLOOKUP(Table3[[#This Row],[Cargo Name]],Ledger[Cargo Name],Ledger[SAP Deal Number])</f>
        <v>ARA26HS00010</v>
      </c>
      <c r="C60">
        <v>0</v>
      </c>
      <c r="D60" t="s">
        <v>1599</v>
      </c>
      <c r="E60" s="16">
        <v>45987</v>
      </c>
      <c r="F60" s="10" t="s">
        <v>10</v>
      </c>
      <c r="G60" s="4" t="s">
        <v>268</v>
      </c>
      <c r="H60" s="253">
        <v>1400</v>
      </c>
      <c r="I60" s="172">
        <v>46053</v>
      </c>
      <c r="J60" s="172">
        <v>46053</v>
      </c>
      <c r="K60" s="212">
        <v>-4.4400000000000004</v>
      </c>
      <c r="L60" s="192">
        <f ca="1">IF(OR(S60="WTI Sprds",S60="Brent Sprds",S60="WTI-Brent",S60="DFL"),INDEX(INDIRECT("'" &amp; S60 &amp; "'!$A$6:$XFD$1048576"),MATCH('PnL26'!$P$1,INDIRECT("'" &amp; S60 &amp; "'!$A$6:$A$1048576"),0),MATCH(EOMONTH(I60,0),INDIRECT("'" &amp; S60 &amp; "'!$A$4:$XFD$4"),0)),INDEX(BBG!$A:$BA,MATCH('PnL26'!$P$1,BBG!$A:$A,0),MATCH($I60,BBG!$A$4:$BA$4,0))-INDEX(BBG!$A:$BA,MATCH('PnL26'!$P$1,BBG!$A:$A,0),MATCH($J60,BBG!$A$4:$BA$4,0)))</f>
        <v>-4.6500000000000004</v>
      </c>
      <c r="M60" s="9"/>
      <c r="N60">
        <f t="shared" si="47"/>
        <v>-6216.0000000000009</v>
      </c>
      <c r="O60" s="14" t="str">
        <f t="shared" si="36"/>
        <v>Jan 26</v>
      </c>
      <c r="P60" s="8" t="str">
        <f t="shared" si="37"/>
        <v>Buy</v>
      </c>
      <c r="Q60">
        <f t="shared" ca="1" si="38"/>
        <v>-6510.0000000000009</v>
      </c>
      <c r="R60" t="str">
        <f>VLOOKUP(F60,Control!$B:$C,2,FALSE)</f>
        <v>Swaps</v>
      </c>
      <c r="S60" t="str">
        <f>VLOOKUP(F60,Control!$B:$D,3,FALSE)</f>
        <v>WTI-Brent</v>
      </c>
      <c r="T60">
        <f t="shared" si="39"/>
        <v>2026</v>
      </c>
      <c r="U60" s="240" t="str">
        <f t="shared" si="40"/>
        <v>Buy</v>
      </c>
      <c r="V60" t="s">
        <v>96</v>
      </c>
      <c r="W60" t="str">
        <f>_xlfn.XLOOKUP(Table3[[#This Row],[Instrument]],Control!$B$2:$B$19,Control!$E$2:$E$19)</f>
        <v>WTI</v>
      </c>
      <c r="X60" s="14">
        <f>Table3[[#This Row],[Month1]]</f>
        <v>46053</v>
      </c>
      <c r="Y60" s="350">
        <f>Table3[[#This Row],[Quantity]]</f>
        <v>1400</v>
      </c>
      <c r="Z60" t="str">
        <f>_xlfn.XLOOKUP(Table3[[#This Row],[Instrument]],Control!$B$2:$B$19,Control!$F$2:$F$19)</f>
        <v>Brent</v>
      </c>
      <c r="AA60" s="14">
        <f>Table3[[#This Row],[Month2]]</f>
        <v>46053</v>
      </c>
      <c r="AB60" s="350">
        <f t="shared" si="5"/>
        <v>-1400</v>
      </c>
    </row>
    <row r="61" spans="1:28" ht="15" hidden="1" thickBot="1" x14ac:dyDescent="0.4">
      <c r="A61" t="s">
        <v>1724</v>
      </c>
      <c r="B61" t="str">
        <f>_xlfn.XLOOKUP(Table3[[#This Row],[Cargo Name]],Ledger[Cargo Name],Ledger[SAP Deal Number])</f>
        <v>Unallocated</v>
      </c>
      <c r="C61">
        <v>0</v>
      </c>
      <c r="D61" t="s">
        <v>127</v>
      </c>
      <c r="E61" s="174">
        <v>45987</v>
      </c>
      <c r="F61" s="10" t="s">
        <v>3</v>
      </c>
      <c r="G61" s="4" t="s">
        <v>128</v>
      </c>
      <c r="H61" s="253">
        <v>134</v>
      </c>
      <c r="I61" s="172">
        <v>46081</v>
      </c>
      <c r="J61" s="172">
        <v>46112</v>
      </c>
      <c r="K61" s="212">
        <v>0.16</v>
      </c>
      <c r="L61" s="192">
        <f ca="1">IF(OR(S61="WTI Sprds",S61="Brent Sprds",S61="WTI-Brent",S61="DFL"),INDEX(INDIRECT("'" &amp; S61 &amp; "'!$A$6:$XFD$1048576"),MATCH('PnL26'!$P$1,INDIRECT("'" &amp; S61 &amp; "'!$A$6:$A$1048576"),0),MATCH(EOMONTH(I61,0),INDIRECT("'" &amp; S61 &amp; "'!$A$4:$XFD$4"),0)),INDEX(BBG!$A:$BA,MATCH('PnL26'!$P$1,BBG!$A:$A,0),MATCH($I61,BBG!$A$4:$BA$4,0))-INDEX(BBG!$A:$BA,MATCH('PnL26'!$P$1,BBG!$A:$A,0),MATCH($J61,BBG!$A$4:$BA$4,0)))</f>
        <v>0.1</v>
      </c>
      <c r="M61" s="9">
        <f t="shared" ca="1" si="54"/>
        <v>-8.0399999999999991</v>
      </c>
      <c r="N61">
        <f t="shared" si="47"/>
        <v>21.44</v>
      </c>
      <c r="O61" s="14" t="str">
        <f t="shared" si="36"/>
        <v>Feb/Mar 26</v>
      </c>
      <c r="P61" s="8" t="str">
        <f t="shared" si="37"/>
        <v>Buy</v>
      </c>
      <c r="Q61">
        <f t="shared" ca="1" si="38"/>
        <v>13.4</v>
      </c>
      <c r="R61" s="38" t="str">
        <f>VLOOKUP(F61,Control!$B:$C,2,FALSE)</f>
        <v>Futures</v>
      </c>
      <c r="S61" s="38" t="str">
        <f>VLOOKUP(F61,Control!$B:$D,3,FALSE)</f>
        <v>WTI Sprds</v>
      </c>
      <c r="T61" s="240">
        <f t="shared" si="39"/>
        <v>2026</v>
      </c>
      <c r="U61" t="str">
        <f t="shared" si="40"/>
        <v>Buy</v>
      </c>
      <c r="V61" t="s">
        <v>96</v>
      </c>
      <c r="W61" t="str">
        <f>_xlfn.XLOOKUP(Table3[[#This Row],[Instrument]],Control!$B$2:$B$19,Control!$E$2:$E$19)</f>
        <v>WTI</v>
      </c>
      <c r="X61" s="14">
        <f>Table3[[#This Row],[Month1]]</f>
        <v>46081</v>
      </c>
      <c r="Y61" s="350">
        <f>Table3[[#This Row],[Quantity]]</f>
        <v>134</v>
      </c>
      <c r="Z61" t="str">
        <f>_xlfn.XLOOKUP(Table3[[#This Row],[Instrument]],Control!$B$2:$B$19,Control!$F$2:$F$19)</f>
        <v>WTI</v>
      </c>
      <c r="AA61" s="14">
        <f>Table3[[#This Row],[Month2]]</f>
        <v>46112</v>
      </c>
      <c r="AB61" s="350">
        <f t="shared" si="5"/>
        <v>-134</v>
      </c>
    </row>
    <row r="62" spans="1:28" ht="15" hidden="1" thickBot="1" x14ac:dyDescent="0.4">
      <c r="A62" t="s">
        <v>1724</v>
      </c>
      <c r="B62" t="str">
        <f>_xlfn.XLOOKUP(Table3[[#This Row],[Cargo Name]],Ledger[Cargo Name],Ledger[SAP Deal Number])</f>
        <v>Unallocated</v>
      </c>
      <c r="C62">
        <v>0</v>
      </c>
      <c r="D62" t="s">
        <v>127</v>
      </c>
      <c r="E62" s="174">
        <v>45989</v>
      </c>
      <c r="F62" s="10" t="s">
        <v>3</v>
      </c>
      <c r="G62" s="4" t="s">
        <v>128</v>
      </c>
      <c r="H62" s="253">
        <v>134</v>
      </c>
      <c r="I62" s="172">
        <v>46081</v>
      </c>
      <c r="J62" s="172">
        <v>46112</v>
      </c>
      <c r="K62" s="212">
        <v>0.2</v>
      </c>
      <c r="L62" s="192">
        <f ca="1">IF(OR(S62="WTI Sprds",S62="Brent Sprds",S62="WTI-Brent",S62="DFL"),INDEX(INDIRECT("'" &amp; S62 &amp; "'!$A$6:$XFD$1048576"),MATCH('PnL26'!$P$1,INDIRECT("'" &amp; S62 &amp; "'!$A$6:$A$1048576"),0),MATCH(EOMONTH(I62,0),INDIRECT("'" &amp; S62 &amp; "'!$A$4:$XFD$4"),0)),INDEX(BBG!$A:$BA,MATCH('PnL26'!$P$1,BBG!$A:$A,0),MATCH($I62,BBG!$A$4:$BA$4,0))-INDEX(BBG!$A:$BA,MATCH('PnL26'!$P$1,BBG!$A:$A,0),MATCH($J62,BBG!$A$4:$BA$4,0)))</f>
        <v>0.1</v>
      </c>
      <c r="M62" s="9">
        <f t="shared" ca="1" si="54"/>
        <v>-13.4</v>
      </c>
      <c r="N62">
        <f t="shared" si="47"/>
        <v>26.8</v>
      </c>
      <c r="O62" s="14" t="str">
        <f t="shared" si="36"/>
        <v>Feb/Mar 26</v>
      </c>
      <c r="P62" s="8" t="str">
        <f t="shared" si="37"/>
        <v>Buy</v>
      </c>
      <c r="Q62">
        <f t="shared" ca="1" si="38"/>
        <v>13.4</v>
      </c>
      <c r="R62" s="38" t="str">
        <f>VLOOKUP(F62,Control!$B:$C,2,FALSE)</f>
        <v>Futures</v>
      </c>
      <c r="S62" s="38" t="str">
        <f>VLOOKUP(F62,Control!$B:$D,3,FALSE)</f>
        <v>WTI Sprds</v>
      </c>
      <c r="T62" s="240">
        <f t="shared" si="39"/>
        <v>2026</v>
      </c>
      <c r="U62" t="str">
        <f t="shared" si="40"/>
        <v>Buy</v>
      </c>
      <c r="V62" t="s">
        <v>96</v>
      </c>
      <c r="W62" t="str">
        <f>_xlfn.XLOOKUP(Table3[[#This Row],[Instrument]],Control!$B$2:$B$19,Control!$E$2:$E$19)</f>
        <v>WTI</v>
      </c>
      <c r="X62" s="14">
        <f>Table3[[#This Row],[Month1]]</f>
        <v>46081</v>
      </c>
      <c r="Y62" s="350">
        <f>Table3[[#This Row],[Quantity]]</f>
        <v>134</v>
      </c>
      <c r="Z62" t="str">
        <f>_xlfn.XLOOKUP(Table3[[#This Row],[Instrument]],Control!$B$2:$B$19,Control!$F$2:$F$19)</f>
        <v>WTI</v>
      </c>
      <c r="AA62" s="14">
        <f>Table3[[#This Row],[Month2]]</f>
        <v>46112</v>
      </c>
      <c r="AB62" s="350">
        <f t="shared" si="5"/>
        <v>-134</v>
      </c>
    </row>
    <row r="63" spans="1:28" ht="15" hidden="1" thickBot="1" x14ac:dyDescent="0.4">
      <c r="A63" t="s">
        <v>1724</v>
      </c>
      <c r="B63" t="str">
        <f>_xlfn.XLOOKUP(Table3[[#This Row],[Cargo Name]],Ledger[Cargo Name],Ledger[SAP Deal Number])</f>
        <v>Unallocated</v>
      </c>
      <c r="C63">
        <v>0</v>
      </c>
      <c r="D63" t="s">
        <v>127</v>
      </c>
      <c r="E63" s="174">
        <v>45992</v>
      </c>
      <c r="F63" s="10" t="s">
        <v>3</v>
      </c>
      <c r="G63" s="4" t="s">
        <v>128</v>
      </c>
      <c r="H63" s="253">
        <v>134</v>
      </c>
      <c r="I63" s="172">
        <v>46081</v>
      </c>
      <c r="J63" s="172">
        <v>46112</v>
      </c>
      <c r="K63" s="212">
        <v>0.2</v>
      </c>
      <c r="L63" s="192">
        <f ca="1">IF(OR(S63="WTI Sprds",S63="Brent Sprds",S63="WTI-Brent",S63="DFL"),INDEX(INDIRECT("'" &amp; S63 &amp; "'!$A$6:$XFD$1048576"),MATCH('PnL26'!$P$1,INDIRECT("'" &amp; S63 &amp; "'!$A$6:$A$1048576"),0),MATCH(EOMONTH(I63,0),INDIRECT("'" &amp; S63 &amp; "'!$A$4:$XFD$4"),0)),INDEX(BBG!$A:$BA,MATCH('PnL26'!$P$1,BBG!$A:$A,0),MATCH($I63,BBG!$A$4:$BA$4,0))-INDEX(BBG!$A:$BA,MATCH('PnL26'!$P$1,BBG!$A:$A,0),MATCH($J63,BBG!$A$4:$BA$4,0)))</f>
        <v>0.1</v>
      </c>
      <c r="M63" s="9">
        <f t="shared" ca="1" si="54"/>
        <v>-13.4</v>
      </c>
      <c r="N63">
        <f t="shared" si="47"/>
        <v>26.8</v>
      </c>
      <c r="O63" s="14" t="str">
        <f t="shared" si="36"/>
        <v>Feb/Mar 26</v>
      </c>
      <c r="P63" s="8" t="str">
        <f t="shared" si="37"/>
        <v>Buy</v>
      </c>
      <c r="Q63">
        <f t="shared" ca="1" si="38"/>
        <v>13.4</v>
      </c>
      <c r="R63" s="38" t="str">
        <f>VLOOKUP(F63,Control!$B:$C,2,FALSE)</f>
        <v>Futures</v>
      </c>
      <c r="S63" s="38" t="str">
        <f>VLOOKUP(F63,Control!$B:$D,3,FALSE)</f>
        <v>WTI Sprds</v>
      </c>
      <c r="T63" s="240">
        <f t="shared" si="39"/>
        <v>2026</v>
      </c>
      <c r="U63" t="str">
        <f t="shared" si="40"/>
        <v>Buy</v>
      </c>
      <c r="V63" t="s">
        <v>96</v>
      </c>
      <c r="W63" t="str">
        <f>_xlfn.XLOOKUP(Table3[[#This Row],[Instrument]],Control!$B$2:$B$19,Control!$E$2:$E$19)</f>
        <v>WTI</v>
      </c>
      <c r="X63" s="14">
        <f>Table3[[#This Row],[Month1]]</f>
        <v>46081</v>
      </c>
      <c r="Y63" s="350">
        <f>Table3[[#This Row],[Quantity]]</f>
        <v>134</v>
      </c>
      <c r="Z63" t="str">
        <f>_xlfn.XLOOKUP(Table3[[#This Row],[Instrument]],Control!$B$2:$B$19,Control!$F$2:$F$19)</f>
        <v>WTI</v>
      </c>
      <c r="AA63" s="14">
        <f>Table3[[#This Row],[Month2]]</f>
        <v>46112</v>
      </c>
      <c r="AB63" s="350">
        <f t="shared" si="5"/>
        <v>-134</v>
      </c>
    </row>
    <row r="64" spans="1:28" ht="15" hidden="1" thickBot="1" x14ac:dyDescent="0.4">
      <c r="A64" t="s">
        <v>1724</v>
      </c>
      <c r="B64" t="str">
        <f>_xlfn.XLOOKUP(Table3[[#This Row],[Cargo Name]],Ledger[Cargo Name],Ledger[SAP Deal Number])</f>
        <v>Unallocated</v>
      </c>
      <c r="C64">
        <v>0</v>
      </c>
      <c r="D64" t="s">
        <v>127</v>
      </c>
      <c r="E64" s="174">
        <v>45992</v>
      </c>
      <c r="F64" s="10" t="s">
        <v>7</v>
      </c>
      <c r="G64" s="4" t="s">
        <v>128</v>
      </c>
      <c r="H64" s="253">
        <v>429</v>
      </c>
      <c r="I64" s="172">
        <v>46081</v>
      </c>
      <c r="J64" s="172">
        <v>46112</v>
      </c>
      <c r="K64" s="212">
        <v>0.38</v>
      </c>
      <c r="L64" s="192">
        <f ca="1">IF(OR(S64="WTI Sprds",S64="Brent Sprds",S64="WTI-Brent",S64="DFL"),INDEX(INDIRECT("'" &amp; S64 &amp; "'!$A$6:$XFD$1048576"),MATCH('PnL26'!$P$1,INDIRECT("'" &amp; S64 &amp; "'!$A$6:$A$1048576"),0),MATCH(EOMONTH(I64,0),INDIRECT("'" &amp; S64 &amp; "'!$A$4:$XFD$4"),0)),INDEX(BBG!$A:$BA,MATCH('PnL26'!$P$1,BBG!$A:$A,0),MATCH($I64,BBG!$A$4:$BA$4,0))-INDEX(BBG!$A:$BA,MATCH('PnL26'!$P$1,BBG!$A:$A,0),MATCH($J64,BBG!$A$4:$BA$4,0)))</f>
        <v>0.59</v>
      </c>
      <c r="M64" s="9">
        <f t="shared" ca="1" si="54"/>
        <v>90.089999999999989</v>
      </c>
      <c r="N64">
        <f t="shared" si="47"/>
        <v>163.02000000000001</v>
      </c>
      <c r="O64" s="14" t="str">
        <f t="shared" si="36"/>
        <v>Feb/Mar 26</v>
      </c>
      <c r="P64" s="8" t="str">
        <f t="shared" si="37"/>
        <v>Buy</v>
      </c>
      <c r="Q64">
        <f t="shared" ca="1" si="38"/>
        <v>253.10999999999999</v>
      </c>
      <c r="R64" s="38" t="str">
        <f>VLOOKUP(F64,Control!$B:$C,2,FALSE)</f>
        <v>Futures</v>
      </c>
      <c r="S64" s="38" t="str">
        <f>VLOOKUP(F64,Control!$B:$D,3,FALSE)</f>
        <v>Brent Sprds</v>
      </c>
      <c r="T64" s="240">
        <f t="shared" si="39"/>
        <v>2026</v>
      </c>
      <c r="U64" t="str">
        <f t="shared" si="40"/>
        <v>Buy</v>
      </c>
      <c r="V64" t="s">
        <v>96</v>
      </c>
      <c r="W64" t="str">
        <f>_xlfn.XLOOKUP(Table3[[#This Row],[Instrument]],Control!$B$2:$B$19,Control!$E$2:$E$19)</f>
        <v>Brent</v>
      </c>
      <c r="X64" s="14">
        <f>Table3[[#This Row],[Month1]]</f>
        <v>46081</v>
      </c>
      <c r="Y64" s="350">
        <f>Table3[[#This Row],[Quantity]]</f>
        <v>429</v>
      </c>
      <c r="Z64" t="str">
        <f>_xlfn.XLOOKUP(Table3[[#This Row],[Instrument]],Control!$B$2:$B$19,Control!$F$2:$F$19)</f>
        <v>Brent</v>
      </c>
      <c r="AA64" s="14">
        <f>Table3[[#This Row],[Month2]]</f>
        <v>46112</v>
      </c>
      <c r="AB64" s="350">
        <f t="shared" si="5"/>
        <v>-429</v>
      </c>
    </row>
    <row r="65" spans="1:28" ht="15" hidden="1" thickBot="1" x14ac:dyDescent="0.4">
      <c r="A65" t="s">
        <v>1724</v>
      </c>
      <c r="B65" t="str">
        <f>_xlfn.XLOOKUP(Table3[[#This Row],[Cargo Name]],Ledger[Cargo Name],Ledger[SAP Deal Number])</f>
        <v>Unallocated</v>
      </c>
      <c r="C65">
        <v>0</v>
      </c>
      <c r="D65" t="s">
        <v>127</v>
      </c>
      <c r="E65" s="16">
        <v>45993</v>
      </c>
      <c r="F65" s="10" t="s">
        <v>15</v>
      </c>
      <c r="G65" s="4" t="s">
        <v>128</v>
      </c>
      <c r="H65" s="253">
        <v>-400</v>
      </c>
      <c r="I65" s="173">
        <v>46053</v>
      </c>
      <c r="J65" s="173">
        <v>46053</v>
      </c>
      <c r="K65" s="212">
        <v>0.45</v>
      </c>
      <c r="L65" s="191">
        <f>VLOOKUP($I65,'PnL26'!$E$7:$F$59,2,FALSE)</f>
        <v>2.09</v>
      </c>
      <c r="M65" s="9">
        <f t="shared" si="54"/>
        <v>-656</v>
      </c>
      <c r="N65">
        <f t="shared" si="47"/>
        <v>-180</v>
      </c>
      <c r="O65" s="14" t="str">
        <f t="shared" ref="O65:O71" si="55">IF(I65=J65,TEXT(I65,"MMM YY"),TEXT(I65,"MMM")&amp;"/"&amp;TEXT(J65,"MMM")&amp;" "&amp;RIGHT(T65,2))</f>
        <v>Jan 26</v>
      </c>
      <c r="P65" s="8" t="str">
        <f t="shared" si="37"/>
        <v>Sell</v>
      </c>
      <c r="Q65">
        <f t="shared" si="38"/>
        <v>-836</v>
      </c>
      <c r="R65" s="38" t="str">
        <f>VLOOKUP(F65,Control!$B:$C,2,FALSE)</f>
        <v>Swaps</v>
      </c>
      <c r="S65" s="38" t="str">
        <f>VLOOKUP(F65,Control!$B:$D,3,FALSE)</f>
        <v>Dated</v>
      </c>
      <c r="T65" s="240">
        <f t="shared" ref="T65:T71" si="56">YEAR(I65)</f>
        <v>2026</v>
      </c>
      <c r="U65" t="str">
        <f t="shared" si="40"/>
        <v>Sell</v>
      </c>
      <c r="V65" t="s">
        <v>96</v>
      </c>
      <c r="W65" t="e">
        <f>_xlfn.XLOOKUP(Table3[[#This Row],[Instrument]],Control!$B$2:$B$19,Control!$E$2:$E$19)</f>
        <v>#N/A</v>
      </c>
      <c r="X65" s="14">
        <f>Table3[[#This Row],[Month1]]</f>
        <v>46053</v>
      </c>
      <c r="Y65" s="350">
        <f>Table3[[#This Row],[Quantity]]</f>
        <v>-400</v>
      </c>
      <c r="Z65" t="e">
        <f>_xlfn.XLOOKUP(Table3[[#This Row],[Instrument]],Control!$B$2:$B$19,Control!$F$2:$F$19)</f>
        <v>#N/A</v>
      </c>
      <c r="AA65" s="14">
        <f>Table3[[#This Row],[Month2]]</f>
        <v>46053</v>
      </c>
      <c r="AB65" s="350">
        <f t="shared" si="5"/>
        <v>400</v>
      </c>
    </row>
    <row r="66" spans="1:28" ht="15" hidden="1" thickBot="1" x14ac:dyDescent="0.4">
      <c r="A66" t="s">
        <v>1724</v>
      </c>
      <c r="B66" t="str">
        <f>_xlfn.XLOOKUP(Table3[[#This Row],[Cargo Name]],Ledger[Cargo Name],Ledger[SAP Deal Number])</f>
        <v>Unallocated</v>
      </c>
      <c r="C66">
        <v>0</v>
      </c>
      <c r="D66" t="s">
        <v>127</v>
      </c>
      <c r="E66" s="174">
        <v>45993</v>
      </c>
      <c r="F66" s="10" t="s">
        <v>7</v>
      </c>
      <c r="G66" s="4" t="s">
        <v>128</v>
      </c>
      <c r="H66" s="253">
        <v>200</v>
      </c>
      <c r="I66" s="172">
        <v>46081</v>
      </c>
      <c r="J66" s="172">
        <v>46112</v>
      </c>
      <c r="K66" s="212">
        <v>0.39</v>
      </c>
      <c r="L66" s="192">
        <f ca="1">IF(OR(S66="WTI Sprds",S66="Brent Sprds",S66="WTI-Brent",S66="DFL"),INDEX(INDIRECT("'" &amp; S66 &amp; "'!$A$6:$XFD$1048576"),MATCH('PnL26'!$P$1,INDIRECT("'" &amp; S66 &amp; "'!$A$6:$A$1048576"),0),MATCH(EOMONTH(I66,0),INDIRECT("'" &amp; S66 &amp; "'!$A$4:$XFD$4"),0)),INDEX(BBG!$A:$BA,MATCH('PnL26'!$P$1,BBG!$A:$A,0),MATCH($I66,BBG!$A$4:$BA$4,0))-INDEX(BBG!$A:$BA,MATCH('PnL26'!$P$1,BBG!$A:$A,0),MATCH($J66,BBG!$A$4:$BA$4,0)))</f>
        <v>0.59</v>
      </c>
      <c r="M66" s="9">
        <f t="shared" ca="1" si="54"/>
        <v>39.999999999999993</v>
      </c>
      <c r="N66">
        <f t="shared" si="47"/>
        <v>78</v>
      </c>
      <c r="O66" s="14" t="str">
        <f t="shared" si="55"/>
        <v>Feb/Mar 26</v>
      </c>
      <c r="P66" s="8" t="str">
        <f t="shared" si="37"/>
        <v>Buy</v>
      </c>
      <c r="Q66">
        <f t="shared" ca="1" si="38"/>
        <v>118</v>
      </c>
      <c r="R66" s="38" t="str">
        <f>VLOOKUP(F66,Control!$B:$C,2,FALSE)</f>
        <v>Futures</v>
      </c>
      <c r="S66" s="38" t="str">
        <f>VLOOKUP(F66,Control!$B:$D,3,FALSE)</f>
        <v>Brent Sprds</v>
      </c>
      <c r="T66" s="240">
        <f t="shared" si="56"/>
        <v>2026</v>
      </c>
      <c r="U66" t="str">
        <f t="shared" si="40"/>
        <v>Buy</v>
      </c>
      <c r="V66" t="s">
        <v>96</v>
      </c>
      <c r="W66" t="str">
        <f>_xlfn.XLOOKUP(Table3[[#This Row],[Instrument]],Control!$B$2:$B$19,Control!$E$2:$E$19)</f>
        <v>Brent</v>
      </c>
      <c r="X66" s="14">
        <f>Table3[[#This Row],[Month1]]</f>
        <v>46081</v>
      </c>
      <c r="Y66" s="350">
        <f>Table3[[#This Row],[Quantity]]</f>
        <v>200</v>
      </c>
      <c r="Z66" t="str">
        <f>_xlfn.XLOOKUP(Table3[[#This Row],[Instrument]],Control!$B$2:$B$19,Control!$F$2:$F$19)</f>
        <v>Brent</v>
      </c>
      <c r="AA66" s="14">
        <f>Table3[[#This Row],[Month2]]</f>
        <v>46112</v>
      </c>
      <c r="AB66" s="350">
        <f t="shared" si="5"/>
        <v>-200</v>
      </c>
    </row>
    <row r="67" spans="1:28" ht="15" hidden="1" thickBot="1" x14ac:dyDescent="0.4">
      <c r="A67" t="s">
        <v>1724</v>
      </c>
      <c r="B67" t="str">
        <f>_xlfn.XLOOKUP(Table3[[#This Row],[Cargo Name]],Ledger[Cargo Name],Ledger[SAP Deal Number])</f>
        <v>Unallocated</v>
      </c>
      <c r="C67">
        <v>0</v>
      </c>
      <c r="D67" t="s">
        <v>127</v>
      </c>
      <c r="E67" s="174">
        <v>45993</v>
      </c>
      <c r="F67" s="10" t="s">
        <v>7</v>
      </c>
      <c r="G67" s="4" t="s">
        <v>128</v>
      </c>
      <c r="H67" s="253">
        <v>200</v>
      </c>
      <c r="I67" s="172">
        <v>46081</v>
      </c>
      <c r="J67" s="172">
        <v>46112</v>
      </c>
      <c r="K67" s="212">
        <v>0.38</v>
      </c>
      <c r="L67" s="192">
        <f ca="1">IF(OR(S67="WTI Sprds",S67="Brent Sprds",S67="WTI-Brent",S67="DFL"),INDEX(INDIRECT("'" &amp; S67 &amp; "'!$A$6:$XFD$1048576"),MATCH('PnL26'!$P$1,INDIRECT("'" &amp; S67 &amp; "'!$A$6:$A$1048576"),0),MATCH(EOMONTH(I67,0),INDIRECT("'" &amp; S67 &amp; "'!$A$4:$XFD$4"),0)),INDEX(BBG!$A:$BA,MATCH('PnL26'!$P$1,BBG!$A:$A,0),MATCH($I67,BBG!$A$4:$BA$4,0))-INDEX(BBG!$A:$BA,MATCH('PnL26'!$P$1,BBG!$A:$A,0),MATCH($J67,BBG!$A$4:$BA$4,0)))</f>
        <v>0.59</v>
      </c>
      <c r="M67" s="9">
        <f t="shared" ca="1" si="54"/>
        <v>41.999999999999993</v>
      </c>
      <c r="N67">
        <f t="shared" si="47"/>
        <v>76</v>
      </c>
      <c r="O67" s="14" t="str">
        <f t="shared" si="55"/>
        <v>Feb/Mar 26</v>
      </c>
      <c r="P67" s="8" t="str">
        <f t="shared" si="37"/>
        <v>Buy</v>
      </c>
      <c r="Q67">
        <f t="shared" ca="1" si="38"/>
        <v>118</v>
      </c>
      <c r="R67" s="38" t="str">
        <f>VLOOKUP(F67,Control!$B:$C,2,FALSE)</f>
        <v>Futures</v>
      </c>
      <c r="S67" s="38" t="str">
        <f>VLOOKUP(F67,Control!$B:$D,3,FALSE)</f>
        <v>Brent Sprds</v>
      </c>
      <c r="T67" s="240">
        <f t="shared" si="56"/>
        <v>2026</v>
      </c>
      <c r="U67" t="str">
        <f t="shared" si="40"/>
        <v>Buy</v>
      </c>
      <c r="V67" t="s">
        <v>96</v>
      </c>
      <c r="W67" t="str">
        <f>_xlfn.XLOOKUP(Table3[[#This Row],[Instrument]],Control!$B$2:$B$19,Control!$E$2:$E$19)</f>
        <v>Brent</v>
      </c>
      <c r="X67" s="14">
        <f>Table3[[#This Row],[Month1]]</f>
        <v>46081</v>
      </c>
      <c r="Y67" s="350">
        <f>Table3[[#This Row],[Quantity]]</f>
        <v>200</v>
      </c>
      <c r="Z67" t="str">
        <f>_xlfn.XLOOKUP(Table3[[#This Row],[Instrument]],Control!$B$2:$B$19,Control!$F$2:$F$19)</f>
        <v>Brent</v>
      </c>
      <c r="AA67" s="14">
        <f>Table3[[#This Row],[Month2]]</f>
        <v>46112</v>
      </c>
      <c r="AB67" s="350">
        <f t="shared" ref="AB67:AB130" si="57">-Y67</f>
        <v>-200</v>
      </c>
    </row>
    <row r="68" spans="1:28" ht="15" hidden="1" thickBot="1" x14ac:dyDescent="0.4">
      <c r="A68" t="s">
        <v>1724</v>
      </c>
      <c r="B68" t="str">
        <f>_xlfn.XLOOKUP(Table3[[#This Row],[Cargo Name]],Ledger[Cargo Name],Ledger[SAP Deal Number])</f>
        <v>Unallocated</v>
      </c>
      <c r="C68">
        <v>0</v>
      </c>
      <c r="D68" t="s">
        <v>127</v>
      </c>
      <c r="E68" s="174">
        <v>45993</v>
      </c>
      <c r="F68" s="10" t="s">
        <v>7</v>
      </c>
      <c r="G68" s="4" t="s">
        <v>128</v>
      </c>
      <c r="H68" s="253">
        <v>200</v>
      </c>
      <c r="I68" s="172">
        <v>46081</v>
      </c>
      <c r="J68" s="172">
        <v>46112</v>
      </c>
      <c r="K68" s="212">
        <v>0.37</v>
      </c>
      <c r="L68" s="192">
        <f ca="1">IF(OR(S68="WTI Sprds",S68="Brent Sprds",S68="WTI-Brent",S68="DFL"),INDEX(INDIRECT("'" &amp; S68 &amp; "'!$A$6:$XFD$1048576"),MATCH('PnL26'!$P$1,INDIRECT("'" &amp; S68 &amp; "'!$A$6:$A$1048576"),0),MATCH(EOMONTH(I68,0),INDIRECT("'" &amp; S68 &amp; "'!$A$4:$XFD$4"),0)),INDEX(BBG!$A:$BA,MATCH('PnL26'!$P$1,BBG!$A:$A,0),MATCH($I68,BBG!$A$4:$BA$4,0))-INDEX(BBG!$A:$BA,MATCH('PnL26'!$P$1,BBG!$A:$A,0),MATCH($J68,BBG!$A$4:$BA$4,0)))</f>
        <v>0.59</v>
      </c>
      <c r="M68" s="9">
        <f t="shared" ca="1" si="54"/>
        <v>43.999999999999993</v>
      </c>
      <c r="N68">
        <f t="shared" si="47"/>
        <v>74</v>
      </c>
      <c r="O68" s="14" t="str">
        <f t="shared" si="55"/>
        <v>Feb/Mar 26</v>
      </c>
      <c r="P68" s="8" t="str">
        <f t="shared" si="37"/>
        <v>Buy</v>
      </c>
      <c r="Q68">
        <f t="shared" ca="1" si="38"/>
        <v>118</v>
      </c>
      <c r="R68" s="38" t="str">
        <f>VLOOKUP(F68,Control!$B:$C,2,FALSE)</f>
        <v>Futures</v>
      </c>
      <c r="S68" s="38" t="str">
        <f>VLOOKUP(F68,Control!$B:$D,3,FALSE)</f>
        <v>Brent Sprds</v>
      </c>
      <c r="T68" s="240">
        <f t="shared" si="56"/>
        <v>2026</v>
      </c>
      <c r="U68" t="str">
        <f t="shared" si="40"/>
        <v>Buy</v>
      </c>
      <c r="V68" t="s">
        <v>96</v>
      </c>
      <c r="W68" t="str">
        <f>_xlfn.XLOOKUP(Table3[[#This Row],[Instrument]],Control!$B$2:$B$19,Control!$E$2:$E$19)</f>
        <v>Brent</v>
      </c>
      <c r="X68" s="14">
        <f>Table3[[#This Row],[Month1]]</f>
        <v>46081</v>
      </c>
      <c r="Y68" s="350">
        <f>Table3[[#This Row],[Quantity]]</f>
        <v>200</v>
      </c>
      <c r="Z68" t="str">
        <f>_xlfn.XLOOKUP(Table3[[#This Row],[Instrument]],Control!$B$2:$B$19,Control!$F$2:$F$19)</f>
        <v>Brent</v>
      </c>
      <c r="AA68" s="14">
        <f>Table3[[#This Row],[Month2]]</f>
        <v>46112</v>
      </c>
      <c r="AB68" s="350">
        <f t="shared" si="57"/>
        <v>-200</v>
      </c>
    </row>
    <row r="69" spans="1:28" ht="15" hidden="1" thickBot="1" x14ac:dyDescent="0.4">
      <c r="A69" t="s">
        <v>1724</v>
      </c>
      <c r="B69" t="str">
        <f>_xlfn.XLOOKUP(Table3[[#This Row],[Cargo Name]],Ledger[Cargo Name],Ledger[SAP Deal Number])</f>
        <v>Unallocated</v>
      </c>
      <c r="C69">
        <v>0</v>
      </c>
      <c r="D69" t="s">
        <v>127</v>
      </c>
      <c r="E69" s="174">
        <v>45993</v>
      </c>
      <c r="F69" s="10" t="s">
        <v>7</v>
      </c>
      <c r="G69" s="4" t="s">
        <v>128</v>
      </c>
      <c r="H69" s="253">
        <v>200</v>
      </c>
      <c r="I69" s="172">
        <v>46081</v>
      </c>
      <c r="J69" s="172">
        <v>46112</v>
      </c>
      <c r="K69" s="212">
        <v>0.36</v>
      </c>
      <c r="L69" s="192">
        <f ca="1">IF(OR(S69="WTI Sprds",S69="Brent Sprds",S69="WTI-Brent",S69="DFL"),INDEX(INDIRECT("'" &amp; S69 &amp; "'!$A$6:$XFD$1048576"),MATCH('PnL26'!$P$1,INDIRECT("'" &amp; S69 &amp; "'!$A$6:$A$1048576"),0),MATCH(EOMONTH(I69,0),INDIRECT("'" &amp; S69 &amp; "'!$A$4:$XFD$4"),0)),INDEX(BBG!$A:$BA,MATCH('PnL26'!$P$1,BBG!$A:$A,0),MATCH($I69,BBG!$A$4:$BA$4,0))-INDEX(BBG!$A:$BA,MATCH('PnL26'!$P$1,BBG!$A:$A,0),MATCH($J69,BBG!$A$4:$BA$4,0)))</f>
        <v>0.59</v>
      </c>
      <c r="M69" s="9">
        <f t="shared" ca="1" si="54"/>
        <v>46</v>
      </c>
      <c r="N69">
        <f t="shared" si="47"/>
        <v>72</v>
      </c>
      <c r="O69" s="14" t="str">
        <f t="shared" si="55"/>
        <v>Feb/Mar 26</v>
      </c>
      <c r="P69" s="8" t="str">
        <f t="shared" si="37"/>
        <v>Buy</v>
      </c>
      <c r="Q69">
        <f t="shared" ca="1" si="38"/>
        <v>118</v>
      </c>
      <c r="R69" s="38" t="str">
        <f>VLOOKUP(F69,Control!$B:$C,2,FALSE)</f>
        <v>Futures</v>
      </c>
      <c r="S69" s="38" t="str">
        <f>VLOOKUP(F69,Control!$B:$D,3,FALSE)</f>
        <v>Brent Sprds</v>
      </c>
      <c r="T69" s="240">
        <f t="shared" si="56"/>
        <v>2026</v>
      </c>
      <c r="U69" t="str">
        <f t="shared" si="40"/>
        <v>Buy</v>
      </c>
      <c r="V69" t="s">
        <v>96</v>
      </c>
      <c r="W69" t="str">
        <f>_xlfn.XLOOKUP(Table3[[#This Row],[Instrument]],Control!$B$2:$B$19,Control!$E$2:$E$19)</f>
        <v>Brent</v>
      </c>
      <c r="X69" s="14">
        <f>Table3[[#This Row],[Month1]]</f>
        <v>46081</v>
      </c>
      <c r="Y69" s="350">
        <f>Table3[[#This Row],[Quantity]]</f>
        <v>200</v>
      </c>
      <c r="Z69" t="str">
        <f>_xlfn.XLOOKUP(Table3[[#This Row],[Instrument]],Control!$B$2:$B$19,Control!$F$2:$F$19)</f>
        <v>Brent</v>
      </c>
      <c r="AA69" s="14">
        <f>Table3[[#This Row],[Month2]]</f>
        <v>46112</v>
      </c>
      <c r="AB69" s="350">
        <f t="shared" si="57"/>
        <v>-200</v>
      </c>
    </row>
    <row r="70" spans="1:28" ht="15" hidden="1" thickBot="1" x14ac:dyDescent="0.4">
      <c r="A70" t="s">
        <v>1724</v>
      </c>
      <c r="B70" t="str">
        <f>_xlfn.XLOOKUP(Table3[[#This Row],[Cargo Name]],Ledger[Cargo Name],Ledger[SAP Deal Number])</f>
        <v>Unallocated</v>
      </c>
      <c r="C70">
        <v>0</v>
      </c>
      <c r="D70" t="s">
        <v>127</v>
      </c>
      <c r="E70" s="174">
        <v>45993</v>
      </c>
      <c r="F70" s="10" t="s">
        <v>3</v>
      </c>
      <c r="G70" s="4" t="s">
        <v>128</v>
      </c>
      <c r="H70" s="253">
        <v>134</v>
      </c>
      <c r="I70" s="172">
        <v>46081</v>
      </c>
      <c r="J70" s="172">
        <v>46112</v>
      </c>
      <c r="K70" s="321">
        <v>0.2</v>
      </c>
      <c r="L70" s="192">
        <f ca="1">IF(OR(S70="WTI Sprds",S70="Brent Sprds",S70="WTI-Brent",S70="DFL"),INDEX(INDIRECT("'" &amp; S70 &amp; "'!$A$6:$XFD$1048576"),MATCH('PnL26'!$P$1,INDIRECT("'" &amp; S70 &amp; "'!$A$6:$A$1048576"),0),MATCH(EOMONTH(I70,0),INDIRECT("'" &amp; S70 &amp; "'!$A$4:$XFD$4"),0)),INDEX(BBG!$A:$BA,MATCH('PnL26'!$P$1,BBG!$A:$A,0),MATCH($I70,BBG!$A$4:$BA$4,0))-INDEX(BBG!$A:$BA,MATCH('PnL26'!$P$1,BBG!$A:$A,0),MATCH($J70,BBG!$A$4:$BA$4,0)))</f>
        <v>0.1</v>
      </c>
      <c r="M70" s="9">
        <f t="shared" ca="1" si="54"/>
        <v>-13.4</v>
      </c>
      <c r="N70">
        <f t="shared" si="47"/>
        <v>26.8</v>
      </c>
      <c r="O70" s="14" t="str">
        <f t="shared" si="55"/>
        <v>Feb/Mar 26</v>
      </c>
      <c r="P70" s="8" t="str">
        <f t="shared" si="37"/>
        <v>Buy</v>
      </c>
      <c r="Q70">
        <f t="shared" ca="1" si="38"/>
        <v>13.4</v>
      </c>
      <c r="R70" s="38" t="str">
        <f>VLOOKUP(F70,Control!$B:$C,2,FALSE)</f>
        <v>Futures</v>
      </c>
      <c r="S70" s="38" t="str">
        <f>VLOOKUP(F70,Control!$B:$D,3,FALSE)</f>
        <v>WTI Sprds</v>
      </c>
      <c r="T70" s="240">
        <f t="shared" si="56"/>
        <v>2026</v>
      </c>
      <c r="U70" t="str">
        <f t="shared" si="40"/>
        <v>Buy</v>
      </c>
      <c r="V70" t="s">
        <v>96</v>
      </c>
      <c r="W70" t="str">
        <f>_xlfn.XLOOKUP(Table3[[#This Row],[Instrument]],Control!$B$2:$B$19,Control!$E$2:$E$19)</f>
        <v>WTI</v>
      </c>
      <c r="X70" s="14">
        <f>Table3[[#This Row],[Month1]]</f>
        <v>46081</v>
      </c>
      <c r="Y70" s="350">
        <f>Table3[[#This Row],[Quantity]]</f>
        <v>134</v>
      </c>
      <c r="Z70" t="str">
        <f>_xlfn.XLOOKUP(Table3[[#This Row],[Instrument]],Control!$B$2:$B$19,Control!$F$2:$F$19)</f>
        <v>WTI</v>
      </c>
      <c r="AA70" s="14">
        <f>Table3[[#This Row],[Month2]]</f>
        <v>46112</v>
      </c>
      <c r="AB70" s="350">
        <f t="shared" si="57"/>
        <v>-134</v>
      </c>
    </row>
    <row r="71" spans="1:28" ht="15" hidden="1" thickBot="1" x14ac:dyDescent="0.4">
      <c r="A71" t="s">
        <v>1724</v>
      </c>
      <c r="B71" t="str">
        <f>_xlfn.XLOOKUP(Table3[[#This Row],[Cargo Name]],Ledger[Cargo Name],Ledger[SAP Deal Number])</f>
        <v>BPO26HS00002</v>
      </c>
      <c r="C71">
        <v>0</v>
      </c>
      <c r="D71" t="s">
        <v>1625</v>
      </c>
      <c r="E71" s="327">
        <v>46000</v>
      </c>
      <c r="F71" s="30" t="s">
        <v>3</v>
      </c>
      <c r="G71" s="31" t="s">
        <v>268</v>
      </c>
      <c r="H71" s="257">
        <v>-233</v>
      </c>
      <c r="I71" s="32">
        <v>46081</v>
      </c>
      <c r="J71" s="32">
        <v>46112</v>
      </c>
      <c r="K71" s="208">
        <v>0.12</v>
      </c>
      <c r="L71" s="328">
        <f ca="1">IF(OR(S71="WTI Sprds",S71="Brent Sprds",S71="WTI-Brent",S71="DFL"),INDEX(INDIRECT("'" &amp; S71 &amp; "'!$A$6:$XFD$1048576"),MATCH('PnL26'!$P$1,INDIRECT("'" &amp; S71 &amp; "'!$A$6:$A$1048576"),0),MATCH(EOMONTH(I71,0),INDIRECT("'" &amp; S71 &amp; "'!$A$4:$XFD$4"),0)),INDEX(BBG!$A:$BA,MATCH('PnL26'!$P$1,BBG!$A:$A,0),MATCH($I71,BBG!$A$4:$BA$4,0))-INDEX(BBG!$A:$BA,MATCH('PnL26'!$P$1,BBG!$A:$A,0),MATCH($J71,BBG!$A$4:$BA$4,0)))</f>
        <v>0.1</v>
      </c>
      <c r="M71" s="33">
        <f t="shared" ca="1" si="54"/>
        <v>4.6599999999999975</v>
      </c>
      <c r="N71" s="34">
        <f t="shared" si="47"/>
        <v>-27.959999999999997</v>
      </c>
      <c r="O71" s="286" t="str">
        <f t="shared" si="55"/>
        <v>Feb/Mar 26</v>
      </c>
      <c r="P71" s="35" t="str">
        <f t="shared" si="37"/>
        <v>Sell</v>
      </c>
      <c r="Q71" s="34">
        <f t="shared" ca="1" si="38"/>
        <v>-23.3</v>
      </c>
      <c r="R71" s="36" t="str">
        <f>VLOOKUP(F71,Control!$B:$C,2,FALSE)</f>
        <v>Futures</v>
      </c>
      <c r="S71" s="36" t="str">
        <f>VLOOKUP(F71,Control!$B:$D,3,FALSE)</f>
        <v>WTI Sprds</v>
      </c>
      <c r="T71" s="329">
        <f t="shared" si="56"/>
        <v>2026</v>
      </c>
      <c r="U71" s="36" t="str">
        <f t="shared" si="40"/>
        <v>Sell</v>
      </c>
      <c r="V71" t="s">
        <v>96</v>
      </c>
      <c r="W71" t="str">
        <f>_xlfn.XLOOKUP(Table3[[#This Row],[Instrument]],Control!$B$2:$B$19,Control!$E$2:$E$19)</f>
        <v>WTI</v>
      </c>
      <c r="X71" s="14">
        <f>Table3[[#This Row],[Month1]]</f>
        <v>46081</v>
      </c>
      <c r="Y71" s="350">
        <f>Table3[[#This Row],[Quantity]]</f>
        <v>-233</v>
      </c>
      <c r="Z71" t="str">
        <f>_xlfn.XLOOKUP(Table3[[#This Row],[Instrument]],Control!$B$2:$B$19,Control!$F$2:$F$19)</f>
        <v>WTI</v>
      </c>
      <c r="AA71" s="14">
        <f>Table3[[#This Row],[Month2]]</f>
        <v>46112</v>
      </c>
      <c r="AB71" s="350">
        <f t="shared" si="57"/>
        <v>233</v>
      </c>
    </row>
    <row r="72" spans="1:28" ht="15" hidden="1" thickBot="1" x14ac:dyDescent="0.4">
      <c r="A72" t="s">
        <v>1724</v>
      </c>
      <c r="B72" t="str">
        <f>_xlfn.XLOOKUP(Table3[[#This Row],[Cargo Name]],Ledger[Cargo Name],Ledger[SAP Deal Number])</f>
        <v>Unallocated</v>
      </c>
      <c r="C72">
        <v>0</v>
      </c>
      <c r="D72" s="37" t="s">
        <v>127</v>
      </c>
      <c r="E72" s="16">
        <v>46000</v>
      </c>
      <c r="F72" s="10" t="s">
        <v>22</v>
      </c>
      <c r="G72" s="4" t="s">
        <v>128</v>
      </c>
      <c r="H72" s="253">
        <v>-200</v>
      </c>
      <c r="I72" t="s">
        <v>1629</v>
      </c>
      <c r="J72" s="172">
        <v>46053</v>
      </c>
      <c r="K72" s="15">
        <v>0.52</v>
      </c>
      <c r="L72" s="191">
        <f>VLOOKUP($I72,'PnL26'!B:C,2,FALSE)</f>
        <v>1.54</v>
      </c>
      <c r="M72" s="9">
        <f t="shared" si="54"/>
        <v>-204</v>
      </c>
      <c r="N72">
        <f t="shared" si="47"/>
        <v>-104</v>
      </c>
      <c r="O72" s="14" t="str">
        <f>O65</f>
        <v>Jan 26</v>
      </c>
      <c r="P72" s="8" t="str">
        <f t="shared" si="37"/>
        <v>Sell</v>
      </c>
      <c r="Q72">
        <f t="shared" si="38"/>
        <v>-308</v>
      </c>
      <c r="R72" s="38" t="str">
        <f>VLOOKUP(F72,Control!$B:$C,2,FALSE)</f>
        <v>Swaps</v>
      </c>
      <c r="S72" s="38" t="str">
        <f>VLOOKUP(F72,Control!$B:$D,3,FALSE)</f>
        <v>Dated</v>
      </c>
      <c r="T72">
        <v>2025</v>
      </c>
      <c r="U72" t="str">
        <f t="shared" si="40"/>
        <v>Sell</v>
      </c>
      <c r="V72" t="s">
        <v>96</v>
      </c>
      <c r="W72" t="e">
        <f>_xlfn.XLOOKUP(Table3[[#This Row],[Instrument]],Control!$B$2:$B$19,Control!$E$2:$E$19)</f>
        <v>#N/A</v>
      </c>
      <c r="X72" s="14" t="str">
        <f>Table3[[#This Row],[Month1]]</f>
        <v>Jan05-Jan09</v>
      </c>
      <c r="Y72" s="350">
        <f>Table3[[#This Row],[Quantity]]</f>
        <v>-200</v>
      </c>
      <c r="Z72" t="e">
        <f>_xlfn.XLOOKUP(Table3[[#This Row],[Instrument]],Control!$B$2:$B$19,Control!$F$2:$F$19)</f>
        <v>#N/A</v>
      </c>
      <c r="AA72" s="14">
        <f>Table3[[#This Row],[Month2]]</f>
        <v>46053</v>
      </c>
      <c r="AB72" s="350">
        <f t="shared" si="57"/>
        <v>200</v>
      </c>
    </row>
    <row r="73" spans="1:28" ht="15" hidden="1" thickBot="1" x14ac:dyDescent="0.4">
      <c r="A73" t="s">
        <v>1724</v>
      </c>
      <c r="B73" t="str">
        <f>_xlfn.XLOOKUP(Table3[[#This Row],[Cargo Name]],Ledger[Cargo Name],Ledger[SAP Deal Number])</f>
        <v>Unallocated</v>
      </c>
      <c r="C73">
        <v>0</v>
      </c>
      <c r="D73" s="37" t="s">
        <v>127</v>
      </c>
      <c r="E73" s="16">
        <v>46000</v>
      </c>
      <c r="F73" s="10" t="s">
        <v>22</v>
      </c>
      <c r="G73" s="4" t="s">
        <v>128</v>
      </c>
      <c r="H73" s="253">
        <v>200</v>
      </c>
      <c r="I73" t="s">
        <v>1631</v>
      </c>
      <c r="J73" s="172">
        <v>46053</v>
      </c>
      <c r="K73" s="15">
        <v>0.24868999999999999</v>
      </c>
      <c r="L73" s="191">
        <f>VLOOKUP($I73,'PnL26'!B:C,2,FALSE)</f>
        <v>2.5</v>
      </c>
      <c r="M73" s="9">
        <f t="shared" si="54"/>
        <v>450.26200000000006</v>
      </c>
      <c r="N73">
        <f t="shared" si="47"/>
        <v>49.738</v>
      </c>
      <c r="O73" s="14" t="str">
        <f>O72</f>
        <v>Jan 26</v>
      </c>
      <c r="P73" s="8" t="str">
        <f t="shared" si="37"/>
        <v>Buy</v>
      </c>
      <c r="Q73">
        <f t="shared" si="38"/>
        <v>500</v>
      </c>
      <c r="R73" s="38" t="str">
        <f>VLOOKUP(F73,Control!$B:$C,2,FALSE)</f>
        <v>Swaps</v>
      </c>
      <c r="S73" s="38" t="str">
        <f>VLOOKUP(F73,Control!$B:$D,3,FALSE)</f>
        <v>Dated</v>
      </c>
      <c r="T73">
        <v>2025</v>
      </c>
      <c r="U73" t="str">
        <f t="shared" si="40"/>
        <v>Buy</v>
      </c>
      <c r="V73" t="s">
        <v>96</v>
      </c>
      <c r="W73" t="e">
        <f>_xlfn.XLOOKUP(Table3[[#This Row],[Instrument]],Control!$B$2:$B$19,Control!$E$2:$E$19)</f>
        <v>#N/A</v>
      </c>
      <c r="X73" s="14" t="str">
        <f>Table3[[#This Row],[Month1]]</f>
        <v>Jan19-Jan23</v>
      </c>
      <c r="Y73" s="350">
        <f>Table3[[#This Row],[Quantity]]</f>
        <v>200</v>
      </c>
      <c r="Z73" t="e">
        <f>_xlfn.XLOOKUP(Table3[[#This Row],[Instrument]],Control!$B$2:$B$19,Control!$F$2:$F$19)</f>
        <v>#N/A</v>
      </c>
      <c r="AA73" s="14">
        <f>Table3[[#This Row],[Month2]]</f>
        <v>46053</v>
      </c>
      <c r="AB73" s="350">
        <f t="shared" si="57"/>
        <v>-200</v>
      </c>
    </row>
    <row r="74" spans="1:28" ht="15" hidden="1" thickBot="1" x14ac:dyDescent="0.4">
      <c r="A74" t="s">
        <v>1724</v>
      </c>
      <c r="B74" t="str">
        <f>_xlfn.XLOOKUP(Table3[[#This Row],[Cargo Name]],Ledger[Cargo Name],Ledger[SAP Deal Number])</f>
        <v>ARA26HS00013</v>
      </c>
      <c r="C74">
        <v>0</v>
      </c>
      <c r="D74" s="395" t="s">
        <v>1635</v>
      </c>
      <c r="E74" s="228">
        <v>46002</v>
      </c>
      <c r="F74" s="229" t="s">
        <v>19</v>
      </c>
      <c r="G74" s="230" t="s">
        <v>268</v>
      </c>
      <c r="H74" s="276">
        <v>2073</v>
      </c>
      <c r="I74" s="231">
        <v>46053</v>
      </c>
      <c r="J74" s="231">
        <v>46053</v>
      </c>
      <c r="K74" s="232">
        <f>'Cargo Econs 2025'!D434</f>
        <v>4.8628991799324641</v>
      </c>
      <c r="L74" s="233">
        <f>'Cargo Econs 2025'!D435</f>
        <v>5.25</v>
      </c>
      <c r="M74" s="234">
        <f t="shared" si="54"/>
        <v>802.46000000000186</v>
      </c>
      <c r="N74" s="227">
        <f t="shared" si="47"/>
        <v>10080.789999999997</v>
      </c>
      <c r="O74" s="235" t="str">
        <f t="shared" ref="O74:O113" si="58">IF(I74=J74,TEXT(I74,"MMM YY"),TEXT(I74,"MMM")&amp;"/"&amp;TEXT(J74,"MMM")&amp;" "&amp;RIGHT(T74,2))</f>
        <v>Jan 26</v>
      </c>
      <c r="P74" s="236" t="str">
        <f t="shared" si="37"/>
        <v>Buy</v>
      </c>
      <c r="Q74" s="227">
        <f t="shared" si="38"/>
        <v>10883.25</v>
      </c>
      <c r="R74" s="237" t="str">
        <f>VLOOKUP(F74,Control!$B:$C,2,FALSE)</f>
        <v>Physical</v>
      </c>
      <c r="S74" s="237" t="str">
        <f>VLOOKUP(F74,Control!$B:$D,3,FALSE)</f>
        <v>Physical</v>
      </c>
      <c r="T74" s="238">
        <f t="shared" ref="T74:T113" si="59">YEAR(I74)</f>
        <v>2026</v>
      </c>
      <c r="U74" t="str">
        <f t="shared" si="40"/>
        <v>Buy</v>
      </c>
      <c r="V74" t="s">
        <v>96</v>
      </c>
      <c r="W74">
        <f>_xlfn.XLOOKUP(Table3[[#This Row],[Instrument]],Control!$B$2:$B$19,Control!$E$2:$E$19)</f>
        <v>0</v>
      </c>
      <c r="X74" s="14">
        <f>Table3[[#This Row],[Month1]]</f>
        <v>46053</v>
      </c>
      <c r="Y74" s="350">
        <f>Table3[[#This Row],[Quantity]]</f>
        <v>2073</v>
      </c>
      <c r="Z74">
        <f>_xlfn.XLOOKUP(Table3[[#This Row],[Instrument]],Control!$B$2:$B$19,Control!$F$2:$F$19)</f>
        <v>0</v>
      </c>
      <c r="AA74" s="14">
        <f>Table3[[#This Row],[Month2]]</f>
        <v>46053</v>
      </c>
      <c r="AB74" s="350">
        <f t="shared" si="57"/>
        <v>-2073</v>
      </c>
    </row>
    <row r="75" spans="1:28" ht="15" hidden="1" thickBot="1" x14ac:dyDescent="0.4">
      <c r="A75" t="s">
        <v>1724</v>
      </c>
      <c r="B75" t="str">
        <f>_xlfn.XLOOKUP(Table3[[#This Row],[Cargo Name]],Ledger[Cargo Name],Ledger[SAP Deal Number])</f>
        <v>ARA26HS00013</v>
      </c>
      <c r="C75">
        <v>0</v>
      </c>
      <c r="D75" t="s">
        <v>1635</v>
      </c>
      <c r="E75" s="174">
        <v>46002</v>
      </c>
      <c r="F75" s="10" t="s">
        <v>3</v>
      </c>
      <c r="G75" s="4" t="s">
        <v>268</v>
      </c>
      <c r="H75" s="253">
        <v>-2073</v>
      </c>
      <c r="I75" s="172">
        <v>46081</v>
      </c>
      <c r="J75" s="172">
        <v>46112</v>
      </c>
      <c r="K75" s="212">
        <v>0.1</v>
      </c>
      <c r="L75" s="192">
        <f ca="1">IF(OR(S75="WTI Sprds",S75="Brent Sprds",S75="WTI-Brent",S75="DFL"),INDEX(INDIRECT("'" &amp; S75 &amp; "'!$A$6:$XFD$1048576"),MATCH('PnL26'!$P$1,INDIRECT("'" &amp; S75 &amp; "'!$A$6:$A$1048576"),0),MATCH(EOMONTH(I75,0),INDIRECT("'" &amp; S75 &amp; "'!$A$4:$XFD$4"),0)),INDEX(BBG!$A:$BA,MATCH('PnL26'!$P$1,BBG!$A:$A,0),MATCH($I75,BBG!$A$4:$BA$4,0))-INDEX(BBG!$A:$BA,MATCH('PnL26'!$P$1,BBG!$A:$A,0),MATCH($J75,BBG!$A$4:$BA$4,0)))</f>
        <v>0.1</v>
      </c>
      <c r="M75" s="9">
        <f t="shared" ca="1" si="54"/>
        <v>0</v>
      </c>
      <c r="N75">
        <f t="shared" si="47"/>
        <v>-207.3</v>
      </c>
      <c r="O75" s="14" t="str">
        <f t="shared" si="58"/>
        <v>Feb/Mar 26</v>
      </c>
      <c r="P75" s="8" t="str">
        <f t="shared" si="37"/>
        <v>Sell</v>
      </c>
      <c r="Q75">
        <f t="shared" ca="1" si="38"/>
        <v>-207.3</v>
      </c>
      <c r="R75" s="38" t="str">
        <f>VLOOKUP(F75,Control!$B:$C,2,FALSE)</f>
        <v>Futures</v>
      </c>
      <c r="S75" s="38" t="str">
        <f>VLOOKUP(F75,Control!$B:$D,3,FALSE)</f>
        <v>WTI Sprds</v>
      </c>
      <c r="T75" s="240">
        <f t="shared" si="59"/>
        <v>2026</v>
      </c>
      <c r="U75" t="str">
        <f t="shared" si="40"/>
        <v>Sell</v>
      </c>
      <c r="V75" t="s">
        <v>96</v>
      </c>
      <c r="W75" t="str">
        <f>_xlfn.XLOOKUP(Table3[[#This Row],[Instrument]],Control!$B$2:$B$19,Control!$E$2:$E$19)</f>
        <v>WTI</v>
      </c>
      <c r="X75" s="14">
        <f>Table3[[#This Row],[Month1]]</f>
        <v>46081</v>
      </c>
      <c r="Y75" s="350">
        <f>Table3[[#This Row],[Quantity]]</f>
        <v>-2073</v>
      </c>
      <c r="Z75" t="str">
        <f>_xlfn.XLOOKUP(Table3[[#This Row],[Instrument]],Control!$B$2:$B$19,Control!$F$2:$F$19)</f>
        <v>WTI</v>
      </c>
      <c r="AA75" s="14">
        <f>Table3[[#This Row],[Month2]]</f>
        <v>46112</v>
      </c>
      <c r="AB75" s="350">
        <f t="shared" si="57"/>
        <v>2073</v>
      </c>
    </row>
    <row r="76" spans="1:28" ht="15" hidden="1" thickBot="1" x14ac:dyDescent="0.4">
      <c r="A76" t="s">
        <v>1724</v>
      </c>
      <c r="B76" t="str">
        <f>_xlfn.XLOOKUP(Table3[[#This Row],[Cargo Name]],Ledger[Cargo Name],Ledger[SAP Deal Number])</f>
        <v>ARA26HS00013</v>
      </c>
      <c r="C76">
        <v>0</v>
      </c>
      <c r="D76" t="s">
        <v>1635</v>
      </c>
      <c r="E76" s="174">
        <v>46002</v>
      </c>
      <c r="F76" s="10" t="s">
        <v>10</v>
      </c>
      <c r="G76" s="4" t="s">
        <v>268</v>
      </c>
      <c r="H76" s="253">
        <v>-2073</v>
      </c>
      <c r="I76" s="172">
        <v>46112</v>
      </c>
      <c r="J76" s="172">
        <v>46112</v>
      </c>
      <c r="K76" s="212">
        <v>-3.75</v>
      </c>
      <c r="L76" s="192">
        <f ca="1">IF(OR(S76="WTI Sprds",S76="Brent Sprds",S76="WTI-Brent",S76="DFL"),INDEX(INDIRECT("'" &amp; S76 &amp; "'!$A$6:$XFD$1048576"),MATCH('PnL26'!$P$1,INDIRECT("'" &amp; S76 &amp; "'!$A$6:$A$1048576"),0),MATCH(EOMONTH(I76,0),INDIRECT("'" &amp; S76 &amp; "'!$A$4:$XFD$4"),0)),INDEX(BBG!$A:$BA,MATCH('PnL26'!$P$1,BBG!$A:$A,0),MATCH($I76,BBG!$A$4:$BA$4,0))-INDEX(BBG!$A:$BA,MATCH('PnL26'!$P$1,BBG!$A:$A,0),MATCH($J76,BBG!$A$4:$BA$4,0)))</f>
        <v>-5.48</v>
      </c>
      <c r="M76" s="9">
        <f t="shared" ca="1" si="54"/>
        <v>3586.2900000000009</v>
      </c>
      <c r="N76">
        <f t="shared" si="47"/>
        <v>7773.75</v>
      </c>
      <c r="O76" s="14" t="str">
        <f t="shared" si="58"/>
        <v>Mar 26</v>
      </c>
      <c r="P76" s="8" t="str">
        <f t="shared" si="37"/>
        <v>Sell</v>
      </c>
      <c r="Q76">
        <f t="shared" ca="1" si="38"/>
        <v>11360.04</v>
      </c>
      <c r="R76" s="38" t="str">
        <f>VLOOKUP(F76,Control!$B:$C,2,FALSE)</f>
        <v>Swaps</v>
      </c>
      <c r="S76" s="38" t="str">
        <f>VLOOKUP(F76,Control!$B:$D,3,FALSE)</f>
        <v>WTI-Brent</v>
      </c>
      <c r="T76" s="240">
        <f t="shared" si="59"/>
        <v>2026</v>
      </c>
      <c r="U76" t="str">
        <f t="shared" si="40"/>
        <v>Sell</v>
      </c>
      <c r="V76" t="s">
        <v>96</v>
      </c>
      <c r="W76" t="str">
        <f>_xlfn.XLOOKUP(Table3[[#This Row],[Instrument]],Control!$B$2:$B$19,Control!$E$2:$E$19)</f>
        <v>WTI</v>
      </c>
      <c r="X76" s="14">
        <f>Table3[[#This Row],[Month1]]</f>
        <v>46112</v>
      </c>
      <c r="Y76" s="350">
        <f>Table3[[#This Row],[Quantity]]</f>
        <v>-2073</v>
      </c>
      <c r="Z76" t="str">
        <f>_xlfn.XLOOKUP(Table3[[#This Row],[Instrument]],Control!$B$2:$B$19,Control!$F$2:$F$19)</f>
        <v>Brent</v>
      </c>
      <c r="AA76" s="14">
        <f>Table3[[#This Row],[Month2]]</f>
        <v>46112</v>
      </c>
      <c r="AB76" s="350">
        <f t="shared" si="57"/>
        <v>2073</v>
      </c>
    </row>
    <row r="77" spans="1:28" ht="15" hidden="1" thickBot="1" x14ac:dyDescent="0.4">
      <c r="A77" t="s">
        <v>1724</v>
      </c>
      <c r="B77" t="str">
        <f>_xlfn.XLOOKUP(Table3[[#This Row],[Cargo Name]],Ledger[Cargo Name],Ledger[SAP Deal Number])</f>
        <v>ARA26HS00013</v>
      </c>
      <c r="C77">
        <v>0</v>
      </c>
      <c r="D77" t="s">
        <v>1635</v>
      </c>
      <c r="E77" s="174">
        <v>46002</v>
      </c>
      <c r="F77" s="10" t="s">
        <v>7</v>
      </c>
      <c r="G77" s="4" t="s">
        <v>268</v>
      </c>
      <c r="H77" s="253">
        <v>-1980</v>
      </c>
      <c r="I77" s="172">
        <v>46112</v>
      </c>
      <c r="J77" s="172">
        <v>46142</v>
      </c>
      <c r="K77" s="218">
        <v>0.16</v>
      </c>
      <c r="L77" s="192">
        <f ca="1">IF(OR(S77="WTI Sprds",S77="Brent Sprds",S77="WTI-Brent",S77="DFL"),INDEX(INDIRECT("'" &amp; S77 &amp; "'!$A$6:$XFD$1048576"),MATCH('PnL26'!$P$1,INDIRECT("'" &amp; S77 &amp; "'!$A$6:$A$1048576"),0),MATCH(EOMONTH(I77,0),INDIRECT("'" &amp; S77 &amp; "'!$A$4:$XFD$4"),0)),INDEX(BBG!$A:$BA,MATCH('PnL26'!$P$1,BBG!$A:$A,0),MATCH($I77,BBG!$A$4:$BA$4,0))-INDEX(BBG!$A:$BA,MATCH('PnL26'!$P$1,BBG!$A:$A,0),MATCH($J77,BBG!$A$4:$BA$4,0)))</f>
        <v>1.37</v>
      </c>
      <c r="M77" s="9">
        <f t="shared" ca="1" si="54"/>
        <v>-2395.8000000000002</v>
      </c>
      <c r="N77">
        <f t="shared" si="47"/>
        <v>-316.8</v>
      </c>
      <c r="O77" s="14" t="str">
        <f t="shared" si="58"/>
        <v>Mar/Apr 26</v>
      </c>
      <c r="P77" s="8" t="str">
        <f t="shared" si="37"/>
        <v>Sell</v>
      </c>
      <c r="Q77">
        <f t="shared" ca="1" si="38"/>
        <v>-2712.6000000000004</v>
      </c>
      <c r="R77" s="38" t="str">
        <f>VLOOKUP(F77,Control!$B:$C,2,FALSE)</f>
        <v>Futures</v>
      </c>
      <c r="S77" s="38" t="str">
        <f>VLOOKUP(F77,Control!$B:$D,3,FALSE)</f>
        <v>Brent Sprds</v>
      </c>
      <c r="T77">
        <f t="shared" si="59"/>
        <v>2026</v>
      </c>
      <c r="U77" t="str">
        <f t="shared" si="40"/>
        <v>Sell</v>
      </c>
      <c r="V77" t="s">
        <v>96</v>
      </c>
      <c r="W77" t="str">
        <f>_xlfn.XLOOKUP(Table3[[#This Row],[Instrument]],Control!$B$2:$B$19,Control!$E$2:$E$19)</f>
        <v>Brent</v>
      </c>
      <c r="X77" s="14">
        <f>Table3[[#This Row],[Month1]]</f>
        <v>46112</v>
      </c>
      <c r="Y77" s="350">
        <f>Table3[[#This Row],[Quantity]]</f>
        <v>-1980</v>
      </c>
      <c r="Z77" t="str">
        <f>_xlfn.XLOOKUP(Table3[[#This Row],[Instrument]],Control!$B$2:$B$19,Control!$F$2:$F$19)</f>
        <v>Brent</v>
      </c>
      <c r="AA77" s="14">
        <f>Table3[[#This Row],[Month2]]</f>
        <v>46142</v>
      </c>
      <c r="AB77" s="350">
        <f t="shared" si="57"/>
        <v>1980</v>
      </c>
    </row>
    <row r="78" spans="1:28" ht="15" hidden="1" thickBot="1" x14ac:dyDescent="0.4">
      <c r="A78" t="s">
        <v>1724</v>
      </c>
      <c r="B78" t="str">
        <f>_xlfn.XLOOKUP(Table3[[#This Row],[Cargo Name]],Ledger[Cargo Name],Ledger[SAP Deal Number])</f>
        <v>ARA26HS00013</v>
      </c>
      <c r="C78">
        <v>0</v>
      </c>
      <c r="D78" t="s">
        <v>1635</v>
      </c>
      <c r="E78" s="174">
        <v>46002</v>
      </c>
      <c r="F78" s="10" t="s">
        <v>7</v>
      </c>
      <c r="G78" s="4" t="s">
        <v>268</v>
      </c>
      <c r="H78" s="253">
        <v>-93</v>
      </c>
      <c r="I78" s="172">
        <v>46142</v>
      </c>
      <c r="J78" s="172">
        <v>46173</v>
      </c>
      <c r="K78" s="218">
        <v>0.05</v>
      </c>
      <c r="L78" s="192">
        <f ca="1">IF(OR(S78="WTI Sprds",S78="Brent Sprds",S78="WTI-Brent",S78="DFL"),INDEX(INDIRECT("'" &amp; S78 &amp; "'!$A$6:$XFD$1048576"),MATCH('PnL26'!$P$1,INDIRECT("'" &amp; S78 &amp; "'!$A$6:$A$1048576"),0),MATCH(EOMONTH(I78,0),INDIRECT("'" &amp; S78 &amp; "'!$A$4:$XFD$4"),0)),INDEX(BBG!$A:$BA,MATCH('PnL26'!$P$1,BBG!$A:$A,0),MATCH($I78,BBG!$A$4:$BA$4,0))-INDEX(BBG!$A:$BA,MATCH('PnL26'!$P$1,BBG!$A:$A,0),MATCH($J78,BBG!$A$4:$BA$4,0)))</f>
        <v>-0.39</v>
      </c>
      <c r="M78" s="9">
        <f t="shared" ca="1" si="54"/>
        <v>40.92</v>
      </c>
      <c r="N78">
        <f t="shared" si="47"/>
        <v>-4.6500000000000004</v>
      </c>
      <c r="O78" s="14" t="str">
        <f t="shared" si="58"/>
        <v>Apr/May 26</v>
      </c>
      <c r="P78" s="8" t="str">
        <f t="shared" si="37"/>
        <v>Sell</v>
      </c>
      <c r="Q78">
        <f t="shared" ca="1" si="38"/>
        <v>36.270000000000003</v>
      </c>
      <c r="R78" s="38" t="str">
        <f>VLOOKUP(F78,Control!$B:$C,2,FALSE)</f>
        <v>Futures</v>
      </c>
      <c r="S78" s="38" t="str">
        <f>VLOOKUP(F78,Control!$B:$D,3,FALSE)</f>
        <v>Brent Sprds</v>
      </c>
      <c r="T78">
        <f t="shared" si="59"/>
        <v>2026</v>
      </c>
      <c r="U78" t="str">
        <f t="shared" si="40"/>
        <v>Sell</v>
      </c>
      <c r="V78" t="s">
        <v>96</v>
      </c>
      <c r="W78" t="str">
        <f>_xlfn.XLOOKUP(Table3[[#This Row],[Instrument]],Control!$B$2:$B$19,Control!$E$2:$E$19)</f>
        <v>Brent</v>
      </c>
      <c r="X78" s="14">
        <f>Table3[[#This Row],[Month1]]</f>
        <v>46142</v>
      </c>
      <c r="Y78" s="350">
        <f>Table3[[#This Row],[Quantity]]</f>
        <v>-93</v>
      </c>
      <c r="Z78" t="str">
        <f>_xlfn.XLOOKUP(Table3[[#This Row],[Instrument]],Control!$B$2:$B$19,Control!$F$2:$F$19)</f>
        <v>Brent</v>
      </c>
      <c r="AA78" s="14">
        <f>Table3[[#This Row],[Month2]]</f>
        <v>46173</v>
      </c>
      <c r="AB78" s="350">
        <f t="shared" si="57"/>
        <v>93</v>
      </c>
    </row>
    <row r="79" spans="1:28" ht="15" hidden="1" thickBot="1" x14ac:dyDescent="0.4">
      <c r="A79" t="s">
        <v>1724</v>
      </c>
      <c r="B79" t="str">
        <f>_xlfn.XLOOKUP(Table3[[#This Row],[Cargo Name]],Ledger[Cargo Name],Ledger[SAP Deal Number])</f>
        <v>ARA26HS00013</v>
      </c>
      <c r="C79">
        <v>0</v>
      </c>
      <c r="D79" s="160" t="s">
        <v>1635</v>
      </c>
      <c r="E79" s="300">
        <v>46002</v>
      </c>
      <c r="F79" s="242" t="s">
        <v>28</v>
      </c>
      <c r="G79" s="243" t="s">
        <v>268</v>
      </c>
      <c r="H79" s="277">
        <v>-2000</v>
      </c>
      <c r="I79" s="244">
        <v>46053</v>
      </c>
      <c r="J79" s="244">
        <v>46053</v>
      </c>
      <c r="K79" s="245">
        <v>13750</v>
      </c>
      <c r="L79" s="246">
        <f>K79</f>
        <v>13750</v>
      </c>
      <c r="M79" s="247">
        <f>L79-K79</f>
        <v>0</v>
      </c>
      <c r="N79" s="252">
        <f>L79-K79</f>
        <v>0</v>
      </c>
      <c r="O79" s="248" t="str">
        <f t="shared" si="58"/>
        <v>Jan 26</v>
      </c>
      <c r="P79" s="249" t="str">
        <f t="shared" si="37"/>
        <v>Sell</v>
      </c>
      <c r="Q79" s="160">
        <f t="shared" si="38"/>
        <v>-27500000</v>
      </c>
      <c r="R79" s="250" t="str">
        <f>VLOOKUP(F79,Control!$B:$C,2,FALSE)</f>
        <v>Freight</v>
      </c>
      <c r="S79" s="250" t="str">
        <f>VLOOKUP(F79,Control!$B:$D,3,FALSE)</f>
        <v>Freight</v>
      </c>
      <c r="T79" s="251">
        <f t="shared" si="59"/>
        <v>2026</v>
      </c>
      <c r="U79" t="str">
        <f t="shared" si="40"/>
        <v>Sell</v>
      </c>
      <c r="V79" t="s">
        <v>96</v>
      </c>
      <c r="W79" t="e">
        <f>_xlfn.XLOOKUP(Table3[[#This Row],[Instrument]],Control!$B$2:$B$19,Control!$E$2:$E$19)</f>
        <v>#N/A</v>
      </c>
      <c r="X79" s="14">
        <f>Table3[[#This Row],[Month1]]</f>
        <v>46053</v>
      </c>
      <c r="Y79" s="350">
        <f>Table3[[#This Row],[Quantity]]</f>
        <v>-2000</v>
      </c>
      <c r="Z79" t="e">
        <f>_xlfn.XLOOKUP(Table3[[#This Row],[Instrument]],Control!$B$2:$B$19,Control!$F$2:$F$19)</f>
        <v>#N/A</v>
      </c>
      <c r="AA79" s="14">
        <f>Table3[[#This Row],[Month2]]</f>
        <v>46053</v>
      </c>
      <c r="AB79" s="350">
        <f t="shared" si="57"/>
        <v>2000</v>
      </c>
    </row>
    <row r="80" spans="1:28" ht="15" hidden="1" thickBot="1" x14ac:dyDescent="0.4">
      <c r="A80" t="s">
        <v>1724</v>
      </c>
      <c r="B80" t="str">
        <f>_xlfn.XLOOKUP(Table3[[#This Row],[Cargo Name]],Ledger[Cargo Name],Ledger[SAP Deal Number])</f>
        <v>ARA26HS00013</v>
      </c>
      <c r="C80">
        <v>0</v>
      </c>
      <c r="D80" s="160" t="s">
        <v>1635</v>
      </c>
      <c r="E80" s="300">
        <v>46002</v>
      </c>
      <c r="F80" s="242" t="s">
        <v>28</v>
      </c>
      <c r="G80" s="243" t="s">
        <v>128</v>
      </c>
      <c r="H80" s="277">
        <v>2000</v>
      </c>
      <c r="I80" s="244">
        <v>46053</v>
      </c>
      <c r="J80" s="244">
        <v>46053</v>
      </c>
      <c r="K80" s="245">
        <v>13300</v>
      </c>
      <c r="L80" s="246">
        <f>L79</f>
        <v>13750</v>
      </c>
      <c r="M80" s="247">
        <f>L80-K80</f>
        <v>450</v>
      </c>
      <c r="N80" s="252">
        <f>K79-K80</f>
        <v>450</v>
      </c>
      <c r="O80" s="248" t="str">
        <f t="shared" si="58"/>
        <v>Jan 26</v>
      </c>
      <c r="P80" s="249" t="str">
        <f t="shared" si="37"/>
        <v>Buy</v>
      </c>
      <c r="Q80" s="160">
        <f t="shared" si="38"/>
        <v>27500000</v>
      </c>
      <c r="R80" s="250" t="str">
        <f>VLOOKUP(F80,Control!$B:$C,2,FALSE)</f>
        <v>Freight</v>
      </c>
      <c r="S80" s="250" t="str">
        <f>VLOOKUP(F80,Control!$B:$D,3,FALSE)</f>
        <v>Freight</v>
      </c>
      <c r="T80" s="251">
        <f t="shared" si="59"/>
        <v>2026</v>
      </c>
      <c r="U80" t="str">
        <f t="shared" si="40"/>
        <v>Buy</v>
      </c>
      <c r="V80" t="s">
        <v>96</v>
      </c>
      <c r="W80" t="e">
        <f>_xlfn.XLOOKUP(Table3[[#This Row],[Instrument]],Control!$B$2:$B$19,Control!$E$2:$E$19)</f>
        <v>#N/A</v>
      </c>
      <c r="X80" s="14">
        <f>Table3[[#This Row],[Month1]]</f>
        <v>46053</v>
      </c>
      <c r="Y80" s="350">
        <f>Table3[[#This Row],[Quantity]]</f>
        <v>2000</v>
      </c>
      <c r="Z80" t="e">
        <f>_xlfn.XLOOKUP(Table3[[#This Row],[Instrument]],Control!$B$2:$B$19,Control!$F$2:$F$19)</f>
        <v>#N/A</v>
      </c>
      <c r="AA80" s="14">
        <f>Table3[[#This Row],[Month2]]</f>
        <v>46053</v>
      </c>
      <c r="AB80" s="350">
        <f t="shared" si="57"/>
        <v>-2000</v>
      </c>
    </row>
    <row r="81" spans="1:28" ht="15" hidden="1" thickBot="1" x14ac:dyDescent="0.4">
      <c r="A81" t="s">
        <v>1724</v>
      </c>
      <c r="B81" t="str">
        <f>_xlfn.XLOOKUP(Table3[[#This Row],[Cargo Name]],Ledger[Cargo Name],Ledger[SAP Deal Number])</f>
        <v>ARA26HS00013</v>
      </c>
      <c r="C81">
        <v>0</v>
      </c>
      <c r="D81" t="s">
        <v>1635</v>
      </c>
      <c r="E81" s="174">
        <v>46002</v>
      </c>
      <c r="F81" s="10" t="s">
        <v>3</v>
      </c>
      <c r="G81" s="4" t="s">
        <v>128</v>
      </c>
      <c r="H81" s="253">
        <v>1024</v>
      </c>
      <c r="I81" s="172">
        <v>46081</v>
      </c>
      <c r="J81" s="172">
        <v>46112</v>
      </c>
      <c r="K81" s="212">
        <v>0.1</v>
      </c>
      <c r="L81" s="192">
        <f ca="1">IF(OR(S81="WTI Sprds",S81="Brent Sprds",S81="WTI-Brent",S81="DFL"),INDEX(INDIRECT("'" &amp; S81 &amp; "'!$A$6:$XFD$1048576"),MATCH('PnL26'!$P$1,INDIRECT("'" &amp; S81 &amp; "'!$A$6:$A$1048576"),0),MATCH(EOMONTH(I81,0),INDIRECT("'" &amp; S81 &amp; "'!$A$4:$XFD$4"),0)),INDEX(BBG!$A:$BA,MATCH('PnL26'!$P$1,BBG!$A:$A,0),MATCH($I81,BBG!$A$4:$BA$4,0))-INDEX(BBG!$A:$BA,MATCH('PnL26'!$P$1,BBG!$A:$A,0),MATCH($J81,BBG!$A$4:$BA$4,0)))</f>
        <v>0.1</v>
      </c>
      <c r="M81" s="9">
        <f t="shared" ref="M81:M95" ca="1" si="60">IFERROR((L81-K81)*H81,"")</f>
        <v>0</v>
      </c>
      <c r="N81">
        <f t="shared" ref="N81:N127" si="61">H81*K81</f>
        <v>102.4</v>
      </c>
      <c r="O81" s="14" t="str">
        <f t="shared" si="58"/>
        <v>Feb/Mar 26</v>
      </c>
      <c r="P81" s="8" t="str">
        <f t="shared" si="37"/>
        <v>Buy</v>
      </c>
      <c r="Q81">
        <f t="shared" ca="1" si="38"/>
        <v>102.4</v>
      </c>
      <c r="R81" s="38" t="str">
        <f>VLOOKUP(F81,Control!$B:$C,2,FALSE)</f>
        <v>Futures</v>
      </c>
      <c r="S81" s="38" t="str">
        <f>VLOOKUP(F81,Control!$B:$D,3,FALSE)</f>
        <v>WTI Sprds</v>
      </c>
      <c r="T81" s="240">
        <f t="shared" si="59"/>
        <v>2026</v>
      </c>
      <c r="U81" t="str">
        <f t="shared" si="40"/>
        <v>Buy</v>
      </c>
      <c r="V81" t="s">
        <v>96</v>
      </c>
      <c r="W81" t="str">
        <f>_xlfn.XLOOKUP(Table3[[#This Row],[Instrument]],Control!$B$2:$B$19,Control!$E$2:$E$19)</f>
        <v>WTI</v>
      </c>
      <c r="X81" s="14">
        <f>Table3[[#This Row],[Month1]]</f>
        <v>46081</v>
      </c>
      <c r="Y81" s="350">
        <f>Table3[[#This Row],[Quantity]]</f>
        <v>1024</v>
      </c>
      <c r="Z81" t="str">
        <f>_xlfn.XLOOKUP(Table3[[#This Row],[Instrument]],Control!$B$2:$B$19,Control!$F$2:$F$19)</f>
        <v>WTI</v>
      </c>
      <c r="AA81" s="14">
        <f>Table3[[#This Row],[Month2]]</f>
        <v>46112</v>
      </c>
      <c r="AB81" s="350">
        <f t="shared" si="57"/>
        <v>-1024</v>
      </c>
    </row>
    <row r="82" spans="1:28" ht="15" hidden="1" thickBot="1" x14ac:dyDescent="0.4">
      <c r="A82" t="s">
        <v>1724</v>
      </c>
      <c r="B82" t="str">
        <f>_xlfn.XLOOKUP(Table3[[#This Row],[Cargo Name]],Ledger[Cargo Name],Ledger[SAP Deal Number])</f>
        <v>ARA26HS00013</v>
      </c>
      <c r="C82">
        <v>0</v>
      </c>
      <c r="D82" t="s">
        <v>1635</v>
      </c>
      <c r="E82" s="174">
        <v>46002</v>
      </c>
      <c r="F82" s="10" t="s">
        <v>10</v>
      </c>
      <c r="G82" s="4" t="s">
        <v>128</v>
      </c>
      <c r="H82" s="253">
        <v>1024</v>
      </c>
      <c r="I82" s="172">
        <v>46112</v>
      </c>
      <c r="J82" s="172">
        <v>46112</v>
      </c>
      <c r="K82" s="212">
        <v>-3.72</v>
      </c>
      <c r="L82" s="192">
        <f ca="1">IF(OR(S82="WTI Sprds",S82="Brent Sprds",S82="WTI-Brent",S82="DFL"),INDEX(INDIRECT("'" &amp; S82 &amp; "'!$A$6:$XFD$1048576"),MATCH('PnL26'!$P$1,INDIRECT("'" &amp; S82 &amp; "'!$A$6:$A$1048576"),0),MATCH(EOMONTH(I82,0),INDIRECT("'" &amp; S82 &amp; "'!$A$4:$XFD$4"),0)),INDEX(BBG!$A:$BA,MATCH('PnL26'!$P$1,BBG!$A:$A,0),MATCH($I82,BBG!$A$4:$BA$4,0))-INDEX(BBG!$A:$BA,MATCH('PnL26'!$P$1,BBG!$A:$A,0),MATCH($J82,BBG!$A$4:$BA$4,0)))</f>
        <v>-5.48</v>
      </c>
      <c r="M82" s="9">
        <f t="shared" ca="1" si="60"/>
        <v>-1802.2400000000002</v>
      </c>
      <c r="N82">
        <f t="shared" si="61"/>
        <v>-3809.28</v>
      </c>
      <c r="O82" s="14" t="str">
        <f t="shared" si="58"/>
        <v>Mar 26</v>
      </c>
      <c r="P82" s="8" t="str">
        <f t="shared" si="37"/>
        <v>Buy</v>
      </c>
      <c r="Q82">
        <f t="shared" ca="1" si="38"/>
        <v>-5611.52</v>
      </c>
      <c r="R82" s="38" t="str">
        <f>VLOOKUP(F82,Control!$B:$C,2,FALSE)</f>
        <v>Swaps</v>
      </c>
      <c r="S82" s="38" t="str">
        <f>VLOOKUP(F82,Control!$B:$D,3,FALSE)</f>
        <v>WTI-Brent</v>
      </c>
      <c r="T82" s="240">
        <f t="shared" si="59"/>
        <v>2026</v>
      </c>
      <c r="U82" t="str">
        <f t="shared" si="40"/>
        <v>Buy</v>
      </c>
      <c r="V82" t="s">
        <v>96</v>
      </c>
      <c r="W82" t="str">
        <f>_xlfn.XLOOKUP(Table3[[#This Row],[Instrument]],Control!$B$2:$B$19,Control!$E$2:$E$19)</f>
        <v>WTI</v>
      </c>
      <c r="X82" s="14">
        <f>Table3[[#This Row],[Month1]]</f>
        <v>46112</v>
      </c>
      <c r="Y82" s="350">
        <f>Table3[[#This Row],[Quantity]]</f>
        <v>1024</v>
      </c>
      <c r="Z82" t="str">
        <f>_xlfn.XLOOKUP(Table3[[#This Row],[Instrument]],Control!$B$2:$B$19,Control!$F$2:$F$19)</f>
        <v>Brent</v>
      </c>
      <c r="AA82" s="14">
        <f>Table3[[#This Row],[Month2]]</f>
        <v>46112</v>
      </c>
      <c r="AB82" s="350">
        <f t="shared" si="57"/>
        <v>-1024</v>
      </c>
    </row>
    <row r="83" spans="1:28" ht="15" hidden="1" thickBot="1" x14ac:dyDescent="0.4">
      <c r="A83" t="s">
        <v>1724</v>
      </c>
      <c r="B83" t="str">
        <f>_xlfn.XLOOKUP(Table3[[#This Row],[Cargo Name]],Ledger[Cargo Name],Ledger[SAP Deal Number])</f>
        <v>ARA26HS00013</v>
      </c>
      <c r="C83">
        <v>0</v>
      </c>
      <c r="D83" t="s">
        <v>1635</v>
      </c>
      <c r="E83" s="174">
        <v>46002</v>
      </c>
      <c r="F83" s="10" t="s">
        <v>10</v>
      </c>
      <c r="G83" s="4" t="s">
        <v>128</v>
      </c>
      <c r="H83" s="253">
        <v>500</v>
      </c>
      <c r="I83" s="172">
        <v>46112</v>
      </c>
      <c r="J83" s="172">
        <v>46112</v>
      </c>
      <c r="K83" s="212">
        <v>-3.71</v>
      </c>
      <c r="L83" s="192">
        <f ca="1">IF(OR(S83="WTI Sprds",S83="Brent Sprds",S83="WTI-Brent",S83="DFL"),INDEX(INDIRECT("'" &amp; S83 &amp; "'!$A$6:$XFD$1048576"),MATCH('PnL26'!$P$1,INDIRECT("'" &amp; S83 &amp; "'!$A$6:$A$1048576"),0),MATCH(EOMONTH(I83,0),INDIRECT("'" &amp; S83 &amp; "'!$A$4:$XFD$4"),0)),INDEX(BBG!$A:$BA,MATCH('PnL26'!$P$1,BBG!$A:$A,0),MATCH($I83,BBG!$A$4:$BA$4,0))-INDEX(BBG!$A:$BA,MATCH('PnL26'!$P$1,BBG!$A:$A,0),MATCH($J83,BBG!$A$4:$BA$4,0)))</f>
        <v>-5.48</v>
      </c>
      <c r="M83" s="9">
        <f t="shared" ca="1" si="60"/>
        <v>-885.00000000000023</v>
      </c>
      <c r="N83">
        <f t="shared" si="61"/>
        <v>-1855</v>
      </c>
      <c r="O83" s="14" t="str">
        <f t="shared" si="58"/>
        <v>Mar 26</v>
      </c>
      <c r="P83" s="8" t="str">
        <f t="shared" si="37"/>
        <v>Buy</v>
      </c>
      <c r="Q83">
        <f t="shared" ca="1" si="38"/>
        <v>-2740</v>
      </c>
      <c r="R83" s="38" t="str">
        <f>VLOOKUP(F83,Control!$B:$C,2,FALSE)</f>
        <v>Swaps</v>
      </c>
      <c r="S83" s="38" t="str">
        <f>VLOOKUP(F83,Control!$B:$D,3,FALSE)</f>
        <v>WTI-Brent</v>
      </c>
      <c r="T83" s="240">
        <f t="shared" si="59"/>
        <v>2026</v>
      </c>
      <c r="U83" t="str">
        <f t="shared" si="40"/>
        <v>Buy</v>
      </c>
      <c r="V83" t="s">
        <v>96</v>
      </c>
      <c r="W83" t="str">
        <f>_xlfn.XLOOKUP(Table3[[#This Row],[Instrument]],Control!$B$2:$B$19,Control!$E$2:$E$19)</f>
        <v>WTI</v>
      </c>
      <c r="X83" s="14">
        <f>Table3[[#This Row],[Month1]]</f>
        <v>46112</v>
      </c>
      <c r="Y83" s="350">
        <f>Table3[[#This Row],[Quantity]]</f>
        <v>500</v>
      </c>
      <c r="Z83" t="str">
        <f>_xlfn.XLOOKUP(Table3[[#This Row],[Instrument]],Control!$B$2:$B$19,Control!$F$2:$F$19)</f>
        <v>Brent</v>
      </c>
      <c r="AA83" s="14">
        <f>Table3[[#This Row],[Month2]]</f>
        <v>46112</v>
      </c>
      <c r="AB83" s="350">
        <f t="shared" si="57"/>
        <v>-500</v>
      </c>
    </row>
    <row r="84" spans="1:28" ht="15" hidden="1" thickBot="1" x14ac:dyDescent="0.4">
      <c r="A84" t="s">
        <v>1724</v>
      </c>
      <c r="B84" t="str">
        <f>_xlfn.XLOOKUP(Table3[[#This Row],[Cargo Name]],Ledger[Cargo Name],Ledger[SAP Deal Number])</f>
        <v>ARA26HS00013</v>
      </c>
      <c r="C84">
        <v>0</v>
      </c>
      <c r="D84" t="s">
        <v>1635</v>
      </c>
      <c r="E84" s="174">
        <v>46002</v>
      </c>
      <c r="F84" s="10" t="s">
        <v>7</v>
      </c>
      <c r="G84" s="4" t="s">
        <v>128</v>
      </c>
      <c r="H84" s="253">
        <v>2000</v>
      </c>
      <c r="I84" s="172">
        <v>46112</v>
      </c>
      <c r="J84" s="172">
        <v>46142</v>
      </c>
      <c r="K84" s="218">
        <v>0.16</v>
      </c>
      <c r="L84" s="192">
        <f ca="1">IF(OR(S84="WTI Sprds",S84="Brent Sprds",S84="WTI-Brent",S84="DFL"),INDEX(INDIRECT("'" &amp; S84 &amp; "'!$A$6:$XFD$1048576"),MATCH('PnL26'!$P$1,INDIRECT("'" &amp; S84 &amp; "'!$A$6:$A$1048576"),0),MATCH(EOMONTH(I84,0),INDIRECT("'" &amp; S84 &amp; "'!$A$4:$XFD$4"),0)),INDEX(BBG!$A:$BA,MATCH('PnL26'!$P$1,BBG!$A:$A,0),MATCH($I84,BBG!$A$4:$BA$4,0))-INDEX(BBG!$A:$BA,MATCH('PnL26'!$P$1,BBG!$A:$A,0),MATCH($J84,BBG!$A$4:$BA$4,0)))</f>
        <v>1.37</v>
      </c>
      <c r="M84" s="9">
        <f t="shared" ca="1" si="60"/>
        <v>2420.0000000000005</v>
      </c>
      <c r="N84">
        <f t="shared" si="61"/>
        <v>320</v>
      </c>
      <c r="O84" s="14" t="str">
        <f t="shared" si="58"/>
        <v>Mar/Apr 26</v>
      </c>
      <c r="P84" s="8" t="str">
        <f t="shared" si="37"/>
        <v>Buy</v>
      </c>
      <c r="Q84">
        <f t="shared" ca="1" si="38"/>
        <v>2740</v>
      </c>
      <c r="R84" s="38" t="str">
        <f>VLOOKUP(F84,Control!$B:$C,2,FALSE)</f>
        <v>Futures</v>
      </c>
      <c r="S84" s="38" t="str">
        <f>VLOOKUP(F84,Control!$B:$D,3,FALSE)</f>
        <v>Brent Sprds</v>
      </c>
      <c r="T84">
        <f t="shared" si="59"/>
        <v>2026</v>
      </c>
      <c r="U84" t="str">
        <f t="shared" si="40"/>
        <v>Buy</v>
      </c>
      <c r="V84" t="s">
        <v>96</v>
      </c>
      <c r="W84" t="str">
        <f>_xlfn.XLOOKUP(Table3[[#This Row],[Instrument]],Control!$B$2:$B$19,Control!$E$2:$E$19)</f>
        <v>Brent</v>
      </c>
      <c r="X84" s="14">
        <f>Table3[[#This Row],[Month1]]</f>
        <v>46112</v>
      </c>
      <c r="Y84" s="350">
        <f>Table3[[#This Row],[Quantity]]</f>
        <v>2000</v>
      </c>
      <c r="Z84" t="str">
        <f>_xlfn.XLOOKUP(Table3[[#This Row],[Instrument]],Control!$B$2:$B$19,Control!$F$2:$F$19)</f>
        <v>Brent</v>
      </c>
      <c r="AA84" s="14">
        <f>Table3[[#This Row],[Month2]]</f>
        <v>46142</v>
      </c>
      <c r="AB84" s="350">
        <f t="shared" si="57"/>
        <v>-2000</v>
      </c>
    </row>
    <row r="85" spans="1:28" ht="15" hidden="1" thickBot="1" x14ac:dyDescent="0.4">
      <c r="A85" t="s">
        <v>1724</v>
      </c>
      <c r="B85" t="str">
        <f>_xlfn.XLOOKUP(Table3[[#This Row],[Cargo Name]],Ledger[Cargo Name],Ledger[SAP Deal Number])</f>
        <v>ARA26HS00013</v>
      </c>
      <c r="C85">
        <v>0</v>
      </c>
      <c r="D85" t="s">
        <v>1635</v>
      </c>
      <c r="E85" s="174">
        <v>46002</v>
      </c>
      <c r="F85" s="10" t="s">
        <v>7</v>
      </c>
      <c r="G85" s="4" t="s">
        <v>128</v>
      </c>
      <c r="H85" s="253">
        <v>1000</v>
      </c>
      <c r="I85" s="172">
        <v>46081</v>
      </c>
      <c r="J85" s="172">
        <v>46112</v>
      </c>
      <c r="K85" s="218">
        <v>0.23</v>
      </c>
      <c r="L85" s="192">
        <f ca="1">IF(OR(S85="WTI Sprds",S85="Brent Sprds",S85="WTI-Brent",S85="DFL"),INDEX(INDIRECT("'" &amp; S85 &amp; "'!$A$6:$XFD$1048576"),MATCH('PnL26'!$P$1,INDIRECT("'" &amp; S85 &amp; "'!$A$6:$A$1048576"),0),MATCH(EOMONTH(I85,0),INDIRECT("'" &amp; S85 &amp; "'!$A$4:$XFD$4"),0)),INDEX(BBG!$A:$BA,MATCH('PnL26'!$P$1,BBG!$A:$A,0),MATCH($I85,BBG!$A$4:$BA$4,0))-INDEX(BBG!$A:$BA,MATCH('PnL26'!$P$1,BBG!$A:$A,0),MATCH($J85,BBG!$A$4:$BA$4,0)))</f>
        <v>0.59</v>
      </c>
      <c r="M85" s="9">
        <f t="shared" ca="1" si="60"/>
        <v>360</v>
      </c>
      <c r="N85">
        <f t="shared" si="61"/>
        <v>230</v>
      </c>
      <c r="O85" s="14" t="str">
        <f t="shared" si="58"/>
        <v>Feb/Mar 26</v>
      </c>
      <c r="P85" s="8" t="str">
        <f t="shared" si="37"/>
        <v>Buy</v>
      </c>
      <c r="Q85">
        <f t="shared" ca="1" si="38"/>
        <v>590</v>
      </c>
      <c r="R85" s="38" t="str">
        <f>VLOOKUP(F85,Control!$B:$C,2,FALSE)</f>
        <v>Futures</v>
      </c>
      <c r="S85" s="38" t="str">
        <f>VLOOKUP(F85,Control!$B:$D,3,FALSE)</f>
        <v>Brent Sprds</v>
      </c>
      <c r="T85">
        <f t="shared" si="59"/>
        <v>2026</v>
      </c>
      <c r="U85" t="str">
        <f t="shared" si="40"/>
        <v>Buy</v>
      </c>
      <c r="V85" t="s">
        <v>96</v>
      </c>
      <c r="W85" t="str">
        <f>_xlfn.XLOOKUP(Table3[[#This Row],[Instrument]],Control!$B$2:$B$19,Control!$E$2:$E$19)</f>
        <v>Brent</v>
      </c>
      <c r="X85" s="14">
        <f>Table3[[#This Row],[Month1]]</f>
        <v>46081</v>
      </c>
      <c r="Y85" s="350">
        <f>Table3[[#This Row],[Quantity]]</f>
        <v>1000</v>
      </c>
      <c r="Z85" t="str">
        <f>_xlfn.XLOOKUP(Table3[[#This Row],[Instrument]],Control!$B$2:$B$19,Control!$F$2:$F$19)</f>
        <v>Brent</v>
      </c>
      <c r="AA85" s="14">
        <f>Table3[[#This Row],[Month2]]</f>
        <v>46112</v>
      </c>
      <c r="AB85" s="350">
        <f t="shared" si="57"/>
        <v>-1000</v>
      </c>
    </row>
    <row r="86" spans="1:28" ht="15" hidden="1" thickBot="1" x14ac:dyDescent="0.4">
      <c r="A86" t="s">
        <v>1724</v>
      </c>
      <c r="B86" t="str">
        <f>_xlfn.XLOOKUP(Table3[[#This Row],[Cargo Name]],Ledger[Cargo Name],Ledger[SAP Deal Number])</f>
        <v>ARA26HS00013</v>
      </c>
      <c r="C86">
        <v>0</v>
      </c>
      <c r="D86" t="s">
        <v>1635</v>
      </c>
      <c r="E86" s="174">
        <v>46003</v>
      </c>
      <c r="F86" s="10" t="s">
        <v>10</v>
      </c>
      <c r="G86" s="4" t="s">
        <v>128</v>
      </c>
      <c r="H86" s="253">
        <v>500</v>
      </c>
      <c r="I86" s="172">
        <v>46112</v>
      </c>
      <c r="J86" s="172">
        <v>46112</v>
      </c>
      <c r="K86" s="212">
        <v>-3.73</v>
      </c>
      <c r="L86" s="192">
        <f ca="1">IF(OR(S86="WTI Sprds",S86="Brent Sprds",S86="WTI-Brent",S86="DFL"),INDEX(INDIRECT("'" &amp; S86 &amp; "'!$A$6:$XFD$1048576"),MATCH('PnL26'!$P$1,INDIRECT("'" &amp; S86 &amp; "'!$A$6:$A$1048576"),0),MATCH(EOMONTH(I86,0),INDIRECT("'" &amp; S86 &amp; "'!$A$4:$XFD$4"),0)),INDEX(BBG!$A:$BA,MATCH('PnL26'!$P$1,BBG!$A:$A,0),MATCH($I86,BBG!$A$4:$BA$4,0))-INDEX(BBG!$A:$BA,MATCH('PnL26'!$P$1,BBG!$A:$A,0),MATCH($J86,BBG!$A$4:$BA$4,0)))</f>
        <v>-5.48</v>
      </c>
      <c r="M86" s="9">
        <f t="shared" ca="1" si="60"/>
        <v>-875.00000000000023</v>
      </c>
      <c r="N86">
        <f t="shared" si="61"/>
        <v>-1865</v>
      </c>
      <c r="O86" s="14" t="str">
        <f t="shared" si="58"/>
        <v>Mar 26</v>
      </c>
      <c r="P86" s="8" t="str">
        <f t="shared" si="37"/>
        <v>Buy</v>
      </c>
      <c r="Q86">
        <f t="shared" ca="1" si="38"/>
        <v>-2740</v>
      </c>
      <c r="R86" s="38" t="str">
        <f>VLOOKUP(F86,Control!$B:$C,2,FALSE)</f>
        <v>Swaps</v>
      </c>
      <c r="S86" s="38" t="str">
        <f>VLOOKUP(F86,Control!$B:$D,3,FALSE)</f>
        <v>WTI-Brent</v>
      </c>
      <c r="T86" s="240">
        <f t="shared" si="59"/>
        <v>2026</v>
      </c>
      <c r="U86" t="str">
        <f t="shared" si="40"/>
        <v>Buy</v>
      </c>
      <c r="V86" t="s">
        <v>96</v>
      </c>
      <c r="W86" t="str">
        <f>_xlfn.XLOOKUP(Table3[[#This Row],[Instrument]],Control!$B$2:$B$19,Control!$E$2:$E$19)</f>
        <v>WTI</v>
      </c>
      <c r="X86" s="14">
        <f>Table3[[#This Row],[Month1]]</f>
        <v>46112</v>
      </c>
      <c r="Y86" s="350">
        <f>Table3[[#This Row],[Quantity]]</f>
        <v>500</v>
      </c>
      <c r="Z86" t="str">
        <f>_xlfn.XLOOKUP(Table3[[#This Row],[Instrument]],Control!$B$2:$B$19,Control!$F$2:$F$19)</f>
        <v>Brent</v>
      </c>
      <c r="AA86" s="14">
        <f>Table3[[#This Row],[Month2]]</f>
        <v>46112</v>
      </c>
      <c r="AB86" s="350">
        <f t="shared" si="57"/>
        <v>-500</v>
      </c>
    </row>
    <row r="87" spans="1:28" ht="15" hidden="1" thickBot="1" x14ac:dyDescent="0.4">
      <c r="A87" t="s">
        <v>1724</v>
      </c>
      <c r="B87" t="str">
        <f>_xlfn.XLOOKUP(Table3[[#This Row],[Cargo Name]],Ledger[Cargo Name],Ledger[SAP Deal Number])</f>
        <v>Unallocated</v>
      </c>
      <c r="C87">
        <v>0</v>
      </c>
      <c r="D87" t="s">
        <v>127</v>
      </c>
      <c r="E87" s="16">
        <v>46006</v>
      </c>
      <c r="F87" s="10" t="s">
        <v>15</v>
      </c>
      <c r="G87" s="4" t="s">
        <v>128</v>
      </c>
      <c r="H87" s="253">
        <v>-375</v>
      </c>
      <c r="I87" s="173">
        <v>46053</v>
      </c>
      <c r="J87" s="173">
        <v>46053</v>
      </c>
      <c r="K87" s="330">
        <v>0.33</v>
      </c>
      <c r="L87" s="191">
        <f>VLOOKUP($I87,'PnL26'!$E$7:$F$59,2,FALSE)</f>
        <v>2.09</v>
      </c>
      <c r="M87" s="9">
        <f t="shared" si="60"/>
        <v>-659.99999999999989</v>
      </c>
      <c r="N87">
        <f t="shared" si="61"/>
        <v>-123.75</v>
      </c>
      <c r="O87" s="14" t="str">
        <f t="shared" si="58"/>
        <v>Jan 26</v>
      </c>
      <c r="P87" s="8" t="str">
        <f t="shared" si="37"/>
        <v>Sell</v>
      </c>
      <c r="Q87">
        <f t="shared" si="38"/>
        <v>-783.75</v>
      </c>
      <c r="R87" s="38" t="str">
        <f>VLOOKUP(F87,Control!$B:$C,2,FALSE)</f>
        <v>Swaps</v>
      </c>
      <c r="S87" s="38" t="str">
        <f>VLOOKUP(F87,Control!$B:$D,3,FALSE)</f>
        <v>Dated</v>
      </c>
      <c r="T87" s="240">
        <f t="shared" si="59"/>
        <v>2026</v>
      </c>
      <c r="U87" t="str">
        <f t="shared" si="40"/>
        <v>Sell</v>
      </c>
      <c r="V87" t="s">
        <v>96</v>
      </c>
      <c r="W87" t="e">
        <f>_xlfn.XLOOKUP(Table3[[#This Row],[Instrument]],Control!$B$2:$B$19,Control!$E$2:$E$19)</f>
        <v>#N/A</v>
      </c>
      <c r="X87" s="14">
        <f>Table3[[#This Row],[Month1]]</f>
        <v>46053</v>
      </c>
      <c r="Y87" s="350">
        <f>Table3[[#This Row],[Quantity]]</f>
        <v>-375</v>
      </c>
      <c r="Z87" t="e">
        <f>_xlfn.XLOOKUP(Table3[[#This Row],[Instrument]],Control!$B$2:$B$19,Control!$F$2:$F$19)</f>
        <v>#N/A</v>
      </c>
      <c r="AA87" s="14">
        <f>Table3[[#This Row],[Month2]]</f>
        <v>46053</v>
      </c>
      <c r="AB87" s="350">
        <f t="shared" si="57"/>
        <v>375</v>
      </c>
    </row>
    <row r="88" spans="1:28" ht="15" hidden="1" thickBot="1" x14ac:dyDescent="0.4">
      <c r="A88" t="s">
        <v>1724</v>
      </c>
      <c r="B88" t="str">
        <f>_xlfn.XLOOKUP(Table3[[#This Row],[Cargo Name]],Ledger[Cargo Name],Ledger[SAP Deal Number])</f>
        <v>ARA26HS00013</v>
      </c>
      <c r="C88">
        <v>0</v>
      </c>
      <c r="D88" t="s">
        <v>1635</v>
      </c>
      <c r="E88" s="174">
        <v>46007</v>
      </c>
      <c r="F88" s="10" t="s">
        <v>3</v>
      </c>
      <c r="G88" s="4" t="s">
        <v>128</v>
      </c>
      <c r="H88" s="253">
        <v>92</v>
      </c>
      <c r="I88" s="172">
        <v>46081</v>
      </c>
      <c r="J88" s="172">
        <v>46112</v>
      </c>
      <c r="K88" s="218">
        <v>0.08</v>
      </c>
      <c r="L88" s="192">
        <f ca="1">IF(OR(S88="WTI Sprds",S88="Brent Sprds",S88="WTI-Brent",S88="DFL"),INDEX(INDIRECT("'" &amp; S88 &amp; "'!$A$6:$XFD$1048576"),MATCH('PnL26'!$P$1,INDIRECT("'" &amp; S88 &amp; "'!$A$6:$A$1048576"),0),MATCH(EOMONTH(I88,0),INDIRECT("'" &amp; S88 &amp; "'!$A$4:$XFD$4"),0)),INDEX(BBG!$A:$BA,MATCH('PnL26'!$P$1,BBG!$A:$A,0),MATCH($I88,BBG!$A$4:$BA$4,0))-INDEX(BBG!$A:$BA,MATCH('PnL26'!$P$1,BBG!$A:$A,0),MATCH($J88,BBG!$A$4:$BA$4,0)))</f>
        <v>0.1</v>
      </c>
      <c r="M88" s="9">
        <f t="shared" ca="1" si="60"/>
        <v>1.8400000000000003</v>
      </c>
      <c r="N88">
        <f t="shared" si="61"/>
        <v>7.36</v>
      </c>
      <c r="O88" s="14" t="str">
        <f t="shared" si="58"/>
        <v>Feb/Mar 26</v>
      </c>
      <c r="P88" s="8" t="str">
        <f t="shared" si="37"/>
        <v>Buy</v>
      </c>
      <c r="Q88">
        <f t="shared" ca="1" si="38"/>
        <v>9.2000000000000011</v>
      </c>
      <c r="R88" s="38" t="str">
        <f>VLOOKUP(F88,Control!$B:$C,2,FALSE)</f>
        <v>Futures</v>
      </c>
      <c r="S88" s="38" t="str">
        <f>VLOOKUP(F88,Control!$B:$D,3,FALSE)</f>
        <v>WTI Sprds</v>
      </c>
      <c r="T88">
        <f t="shared" si="59"/>
        <v>2026</v>
      </c>
      <c r="U88" t="str">
        <f t="shared" si="40"/>
        <v>Buy</v>
      </c>
      <c r="V88" t="s">
        <v>96</v>
      </c>
      <c r="W88" t="str">
        <f>_xlfn.XLOOKUP(Table3[[#This Row],[Instrument]],Control!$B$2:$B$19,Control!$E$2:$E$19)</f>
        <v>WTI</v>
      </c>
      <c r="X88" s="14">
        <f>Table3[[#This Row],[Month1]]</f>
        <v>46081</v>
      </c>
      <c r="Y88" s="350">
        <f>Table3[[#This Row],[Quantity]]</f>
        <v>92</v>
      </c>
      <c r="Z88" t="str">
        <f>_xlfn.XLOOKUP(Table3[[#This Row],[Instrument]],Control!$B$2:$B$19,Control!$F$2:$F$19)</f>
        <v>WTI</v>
      </c>
      <c r="AA88" s="14">
        <f>Table3[[#This Row],[Month2]]</f>
        <v>46112</v>
      </c>
      <c r="AB88" s="350">
        <f t="shared" si="57"/>
        <v>-92</v>
      </c>
    </row>
    <row r="89" spans="1:28" ht="15" hidden="1" thickBot="1" x14ac:dyDescent="0.4">
      <c r="A89" t="s">
        <v>1724</v>
      </c>
      <c r="B89" t="str">
        <f>_xlfn.XLOOKUP(Table3[[#This Row],[Cargo Name]],Ledger[Cargo Name],Ledger[SAP Deal Number])</f>
        <v>ARA26HS00013</v>
      </c>
      <c r="C89">
        <v>0</v>
      </c>
      <c r="D89" t="s">
        <v>1635</v>
      </c>
      <c r="E89" s="174">
        <v>46008</v>
      </c>
      <c r="F89" s="10" t="s">
        <v>3</v>
      </c>
      <c r="G89" s="4" t="s">
        <v>128</v>
      </c>
      <c r="H89" s="253">
        <v>92</v>
      </c>
      <c r="I89" s="172">
        <v>46081</v>
      </c>
      <c r="J89" s="172">
        <v>46112</v>
      </c>
      <c r="K89" s="218">
        <v>0.08</v>
      </c>
      <c r="L89" s="192">
        <f ca="1">IF(OR(S89="WTI Sprds",S89="Brent Sprds",S89="WTI-Brent",S89="DFL"),INDEX(INDIRECT("'" &amp; S89 &amp; "'!$A$6:$XFD$1048576"),MATCH('PnL26'!$P$1,INDIRECT("'" &amp; S89 &amp; "'!$A$6:$A$1048576"),0),MATCH(EOMONTH(I89,0),INDIRECT("'" &amp; S89 &amp; "'!$A$4:$XFD$4"),0)),INDEX(BBG!$A:$BA,MATCH('PnL26'!$P$1,BBG!$A:$A,0),MATCH($I89,BBG!$A$4:$BA$4,0))-INDEX(BBG!$A:$BA,MATCH('PnL26'!$P$1,BBG!$A:$A,0),MATCH($J89,BBG!$A$4:$BA$4,0)))</f>
        <v>0.1</v>
      </c>
      <c r="M89" s="9">
        <f t="shared" ca="1" si="60"/>
        <v>1.8400000000000003</v>
      </c>
      <c r="N89">
        <f t="shared" si="61"/>
        <v>7.36</v>
      </c>
      <c r="O89" s="14" t="str">
        <f t="shared" si="58"/>
        <v>Feb/Mar 26</v>
      </c>
      <c r="P89" s="8" t="str">
        <f t="shared" si="37"/>
        <v>Buy</v>
      </c>
      <c r="Q89">
        <f t="shared" ca="1" si="38"/>
        <v>9.2000000000000011</v>
      </c>
      <c r="R89" s="38" t="str">
        <f>VLOOKUP(F89,Control!$B:$C,2,FALSE)</f>
        <v>Futures</v>
      </c>
      <c r="S89" s="38" t="str">
        <f>VLOOKUP(F89,Control!$B:$D,3,FALSE)</f>
        <v>WTI Sprds</v>
      </c>
      <c r="T89">
        <f t="shared" si="59"/>
        <v>2026</v>
      </c>
      <c r="U89" t="str">
        <f t="shared" si="40"/>
        <v>Buy</v>
      </c>
      <c r="V89" t="s">
        <v>96</v>
      </c>
      <c r="W89" t="str">
        <f>_xlfn.XLOOKUP(Table3[[#This Row],[Instrument]],Control!$B$2:$B$19,Control!$E$2:$E$19)</f>
        <v>WTI</v>
      </c>
      <c r="X89" s="14">
        <f>Table3[[#This Row],[Month1]]</f>
        <v>46081</v>
      </c>
      <c r="Y89" s="350">
        <f>Table3[[#This Row],[Quantity]]</f>
        <v>92</v>
      </c>
      <c r="Z89" t="str">
        <f>_xlfn.XLOOKUP(Table3[[#This Row],[Instrument]],Control!$B$2:$B$19,Control!$F$2:$F$19)</f>
        <v>WTI</v>
      </c>
      <c r="AA89" s="14">
        <f>Table3[[#This Row],[Month2]]</f>
        <v>46112</v>
      </c>
      <c r="AB89" s="350">
        <f t="shared" si="57"/>
        <v>-92</v>
      </c>
    </row>
    <row r="90" spans="1:28" ht="15" hidden="1" thickBot="1" x14ac:dyDescent="0.4">
      <c r="A90" t="s">
        <v>1724</v>
      </c>
      <c r="B90" t="str">
        <f>_xlfn.XLOOKUP(Table3[[#This Row],[Cargo Name]],Ledger[Cargo Name],Ledger[SAP Deal Number])</f>
        <v>ARA26HS00013</v>
      </c>
      <c r="C90">
        <v>0</v>
      </c>
      <c r="D90" t="s">
        <v>1635</v>
      </c>
      <c r="E90" s="174">
        <v>46009</v>
      </c>
      <c r="F90" s="10" t="s">
        <v>3</v>
      </c>
      <c r="G90" s="4" t="s">
        <v>128</v>
      </c>
      <c r="H90" s="253">
        <v>92</v>
      </c>
      <c r="I90" s="172">
        <v>46081</v>
      </c>
      <c r="J90" s="172">
        <v>46112</v>
      </c>
      <c r="K90" s="218">
        <v>0.08</v>
      </c>
      <c r="L90" s="192">
        <f ca="1">IF(OR(S90="WTI Sprds",S90="Brent Sprds",S90="WTI-Brent",S90="DFL"),INDEX(INDIRECT("'" &amp; S90 &amp; "'!$A$6:$XFD$1048576"),MATCH('PnL26'!$P$1,INDIRECT("'" &amp; S90 &amp; "'!$A$6:$A$1048576"),0),MATCH(EOMONTH(I90,0),INDIRECT("'" &amp; S90 &amp; "'!$A$4:$XFD$4"),0)),INDEX(BBG!$A:$BA,MATCH('PnL26'!$P$1,BBG!$A:$A,0),MATCH($I90,BBG!$A$4:$BA$4,0))-INDEX(BBG!$A:$BA,MATCH('PnL26'!$P$1,BBG!$A:$A,0),MATCH($J90,BBG!$A$4:$BA$4,0)))</f>
        <v>0.1</v>
      </c>
      <c r="M90" s="9">
        <f t="shared" ca="1" si="60"/>
        <v>1.8400000000000003</v>
      </c>
      <c r="N90">
        <f t="shared" si="61"/>
        <v>7.36</v>
      </c>
      <c r="O90" s="14" t="str">
        <f t="shared" si="58"/>
        <v>Feb/Mar 26</v>
      </c>
      <c r="P90" s="8" t="str">
        <f t="shared" si="37"/>
        <v>Buy</v>
      </c>
      <c r="Q90">
        <f t="shared" ca="1" si="38"/>
        <v>9.2000000000000011</v>
      </c>
      <c r="R90" s="38" t="str">
        <f>VLOOKUP(F90,Control!$B:$C,2,FALSE)</f>
        <v>Futures</v>
      </c>
      <c r="S90" s="38" t="str">
        <f>VLOOKUP(F90,Control!$B:$D,3,FALSE)</f>
        <v>WTI Sprds</v>
      </c>
      <c r="T90">
        <f t="shared" si="59"/>
        <v>2026</v>
      </c>
      <c r="U90" t="str">
        <f t="shared" si="40"/>
        <v>Buy</v>
      </c>
      <c r="V90" t="s">
        <v>96</v>
      </c>
      <c r="W90" t="str">
        <f>_xlfn.XLOOKUP(Table3[[#This Row],[Instrument]],Control!$B$2:$B$19,Control!$E$2:$E$19)</f>
        <v>WTI</v>
      </c>
      <c r="X90" s="14">
        <f>Table3[[#This Row],[Month1]]</f>
        <v>46081</v>
      </c>
      <c r="Y90" s="350">
        <f>Table3[[#This Row],[Quantity]]</f>
        <v>92</v>
      </c>
      <c r="Z90" t="str">
        <f>_xlfn.XLOOKUP(Table3[[#This Row],[Instrument]],Control!$B$2:$B$19,Control!$F$2:$F$19)</f>
        <v>WTI</v>
      </c>
      <c r="AA90" s="14">
        <f>Table3[[#This Row],[Month2]]</f>
        <v>46112</v>
      </c>
      <c r="AB90" s="350">
        <f t="shared" si="57"/>
        <v>-92</v>
      </c>
    </row>
    <row r="91" spans="1:28" ht="15" hidden="1" thickBot="1" x14ac:dyDescent="0.4">
      <c r="A91" t="s">
        <v>1724</v>
      </c>
      <c r="B91" t="str">
        <f>_xlfn.XLOOKUP(Table3[[#This Row],[Cargo Name]],Ledger[Cargo Name],Ledger[SAP Deal Number])</f>
        <v>ARA26HS00013</v>
      </c>
      <c r="C91">
        <v>0</v>
      </c>
      <c r="D91" t="s">
        <v>1635</v>
      </c>
      <c r="E91" s="174">
        <v>46008</v>
      </c>
      <c r="F91" s="10" t="s">
        <v>10</v>
      </c>
      <c r="G91" s="4" t="s">
        <v>128</v>
      </c>
      <c r="H91" s="253">
        <v>500</v>
      </c>
      <c r="I91" s="172">
        <v>46203</v>
      </c>
      <c r="J91" s="172">
        <v>46203</v>
      </c>
      <c r="K91" s="218">
        <v>-3.45</v>
      </c>
      <c r="L91" s="192">
        <f ca="1">IF(OR(S91="WTI Sprds",S91="Brent Sprds",S91="WTI-Brent",S91="DFL"),INDEX(INDIRECT("'" &amp; S91 &amp; "'!$A$6:$XFD$1048576"),MATCH('PnL26'!$P$1,INDIRECT("'" &amp; S91 &amp; "'!$A$6:$A$1048576"),0),MATCH(EOMONTH(I91,0),INDIRECT("'" &amp; S91 &amp; "'!$A$4:$XFD$4"),0)),INDEX(BBG!$A:$BA,MATCH('PnL26'!$P$1,BBG!$A:$A,0),MATCH($I91,BBG!$A$4:$BA$4,0))-INDEX(BBG!$A:$BA,MATCH('PnL26'!$P$1,BBG!$A:$A,0),MATCH($J91,BBG!$A$4:$BA$4,0)))</f>
        <v>-8.94</v>
      </c>
      <c r="M91" s="9">
        <f t="shared" ca="1" si="60"/>
        <v>-2744.9999999999995</v>
      </c>
      <c r="N91">
        <f t="shared" si="61"/>
        <v>-1725</v>
      </c>
      <c r="O91" s="14" t="str">
        <f t="shared" si="58"/>
        <v>Jun 26</v>
      </c>
      <c r="P91" s="8" t="str">
        <f t="shared" si="37"/>
        <v>Buy</v>
      </c>
      <c r="Q91">
        <f t="shared" ca="1" si="38"/>
        <v>-4470</v>
      </c>
      <c r="R91" s="38" t="str">
        <f>VLOOKUP(F91,Control!$B:$C,2,FALSE)</f>
        <v>Swaps</v>
      </c>
      <c r="S91" s="38" t="str">
        <f>VLOOKUP(F91,Control!$B:$D,3,FALSE)</f>
        <v>WTI-Brent</v>
      </c>
      <c r="T91">
        <f t="shared" si="59"/>
        <v>2026</v>
      </c>
      <c r="U91" t="str">
        <f t="shared" si="40"/>
        <v>Buy</v>
      </c>
      <c r="V91" t="s">
        <v>96</v>
      </c>
      <c r="W91" t="str">
        <f>_xlfn.XLOOKUP(Table3[[#This Row],[Instrument]],Control!$B$2:$B$19,Control!$E$2:$E$19)</f>
        <v>WTI</v>
      </c>
      <c r="X91" s="14">
        <f>Table3[[#This Row],[Month1]]</f>
        <v>46203</v>
      </c>
      <c r="Y91" s="350">
        <f>Table3[[#This Row],[Quantity]]</f>
        <v>500</v>
      </c>
      <c r="Z91" t="str">
        <f>_xlfn.XLOOKUP(Table3[[#This Row],[Instrument]],Control!$B$2:$B$19,Control!$F$2:$F$19)</f>
        <v>Brent</v>
      </c>
      <c r="AA91" s="14">
        <f>Table3[[#This Row],[Month2]]</f>
        <v>46203</v>
      </c>
      <c r="AB91" s="350">
        <f t="shared" si="57"/>
        <v>-500</v>
      </c>
    </row>
    <row r="92" spans="1:28" ht="15" hidden="1" thickBot="1" x14ac:dyDescent="0.4">
      <c r="A92" t="s">
        <v>1724</v>
      </c>
      <c r="B92" t="str">
        <f>_xlfn.XLOOKUP(Table3[[#This Row],[Cargo Name]],Ledger[Cargo Name],Ledger[SAP Deal Number])</f>
        <v>Unallocated</v>
      </c>
      <c r="C92">
        <v>0</v>
      </c>
      <c r="D92" t="s">
        <v>127</v>
      </c>
      <c r="E92" s="174">
        <v>46009</v>
      </c>
      <c r="F92" s="10" t="s">
        <v>10</v>
      </c>
      <c r="G92" s="4" t="s">
        <v>128</v>
      </c>
      <c r="H92" s="253">
        <v>409</v>
      </c>
      <c r="I92" s="172">
        <v>46112</v>
      </c>
      <c r="J92" s="172">
        <v>46112</v>
      </c>
      <c r="K92" s="218">
        <v>-3.7</v>
      </c>
      <c r="L92" s="192">
        <f ca="1">IF(OR(S92="WTI Sprds",S92="Brent Sprds",S92="WTI-Brent",S92="DFL"),INDEX(INDIRECT("'" &amp; S92 &amp; "'!$A$6:$XFD$1048576"),MATCH('PnL26'!$P$1,INDIRECT("'" &amp; S92 &amp; "'!$A$6:$A$1048576"),0),MATCH(EOMONTH(I92,0),INDIRECT("'" &amp; S92 &amp; "'!$A$4:$XFD$4"),0)),INDEX(BBG!$A:$BA,MATCH('PnL26'!$P$1,BBG!$A:$A,0),MATCH($I92,BBG!$A$4:$BA$4,0))-INDEX(BBG!$A:$BA,MATCH('PnL26'!$P$1,BBG!$A:$A,0),MATCH($J92,BBG!$A$4:$BA$4,0)))</f>
        <v>-5.48</v>
      </c>
      <c r="M92" s="9">
        <f t="shared" ca="1" si="60"/>
        <v>-728.0200000000001</v>
      </c>
      <c r="N92">
        <f t="shared" si="61"/>
        <v>-1513.3000000000002</v>
      </c>
      <c r="O92" s="14" t="str">
        <f t="shared" si="58"/>
        <v>Mar 26</v>
      </c>
      <c r="P92" s="8" t="str">
        <f t="shared" si="37"/>
        <v>Buy</v>
      </c>
      <c r="Q92">
        <f t="shared" ca="1" si="38"/>
        <v>-2241.3200000000002</v>
      </c>
      <c r="R92" s="38" t="str">
        <f>VLOOKUP(F92,Control!$B:$C,2,FALSE)</f>
        <v>Swaps</v>
      </c>
      <c r="S92" s="38" t="str">
        <f>VLOOKUP(F92,Control!$B:$D,3,FALSE)</f>
        <v>WTI-Brent</v>
      </c>
      <c r="T92">
        <f t="shared" si="59"/>
        <v>2026</v>
      </c>
      <c r="U92" t="str">
        <f t="shared" si="40"/>
        <v>Buy</v>
      </c>
      <c r="V92" t="s">
        <v>96</v>
      </c>
      <c r="W92" t="str">
        <f>_xlfn.XLOOKUP(Table3[[#This Row],[Instrument]],Control!$B$2:$B$19,Control!$E$2:$E$19)</f>
        <v>WTI</v>
      </c>
      <c r="X92" s="14">
        <f>Table3[[#This Row],[Month1]]</f>
        <v>46112</v>
      </c>
      <c r="Y92" s="350">
        <f>Table3[[#This Row],[Quantity]]</f>
        <v>409</v>
      </c>
      <c r="Z92" t="str">
        <f>_xlfn.XLOOKUP(Table3[[#This Row],[Instrument]],Control!$B$2:$B$19,Control!$F$2:$F$19)</f>
        <v>Brent</v>
      </c>
      <c r="AA92" s="14">
        <f>Table3[[#This Row],[Month2]]</f>
        <v>46112</v>
      </c>
      <c r="AB92" s="350">
        <f t="shared" si="57"/>
        <v>-409</v>
      </c>
    </row>
    <row r="93" spans="1:28" ht="15" hidden="1" thickBot="1" x14ac:dyDescent="0.4">
      <c r="A93" t="s">
        <v>1724</v>
      </c>
      <c r="B93" t="str">
        <f>_xlfn.XLOOKUP(Table3[[#This Row],[Cargo Name]],Ledger[Cargo Name],Ledger[SAP Deal Number])</f>
        <v>Unallocated</v>
      </c>
      <c r="C93">
        <v>0</v>
      </c>
      <c r="D93" t="s">
        <v>127</v>
      </c>
      <c r="E93" s="174">
        <v>46009</v>
      </c>
      <c r="F93" s="10" t="s">
        <v>3</v>
      </c>
      <c r="G93" s="4" t="s">
        <v>128</v>
      </c>
      <c r="H93" s="253">
        <v>1000</v>
      </c>
      <c r="I93" s="172">
        <v>46081</v>
      </c>
      <c r="J93" s="172">
        <v>46112</v>
      </c>
      <c r="K93" s="218">
        <v>0.14000000000000001</v>
      </c>
      <c r="L93" s="192">
        <f ca="1">IF(OR(S93="WTI Sprds",S93="Brent Sprds",S93="WTI-Brent",S93="DFL"),INDEX(INDIRECT("'" &amp; S93 &amp; "'!$A$6:$XFD$1048576"),MATCH('PnL26'!$P$1,INDIRECT("'" &amp; S93 &amp; "'!$A$6:$A$1048576"),0),MATCH(EOMONTH(I93,0),INDIRECT("'" &amp; S93 &amp; "'!$A$4:$XFD$4"),0)),INDEX(BBG!$A:$BA,MATCH('PnL26'!$P$1,BBG!$A:$A,0),MATCH($I93,BBG!$A$4:$BA$4,0))-INDEX(BBG!$A:$BA,MATCH('PnL26'!$P$1,BBG!$A:$A,0),MATCH($J93,BBG!$A$4:$BA$4,0)))</f>
        <v>0.1</v>
      </c>
      <c r="M93" s="9">
        <f t="shared" ca="1" si="60"/>
        <v>-40.000000000000007</v>
      </c>
      <c r="N93">
        <f t="shared" si="61"/>
        <v>140</v>
      </c>
      <c r="O93" s="14" t="str">
        <f t="shared" si="58"/>
        <v>Feb/Mar 26</v>
      </c>
      <c r="P93" s="8" t="str">
        <f t="shared" si="37"/>
        <v>Buy</v>
      </c>
      <c r="Q93">
        <f t="shared" ca="1" si="38"/>
        <v>100</v>
      </c>
      <c r="R93" s="38" t="str">
        <f>VLOOKUP(F93,Control!$B:$C,2,FALSE)</f>
        <v>Futures</v>
      </c>
      <c r="S93" s="38" t="str">
        <f>VLOOKUP(F93,Control!$B:$D,3,FALSE)</f>
        <v>WTI Sprds</v>
      </c>
      <c r="T93">
        <f t="shared" si="59"/>
        <v>2026</v>
      </c>
      <c r="U93" t="str">
        <f t="shared" si="40"/>
        <v>Buy</v>
      </c>
      <c r="V93" t="s">
        <v>96</v>
      </c>
      <c r="W93" t="str">
        <f>_xlfn.XLOOKUP(Table3[[#This Row],[Instrument]],Control!$B$2:$B$19,Control!$E$2:$E$19)</f>
        <v>WTI</v>
      </c>
      <c r="X93" s="14">
        <f>Table3[[#This Row],[Month1]]</f>
        <v>46081</v>
      </c>
      <c r="Y93" s="350">
        <f>Table3[[#This Row],[Quantity]]</f>
        <v>1000</v>
      </c>
      <c r="Z93" t="str">
        <f>_xlfn.XLOOKUP(Table3[[#This Row],[Instrument]],Control!$B$2:$B$19,Control!$F$2:$F$19)</f>
        <v>WTI</v>
      </c>
      <c r="AA93" s="14">
        <f>Table3[[#This Row],[Month2]]</f>
        <v>46112</v>
      </c>
      <c r="AB93" s="350">
        <f t="shared" si="57"/>
        <v>-1000</v>
      </c>
    </row>
    <row r="94" spans="1:28" ht="15" hidden="1" thickBot="1" x14ac:dyDescent="0.4">
      <c r="A94" t="s">
        <v>1724</v>
      </c>
      <c r="B94" t="str">
        <f>_xlfn.XLOOKUP(Table3[[#This Row],[Cargo Name]],Ledger[Cargo Name],Ledger[SAP Deal Number])</f>
        <v>Unallocated</v>
      </c>
      <c r="C94">
        <v>0</v>
      </c>
      <c r="D94" t="s">
        <v>127</v>
      </c>
      <c r="E94" s="174">
        <v>46009</v>
      </c>
      <c r="F94" s="10" t="s">
        <v>3</v>
      </c>
      <c r="G94" s="4" t="s">
        <v>128</v>
      </c>
      <c r="H94" s="253">
        <v>1000</v>
      </c>
      <c r="I94" s="172">
        <v>46112</v>
      </c>
      <c r="J94" s="172">
        <v>46142</v>
      </c>
      <c r="K94" s="218">
        <v>7.0000000000000007E-2</v>
      </c>
      <c r="L94" s="192">
        <f ca="1">IF(OR(S94="WTI Sprds",S94="Brent Sprds",S94="WTI-Brent",S94="DFL"),INDEX(INDIRECT("'" &amp; S94 &amp; "'!$A$6:$XFD$1048576"),MATCH('PnL26'!$P$1,INDIRECT("'" &amp; S94 &amp; "'!$A$6:$A$1048576"),0),MATCH(EOMONTH(I94,0),INDIRECT("'" &amp; S94 &amp; "'!$A$4:$XFD$4"),0)),INDEX(BBG!$A:$BA,MATCH('PnL26'!$P$1,BBG!$A:$A,0),MATCH($I94,BBG!$A$4:$BA$4,0))-INDEX(BBG!$A:$BA,MATCH('PnL26'!$P$1,BBG!$A:$A,0),MATCH($J94,BBG!$A$4:$BA$4,0)))</f>
        <v>0.03</v>
      </c>
      <c r="M94" s="9">
        <f t="shared" ca="1" si="60"/>
        <v>-40.000000000000007</v>
      </c>
      <c r="N94">
        <f t="shared" si="61"/>
        <v>70</v>
      </c>
      <c r="O94" s="14" t="str">
        <f t="shared" si="58"/>
        <v>Mar/Apr 26</v>
      </c>
      <c r="P94" s="8" t="str">
        <f t="shared" si="37"/>
        <v>Buy</v>
      </c>
      <c r="Q94">
        <f t="shared" ca="1" si="38"/>
        <v>30</v>
      </c>
      <c r="R94" s="38" t="str">
        <f>VLOOKUP(F94,Control!$B:$C,2,FALSE)</f>
        <v>Futures</v>
      </c>
      <c r="S94" s="38" t="str">
        <f>VLOOKUP(F94,Control!$B:$D,3,FALSE)</f>
        <v>WTI Sprds</v>
      </c>
      <c r="T94">
        <f t="shared" si="59"/>
        <v>2026</v>
      </c>
      <c r="U94" t="str">
        <f t="shared" si="40"/>
        <v>Buy</v>
      </c>
      <c r="V94" t="s">
        <v>96</v>
      </c>
      <c r="W94" t="str">
        <f>_xlfn.XLOOKUP(Table3[[#This Row],[Instrument]],Control!$B$2:$B$19,Control!$E$2:$E$19)</f>
        <v>WTI</v>
      </c>
      <c r="X94" s="14">
        <f>Table3[[#This Row],[Month1]]</f>
        <v>46112</v>
      </c>
      <c r="Y94" s="350">
        <f>Table3[[#This Row],[Quantity]]</f>
        <v>1000</v>
      </c>
      <c r="Z94" t="str">
        <f>_xlfn.XLOOKUP(Table3[[#This Row],[Instrument]],Control!$B$2:$B$19,Control!$F$2:$F$19)</f>
        <v>WTI</v>
      </c>
      <c r="AA94" s="14">
        <f>Table3[[#This Row],[Month2]]</f>
        <v>46142</v>
      </c>
      <c r="AB94" s="350">
        <f t="shared" si="57"/>
        <v>-1000</v>
      </c>
    </row>
    <row r="95" spans="1:28" ht="15" hidden="1" thickBot="1" x14ac:dyDescent="0.4">
      <c r="A95" t="s">
        <v>1724</v>
      </c>
      <c r="B95" t="str">
        <f>_xlfn.XLOOKUP(Table3[[#This Row],[Cargo Name]],Ledger[Cargo Name],Ledger[SAP Deal Number])</f>
        <v>Unallocated</v>
      </c>
      <c r="C95">
        <v>0</v>
      </c>
      <c r="D95" t="s">
        <v>127</v>
      </c>
      <c r="E95" s="174">
        <v>46009</v>
      </c>
      <c r="F95" s="10" t="s">
        <v>3</v>
      </c>
      <c r="G95" s="4" t="s">
        <v>128</v>
      </c>
      <c r="H95" s="253">
        <v>1000</v>
      </c>
      <c r="I95" s="172">
        <v>46142</v>
      </c>
      <c r="J95" s="172">
        <v>46173</v>
      </c>
      <c r="K95" s="218">
        <v>0</v>
      </c>
      <c r="L95" s="192">
        <f ca="1">IF(OR(S95="WTI Sprds",S95="Brent Sprds",S95="WTI-Brent",S95="DFL"),INDEX(INDIRECT("'" &amp; S95 &amp; "'!$A$6:$XFD$1048576"),MATCH('PnL26'!$P$1,INDIRECT("'" &amp; S95 &amp; "'!$A$6:$A$1048576"),0),MATCH(EOMONTH(I95,0),INDIRECT("'" &amp; S95 &amp; "'!$A$4:$XFD$4"),0)),INDEX(BBG!$A:$BA,MATCH('PnL26'!$P$1,BBG!$A:$A,0),MATCH($I95,BBG!$A$4:$BA$4,0))-INDEX(BBG!$A:$BA,MATCH('PnL26'!$P$1,BBG!$A:$A,0),MATCH($J95,BBG!$A$4:$BA$4,0)))</f>
        <v>0.59</v>
      </c>
      <c r="M95" s="9">
        <f t="shared" ca="1" si="60"/>
        <v>590</v>
      </c>
      <c r="N95">
        <f t="shared" si="61"/>
        <v>0</v>
      </c>
      <c r="O95" s="14" t="str">
        <f t="shared" si="58"/>
        <v>Apr/May 26</v>
      </c>
      <c r="P95" s="8" t="str">
        <f t="shared" si="37"/>
        <v>Buy</v>
      </c>
      <c r="Q95">
        <f t="shared" ca="1" si="38"/>
        <v>590</v>
      </c>
      <c r="R95" s="38" t="str">
        <f>VLOOKUP(F95,Control!$B:$C,2,FALSE)</f>
        <v>Futures</v>
      </c>
      <c r="S95" s="38" t="str">
        <f>VLOOKUP(F95,Control!$B:$D,3,FALSE)</f>
        <v>WTI Sprds</v>
      </c>
      <c r="T95">
        <f t="shared" si="59"/>
        <v>2026</v>
      </c>
      <c r="U95" t="str">
        <f t="shared" si="40"/>
        <v>Buy</v>
      </c>
      <c r="V95" t="s">
        <v>96</v>
      </c>
      <c r="W95" t="str">
        <f>_xlfn.XLOOKUP(Table3[[#This Row],[Instrument]],Control!$B$2:$B$19,Control!$E$2:$E$19)</f>
        <v>WTI</v>
      </c>
      <c r="X95" s="14">
        <f>Table3[[#This Row],[Month1]]</f>
        <v>46142</v>
      </c>
      <c r="Y95" s="350">
        <f>Table3[[#This Row],[Quantity]]</f>
        <v>1000</v>
      </c>
      <c r="Z95" t="str">
        <f>_xlfn.XLOOKUP(Table3[[#This Row],[Instrument]],Control!$B$2:$B$19,Control!$F$2:$F$19)</f>
        <v>WTI</v>
      </c>
      <c r="AA95" s="14">
        <f>Table3[[#This Row],[Month2]]</f>
        <v>46173</v>
      </c>
      <c r="AB95" s="350">
        <f t="shared" si="57"/>
        <v>-1000</v>
      </c>
    </row>
    <row r="96" spans="1:28" ht="15" hidden="1" thickBot="1" x14ac:dyDescent="0.4">
      <c r="A96" t="s">
        <v>1724</v>
      </c>
      <c r="B96" t="str">
        <f>_xlfn.XLOOKUP(Table3[[#This Row],[Cargo Name]],Ledger[Cargo Name],Ledger[SAP Deal Number])</f>
        <v>GLE26HS00001</v>
      </c>
      <c r="C96">
        <v>0</v>
      </c>
      <c r="D96" s="227" t="s">
        <v>1664</v>
      </c>
      <c r="E96" s="228">
        <v>46014</v>
      </c>
      <c r="F96" s="229" t="s">
        <v>19</v>
      </c>
      <c r="G96" s="230" t="s">
        <v>268</v>
      </c>
      <c r="H96" s="276">
        <v>1400</v>
      </c>
      <c r="I96" s="231">
        <v>46053</v>
      </c>
      <c r="J96" s="231">
        <v>46053</v>
      </c>
      <c r="K96" s="232">
        <f>'Cargo Econs 2025'!D457</f>
        <v>-2.4499999999999997</v>
      </c>
      <c r="L96" s="233">
        <f>'Cargo Econs 2025'!D458</f>
        <v>-2.02</v>
      </c>
      <c r="M96" s="234">
        <f t="shared" ref="M96:M105" si="62">IFERROR((L96-K96)*H96,"")</f>
        <v>601.99999999999955</v>
      </c>
      <c r="N96" s="227">
        <f t="shared" si="61"/>
        <v>-3429.9999999999995</v>
      </c>
      <c r="O96" s="235" t="str">
        <f t="shared" si="58"/>
        <v>Jan 26</v>
      </c>
      <c r="P96" s="236" t="str">
        <f t="shared" ref="P96:P137" si="63">IF(H96&lt;0,"Sell","Buy")</f>
        <v>Buy</v>
      </c>
      <c r="Q96" s="227">
        <f t="shared" ref="Q96:Q137" si="64">H96*L96</f>
        <v>-2828</v>
      </c>
      <c r="R96" s="237" t="str">
        <f>VLOOKUP(F96,Control!$B:$C,2,FALSE)</f>
        <v>Physical</v>
      </c>
      <c r="S96" s="237" t="str">
        <f>VLOOKUP(F96,Control!$B:$D,3,FALSE)</f>
        <v>Physical</v>
      </c>
      <c r="T96" s="238">
        <f t="shared" si="59"/>
        <v>2026</v>
      </c>
      <c r="U96" t="str">
        <f t="shared" ref="U96:U137" si="65">IFERROR(IF(H96&gt;0,"Buy","Sell"),"")</f>
        <v>Buy</v>
      </c>
      <c r="V96" t="s">
        <v>96</v>
      </c>
      <c r="W96">
        <f>_xlfn.XLOOKUP(Table3[[#This Row],[Instrument]],Control!$B$2:$B$19,Control!$E$2:$E$19)</f>
        <v>0</v>
      </c>
      <c r="X96" s="14">
        <f>Table3[[#This Row],[Month1]]</f>
        <v>46053</v>
      </c>
      <c r="Y96" s="350">
        <f>Table3[[#This Row],[Quantity]]</f>
        <v>1400</v>
      </c>
      <c r="Z96">
        <f>_xlfn.XLOOKUP(Table3[[#This Row],[Instrument]],Control!$B$2:$B$19,Control!$F$2:$F$19)</f>
        <v>0</v>
      </c>
      <c r="AA96" s="14">
        <f>Table3[[#This Row],[Month2]]</f>
        <v>46053</v>
      </c>
      <c r="AB96" s="350">
        <f t="shared" si="57"/>
        <v>-1400</v>
      </c>
    </row>
    <row r="97" spans="1:28" ht="15" hidden="1" thickBot="1" x14ac:dyDescent="0.4">
      <c r="A97" t="s">
        <v>1724</v>
      </c>
      <c r="B97" t="str">
        <f>_xlfn.XLOOKUP(Table3[[#This Row],[Cargo Name]],Ledger[Cargo Name],Ledger[SAP Deal Number])</f>
        <v>GLE26HS00001</v>
      </c>
      <c r="C97">
        <v>0</v>
      </c>
      <c r="D97" t="s">
        <v>1664</v>
      </c>
      <c r="E97" s="174">
        <v>46014</v>
      </c>
      <c r="F97" s="10" t="s">
        <v>3</v>
      </c>
      <c r="G97" s="4" t="s">
        <v>268</v>
      </c>
      <c r="H97" s="253">
        <v>-1400</v>
      </c>
      <c r="I97" s="172">
        <v>46081</v>
      </c>
      <c r="J97" s="172">
        <v>46112</v>
      </c>
      <c r="K97" s="212">
        <v>0.22</v>
      </c>
      <c r="L97" s="192">
        <f ca="1">IF(OR(S97="WTI Sprds",S97="Brent Sprds",S97="WTI-Brent",S97="DFL"),INDEX(INDIRECT("'" &amp; S97 &amp; "'!$A$6:$XFD$1048576"),MATCH('PnL26'!$P$1,INDIRECT("'" &amp; S97 &amp; "'!$A$6:$A$1048576"),0),MATCH(EOMONTH(I97,0),INDIRECT("'" &amp; S97 &amp; "'!$A$4:$XFD$4"),0)),INDEX(BBG!$A:$BA,MATCH('PnL26'!$P$1,BBG!$A:$A,0),MATCH($I97,BBG!$A$4:$BA$4,0))-INDEX(BBG!$A:$BA,MATCH('PnL26'!$P$1,BBG!$A:$A,0),MATCH($J97,BBG!$A$4:$BA$4,0)))</f>
        <v>0.1</v>
      </c>
      <c r="M97" s="9">
        <f t="shared" ca="1" si="62"/>
        <v>168</v>
      </c>
      <c r="N97">
        <f t="shared" si="61"/>
        <v>-308</v>
      </c>
      <c r="O97" s="14" t="str">
        <f t="shared" si="58"/>
        <v>Feb/Mar 26</v>
      </c>
      <c r="P97" s="8" t="str">
        <f t="shared" si="63"/>
        <v>Sell</v>
      </c>
      <c r="Q97">
        <f t="shared" ca="1" si="64"/>
        <v>-140</v>
      </c>
      <c r="R97" s="38" t="str">
        <f>VLOOKUP(F97,Control!$B:$C,2,FALSE)</f>
        <v>Futures</v>
      </c>
      <c r="S97" s="38" t="str">
        <f>VLOOKUP(F97,Control!$B:$D,3,FALSE)</f>
        <v>WTI Sprds</v>
      </c>
      <c r="T97" s="240">
        <f t="shared" si="59"/>
        <v>2026</v>
      </c>
      <c r="U97" t="str">
        <f t="shared" si="65"/>
        <v>Sell</v>
      </c>
      <c r="V97" t="s">
        <v>96</v>
      </c>
      <c r="W97" t="str">
        <f>_xlfn.XLOOKUP(Table3[[#This Row],[Instrument]],Control!$B$2:$B$19,Control!$E$2:$E$19)</f>
        <v>WTI</v>
      </c>
      <c r="X97" s="14">
        <f>Table3[[#This Row],[Month1]]</f>
        <v>46081</v>
      </c>
      <c r="Y97" s="350">
        <f>Table3[[#This Row],[Quantity]]</f>
        <v>-1400</v>
      </c>
      <c r="Z97" t="str">
        <f>_xlfn.XLOOKUP(Table3[[#This Row],[Instrument]],Control!$B$2:$B$19,Control!$F$2:$F$19)</f>
        <v>WTI</v>
      </c>
      <c r="AA97" s="14">
        <f>Table3[[#This Row],[Month2]]</f>
        <v>46112</v>
      </c>
      <c r="AB97" s="350">
        <f t="shared" si="57"/>
        <v>1400</v>
      </c>
    </row>
    <row r="98" spans="1:28" ht="15" hidden="1" thickBot="1" x14ac:dyDescent="0.4">
      <c r="A98" t="s">
        <v>1724</v>
      </c>
      <c r="B98" t="str">
        <f>_xlfn.XLOOKUP(Table3[[#This Row],[Cargo Name]],Ledger[Cargo Name],Ledger[SAP Deal Number])</f>
        <v>GLE26HS00001</v>
      </c>
      <c r="C98">
        <v>0</v>
      </c>
      <c r="D98" t="s">
        <v>1664</v>
      </c>
      <c r="E98" s="174">
        <v>46014</v>
      </c>
      <c r="F98" s="10" t="s">
        <v>3</v>
      </c>
      <c r="G98" s="4" t="s">
        <v>268</v>
      </c>
      <c r="H98" s="253">
        <v>-1400</v>
      </c>
      <c r="I98" s="172">
        <v>46112</v>
      </c>
      <c r="J98" s="172">
        <v>46142</v>
      </c>
      <c r="K98" s="212">
        <v>0.14000000000000001</v>
      </c>
      <c r="L98" s="192">
        <f ca="1">IF(OR(S98="WTI Sprds",S98="Brent Sprds",S98="WTI-Brent",S98="DFL"),INDEX(INDIRECT("'" &amp; S98 &amp; "'!$A$6:$XFD$1048576"),MATCH('PnL26'!$P$1,INDIRECT("'" &amp; S98 &amp; "'!$A$6:$A$1048576"),0),MATCH(EOMONTH(I98,0),INDIRECT("'" &amp; S98 &amp; "'!$A$4:$XFD$4"),0)),INDEX(BBG!$A:$BA,MATCH('PnL26'!$P$1,BBG!$A:$A,0),MATCH($I98,BBG!$A$4:$BA$4,0))-INDEX(BBG!$A:$BA,MATCH('PnL26'!$P$1,BBG!$A:$A,0),MATCH($J98,BBG!$A$4:$BA$4,0)))</f>
        <v>0.03</v>
      </c>
      <c r="M98" s="9">
        <f t="shared" ca="1" si="62"/>
        <v>154.00000000000003</v>
      </c>
      <c r="N98">
        <f t="shared" si="61"/>
        <v>-196.00000000000003</v>
      </c>
      <c r="O98" s="14" t="str">
        <f t="shared" si="58"/>
        <v>Mar/Apr 26</v>
      </c>
      <c r="P98" s="8" t="str">
        <f t="shared" si="63"/>
        <v>Sell</v>
      </c>
      <c r="Q98">
        <f t="shared" ca="1" si="64"/>
        <v>-42</v>
      </c>
      <c r="R98" s="38" t="str">
        <f>VLOOKUP(F98,Control!$B:$C,2,FALSE)</f>
        <v>Futures</v>
      </c>
      <c r="S98" s="38" t="str">
        <f>VLOOKUP(F98,Control!$B:$D,3,FALSE)</f>
        <v>WTI Sprds</v>
      </c>
      <c r="T98" s="240">
        <f t="shared" si="59"/>
        <v>2026</v>
      </c>
      <c r="U98" t="str">
        <f t="shared" si="65"/>
        <v>Sell</v>
      </c>
      <c r="V98" t="s">
        <v>96</v>
      </c>
      <c r="W98" t="str">
        <f>_xlfn.XLOOKUP(Table3[[#This Row],[Instrument]],Control!$B$2:$B$19,Control!$E$2:$E$19)</f>
        <v>WTI</v>
      </c>
      <c r="X98" s="14">
        <f>Table3[[#This Row],[Month1]]</f>
        <v>46112</v>
      </c>
      <c r="Y98" s="350">
        <f>Table3[[#This Row],[Quantity]]</f>
        <v>-1400</v>
      </c>
      <c r="Z98" t="str">
        <f>_xlfn.XLOOKUP(Table3[[#This Row],[Instrument]],Control!$B$2:$B$19,Control!$F$2:$F$19)</f>
        <v>WTI</v>
      </c>
      <c r="AA98" s="14">
        <f>Table3[[#This Row],[Month2]]</f>
        <v>46142</v>
      </c>
      <c r="AB98" s="350">
        <f t="shared" si="57"/>
        <v>1400</v>
      </c>
    </row>
    <row r="99" spans="1:28" ht="15" hidden="1" thickBot="1" x14ac:dyDescent="0.4">
      <c r="A99" t="s">
        <v>1724</v>
      </c>
      <c r="B99" t="str">
        <f>_xlfn.XLOOKUP(Table3[[#This Row],[Cargo Name]],Ledger[Cargo Name],Ledger[SAP Deal Number])</f>
        <v>GLE26HS00001</v>
      </c>
      <c r="C99">
        <v>0</v>
      </c>
      <c r="D99" t="s">
        <v>1664</v>
      </c>
      <c r="E99" s="174">
        <v>46014</v>
      </c>
      <c r="F99" s="10" t="s">
        <v>10</v>
      </c>
      <c r="G99" s="4" t="s">
        <v>268</v>
      </c>
      <c r="H99" s="253">
        <v>-1400</v>
      </c>
      <c r="I99" s="172">
        <v>46142</v>
      </c>
      <c r="J99" s="172">
        <v>46142</v>
      </c>
      <c r="K99" s="212">
        <v>-3.55</v>
      </c>
      <c r="L99" s="192">
        <f ca="1">IF(OR(S99="WTI Sprds",S99="Brent Sprds",S99="WTI-Brent",S99="DFL"),INDEX(INDIRECT("'" &amp; S99 &amp; "'!$A$6:$XFD$1048576"),MATCH('PnL26'!$P$1,INDIRECT("'" &amp; S99 &amp; "'!$A$6:$A$1048576"),0),MATCH(EOMONTH(I99,0),INDIRECT("'" &amp; S99 &amp; "'!$A$4:$XFD$4"),0)),INDEX(BBG!$A:$BA,MATCH('PnL26'!$P$1,BBG!$A:$A,0),MATCH($I99,BBG!$A$4:$BA$4,0))-INDEX(BBG!$A:$BA,MATCH('PnL26'!$P$1,BBG!$A:$A,0),MATCH($J99,BBG!$A$4:$BA$4,0)))</f>
        <v>-5.46</v>
      </c>
      <c r="M99" s="9">
        <f t="shared" ca="1" si="62"/>
        <v>2674</v>
      </c>
      <c r="N99">
        <f t="shared" si="61"/>
        <v>4970</v>
      </c>
      <c r="O99" s="14" t="str">
        <f t="shared" si="58"/>
        <v>Apr 26</v>
      </c>
      <c r="P99" s="8" t="str">
        <f t="shared" si="63"/>
        <v>Sell</v>
      </c>
      <c r="Q99">
        <f t="shared" ca="1" si="64"/>
        <v>7644</v>
      </c>
      <c r="R99" s="38" t="str">
        <f>VLOOKUP(F99,Control!$B:$C,2,FALSE)</f>
        <v>Swaps</v>
      </c>
      <c r="S99" s="38" t="str">
        <f>VLOOKUP(F99,Control!$B:$D,3,FALSE)</f>
        <v>WTI-Brent</v>
      </c>
      <c r="T99" s="240">
        <f t="shared" si="59"/>
        <v>2026</v>
      </c>
      <c r="U99" t="str">
        <f t="shared" si="65"/>
        <v>Sell</v>
      </c>
      <c r="V99" t="s">
        <v>96</v>
      </c>
      <c r="W99" t="str">
        <f>_xlfn.XLOOKUP(Table3[[#This Row],[Instrument]],Control!$B$2:$B$19,Control!$E$2:$E$19)</f>
        <v>WTI</v>
      </c>
      <c r="X99" s="14">
        <f>Table3[[#This Row],[Month1]]</f>
        <v>46142</v>
      </c>
      <c r="Y99" s="350">
        <f>Table3[[#This Row],[Quantity]]</f>
        <v>-1400</v>
      </c>
      <c r="Z99" t="str">
        <f>_xlfn.XLOOKUP(Table3[[#This Row],[Instrument]],Control!$B$2:$B$19,Control!$F$2:$F$19)</f>
        <v>Brent</v>
      </c>
      <c r="AA99" s="14">
        <f>Table3[[#This Row],[Month2]]</f>
        <v>46142</v>
      </c>
      <c r="AB99" s="350">
        <f t="shared" si="57"/>
        <v>1400</v>
      </c>
    </row>
    <row r="100" spans="1:28" ht="15" hidden="1" thickBot="1" x14ac:dyDescent="0.4">
      <c r="A100" t="s">
        <v>1724</v>
      </c>
      <c r="B100" t="str">
        <f>_xlfn.XLOOKUP(Table3[[#This Row],[Cargo Name]],Ledger[Cargo Name],Ledger[SAP Deal Number])</f>
        <v>GLE26HS00001</v>
      </c>
      <c r="C100">
        <v>0</v>
      </c>
      <c r="D100" t="s">
        <v>1664</v>
      </c>
      <c r="E100" s="174">
        <v>46014</v>
      </c>
      <c r="F100" s="10" t="s">
        <v>10</v>
      </c>
      <c r="G100" s="4" t="s">
        <v>128</v>
      </c>
      <c r="H100" s="253">
        <v>500</v>
      </c>
      <c r="I100" s="172">
        <v>46112</v>
      </c>
      <c r="J100" s="172">
        <v>46112</v>
      </c>
      <c r="K100" s="212">
        <v>-3.73</v>
      </c>
      <c r="L100" s="192">
        <f ca="1">IF(OR(S100="WTI Sprds",S100="Brent Sprds",S100="WTI-Brent",S100="DFL"),INDEX(INDIRECT("'" &amp; S100 &amp; "'!$A$6:$XFD$1048576"),MATCH('PnL26'!$P$1,INDIRECT("'" &amp; S100 &amp; "'!$A$6:$A$1048576"),0),MATCH(EOMONTH(I100,0),INDIRECT("'" &amp; S100 &amp; "'!$A$4:$XFD$4"),0)),INDEX(BBG!$A:$BA,MATCH('PnL26'!$P$1,BBG!$A:$A,0),MATCH($I100,BBG!$A$4:$BA$4,0))-INDEX(BBG!$A:$BA,MATCH('PnL26'!$P$1,BBG!$A:$A,0),MATCH($J100,BBG!$A$4:$BA$4,0)))</f>
        <v>-5.48</v>
      </c>
      <c r="M100" s="9">
        <f t="shared" ca="1" si="62"/>
        <v>-875.00000000000023</v>
      </c>
      <c r="N100">
        <f t="shared" si="61"/>
        <v>-1865</v>
      </c>
      <c r="O100" s="14" t="str">
        <f t="shared" si="58"/>
        <v>Mar 26</v>
      </c>
      <c r="P100" s="8" t="str">
        <f t="shared" si="63"/>
        <v>Buy</v>
      </c>
      <c r="Q100">
        <f t="shared" ca="1" si="64"/>
        <v>-2740</v>
      </c>
      <c r="R100" s="38" t="str">
        <f>VLOOKUP(F100,Control!$B:$C,2,FALSE)</f>
        <v>Swaps</v>
      </c>
      <c r="S100" s="38" t="str">
        <f>VLOOKUP(F100,Control!$B:$D,3,FALSE)</f>
        <v>WTI-Brent</v>
      </c>
      <c r="T100" s="240">
        <f t="shared" si="59"/>
        <v>2026</v>
      </c>
      <c r="U100" t="str">
        <f t="shared" si="65"/>
        <v>Buy</v>
      </c>
      <c r="V100" t="s">
        <v>96</v>
      </c>
      <c r="W100" t="str">
        <f>_xlfn.XLOOKUP(Table3[[#This Row],[Instrument]],Control!$B$2:$B$19,Control!$E$2:$E$19)</f>
        <v>WTI</v>
      </c>
      <c r="X100" s="14">
        <f>Table3[[#This Row],[Month1]]</f>
        <v>46112</v>
      </c>
      <c r="Y100" s="350">
        <f>Table3[[#This Row],[Quantity]]</f>
        <v>500</v>
      </c>
      <c r="Z100" t="str">
        <f>_xlfn.XLOOKUP(Table3[[#This Row],[Instrument]],Control!$B$2:$B$19,Control!$F$2:$F$19)</f>
        <v>Brent</v>
      </c>
      <c r="AA100" s="14">
        <f>Table3[[#This Row],[Month2]]</f>
        <v>46112</v>
      </c>
      <c r="AB100" s="350">
        <f t="shared" si="57"/>
        <v>-500</v>
      </c>
    </row>
    <row r="101" spans="1:28" ht="15" hidden="1" thickBot="1" x14ac:dyDescent="0.4">
      <c r="A101" t="s">
        <v>1724</v>
      </c>
      <c r="B101" t="str">
        <f>_xlfn.XLOOKUP(Table3[[#This Row],[Cargo Name]],Ledger[Cargo Name],Ledger[SAP Deal Number])</f>
        <v>GLE26HS00001</v>
      </c>
      <c r="C101">
        <v>0</v>
      </c>
      <c r="D101" t="s">
        <v>1664</v>
      </c>
      <c r="E101" s="174">
        <v>46014</v>
      </c>
      <c r="F101" s="10" t="s">
        <v>3</v>
      </c>
      <c r="G101" s="4" t="s">
        <v>128</v>
      </c>
      <c r="H101" s="253">
        <v>87</v>
      </c>
      <c r="I101" s="172">
        <v>46081</v>
      </c>
      <c r="J101" s="172">
        <v>46112</v>
      </c>
      <c r="K101" s="212">
        <v>0.25</v>
      </c>
      <c r="L101" s="192">
        <f ca="1">IF(OR(S101="WTI Sprds",S101="Brent Sprds",S101="WTI-Brent",S101="DFL"),INDEX(INDIRECT("'" &amp; S101 &amp; "'!$A$6:$XFD$1048576"),MATCH('PnL26'!$P$1,INDIRECT("'" &amp; S101 &amp; "'!$A$6:$A$1048576"),0),MATCH(EOMONTH(I101,0),INDIRECT("'" &amp; S101 &amp; "'!$A$4:$XFD$4"),0)),INDEX(BBG!$A:$BA,MATCH('PnL26'!$P$1,BBG!$A:$A,0),MATCH($I101,BBG!$A$4:$BA$4,0))-INDEX(BBG!$A:$BA,MATCH('PnL26'!$P$1,BBG!$A:$A,0),MATCH($J101,BBG!$A$4:$BA$4,0)))</f>
        <v>0.1</v>
      </c>
      <c r="M101" s="9">
        <f t="shared" ca="1" si="62"/>
        <v>-13.049999999999999</v>
      </c>
      <c r="N101">
        <f t="shared" si="61"/>
        <v>21.75</v>
      </c>
      <c r="O101" s="14" t="str">
        <f t="shared" si="58"/>
        <v>Feb/Mar 26</v>
      </c>
      <c r="P101" s="8" t="str">
        <f t="shared" si="63"/>
        <v>Buy</v>
      </c>
      <c r="Q101">
        <f t="shared" ca="1" si="64"/>
        <v>8.7000000000000011</v>
      </c>
      <c r="R101" s="38" t="str">
        <f>VLOOKUP(F101,Control!$B:$C,2,FALSE)</f>
        <v>Futures</v>
      </c>
      <c r="S101" s="38" t="str">
        <f>VLOOKUP(F101,Control!$B:$D,3,FALSE)</f>
        <v>WTI Sprds</v>
      </c>
      <c r="T101" s="240">
        <f t="shared" si="59"/>
        <v>2026</v>
      </c>
      <c r="U101" t="str">
        <f t="shared" si="65"/>
        <v>Buy</v>
      </c>
      <c r="V101" t="s">
        <v>96</v>
      </c>
      <c r="W101" t="str">
        <f>_xlfn.XLOOKUP(Table3[[#This Row],[Instrument]],Control!$B$2:$B$19,Control!$E$2:$E$19)</f>
        <v>WTI</v>
      </c>
      <c r="X101" s="14">
        <f>Table3[[#This Row],[Month1]]</f>
        <v>46081</v>
      </c>
      <c r="Y101" s="350">
        <f>Table3[[#This Row],[Quantity]]</f>
        <v>87</v>
      </c>
      <c r="Z101" t="str">
        <f>_xlfn.XLOOKUP(Table3[[#This Row],[Instrument]],Control!$B$2:$B$19,Control!$F$2:$F$19)</f>
        <v>WTI</v>
      </c>
      <c r="AA101" s="14">
        <f>Table3[[#This Row],[Month2]]</f>
        <v>46112</v>
      </c>
      <c r="AB101" s="350">
        <f t="shared" si="57"/>
        <v>-87</v>
      </c>
    </row>
    <row r="102" spans="1:28" ht="15" hidden="1" thickBot="1" x14ac:dyDescent="0.4">
      <c r="A102" t="s">
        <v>1724</v>
      </c>
      <c r="B102" t="str">
        <f>_xlfn.XLOOKUP(Table3[[#This Row],[Cargo Name]],Ledger[Cargo Name],Ledger[SAP Deal Number])</f>
        <v>GLE26HS00001</v>
      </c>
      <c r="C102">
        <v>0</v>
      </c>
      <c r="D102" t="s">
        <v>1664</v>
      </c>
      <c r="E102" s="174">
        <v>46015</v>
      </c>
      <c r="F102" s="10" t="s">
        <v>3</v>
      </c>
      <c r="G102" s="4" t="s">
        <v>128</v>
      </c>
      <c r="H102" s="253">
        <v>500</v>
      </c>
      <c r="I102" s="172">
        <v>46081</v>
      </c>
      <c r="J102" s="172">
        <v>46112</v>
      </c>
      <c r="K102" s="212">
        <v>0.22</v>
      </c>
      <c r="L102" s="192">
        <f ca="1">IF(OR(S102="WTI Sprds",S102="Brent Sprds",S102="WTI-Brent",S102="DFL"),INDEX(INDIRECT("'" &amp; S102 &amp; "'!$A$6:$XFD$1048576"),MATCH('PnL26'!$P$1,INDIRECT("'" &amp; S102 &amp; "'!$A$6:$A$1048576"),0),MATCH(EOMONTH(I102,0),INDIRECT("'" &amp; S102 &amp; "'!$A$4:$XFD$4"),0)),INDEX(BBG!$A:$BA,MATCH('PnL26'!$P$1,BBG!$A:$A,0),MATCH($I102,BBG!$A$4:$BA$4,0))-INDEX(BBG!$A:$BA,MATCH('PnL26'!$P$1,BBG!$A:$A,0),MATCH($J102,BBG!$A$4:$BA$4,0)))</f>
        <v>0.1</v>
      </c>
      <c r="M102" s="9">
        <f t="shared" ca="1" si="62"/>
        <v>-60</v>
      </c>
      <c r="N102">
        <f t="shared" si="61"/>
        <v>110</v>
      </c>
      <c r="O102" s="14" t="str">
        <f t="shared" si="58"/>
        <v>Feb/Mar 26</v>
      </c>
      <c r="P102" s="8" t="str">
        <f t="shared" si="63"/>
        <v>Buy</v>
      </c>
      <c r="Q102">
        <f t="shared" ca="1" si="64"/>
        <v>50</v>
      </c>
      <c r="R102" s="38" t="str">
        <f>VLOOKUP(F102,Control!$B:$C,2,FALSE)</f>
        <v>Futures</v>
      </c>
      <c r="S102" s="38" t="str">
        <f>VLOOKUP(F102,Control!$B:$D,3,FALSE)</f>
        <v>WTI Sprds</v>
      </c>
      <c r="T102" s="240">
        <f t="shared" si="59"/>
        <v>2026</v>
      </c>
      <c r="U102" t="str">
        <f t="shared" si="65"/>
        <v>Buy</v>
      </c>
      <c r="V102" t="s">
        <v>96</v>
      </c>
      <c r="W102" t="str">
        <f>_xlfn.XLOOKUP(Table3[[#This Row],[Instrument]],Control!$B$2:$B$19,Control!$E$2:$E$19)</f>
        <v>WTI</v>
      </c>
      <c r="X102" s="14">
        <f>Table3[[#This Row],[Month1]]</f>
        <v>46081</v>
      </c>
      <c r="Y102" s="350">
        <f>Table3[[#This Row],[Quantity]]</f>
        <v>500</v>
      </c>
      <c r="Z102" t="str">
        <f>_xlfn.XLOOKUP(Table3[[#This Row],[Instrument]],Control!$B$2:$B$19,Control!$F$2:$F$19)</f>
        <v>WTI</v>
      </c>
      <c r="AA102" s="14">
        <f>Table3[[#This Row],[Month2]]</f>
        <v>46112</v>
      </c>
      <c r="AB102" s="350">
        <f t="shared" si="57"/>
        <v>-500</v>
      </c>
    </row>
    <row r="103" spans="1:28" ht="15" hidden="1" thickBot="1" x14ac:dyDescent="0.4">
      <c r="A103" t="s">
        <v>1724</v>
      </c>
      <c r="B103" t="str">
        <f>_xlfn.XLOOKUP(Table3[[#This Row],[Cargo Name]],Ledger[Cargo Name],Ledger[SAP Deal Number])</f>
        <v>ARA26HS00017</v>
      </c>
      <c r="C103">
        <v>0</v>
      </c>
      <c r="D103" s="227" t="s">
        <v>1672</v>
      </c>
      <c r="E103" s="302">
        <v>46020</v>
      </c>
      <c r="F103" s="229" t="s">
        <v>19</v>
      </c>
      <c r="G103" s="230" t="s">
        <v>268</v>
      </c>
      <c r="H103" s="276">
        <v>700</v>
      </c>
      <c r="I103" s="231">
        <v>46053</v>
      </c>
      <c r="J103" s="231">
        <v>46053</v>
      </c>
      <c r="K103" s="232">
        <f>'Cargo Econs 2025'!H457</f>
        <v>0.17862179999999928</v>
      </c>
      <c r="L103" s="315">
        <v>0.01</v>
      </c>
      <c r="M103" s="234">
        <f t="shared" si="62"/>
        <v>-118.03525999999948</v>
      </c>
      <c r="N103" s="227">
        <f t="shared" si="61"/>
        <v>125.0352599999995</v>
      </c>
      <c r="O103" s="235" t="str">
        <f t="shared" si="58"/>
        <v>Jan 26</v>
      </c>
      <c r="P103" s="236" t="str">
        <f t="shared" si="63"/>
        <v>Buy</v>
      </c>
      <c r="Q103" s="227">
        <f t="shared" si="64"/>
        <v>7</v>
      </c>
      <c r="R103" s="227" t="str">
        <f>VLOOKUP(F103,Control!$B:$C,2,FALSE)</f>
        <v>Physical</v>
      </c>
      <c r="S103" s="227" t="str">
        <f>VLOOKUP(F103,Control!$B:$D,3,FALSE)</f>
        <v>Physical</v>
      </c>
      <c r="T103" s="227">
        <f t="shared" si="59"/>
        <v>2026</v>
      </c>
      <c r="U103" s="238" t="str">
        <f t="shared" si="65"/>
        <v>Buy</v>
      </c>
      <c r="V103" t="s">
        <v>96</v>
      </c>
      <c r="W103">
        <f>_xlfn.XLOOKUP(Table3[[#This Row],[Instrument]],Control!$B$2:$B$19,Control!$E$2:$E$19)</f>
        <v>0</v>
      </c>
      <c r="X103" s="14">
        <f>Table3[[#This Row],[Month1]]</f>
        <v>46053</v>
      </c>
      <c r="Y103" s="350">
        <f>Table3[[#This Row],[Quantity]]</f>
        <v>700</v>
      </c>
      <c r="Z103">
        <f>_xlfn.XLOOKUP(Table3[[#This Row],[Instrument]],Control!$B$2:$B$19,Control!$F$2:$F$19)</f>
        <v>0</v>
      </c>
      <c r="AA103" s="14">
        <f>Table3[[#This Row],[Month2]]</f>
        <v>46053</v>
      </c>
      <c r="AB103" s="350">
        <f t="shared" si="57"/>
        <v>-700</v>
      </c>
    </row>
    <row r="104" spans="1:28" ht="15" hidden="1" thickBot="1" x14ac:dyDescent="0.4">
      <c r="A104" t="s">
        <v>1724</v>
      </c>
      <c r="B104" t="str">
        <f>_xlfn.XLOOKUP(Table3[[#This Row],[Cargo Name]],Ledger[Cargo Name],Ledger[SAP Deal Number])</f>
        <v>ARA26HS00017</v>
      </c>
      <c r="C104">
        <v>0</v>
      </c>
      <c r="D104" t="s">
        <v>1672</v>
      </c>
      <c r="E104" s="16">
        <v>46020</v>
      </c>
      <c r="F104" s="10" t="s">
        <v>10</v>
      </c>
      <c r="G104" s="4" t="s">
        <v>268</v>
      </c>
      <c r="H104" s="253">
        <v>-700</v>
      </c>
      <c r="I104" s="172">
        <v>46081</v>
      </c>
      <c r="J104" s="172">
        <v>46081</v>
      </c>
      <c r="K104" s="212">
        <v>-3.83</v>
      </c>
      <c r="L104" s="192">
        <f ca="1">IF(OR(S104="WTI Sprds",S104="Brent Sprds",S104="WTI-Brent",S104="DFL"),INDEX(INDIRECT("'" &amp; S104 &amp; "'!$A$6:$XFD$1048576"),MATCH('PnL26'!$P$1,INDIRECT("'" &amp; S104 &amp; "'!$A$6:$A$1048576"),0),MATCH(EOMONTH(I104,0),INDIRECT("'" &amp; S104 &amp; "'!$A$4:$XFD$4"),0)),INDEX(BBG!$A:$BA,MATCH('PnL26'!$P$1,BBG!$A:$A,0),MATCH($I104,BBG!$A$4:$BA$4,0))-INDEX(BBG!$A:$BA,MATCH('PnL26'!$P$1,BBG!$A:$A,0),MATCH($J104,BBG!$A$4:$BA$4,0)))</f>
        <v>-3.97</v>
      </c>
      <c r="M104" s="9">
        <f t="shared" ca="1" si="62"/>
        <v>98.000000000000085</v>
      </c>
      <c r="N104">
        <f t="shared" si="61"/>
        <v>2681</v>
      </c>
      <c r="O104" s="14" t="str">
        <f t="shared" si="58"/>
        <v>Feb 26</v>
      </c>
      <c r="P104" s="8" t="str">
        <f t="shared" si="63"/>
        <v>Sell</v>
      </c>
      <c r="Q104">
        <f t="shared" ca="1" si="64"/>
        <v>2779</v>
      </c>
      <c r="R104" t="str">
        <f>VLOOKUP(F104,Control!$B:$C,2,FALSE)</f>
        <v>Swaps</v>
      </c>
      <c r="S104" t="str">
        <f>VLOOKUP(F104,Control!$B:$D,3,FALSE)</f>
        <v>WTI-Brent</v>
      </c>
      <c r="T104">
        <f t="shared" si="59"/>
        <v>2026</v>
      </c>
      <c r="U104" s="240" t="str">
        <f t="shared" si="65"/>
        <v>Sell</v>
      </c>
      <c r="V104" t="s">
        <v>96</v>
      </c>
      <c r="W104" t="str">
        <f>_xlfn.XLOOKUP(Table3[[#This Row],[Instrument]],Control!$B$2:$B$19,Control!$E$2:$E$19)</f>
        <v>WTI</v>
      </c>
      <c r="X104" s="14">
        <f>Table3[[#This Row],[Month1]]</f>
        <v>46081</v>
      </c>
      <c r="Y104" s="350">
        <f>Table3[[#This Row],[Quantity]]</f>
        <v>-700</v>
      </c>
      <c r="Z104" t="str">
        <f>_xlfn.XLOOKUP(Table3[[#This Row],[Instrument]],Control!$B$2:$B$19,Control!$F$2:$F$19)</f>
        <v>Brent</v>
      </c>
      <c r="AA104" s="14">
        <f>Table3[[#This Row],[Month2]]</f>
        <v>46081</v>
      </c>
      <c r="AB104" s="350">
        <f t="shared" si="57"/>
        <v>700</v>
      </c>
    </row>
    <row r="105" spans="1:28" ht="15" hidden="1" thickBot="1" x14ac:dyDescent="0.4">
      <c r="A105" t="s">
        <v>1724</v>
      </c>
      <c r="B105" t="str">
        <f>_xlfn.XLOOKUP(Table3[[#This Row],[Cargo Name]],Ledger[Cargo Name],Ledger[SAP Deal Number])</f>
        <v>ARA26HS00017</v>
      </c>
      <c r="C105">
        <v>0</v>
      </c>
      <c r="D105" t="s">
        <v>1672</v>
      </c>
      <c r="E105" s="16">
        <v>46020</v>
      </c>
      <c r="F105" s="10" t="s">
        <v>10</v>
      </c>
      <c r="G105" s="4" t="s">
        <v>128</v>
      </c>
      <c r="H105" s="253">
        <v>700</v>
      </c>
      <c r="I105" s="172">
        <v>46081</v>
      </c>
      <c r="J105" s="172">
        <v>46081</v>
      </c>
      <c r="K105" s="212">
        <v>-3.86</v>
      </c>
      <c r="L105" s="192">
        <f ca="1">IF(OR(S105="WTI Sprds",S105="Brent Sprds",S105="WTI-Brent",S105="DFL"),INDEX(INDIRECT("'" &amp; S105 &amp; "'!$A$6:$XFD$1048576"),MATCH('PnL26'!$P$1,INDIRECT("'" &amp; S105 &amp; "'!$A$6:$A$1048576"),0),MATCH(EOMONTH(I105,0),INDIRECT("'" &amp; S105 &amp; "'!$A$4:$XFD$4"),0)),INDEX(BBG!$A:$BA,MATCH('PnL26'!$P$1,BBG!$A:$A,0),MATCH($I105,BBG!$A$4:$BA$4,0))-INDEX(BBG!$A:$BA,MATCH('PnL26'!$P$1,BBG!$A:$A,0),MATCH($J105,BBG!$A$4:$BA$4,0)))</f>
        <v>-3.97</v>
      </c>
      <c r="M105" s="9">
        <f t="shared" ca="1" si="62"/>
        <v>-77.000000000000227</v>
      </c>
      <c r="N105">
        <f t="shared" si="61"/>
        <v>-2702</v>
      </c>
      <c r="O105" s="14" t="str">
        <f t="shared" si="58"/>
        <v>Feb 26</v>
      </c>
      <c r="P105" s="8" t="str">
        <f t="shared" si="63"/>
        <v>Buy</v>
      </c>
      <c r="Q105">
        <f t="shared" ca="1" si="64"/>
        <v>-2779</v>
      </c>
      <c r="R105" t="str">
        <f>VLOOKUP(F105,Control!$B:$C,2,FALSE)</f>
        <v>Swaps</v>
      </c>
      <c r="S105" t="str">
        <f>VLOOKUP(F105,Control!$B:$D,3,FALSE)</f>
        <v>WTI-Brent</v>
      </c>
      <c r="T105">
        <f t="shared" si="59"/>
        <v>2026</v>
      </c>
      <c r="U105" s="240" t="str">
        <f t="shared" si="65"/>
        <v>Buy</v>
      </c>
      <c r="V105" t="s">
        <v>96</v>
      </c>
      <c r="W105" t="str">
        <f>_xlfn.XLOOKUP(Table3[[#This Row],[Instrument]],Control!$B$2:$B$19,Control!$E$2:$E$19)</f>
        <v>WTI</v>
      </c>
      <c r="X105" s="14">
        <f>Table3[[#This Row],[Month1]]</f>
        <v>46081</v>
      </c>
      <c r="Y105" s="350">
        <f>Table3[[#This Row],[Quantity]]</f>
        <v>700</v>
      </c>
      <c r="Z105" t="str">
        <f>_xlfn.XLOOKUP(Table3[[#This Row],[Instrument]],Control!$B$2:$B$19,Control!$F$2:$F$19)</f>
        <v>Brent</v>
      </c>
      <c r="AA105" s="14">
        <f>Table3[[#This Row],[Month2]]</f>
        <v>46081</v>
      </c>
      <c r="AB105" s="350">
        <f t="shared" si="57"/>
        <v>-700</v>
      </c>
    </row>
    <row r="106" spans="1:28" ht="15" hidden="1" thickBot="1" x14ac:dyDescent="0.4">
      <c r="A106" t="s">
        <v>1724</v>
      </c>
      <c r="B106" t="str">
        <f>_xlfn.XLOOKUP(Table3[[#This Row],[Cargo Name]],Ledger[Cargo Name],Ledger[SAP Deal Number])</f>
        <v>ARA26HS00017</v>
      </c>
      <c r="C106">
        <v>0</v>
      </c>
      <c r="D106" t="s">
        <v>1672</v>
      </c>
      <c r="E106" s="16">
        <v>46020</v>
      </c>
      <c r="F106" s="47" t="s">
        <v>36</v>
      </c>
      <c r="G106" s="4" t="s">
        <v>268</v>
      </c>
      <c r="H106" s="253">
        <v>-700</v>
      </c>
      <c r="I106" s="172">
        <v>46081</v>
      </c>
      <c r="J106" s="172">
        <v>46081</v>
      </c>
      <c r="K106" s="219">
        <v>188</v>
      </c>
      <c r="L106" s="314">
        <f>VLOOKUP(I106,[2]USG!$O$45:$S$100,MATCH(F106,[2]USG!$O$46:$S$46,0),FALSE)</f>
        <v>290</v>
      </c>
      <c r="M106" s="25">
        <f>IF(Table3[[#This Row],[Quantity]]&gt;0,-21.47*70*(Table3[[#This Row],[Price]]-Table3[[#This Row],[Mtm]])/100,21.47*70*(Table3[[#This Row],[Price]]-Table3[[#This Row],[Mtm]])/100)</f>
        <v>-1532.9579999999999</v>
      </c>
      <c r="N106">
        <f t="shared" si="61"/>
        <v>-131600</v>
      </c>
      <c r="O106" s="14" t="str">
        <f t="shared" si="58"/>
        <v>Feb 26</v>
      </c>
      <c r="P106" s="8" t="str">
        <f t="shared" si="63"/>
        <v>Sell</v>
      </c>
      <c r="Q106">
        <f t="shared" si="64"/>
        <v>-203000</v>
      </c>
      <c r="R106" t="str">
        <f>VLOOKUP(F106,Control!$B:$C,2,FALSE)</f>
        <v>Freight</v>
      </c>
      <c r="S106" t="str">
        <f>VLOOKUP(F106,Control!$B:$D,3,FALSE)</f>
        <v>Freight</v>
      </c>
      <c r="T106">
        <f t="shared" si="59"/>
        <v>2026</v>
      </c>
      <c r="U106" s="240" t="str">
        <f t="shared" si="65"/>
        <v>Sell</v>
      </c>
      <c r="V106" t="s">
        <v>96</v>
      </c>
      <c r="W106" t="e">
        <f>_xlfn.XLOOKUP(Table3[[#This Row],[Instrument]],Control!$B$2:$B$19,Control!$E$2:$E$19)</f>
        <v>#N/A</v>
      </c>
      <c r="X106" s="14">
        <f>Table3[[#This Row],[Month1]]</f>
        <v>46081</v>
      </c>
      <c r="Y106" s="350">
        <f>Table3[[#This Row],[Quantity]]</f>
        <v>-700</v>
      </c>
      <c r="Z106" t="e">
        <f>_xlfn.XLOOKUP(Table3[[#This Row],[Instrument]],Control!$B$2:$B$19,Control!$F$2:$F$19)</f>
        <v>#N/A</v>
      </c>
      <c r="AA106" s="14">
        <f>Table3[[#This Row],[Month2]]</f>
        <v>46081</v>
      </c>
      <c r="AB106" s="350">
        <f t="shared" si="57"/>
        <v>700</v>
      </c>
    </row>
    <row r="107" spans="1:28" ht="15" hidden="1" thickBot="1" x14ac:dyDescent="0.4">
      <c r="A107" t="s">
        <v>1724</v>
      </c>
      <c r="B107" t="str">
        <f>_xlfn.XLOOKUP(Table3[[#This Row],[Cargo Name]],Ledger[Cargo Name],Ledger[SAP Deal Number])</f>
        <v>ARA26HS00017</v>
      </c>
      <c r="C107">
        <v>0</v>
      </c>
      <c r="D107" t="s">
        <v>1672</v>
      </c>
      <c r="E107" s="16">
        <v>46020</v>
      </c>
      <c r="F107" s="47" t="s">
        <v>36</v>
      </c>
      <c r="G107" s="4" t="s">
        <v>128</v>
      </c>
      <c r="H107" s="253">
        <v>700</v>
      </c>
      <c r="I107" s="172">
        <v>46081</v>
      </c>
      <c r="J107" s="172">
        <v>46081</v>
      </c>
      <c r="K107" s="219">
        <v>260</v>
      </c>
      <c r="L107" s="314">
        <f>VLOOKUP(I107,[2]USG!$O$45:$S$100,MATCH(F107,[2]USG!$O$46:$S$46,0),FALSE)</f>
        <v>290</v>
      </c>
      <c r="M107" s="25">
        <f>IF(Table3[[#This Row],[Quantity]]&gt;0,-21.47*70*(Table3[[#This Row],[Price]]-Table3[[#This Row],[Mtm]])/100,21.47*70*(Table3[[#This Row],[Price]]-Table3[[#This Row],[Mtm]])/100)</f>
        <v>450.86999999999995</v>
      </c>
      <c r="N107">
        <f t="shared" ref="N107" si="66">H107*K107</f>
        <v>182000</v>
      </c>
      <c r="O107" s="14" t="str">
        <f t="shared" ref="O107" si="67">IF(I107=J107,TEXT(I107,"MMM YY"),TEXT(I107,"MMM")&amp;"/"&amp;TEXT(J107,"MMM")&amp;" "&amp;RIGHT(T107,2))</f>
        <v>Feb 26</v>
      </c>
      <c r="P107" s="8" t="str">
        <f t="shared" ref="P107" si="68">IF(H107&lt;0,"Sell","Buy")</f>
        <v>Buy</v>
      </c>
      <c r="Q107">
        <f t="shared" ref="Q107" si="69">H107*L107</f>
        <v>203000</v>
      </c>
      <c r="R107" t="str">
        <f>VLOOKUP(F107,Control!$B:$C,2,FALSE)</f>
        <v>Freight</v>
      </c>
      <c r="S107" t="str">
        <f>VLOOKUP(F107,Control!$B:$D,3,FALSE)</f>
        <v>Freight</v>
      </c>
      <c r="T107">
        <f t="shared" ref="T107" si="70">YEAR(I107)</f>
        <v>2026</v>
      </c>
      <c r="U107" s="240" t="str">
        <f t="shared" ref="U107" si="71">IFERROR(IF(H107&gt;0,"Buy","Sell"),"")</f>
        <v>Buy</v>
      </c>
      <c r="V107" t="s">
        <v>96</v>
      </c>
      <c r="W107" t="e">
        <f>_xlfn.XLOOKUP(Table3[[#This Row],[Instrument]],Control!$B$2:$B$19,Control!$E$2:$E$19)</f>
        <v>#N/A</v>
      </c>
      <c r="X107" s="14">
        <f>Table3[[#This Row],[Month1]]</f>
        <v>46081</v>
      </c>
      <c r="Y107" s="350">
        <f>Table3[[#This Row],[Quantity]]</f>
        <v>700</v>
      </c>
      <c r="Z107" t="e">
        <f>_xlfn.XLOOKUP(Table3[[#This Row],[Instrument]],Control!$B$2:$B$19,Control!$F$2:$F$19)</f>
        <v>#N/A</v>
      </c>
      <c r="AA107" s="14">
        <f>Table3[[#This Row],[Month2]]</f>
        <v>46081</v>
      </c>
      <c r="AB107" s="350">
        <f t="shared" si="57"/>
        <v>-700</v>
      </c>
    </row>
    <row r="108" spans="1:28" ht="15" hidden="1" thickBot="1" x14ac:dyDescent="0.4">
      <c r="A108" t="s">
        <v>1724</v>
      </c>
      <c r="B108" t="str">
        <f>_xlfn.XLOOKUP(Table3[[#This Row],[Cargo Name]],Ledger[Cargo Name],Ledger[SAP Deal Number])</f>
        <v>ARA26HS00017</v>
      </c>
      <c r="C108">
        <v>0</v>
      </c>
      <c r="D108" s="160" t="s">
        <v>1672</v>
      </c>
      <c r="E108" s="316">
        <v>46020</v>
      </c>
      <c r="F108" s="378" t="s">
        <v>39</v>
      </c>
      <c r="G108" s="317" t="s">
        <v>268</v>
      </c>
      <c r="H108" s="277">
        <v>700</v>
      </c>
      <c r="I108" s="244">
        <v>46081</v>
      </c>
      <c r="J108" s="244">
        <v>46081</v>
      </c>
      <c r="K108" s="318">
        <v>123</v>
      </c>
      <c r="L108" s="319">
        <f>VLOOKUP(I108,[2]USG!$O$45:$S$100,MATCH(F108,[2]USG!$O$46:$S$46,0),FALSE)</f>
        <v>192.5</v>
      </c>
      <c r="M108" s="33">
        <f>7.14*86.7*(Table3[[#This Row],[Mtm]]-Table3[[#This Row],[Price]])/100</f>
        <v>430.23141000000004</v>
      </c>
      <c r="N108" s="160">
        <f t="shared" si="61"/>
        <v>86100</v>
      </c>
      <c r="O108" s="248" t="str">
        <f t="shared" si="58"/>
        <v>Feb 26</v>
      </c>
      <c r="P108" s="249" t="str">
        <f t="shared" si="63"/>
        <v>Buy</v>
      </c>
      <c r="Q108" s="160">
        <f t="shared" si="64"/>
        <v>134750</v>
      </c>
      <c r="R108" s="160" t="str">
        <f>VLOOKUP(F108,Control!$B:$C,2,FALSE)</f>
        <v>Freight</v>
      </c>
      <c r="S108" s="160" t="str">
        <f>VLOOKUP(F108,Control!$B:$D,3,FALSE)</f>
        <v>Freight</v>
      </c>
      <c r="T108" s="160">
        <f t="shared" si="59"/>
        <v>2026</v>
      </c>
      <c r="U108" s="251" t="str">
        <f t="shared" si="65"/>
        <v>Buy</v>
      </c>
      <c r="V108" t="s">
        <v>96</v>
      </c>
      <c r="W108" t="e">
        <f>_xlfn.XLOOKUP(Table3[[#This Row],[Instrument]],Control!$B$2:$B$19,Control!$E$2:$E$19)</f>
        <v>#N/A</v>
      </c>
      <c r="X108" s="14">
        <f>Table3[[#This Row],[Month1]]</f>
        <v>46081</v>
      </c>
      <c r="Y108" s="350">
        <f>Table3[[#This Row],[Quantity]]</f>
        <v>700</v>
      </c>
      <c r="Z108" t="e">
        <f>_xlfn.XLOOKUP(Table3[[#This Row],[Instrument]],Control!$B$2:$B$19,Control!$F$2:$F$19)</f>
        <v>#N/A</v>
      </c>
      <c r="AA108" s="14">
        <f>Table3[[#This Row],[Month2]]</f>
        <v>46081</v>
      </c>
      <c r="AB108" s="350">
        <f t="shared" si="57"/>
        <v>-700</v>
      </c>
    </row>
    <row r="109" spans="1:28" ht="15" hidden="1" thickBot="1" x14ac:dyDescent="0.4">
      <c r="A109" t="s">
        <v>1724</v>
      </c>
      <c r="B109" t="str">
        <f>_xlfn.XLOOKUP(Table3[[#This Row],[Cargo Name]],Ledger[Cargo Name],Ledger[SAP Deal Number])</f>
        <v>ARA26HS00017</v>
      </c>
      <c r="C109">
        <v>0</v>
      </c>
      <c r="D109" s="160" t="s">
        <v>1672</v>
      </c>
      <c r="E109" s="316">
        <v>46020</v>
      </c>
      <c r="F109" s="378" t="s">
        <v>39</v>
      </c>
      <c r="G109" s="317" t="s">
        <v>128</v>
      </c>
      <c r="H109" s="277">
        <v>-700</v>
      </c>
      <c r="I109" s="244">
        <v>46081</v>
      </c>
      <c r="J109" s="244">
        <v>46081</v>
      </c>
      <c r="K109" s="318">
        <v>192.5</v>
      </c>
      <c r="L109" s="319">
        <f>VLOOKUP(I109,[2]USG!$O$45:$S$100,MATCH(F109,[2]USG!$O$46:$S$46,0),FALSE)</f>
        <v>192.5</v>
      </c>
      <c r="M109" s="33">
        <f>7.14*86.7*(Table3[[#This Row],[Mtm]]-Table3[[#This Row],[Price]])/100</f>
        <v>0</v>
      </c>
      <c r="N109" s="160">
        <f t="shared" ref="N109" si="72">H109*K109</f>
        <v>-134750</v>
      </c>
      <c r="O109" s="248" t="str">
        <f t="shared" ref="O109" si="73">IF(I109=J109,TEXT(I109,"MMM YY"),TEXT(I109,"MMM")&amp;"/"&amp;TEXT(J109,"MMM")&amp;" "&amp;RIGHT(T109,2))</f>
        <v>Feb 26</v>
      </c>
      <c r="P109" s="249" t="str">
        <f t="shared" ref="P109" si="74">IF(H109&lt;0,"Sell","Buy")</f>
        <v>Sell</v>
      </c>
      <c r="Q109" s="160">
        <f t="shared" ref="Q109" si="75">H109*L109</f>
        <v>-134750</v>
      </c>
      <c r="R109" s="160" t="str">
        <f>VLOOKUP(F109,Control!$B:$C,2,FALSE)</f>
        <v>Freight</v>
      </c>
      <c r="S109" s="160" t="str">
        <f>VLOOKUP(F109,Control!$B:$D,3,FALSE)</f>
        <v>Freight</v>
      </c>
      <c r="T109" s="160">
        <f t="shared" ref="T109" si="76">YEAR(I109)</f>
        <v>2026</v>
      </c>
      <c r="U109" s="251" t="str">
        <f t="shared" ref="U109" si="77">IFERROR(IF(H109&gt;0,"Buy","Sell"),"")</f>
        <v>Sell</v>
      </c>
      <c r="V109" t="s">
        <v>96</v>
      </c>
      <c r="W109" t="e">
        <f>_xlfn.XLOOKUP(Table3[[#This Row],[Instrument]],Control!$B$2:$B$19,Control!$E$2:$E$19)</f>
        <v>#N/A</v>
      </c>
      <c r="X109" s="14">
        <f>Table3[[#This Row],[Month1]]</f>
        <v>46081</v>
      </c>
      <c r="Y109" s="350">
        <f>Table3[[#This Row],[Quantity]]</f>
        <v>-700</v>
      </c>
      <c r="Z109" t="e">
        <f>_xlfn.XLOOKUP(Table3[[#This Row],[Instrument]],Control!$B$2:$B$19,Control!$F$2:$F$19)</f>
        <v>#N/A</v>
      </c>
      <c r="AA109" s="14">
        <f>Table3[[#This Row],[Month2]]</f>
        <v>46081</v>
      </c>
      <c r="AB109" s="350">
        <f t="shared" si="57"/>
        <v>700</v>
      </c>
    </row>
    <row r="110" spans="1:28" ht="15" hidden="1" thickBot="1" x14ac:dyDescent="0.4">
      <c r="A110" t="s">
        <v>1724</v>
      </c>
      <c r="B110" t="str">
        <f>_xlfn.XLOOKUP(Table3[[#This Row],[Cargo Name]],Ledger[Cargo Name],Ledger[SAP Deal Number])</f>
        <v>VIT26HS00009</v>
      </c>
      <c r="C110">
        <v>0</v>
      </c>
      <c r="D110" s="227" t="s">
        <v>1678</v>
      </c>
      <c r="E110" s="302">
        <v>46020</v>
      </c>
      <c r="F110" s="229" t="s">
        <v>19</v>
      </c>
      <c r="G110" s="230" t="s">
        <v>268</v>
      </c>
      <c r="H110" s="276">
        <v>700</v>
      </c>
      <c r="I110" s="231">
        <v>46081</v>
      </c>
      <c r="J110" s="231">
        <v>46081</v>
      </c>
      <c r="K110" s="232">
        <f>'Cargo Econs 2025'!L457</f>
        <v>-2.65</v>
      </c>
      <c r="L110" s="315">
        <v>-2.3199999999999998</v>
      </c>
      <c r="M110" s="234">
        <f t="shared" ref="M110:M126" si="78">IFERROR((L110-K110)*H110,"")</f>
        <v>231.00000000000006</v>
      </c>
      <c r="N110" s="227">
        <f t="shared" si="61"/>
        <v>-1855</v>
      </c>
      <c r="O110" s="235" t="str">
        <f t="shared" si="58"/>
        <v>Feb 26</v>
      </c>
      <c r="P110" s="236" t="str">
        <f t="shared" si="63"/>
        <v>Buy</v>
      </c>
      <c r="Q110" s="227">
        <f t="shared" si="64"/>
        <v>-1624</v>
      </c>
      <c r="R110" s="227" t="str">
        <f>VLOOKUP(F110,Control!$B:$C,2,FALSE)</f>
        <v>Physical</v>
      </c>
      <c r="S110" s="227" t="str">
        <f>VLOOKUP(F110,Control!$B:$D,3,FALSE)</f>
        <v>Physical</v>
      </c>
      <c r="T110" s="227">
        <f t="shared" si="59"/>
        <v>2026</v>
      </c>
      <c r="U110" s="238" t="str">
        <f t="shared" si="65"/>
        <v>Buy</v>
      </c>
      <c r="V110" t="s">
        <v>96</v>
      </c>
      <c r="W110">
        <f>_xlfn.XLOOKUP(Table3[[#This Row],[Instrument]],Control!$B$2:$B$19,Control!$E$2:$E$19)</f>
        <v>0</v>
      </c>
      <c r="X110" s="14">
        <f>Table3[[#This Row],[Month1]]</f>
        <v>46081</v>
      </c>
      <c r="Y110" s="350">
        <f>Table3[[#This Row],[Quantity]]</f>
        <v>700</v>
      </c>
      <c r="Z110">
        <f>_xlfn.XLOOKUP(Table3[[#This Row],[Instrument]],Control!$B$2:$B$19,Control!$F$2:$F$19)</f>
        <v>0</v>
      </c>
      <c r="AA110" s="14">
        <f>Table3[[#This Row],[Month2]]</f>
        <v>46081</v>
      </c>
      <c r="AB110" s="350">
        <f t="shared" si="57"/>
        <v>-700</v>
      </c>
    </row>
    <row r="111" spans="1:28" ht="15" hidden="1" thickBot="1" x14ac:dyDescent="0.4">
      <c r="A111" t="s">
        <v>1724</v>
      </c>
      <c r="B111" t="str">
        <f>_xlfn.XLOOKUP(Table3[[#This Row],[Cargo Name]],Ledger[Cargo Name],Ledger[SAP Deal Number])</f>
        <v>VIT26HS00009</v>
      </c>
      <c r="C111">
        <v>0</v>
      </c>
      <c r="D111" t="s">
        <v>1678</v>
      </c>
      <c r="E111" s="12">
        <v>46020</v>
      </c>
      <c r="F111" s="10" t="s">
        <v>44</v>
      </c>
      <c r="G111" s="10" t="s">
        <v>268</v>
      </c>
      <c r="H111" s="259"/>
      <c r="I111" s="172">
        <v>46081</v>
      </c>
      <c r="J111" s="172">
        <v>46081</v>
      </c>
      <c r="K111" s="15">
        <v>0.73</v>
      </c>
      <c r="L111" s="191">
        <f>VLOOKUP(I111,'PnL26'!$E$6:$G$54,3,FALSE)</f>
        <v>1.26</v>
      </c>
      <c r="M111" s="9">
        <f t="shared" si="78"/>
        <v>0</v>
      </c>
      <c r="N111">
        <f t="shared" si="61"/>
        <v>0</v>
      </c>
      <c r="O111" s="14" t="str">
        <f t="shared" si="58"/>
        <v>Feb 26</v>
      </c>
      <c r="P111" s="8" t="str">
        <f t="shared" si="63"/>
        <v>Buy</v>
      </c>
      <c r="Q111">
        <f t="shared" si="64"/>
        <v>0</v>
      </c>
      <c r="R111" s="38" t="str">
        <f>VLOOKUP(F111,Control!$B:$C,2,FALSE)</f>
        <v>Swaps</v>
      </c>
      <c r="S111" s="38" t="str">
        <f>VLOOKUP(F111,Control!$B:$D,3,FALSE)</f>
        <v>MEH</v>
      </c>
      <c r="T111">
        <f t="shared" si="59"/>
        <v>2026</v>
      </c>
      <c r="U111" t="str">
        <f t="shared" si="65"/>
        <v>Sell</v>
      </c>
      <c r="V111" t="s">
        <v>96</v>
      </c>
      <c r="W111">
        <f>_xlfn.XLOOKUP(Table3[[#This Row],[Instrument]],Control!$B$2:$B$19,Control!$E$2:$E$19)</f>
        <v>0</v>
      </c>
      <c r="X111" s="14">
        <f>Table3[[#This Row],[Month1]]</f>
        <v>46081</v>
      </c>
      <c r="Y111" s="350">
        <f>Table3[[#This Row],[Quantity]]</f>
        <v>0</v>
      </c>
      <c r="Z111">
        <f>_xlfn.XLOOKUP(Table3[[#This Row],[Instrument]],Control!$B$2:$B$19,Control!$F$2:$F$19)</f>
        <v>0</v>
      </c>
      <c r="AA111" s="14">
        <f>Table3[[#This Row],[Month2]]</f>
        <v>46081</v>
      </c>
      <c r="AB111" s="350">
        <f t="shared" si="57"/>
        <v>0</v>
      </c>
    </row>
    <row r="112" spans="1:28" ht="15" hidden="1" thickBot="1" x14ac:dyDescent="0.4">
      <c r="A112" t="s">
        <v>1724</v>
      </c>
      <c r="B112" t="str">
        <f>_xlfn.XLOOKUP(Table3[[#This Row],[Cargo Name]],Ledger[Cargo Name],Ledger[SAP Deal Number])</f>
        <v>VIT26HS00009</v>
      </c>
      <c r="C112">
        <v>0</v>
      </c>
      <c r="D112" t="s">
        <v>1678</v>
      </c>
      <c r="E112" s="16">
        <v>46020</v>
      </c>
      <c r="F112" s="10" t="s">
        <v>3</v>
      </c>
      <c r="G112" s="4" t="s">
        <v>268</v>
      </c>
      <c r="H112" s="253">
        <v>-700</v>
      </c>
      <c r="I112" s="172">
        <v>46081</v>
      </c>
      <c r="J112" s="172">
        <v>46112</v>
      </c>
      <c r="K112" s="212">
        <v>0.24</v>
      </c>
      <c r="L112" s="192">
        <f ca="1">IF(OR(S112="WTI Sprds",S112="Brent Sprds",S112="WTI-Brent",S112="DFL"),INDEX(INDIRECT("'" &amp; S112 &amp; "'!$A$6:$XFD$1048576"),MATCH('PnL26'!$P$1,INDIRECT("'" &amp; S112 &amp; "'!$A$6:$A$1048576"),0),MATCH(EOMONTH(I112,0),INDIRECT("'" &amp; S112 &amp; "'!$A$4:$XFD$4"),0)),INDEX(BBG!$A:$BA,MATCH('PnL26'!$P$1,BBG!$A:$A,0),MATCH($I112,BBG!$A$4:$BA$4,0))-INDEX(BBG!$A:$BA,MATCH('PnL26'!$P$1,BBG!$A:$A,0),MATCH($J112,BBG!$A$4:$BA$4,0)))</f>
        <v>0.1</v>
      </c>
      <c r="M112" s="9">
        <f t="shared" ca="1" si="78"/>
        <v>97.999999999999986</v>
      </c>
      <c r="N112">
        <f t="shared" si="61"/>
        <v>-168</v>
      </c>
      <c r="O112" s="14" t="str">
        <f t="shared" si="58"/>
        <v>Feb/Mar 26</v>
      </c>
      <c r="P112" s="8" t="str">
        <f t="shared" si="63"/>
        <v>Sell</v>
      </c>
      <c r="Q112">
        <f t="shared" ca="1" si="64"/>
        <v>-70</v>
      </c>
      <c r="R112" t="str">
        <f>VLOOKUP(F112,Control!$B:$C,2,FALSE)</f>
        <v>Futures</v>
      </c>
      <c r="S112" t="str">
        <f>VLOOKUP(F112,Control!$B:$D,3,FALSE)</f>
        <v>WTI Sprds</v>
      </c>
      <c r="T112">
        <f t="shared" si="59"/>
        <v>2026</v>
      </c>
      <c r="U112" s="240" t="str">
        <f t="shared" si="65"/>
        <v>Sell</v>
      </c>
      <c r="V112" t="s">
        <v>96</v>
      </c>
      <c r="W112" t="str">
        <f>_xlfn.XLOOKUP(Table3[[#This Row],[Instrument]],Control!$B$2:$B$19,Control!$E$2:$E$19)</f>
        <v>WTI</v>
      </c>
      <c r="X112" s="14">
        <f>Table3[[#This Row],[Month1]]</f>
        <v>46081</v>
      </c>
      <c r="Y112" s="350">
        <f>Table3[[#This Row],[Quantity]]</f>
        <v>-700</v>
      </c>
      <c r="Z112" t="str">
        <f>_xlfn.XLOOKUP(Table3[[#This Row],[Instrument]],Control!$B$2:$B$19,Control!$F$2:$F$19)</f>
        <v>WTI</v>
      </c>
      <c r="AA112" s="14">
        <f>Table3[[#This Row],[Month2]]</f>
        <v>46112</v>
      </c>
      <c r="AB112" s="350">
        <f t="shared" si="57"/>
        <v>700</v>
      </c>
    </row>
    <row r="113" spans="1:28" ht="15" hidden="1" thickBot="1" x14ac:dyDescent="0.4">
      <c r="A113" t="s">
        <v>1724</v>
      </c>
      <c r="B113" t="str">
        <f>_xlfn.XLOOKUP(Table3[[#This Row],[Cargo Name]],Ledger[Cargo Name],Ledger[SAP Deal Number])</f>
        <v>VIT26HS00009</v>
      </c>
      <c r="C113">
        <v>0</v>
      </c>
      <c r="D113" t="s">
        <v>1678</v>
      </c>
      <c r="E113" s="16">
        <v>46020</v>
      </c>
      <c r="F113" s="10" t="s">
        <v>10</v>
      </c>
      <c r="G113" s="4" t="s">
        <v>268</v>
      </c>
      <c r="H113" s="253">
        <v>-700</v>
      </c>
      <c r="I113" s="172">
        <v>46112</v>
      </c>
      <c r="J113" s="172">
        <v>46112</v>
      </c>
      <c r="K113" s="212">
        <v>-3.63</v>
      </c>
      <c r="L113" s="192">
        <f ca="1">IF(OR(S113="WTI Sprds",S113="Brent Sprds",S113="WTI-Brent",S113="DFL"),INDEX(INDIRECT("'" &amp; S113 &amp; "'!$A$6:$XFD$1048576"),MATCH('PnL26'!$P$1,INDIRECT("'" &amp; S113 &amp; "'!$A$6:$A$1048576"),0),MATCH(EOMONTH(I113,0),INDIRECT("'" &amp; S113 &amp; "'!$A$4:$XFD$4"),0)),INDEX(BBG!$A:$BA,MATCH('PnL26'!$P$1,BBG!$A:$A,0),MATCH($I113,BBG!$A$4:$BA$4,0))-INDEX(BBG!$A:$BA,MATCH('PnL26'!$P$1,BBG!$A:$A,0),MATCH($J113,BBG!$A$4:$BA$4,0)))</f>
        <v>-5.48</v>
      </c>
      <c r="M113" s="9">
        <f t="shared" ca="1" si="78"/>
        <v>1295.0000000000005</v>
      </c>
      <c r="N113">
        <f t="shared" si="61"/>
        <v>2541</v>
      </c>
      <c r="O113" s="14" t="str">
        <f t="shared" si="58"/>
        <v>Mar 26</v>
      </c>
      <c r="P113" s="8" t="str">
        <f t="shared" si="63"/>
        <v>Sell</v>
      </c>
      <c r="Q113">
        <f t="shared" ca="1" si="64"/>
        <v>3836.0000000000005</v>
      </c>
      <c r="R113" t="str">
        <f>VLOOKUP(F113,Control!$B:$C,2,FALSE)</f>
        <v>Swaps</v>
      </c>
      <c r="S113" t="str">
        <f>VLOOKUP(F113,Control!$B:$D,3,FALSE)</f>
        <v>WTI-Brent</v>
      </c>
      <c r="T113">
        <f t="shared" si="59"/>
        <v>2026</v>
      </c>
      <c r="U113" s="240" t="str">
        <f t="shared" si="65"/>
        <v>Sell</v>
      </c>
      <c r="V113" t="s">
        <v>96</v>
      </c>
      <c r="W113" t="str">
        <f>_xlfn.XLOOKUP(Table3[[#This Row],[Instrument]],Control!$B$2:$B$19,Control!$E$2:$E$19)</f>
        <v>WTI</v>
      </c>
      <c r="X113" s="14">
        <f>Table3[[#This Row],[Month1]]</f>
        <v>46112</v>
      </c>
      <c r="Y113" s="350">
        <f>Table3[[#This Row],[Quantity]]</f>
        <v>-700</v>
      </c>
      <c r="Z113" t="str">
        <f>_xlfn.XLOOKUP(Table3[[#This Row],[Instrument]],Control!$B$2:$B$19,Control!$F$2:$F$19)</f>
        <v>Brent</v>
      </c>
      <c r="AA113" s="14">
        <f>Table3[[#This Row],[Month2]]</f>
        <v>46112</v>
      </c>
      <c r="AB113" s="350">
        <f t="shared" si="57"/>
        <v>700</v>
      </c>
    </row>
    <row r="114" spans="1:28" ht="15" hidden="1" thickBot="1" x14ac:dyDescent="0.4">
      <c r="A114" t="s">
        <v>1724</v>
      </c>
      <c r="B114" t="str">
        <f>_xlfn.XLOOKUP(Table3[[#This Row],[Cargo Name]],Ledger[Cargo Name],Ledger[SAP Deal Number])</f>
        <v>Unallocated</v>
      </c>
      <c r="C114">
        <v>0</v>
      </c>
      <c r="D114" s="37" t="s">
        <v>127</v>
      </c>
      <c r="E114" s="16">
        <v>46020</v>
      </c>
      <c r="F114" s="10" t="s">
        <v>22</v>
      </c>
      <c r="G114" s="4" t="s">
        <v>128</v>
      </c>
      <c r="H114" s="253">
        <v>200</v>
      </c>
      <c r="I114" t="s">
        <v>1629</v>
      </c>
      <c r="J114" s="172">
        <v>46053</v>
      </c>
      <c r="K114" s="15">
        <v>0.97868999999999995</v>
      </c>
      <c r="L114" s="191">
        <f>VLOOKUP($I114,'PnL26'!B:C,2,FALSE)</f>
        <v>1.54</v>
      </c>
      <c r="M114" s="9">
        <f t="shared" si="78"/>
        <v>112.26200000000001</v>
      </c>
      <c r="N114">
        <f t="shared" si="61"/>
        <v>195.738</v>
      </c>
      <c r="O114" s="347" t="s">
        <v>95</v>
      </c>
      <c r="P114" s="8" t="str">
        <f t="shared" si="63"/>
        <v>Buy</v>
      </c>
      <c r="Q114">
        <f t="shared" si="64"/>
        <v>308</v>
      </c>
      <c r="R114" s="38" t="str">
        <f>VLOOKUP(F114,Control!$B:$C,2,FALSE)</f>
        <v>Swaps</v>
      </c>
      <c r="S114" s="38" t="str">
        <f>VLOOKUP(F114,Control!$B:$D,3,FALSE)</f>
        <v>Dated</v>
      </c>
      <c r="T114">
        <v>2026</v>
      </c>
      <c r="U114" t="str">
        <f t="shared" si="65"/>
        <v>Buy</v>
      </c>
      <c r="V114" t="s">
        <v>96</v>
      </c>
      <c r="W114" t="e">
        <f>_xlfn.XLOOKUP(Table3[[#This Row],[Instrument]],Control!$B$2:$B$19,Control!$E$2:$E$19)</f>
        <v>#N/A</v>
      </c>
      <c r="X114" s="14" t="str">
        <f>Table3[[#This Row],[Month1]]</f>
        <v>Jan05-Jan09</v>
      </c>
      <c r="Y114" s="350">
        <f>Table3[[#This Row],[Quantity]]</f>
        <v>200</v>
      </c>
      <c r="Z114" t="e">
        <f>_xlfn.XLOOKUP(Table3[[#This Row],[Instrument]],Control!$B$2:$B$19,Control!$F$2:$F$19)</f>
        <v>#N/A</v>
      </c>
      <c r="AA114" s="14">
        <f>Table3[[#This Row],[Month2]]</f>
        <v>46053</v>
      </c>
      <c r="AB114" s="350">
        <f t="shared" si="57"/>
        <v>-200</v>
      </c>
    </row>
    <row r="115" spans="1:28" ht="15" hidden="1" thickBot="1" x14ac:dyDescent="0.4">
      <c r="A115" t="s">
        <v>1724</v>
      </c>
      <c r="B115" t="str">
        <f>_xlfn.XLOOKUP(Table3[[#This Row],[Cargo Name]],Ledger[Cargo Name],Ledger[SAP Deal Number])</f>
        <v>Unallocated</v>
      </c>
      <c r="C115">
        <v>0</v>
      </c>
      <c r="D115" s="37" t="s">
        <v>127</v>
      </c>
      <c r="E115" s="16">
        <v>46020</v>
      </c>
      <c r="F115" s="10" t="s">
        <v>22</v>
      </c>
      <c r="G115" s="4" t="s">
        <v>128</v>
      </c>
      <c r="H115" s="253">
        <v>-200</v>
      </c>
      <c r="I115" t="s">
        <v>1631</v>
      </c>
      <c r="J115" s="172">
        <v>46053</v>
      </c>
      <c r="K115" s="15">
        <v>0.43</v>
      </c>
      <c r="L115" s="191">
        <f>VLOOKUP($I115,'PnL26'!B:C,2,FALSE)</f>
        <v>2.5</v>
      </c>
      <c r="M115" s="9">
        <f t="shared" si="78"/>
        <v>-413.99999999999994</v>
      </c>
      <c r="N115">
        <f t="shared" si="61"/>
        <v>-86</v>
      </c>
      <c r="O115" s="347" t="s">
        <v>95</v>
      </c>
      <c r="P115" s="8" t="str">
        <f t="shared" si="63"/>
        <v>Sell</v>
      </c>
      <c r="Q115">
        <f t="shared" si="64"/>
        <v>-500</v>
      </c>
      <c r="R115" s="38" t="str">
        <f>VLOOKUP(F115,Control!$B:$C,2,FALSE)</f>
        <v>Swaps</v>
      </c>
      <c r="S115" s="38" t="str">
        <f>VLOOKUP(F115,Control!$B:$D,3,FALSE)</f>
        <v>Dated</v>
      </c>
      <c r="T115">
        <v>2026</v>
      </c>
      <c r="U115" t="str">
        <f t="shared" si="65"/>
        <v>Sell</v>
      </c>
      <c r="V115" t="s">
        <v>96</v>
      </c>
      <c r="W115" t="e">
        <f>_xlfn.XLOOKUP(Table3[[#This Row],[Instrument]],Control!$B$2:$B$19,Control!$E$2:$E$19)</f>
        <v>#N/A</v>
      </c>
      <c r="X115" s="14" t="str">
        <f>Table3[[#This Row],[Month1]]</f>
        <v>Jan19-Jan23</v>
      </c>
      <c r="Y115" s="350">
        <f>Table3[[#This Row],[Quantity]]</f>
        <v>-200</v>
      </c>
      <c r="Z115" t="e">
        <f>_xlfn.XLOOKUP(Table3[[#This Row],[Instrument]],Control!$B$2:$B$19,Control!$F$2:$F$19)</f>
        <v>#N/A</v>
      </c>
      <c r="AA115" s="14">
        <f>Table3[[#This Row],[Month2]]</f>
        <v>46053</v>
      </c>
      <c r="AB115" s="350">
        <f t="shared" si="57"/>
        <v>200</v>
      </c>
    </row>
    <row r="116" spans="1:28" ht="15" hidden="1" thickBot="1" x14ac:dyDescent="0.4">
      <c r="A116" t="s">
        <v>1724</v>
      </c>
      <c r="B116" t="str">
        <f>_xlfn.XLOOKUP(Table3[[#This Row],[Cargo Name]],Ledger[Cargo Name],Ledger[SAP Deal Number])</f>
        <v>VIT26HS00009</v>
      </c>
      <c r="C116">
        <v>0</v>
      </c>
      <c r="D116" t="s">
        <v>1678</v>
      </c>
      <c r="E116" s="174">
        <v>46020</v>
      </c>
      <c r="F116" s="10" t="s">
        <v>3</v>
      </c>
      <c r="G116" s="4" t="s">
        <v>128</v>
      </c>
      <c r="H116" s="253">
        <v>354</v>
      </c>
      <c r="I116" s="172">
        <v>46081</v>
      </c>
      <c r="J116" s="172">
        <v>46112</v>
      </c>
      <c r="K116" s="218">
        <v>0.23</v>
      </c>
      <c r="L116" s="192">
        <f ca="1">IF(OR(S116="WTI Sprds",S116="Brent Sprds",S116="WTI-Brent",S116="DFL"),INDEX(INDIRECT("'" &amp; S116 &amp; "'!$A$6:$XFD$1048576"),MATCH('PnL26'!$P$1,INDIRECT("'" &amp; S116 &amp; "'!$A$6:$A$1048576"),0),MATCH(EOMONTH(I116,0),INDIRECT("'" &amp; S116 &amp; "'!$A$4:$XFD$4"),0)),INDEX(BBG!$A:$BA,MATCH('PnL26'!$P$1,BBG!$A:$A,0),MATCH($I116,BBG!$A$4:$BA$4,0))-INDEX(BBG!$A:$BA,MATCH('PnL26'!$P$1,BBG!$A:$A,0),MATCH($J116,BBG!$A$4:$BA$4,0)))</f>
        <v>0.1</v>
      </c>
      <c r="M116" s="9">
        <f t="shared" ca="1" si="78"/>
        <v>-46.02</v>
      </c>
      <c r="N116">
        <f t="shared" si="61"/>
        <v>81.42</v>
      </c>
      <c r="O116" s="14" t="str">
        <f t="shared" ref="O116:O137" si="79">IF(I116=J116,TEXT(I116,"MMM YY"),TEXT(I116,"MMM")&amp;"/"&amp;TEXT(J116,"MMM")&amp;" "&amp;RIGHT(T116,2))</f>
        <v>Feb/Mar 26</v>
      </c>
      <c r="P116" s="8" t="str">
        <f t="shared" si="63"/>
        <v>Buy</v>
      </c>
      <c r="Q116">
        <f t="shared" ca="1" si="64"/>
        <v>35.4</v>
      </c>
      <c r="R116" s="38" t="str">
        <f>VLOOKUP(F116,Control!$B:$C,2,FALSE)</f>
        <v>Futures</v>
      </c>
      <c r="S116" s="38" t="str">
        <f>VLOOKUP(F116,Control!$B:$D,3,FALSE)</f>
        <v>WTI Sprds</v>
      </c>
      <c r="T116">
        <f t="shared" ref="T116:T137" si="80">YEAR(I116)</f>
        <v>2026</v>
      </c>
      <c r="U116" t="str">
        <f t="shared" si="65"/>
        <v>Buy</v>
      </c>
      <c r="V116" t="s">
        <v>96</v>
      </c>
      <c r="W116" t="str">
        <f>_xlfn.XLOOKUP(Table3[[#This Row],[Instrument]],Control!$B$2:$B$19,Control!$E$2:$E$19)</f>
        <v>WTI</v>
      </c>
      <c r="X116" s="14">
        <f>Table3[[#This Row],[Month1]]</f>
        <v>46081</v>
      </c>
      <c r="Y116" s="350">
        <f>Table3[[#This Row],[Quantity]]</f>
        <v>354</v>
      </c>
      <c r="Z116" t="str">
        <f>_xlfn.XLOOKUP(Table3[[#This Row],[Instrument]],Control!$B$2:$B$19,Control!$F$2:$F$19)</f>
        <v>WTI</v>
      </c>
      <c r="AA116" s="14">
        <f>Table3[[#This Row],[Month2]]</f>
        <v>46112</v>
      </c>
      <c r="AB116" s="350">
        <f t="shared" si="57"/>
        <v>-354</v>
      </c>
    </row>
    <row r="117" spans="1:28" ht="15" hidden="1" thickBot="1" x14ac:dyDescent="0.4">
      <c r="A117" t="s">
        <v>1724</v>
      </c>
      <c r="B117" t="str">
        <f>_xlfn.XLOOKUP(Table3[[#This Row],[Cargo Name]],Ledger[Cargo Name],Ledger[SAP Deal Number])</f>
        <v>VIT26HS00009</v>
      </c>
      <c r="C117">
        <v>0</v>
      </c>
      <c r="D117" t="s">
        <v>1678</v>
      </c>
      <c r="E117" s="174">
        <v>46020</v>
      </c>
      <c r="F117" s="10" t="s">
        <v>3</v>
      </c>
      <c r="G117" s="4" t="s">
        <v>128</v>
      </c>
      <c r="H117" s="253">
        <v>93</v>
      </c>
      <c r="I117" s="172">
        <v>46112</v>
      </c>
      <c r="J117" s="172">
        <v>46142</v>
      </c>
      <c r="K117" s="218">
        <v>0.17</v>
      </c>
      <c r="L117" s="192">
        <f ca="1">IF(OR(S117="WTI Sprds",S117="Brent Sprds",S117="WTI-Brent",S117="DFL"),INDEX(INDIRECT("'" &amp; S117 &amp; "'!$A$6:$XFD$1048576"),MATCH('PnL26'!$P$1,INDIRECT("'" &amp; S117 &amp; "'!$A$6:$A$1048576"),0),MATCH(EOMONTH(I117,0),INDIRECT("'" &amp; S117 &amp; "'!$A$4:$XFD$4"),0)),INDEX(BBG!$A:$BA,MATCH('PnL26'!$P$1,BBG!$A:$A,0),MATCH($I117,BBG!$A$4:$BA$4,0))-INDEX(BBG!$A:$BA,MATCH('PnL26'!$P$1,BBG!$A:$A,0),MATCH($J117,BBG!$A$4:$BA$4,0)))</f>
        <v>0.03</v>
      </c>
      <c r="M117" s="9">
        <f t="shared" ca="1" si="78"/>
        <v>-13.020000000000001</v>
      </c>
      <c r="N117">
        <f t="shared" si="61"/>
        <v>15.81</v>
      </c>
      <c r="O117" s="14" t="str">
        <f t="shared" si="79"/>
        <v>Mar/Apr 26</v>
      </c>
      <c r="P117" s="8" t="str">
        <f t="shared" si="63"/>
        <v>Buy</v>
      </c>
      <c r="Q117">
        <f t="shared" ca="1" si="64"/>
        <v>2.79</v>
      </c>
      <c r="R117" s="38" t="str">
        <f>VLOOKUP(F117,Control!$B:$C,2,FALSE)</f>
        <v>Futures</v>
      </c>
      <c r="S117" s="38" t="str">
        <f>VLOOKUP(F117,Control!$B:$D,3,FALSE)</f>
        <v>WTI Sprds</v>
      </c>
      <c r="T117">
        <f t="shared" si="80"/>
        <v>2026</v>
      </c>
      <c r="U117" t="str">
        <f t="shared" si="65"/>
        <v>Buy</v>
      </c>
      <c r="V117" t="s">
        <v>96</v>
      </c>
      <c r="W117" t="str">
        <f>_xlfn.XLOOKUP(Table3[[#This Row],[Instrument]],Control!$B$2:$B$19,Control!$E$2:$E$19)</f>
        <v>WTI</v>
      </c>
      <c r="X117" s="14">
        <f>Table3[[#This Row],[Month1]]</f>
        <v>46112</v>
      </c>
      <c r="Y117" s="350">
        <f>Table3[[#This Row],[Quantity]]</f>
        <v>93</v>
      </c>
      <c r="Z117" t="str">
        <f>_xlfn.XLOOKUP(Table3[[#This Row],[Instrument]],Control!$B$2:$B$19,Control!$F$2:$F$19)</f>
        <v>WTI</v>
      </c>
      <c r="AA117" s="14">
        <f>Table3[[#This Row],[Month2]]</f>
        <v>46142</v>
      </c>
      <c r="AB117" s="350">
        <f t="shared" si="57"/>
        <v>-93</v>
      </c>
    </row>
    <row r="118" spans="1:28" ht="15" hidden="1" thickBot="1" x14ac:dyDescent="0.4">
      <c r="A118" t="s">
        <v>1724</v>
      </c>
      <c r="B118" t="str">
        <f>_xlfn.XLOOKUP(Table3[[#This Row],[Cargo Name]],Ledger[Cargo Name],Ledger[SAP Deal Number])</f>
        <v>VIT26HS00009</v>
      </c>
      <c r="C118">
        <v>0</v>
      </c>
      <c r="D118" t="s">
        <v>1678</v>
      </c>
      <c r="E118" s="174">
        <v>46021</v>
      </c>
      <c r="F118" s="10" t="s">
        <v>7</v>
      </c>
      <c r="G118" s="4" t="s">
        <v>128</v>
      </c>
      <c r="H118" s="253">
        <v>125</v>
      </c>
      <c r="I118" s="172">
        <v>46081</v>
      </c>
      <c r="J118" s="172">
        <v>46112</v>
      </c>
      <c r="K118" s="219">
        <v>0.4</v>
      </c>
      <c r="L118" s="192">
        <f ca="1">IF(OR(S118="WTI Sprds",S118="Brent Sprds",S118="WTI-Brent",S118="DFL"),INDEX(INDIRECT("'" &amp; S118 &amp; "'!$A$6:$XFD$1048576"),MATCH('PnL26'!$P$1,INDIRECT("'" &amp; S118 &amp; "'!$A$6:$A$1048576"),0),MATCH(EOMONTH(I118,0),INDIRECT("'" &amp; S118 &amp; "'!$A$4:$XFD$4"),0)),INDEX(BBG!$A:$BA,MATCH('PnL26'!$P$1,BBG!$A:$A,0),MATCH($I118,BBG!$A$4:$BA$4,0))-INDEX(BBG!$A:$BA,MATCH('PnL26'!$P$1,BBG!$A:$A,0),MATCH($J118,BBG!$A$4:$BA$4,0)))</f>
        <v>0.59</v>
      </c>
      <c r="M118" s="9">
        <f t="shared" ca="1" si="78"/>
        <v>23.749999999999993</v>
      </c>
      <c r="N118">
        <f t="shared" si="61"/>
        <v>50</v>
      </c>
      <c r="O118" s="14" t="str">
        <f t="shared" si="79"/>
        <v>Feb/Mar 26</v>
      </c>
      <c r="P118" s="8" t="str">
        <f t="shared" si="63"/>
        <v>Buy</v>
      </c>
      <c r="Q118">
        <f t="shared" ca="1" si="64"/>
        <v>73.75</v>
      </c>
      <c r="R118" s="38" t="str">
        <f>VLOOKUP(F118,Control!$B:$C,2,FALSE)</f>
        <v>Futures</v>
      </c>
      <c r="S118" s="38" t="str">
        <f>VLOOKUP(F118,Control!$B:$D,3,FALSE)</f>
        <v>Brent Sprds</v>
      </c>
      <c r="T118">
        <f t="shared" si="80"/>
        <v>2026</v>
      </c>
      <c r="U118" t="str">
        <f t="shared" si="65"/>
        <v>Buy</v>
      </c>
      <c r="V118" t="s">
        <v>96</v>
      </c>
      <c r="W118" t="str">
        <f>_xlfn.XLOOKUP(Table3[[#This Row],[Instrument]],Control!$B$2:$B$19,Control!$E$2:$E$19)</f>
        <v>Brent</v>
      </c>
      <c r="X118" s="14">
        <f>Table3[[#This Row],[Month1]]</f>
        <v>46081</v>
      </c>
      <c r="Y118" s="350">
        <f>Table3[[#This Row],[Quantity]]</f>
        <v>125</v>
      </c>
      <c r="Z118" t="str">
        <f>_xlfn.XLOOKUP(Table3[[#This Row],[Instrument]],Control!$B$2:$B$19,Control!$F$2:$F$19)</f>
        <v>Brent</v>
      </c>
      <c r="AA118" s="14">
        <f>Table3[[#This Row],[Month2]]</f>
        <v>46112</v>
      </c>
      <c r="AB118" s="350">
        <f t="shared" si="57"/>
        <v>-125</v>
      </c>
    </row>
    <row r="119" spans="1:28" ht="15" hidden="1" thickBot="1" x14ac:dyDescent="0.4">
      <c r="A119" t="s">
        <v>1724</v>
      </c>
      <c r="B119" t="str">
        <f>_xlfn.XLOOKUP(Table3[[#This Row],[Cargo Name]],Ledger[Cargo Name],Ledger[SAP Deal Number])</f>
        <v>VIT26HS00009</v>
      </c>
      <c r="C119">
        <v>0</v>
      </c>
      <c r="D119" t="s">
        <v>1678</v>
      </c>
      <c r="E119" s="174">
        <v>46021</v>
      </c>
      <c r="F119" s="10" t="s">
        <v>10</v>
      </c>
      <c r="G119" s="4" t="s">
        <v>128</v>
      </c>
      <c r="H119" s="253">
        <v>24</v>
      </c>
      <c r="I119" s="172">
        <v>46081</v>
      </c>
      <c r="J119" s="172">
        <v>46081</v>
      </c>
      <c r="K119" s="348">
        <v>-3.97</v>
      </c>
      <c r="L119" s="192">
        <f ca="1">IF(OR(S119="WTI Sprds",S119="Brent Sprds",S119="WTI-Brent",S119="DFL"),INDEX(INDIRECT("'" &amp; S119 &amp; "'!$A$6:$XFD$1048576"),MATCH('PnL26'!$P$1,INDIRECT("'" &amp; S119 &amp; "'!$A$6:$A$1048576"),0),MATCH(EOMONTH(I119,0),INDIRECT("'" &amp; S119 &amp; "'!$A$4:$XFD$4"),0)),INDEX(BBG!$A:$BA,MATCH('PnL26'!$P$1,BBG!$A:$A,0),MATCH($I119,BBG!$A$4:$BA$4,0))-INDEX(BBG!$A:$BA,MATCH('PnL26'!$P$1,BBG!$A:$A,0),MATCH($J119,BBG!$A$4:$BA$4,0)))</f>
        <v>-3.97</v>
      </c>
      <c r="M119" s="9">
        <f t="shared" ca="1" si="78"/>
        <v>0</v>
      </c>
      <c r="N119">
        <f t="shared" si="61"/>
        <v>-95.28</v>
      </c>
      <c r="O119" s="14" t="str">
        <f t="shared" si="79"/>
        <v>Feb 26</v>
      </c>
      <c r="P119" s="8" t="str">
        <f t="shared" si="63"/>
        <v>Buy</v>
      </c>
      <c r="Q119">
        <f t="shared" ca="1" si="64"/>
        <v>-95.28</v>
      </c>
      <c r="R119" s="38" t="str">
        <f>VLOOKUP(F119,Control!$B:$C,2,FALSE)</f>
        <v>Swaps</v>
      </c>
      <c r="S119" s="38" t="str">
        <f>VLOOKUP(F119,Control!$B:$D,3,FALSE)</f>
        <v>WTI-Brent</v>
      </c>
      <c r="T119">
        <f t="shared" si="80"/>
        <v>2026</v>
      </c>
      <c r="U119" t="str">
        <f t="shared" si="65"/>
        <v>Buy</v>
      </c>
      <c r="V119" t="s">
        <v>96</v>
      </c>
      <c r="W119" t="str">
        <f>_xlfn.XLOOKUP(Table3[[#This Row],[Instrument]],Control!$B$2:$B$19,Control!$E$2:$E$19)</f>
        <v>WTI</v>
      </c>
      <c r="X119" s="14">
        <f>Table3[[#This Row],[Month1]]</f>
        <v>46081</v>
      </c>
      <c r="Y119" s="350">
        <f>Table3[[#This Row],[Quantity]]</f>
        <v>24</v>
      </c>
      <c r="Z119" t="str">
        <f>_xlfn.XLOOKUP(Table3[[#This Row],[Instrument]],Control!$B$2:$B$19,Control!$F$2:$F$19)</f>
        <v>Brent</v>
      </c>
      <c r="AA119" s="14">
        <f>Table3[[#This Row],[Month2]]</f>
        <v>46081</v>
      </c>
      <c r="AB119" s="350">
        <f t="shared" si="57"/>
        <v>-24</v>
      </c>
    </row>
    <row r="120" spans="1:28" ht="15" hidden="1" thickBot="1" x14ac:dyDescent="0.4">
      <c r="A120" t="s">
        <v>1724</v>
      </c>
      <c r="B120" t="str">
        <f>_xlfn.XLOOKUP(Table3[[#This Row],[Cargo Name]],Ledger[Cargo Name],Ledger[SAP Deal Number])</f>
        <v>VIT26HS00009</v>
      </c>
      <c r="C120">
        <v>0</v>
      </c>
      <c r="D120" t="s">
        <v>1678</v>
      </c>
      <c r="E120" s="174">
        <v>46021</v>
      </c>
      <c r="F120" s="10" t="s">
        <v>3</v>
      </c>
      <c r="G120" s="4" t="s">
        <v>128</v>
      </c>
      <c r="H120" s="253">
        <v>354</v>
      </c>
      <c r="I120" s="172">
        <v>46081</v>
      </c>
      <c r="J120" s="172">
        <v>46112</v>
      </c>
      <c r="K120" s="348">
        <v>0.21</v>
      </c>
      <c r="L120" s="192">
        <f ca="1">IF(OR(S120="WTI Sprds",S120="Brent Sprds",S120="WTI-Brent",S120="DFL"),INDEX(INDIRECT("'" &amp; S120 &amp; "'!$A$6:$XFD$1048576"),MATCH('PnL26'!$P$1,INDIRECT("'" &amp; S120 &amp; "'!$A$6:$A$1048576"),0),MATCH(EOMONTH(I120,0),INDIRECT("'" &amp; S120 &amp; "'!$A$4:$XFD$4"),0)),INDEX(BBG!$A:$BA,MATCH('PnL26'!$P$1,BBG!$A:$A,0),MATCH($I120,BBG!$A$4:$BA$4,0))-INDEX(BBG!$A:$BA,MATCH('PnL26'!$P$1,BBG!$A:$A,0),MATCH($J120,BBG!$A$4:$BA$4,0)))</f>
        <v>0.1</v>
      </c>
      <c r="M120" s="9">
        <f t="shared" ca="1" si="78"/>
        <v>-38.94</v>
      </c>
      <c r="N120">
        <f t="shared" si="61"/>
        <v>74.34</v>
      </c>
      <c r="O120" s="14" t="str">
        <f t="shared" si="79"/>
        <v>Feb/Mar 26</v>
      </c>
      <c r="P120" s="8" t="str">
        <f t="shared" si="63"/>
        <v>Buy</v>
      </c>
      <c r="Q120">
        <f t="shared" ca="1" si="64"/>
        <v>35.4</v>
      </c>
      <c r="R120" s="38" t="str">
        <f>VLOOKUP(F120,Control!$B:$C,2,FALSE)</f>
        <v>Futures</v>
      </c>
      <c r="S120" s="38" t="str">
        <f>VLOOKUP(F120,Control!$B:$D,3,FALSE)</f>
        <v>WTI Sprds</v>
      </c>
      <c r="T120">
        <f t="shared" si="80"/>
        <v>2026</v>
      </c>
      <c r="U120" t="str">
        <f t="shared" si="65"/>
        <v>Buy</v>
      </c>
      <c r="V120" t="s">
        <v>96</v>
      </c>
      <c r="W120" t="str">
        <f>_xlfn.XLOOKUP(Table3[[#This Row],[Instrument]],Control!$B$2:$B$19,Control!$E$2:$E$19)</f>
        <v>WTI</v>
      </c>
      <c r="X120" s="14">
        <f>Table3[[#This Row],[Month1]]</f>
        <v>46081</v>
      </c>
      <c r="Y120" s="350">
        <f>Table3[[#This Row],[Quantity]]</f>
        <v>354</v>
      </c>
      <c r="Z120" t="str">
        <f>_xlfn.XLOOKUP(Table3[[#This Row],[Instrument]],Control!$B$2:$B$19,Control!$F$2:$F$19)</f>
        <v>WTI</v>
      </c>
      <c r="AA120" s="14">
        <f>Table3[[#This Row],[Month2]]</f>
        <v>46112</v>
      </c>
      <c r="AB120" s="350">
        <f t="shared" si="57"/>
        <v>-354</v>
      </c>
    </row>
    <row r="121" spans="1:28" ht="15" hidden="1" thickBot="1" x14ac:dyDescent="0.4">
      <c r="A121" t="s">
        <v>1724</v>
      </c>
      <c r="B121" t="str">
        <f>_xlfn.XLOOKUP(Table3[[#This Row],[Cargo Name]],Ledger[Cargo Name],Ledger[SAP Deal Number])</f>
        <v>VIT26HS00009</v>
      </c>
      <c r="C121">
        <v>0</v>
      </c>
      <c r="D121" t="s">
        <v>1678</v>
      </c>
      <c r="E121" s="174">
        <v>46021</v>
      </c>
      <c r="F121" s="10" t="s">
        <v>3</v>
      </c>
      <c r="G121" s="4" t="s">
        <v>128</v>
      </c>
      <c r="H121" s="253">
        <v>93</v>
      </c>
      <c r="I121" s="172">
        <v>46112</v>
      </c>
      <c r="J121" s="172">
        <v>46142</v>
      </c>
      <c r="K121" s="348">
        <v>0.16</v>
      </c>
      <c r="L121" s="192">
        <f ca="1">IF(OR(S121="WTI Sprds",S121="Brent Sprds",S121="WTI-Brent",S121="DFL"),INDEX(INDIRECT("'" &amp; S121 &amp; "'!$A$6:$XFD$1048576"),MATCH('PnL26'!$P$1,INDIRECT("'" &amp; S121 &amp; "'!$A$6:$A$1048576"),0),MATCH(EOMONTH(I121,0),INDIRECT("'" &amp; S121 &amp; "'!$A$4:$XFD$4"),0)),INDEX(BBG!$A:$BA,MATCH('PnL26'!$P$1,BBG!$A:$A,0),MATCH($I121,BBG!$A$4:$BA$4,0))-INDEX(BBG!$A:$BA,MATCH('PnL26'!$P$1,BBG!$A:$A,0),MATCH($J121,BBG!$A$4:$BA$4,0)))</f>
        <v>0.03</v>
      </c>
      <c r="M121" s="9">
        <f t="shared" ca="1" si="78"/>
        <v>-12.09</v>
      </c>
      <c r="N121">
        <f t="shared" si="61"/>
        <v>14.88</v>
      </c>
      <c r="O121" s="14" t="str">
        <f t="shared" si="79"/>
        <v>Mar/Apr 26</v>
      </c>
      <c r="P121" s="8" t="str">
        <f t="shared" si="63"/>
        <v>Buy</v>
      </c>
      <c r="Q121">
        <f t="shared" ca="1" si="64"/>
        <v>2.79</v>
      </c>
      <c r="R121" s="38" t="str">
        <f>VLOOKUP(F121,Control!$B:$C,2,FALSE)</f>
        <v>Futures</v>
      </c>
      <c r="S121" s="38" t="str">
        <f>VLOOKUP(F121,Control!$B:$D,3,FALSE)</f>
        <v>WTI Sprds</v>
      </c>
      <c r="T121">
        <f t="shared" si="80"/>
        <v>2026</v>
      </c>
      <c r="U121" t="str">
        <f t="shared" si="65"/>
        <v>Buy</v>
      </c>
      <c r="V121" t="s">
        <v>96</v>
      </c>
      <c r="W121" t="str">
        <f>_xlfn.XLOOKUP(Table3[[#This Row],[Instrument]],Control!$B$2:$B$19,Control!$E$2:$E$19)</f>
        <v>WTI</v>
      </c>
      <c r="X121" s="14">
        <f>Table3[[#This Row],[Month1]]</f>
        <v>46112</v>
      </c>
      <c r="Y121" s="350">
        <f>Table3[[#This Row],[Quantity]]</f>
        <v>93</v>
      </c>
      <c r="Z121" t="str">
        <f>_xlfn.XLOOKUP(Table3[[#This Row],[Instrument]],Control!$B$2:$B$19,Control!$F$2:$F$19)</f>
        <v>WTI</v>
      </c>
      <c r="AA121" s="14">
        <f>Table3[[#This Row],[Month2]]</f>
        <v>46142</v>
      </c>
      <c r="AB121" s="350">
        <f t="shared" si="57"/>
        <v>-93</v>
      </c>
    </row>
    <row r="122" spans="1:28" ht="15" hidden="1" thickBot="1" x14ac:dyDescent="0.4">
      <c r="A122" t="s">
        <v>1724</v>
      </c>
      <c r="B122" t="str">
        <f>_xlfn.XLOOKUP(Table3[[#This Row],[Cargo Name]],Ledger[Cargo Name],Ledger[SAP Deal Number])</f>
        <v>VIT26HS00009</v>
      </c>
      <c r="C122">
        <v>0</v>
      </c>
      <c r="D122" s="37" t="s">
        <v>1678</v>
      </c>
      <c r="E122" s="174">
        <v>46021</v>
      </c>
      <c r="F122" s="10" t="s">
        <v>44</v>
      </c>
      <c r="G122" s="10" t="s">
        <v>128</v>
      </c>
      <c r="H122" s="259">
        <v>375</v>
      </c>
      <c r="I122" s="172">
        <v>46081</v>
      </c>
      <c r="J122" s="172">
        <v>46081</v>
      </c>
      <c r="K122" s="15">
        <v>0.67</v>
      </c>
      <c r="L122" s="191">
        <f>VLOOKUP(I122,'PnL26'!$E$6:$G$54,3,FALSE)</f>
        <v>1.26</v>
      </c>
      <c r="M122" s="9">
        <f t="shared" si="78"/>
        <v>221.25</v>
      </c>
      <c r="N122">
        <f t="shared" si="61"/>
        <v>251.25000000000003</v>
      </c>
      <c r="O122" s="14" t="str">
        <f t="shared" si="79"/>
        <v>Feb 26</v>
      </c>
      <c r="P122" s="8" t="str">
        <f t="shared" si="63"/>
        <v>Buy</v>
      </c>
      <c r="Q122">
        <f t="shared" si="64"/>
        <v>472.5</v>
      </c>
      <c r="R122" s="38" t="str">
        <f>VLOOKUP(F122,Control!$B:$C,2,FALSE)</f>
        <v>Swaps</v>
      </c>
      <c r="S122" s="38" t="str">
        <f>VLOOKUP(F122,Control!$B:$D,3,FALSE)</f>
        <v>MEH</v>
      </c>
      <c r="T122">
        <f t="shared" si="80"/>
        <v>2026</v>
      </c>
      <c r="U122" t="str">
        <f t="shared" si="65"/>
        <v>Buy</v>
      </c>
      <c r="V122" t="s">
        <v>96</v>
      </c>
      <c r="W122">
        <f>_xlfn.XLOOKUP(Table3[[#This Row],[Instrument]],Control!$B$2:$B$19,Control!$E$2:$E$19)</f>
        <v>0</v>
      </c>
      <c r="X122" s="14">
        <f>Table3[[#This Row],[Month1]]</f>
        <v>46081</v>
      </c>
      <c r="Y122" s="350">
        <f>Table3[[#This Row],[Quantity]]</f>
        <v>375</v>
      </c>
      <c r="Z122">
        <f>_xlfn.XLOOKUP(Table3[[#This Row],[Instrument]],Control!$B$2:$B$19,Control!$F$2:$F$19)</f>
        <v>0</v>
      </c>
      <c r="AA122" s="14">
        <f>Table3[[#This Row],[Month2]]</f>
        <v>46081</v>
      </c>
      <c r="AB122" s="350">
        <f t="shared" si="57"/>
        <v>-375</v>
      </c>
    </row>
    <row r="123" spans="1:28" ht="15" hidden="1" thickBot="1" x14ac:dyDescent="0.4">
      <c r="A123" t="s">
        <v>1724</v>
      </c>
      <c r="B123" t="str">
        <f>_xlfn.XLOOKUP(Table3[[#This Row],[Cargo Name]],Ledger[Cargo Name],Ledger[SAP Deal Number])</f>
        <v>VIT26HS00009</v>
      </c>
      <c r="C123">
        <v>0</v>
      </c>
      <c r="D123" s="37" t="s">
        <v>1678</v>
      </c>
      <c r="E123" s="174">
        <v>46021</v>
      </c>
      <c r="F123" s="10" t="s">
        <v>44</v>
      </c>
      <c r="G123" s="10" t="s">
        <v>268</v>
      </c>
      <c r="H123" s="259">
        <v>12</v>
      </c>
      <c r="I123" s="172">
        <v>46081</v>
      </c>
      <c r="J123" s="172">
        <v>46081</v>
      </c>
      <c r="K123" s="15">
        <v>0.69</v>
      </c>
      <c r="L123" s="191">
        <f>VLOOKUP(I123,'PnL26'!$E$6:$G$54,3,FALSE)</f>
        <v>1.26</v>
      </c>
      <c r="M123" s="9">
        <f t="shared" si="78"/>
        <v>6.8400000000000007</v>
      </c>
      <c r="N123">
        <f t="shared" si="61"/>
        <v>8.2799999999999994</v>
      </c>
      <c r="O123" s="14" t="str">
        <f t="shared" si="79"/>
        <v>Feb 26</v>
      </c>
      <c r="P123" s="8" t="str">
        <f t="shared" si="63"/>
        <v>Buy</v>
      </c>
      <c r="Q123">
        <f t="shared" si="64"/>
        <v>15.120000000000001</v>
      </c>
      <c r="R123" s="38" t="str">
        <f>VLOOKUP(F123,Control!$B:$C,2,FALSE)</f>
        <v>Swaps</v>
      </c>
      <c r="S123" s="38" t="str">
        <f>VLOOKUP(F123,Control!$B:$D,3,FALSE)</f>
        <v>MEH</v>
      </c>
      <c r="T123">
        <f t="shared" si="80"/>
        <v>2026</v>
      </c>
      <c r="U123" t="str">
        <f t="shared" si="65"/>
        <v>Buy</v>
      </c>
      <c r="V123" t="s">
        <v>96</v>
      </c>
      <c r="W123">
        <f>_xlfn.XLOOKUP(Table3[[#This Row],[Instrument]],Control!$B$2:$B$19,Control!$E$2:$E$19)</f>
        <v>0</v>
      </c>
      <c r="X123" s="14">
        <f>Table3[[#This Row],[Month1]]</f>
        <v>46081</v>
      </c>
      <c r="Y123" s="350">
        <f>Table3[[#This Row],[Quantity]]</f>
        <v>12</v>
      </c>
      <c r="Z123">
        <f>_xlfn.XLOOKUP(Table3[[#This Row],[Instrument]],Control!$B$2:$B$19,Control!$F$2:$F$19)</f>
        <v>0</v>
      </c>
      <c r="AA123" s="14">
        <f>Table3[[#This Row],[Month2]]</f>
        <v>46081</v>
      </c>
      <c r="AB123" s="350">
        <f t="shared" si="57"/>
        <v>-12</v>
      </c>
    </row>
    <row r="124" spans="1:28" ht="15" hidden="1" thickBot="1" x14ac:dyDescent="0.4">
      <c r="A124" t="s">
        <v>1724</v>
      </c>
      <c r="B124" t="str">
        <f>_xlfn.XLOOKUP(Table3[[#This Row],[Cargo Name]],Ledger[Cargo Name],Ledger[SAP Deal Number])</f>
        <v>VIT26HS00009</v>
      </c>
      <c r="C124">
        <v>0</v>
      </c>
      <c r="D124" t="s">
        <v>1678</v>
      </c>
      <c r="E124" s="174">
        <v>46021</v>
      </c>
      <c r="F124" s="10" t="s">
        <v>10</v>
      </c>
      <c r="G124" s="4" t="s">
        <v>128</v>
      </c>
      <c r="H124" s="253">
        <v>400</v>
      </c>
      <c r="I124" s="172">
        <v>46142</v>
      </c>
      <c r="J124" s="172">
        <v>46142</v>
      </c>
      <c r="K124" s="348">
        <v>-3.42</v>
      </c>
      <c r="L124" s="192">
        <f ca="1">IF(OR(S124="WTI Sprds",S124="Brent Sprds",S124="WTI-Brent",S124="DFL"),INDEX(INDIRECT("'" &amp; S124 &amp; "'!$A$6:$XFD$1048576"),MATCH('PnL26'!$P$1,INDIRECT("'" &amp; S124 &amp; "'!$A$6:$A$1048576"),0),MATCH(EOMONTH(I124,0),INDIRECT("'" &amp; S124 &amp; "'!$A$4:$XFD$4"),0)),INDEX(BBG!$A:$BA,MATCH('PnL26'!$P$1,BBG!$A:$A,0),MATCH($I124,BBG!$A$4:$BA$4,0))-INDEX(BBG!$A:$BA,MATCH('PnL26'!$P$1,BBG!$A:$A,0),MATCH($J124,BBG!$A$4:$BA$4,0)))</f>
        <v>-5.46</v>
      </c>
      <c r="M124" s="9">
        <f t="shared" ca="1" si="78"/>
        <v>-816</v>
      </c>
      <c r="N124">
        <f t="shared" si="61"/>
        <v>-1368</v>
      </c>
      <c r="O124" s="14" t="str">
        <f t="shared" si="79"/>
        <v>Apr 26</v>
      </c>
      <c r="P124" s="8" t="str">
        <f t="shared" si="63"/>
        <v>Buy</v>
      </c>
      <c r="Q124">
        <f t="shared" ca="1" si="64"/>
        <v>-2184</v>
      </c>
      <c r="R124" s="38" t="str">
        <f>VLOOKUP(F124,Control!$B:$C,2,FALSE)</f>
        <v>Swaps</v>
      </c>
      <c r="S124" s="38" t="str">
        <f>VLOOKUP(F124,Control!$B:$D,3,FALSE)</f>
        <v>WTI-Brent</v>
      </c>
      <c r="T124">
        <f t="shared" si="80"/>
        <v>2026</v>
      </c>
      <c r="U124" t="str">
        <f t="shared" si="65"/>
        <v>Buy</v>
      </c>
      <c r="V124" t="s">
        <v>96</v>
      </c>
      <c r="W124" t="str">
        <f>_xlfn.XLOOKUP(Table3[[#This Row],[Instrument]],Control!$B$2:$B$19,Control!$E$2:$E$19)</f>
        <v>WTI</v>
      </c>
      <c r="X124" s="14">
        <f>Table3[[#This Row],[Month1]]</f>
        <v>46142</v>
      </c>
      <c r="Y124" s="350">
        <f>Table3[[#This Row],[Quantity]]</f>
        <v>400</v>
      </c>
      <c r="Z124" t="str">
        <f>_xlfn.XLOOKUP(Table3[[#This Row],[Instrument]],Control!$B$2:$B$19,Control!$F$2:$F$19)</f>
        <v>Brent</v>
      </c>
      <c r="AA124" s="14">
        <f>Table3[[#This Row],[Month2]]</f>
        <v>46142</v>
      </c>
      <c r="AB124" s="350">
        <f t="shared" si="57"/>
        <v>-400</v>
      </c>
    </row>
    <row r="125" spans="1:28" ht="15" hidden="1" thickBot="1" x14ac:dyDescent="0.4">
      <c r="A125" t="s">
        <v>1724</v>
      </c>
      <c r="B125" t="str">
        <f>_xlfn.XLOOKUP(Table3[[#This Row],[Cargo Name]],Ledger[Cargo Name],Ledger[SAP Deal Number])</f>
        <v>VIT26HS00009</v>
      </c>
      <c r="C125">
        <v>0</v>
      </c>
      <c r="D125" t="s">
        <v>1678</v>
      </c>
      <c r="E125" s="174">
        <v>46022</v>
      </c>
      <c r="F125" s="10" t="s">
        <v>3</v>
      </c>
      <c r="G125" s="4" t="s">
        <v>128</v>
      </c>
      <c r="H125" s="253">
        <v>354</v>
      </c>
      <c r="I125" s="172">
        <v>46081</v>
      </c>
      <c r="J125" s="172">
        <v>46112</v>
      </c>
      <c r="K125" s="348">
        <v>0.21</v>
      </c>
      <c r="L125" s="192">
        <f ca="1">IF(OR(S125="WTI Sprds",S125="Brent Sprds",S125="WTI-Brent",S125="DFL"),INDEX(INDIRECT("'" &amp; S125 &amp; "'!$A$6:$XFD$1048576"),MATCH('PnL26'!$P$1,INDIRECT("'" &amp; S125 &amp; "'!$A$6:$A$1048576"),0),MATCH(EOMONTH(I125,0),INDIRECT("'" &amp; S125 &amp; "'!$A$4:$XFD$4"),0)),INDEX(BBG!$A:$BA,MATCH('PnL26'!$P$1,BBG!$A:$A,0),MATCH($I125,BBG!$A$4:$BA$4,0))-INDEX(BBG!$A:$BA,MATCH('PnL26'!$P$1,BBG!$A:$A,0),MATCH($J125,BBG!$A$4:$BA$4,0)))</f>
        <v>0.1</v>
      </c>
      <c r="M125" s="9">
        <f t="shared" ca="1" si="78"/>
        <v>-38.94</v>
      </c>
      <c r="N125">
        <f t="shared" si="61"/>
        <v>74.34</v>
      </c>
      <c r="O125" s="14" t="str">
        <f t="shared" si="79"/>
        <v>Feb/Mar 26</v>
      </c>
      <c r="P125" s="8" t="str">
        <f t="shared" si="63"/>
        <v>Buy</v>
      </c>
      <c r="Q125">
        <f t="shared" ca="1" si="64"/>
        <v>35.4</v>
      </c>
      <c r="R125" s="38" t="str">
        <f>VLOOKUP(F125,Control!$B:$C,2,FALSE)</f>
        <v>Futures</v>
      </c>
      <c r="S125" s="38" t="str">
        <f>VLOOKUP(F125,Control!$B:$D,3,FALSE)</f>
        <v>WTI Sprds</v>
      </c>
      <c r="T125">
        <f t="shared" si="80"/>
        <v>2026</v>
      </c>
      <c r="U125" t="str">
        <f t="shared" si="65"/>
        <v>Buy</v>
      </c>
      <c r="V125" t="s">
        <v>96</v>
      </c>
      <c r="W125" t="str">
        <f>_xlfn.XLOOKUP(Table3[[#This Row],[Instrument]],Control!$B$2:$B$19,Control!$E$2:$E$19)</f>
        <v>WTI</v>
      </c>
      <c r="X125" s="14">
        <f>Table3[[#This Row],[Month1]]</f>
        <v>46081</v>
      </c>
      <c r="Y125" s="350">
        <f>Table3[[#This Row],[Quantity]]</f>
        <v>354</v>
      </c>
      <c r="Z125" t="str">
        <f>_xlfn.XLOOKUP(Table3[[#This Row],[Instrument]],Control!$B$2:$B$19,Control!$F$2:$F$19)</f>
        <v>WTI</v>
      </c>
      <c r="AA125" s="14">
        <f>Table3[[#This Row],[Month2]]</f>
        <v>46112</v>
      </c>
      <c r="AB125" s="350">
        <f t="shared" si="57"/>
        <v>-354</v>
      </c>
    </row>
    <row r="126" spans="1:28" ht="15" hidden="1" thickBot="1" x14ac:dyDescent="0.4">
      <c r="A126" t="s">
        <v>1724</v>
      </c>
      <c r="B126" t="str">
        <f>_xlfn.XLOOKUP(Table3[[#This Row],[Cargo Name]],Ledger[Cargo Name],Ledger[SAP Deal Number])</f>
        <v>VIT26HS00009</v>
      </c>
      <c r="C126">
        <v>0</v>
      </c>
      <c r="D126" t="s">
        <v>1678</v>
      </c>
      <c r="E126" s="174">
        <v>46022</v>
      </c>
      <c r="F126" s="10" t="s">
        <v>3</v>
      </c>
      <c r="G126" s="4" t="s">
        <v>128</v>
      </c>
      <c r="H126" s="253">
        <v>93</v>
      </c>
      <c r="I126" s="172">
        <v>46112</v>
      </c>
      <c r="J126" s="172">
        <v>46142</v>
      </c>
      <c r="K126" s="348">
        <v>0.16</v>
      </c>
      <c r="L126" s="192">
        <f ca="1">IF(OR(S126="WTI Sprds",S126="Brent Sprds",S126="WTI-Brent",S126="DFL"),INDEX(INDIRECT("'" &amp; S126 &amp; "'!$A$6:$XFD$1048576"),MATCH('PnL26'!$P$1,INDIRECT("'" &amp; S126 &amp; "'!$A$6:$A$1048576"),0),MATCH(EOMONTH(I126,0),INDIRECT("'" &amp; S126 &amp; "'!$A$4:$XFD$4"),0)),INDEX(BBG!$A:$BA,MATCH('PnL26'!$P$1,BBG!$A:$A,0),MATCH($I126,BBG!$A$4:$BA$4,0))-INDEX(BBG!$A:$BA,MATCH('PnL26'!$P$1,BBG!$A:$A,0),MATCH($J126,BBG!$A$4:$BA$4,0)))</f>
        <v>0.03</v>
      </c>
      <c r="M126" s="9">
        <f t="shared" ca="1" si="78"/>
        <v>-12.09</v>
      </c>
      <c r="N126">
        <f t="shared" si="61"/>
        <v>14.88</v>
      </c>
      <c r="O126" s="14" t="str">
        <f t="shared" si="79"/>
        <v>Mar/Apr 26</v>
      </c>
      <c r="P126" s="8" t="str">
        <f t="shared" si="63"/>
        <v>Buy</v>
      </c>
      <c r="Q126">
        <f t="shared" ca="1" si="64"/>
        <v>2.79</v>
      </c>
      <c r="R126" s="38" t="str">
        <f>VLOOKUP(F126,Control!$B:$C,2,FALSE)</f>
        <v>Futures</v>
      </c>
      <c r="S126" s="38" t="str">
        <f>VLOOKUP(F126,Control!$B:$D,3,FALSE)</f>
        <v>WTI Sprds</v>
      </c>
      <c r="T126">
        <f t="shared" si="80"/>
        <v>2026</v>
      </c>
      <c r="U126" t="str">
        <f t="shared" si="65"/>
        <v>Buy</v>
      </c>
      <c r="V126" t="s">
        <v>96</v>
      </c>
      <c r="W126" t="str">
        <f>_xlfn.XLOOKUP(Table3[[#This Row],[Instrument]],Control!$B$2:$B$19,Control!$E$2:$E$19)</f>
        <v>WTI</v>
      </c>
      <c r="X126" s="14">
        <f>Table3[[#This Row],[Month1]]</f>
        <v>46112</v>
      </c>
      <c r="Y126" s="350">
        <f>Table3[[#This Row],[Quantity]]</f>
        <v>93</v>
      </c>
      <c r="Z126" t="str">
        <f>_xlfn.XLOOKUP(Table3[[#This Row],[Instrument]],Control!$B$2:$B$19,Control!$F$2:$F$19)</f>
        <v>WTI</v>
      </c>
      <c r="AA126" s="14">
        <f>Table3[[#This Row],[Month2]]</f>
        <v>46142</v>
      </c>
      <c r="AB126" s="350">
        <f t="shared" si="57"/>
        <v>-93</v>
      </c>
    </row>
    <row r="127" spans="1:28" ht="15.75" hidden="1" customHeight="1" x14ac:dyDescent="0.35">
      <c r="A127" t="s">
        <v>1724</v>
      </c>
      <c r="B127" t="str">
        <f>_xlfn.XLOOKUP(Table3[[#This Row],[Cargo Name]],Ledger[Cargo Name],Ledger[SAP Deal Number])</f>
        <v>VIT26HS00009</v>
      </c>
      <c r="C127">
        <v>0</v>
      </c>
      <c r="D127" s="37" t="s">
        <v>1678</v>
      </c>
      <c r="E127" s="174">
        <v>46022</v>
      </c>
      <c r="F127" s="10" t="s">
        <v>44</v>
      </c>
      <c r="G127" s="10" t="s">
        <v>128</v>
      </c>
      <c r="H127" s="259">
        <v>200</v>
      </c>
      <c r="I127" s="172">
        <v>46081</v>
      </c>
      <c r="J127" s="172">
        <v>46081</v>
      </c>
      <c r="K127" s="15">
        <v>0.71</v>
      </c>
      <c r="L127" s="191">
        <f>VLOOKUP(I127,'PnL26'!$E$6:$G$54,3,FALSE)</f>
        <v>1.26</v>
      </c>
      <c r="M127" s="9">
        <f>IFERROR((L127-K127)*H127,"")</f>
        <v>110.00000000000001</v>
      </c>
      <c r="N127">
        <f t="shared" si="61"/>
        <v>142</v>
      </c>
      <c r="O127" s="14" t="str">
        <f t="shared" si="79"/>
        <v>Feb 26</v>
      </c>
      <c r="P127" s="8" t="str">
        <f t="shared" si="63"/>
        <v>Buy</v>
      </c>
      <c r="Q127">
        <f t="shared" si="64"/>
        <v>252</v>
      </c>
      <c r="R127" s="38" t="str">
        <f>VLOOKUP(F127,Control!$B:$C,2,FALSE)</f>
        <v>Swaps</v>
      </c>
      <c r="S127" s="38" t="str">
        <f>VLOOKUP(F127,Control!$B:$D,3,FALSE)</f>
        <v>MEH</v>
      </c>
      <c r="T127">
        <f t="shared" si="80"/>
        <v>2026</v>
      </c>
      <c r="U127" t="str">
        <f t="shared" si="65"/>
        <v>Buy</v>
      </c>
      <c r="V127" t="s">
        <v>96</v>
      </c>
      <c r="W127">
        <f>_xlfn.XLOOKUP(Table3[[#This Row],[Instrument]],Control!$B$2:$B$19,Control!$E$2:$E$19)</f>
        <v>0</v>
      </c>
      <c r="X127" s="14">
        <f>Table3[[#This Row],[Month1]]</f>
        <v>46081</v>
      </c>
      <c r="Y127" s="350">
        <f>Table3[[#This Row],[Quantity]]</f>
        <v>200</v>
      </c>
      <c r="Z127">
        <f>_xlfn.XLOOKUP(Table3[[#This Row],[Instrument]],Control!$B$2:$B$19,Control!$F$2:$F$19)</f>
        <v>0</v>
      </c>
      <c r="AA127" s="14">
        <f>Table3[[#This Row],[Month2]]</f>
        <v>46081</v>
      </c>
      <c r="AB127" s="350">
        <f t="shared" si="57"/>
        <v>-200</v>
      </c>
    </row>
    <row r="128" spans="1:28" ht="15" hidden="1" thickBot="1" x14ac:dyDescent="0.4">
      <c r="A128" t="s">
        <v>1724</v>
      </c>
      <c r="B128" t="str">
        <f>_xlfn.XLOOKUP(Table3[[#This Row],[Cargo Name]],Ledger[Cargo Name],Ledger[SAP Deal Number])</f>
        <v>Unallocated</v>
      </c>
      <c r="C128">
        <v>0</v>
      </c>
      <c r="D128" t="s">
        <v>127</v>
      </c>
      <c r="E128" s="174">
        <v>46024</v>
      </c>
      <c r="F128" s="10" t="s">
        <v>3</v>
      </c>
      <c r="G128" s="4" t="s">
        <v>128</v>
      </c>
      <c r="H128" s="253">
        <v>-103</v>
      </c>
      <c r="I128" s="172">
        <v>46081</v>
      </c>
      <c r="J128" s="172">
        <v>46112</v>
      </c>
      <c r="K128" s="348">
        <v>0.15</v>
      </c>
      <c r="L128" s="192">
        <f ca="1">IF(OR(S128="WTI Sprds",S128="Brent Sprds",S128="WTI-Brent",S128="DFL"),INDEX(INDIRECT("'" &amp; S128 &amp; "'!$A$6:$XFD$1048576"),MATCH('PnL26'!$P$1,INDIRECT("'" &amp; S128 &amp; "'!$A$6:$A$1048576"),0),MATCH(EOMONTH(I128,0),INDIRECT("'" &amp; S128 &amp; "'!$A$4:$XFD$4"),0)),INDEX(BBG!$A:$BA,MATCH('PnL26'!$P$1,BBG!$A:$A,0),MATCH($I128,BBG!$A$4:$BA$4,0))-INDEX(BBG!$A:$BA,MATCH('PnL26'!$P$1,BBG!$A:$A,0),MATCH($J128,BBG!$A$4:$BA$4,0)))</f>
        <v>0.1</v>
      </c>
      <c r="M128" s="9">
        <f t="shared" ref="M128:M135" ca="1" si="81">IFERROR((L128-K128)*H128,"")</f>
        <v>5.1499999999999986</v>
      </c>
      <c r="N128">
        <f t="shared" ref="N128:N135" si="82">H128*K128</f>
        <v>-15.45</v>
      </c>
      <c r="O128" s="14" t="str">
        <f t="shared" si="79"/>
        <v>Feb/Mar 26</v>
      </c>
      <c r="P128" s="8" t="str">
        <f t="shared" si="63"/>
        <v>Sell</v>
      </c>
      <c r="Q128">
        <f t="shared" ca="1" si="64"/>
        <v>-10.3</v>
      </c>
      <c r="R128" s="38" t="str">
        <f>VLOOKUP(F128,Control!$B:$C,2,FALSE)</f>
        <v>Futures</v>
      </c>
      <c r="S128" s="38" t="str">
        <f>VLOOKUP(F128,Control!$B:$D,3,FALSE)</f>
        <v>WTI Sprds</v>
      </c>
      <c r="T128">
        <f t="shared" si="80"/>
        <v>2026</v>
      </c>
      <c r="U128" t="str">
        <f t="shared" si="65"/>
        <v>Sell</v>
      </c>
      <c r="V128" t="s">
        <v>96</v>
      </c>
      <c r="W128" t="str">
        <f>_xlfn.XLOOKUP(Table3[[#This Row],[Instrument]],Control!$B$2:$B$19,Control!$E$2:$E$19)</f>
        <v>WTI</v>
      </c>
      <c r="X128" s="14">
        <f>Table3[[#This Row],[Month1]]</f>
        <v>46081</v>
      </c>
      <c r="Y128" s="350">
        <f>Table3[[#This Row],[Quantity]]</f>
        <v>-103</v>
      </c>
      <c r="Z128" t="str">
        <f>_xlfn.XLOOKUP(Table3[[#This Row],[Instrument]],Control!$B$2:$B$19,Control!$F$2:$F$19)</f>
        <v>WTI</v>
      </c>
      <c r="AA128" s="14">
        <f>Table3[[#This Row],[Month2]]</f>
        <v>46112</v>
      </c>
      <c r="AB128" s="350">
        <f t="shared" si="57"/>
        <v>103</v>
      </c>
    </row>
    <row r="129" spans="1:28" ht="15" hidden="1" thickBot="1" x14ac:dyDescent="0.4">
      <c r="A129" t="s">
        <v>1724</v>
      </c>
      <c r="B129" t="str">
        <f>_xlfn.XLOOKUP(Table3[[#This Row],[Cargo Name]],Ledger[Cargo Name],Ledger[SAP Deal Number])</f>
        <v>ARA26HS00023</v>
      </c>
      <c r="C129">
        <v>0</v>
      </c>
      <c r="D129" s="385" t="s">
        <v>1712</v>
      </c>
      <c r="E129" s="324">
        <v>46030</v>
      </c>
      <c r="F129" s="325" t="s">
        <v>19</v>
      </c>
      <c r="G129" s="22" t="s">
        <v>268</v>
      </c>
      <c r="H129" s="262">
        <f>'Cargo Econs 2025'!D465</f>
        <v>2072</v>
      </c>
      <c r="I129" s="24">
        <v>46053</v>
      </c>
      <c r="J129" s="24">
        <v>46053</v>
      </c>
      <c r="K129" s="207">
        <f>'Cargo Econs 2025'!D481</f>
        <v>0.83305019305019234</v>
      </c>
      <c r="L129" s="353">
        <f>'Cargo Econs 2025'!D482</f>
        <v>1.08</v>
      </c>
      <c r="M129" s="25">
        <f t="shared" si="81"/>
        <v>511.6800000000016</v>
      </c>
      <c r="N129" s="26">
        <f t="shared" si="82"/>
        <v>1726.0799999999986</v>
      </c>
      <c r="O129" s="282" t="str">
        <f t="shared" si="79"/>
        <v>Jan 26</v>
      </c>
      <c r="P129" s="27" t="str">
        <f t="shared" si="63"/>
        <v>Buy</v>
      </c>
      <c r="Q129" s="26">
        <f t="shared" si="64"/>
        <v>2237.7600000000002</v>
      </c>
      <c r="R129" s="26" t="str">
        <f>VLOOKUP(F129,Control!$B:$C,2,FALSE)</f>
        <v>Physical</v>
      </c>
      <c r="S129" s="26" t="str">
        <f>VLOOKUP(F129,Control!$B:$D,3,FALSE)</f>
        <v>Physical</v>
      </c>
      <c r="T129" s="28">
        <f t="shared" si="80"/>
        <v>2026</v>
      </c>
      <c r="U129" t="str">
        <f t="shared" si="65"/>
        <v>Buy</v>
      </c>
      <c r="V129" t="s">
        <v>96</v>
      </c>
      <c r="W129">
        <f>_xlfn.XLOOKUP(Table3[[#This Row],[Instrument]],Control!$B$2:$B$19,Control!$E$2:$E$19)</f>
        <v>0</v>
      </c>
      <c r="X129" s="14">
        <f>Table3[[#This Row],[Month1]]</f>
        <v>46053</v>
      </c>
      <c r="Y129" s="350">
        <f>Table3[[#This Row],[Quantity]]</f>
        <v>2072</v>
      </c>
      <c r="Z129">
        <f>_xlfn.XLOOKUP(Table3[[#This Row],[Instrument]],Control!$B$2:$B$19,Control!$F$2:$F$19)</f>
        <v>0</v>
      </c>
      <c r="AA129" s="14">
        <f>Table3[[#This Row],[Month2]]</f>
        <v>46053</v>
      </c>
      <c r="AB129" s="350">
        <f t="shared" si="57"/>
        <v>-2072</v>
      </c>
    </row>
    <row r="130" spans="1:28" ht="15" hidden="1" thickBot="1" x14ac:dyDescent="0.4">
      <c r="A130" t="s">
        <v>1724</v>
      </c>
      <c r="B130" t="str">
        <f>_xlfn.XLOOKUP(Table3[[#This Row],[Cargo Name]],Ledger[Cargo Name],Ledger[SAP Deal Number])</f>
        <v>ARA26HS00023</v>
      </c>
      <c r="C130">
        <v>0</v>
      </c>
      <c r="D130" t="s">
        <v>1712</v>
      </c>
      <c r="E130" s="16">
        <v>46030</v>
      </c>
      <c r="F130" s="10" t="s">
        <v>3</v>
      </c>
      <c r="G130" s="4" t="s">
        <v>268</v>
      </c>
      <c r="H130" s="253">
        <v>-2065</v>
      </c>
      <c r="I130" s="172">
        <v>46081</v>
      </c>
      <c r="J130" s="172">
        <v>46112</v>
      </c>
      <c r="K130" s="212">
        <v>0.13</v>
      </c>
      <c r="L130" s="7">
        <f ca="1">IF(OR(S130="WTI Sprds",S130="Brent Sprds",S130="WTI-Brent",S130="DFL"),INDEX(INDIRECT("'" &amp; S130 &amp; "'!$A$6:$XFD$1048576"),MATCH('PnL26'!$P$1,INDIRECT("'" &amp; S130 &amp; "'!$A$6:$A$1048576"),0),MATCH(EOMONTH(I130,0),INDIRECT("'" &amp; S130 &amp; "'!$A$4:$XFD$4"),0)),INDEX(BBG!$A:$BA,MATCH('PnL26'!$P$1,BBG!$A:$A,0),MATCH($I130,BBG!$A$4:$BA$4,0))-INDEX(BBG!$A:$BA,MATCH('PnL26'!$P$1,BBG!$A:$A,0),MATCH($J130,BBG!$A$4:$BA$4,0)))</f>
        <v>0.1</v>
      </c>
      <c r="M130" s="9">
        <f t="shared" ca="1" si="81"/>
        <v>61.949999999999996</v>
      </c>
      <c r="N130">
        <f t="shared" si="82"/>
        <v>-268.45</v>
      </c>
      <c r="O130" s="14" t="str">
        <f t="shared" si="79"/>
        <v>Feb/Mar 26</v>
      </c>
      <c r="P130" s="8" t="str">
        <f t="shared" si="63"/>
        <v>Sell</v>
      </c>
      <c r="Q130">
        <f t="shared" ca="1" si="64"/>
        <v>-206.5</v>
      </c>
      <c r="R130" t="str">
        <f>VLOOKUP(F130,Control!$B:$C,2,FALSE)</f>
        <v>Futures</v>
      </c>
      <c r="S130" t="str">
        <f>VLOOKUP(F130,Control!$B:$D,3,FALSE)</f>
        <v>WTI Sprds</v>
      </c>
      <c r="T130" s="38">
        <f t="shared" si="80"/>
        <v>2026</v>
      </c>
      <c r="U130" t="str">
        <f t="shared" si="65"/>
        <v>Sell</v>
      </c>
      <c r="V130" t="s">
        <v>96</v>
      </c>
      <c r="W130" t="str">
        <f>_xlfn.XLOOKUP(Table3[[#This Row],[Instrument]],Control!$B$2:$B$19,Control!$E$2:$E$19)</f>
        <v>WTI</v>
      </c>
      <c r="X130" s="14">
        <f>Table3[[#This Row],[Month1]]</f>
        <v>46081</v>
      </c>
      <c r="Y130" s="350">
        <f>Table3[[#This Row],[Quantity]]</f>
        <v>-2065</v>
      </c>
      <c r="Z130" t="str">
        <f>_xlfn.XLOOKUP(Table3[[#This Row],[Instrument]],Control!$B$2:$B$19,Control!$F$2:$F$19)</f>
        <v>WTI</v>
      </c>
      <c r="AA130" s="14">
        <f>Table3[[#This Row],[Month2]]</f>
        <v>46112</v>
      </c>
      <c r="AB130" s="350">
        <f t="shared" si="57"/>
        <v>2065</v>
      </c>
    </row>
    <row r="131" spans="1:28" ht="15" hidden="1" thickBot="1" x14ac:dyDescent="0.4">
      <c r="A131" t="s">
        <v>1724</v>
      </c>
      <c r="B131" t="str">
        <f>_xlfn.XLOOKUP(Table3[[#This Row],[Cargo Name]],Ledger[Cargo Name],Ledger[SAP Deal Number])</f>
        <v>ARA26HS00023</v>
      </c>
      <c r="C131">
        <v>0</v>
      </c>
      <c r="D131" t="s">
        <v>1712</v>
      </c>
      <c r="E131" s="16">
        <v>46030</v>
      </c>
      <c r="F131" s="10" t="s">
        <v>3</v>
      </c>
      <c r="G131" s="4" t="s">
        <v>268</v>
      </c>
      <c r="H131" s="253">
        <f>-H129</f>
        <v>-2072</v>
      </c>
      <c r="I131" s="172">
        <v>46112</v>
      </c>
      <c r="J131" s="172">
        <v>46142</v>
      </c>
      <c r="K131" s="212">
        <v>0.13</v>
      </c>
      <c r="L131" s="7">
        <f ca="1">IF(OR(S131="WTI Sprds",S131="Brent Sprds",S131="WTI-Brent",S131="DFL"),INDEX(INDIRECT("'" &amp; S131 &amp; "'!$A$6:$XFD$1048576"),MATCH('PnL26'!$P$1,INDIRECT("'" &amp; S131 &amp; "'!$A$6:$A$1048576"),0),MATCH(EOMONTH(I131,0),INDIRECT("'" &amp; S131 &amp; "'!$A$4:$XFD$4"),0)),INDEX(BBG!$A:$BA,MATCH('PnL26'!$P$1,BBG!$A:$A,0),MATCH($I131,BBG!$A$4:$BA$4,0))-INDEX(BBG!$A:$BA,MATCH('PnL26'!$P$1,BBG!$A:$A,0),MATCH($J131,BBG!$A$4:$BA$4,0)))</f>
        <v>0.03</v>
      </c>
      <c r="M131" s="9">
        <f t="shared" ca="1" si="81"/>
        <v>207.20000000000002</v>
      </c>
      <c r="N131">
        <f t="shared" si="82"/>
        <v>-269.36</v>
      </c>
      <c r="O131" s="14" t="str">
        <f t="shared" si="79"/>
        <v>Mar/Apr 26</v>
      </c>
      <c r="P131" s="8" t="str">
        <f t="shared" si="63"/>
        <v>Sell</v>
      </c>
      <c r="Q131">
        <f t="shared" ca="1" si="64"/>
        <v>-62.16</v>
      </c>
      <c r="R131" t="str">
        <f>VLOOKUP(F131,Control!$B:$C,2,FALSE)</f>
        <v>Futures</v>
      </c>
      <c r="S131" t="str">
        <f>VLOOKUP(F131,Control!$B:$D,3,FALSE)</f>
        <v>WTI Sprds</v>
      </c>
      <c r="T131" s="38">
        <f t="shared" si="80"/>
        <v>2026</v>
      </c>
      <c r="U131" t="str">
        <f t="shared" si="65"/>
        <v>Sell</v>
      </c>
      <c r="V131" t="s">
        <v>96</v>
      </c>
      <c r="W131" t="str">
        <f>_xlfn.XLOOKUP(Table3[[#This Row],[Instrument]],Control!$B$2:$B$19,Control!$E$2:$E$19)</f>
        <v>WTI</v>
      </c>
      <c r="X131" s="14">
        <f>Table3[[#This Row],[Month1]]</f>
        <v>46112</v>
      </c>
      <c r="Y131" s="350">
        <f>Table3[[#This Row],[Quantity]]</f>
        <v>-2072</v>
      </c>
      <c r="Z131" t="str">
        <f>_xlfn.XLOOKUP(Table3[[#This Row],[Instrument]],Control!$B$2:$B$19,Control!$F$2:$F$19)</f>
        <v>WTI</v>
      </c>
      <c r="AA131" s="14">
        <f>Table3[[#This Row],[Month2]]</f>
        <v>46142</v>
      </c>
      <c r="AB131" s="350">
        <f t="shared" ref="AB131:AB194" si="83">-Y131</f>
        <v>2072</v>
      </c>
    </row>
    <row r="132" spans="1:28" ht="15" hidden="1" thickBot="1" x14ac:dyDescent="0.4">
      <c r="A132" t="s">
        <v>1724</v>
      </c>
      <c r="B132" t="str">
        <f>_xlfn.XLOOKUP(Table3[[#This Row],[Cargo Name]],Ledger[Cargo Name],Ledger[SAP Deal Number])</f>
        <v>ARA26HS00023</v>
      </c>
      <c r="C132">
        <v>0</v>
      </c>
      <c r="D132" t="s">
        <v>1712</v>
      </c>
      <c r="E132" s="16">
        <v>46030</v>
      </c>
      <c r="F132" s="10" t="s">
        <v>10</v>
      </c>
      <c r="G132" s="4" t="s">
        <v>268</v>
      </c>
      <c r="H132" s="253">
        <f>-H129</f>
        <v>-2072</v>
      </c>
      <c r="I132" s="172">
        <v>46142</v>
      </c>
      <c r="J132" s="172">
        <v>46142</v>
      </c>
      <c r="K132" s="212">
        <v>-3.89</v>
      </c>
      <c r="L132" s="7">
        <f ca="1">IF(OR(S132="WTI Sprds",S132="Brent Sprds",S132="WTI-Brent",S132="DFL"),INDEX(INDIRECT("'" &amp; S132 &amp; "'!$A$6:$XFD$1048576"),MATCH('PnL26'!$P$1,INDIRECT("'" &amp; S132 &amp; "'!$A$6:$A$1048576"),0),MATCH(EOMONTH(I132,0),INDIRECT("'" &amp; S132 &amp; "'!$A$4:$XFD$4"),0)),INDEX(BBG!$A:$BA,MATCH('PnL26'!$P$1,BBG!$A:$A,0),MATCH($I132,BBG!$A$4:$BA$4,0))-INDEX(BBG!$A:$BA,MATCH('PnL26'!$P$1,BBG!$A:$A,0),MATCH($J132,BBG!$A$4:$BA$4,0)))</f>
        <v>-5.46</v>
      </c>
      <c r="M132" s="9">
        <f t="shared" ca="1" si="81"/>
        <v>3253.0399999999995</v>
      </c>
      <c r="N132">
        <f t="shared" si="82"/>
        <v>8060.08</v>
      </c>
      <c r="O132" s="14" t="str">
        <f t="shared" si="79"/>
        <v>Apr 26</v>
      </c>
      <c r="P132" s="8" t="str">
        <f t="shared" si="63"/>
        <v>Sell</v>
      </c>
      <c r="Q132">
        <f t="shared" ca="1" si="64"/>
        <v>11313.12</v>
      </c>
      <c r="R132" t="str">
        <f>VLOOKUP(F132,Control!$B:$C,2,FALSE)</f>
        <v>Swaps</v>
      </c>
      <c r="S132" t="str">
        <f>VLOOKUP(F132,Control!$B:$D,3,FALSE)</f>
        <v>WTI-Brent</v>
      </c>
      <c r="T132" s="38">
        <f t="shared" si="80"/>
        <v>2026</v>
      </c>
      <c r="U132" t="str">
        <f t="shared" si="65"/>
        <v>Sell</v>
      </c>
      <c r="V132" t="s">
        <v>96</v>
      </c>
      <c r="W132" t="str">
        <f>_xlfn.XLOOKUP(Table3[[#This Row],[Instrument]],Control!$B$2:$B$19,Control!$E$2:$E$19)</f>
        <v>WTI</v>
      </c>
      <c r="X132" s="14">
        <f>Table3[[#This Row],[Month1]]</f>
        <v>46142</v>
      </c>
      <c r="Y132" s="350">
        <f>Table3[[#This Row],[Quantity]]</f>
        <v>-2072</v>
      </c>
      <c r="Z132" t="str">
        <f>_xlfn.XLOOKUP(Table3[[#This Row],[Instrument]],Control!$B$2:$B$19,Control!$F$2:$F$19)</f>
        <v>Brent</v>
      </c>
      <c r="AA132" s="14">
        <f>Table3[[#This Row],[Month2]]</f>
        <v>46142</v>
      </c>
      <c r="AB132" s="350">
        <f t="shared" si="83"/>
        <v>2072</v>
      </c>
    </row>
    <row r="133" spans="1:28" ht="15" hidden="1" thickBot="1" x14ac:dyDescent="0.4">
      <c r="A133" t="s">
        <v>1724</v>
      </c>
      <c r="B133" t="str">
        <f>_xlfn.XLOOKUP(Table3[[#This Row],[Cargo Name]],Ledger[Cargo Name],Ledger[SAP Deal Number])</f>
        <v>ARA26HS00023</v>
      </c>
      <c r="C133">
        <v>0</v>
      </c>
      <c r="D133" t="s">
        <v>1712</v>
      </c>
      <c r="E133" s="16">
        <v>46030</v>
      </c>
      <c r="F133" s="10" t="s">
        <v>7</v>
      </c>
      <c r="G133" s="4" t="s">
        <v>268</v>
      </c>
      <c r="H133" s="253">
        <f>-H129</f>
        <v>-2072</v>
      </c>
      <c r="I133" s="172">
        <v>46142</v>
      </c>
      <c r="J133" s="172">
        <v>46173</v>
      </c>
      <c r="K133" s="219">
        <v>0.26</v>
      </c>
      <c r="L133" s="7">
        <f ca="1">IF(OR(S133="WTI Sprds",S133="Brent Sprds",S133="WTI-Brent",S133="DFL"),INDEX(INDIRECT("'" &amp; S133 &amp; "'!$A$6:$XFD$1048576"),MATCH('PnL26'!$P$1,INDIRECT("'" &amp; S133 &amp; "'!$A$6:$A$1048576"),0),MATCH(EOMONTH(I133,0),INDIRECT("'" &amp; S133 &amp; "'!$A$4:$XFD$4"),0)),INDEX(BBG!$A:$BA,MATCH('PnL26'!$P$1,BBG!$A:$A,0),MATCH($I133,BBG!$A$4:$BA$4,0))-INDEX(BBG!$A:$BA,MATCH('PnL26'!$P$1,BBG!$A:$A,0),MATCH($J133,BBG!$A$4:$BA$4,0)))</f>
        <v>-0.39</v>
      </c>
      <c r="M133" s="9">
        <f t="shared" ca="1" si="81"/>
        <v>1346.8</v>
      </c>
      <c r="N133">
        <f t="shared" si="82"/>
        <v>-538.72</v>
      </c>
      <c r="O133" s="14" t="str">
        <f t="shared" si="79"/>
        <v>Apr/May 26</v>
      </c>
      <c r="P133" s="8" t="str">
        <f t="shared" si="63"/>
        <v>Sell</v>
      </c>
      <c r="Q133">
        <f t="shared" ca="1" si="64"/>
        <v>808.08</v>
      </c>
      <c r="R133" t="str">
        <f>VLOOKUP(F133,Control!$B:$C,2,FALSE)</f>
        <v>Futures</v>
      </c>
      <c r="S133" t="str">
        <f>VLOOKUP(F133,Control!$B:$D,3,FALSE)</f>
        <v>Brent Sprds</v>
      </c>
      <c r="T133" s="38">
        <f t="shared" si="80"/>
        <v>2026</v>
      </c>
      <c r="U133" t="str">
        <f t="shared" si="65"/>
        <v>Sell</v>
      </c>
      <c r="V133" t="s">
        <v>96</v>
      </c>
      <c r="W133" t="str">
        <f>_xlfn.XLOOKUP(Table3[[#This Row],[Instrument]],Control!$B$2:$B$19,Control!$E$2:$E$19)</f>
        <v>Brent</v>
      </c>
      <c r="X133" s="14">
        <f>Table3[[#This Row],[Month1]]</f>
        <v>46142</v>
      </c>
      <c r="Y133" s="350">
        <f>Table3[[#This Row],[Quantity]]</f>
        <v>-2072</v>
      </c>
      <c r="Z133" t="str">
        <f>_xlfn.XLOOKUP(Table3[[#This Row],[Instrument]],Control!$B$2:$B$19,Control!$F$2:$F$19)</f>
        <v>Brent</v>
      </c>
      <c r="AA133" s="14">
        <f>Table3[[#This Row],[Month2]]</f>
        <v>46173</v>
      </c>
      <c r="AB133" s="350">
        <f t="shared" si="83"/>
        <v>2072</v>
      </c>
    </row>
    <row r="134" spans="1:28" ht="15" hidden="1" thickBot="1" x14ac:dyDescent="0.4">
      <c r="A134" t="s">
        <v>1724</v>
      </c>
      <c r="B134" t="str">
        <f>_xlfn.XLOOKUP(Table3[[#This Row],[Cargo Name]],Ledger[Cargo Name],Ledger[SAP Deal Number])</f>
        <v>ARA26HS00023</v>
      </c>
      <c r="C134">
        <v>0</v>
      </c>
      <c r="D134" t="s">
        <v>1712</v>
      </c>
      <c r="E134" s="16">
        <v>46030</v>
      </c>
      <c r="F134" s="10" t="s">
        <v>7</v>
      </c>
      <c r="G134" s="4" t="s">
        <v>268</v>
      </c>
      <c r="H134" s="253">
        <f>-94</f>
        <v>-94</v>
      </c>
      <c r="I134" s="172">
        <v>46173</v>
      </c>
      <c r="J134" s="172">
        <v>46203</v>
      </c>
      <c r="K134" s="219">
        <f>0.26-0.08</f>
        <v>0.18</v>
      </c>
      <c r="L134" s="7">
        <f ca="1">IF(OR(S134="WTI Sprds",S134="Brent Sprds",S134="WTI-Brent",S134="DFL"),INDEX(INDIRECT("'" &amp; S134 &amp; "'!$A$6:$XFD$1048576"),MATCH('PnL26'!$P$1,INDIRECT("'" &amp; S134 &amp; "'!$A$6:$A$1048576"),0),MATCH(EOMONTH(I134,0),INDIRECT("'" &amp; S134 &amp; "'!$A$4:$XFD$4"),0)),INDEX(BBG!$A:$BA,MATCH('PnL26'!$P$1,BBG!$A:$A,0),MATCH($I134,BBG!$A$4:$BA$4,0))-INDEX(BBG!$A:$BA,MATCH('PnL26'!$P$1,BBG!$A:$A,0),MATCH($J134,BBG!$A$4:$BA$4,0)))</f>
        <v>14.38</v>
      </c>
      <c r="M134" s="9">
        <f t="shared" ca="1" si="81"/>
        <v>-1334.8000000000002</v>
      </c>
      <c r="N134">
        <f t="shared" si="82"/>
        <v>-16.919999999999998</v>
      </c>
      <c r="O134" s="14" t="str">
        <f t="shared" si="79"/>
        <v>May/Jun 26</v>
      </c>
      <c r="P134" s="8" t="str">
        <f t="shared" si="63"/>
        <v>Sell</v>
      </c>
      <c r="Q134">
        <f t="shared" ca="1" si="64"/>
        <v>-1351.72</v>
      </c>
      <c r="R134" t="str">
        <f>VLOOKUP(F134,Control!$B:$C,2,FALSE)</f>
        <v>Futures</v>
      </c>
      <c r="S134" t="str">
        <f>VLOOKUP(F134,Control!$B:$D,3,FALSE)</f>
        <v>Brent Sprds</v>
      </c>
      <c r="T134" s="38">
        <f t="shared" si="80"/>
        <v>2026</v>
      </c>
      <c r="U134" t="str">
        <f t="shared" si="65"/>
        <v>Sell</v>
      </c>
      <c r="V134" t="s">
        <v>96</v>
      </c>
      <c r="W134" t="str">
        <f>_xlfn.XLOOKUP(Table3[[#This Row],[Instrument]],Control!$B$2:$B$19,Control!$E$2:$E$19)</f>
        <v>Brent</v>
      </c>
      <c r="X134" s="14">
        <f>Table3[[#This Row],[Month1]]</f>
        <v>46173</v>
      </c>
      <c r="Y134" s="350">
        <f>Table3[[#This Row],[Quantity]]</f>
        <v>-94</v>
      </c>
      <c r="Z134" t="str">
        <f>_xlfn.XLOOKUP(Table3[[#This Row],[Instrument]],Control!$B$2:$B$19,Control!$F$2:$F$19)</f>
        <v>Brent</v>
      </c>
      <c r="AA134" s="14">
        <f>Table3[[#This Row],[Month2]]</f>
        <v>46203</v>
      </c>
      <c r="AB134" s="350">
        <f t="shared" si="83"/>
        <v>94</v>
      </c>
    </row>
    <row r="135" spans="1:28" ht="15" hidden="1" thickBot="1" x14ac:dyDescent="0.4">
      <c r="A135" t="s">
        <v>1724</v>
      </c>
      <c r="B135" t="str">
        <f>_xlfn.XLOOKUP(Table3[[#This Row],[Cargo Name]],Ledger[Cargo Name],Ledger[SAP Deal Number])</f>
        <v>Unallocated</v>
      </c>
      <c r="C135">
        <v>0</v>
      </c>
      <c r="D135" t="s">
        <v>127</v>
      </c>
      <c r="E135" s="16">
        <v>46030</v>
      </c>
      <c r="F135" s="10" t="s">
        <v>15</v>
      </c>
      <c r="G135" s="4" t="s">
        <v>268</v>
      </c>
      <c r="H135" s="253">
        <f>-H133</f>
        <v>2072</v>
      </c>
      <c r="I135" s="173">
        <v>46112</v>
      </c>
      <c r="J135" s="173">
        <v>46112</v>
      </c>
      <c r="K135" s="212">
        <v>0.31</v>
      </c>
      <c r="L135" s="191">
        <f>VLOOKUP($I135,'PnL26'!$E$7:$F$59,2,FALSE)</f>
        <v>11.45</v>
      </c>
      <c r="M135" s="9">
        <f t="shared" si="81"/>
        <v>23082.079999999998</v>
      </c>
      <c r="N135">
        <f t="shared" si="82"/>
        <v>642.32000000000005</v>
      </c>
      <c r="O135" s="14" t="str">
        <f t="shared" si="79"/>
        <v>Mar 26</v>
      </c>
      <c r="P135" s="8" t="str">
        <f t="shared" si="63"/>
        <v>Buy</v>
      </c>
      <c r="Q135">
        <f t="shared" si="64"/>
        <v>23724.399999999998</v>
      </c>
      <c r="R135" s="38" t="str">
        <f>VLOOKUP(F135,Control!$B:$C,2,FALSE)</f>
        <v>Swaps</v>
      </c>
      <c r="S135" s="38" t="str">
        <f>VLOOKUP(F135,Control!$B:$D,3,FALSE)</f>
        <v>Dated</v>
      </c>
      <c r="T135" s="240">
        <f t="shared" si="80"/>
        <v>2026</v>
      </c>
      <c r="U135" t="str">
        <f t="shared" si="65"/>
        <v>Buy</v>
      </c>
      <c r="V135" t="s">
        <v>96</v>
      </c>
      <c r="W135" t="e">
        <f>_xlfn.XLOOKUP(Table3[[#This Row],[Instrument]],Control!$B$2:$B$19,Control!$E$2:$E$19)</f>
        <v>#N/A</v>
      </c>
      <c r="X135" s="14">
        <f>Table3[[#This Row],[Month1]]</f>
        <v>46112</v>
      </c>
      <c r="Y135" s="350">
        <f>Table3[[#This Row],[Quantity]]</f>
        <v>2072</v>
      </c>
      <c r="Z135" t="e">
        <f>_xlfn.XLOOKUP(Table3[[#This Row],[Instrument]],Control!$B$2:$B$19,Control!$F$2:$F$19)</f>
        <v>#N/A</v>
      </c>
      <c r="AA135" s="14">
        <f>Table3[[#This Row],[Month2]]</f>
        <v>46112</v>
      </c>
      <c r="AB135" s="350">
        <f t="shared" si="83"/>
        <v>-2072</v>
      </c>
    </row>
    <row r="136" spans="1:28" ht="15" hidden="1" thickBot="1" x14ac:dyDescent="0.4">
      <c r="A136" t="s">
        <v>1724</v>
      </c>
      <c r="B136" t="str">
        <f>_xlfn.XLOOKUP(Table3[[#This Row],[Cargo Name]],Ledger[Cargo Name],Ledger[SAP Deal Number])</f>
        <v>ARA26HS00023</v>
      </c>
      <c r="C136">
        <v>0</v>
      </c>
      <c r="D136" t="s">
        <v>1712</v>
      </c>
      <c r="E136" s="16">
        <v>46030</v>
      </c>
      <c r="F136" s="47" t="s">
        <v>28</v>
      </c>
      <c r="G136" s="10" t="s">
        <v>268</v>
      </c>
      <c r="H136" s="253">
        <v>-2000</v>
      </c>
      <c r="I136" s="172">
        <v>46053</v>
      </c>
      <c r="J136" s="172">
        <v>46053</v>
      </c>
      <c r="K136" s="212">
        <v>4850</v>
      </c>
      <c r="L136" s="314">
        <f>K136</f>
        <v>4850</v>
      </c>
      <c r="M136" s="9">
        <f>L136-K136</f>
        <v>0</v>
      </c>
      <c r="N136" s="91">
        <f>L136-K136</f>
        <v>0</v>
      </c>
      <c r="O136" s="14" t="str">
        <f t="shared" si="79"/>
        <v>Jan 26</v>
      </c>
      <c r="P136" s="8" t="str">
        <f t="shared" si="63"/>
        <v>Sell</v>
      </c>
      <c r="Q136">
        <f t="shared" si="64"/>
        <v>-9700000</v>
      </c>
      <c r="R136" t="str">
        <f>VLOOKUP(F136,Control!$B:$C,2,FALSE)</f>
        <v>Freight</v>
      </c>
      <c r="S136" t="str">
        <f>VLOOKUP(F136,Control!$B:$D,3,FALSE)</f>
        <v>Freight</v>
      </c>
      <c r="T136" s="38">
        <f t="shared" si="80"/>
        <v>2026</v>
      </c>
      <c r="U136" t="str">
        <f t="shared" si="65"/>
        <v>Sell</v>
      </c>
      <c r="V136" t="s">
        <v>96</v>
      </c>
      <c r="W136" t="e">
        <f>_xlfn.XLOOKUP(Table3[[#This Row],[Instrument]],Control!$B$2:$B$19,Control!$E$2:$E$19)</f>
        <v>#N/A</v>
      </c>
      <c r="X136" s="14">
        <f>Table3[[#This Row],[Month1]]</f>
        <v>46053</v>
      </c>
      <c r="Y136" s="350">
        <f>Table3[[#This Row],[Quantity]]</f>
        <v>-2000</v>
      </c>
      <c r="Z136" t="e">
        <f>_xlfn.XLOOKUP(Table3[[#This Row],[Instrument]],Control!$B$2:$B$19,Control!$F$2:$F$19)</f>
        <v>#N/A</v>
      </c>
      <c r="AA136" s="14">
        <f>Table3[[#This Row],[Month2]]</f>
        <v>46053</v>
      </c>
      <c r="AB136" s="350">
        <f t="shared" si="83"/>
        <v>2000</v>
      </c>
    </row>
    <row r="137" spans="1:28" ht="15" hidden="1" thickBot="1" x14ac:dyDescent="0.4">
      <c r="A137" t="s">
        <v>1724</v>
      </c>
      <c r="B137" t="str">
        <f>_xlfn.XLOOKUP(Table3[[#This Row],[Cargo Name]],Ledger[Cargo Name],Ledger[SAP Deal Number])</f>
        <v>ARA26HS00023</v>
      </c>
      <c r="C137">
        <v>0</v>
      </c>
      <c r="D137" s="34" t="s">
        <v>1712</v>
      </c>
      <c r="E137" s="327">
        <v>46030</v>
      </c>
      <c r="F137" s="94" t="s">
        <v>28</v>
      </c>
      <c r="G137" s="30" t="s">
        <v>128</v>
      </c>
      <c r="H137" s="257">
        <v>2000</v>
      </c>
      <c r="I137" s="32">
        <v>46053</v>
      </c>
      <c r="J137" s="32">
        <v>46053</v>
      </c>
      <c r="K137" s="356">
        <v>6500</v>
      </c>
      <c r="L137" s="354">
        <f>L136</f>
        <v>4850</v>
      </c>
      <c r="M137" s="33">
        <f>L137-K137</f>
        <v>-1650</v>
      </c>
      <c r="N137" s="355">
        <f>K136-K137</f>
        <v>-1650</v>
      </c>
      <c r="O137" s="286" t="str">
        <f t="shared" si="79"/>
        <v>Jan 26</v>
      </c>
      <c r="P137" s="35" t="str">
        <f t="shared" si="63"/>
        <v>Buy</v>
      </c>
      <c r="Q137" s="34">
        <f t="shared" si="64"/>
        <v>9700000</v>
      </c>
      <c r="R137" s="34" t="str">
        <f>VLOOKUP(F137,Control!$B:$C,2,FALSE)</f>
        <v>Freight</v>
      </c>
      <c r="S137" s="34" t="str">
        <f>VLOOKUP(F137,Control!$B:$D,3,FALSE)</f>
        <v>Freight</v>
      </c>
      <c r="T137" s="36">
        <f t="shared" si="80"/>
        <v>2026</v>
      </c>
      <c r="U137" t="str">
        <f t="shared" si="65"/>
        <v>Buy</v>
      </c>
      <c r="V137" t="s">
        <v>96</v>
      </c>
      <c r="W137" t="e">
        <f>_xlfn.XLOOKUP(Table3[[#This Row],[Instrument]],Control!$B$2:$B$19,Control!$E$2:$E$19)</f>
        <v>#N/A</v>
      </c>
      <c r="X137" s="14">
        <f>Table3[[#This Row],[Month1]]</f>
        <v>46053</v>
      </c>
      <c r="Y137" s="350">
        <f>Table3[[#This Row],[Quantity]]</f>
        <v>2000</v>
      </c>
      <c r="Z137" t="e">
        <f>_xlfn.XLOOKUP(Table3[[#This Row],[Instrument]],Control!$B$2:$B$19,Control!$F$2:$F$19)</f>
        <v>#N/A</v>
      </c>
      <c r="AA137" s="14">
        <f>Table3[[#This Row],[Month2]]</f>
        <v>46053</v>
      </c>
      <c r="AB137" s="350">
        <f t="shared" si="83"/>
        <v>-2000</v>
      </c>
    </row>
    <row r="138" spans="1:28" ht="15" hidden="1" thickBot="1" x14ac:dyDescent="0.4">
      <c r="A138" t="s">
        <v>1724</v>
      </c>
      <c r="B138" t="str">
        <f>_xlfn.XLOOKUP(Table3[[#This Row],[Cargo Name]],Ledger[Cargo Name],Ledger[SAP Deal Number])</f>
        <v>VIT26HS00009</v>
      </c>
      <c r="C138">
        <v>0</v>
      </c>
      <c r="D138" t="s">
        <v>1678</v>
      </c>
      <c r="E138" s="174">
        <v>46024</v>
      </c>
      <c r="F138" s="10" t="s">
        <v>10</v>
      </c>
      <c r="G138" s="4" t="s">
        <v>128</v>
      </c>
      <c r="H138" s="253">
        <v>400</v>
      </c>
      <c r="I138" s="172">
        <v>46142</v>
      </c>
      <c r="J138" s="172">
        <v>46142</v>
      </c>
      <c r="K138" s="357">
        <v>-3.45</v>
      </c>
      <c r="L138" s="192">
        <f ca="1">IF(OR(S138="WTI Sprds",S138="Brent Sprds",S138="WTI-Brent",S138="DFL"),INDEX(INDIRECT("'" &amp; S138 &amp; "'!$A$6:$XFD$1048576"),MATCH('PnL26'!$P$1,INDIRECT("'" &amp; S138 &amp; "'!$A$6:$A$1048576"),0),MATCH(EOMONTH(I138,0),INDIRECT("'" &amp; S138 &amp; "'!$A$4:$XFD$4"),0)),INDEX(BBG!$A:$BA,MATCH('PnL26'!$P$1,BBG!$A:$A,0),MATCH($I138,BBG!$A$4:$BA$4,0))-INDEX(BBG!$A:$BA,MATCH('PnL26'!$P$1,BBG!$A:$A,0),MATCH($J138,BBG!$A$4:$BA$4,0)))</f>
        <v>-5.46</v>
      </c>
      <c r="M138" s="9">
        <f ca="1">IFERROR((L138-K138)*H138,"")</f>
        <v>-803.99999999999989</v>
      </c>
      <c r="N138">
        <f>H138*K138</f>
        <v>-1380</v>
      </c>
      <c r="O138" s="14" t="str">
        <f>IF(I138=J138,TEXT(I138,"MMM YY"),TEXT(I138,"MMM")&amp;"/"&amp;TEXT(J138,"MMM")&amp;" "&amp;RIGHT(T138,2))</f>
        <v>Apr 26</v>
      </c>
      <c r="P138" s="8" t="str">
        <f>IF(H138&lt;0,"Sell","Buy")</f>
        <v>Buy</v>
      </c>
      <c r="Q138">
        <f ca="1">H138*L138</f>
        <v>-2184</v>
      </c>
      <c r="R138" s="38" t="str">
        <f>VLOOKUP(F138,Control!$B:$C,2,FALSE)</f>
        <v>Swaps</v>
      </c>
      <c r="S138" s="38" t="str">
        <f>VLOOKUP(F138,Control!$B:$D,3,FALSE)</f>
        <v>WTI-Brent</v>
      </c>
      <c r="T138">
        <f>YEAR(I138)</f>
        <v>2026</v>
      </c>
      <c r="U138" t="str">
        <f>IFERROR(IF(H138&gt;0,"Buy","Sell"),"")</f>
        <v>Buy</v>
      </c>
      <c r="V138" t="s">
        <v>96</v>
      </c>
      <c r="W138" t="str">
        <f>_xlfn.XLOOKUP(Table3[[#This Row],[Instrument]],Control!$B$2:$B$19,Control!$E$2:$E$19)</f>
        <v>WTI</v>
      </c>
      <c r="X138" s="14">
        <f>Table3[[#This Row],[Month1]]</f>
        <v>46142</v>
      </c>
      <c r="Y138" s="350">
        <f>Table3[[#This Row],[Quantity]]</f>
        <v>400</v>
      </c>
      <c r="Z138" t="str">
        <f>_xlfn.XLOOKUP(Table3[[#This Row],[Instrument]],Control!$B$2:$B$19,Control!$F$2:$F$19)</f>
        <v>Brent</v>
      </c>
      <c r="AA138" s="14">
        <f>Table3[[#This Row],[Month2]]</f>
        <v>46142</v>
      </c>
      <c r="AB138" s="350">
        <f t="shared" si="83"/>
        <v>-400</v>
      </c>
    </row>
    <row r="139" spans="1:28" ht="15" hidden="1" thickBot="1" x14ac:dyDescent="0.4">
      <c r="A139" t="s">
        <v>1724</v>
      </c>
      <c r="B139" t="str">
        <f>_xlfn.XLOOKUP(Table3[[#This Row],[Cargo Name]],Ledger[Cargo Name],Ledger[SAP Deal Number])</f>
        <v>VIT26HS00009</v>
      </c>
      <c r="C139">
        <v>0</v>
      </c>
      <c r="D139" t="s">
        <v>1678</v>
      </c>
      <c r="E139" s="174">
        <v>46027</v>
      </c>
      <c r="F139" s="10" t="s">
        <v>10</v>
      </c>
      <c r="G139" s="4" t="s">
        <v>128</v>
      </c>
      <c r="H139" s="253">
        <v>400</v>
      </c>
      <c r="I139" s="172">
        <v>46142</v>
      </c>
      <c r="J139" s="172">
        <v>46142</v>
      </c>
      <c r="K139" s="357">
        <v>-3.49</v>
      </c>
      <c r="L139" s="192">
        <f ca="1">IF(OR(S139="WTI Sprds",S139="Brent Sprds",S139="WTI-Brent",S139="DFL"),INDEX(INDIRECT("'" &amp; S139 &amp; "'!$A$6:$XFD$1048576"),MATCH('PnL26'!$P$1,INDIRECT("'" &amp; S139 &amp; "'!$A$6:$A$1048576"),0),MATCH(EOMONTH(I139,0),INDIRECT("'" &amp; S139 &amp; "'!$A$4:$XFD$4"),0)),INDEX(BBG!$A:$BA,MATCH('PnL26'!$P$1,BBG!$A:$A,0),MATCH($I139,BBG!$A$4:$BA$4,0))-INDEX(BBG!$A:$BA,MATCH('PnL26'!$P$1,BBG!$A:$A,0),MATCH($J139,BBG!$A$4:$BA$4,0)))</f>
        <v>-5.46</v>
      </c>
      <c r="M139" s="9">
        <f ca="1">IFERROR((L139-K139)*H139,"")</f>
        <v>-787.99999999999989</v>
      </c>
      <c r="N139">
        <f>H139*K139</f>
        <v>-1396</v>
      </c>
      <c r="O139" s="14" t="str">
        <f>IF(I139=J139,TEXT(I139,"MMM YY"),TEXT(I139,"MMM")&amp;"/"&amp;TEXT(J139,"MMM")&amp;" "&amp;RIGHT(T139,2))</f>
        <v>Apr 26</v>
      </c>
      <c r="P139" s="8" t="str">
        <f>IF(H139&lt;0,"Sell","Buy")</f>
        <v>Buy</v>
      </c>
      <c r="Q139">
        <f ca="1">H139*L139</f>
        <v>-2184</v>
      </c>
      <c r="R139" s="38" t="str">
        <f>VLOOKUP(F139,Control!$B:$C,2,FALSE)</f>
        <v>Swaps</v>
      </c>
      <c r="S139" s="38" t="str">
        <f>VLOOKUP(F139,Control!$B:$D,3,FALSE)</f>
        <v>WTI-Brent</v>
      </c>
      <c r="T139">
        <f>YEAR(I139)</f>
        <v>2026</v>
      </c>
      <c r="U139" t="str">
        <f>IFERROR(IF(H139&gt;0,"Buy","Sell"),"")</f>
        <v>Buy</v>
      </c>
      <c r="V139" t="s">
        <v>96</v>
      </c>
      <c r="W139" t="str">
        <f>_xlfn.XLOOKUP(Table3[[#This Row],[Instrument]],Control!$B$2:$B$19,Control!$E$2:$E$19)</f>
        <v>WTI</v>
      </c>
      <c r="X139" s="14">
        <f>Table3[[#This Row],[Month1]]</f>
        <v>46142</v>
      </c>
      <c r="Y139" s="350">
        <f>Table3[[#This Row],[Quantity]]</f>
        <v>400</v>
      </c>
      <c r="Z139" t="str">
        <f>_xlfn.XLOOKUP(Table3[[#This Row],[Instrument]],Control!$B$2:$B$19,Control!$F$2:$F$19)</f>
        <v>Brent</v>
      </c>
      <c r="AA139" s="14">
        <f>Table3[[#This Row],[Month2]]</f>
        <v>46142</v>
      </c>
      <c r="AB139" s="350">
        <f t="shared" si="83"/>
        <v>-400</v>
      </c>
    </row>
    <row r="140" spans="1:28" ht="15" hidden="1" thickBot="1" x14ac:dyDescent="0.4">
      <c r="A140" t="s">
        <v>1724</v>
      </c>
      <c r="B140" t="str">
        <f>_xlfn.XLOOKUP(Table3[[#This Row],[Cargo Name]],Ledger[Cargo Name],Ledger[SAP Deal Number])</f>
        <v>GLE26HS00001</v>
      </c>
      <c r="C140">
        <v>0</v>
      </c>
      <c r="D140" t="s">
        <v>1664</v>
      </c>
      <c r="E140" s="16">
        <v>46031</v>
      </c>
      <c r="F140" s="10" t="s">
        <v>3</v>
      </c>
      <c r="G140" s="4" t="s">
        <v>128</v>
      </c>
      <c r="H140" s="253">
        <v>500</v>
      </c>
      <c r="I140" s="172">
        <v>46081</v>
      </c>
      <c r="J140" s="172">
        <v>46112</v>
      </c>
      <c r="K140" s="212">
        <f t="shared" ref="K140:K141" si="84">0.25/2</f>
        <v>0.125</v>
      </c>
      <c r="L140" s="7">
        <f ca="1">IF(OR(S140="WTI Sprds",S140="Brent Sprds",S140="WTI-Brent",S140="DFL"),INDEX(INDIRECT("'" &amp; S140 &amp; "'!$A$6:$XFD$1048576"),MATCH('PnL26'!$P$1,INDIRECT("'" &amp; S140 &amp; "'!$A$6:$A$1048576"),0),MATCH(EOMONTH(I140,0),INDIRECT("'" &amp; S140 &amp; "'!$A$4:$XFD$4"),0)),INDEX(BBG!$A:$BA,MATCH('PnL26'!$P$1,BBG!$A:$A,0),MATCH($I140,BBG!$A$4:$BA$4,0))-INDEX(BBG!$A:$BA,MATCH('PnL26'!$P$1,BBG!$A:$A,0),MATCH($J140,BBG!$A$4:$BA$4,0)))</f>
        <v>0.1</v>
      </c>
      <c r="M140" s="9">
        <f t="shared" ref="M140:M154" ca="1" si="85">IFERROR((L140-K140)*H140,"")</f>
        <v>-12.499999999999996</v>
      </c>
      <c r="N140">
        <f t="shared" ref="N140:N167" si="86">H140*K140</f>
        <v>62.5</v>
      </c>
      <c r="O140" s="14" t="str">
        <f t="shared" ref="O140:O167" si="87">IF(I140=J140,TEXT(I140,"MMM YY"),TEXT(I140,"MMM")&amp;"/"&amp;TEXT(J140,"MMM")&amp;" "&amp;RIGHT(T140,2))</f>
        <v>Feb/Mar 26</v>
      </c>
      <c r="P140" s="8" t="str">
        <f t="shared" ref="P140:P167" si="88">IF(H140&lt;0,"Sell","Buy")</f>
        <v>Buy</v>
      </c>
      <c r="Q140">
        <f t="shared" ref="Q140:Q167" ca="1" si="89">H140*L140</f>
        <v>50</v>
      </c>
      <c r="R140" t="str">
        <f>VLOOKUP(F140,Control!$B:$C,2,FALSE)</f>
        <v>Futures</v>
      </c>
      <c r="S140" t="str">
        <f>VLOOKUP(F140,Control!$B:$D,3,FALSE)</f>
        <v>WTI Sprds</v>
      </c>
      <c r="T140" s="38">
        <f t="shared" ref="T140:T167" si="90">YEAR(I140)</f>
        <v>2026</v>
      </c>
      <c r="U140" t="str">
        <f t="shared" ref="U140:U167" si="91">IFERROR(IF(H140&gt;0,"Buy","Sell"),"")</f>
        <v>Buy</v>
      </c>
      <c r="V140" t="s">
        <v>96</v>
      </c>
      <c r="W140" t="str">
        <f>_xlfn.XLOOKUP(Table3[[#This Row],[Instrument]],Control!$B$2:$B$19,Control!$E$2:$E$19)</f>
        <v>WTI</v>
      </c>
      <c r="X140" s="14">
        <f>Table3[[#This Row],[Month1]]</f>
        <v>46081</v>
      </c>
      <c r="Y140" s="350">
        <f>Table3[[#This Row],[Quantity]]</f>
        <v>500</v>
      </c>
      <c r="Z140" t="str">
        <f>_xlfn.XLOOKUP(Table3[[#This Row],[Instrument]],Control!$B$2:$B$19,Control!$F$2:$F$19)</f>
        <v>WTI</v>
      </c>
      <c r="AA140" s="14">
        <f>Table3[[#This Row],[Month2]]</f>
        <v>46112</v>
      </c>
      <c r="AB140" s="350">
        <f t="shared" si="83"/>
        <v>-500</v>
      </c>
    </row>
    <row r="141" spans="1:28" ht="15" hidden="1" thickBot="1" x14ac:dyDescent="0.4">
      <c r="A141" t="s">
        <v>1724</v>
      </c>
      <c r="B141" t="e">
        <f>_xlfn.XLOOKUP(Table3[[#This Row],[Cargo Name]],Ledger[Cargo Name],Ledger[SAP Deal Number])</f>
        <v>#N/A</v>
      </c>
      <c r="C141">
        <v>0</v>
      </c>
      <c r="D141" t="s">
        <v>1714</v>
      </c>
      <c r="E141" s="16">
        <v>46031</v>
      </c>
      <c r="F141" s="10" t="s">
        <v>3</v>
      </c>
      <c r="G141" s="4" t="s">
        <v>128</v>
      </c>
      <c r="H141" s="253">
        <v>500</v>
      </c>
      <c r="I141" s="172">
        <v>46112</v>
      </c>
      <c r="J141" s="172">
        <v>46142</v>
      </c>
      <c r="K141" s="212">
        <f t="shared" si="84"/>
        <v>0.125</v>
      </c>
      <c r="L141" s="7">
        <f ca="1">IF(OR(S141="WTI Sprds",S141="Brent Sprds",S141="WTI-Brent",S141="DFL"),INDEX(INDIRECT("'" &amp; S141 &amp; "'!$A$6:$XFD$1048576"),MATCH('PnL26'!$P$1,INDIRECT("'" &amp; S141 &amp; "'!$A$6:$A$1048576"),0),MATCH(EOMONTH(I141,0),INDIRECT("'" &amp; S141 &amp; "'!$A$4:$XFD$4"),0)),INDEX(BBG!$A:$BA,MATCH('PnL26'!$P$1,BBG!$A:$A,0),MATCH($I141,BBG!$A$4:$BA$4,0))-INDEX(BBG!$A:$BA,MATCH('PnL26'!$P$1,BBG!$A:$A,0),MATCH($J141,BBG!$A$4:$BA$4,0)))</f>
        <v>0.03</v>
      </c>
      <c r="M141" s="9">
        <f t="shared" ca="1" si="85"/>
        <v>-47.5</v>
      </c>
      <c r="N141">
        <f t="shared" si="86"/>
        <v>62.5</v>
      </c>
      <c r="O141" s="14" t="str">
        <f t="shared" si="87"/>
        <v>Mar/Apr 26</v>
      </c>
      <c r="P141" s="8" t="str">
        <f t="shared" si="88"/>
        <v>Buy</v>
      </c>
      <c r="Q141">
        <f t="shared" ca="1" si="89"/>
        <v>15</v>
      </c>
      <c r="R141" t="str">
        <f>VLOOKUP(F141,Control!$B:$C,2,FALSE)</f>
        <v>Futures</v>
      </c>
      <c r="S141" t="str">
        <f>VLOOKUP(F141,Control!$B:$D,3,FALSE)</f>
        <v>WTI Sprds</v>
      </c>
      <c r="T141" s="38">
        <f t="shared" si="90"/>
        <v>2026</v>
      </c>
      <c r="U141" t="str">
        <f t="shared" si="91"/>
        <v>Buy</v>
      </c>
      <c r="V141" t="s">
        <v>96</v>
      </c>
      <c r="W141" t="str">
        <f>_xlfn.XLOOKUP(Table3[[#This Row],[Instrument]],Control!$B$2:$B$19,Control!$E$2:$E$19)</f>
        <v>WTI</v>
      </c>
      <c r="X141" s="14">
        <f>Table3[[#This Row],[Month1]]</f>
        <v>46112</v>
      </c>
      <c r="Y141" s="350">
        <f>Table3[[#This Row],[Quantity]]</f>
        <v>500</v>
      </c>
      <c r="Z141" t="str">
        <f>_xlfn.XLOOKUP(Table3[[#This Row],[Instrument]],Control!$B$2:$B$19,Control!$F$2:$F$19)</f>
        <v>WTI</v>
      </c>
      <c r="AA141" s="14">
        <f>Table3[[#This Row],[Month2]]</f>
        <v>46142</v>
      </c>
      <c r="AB141" s="350">
        <f t="shared" si="83"/>
        <v>-500</v>
      </c>
    </row>
    <row r="142" spans="1:28" ht="15" hidden="1" thickBot="1" x14ac:dyDescent="0.4">
      <c r="A142" t="s">
        <v>1724</v>
      </c>
      <c r="B142" t="str">
        <f>_xlfn.XLOOKUP(Table3[[#This Row],[Cargo Name]],Ledger[Cargo Name],Ledger[SAP Deal Number])</f>
        <v>ARA26HS00023</v>
      </c>
      <c r="C142">
        <v>0</v>
      </c>
      <c r="D142" t="s">
        <v>1712</v>
      </c>
      <c r="E142" s="16">
        <v>46031</v>
      </c>
      <c r="F142" s="10" t="s">
        <v>3</v>
      </c>
      <c r="G142" s="4" t="s">
        <v>128</v>
      </c>
      <c r="H142" s="253">
        <v>2100</v>
      </c>
      <c r="I142" s="172">
        <v>46081</v>
      </c>
      <c r="J142" s="172">
        <v>46112</v>
      </c>
      <c r="K142" s="212">
        <v>0.18</v>
      </c>
      <c r="L142" s="7">
        <f ca="1">IF(OR(S142="WTI Sprds",S142="Brent Sprds",S142="WTI-Brent",S142="DFL"),INDEX(INDIRECT("'" &amp; S142 &amp; "'!$A$6:$XFD$1048576"),MATCH('PnL26'!$P$1,INDIRECT("'" &amp; S142 &amp; "'!$A$6:$A$1048576"),0),MATCH(EOMONTH(I142,0),INDIRECT("'" &amp; S142 &amp; "'!$A$4:$XFD$4"),0)),INDEX(BBG!$A:$BA,MATCH('PnL26'!$P$1,BBG!$A:$A,0),MATCH($I142,BBG!$A$4:$BA$4,0))-INDEX(BBG!$A:$BA,MATCH('PnL26'!$P$1,BBG!$A:$A,0),MATCH($J142,BBG!$A$4:$BA$4,0)))</f>
        <v>0.1</v>
      </c>
      <c r="M142" s="9">
        <f t="shared" ca="1" si="85"/>
        <v>-167.99999999999997</v>
      </c>
      <c r="N142">
        <f t="shared" si="86"/>
        <v>378</v>
      </c>
      <c r="O142" s="14" t="str">
        <f t="shared" si="87"/>
        <v>Feb/Mar 26</v>
      </c>
      <c r="P142" s="8" t="str">
        <f t="shared" si="88"/>
        <v>Buy</v>
      </c>
      <c r="Q142">
        <f t="shared" ca="1" si="89"/>
        <v>210</v>
      </c>
      <c r="R142" t="str">
        <f>VLOOKUP(F142,Control!$B:$C,2,FALSE)</f>
        <v>Futures</v>
      </c>
      <c r="S142" t="str">
        <f>VLOOKUP(F142,Control!$B:$D,3,FALSE)</f>
        <v>WTI Sprds</v>
      </c>
      <c r="T142" s="38">
        <f t="shared" si="90"/>
        <v>2026</v>
      </c>
      <c r="U142" t="str">
        <f t="shared" si="91"/>
        <v>Buy</v>
      </c>
      <c r="V142" t="s">
        <v>96</v>
      </c>
      <c r="W142" t="str">
        <f>_xlfn.XLOOKUP(Table3[[#This Row],[Instrument]],Control!$B$2:$B$19,Control!$E$2:$E$19)</f>
        <v>WTI</v>
      </c>
      <c r="X142" s="14">
        <f>Table3[[#This Row],[Month1]]</f>
        <v>46081</v>
      </c>
      <c r="Y142" s="350">
        <f>Table3[[#This Row],[Quantity]]</f>
        <v>2100</v>
      </c>
      <c r="Z142" t="str">
        <f>_xlfn.XLOOKUP(Table3[[#This Row],[Instrument]],Control!$B$2:$B$19,Control!$F$2:$F$19)</f>
        <v>WTI</v>
      </c>
      <c r="AA142" s="14">
        <f>Table3[[#This Row],[Month2]]</f>
        <v>46112</v>
      </c>
      <c r="AB142" s="350">
        <f t="shared" si="83"/>
        <v>-2100</v>
      </c>
    </row>
    <row r="143" spans="1:28" ht="15" hidden="1" thickBot="1" x14ac:dyDescent="0.4">
      <c r="A143" t="s">
        <v>1724</v>
      </c>
      <c r="B143" t="str">
        <f>_xlfn.XLOOKUP(Table3[[#This Row],[Cargo Name]],Ledger[Cargo Name],Ledger[SAP Deal Number])</f>
        <v>ARA26HS00023</v>
      </c>
      <c r="C143">
        <v>0</v>
      </c>
      <c r="D143" t="s">
        <v>1712</v>
      </c>
      <c r="E143" s="16">
        <v>46031</v>
      </c>
      <c r="F143" s="10" t="s">
        <v>3</v>
      </c>
      <c r="G143" s="4" t="s">
        <v>128</v>
      </c>
      <c r="H143" s="253">
        <v>2100</v>
      </c>
      <c r="I143" s="172">
        <v>46112</v>
      </c>
      <c r="J143" s="172">
        <v>46142</v>
      </c>
      <c r="K143" s="212">
        <v>0.15</v>
      </c>
      <c r="L143" s="7">
        <f ca="1">IF(OR(S143="WTI Sprds",S143="Brent Sprds",S143="WTI-Brent",S143="DFL"),INDEX(INDIRECT("'" &amp; S143 &amp; "'!$A$6:$XFD$1048576"),MATCH('PnL26'!$P$1,INDIRECT("'" &amp; S143 &amp; "'!$A$6:$A$1048576"),0),MATCH(EOMONTH(I143,0),INDIRECT("'" &amp; S143 &amp; "'!$A$4:$XFD$4"),0)),INDEX(BBG!$A:$BA,MATCH('PnL26'!$P$1,BBG!$A:$A,0),MATCH($I143,BBG!$A$4:$BA$4,0))-INDEX(BBG!$A:$BA,MATCH('PnL26'!$P$1,BBG!$A:$A,0),MATCH($J143,BBG!$A$4:$BA$4,0)))</f>
        <v>0.03</v>
      </c>
      <c r="M143" s="9">
        <f t="shared" ca="1" si="85"/>
        <v>-252</v>
      </c>
      <c r="N143">
        <f t="shared" si="86"/>
        <v>315</v>
      </c>
      <c r="O143" s="14" t="str">
        <f t="shared" si="87"/>
        <v>Mar/Apr 26</v>
      </c>
      <c r="P143" s="8" t="str">
        <f t="shared" si="88"/>
        <v>Buy</v>
      </c>
      <c r="Q143">
        <f t="shared" ca="1" si="89"/>
        <v>63</v>
      </c>
      <c r="R143" t="str">
        <f>VLOOKUP(F143,Control!$B:$C,2,FALSE)</f>
        <v>Futures</v>
      </c>
      <c r="S143" t="str">
        <f>VLOOKUP(F143,Control!$B:$D,3,FALSE)</f>
        <v>WTI Sprds</v>
      </c>
      <c r="T143" s="38">
        <f t="shared" si="90"/>
        <v>2026</v>
      </c>
      <c r="U143" t="str">
        <f t="shared" si="91"/>
        <v>Buy</v>
      </c>
      <c r="V143" t="s">
        <v>96</v>
      </c>
      <c r="W143" t="str">
        <f>_xlfn.XLOOKUP(Table3[[#This Row],[Instrument]],Control!$B$2:$B$19,Control!$E$2:$E$19)</f>
        <v>WTI</v>
      </c>
      <c r="X143" s="14">
        <f>Table3[[#This Row],[Month1]]</f>
        <v>46112</v>
      </c>
      <c r="Y143" s="350">
        <f>Table3[[#This Row],[Quantity]]</f>
        <v>2100</v>
      </c>
      <c r="Z143" t="str">
        <f>_xlfn.XLOOKUP(Table3[[#This Row],[Instrument]],Control!$B$2:$B$19,Control!$F$2:$F$19)</f>
        <v>WTI</v>
      </c>
      <c r="AA143" s="14">
        <f>Table3[[#This Row],[Month2]]</f>
        <v>46142</v>
      </c>
      <c r="AB143" s="350">
        <f t="shared" si="83"/>
        <v>-2100</v>
      </c>
    </row>
    <row r="144" spans="1:28" ht="15" hidden="1" thickBot="1" x14ac:dyDescent="0.4">
      <c r="A144" t="s">
        <v>1724</v>
      </c>
      <c r="B144" t="str">
        <f>_xlfn.XLOOKUP(Table3[[#This Row],[Cargo Name]],Ledger[Cargo Name],Ledger[SAP Deal Number])</f>
        <v>ARA26HS00023</v>
      </c>
      <c r="C144">
        <v>0</v>
      </c>
      <c r="D144" t="s">
        <v>1712</v>
      </c>
      <c r="E144" s="16">
        <v>46031</v>
      </c>
      <c r="F144" s="10" t="s">
        <v>10</v>
      </c>
      <c r="G144" s="4" t="s">
        <v>128</v>
      </c>
      <c r="H144" s="253">
        <v>2100</v>
      </c>
      <c r="I144" s="172">
        <v>46142</v>
      </c>
      <c r="J144" s="172">
        <v>46142</v>
      </c>
      <c r="K144" s="212">
        <v>-4</v>
      </c>
      <c r="L144" s="7">
        <f ca="1">IF(OR(S144="WTI Sprds",S144="Brent Sprds",S144="WTI-Brent",S144="DFL"),INDEX(INDIRECT("'" &amp; S144 &amp; "'!$A$6:$XFD$1048576"),MATCH('PnL26'!$P$1,INDIRECT("'" &amp; S144 &amp; "'!$A$6:$A$1048576"),0),MATCH(EOMONTH(I144,0),INDIRECT("'" &amp; S144 &amp; "'!$A$4:$XFD$4"),0)),INDEX(BBG!$A:$BA,MATCH('PnL26'!$P$1,BBG!$A:$A,0),MATCH($I144,BBG!$A$4:$BA$4,0))-INDEX(BBG!$A:$BA,MATCH('PnL26'!$P$1,BBG!$A:$A,0),MATCH($J144,BBG!$A$4:$BA$4,0)))</f>
        <v>-5.46</v>
      </c>
      <c r="M144" s="9">
        <f t="shared" ca="1" si="85"/>
        <v>-3066</v>
      </c>
      <c r="N144">
        <f t="shared" si="86"/>
        <v>-8400</v>
      </c>
      <c r="O144" s="14" t="str">
        <f t="shared" si="87"/>
        <v>Apr 26</v>
      </c>
      <c r="P144" s="8" t="str">
        <f t="shared" si="88"/>
        <v>Buy</v>
      </c>
      <c r="Q144">
        <f t="shared" ca="1" si="89"/>
        <v>-11466</v>
      </c>
      <c r="R144" t="str">
        <f>VLOOKUP(F144,Control!$B:$C,2,FALSE)</f>
        <v>Swaps</v>
      </c>
      <c r="S144" t="str">
        <f>VLOOKUP(F144,Control!$B:$D,3,FALSE)</f>
        <v>WTI-Brent</v>
      </c>
      <c r="T144" s="38">
        <f t="shared" si="90"/>
        <v>2026</v>
      </c>
      <c r="U144" t="str">
        <f t="shared" si="91"/>
        <v>Buy</v>
      </c>
      <c r="V144" t="s">
        <v>96</v>
      </c>
      <c r="W144" t="str">
        <f>_xlfn.XLOOKUP(Table3[[#This Row],[Instrument]],Control!$B$2:$B$19,Control!$E$2:$E$19)</f>
        <v>WTI</v>
      </c>
      <c r="X144" s="14">
        <f>Table3[[#This Row],[Month1]]</f>
        <v>46142</v>
      </c>
      <c r="Y144" s="350">
        <f>Table3[[#This Row],[Quantity]]</f>
        <v>2100</v>
      </c>
      <c r="Z144" t="str">
        <f>_xlfn.XLOOKUP(Table3[[#This Row],[Instrument]],Control!$B$2:$B$19,Control!$F$2:$F$19)</f>
        <v>Brent</v>
      </c>
      <c r="AA144" s="14">
        <f>Table3[[#This Row],[Month2]]</f>
        <v>46142</v>
      </c>
      <c r="AB144" s="350">
        <f t="shared" si="83"/>
        <v>-2100</v>
      </c>
    </row>
    <row r="145" spans="1:28" ht="15" hidden="1" thickBot="1" x14ac:dyDescent="0.4">
      <c r="A145" t="s">
        <v>1724</v>
      </c>
      <c r="B145" t="str">
        <f>_xlfn.XLOOKUP(Table3[[#This Row],[Cargo Name]],Ledger[Cargo Name],Ledger[SAP Deal Number])</f>
        <v>ARA26HS00023</v>
      </c>
      <c r="C145">
        <v>0</v>
      </c>
      <c r="D145" t="s">
        <v>1712</v>
      </c>
      <c r="E145" s="16">
        <v>46031</v>
      </c>
      <c r="F145" s="10" t="s">
        <v>7</v>
      </c>
      <c r="G145" s="4" t="s">
        <v>128</v>
      </c>
      <c r="H145" s="253">
        <v>2100</v>
      </c>
      <c r="I145" s="172">
        <v>46142</v>
      </c>
      <c r="J145" s="172">
        <v>46173</v>
      </c>
      <c r="K145" s="219">
        <v>0.32</v>
      </c>
      <c r="L145" s="7">
        <f ca="1">IF(OR(S145="WTI Sprds",S145="Brent Sprds",S145="WTI-Brent",S145="DFL"),INDEX(INDIRECT("'" &amp; S145 &amp; "'!$A$6:$XFD$1048576"),MATCH('PnL26'!$P$1,INDIRECT("'" &amp; S145 &amp; "'!$A$6:$A$1048576"),0),MATCH(EOMONTH(I145,0),INDIRECT("'" &amp; S145 &amp; "'!$A$4:$XFD$4"),0)),INDEX(BBG!$A:$BA,MATCH('PnL26'!$P$1,BBG!$A:$A,0),MATCH($I145,BBG!$A$4:$BA$4,0))-INDEX(BBG!$A:$BA,MATCH('PnL26'!$P$1,BBG!$A:$A,0),MATCH($J145,BBG!$A$4:$BA$4,0)))</f>
        <v>-0.39</v>
      </c>
      <c r="M145" s="9">
        <f t="shared" ca="1" si="85"/>
        <v>-1491</v>
      </c>
      <c r="N145">
        <f t="shared" si="86"/>
        <v>672</v>
      </c>
      <c r="O145" s="14" t="str">
        <f t="shared" si="87"/>
        <v>Apr/May 26</v>
      </c>
      <c r="P145" s="8" t="str">
        <f t="shared" si="88"/>
        <v>Buy</v>
      </c>
      <c r="Q145">
        <f t="shared" ca="1" si="89"/>
        <v>-819</v>
      </c>
      <c r="R145" t="str">
        <f>VLOOKUP(F145,Control!$B:$C,2,FALSE)</f>
        <v>Futures</v>
      </c>
      <c r="S145" t="str">
        <f>VLOOKUP(F145,Control!$B:$D,3,FALSE)</f>
        <v>Brent Sprds</v>
      </c>
      <c r="T145" s="38">
        <f t="shared" si="90"/>
        <v>2026</v>
      </c>
      <c r="U145" t="str">
        <f t="shared" si="91"/>
        <v>Buy</v>
      </c>
      <c r="V145" t="s">
        <v>96</v>
      </c>
      <c r="W145" t="str">
        <f>_xlfn.XLOOKUP(Table3[[#This Row],[Instrument]],Control!$B$2:$B$19,Control!$E$2:$E$19)</f>
        <v>Brent</v>
      </c>
      <c r="X145" s="14">
        <f>Table3[[#This Row],[Month1]]</f>
        <v>46142</v>
      </c>
      <c r="Y145" s="350">
        <f>Table3[[#This Row],[Quantity]]</f>
        <v>2100</v>
      </c>
      <c r="Z145" t="str">
        <f>_xlfn.XLOOKUP(Table3[[#This Row],[Instrument]],Control!$B$2:$B$19,Control!$F$2:$F$19)</f>
        <v>Brent</v>
      </c>
      <c r="AA145" s="14">
        <f>Table3[[#This Row],[Month2]]</f>
        <v>46173</v>
      </c>
      <c r="AB145" s="350">
        <f t="shared" si="83"/>
        <v>-2100</v>
      </c>
    </row>
    <row r="146" spans="1:28" ht="15" hidden="1" thickBot="1" x14ac:dyDescent="0.4">
      <c r="A146" t="s">
        <v>1724</v>
      </c>
      <c r="B146" t="str">
        <f>_xlfn.XLOOKUP(Table3[[#This Row],[Cargo Name]],Ledger[Cargo Name],Ledger[SAP Deal Number])</f>
        <v>Unallocated</v>
      </c>
      <c r="C146">
        <v>0</v>
      </c>
      <c r="D146" t="s">
        <v>127</v>
      </c>
      <c r="E146" s="174">
        <v>46033</v>
      </c>
      <c r="F146" s="10" t="s">
        <v>3</v>
      </c>
      <c r="G146" s="4" t="s">
        <v>128</v>
      </c>
      <c r="H146" s="253">
        <v>-1000</v>
      </c>
      <c r="I146" s="172">
        <v>46081</v>
      </c>
      <c r="J146" s="172">
        <v>46112</v>
      </c>
      <c r="K146" s="218">
        <v>0.18</v>
      </c>
      <c r="L146" s="192">
        <f ca="1">IF(OR(S146="WTI Sprds",S146="Brent Sprds",S146="WTI-Brent",S146="DFL"),INDEX(INDIRECT("'" &amp; S146 &amp; "'!$A$6:$XFD$1048576"),MATCH('PnL26'!$P$1,INDIRECT("'" &amp; S146 &amp; "'!$A$6:$A$1048576"),0),MATCH(EOMONTH(I146,0),INDIRECT("'" &amp; S146 &amp; "'!$A$4:$XFD$4"),0)),INDEX(BBG!$A:$BA,MATCH('PnL26'!$P$1,BBG!$A:$A,0),MATCH($I146,BBG!$A$4:$BA$4,0))-INDEX(BBG!$A:$BA,MATCH('PnL26'!$P$1,BBG!$A:$A,0),MATCH($J146,BBG!$A$4:$BA$4,0)))</f>
        <v>0.1</v>
      </c>
      <c r="M146" s="9">
        <f t="shared" ca="1" si="85"/>
        <v>79.999999999999986</v>
      </c>
      <c r="N146">
        <f t="shared" si="86"/>
        <v>-180</v>
      </c>
      <c r="O146" s="14" t="str">
        <f t="shared" si="87"/>
        <v>Feb/Mar 26</v>
      </c>
      <c r="P146" s="8" t="str">
        <f t="shared" si="88"/>
        <v>Sell</v>
      </c>
      <c r="Q146">
        <f t="shared" ca="1" si="89"/>
        <v>-100</v>
      </c>
      <c r="R146" s="38" t="str">
        <f>VLOOKUP(F146,Control!$B:$C,2,FALSE)</f>
        <v>Futures</v>
      </c>
      <c r="S146" s="38" t="str">
        <f>VLOOKUP(F146,Control!$B:$D,3,FALSE)</f>
        <v>WTI Sprds</v>
      </c>
      <c r="T146">
        <f t="shared" si="90"/>
        <v>2026</v>
      </c>
      <c r="U146" t="str">
        <f t="shared" si="91"/>
        <v>Sell</v>
      </c>
      <c r="V146" t="s">
        <v>96</v>
      </c>
      <c r="W146" t="str">
        <f>_xlfn.XLOOKUP(Table3[[#This Row],[Instrument]],Control!$B$2:$B$19,Control!$E$2:$E$19)</f>
        <v>WTI</v>
      </c>
      <c r="X146" s="14">
        <f>Table3[[#This Row],[Month1]]</f>
        <v>46081</v>
      </c>
      <c r="Y146" s="350">
        <f>Table3[[#This Row],[Quantity]]</f>
        <v>-1000</v>
      </c>
      <c r="Z146" t="str">
        <f>_xlfn.XLOOKUP(Table3[[#This Row],[Instrument]],Control!$B$2:$B$19,Control!$F$2:$F$19)</f>
        <v>WTI</v>
      </c>
      <c r="AA146" s="14">
        <f>Table3[[#This Row],[Month2]]</f>
        <v>46112</v>
      </c>
      <c r="AB146" s="350">
        <f t="shared" si="83"/>
        <v>1000</v>
      </c>
    </row>
    <row r="147" spans="1:28" ht="15" hidden="1" thickBot="1" x14ac:dyDescent="0.4">
      <c r="A147" t="s">
        <v>1724</v>
      </c>
      <c r="B147" t="str">
        <f>_xlfn.XLOOKUP(Table3[[#This Row],[Cargo Name]],Ledger[Cargo Name],Ledger[SAP Deal Number])</f>
        <v>BPO26HS00002</v>
      </c>
      <c r="C147">
        <v>0</v>
      </c>
      <c r="D147" t="s">
        <v>1625</v>
      </c>
      <c r="E147" s="174">
        <v>46033</v>
      </c>
      <c r="F147" s="10" t="s">
        <v>3</v>
      </c>
      <c r="G147" s="4" t="s">
        <v>128</v>
      </c>
      <c r="H147" s="253">
        <v>233</v>
      </c>
      <c r="I147" s="172">
        <v>46081</v>
      </c>
      <c r="J147" s="172">
        <v>46112</v>
      </c>
      <c r="K147" s="218">
        <v>0.18</v>
      </c>
      <c r="L147" s="192">
        <f ca="1">IF(OR(S147="WTI Sprds",S147="Brent Sprds",S147="WTI-Brent",S147="DFL"),INDEX(INDIRECT("'" &amp; S147 &amp; "'!$A$6:$XFD$1048576"),MATCH('PnL26'!$P$1,INDIRECT("'" &amp; S147 &amp; "'!$A$6:$A$1048576"),0),MATCH(EOMONTH(I147,0),INDIRECT("'" &amp; S147 &amp; "'!$A$4:$XFD$4"),0)),INDEX(BBG!$A:$BA,MATCH('PnL26'!$P$1,BBG!$A:$A,0),MATCH($I147,BBG!$A$4:$BA$4,0))-INDEX(BBG!$A:$BA,MATCH('PnL26'!$P$1,BBG!$A:$A,0),MATCH($J147,BBG!$A$4:$BA$4,0)))</f>
        <v>0.1</v>
      </c>
      <c r="M147" s="9">
        <f t="shared" ca="1" si="85"/>
        <v>-18.639999999999997</v>
      </c>
      <c r="N147">
        <f t="shared" si="86"/>
        <v>41.94</v>
      </c>
      <c r="O147" s="14" t="str">
        <f t="shared" si="87"/>
        <v>Feb/Mar 26</v>
      </c>
      <c r="P147" s="8" t="str">
        <f t="shared" si="88"/>
        <v>Buy</v>
      </c>
      <c r="Q147">
        <f t="shared" ca="1" si="89"/>
        <v>23.3</v>
      </c>
      <c r="R147" s="38" t="str">
        <f>VLOOKUP(F147,Control!$B:$C,2,FALSE)</f>
        <v>Futures</v>
      </c>
      <c r="S147" s="38" t="str">
        <f>VLOOKUP(F147,Control!$B:$D,3,FALSE)</f>
        <v>WTI Sprds</v>
      </c>
      <c r="T147">
        <f t="shared" si="90"/>
        <v>2026</v>
      </c>
      <c r="U147" t="str">
        <f t="shared" si="91"/>
        <v>Buy</v>
      </c>
      <c r="V147" t="s">
        <v>96</v>
      </c>
      <c r="W147" t="str">
        <f>_xlfn.XLOOKUP(Table3[[#This Row],[Instrument]],Control!$B$2:$B$19,Control!$E$2:$E$19)</f>
        <v>WTI</v>
      </c>
      <c r="X147" s="14">
        <f>Table3[[#This Row],[Month1]]</f>
        <v>46081</v>
      </c>
      <c r="Y147" s="350">
        <f>Table3[[#This Row],[Quantity]]</f>
        <v>233</v>
      </c>
      <c r="Z147" t="str">
        <f>_xlfn.XLOOKUP(Table3[[#This Row],[Instrument]],Control!$B$2:$B$19,Control!$F$2:$F$19)</f>
        <v>WTI</v>
      </c>
      <c r="AA147" s="14">
        <f>Table3[[#This Row],[Month2]]</f>
        <v>46112</v>
      </c>
      <c r="AB147" s="350">
        <f t="shared" si="83"/>
        <v>-233</v>
      </c>
    </row>
    <row r="148" spans="1:28" ht="15" hidden="1" thickBot="1" x14ac:dyDescent="0.4">
      <c r="A148" t="s">
        <v>1724</v>
      </c>
      <c r="B148" t="str">
        <f>_xlfn.XLOOKUP(Table3[[#This Row],[Cargo Name]],Ledger[Cargo Name],Ledger[SAP Deal Number])</f>
        <v>ARA26HS00013</v>
      </c>
      <c r="C148">
        <v>0</v>
      </c>
      <c r="D148" t="s">
        <v>1635</v>
      </c>
      <c r="E148" s="174">
        <v>46033</v>
      </c>
      <c r="F148" s="10" t="s">
        <v>3</v>
      </c>
      <c r="G148" s="4" t="s">
        <v>128</v>
      </c>
      <c r="H148" s="253">
        <f>773-6</f>
        <v>767</v>
      </c>
      <c r="I148" s="172">
        <v>46081</v>
      </c>
      <c r="J148" s="172">
        <v>46112</v>
      </c>
      <c r="K148" s="218">
        <v>0.18</v>
      </c>
      <c r="L148" s="192">
        <f ca="1">IF(OR(S148="WTI Sprds",S148="Brent Sprds",S148="WTI-Brent",S148="DFL"),INDEX(INDIRECT("'" &amp; S148 &amp; "'!$A$6:$XFD$1048576"),MATCH('PnL26'!$P$1,INDIRECT("'" &amp; S148 &amp; "'!$A$6:$A$1048576"),0),MATCH(EOMONTH(I148,0),INDIRECT("'" &amp; S148 &amp; "'!$A$4:$XFD$4"),0)),INDEX(BBG!$A:$BA,MATCH('PnL26'!$P$1,BBG!$A:$A,0),MATCH($I148,BBG!$A$4:$BA$4,0))-INDEX(BBG!$A:$BA,MATCH('PnL26'!$P$1,BBG!$A:$A,0),MATCH($J148,BBG!$A$4:$BA$4,0)))</f>
        <v>0.1</v>
      </c>
      <c r="M148" s="9">
        <f t="shared" ca="1" si="85"/>
        <v>-61.359999999999992</v>
      </c>
      <c r="N148">
        <f t="shared" si="86"/>
        <v>138.06</v>
      </c>
      <c r="O148" s="14" t="str">
        <f t="shared" si="87"/>
        <v>Feb/Mar 26</v>
      </c>
      <c r="P148" s="8" t="str">
        <f t="shared" si="88"/>
        <v>Buy</v>
      </c>
      <c r="Q148">
        <f t="shared" ca="1" si="89"/>
        <v>76.7</v>
      </c>
      <c r="R148" s="38" t="str">
        <f>VLOOKUP(F148,Control!$B:$C,2,FALSE)</f>
        <v>Futures</v>
      </c>
      <c r="S148" s="38" t="str">
        <f>VLOOKUP(F148,Control!$B:$D,3,FALSE)</f>
        <v>WTI Sprds</v>
      </c>
      <c r="T148">
        <f t="shared" si="90"/>
        <v>2026</v>
      </c>
      <c r="U148" t="str">
        <f t="shared" si="91"/>
        <v>Buy</v>
      </c>
      <c r="V148" t="s">
        <v>96</v>
      </c>
      <c r="W148" t="str">
        <f>_xlfn.XLOOKUP(Table3[[#This Row],[Instrument]],Control!$B$2:$B$19,Control!$E$2:$E$19)</f>
        <v>WTI</v>
      </c>
      <c r="X148" s="14">
        <f>Table3[[#This Row],[Month1]]</f>
        <v>46081</v>
      </c>
      <c r="Y148" s="350">
        <f>Table3[[#This Row],[Quantity]]</f>
        <v>767</v>
      </c>
      <c r="Z148" t="str">
        <f>_xlfn.XLOOKUP(Table3[[#This Row],[Instrument]],Control!$B$2:$B$19,Control!$F$2:$F$19)</f>
        <v>WTI</v>
      </c>
      <c r="AA148" s="14">
        <f>Table3[[#This Row],[Month2]]</f>
        <v>46112</v>
      </c>
      <c r="AB148" s="350">
        <f t="shared" si="83"/>
        <v>-767</v>
      </c>
    </row>
    <row r="149" spans="1:28" ht="15" hidden="1" thickBot="1" x14ac:dyDescent="0.4">
      <c r="A149" t="s">
        <v>1724</v>
      </c>
      <c r="B149" t="str">
        <f>_xlfn.XLOOKUP(Table3[[#This Row],[Cargo Name]],Ledger[Cargo Name],Ledger[SAP Deal Number])</f>
        <v>ARA26HS00023</v>
      </c>
      <c r="C149">
        <v>0</v>
      </c>
      <c r="D149" t="s">
        <v>1712</v>
      </c>
      <c r="E149" s="174">
        <v>46033</v>
      </c>
      <c r="F149" s="10" t="s">
        <v>3</v>
      </c>
      <c r="G149" s="4" t="s">
        <v>128</v>
      </c>
      <c r="H149" s="253">
        <v>-35</v>
      </c>
      <c r="I149" s="172">
        <v>46081</v>
      </c>
      <c r="J149" s="172">
        <v>46112</v>
      </c>
      <c r="K149" s="218">
        <v>0.18</v>
      </c>
      <c r="L149" s="192">
        <f ca="1">IF(OR(S149="WTI Sprds",S149="Brent Sprds",S149="WTI-Brent",S149="DFL"),INDEX(INDIRECT("'" &amp; S149 &amp; "'!$A$6:$XFD$1048576"),MATCH('PnL26'!$P$1,INDIRECT("'" &amp; S149 &amp; "'!$A$6:$A$1048576"),0),MATCH(EOMONTH(I149,0),INDIRECT("'" &amp; S149 &amp; "'!$A$4:$XFD$4"),0)),INDEX(BBG!$A:$BA,MATCH('PnL26'!$P$1,BBG!$A:$A,0),MATCH($I149,BBG!$A$4:$BA$4,0))-INDEX(BBG!$A:$BA,MATCH('PnL26'!$P$1,BBG!$A:$A,0),MATCH($J149,BBG!$A$4:$BA$4,0)))</f>
        <v>0.1</v>
      </c>
      <c r="M149" s="9">
        <f t="shared" ca="1" si="85"/>
        <v>2.7999999999999994</v>
      </c>
      <c r="N149">
        <f t="shared" si="86"/>
        <v>-6.3</v>
      </c>
      <c r="O149" s="14" t="str">
        <f t="shared" si="87"/>
        <v>Feb/Mar 26</v>
      </c>
      <c r="P149" s="8" t="str">
        <f t="shared" si="88"/>
        <v>Sell</v>
      </c>
      <c r="Q149">
        <f t="shared" ca="1" si="89"/>
        <v>-3.5</v>
      </c>
      <c r="R149" s="38" t="str">
        <f>VLOOKUP(F149,Control!$B:$C,2,FALSE)</f>
        <v>Futures</v>
      </c>
      <c r="S149" s="38" t="str">
        <f>VLOOKUP(F149,Control!$B:$D,3,FALSE)</f>
        <v>WTI Sprds</v>
      </c>
      <c r="T149">
        <f t="shared" si="90"/>
        <v>2026</v>
      </c>
      <c r="U149" t="str">
        <f t="shared" si="91"/>
        <v>Sell</v>
      </c>
      <c r="V149" t="s">
        <v>96</v>
      </c>
      <c r="W149" t="str">
        <f>_xlfn.XLOOKUP(Table3[[#This Row],[Instrument]],Control!$B$2:$B$19,Control!$E$2:$E$19)</f>
        <v>WTI</v>
      </c>
      <c r="X149" s="14">
        <f>Table3[[#This Row],[Month1]]</f>
        <v>46081</v>
      </c>
      <c r="Y149" s="350">
        <f>Table3[[#This Row],[Quantity]]</f>
        <v>-35</v>
      </c>
      <c r="Z149" t="str">
        <f>_xlfn.XLOOKUP(Table3[[#This Row],[Instrument]],Control!$B$2:$B$19,Control!$F$2:$F$19)</f>
        <v>WTI</v>
      </c>
      <c r="AA149" s="14">
        <f>Table3[[#This Row],[Month2]]</f>
        <v>46112</v>
      </c>
      <c r="AB149" s="350">
        <f t="shared" si="83"/>
        <v>35</v>
      </c>
    </row>
    <row r="150" spans="1:28" ht="15" hidden="1" thickBot="1" x14ac:dyDescent="0.4">
      <c r="A150" t="s">
        <v>1724</v>
      </c>
      <c r="B150" t="str">
        <f>_xlfn.XLOOKUP(Table3[[#This Row],[Cargo Name]],Ledger[Cargo Name],Ledger[SAP Deal Number])</f>
        <v>GLE26HS00001</v>
      </c>
      <c r="C150">
        <v>0</v>
      </c>
      <c r="D150" t="s">
        <v>1664</v>
      </c>
      <c r="E150" s="174">
        <v>46033</v>
      </c>
      <c r="F150" s="10" t="s">
        <v>3</v>
      </c>
      <c r="G150" s="4" t="s">
        <v>128</v>
      </c>
      <c r="H150" s="253">
        <v>313</v>
      </c>
      <c r="I150" s="172">
        <v>46081</v>
      </c>
      <c r="J150" s="172">
        <v>46112</v>
      </c>
      <c r="K150" s="218">
        <v>0.18</v>
      </c>
      <c r="L150" s="192">
        <f ca="1">IF(OR(S150="WTI Sprds",S150="Brent Sprds",S150="WTI-Brent",S150="DFL"),INDEX(INDIRECT("'" &amp; S150 &amp; "'!$A$6:$XFD$1048576"),MATCH('PnL26'!$P$1,INDIRECT("'" &amp; S150 &amp; "'!$A$6:$A$1048576"),0),MATCH(EOMONTH(I150,0),INDIRECT("'" &amp; S150 &amp; "'!$A$4:$XFD$4"),0)),INDEX(BBG!$A:$BA,MATCH('PnL26'!$P$1,BBG!$A:$A,0),MATCH($I150,BBG!$A$4:$BA$4,0))-INDEX(BBG!$A:$BA,MATCH('PnL26'!$P$1,BBG!$A:$A,0),MATCH($J150,BBG!$A$4:$BA$4,0)))</f>
        <v>0.1</v>
      </c>
      <c r="M150" s="9">
        <f t="shared" ca="1" si="85"/>
        <v>-25.039999999999996</v>
      </c>
      <c r="N150">
        <f t="shared" si="86"/>
        <v>56.339999999999996</v>
      </c>
      <c r="O150" s="14" t="str">
        <f t="shared" si="87"/>
        <v>Feb/Mar 26</v>
      </c>
      <c r="P150" s="8" t="str">
        <f t="shared" si="88"/>
        <v>Buy</v>
      </c>
      <c r="Q150">
        <f t="shared" ca="1" si="89"/>
        <v>31.3</v>
      </c>
      <c r="R150" s="38" t="str">
        <f>VLOOKUP(F150,Control!$B:$C,2,FALSE)</f>
        <v>Futures</v>
      </c>
      <c r="S150" s="38" t="str">
        <f>VLOOKUP(F150,Control!$B:$D,3,FALSE)</f>
        <v>WTI Sprds</v>
      </c>
      <c r="T150">
        <f t="shared" si="90"/>
        <v>2026</v>
      </c>
      <c r="U150" t="str">
        <f t="shared" si="91"/>
        <v>Buy</v>
      </c>
      <c r="V150" t="s">
        <v>96</v>
      </c>
      <c r="W150" t="str">
        <f>_xlfn.XLOOKUP(Table3[[#This Row],[Instrument]],Control!$B$2:$B$19,Control!$E$2:$E$19)</f>
        <v>WTI</v>
      </c>
      <c r="X150" s="14">
        <f>Table3[[#This Row],[Month1]]</f>
        <v>46081</v>
      </c>
      <c r="Y150" s="350">
        <f>Table3[[#This Row],[Quantity]]</f>
        <v>313</v>
      </c>
      <c r="Z150" t="str">
        <f>_xlfn.XLOOKUP(Table3[[#This Row],[Instrument]],Control!$B$2:$B$19,Control!$F$2:$F$19)</f>
        <v>WTI</v>
      </c>
      <c r="AA150" s="14">
        <f>Table3[[#This Row],[Month2]]</f>
        <v>46112</v>
      </c>
      <c r="AB150" s="350">
        <f t="shared" si="83"/>
        <v>-313</v>
      </c>
    </row>
    <row r="151" spans="1:28" ht="15" hidden="1" thickBot="1" x14ac:dyDescent="0.4">
      <c r="A151" t="s">
        <v>1724</v>
      </c>
      <c r="B151" t="str">
        <f>_xlfn.XLOOKUP(Table3[[#This Row],[Cargo Name]],Ledger[Cargo Name],Ledger[SAP Deal Number])</f>
        <v>ARA26HS00013</v>
      </c>
      <c r="C151">
        <v>0</v>
      </c>
      <c r="D151" t="s">
        <v>1635</v>
      </c>
      <c r="E151" s="174">
        <v>46033</v>
      </c>
      <c r="F151" s="10" t="s">
        <v>3</v>
      </c>
      <c r="G151" s="4" t="s">
        <v>128</v>
      </c>
      <c r="H151" s="253">
        <v>6</v>
      </c>
      <c r="I151" s="172">
        <v>46081</v>
      </c>
      <c r="J151" s="172">
        <v>46112</v>
      </c>
      <c r="K151" s="218">
        <v>0.18</v>
      </c>
      <c r="L151" s="192">
        <f ca="1">IF(OR(S151="WTI Sprds",S151="Brent Sprds",S151="WTI-Brent",S151="DFL"),INDEX(INDIRECT("'" &amp; S151 &amp; "'!$A$6:$XFD$1048576"),MATCH('PnL26'!$P$1,INDIRECT("'" &amp; S151 &amp; "'!$A$6:$A$1048576"),0),MATCH(EOMONTH(I151,0),INDIRECT("'" &amp; S151 &amp; "'!$A$4:$XFD$4"),0)),INDEX(BBG!$A:$BA,MATCH('PnL26'!$P$1,BBG!$A:$A,0),MATCH($I151,BBG!$A$4:$BA$4,0))-INDEX(BBG!$A:$BA,MATCH('PnL26'!$P$1,BBG!$A:$A,0),MATCH($J151,BBG!$A$4:$BA$4,0)))</f>
        <v>0.1</v>
      </c>
      <c r="M151" s="9">
        <f t="shared" ca="1" si="85"/>
        <v>-0.47999999999999993</v>
      </c>
      <c r="N151">
        <f t="shared" si="86"/>
        <v>1.08</v>
      </c>
      <c r="O151" s="14" t="str">
        <f t="shared" si="87"/>
        <v>Feb/Mar 26</v>
      </c>
      <c r="P151" s="8" t="str">
        <f t="shared" si="88"/>
        <v>Buy</v>
      </c>
      <c r="Q151">
        <f t="shared" ca="1" si="89"/>
        <v>0.60000000000000009</v>
      </c>
      <c r="R151" s="38" t="str">
        <f>VLOOKUP(F151,Control!$B:$C,2,FALSE)</f>
        <v>Futures</v>
      </c>
      <c r="S151" s="38" t="str">
        <f>VLOOKUP(F151,Control!$B:$D,3,FALSE)</f>
        <v>WTI Sprds</v>
      </c>
      <c r="T151">
        <f t="shared" si="90"/>
        <v>2026</v>
      </c>
      <c r="U151" t="str">
        <f t="shared" si="91"/>
        <v>Buy</v>
      </c>
      <c r="V151" t="s">
        <v>96</v>
      </c>
      <c r="W151" t="str">
        <f>_xlfn.XLOOKUP(Table3[[#This Row],[Instrument]],Control!$B$2:$B$19,Control!$E$2:$E$19)</f>
        <v>WTI</v>
      </c>
      <c r="X151" s="14">
        <f>Table3[[#This Row],[Month1]]</f>
        <v>46081</v>
      </c>
      <c r="Y151" s="350">
        <f>Table3[[#This Row],[Quantity]]</f>
        <v>6</v>
      </c>
      <c r="Z151" t="str">
        <f>_xlfn.XLOOKUP(Table3[[#This Row],[Instrument]],Control!$B$2:$B$19,Control!$F$2:$F$19)</f>
        <v>WTI</v>
      </c>
      <c r="AA151" s="14">
        <f>Table3[[#This Row],[Month2]]</f>
        <v>46112</v>
      </c>
      <c r="AB151" s="350">
        <f t="shared" si="83"/>
        <v>-6</v>
      </c>
    </row>
    <row r="152" spans="1:28" ht="15" hidden="1" thickBot="1" x14ac:dyDescent="0.4">
      <c r="A152" t="s">
        <v>1724</v>
      </c>
      <c r="B152" t="str">
        <f>_xlfn.XLOOKUP(Table3[[#This Row],[Cargo Name]],Ledger[Cargo Name],Ledger[SAP Deal Number])</f>
        <v>Unallocated</v>
      </c>
      <c r="C152">
        <v>0</v>
      </c>
      <c r="D152" t="s">
        <v>127</v>
      </c>
      <c r="E152" s="174">
        <v>46033</v>
      </c>
      <c r="F152" s="10" t="s">
        <v>3</v>
      </c>
      <c r="G152" s="4" t="s">
        <v>128</v>
      </c>
      <c r="H152" s="253">
        <f>-SUM(H149:H151)</f>
        <v>-284</v>
      </c>
      <c r="I152" s="172">
        <v>46081</v>
      </c>
      <c r="J152" s="172">
        <v>46112</v>
      </c>
      <c r="K152" s="218">
        <v>0.18</v>
      </c>
      <c r="L152" s="192">
        <f ca="1">IF(OR(S152="WTI Sprds",S152="Brent Sprds",S152="WTI-Brent",S152="DFL"),INDEX(INDIRECT("'" &amp; S152 &amp; "'!$A$6:$XFD$1048576"),MATCH('PnL26'!$P$1,INDIRECT("'" &amp; S152 &amp; "'!$A$6:$A$1048576"),0),MATCH(EOMONTH(I152,0),INDIRECT("'" &amp; S152 &amp; "'!$A$4:$XFD$4"),0)),INDEX(BBG!$A:$BA,MATCH('PnL26'!$P$1,BBG!$A:$A,0),MATCH($I152,BBG!$A$4:$BA$4,0))-INDEX(BBG!$A:$BA,MATCH('PnL26'!$P$1,BBG!$A:$A,0),MATCH($J152,BBG!$A$4:$BA$4,0)))</f>
        <v>0.1</v>
      </c>
      <c r="M152" s="9">
        <f t="shared" ca="1" si="85"/>
        <v>22.719999999999995</v>
      </c>
      <c r="N152">
        <f t="shared" si="86"/>
        <v>-51.12</v>
      </c>
      <c r="O152" s="14" t="str">
        <f t="shared" si="87"/>
        <v>Feb/Mar 26</v>
      </c>
      <c r="P152" s="8" t="str">
        <f t="shared" si="88"/>
        <v>Sell</v>
      </c>
      <c r="Q152">
        <f t="shared" ca="1" si="89"/>
        <v>-28.400000000000002</v>
      </c>
      <c r="R152" s="38" t="str">
        <f>VLOOKUP(F152,Control!$B:$C,2,FALSE)</f>
        <v>Futures</v>
      </c>
      <c r="S152" s="38" t="str">
        <f>VLOOKUP(F152,Control!$B:$D,3,FALSE)</f>
        <v>WTI Sprds</v>
      </c>
      <c r="T152">
        <f t="shared" si="90"/>
        <v>2026</v>
      </c>
      <c r="U152" t="str">
        <f t="shared" si="91"/>
        <v>Sell</v>
      </c>
      <c r="V152" t="s">
        <v>96</v>
      </c>
      <c r="W152" t="str">
        <f>_xlfn.XLOOKUP(Table3[[#This Row],[Instrument]],Control!$B$2:$B$19,Control!$E$2:$E$19)</f>
        <v>WTI</v>
      </c>
      <c r="X152" s="14">
        <f>Table3[[#This Row],[Month1]]</f>
        <v>46081</v>
      </c>
      <c r="Y152" s="350">
        <f>Table3[[#This Row],[Quantity]]</f>
        <v>-284</v>
      </c>
      <c r="Z152" t="str">
        <f>_xlfn.XLOOKUP(Table3[[#This Row],[Instrument]],Control!$B$2:$B$19,Control!$F$2:$F$19)</f>
        <v>WTI</v>
      </c>
      <c r="AA152" s="14">
        <f>Table3[[#This Row],[Month2]]</f>
        <v>46112</v>
      </c>
      <c r="AB152" s="350">
        <f t="shared" si="83"/>
        <v>284</v>
      </c>
    </row>
    <row r="153" spans="1:28" ht="15" hidden="1" thickBot="1" x14ac:dyDescent="0.4">
      <c r="A153" t="s">
        <v>1724</v>
      </c>
      <c r="B153" t="str">
        <f>_xlfn.XLOOKUP(Table3[[#This Row],[Cargo Name]],Ledger[Cargo Name],Ledger[SAP Deal Number])</f>
        <v>VIT26HS00009</v>
      </c>
      <c r="C153">
        <v>0</v>
      </c>
      <c r="D153" t="s">
        <v>1678</v>
      </c>
      <c r="E153" s="174">
        <v>46033</v>
      </c>
      <c r="F153" s="10" t="s">
        <v>3</v>
      </c>
      <c r="G153" s="4" t="s">
        <v>128</v>
      </c>
      <c r="H153" s="253">
        <v>-362</v>
      </c>
      <c r="I153" s="172">
        <v>46081</v>
      </c>
      <c r="J153" s="172">
        <v>46112</v>
      </c>
      <c r="K153" s="218">
        <v>0.18</v>
      </c>
      <c r="L153" s="192">
        <f ca="1">IF(OR(S153="WTI Sprds",S153="Brent Sprds",S153="WTI-Brent",S153="DFL"),INDEX(INDIRECT("'" &amp; S153 &amp; "'!$A$6:$XFD$1048576"),MATCH('PnL26'!$P$1,INDIRECT("'" &amp; S153 &amp; "'!$A$6:$A$1048576"),0),MATCH(EOMONTH(I153,0),INDIRECT("'" &amp; S153 &amp; "'!$A$4:$XFD$4"),0)),INDEX(BBG!$A:$BA,MATCH('PnL26'!$P$1,BBG!$A:$A,0),MATCH($I153,BBG!$A$4:$BA$4,0))-INDEX(BBG!$A:$BA,MATCH('PnL26'!$P$1,BBG!$A:$A,0),MATCH($J153,BBG!$A$4:$BA$4,0)))</f>
        <v>0.1</v>
      </c>
      <c r="M153" s="9">
        <f t="shared" ca="1" si="85"/>
        <v>28.959999999999997</v>
      </c>
      <c r="N153">
        <f t="shared" si="86"/>
        <v>-65.16</v>
      </c>
      <c r="O153" s="14" t="str">
        <f t="shared" si="87"/>
        <v>Feb/Mar 26</v>
      </c>
      <c r="P153" s="8" t="str">
        <f t="shared" si="88"/>
        <v>Sell</v>
      </c>
      <c r="Q153">
        <f t="shared" ca="1" si="89"/>
        <v>-36.200000000000003</v>
      </c>
      <c r="R153" s="38" t="str">
        <f>VLOOKUP(F153,Control!$B:$C,2,FALSE)</f>
        <v>Futures</v>
      </c>
      <c r="S153" s="38" t="str">
        <f>VLOOKUP(F153,Control!$B:$D,3,FALSE)</f>
        <v>WTI Sprds</v>
      </c>
      <c r="T153">
        <f t="shared" si="90"/>
        <v>2026</v>
      </c>
      <c r="U153" t="str">
        <f t="shared" si="91"/>
        <v>Sell</v>
      </c>
      <c r="V153" t="s">
        <v>96</v>
      </c>
      <c r="W153" t="str">
        <f>_xlfn.XLOOKUP(Table3[[#This Row],[Instrument]],Control!$B$2:$B$19,Control!$E$2:$E$19)</f>
        <v>WTI</v>
      </c>
      <c r="X153" s="14">
        <f>Table3[[#This Row],[Month1]]</f>
        <v>46081</v>
      </c>
      <c r="Y153" s="350">
        <f>Table3[[#This Row],[Quantity]]</f>
        <v>-362</v>
      </c>
      <c r="Z153" t="str">
        <f>_xlfn.XLOOKUP(Table3[[#This Row],[Instrument]],Control!$B$2:$B$19,Control!$F$2:$F$19)</f>
        <v>WTI</v>
      </c>
      <c r="AA153" s="14">
        <f>Table3[[#This Row],[Month2]]</f>
        <v>46112</v>
      </c>
      <c r="AB153" s="350">
        <f t="shared" si="83"/>
        <v>362</v>
      </c>
    </row>
    <row r="154" spans="1:28" ht="15" hidden="1" thickBot="1" x14ac:dyDescent="0.4">
      <c r="A154" t="s">
        <v>1724</v>
      </c>
      <c r="B154" t="str">
        <f>_xlfn.XLOOKUP(Table3[[#This Row],[Cargo Name]],Ledger[Cargo Name],Ledger[SAP Deal Number])</f>
        <v>Unallocated</v>
      </c>
      <c r="C154">
        <v>0</v>
      </c>
      <c r="D154" t="s">
        <v>127</v>
      </c>
      <c r="E154" s="174">
        <v>46033</v>
      </c>
      <c r="F154" s="10" t="s">
        <v>3</v>
      </c>
      <c r="G154" s="4" t="s">
        <v>128</v>
      </c>
      <c r="H154" s="253">
        <v>362</v>
      </c>
      <c r="I154" s="172">
        <v>46081</v>
      </c>
      <c r="J154" s="172">
        <v>46112</v>
      </c>
      <c r="K154" s="218">
        <v>0.18</v>
      </c>
      <c r="L154" s="192">
        <f ca="1">IF(OR(S154="WTI Sprds",S154="Brent Sprds",S154="WTI-Brent",S154="DFL"),INDEX(INDIRECT("'" &amp; S154 &amp; "'!$A$6:$XFD$1048576"),MATCH('PnL26'!$P$1,INDIRECT("'" &amp; S154 &amp; "'!$A$6:$A$1048576"),0),MATCH(EOMONTH(I154,0),INDIRECT("'" &amp; S154 &amp; "'!$A$4:$XFD$4"),0)),INDEX(BBG!$A:$BA,MATCH('PnL26'!$P$1,BBG!$A:$A,0),MATCH($I154,BBG!$A$4:$BA$4,0))-INDEX(BBG!$A:$BA,MATCH('PnL26'!$P$1,BBG!$A:$A,0),MATCH($J154,BBG!$A$4:$BA$4,0)))</f>
        <v>0.1</v>
      </c>
      <c r="M154" s="9">
        <f t="shared" ca="1" si="85"/>
        <v>-28.959999999999997</v>
      </c>
      <c r="N154">
        <f t="shared" si="86"/>
        <v>65.16</v>
      </c>
      <c r="O154" s="14" t="str">
        <f t="shared" si="87"/>
        <v>Feb/Mar 26</v>
      </c>
      <c r="P154" s="8" t="str">
        <f t="shared" si="88"/>
        <v>Buy</v>
      </c>
      <c r="Q154">
        <f t="shared" ca="1" si="89"/>
        <v>36.200000000000003</v>
      </c>
      <c r="R154" s="38" t="str">
        <f>VLOOKUP(F154,Control!$B:$C,2,FALSE)</f>
        <v>Futures</v>
      </c>
      <c r="S154" s="38" t="str">
        <f>VLOOKUP(F154,Control!$B:$D,3,FALSE)</f>
        <v>WTI Sprds</v>
      </c>
      <c r="T154">
        <f t="shared" si="90"/>
        <v>2026</v>
      </c>
      <c r="U154" t="str">
        <f t="shared" si="91"/>
        <v>Buy</v>
      </c>
      <c r="V154" t="s">
        <v>96</v>
      </c>
      <c r="W154" t="str">
        <f>_xlfn.XLOOKUP(Table3[[#This Row],[Instrument]],Control!$B$2:$B$19,Control!$E$2:$E$19)</f>
        <v>WTI</v>
      </c>
      <c r="X154" s="14">
        <f>Table3[[#This Row],[Month1]]</f>
        <v>46081</v>
      </c>
      <c r="Y154" s="350">
        <f>Table3[[#This Row],[Quantity]]</f>
        <v>362</v>
      </c>
      <c r="Z154" t="str">
        <f>_xlfn.XLOOKUP(Table3[[#This Row],[Instrument]],Control!$B$2:$B$19,Control!$F$2:$F$19)</f>
        <v>WTI</v>
      </c>
      <c r="AA154" s="14">
        <f>Table3[[#This Row],[Month2]]</f>
        <v>46112</v>
      </c>
      <c r="AB154" s="350">
        <f t="shared" si="83"/>
        <v>-362</v>
      </c>
    </row>
    <row r="155" spans="1:28" ht="15" hidden="1" thickBot="1" x14ac:dyDescent="0.4">
      <c r="A155" t="s">
        <v>1724</v>
      </c>
      <c r="B155" t="str">
        <f>_xlfn.XLOOKUP(Table3[[#This Row],[Cargo Name]],Ledger[Cargo Name],Ledger[SAP Deal Number])</f>
        <v>VIT26HS00009</v>
      </c>
      <c r="C155">
        <v>0</v>
      </c>
      <c r="D155" s="37" t="s">
        <v>1678</v>
      </c>
      <c r="E155" s="174">
        <v>46034</v>
      </c>
      <c r="F155" s="10" t="s">
        <v>44</v>
      </c>
      <c r="G155" s="10" t="s">
        <v>128</v>
      </c>
      <c r="H155" s="259">
        <v>-587</v>
      </c>
      <c r="I155" s="172">
        <v>46081</v>
      </c>
      <c r="J155" s="172">
        <v>46081</v>
      </c>
      <c r="K155" s="15">
        <v>1.26</v>
      </c>
      <c r="L155" s="191">
        <f>VLOOKUP(I155,'PnL26'!$E$6:$G$54,3,FALSE)</f>
        <v>1.26</v>
      </c>
      <c r="M155" s="9">
        <f>IFERROR((L155-K155)*H155,"")</f>
        <v>0</v>
      </c>
      <c r="N155">
        <f t="shared" si="86"/>
        <v>-739.62</v>
      </c>
      <c r="O155" s="14" t="str">
        <f t="shared" si="87"/>
        <v>Feb 26</v>
      </c>
      <c r="P155" s="8" t="str">
        <f t="shared" si="88"/>
        <v>Sell</v>
      </c>
      <c r="Q155">
        <f t="shared" si="89"/>
        <v>-739.62</v>
      </c>
      <c r="R155" s="38" t="str">
        <f>VLOOKUP(F155,Control!$B:$C,2,FALSE)</f>
        <v>Swaps</v>
      </c>
      <c r="S155" s="38" t="str">
        <f>VLOOKUP(F155,Control!$B:$D,3,FALSE)</f>
        <v>MEH</v>
      </c>
      <c r="T155">
        <f t="shared" si="90"/>
        <v>2026</v>
      </c>
      <c r="U155" t="str">
        <f t="shared" si="91"/>
        <v>Sell</v>
      </c>
      <c r="V155" t="s">
        <v>96</v>
      </c>
      <c r="W155">
        <f>_xlfn.XLOOKUP(Table3[[#This Row],[Instrument]],Control!$B$2:$B$19,Control!$E$2:$E$19)</f>
        <v>0</v>
      </c>
      <c r="X155" s="14">
        <f>Table3[[#This Row],[Month1]]</f>
        <v>46081</v>
      </c>
      <c r="Y155" s="350">
        <f>Table3[[#This Row],[Quantity]]</f>
        <v>-587</v>
      </c>
      <c r="Z155">
        <f>_xlfn.XLOOKUP(Table3[[#This Row],[Instrument]],Control!$B$2:$B$19,Control!$F$2:$F$19)</f>
        <v>0</v>
      </c>
      <c r="AA155" s="14">
        <f>Table3[[#This Row],[Month2]]</f>
        <v>46081</v>
      </c>
      <c r="AB155" s="350">
        <f t="shared" si="83"/>
        <v>587</v>
      </c>
    </row>
    <row r="156" spans="1:28" ht="15" hidden="1" thickBot="1" x14ac:dyDescent="0.4">
      <c r="A156" t="s">
        <v>1724</v>
      </c>
      <c r="B156" t="str">
        <f>_xlfn.XLOOKUP(Table3[[#This Row],[Cargo Name]],Ledger[Cargo Name],Ledger[SAP Deal Number])</f>
        <v>Unallocated</v>
      </c>
      <c r="C156">
        <v>0</v>
      </c>
      <c r="D156" t="s">
        <v>127</v>
      </c>
      <c r="E156" s="174">
        <v>46034</v>
      </c>
      <c r="F156" s="10" t="s">
        <v>3</v>
      </c>
      <c r="G156" s="4" t="s">
        <v>128</v>
      </c>
      <c r="H156" s="253"/>
      <c r="I156" s="172">
        <v>46081</v>
      </c>
      <c r="J156" s="172">
        <v>46112</v>
      </c>
      <c r="K156" s="218">
        <v>0.18</v>
      </c>
      <c r="L156" s="192">
        <f ca="1">IF(OR(S156="WTI Sprds",S156="Brent Sprds",S156="WTI-Brent",S156="DFL"),INDEX(INDIRECT("'" &amp; S156 &amp; "'!$A$6:$XFD$1048576"),MATCH('PnL26'!$P$1,INDIRECT("'" &amp; S156 &amp; "'!$A$6:$A$1048576"),0),MATCH(EOMONTH(I156,0),INDIRECT("'" &amp; S156 &amp; "'!$A$4:$XFD$4"),0)),INDEX(BBG!$A:$BA,MATCH('PnL26'!$P$1,BBG!$A:$A,0),MATCH($I156,BBG!$A$4:$BA$4,0))-INDEX(BBG!$A:$BA,MATCH('PnL26'!$P$1,BBG!$A:$A,0),MATCH($J156,BBG!$A$4:$BA$4,0)))</f>
        <v>0.1</v>
      </c>
      <c r="M156" s="9">
        <f t="shared" ref="M156:M167" ca="1" si="92">IFERROR((L156-K156)*H156,"")</f>
        <v>0</v>
      </c>
      <c r="N156">
        <f t="shared" si="86"/>
        <v>0</v>
      </c>
      <c r="O156" s="14" t="str">
        <f t="shared" si="87"/>
        <v>Feb/Mar 26</v>
      </c>
      <c r="P156" s="8" t="str">
        <f t="shared" si="88"/>
        <v>Buy</v>
      </c>
      <c r="Q156">
        <f t="shared" ca="1" si="89"/>
        <v>0</v>
      </c>
      <c r="R156" s="38" t="str">
        <f>VLOOKUP(F156,Control!$B:$C,2,FALSE)</f>
        <v>Futures</v>
      </c>
      <c r="S156" s="38" t="str">
        <f>VLOOKUP(F156,Control!$B:$D,3,FALSE)</f>
        <v>WTI Sprds</v>
      </c>
      <c r="T156">
        <f t="shared" si="90"/>
        <v>2026</v>
      </c>
      <c r="U156" t="str">
        <f t="shared" si="91"/>
        <v>Sell</v>
      </c>
      <c r="V156" t="s">
        <v>96</v>
      </c>
      <c r="W156" t="str">
        <f>_xlfn.XLOOKUP(Table3[[#This Row],[Instrument]],Control!$B$2:$B$19,Control!$E$2:$E$19)</f>
        <v>WTI</v>
      </c>
      <c r="X156" s="14">
        <f>Table3[[#This Row],[Month1]]</f>
        <v>46081</v>
      </c>
      <c r="Y156" s="350">
        <f>Table3[[#This Row],[Quantity]]</f>
        <v>0</v>
      </c>
      <c r="Z156" t="str">
        <f>_xlfn.XLOOKUP(Table3[[#This Row],[Instrument]],Control!$B$2:$B$19,Control!$F$2:$F$19)</f>
        <v>WTI</v>
      </c>
      <c r="AA156" s="14">
        <f>Table3[[#This Row],[Month2]]</f>
        <v>46112</v>
      </c>
      <c r="AB156" s="350">
        <f t="shared" si="83"/>
        <v>0</v>
      </c>
    </row>
    <row r="157" spans="1:28" ht="15" hidden="1" thickBot="1" x14ac:dyDescent="0.4">
      <c r="A157" t="s">
        <v>1724</v>
      </c>
      <c r="B157" t="str">
        <f>_xlfn.XLOOKUP(Table3[[#This Row],[Cargo Name]],Ledger[Cargo Name],Ledger[SAP Deal Number])</f>
        <v>Unallocated</v>
      </c>
      <c r="C157">
        <v>0</v>
      </c>
      <c r="D157" t="s">
        <v>127</v>
      </c>
      <c r="E157" s="174">
        <v>46034</v>
      </c>
      <c r="F157" s="10" t="s">
        <v>3</v>
      </c>
      <c r="G157" s="4" t="s">
        <v>128</v>
      </c>
      <c r="H157" s="253"/>
      <c r="I157" s="172">
        <v>46112</v>
      </c>
      <c r="J157" s="172">
        <v>46142</v>
      </c>
      <c r="K157" s="218">
        <v>0.18</v>
      </c>
      <c r="L157" s="192">
        <f ca="1">IF(OR(S157="WTI Sprds",S157="Brent Sprds",S157="WTI-Brent",S157="DFL"),INDEX(INDIRECT("'" &amp; S157 &amp; "'!$A$6:$XFD$1048576"),MATCH('PnL26'!$P$1,INDIRECT("'" &amp; S157 &amp; "'!$A$6:$A$1048576"),0),MATCH(EOMONTH(I157,0),INDIRECT("'" &amp; S157 &amp; "'!$A$4:$XFD$4"),0)),INDEX(BBG!$A:$BA,MATCH('PnL26'!$P$1,BBG!$A:$A,0),MATCH($I157,BBG!$A$4:$BA$4,0))-INDEX(BBG!$A:$BA,MATCH('PnL26'!$P$1,BBG!$A:$A,0),MATCH($J157,BBG!$A$4:$BA$4,0)))</f>
        <v>0.03</v>
      </c>
      <c r="M157" s="9">
        <f t="shared" ca="1" si="92"/>
        <v>0</v>
      </c>
      <c r="N157">
        <f t="shared" si="86"/>
        <v>0</v>
      </c>
      <c r="O157" s="14" t="str">
        <f t="shared" si="87"/>
        <v>Mar/Apr 26</v>
      </c>
      <c r="P157" s="8" t="str">
        <f t="shared" si="88"/>
        <v>Buy</v>
      </c>
      <c r="Q157">
        <f t="shared" ca="1" si="89"/>
        <v>0</v>
      </c>
      <c r="R157" s="38" t="str">
        <f>VLOOKUP(F157,Control!$B:$C,2,FALSE)</f>
        <v>Futures</v>
      </c>
      <c r="S157" s="38" t="str">
        <f>VLOOKUP(F157,Control!$B:$D,3,FALSE)</f>
        <v>WTI Sprds</v>
      </c>
      <c r="T157">
        <f t="shared" si="90"/>
        <v>2026</v>
      </c>
      <c r="U157" t="str">
        <f t="shared" si="91"/>
        <v>Sell</v>
      </c>
      <c r="V157" t="s">
        <v>96</v>
      </c>
      <c r="W157" t="str">
        <f>_xlfn.XLOOKUP(Table3[[#This Row],[Instrument]],Control!$B$2:$B$19,Control!$E$2:$E$19)</f>
        <v>WTI</v>
      </c>
      <c r="X157" s="14">
        <f>Table3[[#This Row],[Month1]]</f>
        <v>46112</v>
      </c>
      <c r="Y157" s="350">
        <f>Table3[[#This Row],[Quantity]]</f>
        <v>0</v>
      </c>
      <c r="Z157" t="str">
        <f>_xlfn.XLOOKUP(Table3[[#This Row],[Instrument]],Control!$B$2:$B$19,Control!$F$2:$F$19)</f>
        <v>WTI</v>
      </c>
      <c r="AA157" s="14">
        <f>Table3[[#This Row],[Month2]]</f>
        <v>46142</v>
      </c>
      <c r="AB157" s="350">
        <f t="shared" si="83"/>
        <v>0</v>
      </c>
    </row>
    <row r="158" spans="1:28" ht="15" hidden="1" thickBot="1" x14ac:dyDescent="0.4">
      <c r="A158" t="s">
        <v>1724</v>
      </c>
      <c r="B158" t="str">
        <f>_xlfn.XLOOKUP(Table3[[#This Row],[Cargo Name]],Ledger[Cargo Name],Ledger[SAP Deal Number])</f>
        <v>Unallocated</v>
      </c>
      <c r="C158">
        <v>0</v>
      </c>
      <c r="D158" t="s">
        <v>127</v>
      </c>
      <c r="E158" s="174">
        <v>46035</v>
      </c>
      <c r="F158" s="10" t="s">
        <v>3</v>
      </c>
      <c r="G158" s="4" t="s">
        <v>128</v>
      </c>
      <c r="H158" s="253">
        <v>354</v>
      </c>
      <c r="I158" s="172">
        <v>46081</v>
      </c>
      <c r="J158" s="172">
        <v>46112</v>
      </c>
      <c r="K158" s="218">
        <v>0.22</v>
      </c>
      <c r="L158" s="192">
        <f ca="1">IF(OR(S158="WTI Sprds",S158="Brent Sprds",S158="WTI-Brent",S158="DFL"),INDEX(INDIRECT("'" &amp; S158 &amp; "'!$A$6:$XFD$1048576"),MATCH('PnL26'!$P$1,INDIRECT("'" &amp; S158 &amp; "'!$A$6:$A$1048576"),0),MATCH(EOMONTH(I158,0),INDIRECT("'" &amp; S158 &amp; "'!$A$4:$XFD$4"),0)),INDEX(BBG!$A:$BA,MATCH('PnL26'!$P$1,BBG!$A:$A,0),MATCH($I158,BBG!$A$4:$BA$4,0))-INDEX(BBG!$A:$BA,MATCH('PnL26'!$P$1,BBG!$A:$A,0),MATCH($J158,BBG!$A$4:$BA$4,0)))</f>
        <v>0.1</v>
      </c>
      <c r="M158" s="9">
        <f t="shared" ca="1" si="92"/>
        <v>-42.48</v>
      </c>
      <c r="N158">
        <f t="shared" si="86"/>
        <v>77.88</v>
      </c>
      <c r="O158" s="14" t="str">
        <f t="shared" si="87"/>
        <v>Feb/Mar 26</v>
      </c>
      <c r="P158" s="8" t="str">
        <f t="shared" si="88"/>
        <v>Buy</v>
      </c>
      <c r="Q158">
        <f t="shared" ca="1" si="89"/>
        <v>35.4</v>
      </c>
      <c r="R158" s="38" t="str">
        <f>VLOOKUP(F158,Control!$B:$C,2,FALSE)</f>
        <v>Futures</v>
      </c>
      <c r="S158" s="38" t="str">
        <f>VLOOKUP(F158,Control!$B:$D,3,FALSE)</f>
        <v>WTI Sprds</v>
      </c>
      <c r="T158">
        <f t="shared" si="90"/>
        <v>2026</v>
      </c>
      <c r="U158" t="str">
        <f t="shared" si="91"/>
        <v>Buy</v>
      </c>
      <c r="V158" t="s">
        <v>96</v>
      </c>
      <c r="W158" t="str">
        <f>_xlfn.XLOOKUP(Table3[[#This Row],[Instrument]],Control!$B$2:$B$19,Control!$E$2:$E$19)</f>
        <v>WTI</v>
      </c>
      <c r="X158" s="14">
        <f>Table3[[#This Row],[Month1]]</f>
        <v>46081</v>
      </c>
      <c r="Y158" s="350">
        <f>Table3[[#This Row],[Quantity]]</f>
        <v>354</v>
      </c>
      <c r="Z158" t="str">
        <f>_xlfn.XLOOKUP(Table3[[#This Row],[Instrument]],Control!$B$2:$B$19,Control!$F$2:$F$19)</f>
        <v>WTI</v>
      </c>
      <c r="AA158" s="14">
        <f>Table3[[#This Row],[Month2]]</f>
        <v>46112</v>
      </c>
      <c r="AB158" s="350">
        <f t="shared" si="83"/>
        <v>-354</v>
      </c>
    </row>
    <row r="159" spans="1:28" ht="15" hidden="1" thickBot="1" x14ac:dyDescent="0.4">
      <c r="A159" t="s">
        <v>1724</v>
      </c>
      <c r="B159" t="str">
        <f>_xlfn.XLOOKUP(Table3[[#This Row],[Cargo Name]],Ledger[Cargo Name],Ledger[SAP Deal Number])</f>
        <v>Unallocated</v>
      </c>
      <c r="C159">
        <v>0</v>
      </c>
      <c r="D159" t="s">
        <v>127</v>
      </c>
      <c r="E159" s="174">
        <v>46035</v>
      </c>
      <c r="F159" s="10" t="s">
        <v>3</v>
      </c>
      <c r="G159" s="4" t="s">
        <v>128</v>
      </c>
      <c r="H159" s="253">
        <v>93</v>
      </c>
      <c r="I159" s="172">
        <v>46112</v>
      </c>
      <c r="J159" s="172">
        <v>46142</v>
      </c>
      <c r="K159" s="218">
        <v>0.28000000000000003</v>
      </c>
      <c r="L159" s="192">
        <f ca="1">IF(OR(S159="WTI Sprds",S159="Brent Sprds",S159="WTI-Brent",S159="DFL"),INDEX(INDIRECT("'" &amp; S159 &amp; "'!$A$6:$XFD$1048576"),MATCH('PnL26'!$P$1,INDIRECT("'" &amp; S159 &amp; "'!$A$6:$A$1048576"),0),MATCH(EOMONTH(I159,0),INDIRECT("'" &amp; S159 &amp; "'!$A$4:$XFD$4"),0)),INDEX(BBG!$A:$BA,MATCH('PnL26'!$P$1,BBG!$A:$A,0),MATCH($I159,BBG!$A$4:$BA$4,0))-INDEX(BBG!$A:$BA,MATCH('PnL26'!$P$1,BBG!$A:$A,0),MATCH($J159,BBG!$A$4:$BA$4,0)))</f>
        <v>0.03</v>
      </c>
      <c r="M159" s="9">
        <f t="shared" ca="1" si="92"/>
        <v>-23.25</v>
      </c>
      <c r="N159">
        <f t="shared" si="86"/>
        <v>26.040000000000003</v>
      </c>
      <c r="O159" s="14" t="str">
        <f t="shared" si="87"/>
        <v>Mar/Apr 26</v>
      </c>
      <c r="P159" s="8" t="str">
        <f t="shared" si="88"/>
        <v>Buy</v>
      </c>
      <c r="Q159">
        <f t="shared" ca="1" si="89"/>
        <v>2.79</v>
      </c>
      <c r="R159" s="38" t="str">
        <f>VLOOKUP(F159,Control!$B:$C,2,FALSE)</f>
        <v>Futures</v>
      </c>
      <c r="S159" s="38" t="str">
        <f>VLOOKUP(F159,Control!$B:$D,3,FALSE)</f>
        <v>WTI Sprds</v>
      </c>
      <c r="T159">
        <f t="shared" si="90"/>
        <v>2026</v>
      </c>
      <c r="U159" t="str">
        <f t="shared" si="91"/>
        <v>Buy</v>
      </c>
      <c r="V159" t="s">
        <v>96</v>
      </c>
      <c r="W159" t="str">
        <f>_xlfn.XLOOKUP(Table3[[#This Row],[Instrument]],Control!$B$2:$B$19,Control!$E$2:$E$19)</f>
        <v>WTI</v>
      </c>
      <c r="X159" s="14">
        <f>Table3[[#This Row],[Month1]]</f>
        <v>46112</v>
      </c>
      <c r="Y159" s="350">
        <f>Table3[[#This Row],[Quantity]]</f>
        <v>93</v>
      </c>
      <c r="Z159" t="str">
        <f>_xlfn.XLOOKUP(Table3[[#This Row],[Instrument]],Control!$B$2:$B$19,Control!$F$2:$F$19)</f>
        <v>WTI</v>
      </c>
      <c r="AA159" s="14">
        <f>Table3[[#This Row],[Month2]]</f>
        <v>46142</v>
      </c>
      <c r="AB159" s="350">
        <f t="shared" si="83"/>
        <v>-93</v>
      </c>
    </row>
    <row r="160" spans="1:28" ht="15" hidden="1" thickBot="1" x14ac:dyDescent="0.4">
      <c r="A160" t="s">
        <v>1724</v>
      </c>
      <c r="B160" t="str">
        <f>_xlfn.XLOOKUP(Table3[[#This Row],[Cargo Name]],Ledger[Cargo Name],Ledger[SAP Deal Number])</f>
        <v>Unallocated</v>
      </c>
      <c r="C160">
        <v>0</v>
      </c>
      <c r="D160" t="s">
        <v>127</v>
      </c>
      <c r="E160" s="16">
        <v>46035</v>
      </c>
      <c r="F160" s="10" t="s">
        <v>3</v>
      </c>
      <c r="G160" s="4" t="s">
        <v>128</v>
      </c>
      <c r="H160" s="253">
        <v>2100</v>
      </c>
      <c r="I160" s="172">
        <v>46081</v>
      </c>
      <c r="J160" s="172">
        <v>46112</v>
      </c>
      <c r="K160" s="212">
        <v>0.22</v>
      </c>
      <c r="L160" s="7">
        <f ca="1">IF(OR(S160="WTI Sprds",S160="Brent Sprds",S160="WTI-Brent",S160="DFL"),INDEX(INDIRECT("'" &amp; S160 &amp; "'!$A$6:$XFD$1048576"),MATCH('PnL26'!$P$1,INDIRECT("'" &amp; S160 &amp; "'!$A$6:$A$1048576"),0),MATCH(EOMONTH(I160,0),INDIRECT("'" &amp; S160 &amp; "'!$A$4:$XFD$4"),0)),INDEX(BBG!$A:$BA,MATCH('PnL26'!$P$1,BBG!$A:$A,0),MATCH($I160,BBG!$A$4:$BA$4,0))-INDEX(BBG!$A:$BA,MATCH('PnL26'!$P$1,BBG!$A:$A,0),MATCH($J160,BBG!$A$4:$BA$4,0)))</f>
        <v>0.1</v>
      </c>
      <c r="M160" s="9">
        <f t="shared" ca="1" si="92"/>
        <v>-252</v>
      </c>
      <c r="N160">
        <f t="shared" si="86"/>
        <v>462</v>
      </c>
      <c r="O160" s="14" t="str">
        <f t="shared" si="87"/>
        <v>Feb/Mar 26</v>
      </c>
      <c r="P160" s="8" t="str">
        <f t="shared" si="88"/>
        <v>Buy</v>
      </c>
      <c r="Q160">
        <f t="shared" ca="1" si="89"/>
        <v>210</v>
      </c>
      <c r="R160" t="str">
        <f>VLOOKUP(F160,Control!$B:$C,2,FALSE)</f>
        <v>Futures</v>
      </c>
      <c r="S160" t="str">
        <f>VLOOKUP(F160,Control!$B:$D,3,FALSE)</f>
        <v>WTI Sprds</v>
      </c>
      <c r="T160" s="38">
        <f t="shared" si="90"/>
        <v>2026</v>
      </c>
      <c r="U160" t="str">
        <f t="shared" si="91"/>
        <v>Buy</v>
      </c>
      <c r="V160" t="s">
        <v>96</v>
      </c>
      <c r="W160" t="str">
        <f>_xlfn.XLOOKUP(Table3[[#This Row],[Instrument]],Control!$B$2:$B$19,Control!$E$2:$E$19)</f>
        <v>WTI</v>
      </c>
      <c r="X160" s="14">
        <f>Table3[[#This Row],[Month1]]</f>
        <v>46081</v>
      </c>
      <c r="Y160" s="350">
        <f>Table3[[#This Row],[Quantity]]</f>
        <v>2100</v>
      </c>
      <c r="Z160" t="str">
        <f>_xlfn.XLOOKUP(Table3[[#This Row],[Instrument]],Control!$B$2:$B$19,Control!$F$2:$F$19)</f>
        <v>WTI</v>
      </c>
      <c r="AA160" s="14">
        <f>Table3[[#This Row],[Month2]]</f>
        <v>46112</v>
      </c>
      <c r="AB160" s="350">
        <f t="shared" si="83"/>
        <v>-2100</v>
      </c>
    </row>
    <row r="161" spans="1:28" ht="15" hidden="1" thickBot="1" x14ac:dyDescent="0.4">
      <c r="A161" t="s">
        <v>1724</v>
      </c>
      <c r="B161" t="str">
        <f>_xlfn.XLOOKUP(Table3[[#This Row],[Cargo Name]],Ledger[Cargo Name],Ledger[SAP Deal Number])</f>
        <v>Unallocated</v>
      </c>
      <c r="C161">
        <v>0</v>
      </c>
      <c r="D161" t="s">
        <v>127</v>
      </c>
      <c r="E161" s="16">
        <v>46035</v>
      </c>
      <c r="F161" s="10" t="s">
        <v>3</v>
      </c>
      <c r="G161" s="4" t="s">
        <v>128</v>
      </c>
      <c r="H161" s="253">
        <v>2100</v>
      </c>
      <c r="I161" s="172">
        <v>46112</v>
      </c>
      <c r="J161" s="172">
        <v>46142</v>
      </c>
      <c r="K161" s="212">
        <v>0.28000000000000003</v>
      </c>
      <c r="L161" s="7">
        <f ca="1">IF(OR(S161="WTI Sprds",S161="Brent Sprds",S161="WTI-Brent",S161="DFL"),INDEX(INDIRECT("'" &amp; S161 &amp; "'!$A$6:$XFD$1048576"),MATCH('PnL26'!$P$1,INDIRECT("'" &amp; S161 &amp; "'!$A$6:$A$1048576"),0),MATCH(EOMONTH(I161,0),INDIRECT("'" &amp; S161 &amp; "'!$A$4:$XFD$4"),0)),INDEX(BBG!$A:$BA,MATCH('PnL26'!$P$1,BBG!$A:$A,0),MATCH($I161,BBG!$A$4:$BA$4,0))-INDEX(BBG!$A:$BA,MATCH('PnL26'!$P$1,BBG!$A:$A,0),MATCH($J161,BBG!$A$4:$BA$4,0)))</f>
        <v>0.03</v>
      </c>
      <c r="M161" s="9">
        <f t="shared" ca="1" si="92"/>
        <v>-525</v>
      </c>
      <c r="N161">
        <f t="shared" si="86"/>
        <v>588</v>
      </c>
      <c r="O161" s="14" t="str">
        <f t="shared" si="87"/>
        <v>Mar/Apr 26</v>
      </c>
      <c r="P161" s="8" t="str">
        <f t="shared" si="88"/>
        <v>Buy</v>
      </c>
      <c r="Q161">
        <f t="shared" ca="1" si="89"/>
        <v>63</v>
      </c>
      <c r="R161" t="str">
        <f>VLOOKUP(F161,Control!$B:$C,2,FALSE)</f>
        <v>Futures</v>
      </c>
      <c r="S161" t="str">
        <f>VLOOKUP(F161,Control!$B:$D,3,FALSE)</f>
        <v>WTI Sprds</v>
      </c>
      <c r="T161" s="38">
        <f t="shared" si="90"/>
        <v>2026</v>
      </c>
      <c r="U161" t="str">
        <f t="shared" si="91"/>
        <v>Buy</v>
      </c>
      <c r="V161" t="s">
        <v>96</v>
      </c>
      <c r="W161" t="str">
        <f>_xlfn.XLOOKUP(Table3[[#This Row],[Instrument]],Control!$B$2:$B$19,Control!$E$2:$E$19)</f>
        <v>WTI</v>
      </c>
      <c r="X161" s="14">
        <f>Table3[[#This Row],[Month1]]</f>
        <v>46112</v>
      </c>
      <c r="Y161" s="350">
        <f>Table3[[#This Row],[Quantity]]</f>
        <v>2100</v>
      </c>
      <c r="Z161" t="str">
        <f>_xlfn.XLOOKUP(Table3[[#This Row],[Instrument]],Control!$B$2:$B$19,Control!$F$2:$F$19)</f>
        <v>WTI</v>
      </c>
      <c r="AA161" s="14">
        <f>Table3[[#This Row],[Month2]]</f>
        <v>46142</v>
      </c>
      <c r="AB161" s="350">
        <f t="shared" si="83"/>
        <v>-2100</v>
      </c>
    </row>
    <row r="162" spans="1:28" ht="15" hidden="1" thickBot="1" x14ac:dyDescent="0.4">
      <c r="A162" t="s">
        <v>1724</v>
      </c>
      <c r="B162" t="str">
        <f>_xlfn.XLOOKUP(Table3[[#This Row],[Cargo Name]],Ledger[Cargo Name],Ledger[SAP Deal Number])</f>
        <v>Unallocated</v>
      </c>
      <c r="C162">
        <v>0</v>
      </c>
      <c r="D162" t="s">
        <v>127</v>
      </c>
      <c r="E162" s="16">
        <v>46035</v>
      </c>
      <c r="F162" s="10" t="s">
        <v>10</v>
      </c>
      <c r="G162" s="4" t="s">
        <v>128</v>
      </c>
      <c r="H162" s="253">
        <v>2100</v>
      </c>
      <c r="I162" s="172">
        <v>46142</v>
      </c>
      <c r="J162" s="172">
        <v>46142</v>
      </c>
      <c r="K162" s="212">
        <v>-4.0999999999999996</v>
      </c>
      <c r="L162" s="7">
        <f ca="1">IF(OR(S162="WTI Sprds",S162="Brent Sprds",S162="WTI-Brent",S162="DFL"),INDEX(INDIRECT("'" &amp; S162 &amp; "'!$A$6:$XFD$1048576"),MATCH('PnL26'!$P$1,INDIRECT("'" &amp; S162 &amp; "'!$A$6:$A$1048576"),0),MATCH(EOMONTH(I162,0),INDIRECT("'" &amp; S162 &amp; "'!$A$4:$XFD$4"),0)),INDEX(BBG!$A:$BA,MATCH('PnL26'!$P$1,BBG!$A:$A,0),MATCH($I162,BBG!$A$4:$BA$4,0))-INDEX(BBG!$A:$BA,MATCH('PnL26'!$P$1,BBG!$A:$A,0),MATCH($J162,BBG!$A$4:$BA$4,0)))</f>
        <v>-5.46</v>
      </c>
      <c r="M162" s="9">
        <f t="shared" ca="1" si="92"/>
        <v>-2856.0000000000005</v>
      </c>
      <c r="N162">
        <f t="shared" si="86"/>
        <v>-8610</v>
      </c>
      <c r="O162" s="14" t="str">
        <f t="shared" si="87"/>
        <v>Apr 26</v>
      </c>
      <c r="P162" s="8" t="str">
        <f t="shared" si="88"/>
        <v>Buy</v>
      </c>
      <c r="Q162">
        <f t="shared" ca="1" si="89"/>
        <v>-11466</v>
      </c>
      <c r="R162" t="str">
        <f>VLOOKUP(F162,Control!$B:$C,2,FALSE)</f>
        <v>Swaps</v>
      </c>
      <c r="S162" t="str">
        <f>VLOOKUP(F162,Control!$B:$D,3,FALSE)</f>
        <v>WTI-Brent</v>
      </c>
      <c r="T162" s="38">
        <f t="shared" si="90"/>
        <v>2026</v>
      </c>
      <c r="U162" t="str">
        <f t="shared" si="91"/>
        <v>Buy</v>
      </c>
      <c r="V162" t="s">
        <v>96</v>
      </c>
      <c r="W162" t="str">
        <f>_xlfn.XLOOKUP(Table3[[#This Row],[Instrument]],Control!$B$2:$B$19,Control!$E$2:$E$19)</f>
        <v>WTI</v>
      </c>
      <c r="X162" s="14">
        <f>Table3[[#This Row],[Month1]]</f>
        <v>46142</v>
      </c>
      <c r="Y162" s="350">
        <f>Table3[[#This Row],[Quantity]]</f>
        <v>2100</v>
      </c>
      <c r="Z162" t="str">
        <f>_xlfn.XLOOKUP(Table3[[#This Row],[Instrument]],Control!$B$2:$B$19,Control!$F$2:$F$19)</f>
        <v>Brent</v>
      </c>
      <c r="AA162" s="14">
        <f>Table3[[#This Row],[Month2]]</f>
        <v>46142</v>
      </c>
      <c r="AB162" s="350">
        <f t="shared" si="83"/>
        <v>-2100</v>
      </c>
    </row>
    <row r="163" spans="1:28" ht="15" hidden="1" thickBot="1" x14ac:dyDescent="0.4">
      <c r="A163" t="s">
        <v>1724</v>
      </c>
      <c r="B163" t="str">
        <f>_xlfn.XLOOKUP(Table3[[#This Row],[Cargo Name]],Ledger[Cargo Name],Ledger[SAP Deal Number])</f>
        <v>Unallocated</v>
      </c>
      <c r="C163">
        <v>0</v>
      </c>
      <c r="D163" t="s">
        <v>127</v>
      </c>
      <c r="E163" s="16">
        <v>46035</v>
      </c>
      <c r="F163" s="10" t="s">
        <v>7</v>
      </c>
      <c r="G163" s="4" t="s">
        <v>128</v>
      </c>
      <c r="H163" s="253">
        <v>2100</v>
      </c>
      <c r="I163" s="172">
        <v>46142</v>
      </c>
      <c r="J163" s="172">
        <v>46173</v>
      </c>
      <c r="K163" s="219">
        <v>0.46</v>
      </c>
      <c r="L163" s="7">
        <f ca="1">IF(OR(S163="WTI Sprds",S163="Brent Sprds",S163="WTI-Brent",S163="DFL"),INDEX(INDIRECT("'" &amp; S163 &amp; "'!$A$6:$XFD$1048576"),MATCH('PnL26'!$P$1,INDIRECT("'" &amp; S163 &amp; "'!$A$6:$A$1048576"),0),MATCH(EOMONTH(I163,0),INDIRECT("'" &amp; S163 &amp; "'!$A$4:$XFD$4"),0)),INDEX(BBG!$A:$BA,MATCH('PnL26'!$P$1,BBG!$A:$A,0),MATCH($I163,BBG!$A$4:$BA$4,0))-INDEX(BBG!$A:$BA,MATCH('PnL26'!$P$1,BBG!$A:$A,0),MATCH($J163,BBG!$A$4:$BA$4,0)))</f>
        <v>-0.39</v>
      </c>
      <c r="M163" s="9">
        <f t="shared" ca="1" si="92"/>
        <v>-1785.0000000000002</v>
      </c>
      <c r="N163">
        <f t="shared" si="86"/>
        <v>966</v>
      </c>
      <c r="O163" s="14" t="str">
        <f t="shared" si="87"/>
        <v>Apr/May 26</v>
      </c>
      <c r="P163" s="8" t="str">
        <f t="shared" si="88"/>
        <v>Buy</v>
      </c>
      <c r="Q163">
        <f t="shared" ca="1" si="89"/>
        <v>-819</v>
      </c>
      <c r="R163" t="str">
        <f>VLOOKUP(F163,Control!$B:$C,2,FALSE)</f>
        <v>Futures</v>
      </c>
      <c r="S163" t="str">
        <f>VLOOKUP(F163,Control!$B:$D,3,FALSE)</f>
        <v>Brent Sprds</v>
      </c>
      <c r="T163" s="38">
        <f t="shared" si="90"/>
        <v>2026</v>
      </c>
      <c r="U163" t="str">
        <f t="shared" si="91"/>
        <v>Buy</v>
      </c>
      <c r="V163" t="s">
        <v>96</v>
      </c>
      <c r="W163" t="str">
        <f>_xlfn.XLOOKUP(Table3[[#This Row],[Instrument]],Control!$B$2:$B$19,Control!$E$2:$E$19)</f>
        <v>Brent</v>
      </c>
      <c r="X163" s="14">
        <f>Table3[[#This Row],[Month1]]</f>
        <v>46142</v>
      </c>
      <c r="Y163" s="350">
        <f>Table3[[#This Row],[Quantity]]</f>
        <v>2100</v>
      </c>
      <c r="Z163" t="str">
        <f>_xlfn.XLOOKUP(Table3[[#This Row],[Instrument]],Control!$B$2:$B$19,Control!$F$2:$F$19)</f>
        <v>Brent</v>
      </c>
      <c r="AA163" s="14">
        <f>Table3[[#This Row],[Month2]]</f>
        <v>46173</v>
      </c>
      <c r="AB163" s="350">
        <f t="shared" si="83"/>
        <v>-2100</v>
      </c>
    </row>
    <row r="164" spans="1:28" ht="15" hidden="1" thickBot="1" x14ac:dyDescent="0.4">
      <c r="A164" t="s">
        <v>1724</v>
      </c>
      <c r="B164" t="str">
        <f>_xlfn.XLOOKUP(Table3[[#This Row],[Cargo Name]],Ledger[Cargo Name],Ledger[SAP Deal Number])</f>
        <v>Unallocated</v>
      </c>
      <c r="C164">
        <v>0</v>
      </c>
      <c r="D164" t="s">
        <v>127</v>
      </c>
      <c r="E164" s="174">
        <v>46036</v>
      </c>
      <c r="F164" s="10" t="s">
        <v>3</v>
      </c>
      <c r="G164" s="4" t="s">
        <v>128</v>
      </c>
      <c r="H164" s="253">
        <v>-1000</v>
      </c>
      <c r="I164" s="172">
        <v>46142</v>
      </c>
      <c r="J164" s="172">
        <v>46173</v>
      </c>
      <c r="K164" s="218">
        <v>0.25</v>
      </c>
      <c r="L164" s="192">
        <f ca="1">IF(OR(S164="WTI Sprds",S164="Brent Sprds",S164="WTI-Brent",S164="DFL"),INDEX(INDIRECT("'" &amp; S164 &amp; "'!$A$6:$XFD$1048576"),MATCH('PnL26'!$P$1,INDIRECT("'" &amp; S164 &amp; "'!$A$6:$A$1048576"),0),MATCH(EOMONTH(I164,0),INDIRECT("'" &amp; S164 &amp; "'!$A$4:$XFD$4"),0)),INDEX(BBG!$A:$BA,MATCH('PnL26'!$P$1,BBG!$A:$A,0),MATCH($I164,BBG!$A$4:$BA$4,0))-INDEX(BBG!$A:$BA,MATCH('PnL26'!$P$1,BBG!$A:$A,0),MATCH($J164,BBG!$A$4:$BA$4,0)))</f>
        <v>0.59</v>
      </c>
      <c r="M164" s="9">
        <f t="shared" ca="1" si="92"/>
        <v>-339.99999999999994</v>
      </c>
      <c r="N164">
        <f t="shared" si="86"/>
        <v>-250</v>
      </c>
      <c r="O164" s="14" t="str">
        <f t="shared" si="87"/>
        <v>Apr/May 26</v>
      </c>
      <c r="P164" s="8" t="str">
        <f t="shared" si="88"/>
        <v>Sell</v>
      </c>
      <c r="Q164">
        <f t="shared" ca="1" si="89"/>
        <v>-590</v>
      </c>
      <c r="R164" s="38" t="str">
        <f>VLOOKUP(F164,Control!$B:$C,2,FALSE)</f>
        <v>Futures</v>
      </c>
      <c r="S164" s="38" t="str">
        <f>VLOOKUP(F164,Control!$B:$D,3,FALSE)</f>
        <v>WTI Sprds</v>
      </c>
      <c r="T164">
        <f t="shared" si="90"/>
        <v>2026</v>
      </c>
      <c r="U164" t="str">
        <f t="shared" si="91"/>
        <v>Sell</v>
      </c>
      <c r="V164" t="s">
        <v>96</v>
      </c>
      <c r="W164" t="str">
        <f>_xlfn.XLOOKUP(Table3[[#This Row],[Instrument]],Control!$B$2:$B$19,Control!$E$2:$E$19)</f>
        <v>WTI</v>
      </c>
      <c r="X164" s="14">
        <f>Table3[[#This Row],[Month1]]</f>
        <v>46142</v>
      </c>
      <c r="Y164" s="350">
        <f>Table3[[#This Row],[Quantity]]</f>
        <v>-1000</v>
      </c>
      <c r="Z164" t="str">
        <f>_xlfn.XLOOKUP(Table3[[#This Row],[Instrument]],Control!$B$2:$B$19,Control!$F$2:$F$19)</f>
        <v>WTI</v>
      </c>
      <c r="AA164" s="14">
        <f>Table3[[#This Row],[Month2]]</f>
        <v>46173</v>
      </c>
      <c r="AB164" s="350">
        <f t="shared" si="83"/>
        <v>1000</v>
      </c>
    </row>
    <row r="165" spans="1:28" ht="15" hidden="1" thickBot="1" x14ac:dyDescent="0.4">
      <c r="A165" t="s">
        <v>1724</v>
      </c>
      <c r="B165" t="str">
        <f>_xlfn.XLOOKUP(Table3[[#This Row],[Cargo Name]],Ledger[Cargo Name],Ledger[SAP Deal Number])</f>
        <v>Unallocated</v>
      </c>
      <c r="C165">
        <v>0</v>
      </c>
      <c r="D165" t="s">
        <v>127</v>
      </c>
      <c r="E165" s="174">
        <v>46036</v>
      </c>
      <c r="F165" s="10" t="s">
        <v>10</v>
      </c>
      <c r="G165" s="4" t="s">
        <v>128</v>
      </c>
      <c r="H165" s="253">
        <v>-1000</v>
      </c>
      <c r="I165" s="172">
        <v>46142</v>
      </c>
      <c r="J165" s="172">
        <v>46142</v>
      </c>
      <c r="K165" s="212">
        <v>-4.1500000000000004</v>
      </c>
      <c r="L165" s="7">
        <f ca="1">IF(OR(S165="WTI Sprds",S165="Brent Sprds",S165="WTI-Brent",S165="DFL"),INDEX(INDIRECT("'" &amp; S165 &amp; "'!$A$6:$XFD$1048576"),MATCH('PnL26'!$P$1,INDIRECT("'" &amp; S165 &amp; "'!$A$6:$A$1048576"),0),MATCH(EOMONTH(I165,0),INDIRECT("'" &amp; S165 &amp; "'!$A$4:$XFD$4"),0)),INDEX(BBG!$A:$BA,MATCH('PnL26'!$P$1,BBG!$A:$A,0),MATCH($I165,BBG!$A$4:$BA$4,0))-INDEX(BBG!$A:$BA,MATCH('PnL26'!$P$1,BBG!$A:$A,0),MATCH($J165,BBG!$A$4:$BA$4,0)))</f>
        <v>-5.46</v>
      </c>
      <c r="M165" s="9">
        <f t="shared" ca="1" si="92"/>
        <v>1309.9999999999995</v>
      </c>
      <c r="N165">
        <f t="shared" si="86"/>
        <v>4150</v>
      </c>
      <c r="O165" s="14" t="str">
        <f t="shared" si="87"/>
        <v>Apr 26</v>
      </c>
      <c r="P165" s="8" t="str">
        <f t="shared" si="88"/>
        <v>Sell</v>
      </c>
      <c r="Q165">
        <f t="shared" ca="1" si="89"/>
        <v>5460</v>
      </c>
      <c r="R165" t="str">
        <f>VLOOKUP(F165,Control!$B:$C,2,FALSE)</f>
        <v>Swaps</v>
      </c>
      <c r="S165" t="str">
        <f>VLOOKUP(F165,Control!$B:$D,3,FALSE)</f>
        <v>WTI-Brent</v>
      </c>
      <c r="T165" s="38">
        <f t="shared" si="90"/>
        <v>2026</v>
      </c>
      <c r="U165" t="str">
        <f t="shared" si="91"/>
        <v>Sell</v>
      </c>
      <c r="V165" t="s">
        <v>96</v>
      </c>
      <c r="W165" t="str">
        <f>_xlfn.XLOOKUP(Table3[[#This Row],[Instrument]],Control!$B$2:$B$19,Control!$E$2:$E$19)</f>
        <v>WTI</v>
      </c>
      <c r="X165" s="14">
        <f>Table3[[#This Row],[Month1]]</f>
        <v>46142</v>
      </c>
      <c r="Y165" s="350">
        <f>Table3[[#This Row],[Quantity]]</f>
        <v>-1000</v>
      </c>
      <c r="Z165" t="str">
        <f>_xlfn.XLOOKUP(Table3[[#This Row],[Instrument]],Control!$B$2:$B$19,Control!$F$2:$F$19)</f>
        <v>Brent</v>
      </c>
      <c r="AA165" s="14">
        <f>Table3[[#This Row],[Month2]]</f>
        <v>46142</v>
      </c>
      <c r="AB165" s="350">
        <f t="shared" si="83"/>
        <v>1000</v>
      </c>
    </row>
    <row r="166" spans="1:28" ht="15" hidden="1" thickBot="1" x14ac:dyDescent="0.4">
      <c r="A166" t="s">
        <v>1724</v>
      </c>
      <c r="B166" t="str">
        <f>_xlfn.XLOOKUP(Table3[[#This Row],[Cargo Name]],Ledger[Cargo Name],Ledger[SAP Deal Number])</f>
        <v>Unallocated</v>
      </c>
      <c r="C166">
        <v>0</v>
      </c>
      <c r="D166" t="s">
        <v>127</v>
      </c>
      <c r="E166" s="174">
        <v>46036</v>
      </c>
      <c r="F166" s="10" t="s">
        <v>10</v>
      </c>
      <c r="G166" s="4" t="s">
        <v>128</v>
      </c>
      <c r="H166" s="253">
        <v>350</v>
      </c>
      <c r="I166" s="172">
        <v>46203</v>
      </c>
      <c r="J166" s="172">
        <v>46203</v>
      </c>
      <c r="K166" s="212">
        <v>-3.65</v>
      </c>
      <c r="L166" s="7">
        <f ca="1">IF(OR(S166="WTI Sprds",S166="Brent Sprds",S166="WTI-Brent",S166="DFL"),INDEX(INDIRECT("'" &amp; S166 &amp; "'!$A$6:$XFD$1048576"),MATCH('PnL26'!$P$1,INDIRECT("'" &amp; S166 &amp; "'!$A$6:$A$1048576"),0),MATCH(EOMONTH(I166,0),INDIRECT("'" &amp; S166 &amp; "'!$A$4:$XFD$4"),0)),INDEX(BBG!$A:$BA,MATCH('PnL26'!$P$1,BBG!$A:$A,0),MATCH($I166,BBG!$A$4:$BA$4,0))-INDEX(BBG!$A:$BA,MATCH('PnL26'!$P$1,BBG!$A:$A,0),MATCH($J166,BBG!$A$4:$BA$4,0)))</f>
        <v>-8.94</v>
      </c>
      <c r="M166" s="9">
        <f t="shared" ca="1" si="92"/>
        <v>-1851.4999999999998</v>
      </c>
      <c r="N166">
        <f t="shared" si="86"/>
        <v>-1277.5</v>
      </c>
      <c r="O166" s="14" t="str">
        <f t="shared" si="87"/>
        <v>Jun 26</v>
      </c>
      <c r="P166" s="8" t="str">
        <f t="shared" si="88"/>
        <v>Buy</v>
      </c>
      <c r="Q166">
        <f t="shared" ca="1" si="89"/>
        <v>-3129</v>
      </c>
      <c r="R166" t="str">
        <f>VLOOKUP(F166,Control!$B:$C,2,FALSE)</f>
        <v>Swaps</v>
      </c>
      <c r="S166" t="str">
        <f>VLOOKUP(F166,Control!$B:$D,3,FALSE)</f>
        <v>WTI-Brent</v>
      </c>
      <c r="T166" s="38">
        <f t="shared" si="90"/>
        <v>2026</v>
      </c>
      <c r="U166" t="str">
        <f t="shared" si="91"/>
        <v>Buy</v>
      </c>
      <c r="V166" t="s">
        <v>96</v>
      </c>
      <c r="W166" t="str">
        <f>_xlfn.XLOOKUP(Table3[[#This Row],[Instrument]],Control!$B$2:$B$19,Control!$E$2:$E$19)</f>
        <v>WTI</v>
      </c>
      <c r="X166" s="14">
        <f>Table3[[#This Row],[Month1]]</f>
        <v>46203</v>
      </c>
      <c r="Y166" s="350">
        <f>Table3[[#This Row],[Quantity]]</f>
        <v>350</v>
      </c>
      <c r="Z166" t="str">
        <f>_xlfn.XLOOKUP(Table3[[#This Row],[Instrument]],Control!$B$2:$B$19,Control!$F$2:$F$19)</f>
        <v>Brent</v>
      </c>
      <c r="AA166" s="14">
        <f>Table3[[#This Row],[Month2]]</f>
        <v>46203</v>
      </c>
      <c r="AB166" s="350">
        <f t="shared" si="83"/>
        <v>-350</v>
      </c>
    </row>
    <row r="167" spans="1:28" ht="15" hidden="1" thickBot="1" x14ac:dyDescent="0.4">
      <c r="A167" t="s">
        <v>1724</v>
      </c>
      <c r="B167" t="str">
        <f>_xlfn.XLOOKUP(Table3[[#This Row],[Cargo Name]],Ledger[Cargo Name],Ledger[SAP Deal Number])</f>
        <v>Unallocated</v>
      </c>
      <c r="C167">
        <v>0</v>
      </c>
      <c r="D167" t="s">
        <v>127</v>
      </c>
      <c r="E167" s="174">
        <v>46036</v>
      </c>
      <c r="F167" s="10" t="s">
        <v>7</v>
      </c>
      <c r="G167" s="4" t="s">
        <v>128</v>
      </c>
      <c r="H167" s="253">
        <v>-1000</v>
      </c>
      <c r="I167" s="172">
        <v>46142</v>
      </c>
      <c r="J167" s="172">
        <v>46173</v>
      </c>
      <c r="K167" s="212">
        <v>0.37</v>
      </c>
      <c r="L167" s="7">
        <f ca="1">IF(OR(S167="WTI Sprds",S167="Brent Sprds",S167="WTI-Brent",S167="DFL"),INDEX(INDIRECT("'" &amp; S167 &amp; "'!$A$6:$XFD$1048576"),MATCH('PnL26'!$P$1,INDIRECT("'" &amp; S167 &amp; "'!$A$6:$A$1048576"),0),MATCH(EOMONTH(I167,0),INDIRECT("'" &amp; S167 &amp; "'!$A$4:$XFD$4"),0)),INDEX(BBG!$A:$BA,MATCH('PnL26'!$P$1,BBG!$A:$A,0),MATCH($I167,BBG!$A$4:$BA$4,0))-INDEX(BBG!$A:$BA,MATCH('PnL26'!$P$1,BBG!$A:$A,0),MATCH($J167,BBG!$A$4:$BA$4,0)))</f>
        <v>-0.39</v>
      </c>
      <c r="M167" s="9">
        <f t="shared" ca="1" si="92"/>
        <v>760</v>
      </c>
      <c r="N167">
        <f t="shared" si="86"/>
        <v>-370</v>
      </c>
      <c r="O167" s="14" t="str">
        <f t="shared" si="87"/>
        <v>Apr/May 26</v>
      </c>
      <c r="P167" s="8" t="str">
        <f t="shared" si="88"/>
        <v>Sell</v>
      </c>
      <c r="Q167">
        <f t="shared" ca="1" si="89"/>
        <v>390</v>
      </c>
      <c r="R167" t="str">
        <f>VLOOKUP(F167,Control!$B:$C,2,FALSE)</f>
        <v>Futures</v>
      </c>
      <c r="S167" t="str">
        <f>VLOOKUP(F167,Control!$B:$D,3,FALSE)</f>
        <v>Brent Sprds</v>
      </c>
      <c r="T167" s="38">
        <f t="shared" si="90"/>
        <v>2026</v>
      </c>
      <c r="U167" t="str">
        <f t="shared" si="91"/>
        <v>Sell</v>
      </c>
      <c r="V167" t="s">
        <v>96</v>
      </c>
      <c r="W167" t="str">
        <f>_xlfn.XLOOKUP(Table3[[#This Row],[Instrument]],Control!$B$2:$B$19,Control!$E$2:$E$19)</f>
        <v>Brent</v>
      </c>
      <c r="X167" s="14">
        <f>Table3[[#This Row],[Month1]]</f>
        <v>46142</v>
      </c>
      <c r="Y167" s="350">
        <f>Table3[[#This Row],[Quantity]]</f>
        <v>-1000</v>
      </c>
      <c r="Z167" t="str">
        <f>_xlfn.XLOOKUP(Table3[[#This Row],[Instrument]],Control!$B$2:$B$19,Control!$F$2:$F$19)</f>
        <v>Brent</v>
      </c>
      <c r="AA167" s="14">
        <f>Table3[[#This Row],[Month2]]</f>
        <v>46173</v>
      </c>
      <c r="AB167" s="350">
        <f t="shared" si="83"/>
        <v>1000</v>
      </c>
    </row>
    <row r="168" spans="1:28" ht="15" hidden="1" thickBot="1" x14ac:dyDescent="0.4">
      <c r="A168" t="s">
        <v>1724</v>
      </c>
      <c r="B168" t="str">
        <f>_xlfn.XLOOKUP(Table3[[#This Row],[Cargo Name]],Ledger[Cargo Name],Ledger[SAP Deal Number])</f>
        <v>Unallocated</v>
      </c>
      <c r="C168">
        <v>0</v>
      </c>
      <c r="D168" s="20" t="s">
        <v>127</v>
      </c>
      <c r="E168" s="174">
        <v>46037</v>
      </c>
      <c r="F168" s="10" t="s">
        <v>7</v>
      </c>
      <c r="G168" s="4" t="s">
        <v>128</v>
      </c>
      <c r="H168" s="253">
        <v>-1000</v>
      </c>
      <c r="I168" s="172">
        <v>46142</v>
      </c>
      <c r="J168" s="172">
        <v>46173</v>
      </c>
      <c r="K168" s="212">
        <v>0.4</v>
      </c>
      <c r="L168" s="7">
        <f ca="1">IF(OR(S168="WTI Sprds",S168="Brent Sprds",S168="WTI-Brent",S168="DFL"),INDEX(INDIRECT("'" &amp; S168 &amp; "'!$A$6:$XFD$1048576"),MATCH('PnL26'!$P$1,INDIRECT("'" &amp; S168 &amp; "'!$A$6:$A$1048576"),0),MATCH(EOMONTH(I168,0),INDIRECT("'" &amp; S168 &amp; "'!$A$4:$XFD$4"),0)),INDEX(BBG!$A:$BA,MATCH('PnL26'!$P$1,BBG!$A:$A,0),MATCH($I168,BBG!$A$4:$BA$4,0))-INDEX(BBG!$A:$BA,MATCH('PnL26'!$P$1,BBG!$A:$A,0),MATCH($J168,BBG!$A$4:$BA$4,0)))</f>
        <v>-0.39</v>
      </c>
      <c r="M168" s="9">
        <f t="shared" ref="M168:M169" ca="1" si="93">IFERROR((L168-K168)*H168,"")</f>
        <v>790</v>
      </c>
      <c r="N168">
        <f t="shared" ref="N168:N169" si="94">H168*K168</f>
        <v>-400</v>
      </c>
      <c r="O168" s="14" t="str">
        <f t="shared" ref="O168:O169" si="95">IF(I168=J168,TEXT(I168,"MMM YY"),TEXT(I168,"MMM")&amp;"/"&amp;TEXT(J168,"MMM")&amp;" "&amp;RIGHT(T168,2))</f>
        <v>Apr/May 26</v>
      </c>
      <c r="P168" s="8" t="str">
        <f t="shared" ref="P168:P169" si="96">IF(H168&lt;0,"Sell","Buy")</f>
        <v>Sell</v>
      </c>
      <c r="Q168">
        <f t="shared" ref="Q168:Q169" ca="1" si="97">H168*L168</f>
        <v>390</v>
      </c>
      <c r="R168" t="str">
        <f>VLOOKUP(F168,Control!$B:$C,2,FALSE)</f>
        <v>Futures</v>
      </c>
      <c r="S168" t="str">
        <f>VLOOKUP(F168,Control!$B:$D,3,FALSE)</f>
        <v>Brent Sprds</v>
      </c>
      <c r="T168" s="38">
        <f t="shared" ref="T168:T169" si="98">YEAR(I168)</f>
        <v>2026</v>
      </c>
      <c r="U168" t="str">
        <f t="shared" ref="U168:U169" si="99">IFERROR(IF(H168&gt;0,"Buy","Sell"),"")</f>
        <v>Sell</v>
      </c>
      <c r="V168" t="s">
        <v>96</v>
      </c>
      <c r="W168" t="str">
        <f>_xlfn.XLOOKUP(Table3[[#This Row],[Instrument]],Control!$B$2:$B$19,Control!$E$2:$E$19)</f>
        <v>Brent</v>
      </c>
      <c r="X168" s="14">
        <f>Table3[[#This Row],[Month1]]</f>
        <v>46142</v>
      </c>
      <c r="Y168" s="350">
        <f>Table3[[#This Row],[Quantity]]</f>
        <v>-1000</v>
      </c>
      <c r="Z168" t="str">
        <f>_xlfn.XLOOKUP(Table3[[#This Row],[Instrument]],Control!$B$2:$B$19,Control!$F$2:$F$19)</f>
        <v>Brent</v>
      </c>
      <c r="AA168" s="14">
        <f>Table3[[#This Row],[Month2]]</f>
        <v>46173</v>
      </c>
      <c r="AB168" s="350">
        <f t="shared" si="83"/>
        <v>1000</v>
      </c>
    </row>
    <row r="169" spans="1:28" ht="15" hidden="1" thickBot="1" x14ac:dyDescent="0.4">
      <c r="A169" t="s">
        <v>1724</v>
      </c>
      <c r="B169" t="str">
        <f>_xlfn.XLOOKUP(Table3[[#This Row],[Cargo Name]],Ledger[Cargo Name],Ledger[SAP Deal Number])</f>
        <v>Unallocated</v>
      </c>
      <c r="C169">
        <v>0</v>
      </c>
      <c r="D169" t="s">
        <v>127</v>
      </c>
      <c r="E169" s="174">
        <v>46037</v>
      </c>
      <c r="F169" s="10" t="s">
        <v>3</v>
      </c>
      <c r="G169" s="4" t="s">
        <v>128</v>
      </c>
      <c r="H169" s="253">
        <v>-1000</v>
      </c>
      <c r="I169" s="172">
        <v>46081</v>
      </c>
      <c r="J169" s="172">
        <f>EOMONTH(Table3[[#This Row],[Month1]],1)</f>
        <v>46112</v>
      </c>
      <c r="K169" s="15">
        <f>0.17-0.05</f>
        <v>0.12000000000000001</v>
      </c>
      <c r="L169" s="192">
        <f ca="1">IF(OR(S169="WTI Sprds",S169="Brent Sprds",S169="WTI-Brent",S169="DFL"),INDEX(INDIRECT("'" &amp; S169 &amp; "'!$A$6:$XFD$1048576"),MATCH('PnL26'!$P$1,INDIRECT("'" &amp; S169 &amp; "'!$A$6:$A$1048576"),0),MATCH(EOMONTH(I169,0),INDIRECT("'" &amp; S169 &amp; "'!$A$4:$XFD$4"),0)),INDEX(BBG!$A:$BA,MATCH('PnL26'!$P$1,BBG!$A:$A,0),MATCH($I169,BBG!$A$4:$BA$4,0))-INDEX(BBG!$A:$BA,MATCH('PnL26'!$P$1,BBG!$A:$A,0),MATCH($J169,BBG!$A$4:$BA$4,0)))</f>
        <v>0.1</v>
      </c>
      <c r="M169" s="9">
        <f t="shared" ca="1" si="93"/>
        <v>20.000000000000004</v>
      </c>
      <c r="N169">
        <f t="shared" si="94"/>
        <v>-120.00000000000001</v>
      </c>
      <c r="O169" s="14" t="str">
        <f t="shared" si="95"/>
        <v>Feb/Mar 26</v>
      </c>
      <c r="P169" s="8" t="str">
        <f t="shared" si="96"/>
        <v>Sell</v>
      </c>
      <c r="Q169">
        <f t="shared" ca="1" si="97"/>
        <v>-100</v>
      </c>
      <c r="R169" s="38" t="str">
        <f>VLOOKUP(F169,Control!$B:$C,2,FALSE)</f>
        <v>Futures</v>
      </c>
      <c r="S169" s="38" t="str">
        <f>VLOOKUP(F169,Control!$B:$D,3,FALSE)</f>
        <v>WTI Sprds</v>
      </c>
      <c r="T169" s="38">
        <f t="shared" si="98"/>
        <v>2026</v>
      </c>
      <c r="U169" t="str">
        <f t="shared" si="99"/>
        <v>Sell</v>
      </c>
      <c r="V169" t="s">
        <v>96</v>
      </c>
      <c r="W169" t="str">
        <f>_xlfn.XLOOKUP(Table3[[#This Row],[Instrument]],Control!$B$2:$B$19,Control!$E$2:$E$19)</f>
        <v>WTI</v>
      </c>
      <c r="X169" s="14">
        <f>Table3[[#This Row],[Month1]]</f>
        <v>46081</v>
      </c>
      <c r="Y169" s="350">
        <f>Table3[[#This Row],[Quantity]]</f>
        <v>-1000</v>
      </c>
      <c r="Z169" t="str">
        <f>_xlfn.XLOOKUP(Table3[[#This Row],[Instrument]],Control!$B$2:$B$19,Control!$F$2:$F$19)</f>
        <v>WTI</v>
      </c>
      <c r="AA169" s="14">
        <f>Table3[[#This Row],[Month2]]</f>
        <v>46112</v>
      </c>
      <c r="AB169" s="350">
        <f t="shared" si="83"/>
        <v>1000</v>
      </c>
    </row>
    <row r="170" spans="1:28" ht="15" hidden="1" thickBot="1" x14ac:dyDescent="0.4">
      <c r="A170" t="s">
        <v>1724</v>
      </c>
      <c r="B170" t="str">
        <f>_xlfn.XLOOKUP(Table3[[#This Row],[Cargo Name]],Ledger[Cargo Name],Ledger[SAP Deal Number])</f>
        <v>Unallocated</v>
      </c>
      <c r="C170">
        <v>0</v>
      </c>
      <c r="D170" t="s">
        <v>127</v>
      </c>
      <c r="E170" s="174">
        <v>46037</v>
      </c>
      <c r="F170" s="10" t="s">
        <v>3</v>
      </c>
      <c r="G170" s="4" t="s">
        <v>128</v>
      </c>
      <c r="H170" s="253">
        <v>1000</v>
      </c>
      <c r="I170" s="172">
        <v>46112</v>
      </c>
      <c r="J170" s="172">
        <f>EOMONTH(Table3[[#This Row],[Month1]],1)</f>
        <v>46142</v>
      </c>
      <c r="K170" s="15">
        <v>0.17</v>
      </c>
      <c r="L170" s="192">
        <f ca="1">IF(OR(S170="WTI Sprds",S170="Brent Sprds",S170="WTI-Brent",S170="DFL"),INDEX(INDIRECT("'" &amp; S170 &amp; "'!$A$6:$XFD$1048576"),MATCH('PnL26'!$P$1,INDIRECT("'" &amp; S170 &amp; "'!$A$6:$A$1048576"),0),MATCH(EOMONTH(I170,0),INDIRECT("'" &amp; S170 &amp; "'!$A$4:$XFD$4"),0)),INDEX(BBG!$A:$BA,MATCH('PnL26'!$P$1,BBG!$A:$A,0),MATCH($I170,BBG!$A$4:$BA$4,0))-INDEX(BBG!$A:$BA,MATCH('PnL26'!$P$1,BBG!$A:$A,0),MATCH($J170,BBG!$A$4:$BA$4,0)))</f>
        <v>0.03</v>
      </c>
      <c r="M170" s="9">
        <f t="shared" ref="M170:M171" ca="1" si="100">IFERROR((L170-K170)*H170,"")</f>
        <v>-140</v>
      </c>
      <c r="N170">
        <f t="shared" ref="N170:N171" si="101">H170*K170</f>
        <v>170</v>
      </c>
      <c r="O170" s="14" t="str">
        <f t="shared" ref="O170:O171" si="102">IF(I170=J170,TEXT(I170,"MMM YY"),TEXT(I170,"MMM")&amp;"/"&amp;TEXT(J170,"MMM")&amp;" "&amp;RIGHT(T170,2))</f>
        <v>Mar/Apr 26</v>
      </c>
      <c r="P170" s="8" t="str">
        <f t="shared" ref="P170:P171" si="103">IF(H170&lt;0,"Sell","Buy")</f>
        <v>Buy</v>
      </c>
      <c r="Q170">
        <f t="shared" ref="Q170:Q171" ca="1" si="104">H170*L170</f>
        <v>30</v>
      </c>
      <c r="R170" s="38" t="str">
        <f>VLOOKUP(F170,Control!$B:$C,2,FALSE)</f>
        <v>Futures</v>
      </c>
      <c r="S170" s="38" t="str">
        <f>VLOOKUP(F170,Control!$B:$D,3,FALSE)</f>
        <v>WTI Sprds</v>
      </c>
      <c r="T170" s="38">
        <f t="shared" ref="T170:T171" si="105">YEAR(I170)</f>
        <v>2026</v>
      </c>
      <c r="U170" t="str">
        <f t="shared" ref="U170:U171" si="106">IFERROR(IF(H170&gt;0,"Buy","Sell"),"")</f>
        <v>Buy</v>
      </c>
      <c r="V170" t="s">
        <v>96</v>
      </c>
      <c r="W170" t="str">
        <f>_xlfn.XLOOKUP(Table3[[#This Row],[Instrument]],Control!$B$2:$B$19,Control!$E$2:$E$19)</f>
        <v>WTI</v>
      </c>
      <c r="X170" s="14">
        <f>Table3[[#This Row],[Month1]]</f>
        <v>46112</v>
      </c>
      <c r="Y170" s="350">
        <f>Table3[[#This Row],[Quantity]]</f>
        <v>1000</v>
      </c>
      <c r="Z170" t="str">
        <f>_xlfn.XLOOKUP(Table3[[#This Row],[Instrument]],Control!$B$2:$B$19,Control!$F$2:$F$19)</f>
        <v>WTI</v>
      </c>
      <c r="AA170" s="14">
        <f>Table3[[#This Row],[Month2]]</f>
        <v>46142</v>
      </c>
      <c r="AB170" s="350">
        <f t="shared" si="83"/>
        <v>-1000</v>
      </c>
    </row>
    <row r="171" spans="1:28" ht="15" hidden="1" thickBot="1" x14ac:dyDescent="0.4">
      <c r="A171" t="s">
        <v>1724</v>
      </c>
      <c r="B171" t="str">
        <f>_xlfn.XLOOKUP(Table3[[#This Row],[Cargo Name]],Ledger[Cargo Name],Ledger[SAP Deal Number])</f>
        <v>Unallocated</v>
      </c>
      <c r="C171">
        <v>0</v>
      </c>
      <c r="D171" t="s">
        <v>127</v>
      </c>
      <c r="E171" s="174">
        <v>46037</v>
      </c>
      <c r="F171" s="10" t="s">
        <v>15</v>
      </c>
      <c r="G171" s="4" t="s">
        <v>128</v>
      </c>
      <c r="H171" s="253">
        <v>-2000</v>
      </c>
      <c r="I171" s="173">
        <v>46112</v>
      </c>
      <c r="J171" s="173">
        <v>46112</v>
      </c>
      <c r="K171" s="212">
        <v>0.42</v>
      </c>
      <c r="L171" s="192">
        <f>VLOOKUP($I171,'PnL26'!$E$7:$F$59,2,FALSE)</f>
        <v>11.45</v>
      </c>
      <c r="M171" s="9">
        <f t="shared" si="100"/>
        <v>-22060</v>
      </c>
      <c r="N171">
        <f t="shared" si="101"/>
        <v>-840</v>
      </c>
      <c r="O171" s="14" t="str">
        <f t="shared" si="102"/>
        <v>Mar 26</v>
      </c>
      <c r="P171" s="8" t="str">
        <f t="shared" si="103"/>
        <v>Sell</v>
      </c>
      <c r="Q171">
        <f t="shared" si="104"/>
        <v>-22900</v>
      </c>
      <c r="R171" s="38" t="str">
        <f>VLOOKUP(F171,Control!$B:$C,2,FALSE)</f>
        <v>Swaps</v>
      </c>
      <c r="S171" s="38" t="str">
        <f>VLOOKUP(F171,Control!$B:$D,3,FALSE)</f>
        <v>Dated</v>
      </c>
      <c r="T171" s="38">
        <f t="shared" si="105"/>
        <v>2026</v>
      </c>
      <c r="U171" t="str">
        <f t="shared" si="106"/>
        <v>Sell</v>
      </c>
      <c r="V171" t="s">
        <v>96</v>
      </c>
      <c r="W171" t="e">
        <f>_xlfn.XLOOKUP(Table3[[#This Row],[Instrument]],Control!$B$2:$B$19,Control!$E$2:$E$19)</f>
        <v>#N/A</v>
      </c>
      <c r="X171" s="14">
        <f>Table3[[#This Row],[Month1]]</f>
        <v>46112</v>
      </c>
      <c r="Y171" s="350">
        <f>Table3[[#This Row],[Quantity]]</f>
        <v>-2000</v>
      </c>
      <c r="Z171" t="e">
        <f>_xlfn.XLOOKUP(Table3[[#This Row],[Instrument]],Control!$B$2:$B$19,Control!$F$2:$F$19)</f>
        <v>#N/A</v>
      </c>
      <c r="AA171" s="14">
        <f>Table3[[#This Row],[Month2]]</f>
        <v>46112</v>
      </c>
      <c r="AB171" s="350">
        <f t="shared" si="83"/>
        <v>2000</v>
      </c>
    </row>
    <row r="172" spans="1:28" ht="15" hidden="1" thickBot="1" x14ac:dyDescent="0.4">
      <c r="A172" t="s">
        <v>1724</v>
      </c>
      <c r="B172" t="str">
        <f>_xlfn.XLOOKUP(Table3[[#This Row],[Cargo Name]],Ledger[Cargo Name],Ledger[SAP Deal Number])</f>
        <v>Unallocated</v>
      </c>
      <c r="C172">
        <v>0</v>
      </c>
      <c r="D172" t="s">
        <v>127</v>
      </c>
      <c r="E172" s="174">
        <v>46037</v>
      </c>
      <c r="F172" s="10" t="s">
        <v>15</v>
      </c>
      <c r="G172" s="4" t="s">
        <v>128</v>
      </c>
      <c r="H172" s="253">
        <v>-450</v>
      </c>
      <c r="I172" s="173">
        <v>46112</v>
      </c>
      <c r="J172" s="173">
        <v>46112</v>
      </c>
      <c r="K172" s="212">
        <v>0.42</v>
      </c>
      <c r="L172" s="192">
        <f>VLOOKUP($I172,'PnL26'!$E$7:$F$59,2,FALSE)</f>
        <v>11.45</v>
      </c>
      <c r="M172" s="9">
        <f t="shared" ref="M172:M174" si="107">IFERROR((L172-K172)*H172,"")</f>
        <v>-4963.5</v>
      </c>
      <c r="N172">
        <f t="shared" ref="N172:N174" si="108">H172*K172</f>
        <v>-189</v>
      </c>
      <c r="O172" s="14" t="str">
        <f t="shared" ref="O172:O174" si="109">IF(I172=J172,TEXT(I172,"MMM YY"),TEXT(I172,"MMM")&amp;"/"&amp;TEXT(J172,"MMM")&amp;" "&amp;RIGHT(T172,2))</f>
        <v>Mar 26</v>
      </c>
      <c r="P172" s="8" t="str">
        <f t="shared" ref="P172:P174" si="110">IF(H172&lt;0,"Sell","Buy")</f>
        <v>Sell</v>
      </c>
      <c r="Q172">
        <f t="shared" ref="Q172:Q174" si="111">H172*L172</f>
        <v>-5152.5</v>
      </c>
      <c r="R172" s="38" t="str">
        <f>VLOOKUP(F172,Control!$B:$C,2,FALSE)</f>
        <v>Swaps</v>
      </c>
      <c r="S172" s="38" t="str">
        <f>VLOOKUP(F172,Control!$B:$D,3,FALSE)</f>
        <v>Dated</v>
      </c>
      <c r="T172" s="38">
        <f t="shared" ref="T172:T174" si="112">YEAR(I172)</f>
        <v>2026</v>
      </c>
      <c r="U172" t="str">
        <f t="shared" ref="U172:U174" si="113">IFERROR(IF(H172&gt;0,"Buy","Sell"),"")</f>
        <v>Sell</v>
      </c>
      <c r="V172" t="s">
        <v>96</v>
      </c>
      <c r="W172" t="e">
        <f>_xlfn.XLOOKUP(Table3[[#This Row],[Instrument]],Control!$B$2:$B$19,Control!$E$2:$E$19)</f>
        <v>#N/A</v>
      </c>
      <c r="X172" s="14">
        <f>Table3[[#This Row],[Month1]]</f>
        <v>46112</v>
      </c>
      <c r="Y172" s="350">
        <f>Table3[[#This Row],[Quantity]]</f>
        <v>-450</v>
      </c>
      <c r="Z172" t="e">
        <f>_xlfn.XLOOKUP(Table3[[#This Row],[Instrument]],Control!$B$2:$B$19,Control!$F$2:$F$19)</f>
        <v>#N/A</v>
      </c>
      <c r="AA172" s="14">
        <f>Table3[[#This Row],[Month2]]</f>
        <v>46112</v>
      </c>
      <c r="AB172" s="350">
        <f t="shared" si="83"/>
        <v>450</v>
      </c>
    </row>
    <row r="173" spans="1:28" ht="15" hidden="1" thickBot="1" x14ac:dyDescent="0.4">
      <c r="A173" t="s">
        <v>1724</v>
      </c>
      <c r="B173" t="str">
        <f>_xlfn.XLOOKUP(Table3[[#This Row],[Cargo Name]],Ledger[Cargo Name],Ledger[SAP Deal Number])</f>
        <v>Unallocated</v>
      </c>
      <c r="C173">
        <v>0</v>
      </c>
      <c r="D173" t="s">
        <v>127</v>
      </c>
      <c r="E173" s="174">
        <v>46038</v>
      </c>
      <c r="F173" s="10" t="s">
        <v>3</v>
      </c>
      <c r="G173" s="4" t="s">
        <v>128</v>
      </c>
      <c r="H173" s="253">
        <v>-1965</v>
      </c>
      <c r="I173" s="172">
        <v>46081</v>
      </c>
      <c r="J173" s="172">
        <f>EOMONTH(Table3[[#This Row],[Month1]],1)</f>
        <v>46112</v>
      </c>
      <c r="K173" s="15">
        <v>0.13</v>
      </c>
      <c r="L173" s="192">
        <f ca="1">IF(OR(S173="WTI Sprds",S173="Brent Sprds",S173="WTI-Brent",S173="DFL"),INDEX(INDIRECT("'" &amp; S173 &amp; "'!$A$6:$XFD$1048576"),MATCH('PnL26'!$P$1,INDIRECT("'" &amp; S173 &amp; "'!$A$6:$A$1048576"),0),MATCH(EOMONTH(I173,0),INDIRECT("'" &amp; S173 &amp; "'!$A$4:$XFD$4"),0)),INDEX(BBG!$A:$BA,MATCH('PnL26'!$P$1,BBG!$A:$A,0),MATCH($I173,BBG!$A$4:$BA$4,0))-INDEX(BBG!$A:$BA,MATCH('PnL26'!$P$1,BBG!$A:$A,0),MATCH($J173,BBG!$A$4:$BA$4,0)))</f>
        <v>0.1</v>
      </c>
      <c r="M173" s="9">
        <f t="shared" ca="1" si="107"/>
        <v>58.949999999999996</v>
      </c>
      <c r="N173">
        <f t="shared" si="108"/>
        <v>-255.45000000000002</v>
      </c>
      <c r="O173" s="14" t="str">
        <f t="shared" si="109"/>
        <v>Feb/Mar 26</v>
      </c>
      <c r="P173" s="8" t="str">
        <f t="shared" si="110"/>
        <v>Sell</v>
      </c>
      <c r="Q173">
        <f t="shared" ca="1" si="111"/>
        <v>-196.5</v>
      </c>
      <c r="R173" s="38" t="str">
        <f>VLOOKUP(F173,Control!$B:$C,2,FALSE)</f>
        <v>Futures</v>
      </c>
      <c r="S173" s="38" t="str">
        <f>VLOOKUP(F173,Control!$B:$D,3,FALSE)</f>
        <v>WTI Sprds</v>
      </c>
      <c r="T173" s="38">
        <f t="shared" si="112"/>
        <v>2026</v>
      </c>
      <c r="U173" t="str">
        <f t="shared" si="113"/>
        <v>Sell</v>
      </c>
      <c r="V173" t="s">
        <v>96</v>
      </c>
      <c r="W173" t="str">
        <f>_xlfn.XLOOKUP(Table3[[#This Row],[Instrument]],Control!$B$2:$B$19,Control!$E$2:$E$19)</f>
        <v>WTI</v>
      </c>
      <c r="X173" s="14">
        <f>Table3[[#This Row],[Month1]]</f>
        <v>46081</v>
      </c>
      <c r="Y173" s="350">
        <f>Table3[[#This Row],[Quantity]]</f>
        <v>-1965</v>
      </c>
      <c r="Z173" t="str">
        <f>_xlfn.XLOOKUP(Table3[[#This Row],[Instrument]],Control!$B$2:$B$19,Control!$F$2:$F$19)</f>
        <v>WTI</v>
      </c>
      <c r="AA173" s="14">
        <f>Table3[[#This Row],[Month2]]</f>
        <v>46112</v>
      </c>
      <c r="AB173" s="350">
        <f t="shared" si="83"/>
        <v>1965</v>
      </c>
    </row>
    <row r="174" spans="1:28" ht="15" hidden="1" thickBot="1" x14ac:dyDescent="0.4">
      <c r="A174" t="s">
        <v>1724</v>
      </c>
      <c r="B174" t="str">
        <f>_xlfn.XLOOKUP(Table3[[#This Row],[Cargo Name]],Ledger[Cargo Name],Ledger[SAP Deal Number])</f>
        <v>Unallocated</v>
      </c>
      <c r="C174">
        <v>0</v>
      </c>
      <c r="D174" t="s">
        <v>127</v>
      </c>
      <c r="E174" s="174">
        <v>46038</v>
      </c>
      <c r="F174" s="10" t="s">
        <v>3</v>
      </c>
      <c r="G174" s="4" t="s">
        <v>128</v>
      </c>
      <c r="H174" s="253">
        <v>1965</v>
      </c>
      <c r="I174" s="172">
        <v>46112</v>
      </c>
      <c r="J174" s="172">
        <f>EOMONTH(Table3[[#This Row],[Month1]],1)</f>
        <v>46142</v>
      </c>
      <c r="K174" s="15">
        <v>0.16</v>
      </c>
      <c r="L174" s="192">
        <f ca="1">IF(OR(S174="WTI Sprds",S174="Brent Sprds",S174="WTI-Brent",S174="DFL"),INDEX(INDIRECT("'" &amp; S174 &amp; "'!$A$6:$XFD$1048576"),MATCH('PnL26'!$P$1,INDIRECT("'" &amp; S174 &amp; "'!$A$6:$A$1048576"),0),MATCH(EOMONTH(I174,0),INDIRECT("'" &amp; S174 &amp; "'!$A$4:$XFD$4"),0)),INDEX(BBG!$A:$BA,MATCH('PnL26'!$P$1,BBG!$A:$A,0),MATCH($I174,BBG!$A$4:$BA$4,0))-INDEX(BBG!$A:$BA,MATCH('PnL26'!$P$1,BBG!$A:$A,0),MATCH($J174,BBG!$A$4:$BA$4,0)))</f>
        <v>0.03</v>
      </c>
      <c r="M174" s="9">
        <f t="shared" ca="1" si="107"/>
        <v>-255.45000000000002</v>
      </c>
      <c r="N174">
        <f t="shared" si="108"/>
        <v>314.40000000000003</v>
      </c>
      <c r="O174" s="14" t="str">
        <f t="shared" si="109"/>
        <v>Mar/Apr 26</v>
      </c>
      <c r="P174" s="8" t="str">
        <f t="shared" si="110"/>
        <v>Buy</v>
      </c>
      <c r="Q174">
        <f t="shared" ca="1" si="111"/>
        <v>58.949999999999996</v>
      </c>
      <c r="R174" s="38" t="str">
        <f>VLOOKUP(F174,Control!$B:$C,2,FALSE)</f>
        <v>Futures</v>
      </c>
      <c r="S174" s="38" t="str">
        <f>VLOOKUP(F174,Control!$B:$D,3,FALSE)</f>
        <v>WTI Sprds</v>
      </c>
      <c r="T174" s="38">
        <f t="shared" si="112"/>
        <v>2026</v>
      </c>
      <c r="U174" t="str">
        <f t="shared" si="113"/>
        <v>Buy</v>
      </c>
      <c r="V174" t="s">
        <v>96</v>
      </c>
      <c r="W174" t="str">
        <f>_xlfn.XLOOKUP(Table3[[#This Row],[Instrument]],Control!$B$2:$B$19,Control!$E$2:$E$19)</f>
        <v>WTI</v>
      </c>
      <c r="X174" s="14">
        <f>Table3[[#This Row],[Month1]]</f>
        <v>46112</v>
      </c>
      <c r="Y174" s="350">
        <f>Table3[[#This Row],[Quantity]]</f>
        <v>1965</v>
      </c>
      <c r="Z174" t="str">
        <f>_xlfn.XLOOKUP(Table3[[#This Row],[Instrument]],Control!$B$2:$B$19,Control!$F$2:$F$19)</f>
        <v>WTI</v>
      </c>
      <c r="AA174" s="14">
        <f>Table3[[#This Row],[Month2]]</f>
        <v>46142</v>
      </c>
      <c r="AB174" s="350">
        <f t="shared" si="83"/>
        <v>-1965</v>
      </c>
    </row>
    <row r="175" spans="1:28" ht="15" hidden="1" thickBot="1" x14ac:dyDescent="0.4">
      <c r="A175" t="s">
        <v>1724</v>
      </c>
      <c r="B175" t="str">
        <f>_xlfn.XLOOKUP(Table3[[#This Row],[Cargo Name]],Ledger[Cargo Name],Ledger[SAP Deal Number])</f>
        <v>Unallocated</v>
      </c>
      <c r="C175">
        <v>0</v>
      </c>
      <c r="D175" t="s">
        <v>127</v>
      </c>
      <c r="E175" s="174">
        <v>46042</v>
      </c>
      <c r="F175" s="10" t="s">
        <v>15</v>
      </c>
      <c r="G175" s="4" t="s">
        <v>128</v>
      </c>
      <c r="H175" s="253">
        <v>200</v>
      </c>
      <c r="I175" s="173">
        <v>46112</v>
      </c>
      <c r="J175" s="173">
        <v>46112</v>
      </c>
      <c r="K175" s="212">
        <v>0.5</v>
      </c>
      <c r="L175" s="192">
        <f>VLOOKUP($I175,'PnL26'!$E$7:$F$59,2,FALSE)</f>
        <v>11.45</v>
      </c>
      <c r="M175" s="9">
        <f t="shared" ref="M175:M179" si="114">IFERROR((L175-K175)*H175,"")</f>
        <v>2190</v>
      </c>
      <c r="N175">
        <f t="shared" ref="N175:N179" si="115">H175*K175</f>
        <v>100</v>
      </c>
      <c r="O175" s="14" t="str">
        <f t="shared" ref="O175:O179" si="116">IF(I175=J175,TEXT(I175,"MMM YY"),TEXT(I175,"MMM")&amp;"/"&amp;TEXT(J175,"MMM")&amp;" "&amp;RIGHT(T175,2))</f>
        <v>Mar 26</v>
      </c>
      <c r="P175" s="8" t="str">
        <f t="shared" ref="P175:P179" si="117">IF(H175&lt;0,"Sell","Buy")</f>
        <v>Buy</v>
      </c>
      <c r="Q175">
        <f t="shared" ref="Q175:Q179" si="118">H175*L175</f>
        <v>2290</v>
      </c>
      <c r="R175" s="38" t="str">
        <f>VLOOKUP(F175,Control!$B:$C,2,FALSE)</f>
        <v>Swaps</v>
      </c>
      <c r="S175" s="38" t="str">
        <f>VLOOKUP(F175,Control!$B:$D,3,FALSE)</f>
        <v>Dated</v>
      </c>
      <c r="T175" s="38">
        <f t="shared" ref="T175:T179" si="119">YEAR(I175)</f>
        <v>2026</v>
      </c>
      <c r="U175" t="str">
        <f t="shared" ref="U175:U179" si="120">IFERROR(IF(H175&gt;0,"Buy","Sell"),"")</f>
        <v>Buy</v>
      </c>
      <c r="V175" t="s">
        <v>96</v>
      </c>
      <c r="W175" t="e">
        <f>_xlfn.XLOOKUP(Table3[[#This Row],[Instrument]],Control!$B$2:$B$19,Control!$E$2:$E$19)</f>
        <v>#N/A</v>
      </c>
      <c r="X175" s="14">
        <f>Table3[[#This Row],[Month1]]</f>
        <v>46112</v>
      </c>
      <c r="Y175" s="350">
        <f>Table3[[#This Row],[Quantity]]</f>
        <v>200</v>
      </c>
      <c r="Z175" t="e">
        <f>_xlfn.XLOOKUP(Table3[[#This Row],[Instrument]],Control!$B$2:$B$19,Control!$F$2:$F$19)</f>
        <v>#N/A</v>
      </c>
      <c r="AA175" s="14">
        <f>Table3[[#This Row],[Month2]]</f>
        <v>46112</v>
      </c>
      <c r="AB175" s="350">
        <f t="shared" si="83"/>
        <v>-200</v>
      </c>
    </row>
    <row r="176" spans="1:28" ht="15" hidden="1" thickBot="1" x14ac:dyDescent="0.4">
      <c r="A176" t="s">
        <v>1724</v>
      </c>
      <c r="B176" t="str">
        <f>_xlfn.XLOOKUP(Table3[[#This Row],[Cargo Name]],Ledger[Cargo Name],Ledger[SAP Deal Number])</f>
        <v>Unallocated</v>
      </c>
      <c r="C176">
        <v>0</v>
      </c>
      <c r="D176" t="s">
        <v>127</v>
      </c>
      <c r="E176" s="174">
        <v>46042</v>
      </c>
      <c r="F176" s="10" t="s">
        <v>7</v>
      </c>
      <c r="G176" s="4" t="s">
        <v>128</v>
      </c>
      <c r="H176" s="253">
        <v>500</v>
      </c>
      <c r="I176" s="172">
        <v>46112</v>
      </c>
      <c r="J176" s="172">
        <v>46142</v>
      </c>
      <c r="K176" s="212">
        <v>0.7</v>
      </c>
      <c r="L176" s="7">
        <f ca="1">IF(OR(S176="WTI Sprds",S176="Brent Sprds",S176="WTI-Brent",S176="DFL"),INDEX(INDIRECT("'" &amp; S176 &amp; "'!$A$6:$XFD$1048576"),MATCH('PnL26'!$P$1,INDIRECT("'" &amp; S176 &amp; "'!$A$6:$A$1048576"),0),MATCH(EOMONTH(I176,0),INDIRECT("'" &amp; S176 &amp; "'!$A$4:$XFD$4"),0)),INDEX(BBG!$A:$BA,MATCH('PnL26'!$P$1,BBG!$A:$A,0),MATCH($I176,BBG!$A$4:$BA$4,0))-INDEX(BBG!$A:$BA,MATCH('PnL26'!$P$1,BBG!$A:$A,0),MATCH($J176,BBG!$A$4:$BA$4,0)))</f>
        <v>1.37</v>
      </c>
      <c r="M176" s="9">
        <f t="shared" ca="1" si="114"/>
        <v>335.00000000000006</v>
      </c>
      <c r="N176">
        <f t="shared" si="115"/>
        <v>350</v>
      </c>
      <c r="O176" s="14" t="str">
        <f t="shared" si="116"/>
        <v>Mar/Apr 26</v>
      </c>
      <c r="P176" s="8" t="str">
        <f t="shared" si="117"/>
        <v>Buy</v>
      </c>
      <c r="Q176">
        <f t="shared" ca="1" si="118"/>
        <v>685</v>
      </c>
      <c r="R176" t="str">
        <f>VLOOKUP(F176,Control!$B:$C,2,FALSE)</f>
        <v>Futures</v>
      </c>
      <c r="S176" t="str">
        <f>VLOOKUP(F176,Control!$B:$D,3,FALSE)</f>
        <v>Brent Sprds</v>
      </c>
      <c r="T176" s="38">
        <f t="shared" si="119"/>
        <v>2026</v>
      </c>
      <c r="U176" t="str">
        <f t="shared" si="120"/>
        <v>Buy</v>
      </c>
      <c r="V176" t="s">
        <v>96</v>
      </c>
      <c r="W176" t="str">
        <f>_xlfn.XLOOKUP(Table3[[#This Row],[Instrument]],Control!$B$2:$B$19,Control!$E$2:$E$19)</f>
        <v>Brent</v>
      </c>
      <c r="X176" s="14">
        <f>Table3[[#This Row],[Month1]]</f>
        <v>46112</v>
      </c>
      <c r="Y176" s="350">
        <f>Table3[[#This Row],[Quantity]]</f>
        <v>500</v>
      </c>
      <c r="Z176" t="str">
        <f>_xlfn.XLOOKUP(Table3[[#This Row],[Instrument]],Control!$B$2:$B$19,Control!$F$2:$F$19)</f>
        <v>Brent</v>
      </c>
      <c r="AA176" s="14">
        <f>Table3[[#This Row],[Month2]]</f>
        <v>46142</v>
      </c>
      <c r="AB176" s="350">
        <f t="shared" si="83"/>
        <v>-500</v>
      </c>
    </row>
    <row r="177" spans="1:28" ht="15" hidden="1" thickBot="1" x14ac:dyDescent="0.4">
      <c r="A177" t="s">
        <v>1724</v>
      </c>
      <c r="B177" t="str">
        <f>_xlfn.XLOOKUP(Table3[[#This Row],[Cargo Name]],Ledger[Cargo Name],Ledger[SAP Deal Number])</f>
        <v>Unallocated</v>
      </c>
      <c r="C177">
        <v>0</v>
      </c>
      <c r="D177" t="s">
        <v>127</v>
      </c>
      <c r="E177" s="174">
        <v>46042</v>
      </c>
      <c r="F177" s="10" t="s">
        <v>7</v>
      </c>
      <c r="G177" s="4" t="s">
        <v>128</v>
      </c>
      <c r="H177" s="253">
        <v>-500</v>
      </c>
      <c r="I177" s="172">
        <v>46142</v>
      </c>
      <c r="J177" s="172">
        <v>46173</v>
      </c>
      <c r="K177" s="212">
        <v>0.4</v>
      </c>
      <c r="L177" s="7">
        <f ca="1">IF(OR(S177="WTI Sprds",S177="Brent Sprds",S177="WTI-Brent",S177="DFL"),INDEX(INDIRECT("'" &amp; S177 &amp; "'!$A$6:$XFD$1048576"),MATCH('PnL26'!$P$1,INDIRECT("'" &amp; S177 &amp; "'!$A$6:$A$1048576"),0),MATCH(EOMONTH(I177,0),INDIRECT("'" &amp; S177 &amp; "'!$A$4:$XFD$4"),0)),INDEX(BBG!$A:$BA,MATCH('PnL26'!$P$1,BBG!$A:$A,0),MATCH($I177,BBG!$A$4:$BA$4,0))-INDEX(BBG!$A:$BA,MATCH('PnL26'!$P$1,BBG!$A:$A,0),MATCH($J177,BBG!$A$4:$BA$4,0)))</f>
        <v>-0.39</v>
      </c>
      <c r="M177" s="9">
        <f t="shared" ca="1" si="114"/>
        <v>395</v>
      </c>
      <c r="N177">
        <f t="shared" si="115"/>
        <v>-200</v>
      </c>
      <c r="O177" s="14" t="str">
        <f t="shared" si="116"/>
        <v>Apr/May 26</v>
      </c>
      <c r="P177" s="8" t="str">
        <f t="shared" si="117"/>
        <v>Sell</v>
      </c>
      <c r="Q177">
        <f t="shared" ca="1" si="118"/>
        <v>195</v>
      </c>
      <c r="R177" t="str">
        <f>VLOOKUP(F177,Control!$B:$C,2,FALSE)</f>
        <v>Futures</v>
      </c>
      <c r="S177" t="str">
        <f>VLOOKUP(F177,Control!$B:$D,3,FALSE)</f>
        <v>Brent Sprds</v>
      </c>
      <c r="T177" s="38">
        <f t="shared" si="119"/>
        <v>2026</v>
      </c>
      <c r="U177" t="str">
        <f t="shared" si="120"/>
        <v>Sell</v>
      </c>
      <c r="V177" t="s">
        <v>96</v>
      </c>
      <c r="W177" t="str">
        <f>_xlfn.XLOOKUP(Table3[[#This Row],[Instrument]],Control!$B$2:$B$19,Control!$E$2:$E$19)</f>
        <v>Brent</v>
      </c>
      <c r="X177" s="14">
        <f>Table3[[#This Row],[Month1]]</f>
        <v>46142</v>
      </c>
      <c r="Y177" s="350">
        <f>Table3[[#This Row],[Quantity]]</f>
        <v>-500</v>
      </c>
      <c r="Z177" t="str">
        <f>_xlfn.XLOOKUP(Table3[[#This Row],[Instrument]],Control!$B$2:$B$19,Control!$F$2:$F$19)</f>
        <v>Brent</v>
      </c>
      <c r="AA177" s="14">
        <f>Table3[[#This Row],[Month2]]</f>
        <v>46173</v>
      </c>
      <c r="AB177" s="350">
        <f t="shared" si="83"/>
        <v>500</v>
      </c>
    </row>
    <row r="178" spans="1:28" ht="15" hidden="1" thickBot="1" x14ac:dyDescent="0.4">
      <c r="A178" t="s">
        <v>1724</v>
      </c>
      <c r="B178" t="str">
        <f>_xlfn.XLOOKUP(Table3[[#This Row],[Cargo Name]],Ledger[Cargo Name],Ledger[SAP Deal Number])</f>
        <v>Unallocated</v>
      </c>
      <c r="C178">
        <v>0</v>
      </c>
      <c r="D178" t="s">
        <v>127</v>
      </c>
      <c r="E178" s="174">
        <v>46042</v>
      </c>
      <c r="F178" s="10" t="s">
        <v>3</v>
      </c>
      <c r="G178" s="4" t="s">
        <v>128</v>
      </c>
      <c r="H178" s="253">
        <v>500</v>
      </c>
      <c r="I178" s="172">
        <v>46112</v>
      </c>
      <c r="J178" s="172">
        <f>EOMONTH(Table3[[#This Row],[Month1]],1)</f>
        <v>46142</v>
      </c>
      <c r="K178" s="15">
        <v>0.2</v>
      </c>
      <c r="L178" s="192">
        <f ca="1">IF(OR(S178="WTI Sprds",S178="Brent Sprds",S178="WTI-Brent",S178="DFL"),INDEX(INDIRECT("'" &amp; S178 &amp; "'!$A$6:$XFD$1048576"),MATCH('PnL26'!$P$1,INDIRECT("'" &amp; S178 &amp; "'!$A$6:$A$1048576"),0),MATCH(EOMONTH(I178,0),INDIRECT("'" &amp; S178 &amp; "'!$A$4:$XFD$4"),0)),INDEX(BBG!$A:$BA,MATCH('PnL26'!$P$1,BBG!$A:$A,0),MATCH($I178,BBG!$A$4:$BA$4,0))-INDEX(BBG!$A:$BA,MATCH('PnL26'!$P$1,BBG!$A:$A,0),MATCH($J178,BBG!$A$4:$BA$4,0)))</f>
        <v>0.03</v>
      </c>
      <c r="M178" s="9">
        <f t="shared" ca="1" si="114"/>
        <v>-85</v>
      </c>
      <c r="N178">
        <f t="shared" si="115"/>
        <v>100</v>
      </c>
      <c r="O178" s="14" t="str">
        <f t="shared" si="116"/>
        <v>Mar/Apr 26</v>
      </c>
      <c r="P178" s="8" t="str">
        <f t="shared" si="117"/>
        <v>Buy</v>
      </c>
      <c r="Q178">
        <f t="shared" ca="1" si="118"/>
        <v>15</v>
      </c>
      <c r="R178" s="38" t="str">
        <f>VLOOKUP(F178,Control!$B:$C,2,FALSE)</f>
        <v>Futures</v>
      </c>
      <c r="S178" s="38" t="str">
        <f>VLOOKUP(F178,Control!$B:$D,3,FALSE)</f>
        <v>WTI Sprds</v>
      </c>
      <c r="T178" s="38">
        <f t="shared" si="119"/>
        <v>2026</v>
      </c>
      <c r="U178" t="str">
        <f t="shared" si="120"/>
        <v>Buy</v>
      </c>
      <c r="V178" t="s">
        <v>96</v>
      </c>
      <c r="W178" t="str">
        <f>_xlfn.XLOOKUP(Table3[[#This Row],[Instrument]],Control!$B$2:$B$19,Control!$E$2:$E$19)</f>
        <v>WTI</v>
      </c>
      <c r="X178" s="14">
        <f>Table3[[#This Row],[Month1]]</f>
        <v>46112</v>
      </c>
      <c r="Y178" s="350">
        <f>Table3[[#This Row],[Quantity]]</f>
        <v>500</v>
      </c>
      <c r="Z178" t="str">
        <f>_xlfn.XLOOKUP(Table3[[#This Row],[Instrument]],Control!$B$2:$B$19,Control!$F$2:$F$19)</f>
        <v>WTI</v>
      </c>
      <c r="AA178" s="14">
        <f>Table3[[#This Row],[Month2]]</f>
        <v>46142</v>
      </c>
      <c r="AB178" s="350">
        <f t="shared" si="83"/>
        <v>-500</v>
      </c>
    </row>
    <row r="179" spans="1:28" ht="15" hidden="1" thickBot="1" x14ac:dyDescent="0.4">
      <c r="A179" t="s">
        <v>1724</v>
      </c>
      <c r="B179" t="str">
        <f>_xlfn.XLOOKUP(Table3[[#This Row],[Cargo Name]],Ledger[Cargo Name],Ledger[SAP Deal Number])</f>
        <v>Unallocated</v>
      </c>
      <c r="C179">
        <v>0</v>
      </c>
      <c r="D179" t="s">
        <v>127</v>
      </c>
      <c r="E179" s="174">
        <v>46042</v>
      </c>
      <c r="F179" s="10" t="s">
        <v>3</v>
      </c>
      <c r="G179" s="4" t="s">
        <v>128</v>
      </c>
      <c r="H179" s="253">
        <v>500</v>
      </c>
      <c r="I179" s="172">
        <v>46142</v>
      </c>
      <c r="J179" s="172">
        <f>EOMONTH(Table3[[#This Row],[Month1]],1)</f>
        <v>46173</v>
      </c>
      <c r="K179" s="15">
        <v>0.16</v>
      </c>
      <c r="L179" s="192">
        <f ca="1">IF(OR(S179="WTI Sprds",S179="Brent Sprds",S179="WTI-Brent",S179="DFL"),INDEX(INDIRECT("'" &amp; S179 &amp; "'!$A$6:$XFD$1048576"),MATCH('PnL26'!$P$1,INDIRECT("'" &amp; S179 &amp; "'!$A$6:$A$1048576"),0),MATCH(EOMONTH(I179,0),INDIRECT("'" &amp; S179 &amp; "'!$A$4:$XFD$4"),0)),INDEX(BBG!$A:$BA,MATCH('PnL26'!$P$1,BBG!$A:$A,0),MATCH($I179,BBG!$A$4:$BA$4,0))-INDEX(BBG!$A:$BA,MATCH('PnL26'!$P$1,BBG!$A:$A,0),MATCH($J179,BBG!$A$4:$BA$4,0)))</f>
        <v>0.59</v>
      </c>
      <c r="M179" s="9">
        <f t="shared" ca="1" si="114"/>
        <v>214.99999999999997</v>
      </c>
      <c r="N179">
        <f t="shared" si="115"/>
        <v>80</v>
      </c>
      <c r="O179" s="14" t="str">
        <f t="shared" si="116"/>
        <v>Apr/May 26</v>
      </c>
      <c r="P179" s="8" t="str">
        <f t="shared" si="117"/>
        <v>Buy</v>
      </c>
      <c r="Q179">
        <f t="shared" ca="1" si="118"/>
        <v>295</v>
      </c>
      <c r="R179" s="38" t="str">
        <f>VLOOKUP(F179,Control!$B:$C,2,FALSE)</f>
        <v>Futures</v>
      </c>
      <c r="S179" s="38" t="str">
        <f>VLOOKUP(F179,Control!$B:$D,3,FALSE)</f>
        <v>WTI Sprds</v>
      </c>
      <c r="T179" s="38">
        <f t="shared" si="119"/>
        <v>2026</v>
      </c>
      <c r="U179" t="str">
        <f t="shared" si="120"/>
        <v>Buy</v>
      </c>
      <c r="V179" t="s">
        <v>96</v>
      </c>
      <c r="W179" t="str">
        <f>_xlfn.XLOOKUP(Table3[[#This Row],[Instrument]],Control!$B$2:$B$19,Control!$E$2:$E$19)</f>
        <v>WTI</v>
      </c>
      <c r="X179" s="14">
        <f>Table3[[#This Row],[Month1]]</f>
        <v>46142</v>
      </c>
      <c r="Y179" s="350">
        <f>Table3[[#This Row],[Quantity]]</f>
        <v>500</v>
      </c>
      <c r="Z179" t="str">
        <f>_xlfn.XLOOKUP(Table3[[#This Row],[Instrument]],Control!$B$2:$B$19,Control!$F$2:$F$19)</f>
        <v>WTI</v>
      </c>
      <c r="AA179" s="14">
        <f>Table3[[#This Row],[Month2]]</f>
        <v>46173</v>
      </c>
      <c r="AB179" s="350">
        <f t="shared" si="83"/>
        <v>-500</v>
      </c>
    </row>
    <row r="180" spans="1:28" ht="15" hidden="1" thickBot="1" x14ac:dyDescent="0.4">
      <c r="A180" t="s">
        <v>1724</v>
      </c>
      <c r="B180" t="str">
        <f>_xlfn.XLOOKUP(Table3[[#This Row],[Cargo Name]],Ledger[Cargo Name],Ledger[SAP Deal Number])</f>
        <v>Unallocated</v>
      </c>
      <c r="C180">
        <v>0</v>
      </c>
      <c r="D180" t="s">
        <v>127</v>
      </c>
      <c r="E180" s="174">
        <v>46042</v>
      </c>
      <c r="F180" s="10" t="s">
        <v>7</v>
      </c>
      <c r="G180" s="4" t="s">
        <v>128</v>
      </c>
      <c r="H180" s="253">
        <v>500</v>
      </c>
      <c r="I180" s="172">
        <v>46112</v>
      </c>
      <c r="J180" s="172">
        <v>46142</v>
      </c>
      <c r="K180" s="212">
        <f>+K181+0.198</f>
        <v>0.55800000000000005</v>
      </c>
      <c r="L180" s="7">
        <f ca="1">IF(OR(S180="WTI Sprds",S180="Brent Sprds",S180="WTI-Brent",S180="DFL"),INDEX(INDIRECT("'" &amp; S180 &amp; "'!$A$6:$XFD$1048576"),MATCH('PnL26'!$P$1,INDIRECT("'" &amp; S180 &amp; "'!$A$6:$A$1048576"),0),MATCH(EOMONTH(I180,0),INDIRECT("'" &amp; S180 &amp; "'!$A$4:$XFD$4"),0)),INDEX(BBG!$A:$BA,MATCH('PnL26'!$P$1,BBG!$A:$A,0),MATCH($I180,BBG!$A$4:$BA$4,0))-INDEX(BBG!$A:$BA,MATCH('PnL26'!$P$1,BBG!$A:$A,0),MATCH($J180,BBG!$A$4:$BA$4,0)))</f>
        <v>1.37</v>
      </c>
      <c r="M180" s="9">
        <f t="shared" ref="M180:M183" ca="1" si="121">IFERROR((L180-K180)*H180,"")</f>
        <v>406</v>
      </c>
      <c r="N180">
        <f t="shared" ref="N180:N183" si="122">H180*K180</f>
        <v>279</v>
      </c>
      <c r="O180" s="14" t="str">
        <f t="shared" ref="O180:O182" si="123">IF(I180=J180,TEXT(I180,"MMM YY"),TEXT(I180,"MMM")&amp;"/"&amp;TEXT(J180,"MMM")&amp;" "&amp;RIGHT(T180,2))</f>
        <v>Mar/Apr 26</v>
      </c>
      <c r="P180" s="8" t="str">
        <f t="shared" ref="P180:P183" si="124">IF(H180&lt;0,"Sell","Buy")</f>
        <v>Buy</v>
      </c>
      <c r="Q180">
        <f t="shared" ref="Q180:Q183" ca="1" si="125">H180*L180</f>
        <v>685</v>
      </c>
      <c r="R180" t="str">
        <f>VLOOKUP(F180,Control!$B:$C,2,FALSE)</f>
        <v>Futures</v>
      </c>
      <c r="S180" t="str">
        <f>VLOOKUP(F180,Control!$B:$D,3,FALSE)</f>
        <v>Brent Sprds</v>
      </c>
      <c r="T180" s="38">
        <f t="shared" ref="T180:T182" si="126">YEAR(I180)</f>
        <v>2026</v>
      </c>
      <c r="U180" t="str">
        <f t="shared" ref="U180:U183" si="127">IFERROR(IF(H180&gt;0,"Buy","Sell"),"")</f>
        <v>Buy</v>
      </c>
      <c r="V180" t="s">
        <v>96</v>
      </c>
      <c r="W180" t="str">
        <f>_xlfn.XLOOKUP(Table3[[#This Row],[Instrument]],Control!$B$2:$B$19,Control!$E$2:$E$19)</f>
        <v>Brent</v>
      </c>
      <c r="X180" s="14">
        <f>Table3[[#This Row],[Month1]]</f>
        <v>46112</v>
      </c>
      <c r="Y180" s="350">
        <f>Table3[[#This Row],[Quantity]]</f>
        <v>500</v>
      </c>
      <c r="Z180" t="str">
        <f>_xlfn.XLOOKUP(Table3[[#This Row],[Instrument]],Control!$B$2:$B$19,Control!$F$2:$F$19)</f>
        <v>Brent</v>
      </c>
      <c r="AA180" s="14">
        <f>Table3[[#This Row],[Month2]]</f>
        <v>46142</v>
      </c>
      <c r="AB180" s="350">
        <f t="shared" si="83"/>
        <v>-500</v>
      </c>
    </row>
    <row r="181" spans="1:28" ht="15" hidden="1" thickBot="1" x14ac:dyDescent="0.4">
      <c r="A181" t="s">
        <v>1724</v>
      </c>
      <c r="B181" t="str">
        <f>_xlfn.XLOOKUP(Table3[[#This Row],[Cargo Name]],Ledger[Cargo Name],Ledger[SAP Deal Number])</f>
        <v>Unallocated</v>
      </c>
      <c r="C181">
        <v>0</v>
      </c>
      <c r="D181" t="s">
        <v>127</v>
      </c>
      <c r="E181" s="174">
        <v>46042</v>
      </c>
      <c r="F181" s="10" t="s">
        <v>7</v>
      </c>
      <c r="G181" s="4" t="s">
        <v>128</v>
      </c>
      <c r="H181" s="253">
        <v>-500</v>
      </c>
      <c r="I181" s="172">
        <v>46142</v>
      </c>
      <c r="J181" s="172">
        <v>46173</v>
      </c>
      <c r="K181" s="212">
        <v>0.36</v>
      </c>
      <c r="L181" s="7">
        <f ca="1">IF(OR(S181="WTI Sprds",S181="Brent Sprds",S181="WTI-Brent",S181="DFL"),INDEX(INDIRECT("'" &amp; S181 &amp; "'!$A$6:$XFD$1048576"),MATCH('PnL26'!$P$1,INDIRECT("'" &amp; S181 &amp; "'!$A$6:$A$1048576"),0),MATCH(EOMONTH(I181,0),INDIRECT("'" &amp; S181 &amp; "'!$A$4:$XFD$4"),0)),INDEX(BBG!$A:$BA,MATCH('PnL26'!$P$1,BBG!$A:$A,0),MATCH($I181,BBG!$A$4:$BA$4,0))-INDEX(BBG!$A:$BA,MATCH('PnL26'!$P$1,BBG!$A:$A,0),MATCH($J181,BBG!$A$4:$BA$4,0)))</f>
        <v>-0.39</v>
      </c>
      <c r="M181" s="9">
        <f t="shared" ca="1" si="121"/>
        <v>375</v>
      </c>
      <c r="N181">
        <f t="shared" si="122"/>
        <v>-180</v>
      </c>
      <c r="O181" s="14" t="str">
        <f t="shared" si="123"/>
        <v>Apr/May 26</v>
      </c>
      <c r="P181" s="8" t="str">
        <f t="shared" si="124"/>
        <v>Sell</v>
      </c>
      <c r="Q181">
        <f t="shared" ca="1" si="125"/>
        <v>195</v>
      </c>
      <c r="R181" t="str">
        <f>VLOOKUP(F181,Control!$B:$C,2,FALSE)</f>
        <v>Futures</v>
      </c>
      <c r="S181" t="str">
        <f>VLOOKUP(F181,Control!$B:$D,3,FALSE)</f>
        <v>Brent Sprds</v>
      </c>
      <c r="T181" s="38">
        <f t="shared" si="126"/>
        <v>2026</v>
      </c>
      <c r="U181" t="str">
        <f t="shared" si="127"/>
        <v>Sell</v>
      </c>
      <c r="V181" t="s">
        <v>96</v>
      </c>
      <c r="W181" t="str">
        <f>_xlfn.XLOOKUP(Table3[[#This Row],[Instrument]],Control!$B$2:$B$19,Control!$E$2:$E$19)</f>
        <v>Brent</v>
      </c>
      <c r="X181" s="14">
        <f>Table3[[#This Row],[Month1]]</f>
        <v>46142</v>
      </c>
      <c r="Y181" s="350">
        <f>Table3[[#This Row],[Quantity]]</f>
        <v>-500</v>
      </c>
      <c r="Z181" t="str">
        <f>_xlfn.XLOOKUP(Table3[[#This Row],[Instrument]],Control!$B$2:$B$19,Control!$F$2:$F$19)</f>
        <v>Brent</v>
      </c>
      <c r="AA181" s="14">
        <f>Table3[[#This Row],[Month2]]</f>
        <v>46173</v>
      </c>
      <c r="AB181" s="350">
        <f t="shared" si="83"/>
        <v>500</v>
      </c>
    </row>
    <row r="182" spans="1:28" ht="15" hidden="1" thickBot="1" x14ac:dyDescent="0.4">
      <c r="A182" t="s">
        <v>1724</v>
      </c>
      <c r="B182" t="str">
        <f>_xlfn.XLOOKUP(Table3[[#This Row],[Cargo Name]],Ledger[Cargo Name],Ledger[SAP Deal Number])</f>
        <v>Unallocated</v>
      </c>
      <c r="C182">
        <v>0</v>
      </c>
      <c r="D182" t="s">
        <v>127</v>
      </c>
      <c r="E182" s="174">
        <v>46043</v>
      </c>
      <c r="F182" s="10" t="s">
        <v>3</v>
      </c>
      <c r="G182" s="4" t="s">
        <v>128</v>
      </c>
      <c r="H182" s="253">
        <v>-2000</v>
      </c>
      <c r="I182" s="172">
        <v>46112</v>
      </c>
      <c r="J182" s="172">
        <f>EOMONTH(Table3[[#This Row],[Month1]],1)</f>
        <v>46142</v>
      </c>
      <c r="K182" s="15">
        <v>0.23</v>
      </c>
      <c r="L182" s="192">
        <f ca="1">IF(OR(S182="WTI Sprds",S182="Brent Sprds",S182="WTI-Brent",S182="DFL"),INDEX(INDIRECT("'" &amp; S182 &amp; "'!$A$6:$XFD$1048576"),MATCH('PnL26'!$P$1,INDIRECT("'" &amp; S182 &amp; "'!$A$6:$A$1048576"),0),MATCH(EOMONTH(I182,0),INDIRECT("'" &amp; S182 &amp; "'!$A$4:$XFD$4"),0)),INDEX(BBG!$A:$BA,MATCH('PnL26'!$P$1,BBG!$A:$A,0),MATCH($I182,BBG!$A$4:$BA$4,0))-INDEX(BBG!$A:$BA,MATCH('PnL26'!$P$1,BBG!$A:$A,0),MATCH($J182,BBG!$A$4:$BA$4,0)))</f>
        <v>0.03</v>
      </c>
      <c r="M182" s="9">
        <f t="shared" ca="1" si="121"/>
        <v>400</v>
      </c>
      <c r="N182">
        <f t="shared" si="122"/>
        <v>-460</v>
      </c>
      <c r="O182" s="14" t="str">
        <f t="shared" si="123"/>
        <v>Mar/Apr 26</v>
      </c>
      <c r="P182" s="8" t="str">
        <f t="shared" si="124"/>
        <v>Sell</v>
      </c>
      <c r="Q182">
        <f t="shared" ca="1" si="125"/>
        <v>-60</v>
      </c>
      <c r="R182" s="38" t="str">
        <f>VLOOKUP(F182,Control!$B:$C,2,FALSE)</f>
        <v>Futures</v>
      </c>
      <c r="S182" s="38" t="str">
        <f>VLOOKUP(F182,Control!$B:$D,3,FALSE)</f>
        <v>WTI Sprds</v>
      </c>
      <c r="T182" s="38">
        <f t="shared" si="126"/>
        <v>2026</v>
      </c>
      <c r="U182" t="str">
        <f t="shared" si="127"/>
        <v>Sell</v>
      </c>
      <c r="V182" t="s">
        <v>96</v>
      </c>
      <c r="W182" t="str">
        <f>_xlfn.XLOOKUP(Table3[[#This Row],[Instrument]],Control!$B$2:$B$19,Control!$E$2:$E$19)</f>
        <v>WTI</v>
      </c>
      <c r="X182" s="14">
        <f>Table3[[#This Row],[Month1]]</f>
        <v>46112</v>
      </c>
      <c r="Y182" s="350">
        <f>Table3[[#This Row],[Quantity]]</f>
        <v>-2000</v>
      </c>
      <c r="Z182" t="str">
        <f>_xlfn.XLOOKUP(Table3[[#This Row],[Instrument]],Control!$B$2:$B$19,Control!$F$2:$F$19)</f>
        <v>WTI</v>
      </c>
      <c r="AA182" s="14">
        <f>Table3[[#This Row],[Month2]]</f>
        <v>46142</v>
      </c>
      <c r="AB182" s="350">
        <f t="shared" si="83"/>
        <v>2000</v>
      </c>
    </row>
    <row r="183" spans="1:28" ht="15" hidden="1" thickBot="1" x14ac:dyDescent="0.4">
      <c r="A183" t="s">
        <v>1724</v>
      </c>
      <c r="B183" t="str">
        <f>_xlfn.XLOOKUP(Table3[[#This Row],[Cargo Name]],Ledger[Cargo Name],Ledger[SAP Deal Number])</f>
        <v>Unallocated</v>
      </c>
      <c r="C183">
        <v>0</v>
      </c>
      <c r="D183" s="37" t="s">
        <v>127</v>
      </c>
      <c r="E183" s="16">
        <v>46043</v>
      </c>
      <c r="F183" s="10" t="s">
        <v>22</v>
      </c>
      <c r="G183" s="4" t="s">
        <v>128</v>
      </c>
      <c r="H183" s="253">
        <v>-300</v>
      </c>
      <c r="I183" t="s">
        <v>1725</v>
      </c>
      <c r="J183" s="172">
        <v>46081</v>
      </c>
      <c r="K183" s="15">
        <v>1.32131</v>
      </c>
      <c r="L183" s="191">
        <f>VLOOKUP($I183,'PnL26'!B:C,2,FALSE)</f>
        <v>2.516</v>
      </c>
      <c r="M183" s="9">
        <f t="shared" si="121"/>
        <v>-358.40699999999998</v>
      </c>
      <c r="N183">
        <f t="shared" si="122"/>
        <v>-396.39299999999997</v>
      </c>
      <c r="O183" s="347" t="s">
        <v>98</v>
      </c>
      <c r="P183" s="8" t="str">
        <f t="shared" si="124"/>
        <v>Sell</v>
      </c>
      <c r="Q183">
        <f t="shared" si="125"/>
        <v>-754.8</v>
      </c>
      <c r="R183" s="38" t="str">
        <f>VLOOKUP(F183,Control!$B:$C,2,FALSE)</f>
        <v>Swaps</v>
      </c>
      <c r="S183" s="38" t="str">
        <f>VLOOKUP(F183,Control!$B:$D,3,FALSE)</f>
        <v>Dated</v>
      </c>
      <c r="T183">
        <v>2026</v>
      </c>
      <c r="U183" t="str">
        <f t="shared" si="127"/>
        <v>Sell</v>
      </c>
      <c r="V183" t="s">
        <v>96</v>
      </c>
      <c r="W183" t="e">
        <f>_xlfn.XLOOKUP(Table3[[#This Row],[Instrument]],Control!$B$2:$B$19,Control!$E$2:$E$19)</f>
        <v>#N/A</v>
      </c>
      <c r="X183" s="14" t="str">
        <f>Table3[[#This Row],[Month1]]</f>
        <v>Feb02-Feb06</v>
      </c>
      <c r="Y183" s="350">
        <f>Table3[[#This Row],[Quantity]]</f>
        <v>-300</v>
      </c>
      <c r="Z183" t="e">
        <f>_xlfn.XLOOKUP(Table3[[#This Row],[Instrument]],Control!$B$2:$B$19,Control!$F$2:$F$19)</f>
        <v>#N/A</v>
      </c>
      <c r="AA183" s="14">
        <f>Table3[[#This Row],[Month2]]</f>
        <v>46081</v>
      </c>
      <c r="AB183" s="350">
        <f t="shared" si="83"/>
        <v>300</v>
      </c>
    </row>
    <row r="184" spans="1:28" ht="15" hidden="1" thickBot="1" x14ac:dyDescent="0.4">
      <c r="A184" t="s">
        <v>1724</v>
      </c>
      <c r="B184" t="str">
        <f>_xlfn.XLOOKUP(Table3[[#This Row],[Cargo Name]],Ledger[Cargo Name],Ledger[SAP Deal Number])</f>
        <v>Unallocated</v>
      </c>
      <c r="C184">
        <v>0</v>
      </c>
      <c r="D184" s="37" t="s">
        <v>127</v>
      </c>
      <c r="E184" s="174">
        <v>46043</v>
      </c>
      <c r="F184" s="10" t="s">
        <v>22</v>
      </c>
      <c r="G184" s="4" t="s">
        <v>128</v>
      </c>
      <c r="H184" s="253">
        <v>-300</v>
      </c>
      <c r="I184" s="172" t="s">
        <v>1726</v>
      </c>
      <c r="J184" s="172">
        <f>J183</f>
        <v>46081</v>
      </c>
      <c r="K184" s="15">
        <v>0.80130999999999997</v>
      </c>
      <c r="L184" s="191">
        <f>VLOOKUP($I184,'PnL26'!B:C,2,FALSE)</f>
        <v>2.74</v>
      </c>
      <c r="M184" s="9">
        <f t="shared" ref="M184:M187" si="128">IFERROR((L184-K184)*H184,"")</f>
        <v>-581.60700000000008</v>
      </c>
      <c r="N184">
        <f t="shared" ref="N184:N187" si="129">H184*K184</f>
        <v>-240.393</v>
      </c>
      <c r="O184" s="347" t="s">
        <v>98</v>
      </c>
      <c r="P184" s="8" t="str">
        <f t="shared" ref="P184:P187" si="130">IF(H184&lt;0,"Sell","Buy")</f>
        <v>Sell</v>
      </c>
      <c r="Q184">
        <f t="shared" ref="Q184:Q187" si="131">H184*L184</f>
        <v>-822.00000000000011</v>
      </c>
      <c r="R184" s="38" t="str">
        <f>VLOOKUP(F184,Control!$B:$C,2,FALSE)</f>
        <v>Swaps</v>
      </c>
      <c r="S184" s="38" t="str">
        <f>VLOOKUP(F184,Control!$B:$D,3,FALSE)</f>
        <v>Dated</v>
      </c>
      <c r="T184" s="38">
        <v>2026</v>
      </c>
      <c r="U184" t="str">
        <f t="shared" ref="U184:U187" si="132">IFERROR(IF(H184&gt;0,"Buy","Sell"),"")</f>
        <v>Sell</v>
      </c>
      <c r="V184" t="s">
        <v>96</v>
      </c>
      <c r="W184" t="e">
        <f>_xlfn.XLOOKUP(Table3[[#This Row],[Instrument]],Control!$B$2:$B$19,Control!$E$2:$E$19)</f>
        <v>#N/A</v>
      </c>
      <c r="X184" s="14" t="str">
        <f>Table3[[#This Row],[Month1]]</f>
        <v>Feb09-Feb13</v>
      </c>
      <c r="Y184" s="350">
        <f>Table3[[#This Row],[Quantity]]</f>
        <v>-300</v>
      </c>
      <c r="Z184" t="e">
        <f>_xlfn.XLOOKUP(Table3[[#This Row],[Instrument]],Control!$B$2:$B$19,Control!$F$2:$F$19)</f>
        <v>#N/A</v>
      </c>
      <c r="AA184" s="14">
        <f>Table3[[#This Row],[Month2]]</f>
        <v>46081</v>
      </c>
      <c r="AB184" s="350">
        <f t="shared" si="83"/>
        <v>300</v>
      </c>
    </row>
    <row r="185" spans="1:28" ht="15" hidden="1" thickBot="1" x14ac:dyDescent="0.4">
      <c r="A185" t="s">
        <v>1724</v>
      </c>
      <c r="B185" t="str">
        <f>_xlfn.XLOOKUP(Table3[[#This Row],[Cargo Name]],Ledger[Cargo Name],Ledger[SAP Deal Number])</f>
        <v>Unallocated</v>
      </c>
      <c r="C185">
        <v>0</v>
      </c>
      <c r="D185" t="s">
        <v>127</v>
      </c>
      <c r="E185" s="174">
        <v>46043</v>
      </c>
      <c r="F185" s="10" t="s">
        <v>15</v>
      </c>
      <c r="G185" s="4" t="s">
        <v>128</v>
      </c>
      <c r="H185" s="253">
        <v>-400</v>
      </c>
      <c r="I185" s="173">
        <v>46081</v>
      </c>
      <c r="J185" s="173">
        <v>46081</v>
      </c>
      <c r="K185" s="212">
        <v>0.84</v>
      </c>
      <c r="L185" s="192">
        <f>VLOOKUP($I185,'PnL26'!$E$7:$F$59,2,FALSE)</f>
        <v>1.76</v>
      </c>
      <c r="M185" s="9">
        <f t="shared" si="128"/>
        <v>-368</v>
      </c>
      <c r="N185">
        <f t="shared" si="129"/>
        <v>-336</v>
      </c>
      <c r="O185" s="14" t="str">
        <f t="shared" ref="O185:O186" si="133">IF(I185=J185,TEXT(I185,"MMM YY"),TEXT(I185,"MMM")&amp;"/"&amp;TEXT(J185,"MMM")&amp;" "&amp;RIGHT(T185,2))</f>
        <v>Feb 26</v>
      </c>
      <c r="P185" s="8" t="str">
        <f t="shared" si="130"/>
        <v>Sell</v>
      </c>
      <c r="Q185">
        <f t="shared" si="131"/>
        <v>-704</v>
      </c>
      <c r="R185" s="38" t="str">
        <f>VLOOKUP(F185,Control!$B:$C,2,FALSE)</f>
        <v>Swaps</v>
      </c>
      <c r="S185" s="38" t="str">
        <f>VLOOKUP(F185,Control!$B:$D,3,FALSE)</f>
        <v>Dated</v>
      </c>
      <c r="T185" s="38">
        <f t="shared" ref="T185:T186" si="134">YEAR(I185)</f>
        <v>2026</v>
      </c>
      <c r="U185" t="str">
        <f t="shared" si="132"/>
        <v>Sell</v>
      </c>
      <c r="V185" t="s">
        <v>96</v>
      </c>
      <c r="W185" t="e">
        <f>_xlfn.XLOOKUP(Table3[[#This Row],[Instrument]],Control!$B$2:$B$19,Control!$E$2:$E$19)</f>
        <v>#N/A</v>
      </c>
      <c r="X185" s="14">
        <f>Table3[[#This Row],[Month1]]</f>
        <v>46081</v>
      </c>
      <c r="Y185" s="350">
        <f>Table3[[#This Row],[Quantity]]</f>
        <v>-400</v>
      </c>
      <c r="Z185" t="e">
        <f>_xlfn.XLOOKUP(Table3[[#This Row],[Instrument]],Control!$B$2:$B$19,Control!$F$2:$F$19)</f>
        <v>#N/A</v>
      </c>
      <c r="AA185" s="14">
        <f>Table3[[#This Row],[Month2]]</f>
        <v>46081</v>
      </c>
      <c r="AB185" s="350">
        <f t="shared" si="83"/>
        <v>400</v>
      </c>
    </row>
    <row r="186" spans="1:28" ht="15" hidden="1" thickBot="1" x14ac:dyDescent="0.4">
      <c r="A186" t="s">
        <v>1724</v>
      </c>
      <c r="B186" t="str">
        <f>_xlfn.XLOOKUP(Table3[[#This Row],[Cargo Name]],Ledger[Cargo Name],Ledger[SAP Deal Number])</f>
        <v>Unallocated</v>
      </c>
      <c r="C186">
        <v>0</v>
      </c>
      <c r="D186" s="20" t="s">
        <v>127</v>
      </c>
      <c r="E186" s="174">
        <v>46044</v>
      </c>
      <c r="F186" s="10" t="s">
        <v>3</v>
      </c>
      <c r="G186" s="4" t="s">
        <v>128</v>
      </c>
      <c r="H186" s="253">
        <v>-2564</v>
      </c>
      <c r="I186" s="172">
        <v>46112</v>
      </c>
      <c r="J186" s="172">
        <f>EOMONTH(Table3[[#This Row],[Month1]],1)</f>
        <v>46142</v>
      </c>
      <c r="K186" s="15">
        <v>0.19220000000000001</v>
      </c>
      <c r="L186" s="192">
        <f ca="1">IF(OR(S186="WTI Sprds",S186="Brent Sprds",S186="WTI-Brent",S186="DFL"),INDEX(INDIRECT("'" &amp; S186 &amp; "'!$A$6:$XFD$1048576"),MATCH('PnL26'!$P$1,INDIRECT("'" &amp; S186 &amp; "'!$A$6:$A$1048576"),0),MATCH(EOMONTH(I186,0),INDIRECT("'" &amp; S186 &amp; "'!$A$4:$XFD$4"),0)),INDEX(BBG!$A:$BA,MATCH('PnL26'!$P$1,BBG!$A:$A,0),MATCH($I186,BBG!$A$4:$BA$4,0))-INDEX(BBG!$A:$BA,MATCH('PnL26'!$P$1,BBG!$A:$A,0),MATCH($J186,BBG!$A$4:$BA$4,0)))</f>
        <v>0.03</v>
      </c>
      <c r="M186" s="9">
        <f t="shared" ca="1" si="128"/>
        <v>415.88080000000002</v>
      </c>
      <c r="N186">
        <f t="shared" si="129"/>
        <v>-492.80080000000004</v>
      </c>
      <c r="O186" s="14" t="str">
        <f t="shared" si="133"/>
        <v>Mar/Apr 26</v>
      </c>
      <c r="P186" s="8" t="str">
        <f t="shared" si="130"/>
        <v>Sell</v>
      </c>
      <c r="Q186">
        <f t="shared" ca="1" si="131"/>
        <v>-76.92</v>
      </c>
      <c r="R186" s="38" t="str">
        <f>VLOOKUP(F186,Control!$B:$C,2,FALSE)</f>
        <v>Futures</v>
      </c>
      <c r="S186" s="38" t="str">
        <f>VLOOKUP(F186,Control!$B:$D,3,FALSE)</f>
        <v>WTI Sprds</v>
      </c>
      <c r="T186" s="38">
        <f t="shared" si="134"/>
        <v>2026</v>
      </c>
      <c r="U186" t="str">
        <f t="shared" si="132"/>
        <v>Sell</v>
      </c>
      <c r="V186" t="s">
        <v>96</v>
      </c>
      <c r="W186" t="str">
        <f>_xlfn.XLOOKUP(Table3[[#This Row],[Instrument]],Control!$B$2:$B$19,Control!$E$2:$E$19)</f>
        <v>WTI</v>
      </c>
      <c r="X186" s="14">
        <f>Table3[[#This Row],[Month1]]</f>
        <v>46112</v>
      </c>
      <c r="Y186" s="350">
        <f>Table3[[#This Row],[Quantity]]</f>
        <v>-2564</v>
      </c>
      <c r="Z186" t="str">
        <f>_xlfn.XLOOKUP(Table3[[#This Row],[Instrument]],Control!$B$2:$B$19,Control!$F$2:$F$19)</f>
        <v>WTI</v>
      </c>
      <c r="AA186" s="14">
        <f>Table3[[#This Row],[Month2]]</f>
        <v>46142</v>
      </c>
      <c r="AB186" s="350">
        <f t="shared" si="83"/>
        <v>2564</v>
      </c>
    </row>
    <row r="187" spans="1:28" ht="15" hidden="1" thickBot="1" x14ac:dyDescent="0.4">
      <c r="A187" t="s">
        <v>1724</v>
      </c>
      <c r="B187" t="str">
        <f>_xlfn.XLOOKUP(Table3[[#This Row],[Cargo Name]],Ledger[Cargo Name],Ledger[SAP Deal Number])</f>
        <v>Unallocated</v>
      </c>
      <c r="C187">
        <v>0</v>
      </c>
      <c r="D187" s="37" t="s">
        <v>127</v>
      </c>
      <c r="E187" s="174">
        <v>46045</v>
      </c>
      <c r="F187" s="10" t="s">
        <v>22</v>
      </c>
      <c r="G187" s="4" t="s">
        <v>128</v>
      </c>
      <c r="H187" s="253">
        <v>300</v>
      </c>
      <c r="I187" s="172" t="s">
        <v>1725</v>
      </c>
      <c r="J187" s="172">
        <v>46081</v>
      </c>
      <c r="K187" s="15">
        <v>2.14</v>
      </c>
      <c r="L187" s="191">
        <f>VLOOKUP($I187,'PnL26'!B:C,2,FALSE)</f>
        <v>2.516</v>
      </c>
      <c r="M187" s="9">
        <f t="shared" si="128"/>
        <v>112.79999999999997</v>
      </c>
      <c r="N187">
        <f t="shared" si="129"/>
        <v>642</v>
      </c>
      <c r="O187" s="347" t="s">
        <v>98</v>
      </c>
      <c r="P187" s="8" t="str">
        <f t="shared" si="130"/>
        <v>Buy</v>
      </c>
      <c r="Q187">
        <f t="shared" si="131"/>
        <v>754.8</v>
      </c>
      <c r="R187" s="38" t="str">
        <f>VLOOKUP(F187,Control!$B:$C,2,FALSE)</f>
        <v>Swaps</v>
      </c>
      <c r="S187" s="38" t="str">
        <f>VLOOKUP(F187,Control!$B:$D,3,FALSE)</f>
        <v>Dated</v>
      </c>
      <c r="T187" s="38">
        <v>2026</v>
      </c>
      <c r="U187" t="str">
        <f t="shared" si="132"/>
        <v>Buy</v>
      </c>
      <c r="V187" t="s">
        <v>96</v>
      </c>
      <c r="W187" t="e">
        <f>_xlfn.XLOOKUP(Table3[[#This Row],[Instrument]],Control!$B$2:$B$19,Control!$E$2:$E$19)</f>
        <v>#N/A</v>
      </c>
      <c r="X187" s="14" t="str">
        <f>Table3[[#This Row],[Month1]]</f>
        <v>Feb02-Feb06</v>
      </c>
      <c r="Y187" s="350">
        <f>Table3[[#This Row],[Quantity]]</f>
        <v>300</v>
      </c>
      <c r="Z187" t="e">
        <f>_xlfn.XLOOKUP(Table3[[#This Row],[Instrument]],Control!$B$2:$B$19,Control!$F$2:$F$19)</f>
        <v>#N/A</v>
      </c>
      <c r="AA187" s="14">
        <f>Table3[[#This Row],[Month2]]</f>
        <v>46081</v>
      </c>
      <c r="AB187" s="350">
        <f t="shared" si="83"/>
        <v>-300</v>
      </c>
    </row>
    <row r="188" spans="1:28" ht="15" hidden="1" thickBot="1" x14ac:dyDescent="0.4">
      <c r="A188" t="s">
        <v>1724</v>
      </c>
      <c r="B188" t="str">
        <f>_xlfn.XLOOKUP(Table3[[#This Row],[Cargo Name]],Ledger[Cargo Name],Ledger[SAP Deal Number])</f>
        <v>Unallocated</v>
      </c>
      <c r="C188">
        <v>0</v>
      </c>
      <c r="D188" s="37" t="s">
        <v>127</v>
      </c>
      <c r="E188" s="174">
        <v>46045</v>
      </c>
      <c r="F188" s="10" t="s">
        <v>22</v>
      </c>
      <c r="G188" s="4" t="s">
        <v>128</v>
      </c>
      <c r="H188" s="253">
        <v>-300</v>
      </c>
      <c r="I188" s="172" t="s">
        <v>1726</v>
      </c>
      <c r="J188" s="172">
        <f>J187</f>
        <v>46081</v>
      </c>
      <c r="K188" s="15">
        <f>+K187-0.7026</f>
        <v>1.4374000000000002</v>
      </c>
      <c r="L188" s="191">
        <f>VLOOKUP($I188,'PnL26'!B:C,2,FALSE)</f>
        <v>2.74</v>
      </c>
      <c r="M188" s="9">
        <f t="shared" ref="M188:M189" si="135">IFERROR((L188-K188)*H188,"")</f>
        <v>-390.78</v>
      </c>
      <c r="N188">
        <f t="shared" ref="N188:N189" si="136">H188*K188</f>
        <v>-431.22000000000008</v>
      </c>
      <c r="O188" s="347" t="s">
        <v>98</v>
      </c>
      <c r="P188" s="8" t="str">
        <f t="shared" ref="P188:P189" si="137">IF(H188&lt;0,"Sell","Buy")</f>
        <v>Sell</v>
      </c>
      <c r="Q188">
        <f t="shared" ref="Q188:Q189" si="138">H188*L188</f>
        <v>-822.00000000000011</v>
      </c>
      <c r="R188" s="38" t="str">
        <f>VLOOKUP(F188,Control!$B:$C,2,FALSE)</f>
        <v>Swaps</v>
      </c>
      <c r="S188" s="38" t="str">
        <f>VLOOKUP(F188,Control!$B:$D,3,FALSE)</f>
        <v>Dated</v>
      </c>
      <c r="T188" s="38">
        <v>2026</v>
      </c>
      <c r="U188" t="str">
        <f t="shared" ref="U188:U189" si="139">IFERROR(IF(H188&gt;0,"Buy","Sell"),"")</f>
        <v>Sell</v>
      </c>
      <c r="V188" t="s">
        <v>96</v>
      </c>
      <c r="W188" t="e">
        <f>_xlfn.XLOOKUP(Table3[[#This Row],[Instrument]],Control!$B$2:$B$19,Control!$E$2:$E$19)</f>
        <v>#N/A</v>
      </c>
      <c r="X188" s="14" t="str">
        <f>Table3[[#This Row],[Month1]]</f>
        <v>Feb09-Feb13</v>
      </c>
      <c r="Y188" s="350">
        <f>Table3[[#This Row],[Quantity]]</f>
        <v>-300</v>
      </c>
      <c r="Z188" t="e">
        <f>_xlfn.XLOOKUP(Table3[[#This Row],[Instrument]],Control!$B$2:$B$19,Control!$F$2:$F$19)</f>
        <v>#N/A</v>
      </c>
      <c r="AA188" s="14">
        <f>Table3[[#This Row],[Month2]]</f>
        <v>46081</v>
      </c>
      <c r="AB188" s="350">
        <f t="shared" si="83"/>
        <v>300</v>
      </c>
    </row>
    <row r="189" spans="1:28" ht="15" hidden="1" thickBot="1" x14ac:dyDescent="0.4">
      <c r="A189" t="s">
        <v>1724</v>
      </c>
      <c r="B189" t="str">
        <f>_xlfn.XLOOKUP(Table3[[#This Row],[Cargo Name]],Ledger[Cargo Name],Ledger[SAP Deal Number])</f>
        <v>Unallocated</v>
      </c>
      <c r="C189">
        <v>0</v>
      </c>
      <c r="D189" s="37" t="s">
        <v>127</v>
      </c>
      <c r="E189" s="174">
        <v>46045</v>
      </c>
      <c r="F189" s="10" t="s">
        <v>22</v>
      </c>
      <c r="G189" s="4" t="s">
        <v>128</v>
      </c>
      <c r="H189" s="253">
        <v>1000</v>
      </c>
      <c r="I189" s="172" t="s">
        <v>1725</v>
      </c>
      <c r="J189" s="172">
        <v>46081</v>
      </c>
      <c r="K189" s="15">
        <v>2.1</v>
      </c>
      <c r="L189" s="191">
        <f>VLOOKUP($I189,'PnL26'!B:C,2,FALSE)</f>
        <v>2.516</v>
      </c>
      <c r="M189" s="9">
        <f t="shared" si="135"/>
        <v>415.99999999999994</v>
      </c>
      <c r="N189">
        <f t="shared" si="136"/>
        <v>2100</v>
      </c>
      <c r="O189" s="347" t="s">
        <v>98</v>
      </c>
      <c r="P189" s="8" t="str">
        <f t="shared" si="137"/>
        <v>Buy</v>
      </c>
      <c r="Q189">
        <f t="shared" si="138"/>
        <v>2516</v>
      </c>
      <c r="R189" s="38" t="str">
        <f>VLOOKUP(F189,Control!$B:$C,2,FALSE)</f>
        <v>Swaps</v>
      </c>
      <c r="S189" s="38" t="str">
        <f>VLOOKUP(F189,Control!$B:$D,3,FALSE)</f>
        <v>Dated</v>
      </c>
      <c r="T189" s="38">
        <v>2026</v>
      </c>
      <c r="U189" t="str">
        <f t="shared" si="139"/>
        <v>Buy</v>
      </c>
      <c r="V189" t="s">
        <v>96</v>
      </c>
      <c r="W189" t="e">
        <f>_xlfn.XLOOKUP(Table3[[#This Row],[Instrument]],Control!$B$2:$B$19,Control!$E$2:$E$19)</f>
        <v>#N/A</v>
      </c>
      <c r="X189" s="14" t="str">
        <f>Table3[[#This Row],[Month1]]</f>
        <v>Feb02-Feb06</v>
      </c>
      <c r="Y189" s="350">
        <f>Table3[[#This Row],[Quantity]]</f>
        <v>1000</v>
      </c>
      <c r="Z189" t="e">
        <f>_xlfn.XLOOKUP(Table3[[#This Row],[Instrument]],Control!$B$2:$B$19,Control!$F$2:$F$19)</f>
        <v>#N/A</v>
      </c>
      <c r="AA189" s="14">
        <f>Table3[[#This Row],[Month2]]</f>
        <v>46081</v>
      </c>
      <c r="AB189" s="350">
        <f t="shared" si="83"/>
        <v>-1000</v>
      </c>
    </row>
    <row r="190" spans="1:28" ht="15" hidden="1" thickBot="1" x14ac:dyDescent="0.4">
      <c r="A190" t="s">
        <v>1724</v>
      </c>
      <c r="B190" t="str">
        <f>_xlfn.XLOOKUP(Table3[[#This Row],[Cargo Name]],Ledger[Cargo Name],Ledger[SAP Deal Number])</f>
        <v>Unallocated</v>
      </c>
      <c r="C190">
        <v>0</v>
      </c>
      <c r="D190" s="37" t="s">
        <v>127</v>
      </c>
      <c r="E190" s="174">
        <v>46045</v>
      </c>
      <c r="F190" s="10" t="s">
        <v>22</v>
      </c>
      <c r="G190" s="4" t="s">
        <v>128</v>
      </c>
      <c r="H190" s="253">
        <v>-1000</v>
      </c>
      <c r="I190" s="172" t="s">
        <v>1726</v>
      </c>
      <c r="J190" s="172">
        <f>J189</f>
        <v>46081</v>
      </c>
      <c r="K190" s="15">
        <f>+K189-0.74</f>
        <v>1.36</v>
      </c>
      <c r="L190" s="191">
        <f>VLOOKUP($I190,'PnL26'!B:C,2,FALSE)</f>
        <v>2.74</v>
      </c>
      <c r="M190" s="9">
        <f t="shared" ref="M190:M194" si="140">IFERROR((L190-K190)*H190,"")</f>
        <v>-1380.0000000000002</v>
      </c>
      <c r="N190">
        <f t="shared" ref="N190:N194" si="141">H190*K190</f>
        <v>-1360</v>
      </c>
      <c r="O190" s="347" t="s">
        <v>98</v>
      </c>
      <c r="P190" s="8" t="str">
        <f t="shared" ref="P190:P194" si="142">IF(H190&lt;0,"Sell","Buy")</f>
        <v>Sell</v>
      </c>
      <c r="Q190">
        <f t="shared" ref="Q190:Q194" si="143">H190*L190</f>
        <v>-2740</v>
      </c>
      <c r="R190" s="38" t="str">
        <f>VLOOKUP(F190,Control!$B:$C,2,FALSE)</f>
        <v>Swaps</v>
      </c>
      <c r="S190" s="38" t="str">
        <f>VLOOKUP(F190,Control!$B:$D,3,FALSE)</f>
        <v>Dated</v>
      </c>
      <c r="T190" s="38">
        <v>2026</v>
      </c>
      <c r="U190" t="str">
        <f t="shared" ref="U190:U194" si="144">IFERROR(IF(H190&gt;0,"Buy","Sell"),"")</f>
        <v>Sell</v>
      </c>
      <c r="V190" t="s">
        <v>96</v>
      </c>
      <c r="W190" t="e">
        <f>_xlfn.XLOOKUP(Table3[[#This Row],[Instrument]],Control!$B$2:$B$19,Control!$E$2:$E$19)</f>
        <v>#N/A</v>
      </c>
      <c r="X190" s="14" t="str">
        <f>Table3[[#This Row],[Month1]]</f>
        <v>Feb09-Feb13</v>
      </c>
      <c r="Y190" s="350">
        <f>Table3[[#This Row],[Quantity]]</f>
        <v>-1000</v>
      </c>
      <c r="Z190" t="e">
        <f>_xlfn.XLOOKUP(Table3[[#This Row],[Instrument]],Control!$B$2:$B$19,Control!$F$2:$F$19)</f>
        <v>#N/A</v>
      </c>
      <c r="AA190" s="14">
        <f>Table3[[#This Row],[Month2]]</f>
        <v>46081</v>
      </c>
      <c r="AB190" s="350">
        <f t="shared" si="83"/>
        <v>1000</v>
      </c>
    </row>
    <row r="191" spans="1:28" ht="15" hidden="1" thickBot="1" x14ac:dyDescent="0.4">
      <c r="A191" t="s">
        <v>1724</v>
      </c>
      <c r="B191" t="str">
        <f>_xlfn.XLOOKUP(Table3[[#This Row],[Cargo Name]],Ledger[Cargo Name],Ledger[SAP Deal Number])</f>
        <v>Unallocated</v>
      </c>
      <c r="C191">
        <v>0</v>
      </c>
      <c r="D191" t="s">
        <v>127</v>
      </c>
      <c r="E191" s="174">
        <v>46045</v>
      </c>
      <c r="F191" s="10" t="s">
        <v>15</v>
      </c>
      <c r="G191" s="4" t="s">
        <v>128</v>
      </c>
      <c r="H191" s="253">
        <v>205</v>
      </c>
      <c r="I191" s="173">
        <v>46081</v>
      </c>
      <c r="J191" s="173">
        <v>46081</v>
      </c>
      <c r="K191" s="212">
        <v>1.2490000000000001</v>
      </c>
      <c r="L191" s="192">
        <f>VLOOKUP($I191,'PnL26'!$E$7:$F$59,2,FALSE)</f>
        <v>1.76</v>
      </c>
      <c r="M191" s="9">
        <f t="shared" si="140"/>
        <v>104.75499999999998</v>
      </c>
      <c r="N191">
        <f t="shared" si="141"/>
        <v>256.04500000000002</v>
      </c>
      <c r="O191" s="14" t="str">
        <f t="shared" ref="O191:O194" si="145">IF(I191=J191,TEXT(I191,"MMM YY"),TEXT(I191,"MMM")&amp;"/"&amp;TEXT(J191,"MMM")&amp;" "&amp;RIGHT(T191,2))</f>
        <v>Feb 26</v>
      </c>
      <c r="P191" s="8" t="str">
        <f t="shared" si="142"/>
        <v>Buy</v>
      </c>
      <c r="Q191">
        <f t="shared" si="143"/>
        <v>360.8</v>
      </c>
      <c r="R191" s="38" t="str">
        <f>VLOOKUP(F191,Control!$B:$C,2,FALSE)</f>
        <v>Swaps</v>
      </c>
      <c r="S191" s="38" t="str">
        <f>VLOOKUP(F191,Control!$B:$D,3,FALSE)</f>
        <v>Dated</v>
      </c>
      <c r="T191" s="38">
        <f t="shared" ref="T191:T194" si="146">YEAR(I191)</f>
        <v>2026</v>
      </c>
      <c r="U191" t="str">
        <f t="shared" si="144"/>
        <v>Buy</v>
      </c>
      <c r="V191" t="s">
        <v>96</v>
      </c>
      <c r="W191" t="e">
        <f>_xlfn.XLOOKUP(Table3[[#This Row],[Instrument]],Control!$B$2:$B$19,Control!$E$2:$E$19)</f>
        <v>#N/A</v>
      </c>
      <c r="X191" s="14">
        <f>Table3[[#This Row],[Month1]]</f>
        <v>46081</v>
      </c>
      <c r="Y191" s="350">
        <f>Table3[[#This Row],[Quantity]]</f>
        <v>205</v>
      </c>
      <c r="Z191" t="e">
        <f>_xlfn.XLOOKUP(Table3[[#This Row],[Instrument]],Control!$B$2:$B$19,Control!$F$2:$F$19)</f>
        <v>#N/A</v>
      </c>
      <c r="AA191" s="14">
        <f>Table3[[#This Row],[Month2]]</f>
        <v>46081</v>
      </c>
      <c r="AB191" s="350">
        <f t="shared" si="83"/>
        <v>-205</v>
      </c>
    </row>
    <row r="192" spans="1:28" ht="15" hidden="1" thickBot="1" x14ac:dyDescent="0.4">
      <c r="A192" t="s">
        <v>1724</v>
      </c>
      <c r="B192" t="str">
        <f>_xlfn.XLOOKUP(Table3[[#This Row],[Cargo Name]],Ledger[Cargo Name],Ledger[SAP Deal Number])</f>
        <v>Unallocated</v>
      </c>
      <c r="C192">
        <v>0</v>
      </c>
      <c r="D192" t="s">
        <v>127</v>
      </c>
      <c r="E192" s="174">
        <v>46045</v>
      </c>
      <c r="F192" s="10" t="s">
        <v>10</v>
      </c>
      <c r="G192" s="4" t="s">
        <v>128</v>
      </c>
      <c r="H192" s="253">
        <v>-500</v>
      </c>
      <c r="I192" s="172">
        <v>46142</v>
      </c>
      <c r="J192" s="172">
        <v>46142</v>
      </c>
      <c r="K192" s="15">
        <v>-4.25</v>
      </c>
      <c r="L192" s="192">
        <f ca="1">IF(OR(S192="WTI Sprds",S192="Brent Sprds",S192="WTI-Brent",S192="DFL"),INDEX(INDIRECT("'" &amp; S192 &amp; "'!$A$6:$XFD$1048576"),MATCH('PnL26'!$P$1,INDIRECT("'" &amp; S192 &amp; "'!$A$6:$A$1048576"),0),MATCH(EOMONTH(I192,0),INDIRECT("'" &amp; S192 &amp; "'!$A$4:$XFD$4"),0)),INDEX(BBG!$A:$BA,MATCH('PnL26'!$P$1,BBG!$A:$A,0),MATCH($I192,BBG!$A$4:$BA$4,0))-INDEX(BBG!$A:$BA,MATCH('PnL26'!$P$1,BBG!$A:$A,0),MATCH($J192,BBG!$A$4:$BA$4,0)))</f>
        <v>-5.46</v>
      </c>
      <c r="M192" s="9">
        <f t="shared" ca="1" si="140"/>
        <v>605</v>
      </c>
      <c r="N192">
        <f t="shared" si="141"/>
        <v>2125</v>
      </c>
      <c r="O192" s="14" t="str">
        <f t="shared" si="145"/>
        <v>Apr 26</v>
      </c>
      <c r="P192" s="8" t="str">
        <f t="shared" si="142"/>
        <v>Sell</v>
      </c>
      <c r="Q192">
        <f t="shared" ca="1" si="143"/>
        <v>2730</v>
      </c>
      <c r="R192" s="38" t="str">
        <f>VLOOKUP(F192,Control!$B:$C,2,FALSE)</f>
        <v>Swaps</v>
      </c>
      <c r="S192" s="38" t="str">
        <f>VLOOKUP(F192,Control!$B:$D,3,FALSE)</f>
        <v>WTI-Brent</v>
      </c>
      <c r="T192" s="38">
        <f t="shared" si="146"/>
        <v>2026</v>
      </c>
      <c r="U192" t="str">
        <f t="shared" si="144"/>
        <v>Sell</v>
      </c>
      <c r="V192" t="s">
        <v>96</v>
      </c>
      <c r="W192" t="str">
        <f>_xlfn.XLOOKUP(Table3[[#This Row],[Instrument]],Control!$B$2:$B$19,Control!$E$2:$E$19)</f>
        <v>WTI</v>
      </c>
      <c r="X192" s="14">
        <f>Table3[[#This Row],[Month1]]</f>
        <v>46142</v>
      </c>
      <c r="Y192" s="350">
        <f>Table3[[#This Row],[Quantity]]</f>
        <v>-500</v>
      </c>
      <c r="Z192" t="str">
        <f>_xlfn.XLOOKUP(Table3[[#This Row],[Instrument]],Control!$B$2:$B$19,Control!$F$2:$F$19)</f>
        <v>Brent</v>
      </c>
      <c r="AA192" s="14">
        <f>Table3[[#This Row],[Month2]]</f>
        <v>46142</v>
      </c>
      <c r="AB192" s="350">
        <f t="shared" si="83"/>
        <v>500</v>
      </c>
    </row>
    <row r="193" spans="1:28" ht="15" hidden="1" thickBot="1" x14ac:dyDescent="0.4">
      <c r="A193" t="s">
        <v>1724</v>
      </c>
      <c r="B193" t="str">
        <f>_xlfn.XLOOKUP(Table3[[#This Row],[Cargo Name]],Ledger[Cargo Name],Ledger[SAP Deal Number])</f>
        <v>Unallocated</v>
      </c>
      <c r="C193">
        <v>0</v>
      </c>
      <c r="D193" t="s">
        <v>127</v>
      </c>
      <c r="E193" s="174">
        <v>46045</v>
      </c>
      <c r="F193" s="10" t="s">
        <v>7</v>
      </c>
      <c r="G193" s="4" t="s">
        <v>128</v>
      </c>
      <c r="H193" s="253">
        <v>500</v>
      </c>
      <c r="I193" s="172">
        <v>46112</v>
      </c>
      <c r="J193" s="172">
        <v>46142</v>
      </c>
      <c r="K193" s="212">
        <f>+K194+0.35</f>
        <v>0.87</v>
      </c>
      <c r="L193" s="7">
        <f ca="1">IF(OR(S193="WTI Sprds",S193="Brent Sprds",S193="WTI-Brent",S193="DFL"),INDEX(INDIRECT("'" &amp; S193 &amp; "'!$A$6:$XFD$1048576"),MATCH('PnL26'!$P$1,INDIRECT("'" &amp; S193 &amp; "'!$A$6:$A$1048576"),0),MATCH(EOMONTH(I193,0),INDIRECT("'" &amp; S193 &amp; "'!$A$4:$XFD$4"),0)),INDEX(BBG!$A:$BA,MATCH('PnL26'!$P$1,BBG!$A:$A,0),MATCH($I193,BBG!$A$4:$BA$4,0))-INDEX(BBG!$A:$BA,MATCH('PnL26'!$P$1,BBG!$A:$A,0),MATCH($J193,BBG!$A$4:$BA$4,0)))</f>
        <v>1.37</v>
      </c>
      <c r="M193" s="9">
        <f t="shared" ca="1" si="140"/>
        <v>250.00000000000006</v>
      </c>
      <c r="N193">
        <f t="shared" si="141"/>
        <v>435</v>
      </c>
      <c r="O193" s="14" t="str">
        <f t="shared" si="145"/>
        <v>Mar/Apr 26</v>
      </c>
      <c r="P193" s="8" t="str">
        <f t="shared" si="142"/>
        <v>Buy</v>
      </c>
      <c r="Q193">
        <f t="shared" ca="1" si="143"/>
        <v>685</v>
      </c>
      <c r="R193" t="str">
        <f>VLOOKUP(F193,Control!$B:$C,2,FALSE)</f>
        <v>Futures</v>
      </c>
      <c r="S193" t="str">
        <f>VLOOKUP(F193,Control!$B:$D,3,FALSE)</f>
        <v>Brent Sprds</v>
      </c>
      <c r="T193" s="38">
        <f t="shared" si="146"/>
        <v>2026</v>
      </c>
      <c r="U193" t="str">
        <f t="shared" si="144"/>
        <v>Buy</v>
      </c>
      <c r="V193" t="s">
        <v>96</v>
      </c>
      <c r="W193" t="str">
        <f>_xlfn.XLOOKUP(Table3[[#This Row],[Instrument]],Control!$B$2:$B$19,Control!$E$2:$E$19)</f>
        <v>Brent</v>
      </c>
      <c r="X193" s="14">
        <f>Table3[[#This Row],[Month1]]</f>
        <v>46112</v>
      </c>
      <c r="Y193" s="350">
        <f>Table3[[#This Row],[Quantity]]</f>
        <v>500</v>
      </c>
      <c r="Z193" t="str">
        <f>_xlfn.XLOOKUP(Table3[[#This Row],[Instrument]],Control!$B$2:$B$19,Control!$F$2:$F$19)</f>
        <v>Brent</v>
      </c>
      <c r="AA193" s="14">
        <f>Table3[[#This Row],[Month2]]</f>
        <v>46142</v>
      </c>
      <c r="AB193" s="350">
        <f t="shared" si="83"/>
        <v>-500</v>
      </c>
    </row>
    <row r="194" spans="1:28" ht="15" hidden="1" thickBot="1" x14ac:dyDescent="0.4">
      <c r="A194" t="s">
        <v>1724</v>
      </c>
      <c r="B194" t="str">
        <f>_xlfn.XLOOKUP(Table3[[#This Row],[Cargo Name]],Ledger[Cargo Name],Ledger[SAP Deal Number])</f>
        <v>Unallocated</v>
      </c>
      <c r="C194">
        <v>0</v>
      </c>
      <c r="D194" t="s">
        <v>127</v>
      </c>
      <c r="E194" s="174">
        <v>46045</v>
      </c>
      <c r="F194" s="10" t="s">
        <v>7</v>
      </c>
      <c r="G194" s="4" t="s">
        <v>128</v>
      </c>
      <c r="H194" s="253">
        <v>-500</v>
      </c>
      <c r="I194" s="172">
        <v>46142</v>
      </c>
      <c r="J194" s="172">
        <v>46173</v>
      </c>
      <c r="K194" s="212">
        <v>0.52</v>
      </c>
      <c r="L194" s="7">
        <f ca="1">IF(OR(S194="WTI Sprds",S194="Brent Sprds",S194="WTI-Brent",S194="DFL"),INDEX(INDIRECT("'" &amp; S194 &amp; "'!$A$6:$XFD$1048576"),MATCH('PnL26'!$P$1,INDIRECT("'" &amp; S194 &amp; "'!$A$6:$A$1048576"),0),MATCH(EOMONTH(I194,0),INDIRECT("'" &amp; S194 &amp; "'!$A$4:$XFD$4"),0)),INDEX(BBG!$A:$BA,MATCH('PnL26'!$P$1,BBG!$A:$A,0),MATCH($I194,BBG!$A$4:$BA$4,0))-INDEX(BBG!$A:$BA,MATCH('PnL26'!$P$1,BBG!$A:$A,0),MATCH($J194,BBG!$A$4:$BA$4,0)))</f>
        <v>-0.39</v>
      </c>
      <c r="M194" s="9">
        <f t="shared" ca="1" si="140"/>
        <v>455</v>
      </c>
      <c r="N194">
        <f t="shared" si="141"/>
        <v>-260</v>
      </c>
      <c r="O194" s="14" t="str">
        <f t="shared" si="145"/>
        <v>Apr/May 26</v>
      </c>
      <c r="P194" s="8" t="str">
        <f t="shared" si="142"/>
        <v>Sell</v>
      </c>
      <c r="Q194">
        <f t="shared" ca="1" si="143"/>
        <v>195</v>
      </c>
      <c r="R194" t="str">
        <f>VLOOKUP(F194,Control!$B:$C,2,FALSE)</f>
        <v>Futures</v>
      </c>
      <c r="S194" t="str">
        <f>VLOOKUP(F194,Control!$B:$D,3,FALSE)</f>
        <v>Brent Sprds</v>
      </c>
      <c r="T194" s="38">
        <f t="shared" si="146"/>
        <v>2026</v>
      </c>
      <c r="U194" t="str">
        <f t="shared" si="144"/>
        <v>Sell</v>
      </c>
      <c r="V194" t="s">
        <v>96</v>
      </c>
      <c r="W194" t="str">
        <f>_xlfn.XLOOKUP(Table3[[#This Row],[Instrument]],Control!$B$2:$B$19,Control!$E$2:$E$19)</f>
        <v>Brent</v>
      </c>
      <c r="X194" s="14">
        <f>Table3[[#This Row],[Month1]]</f>
        <v>46142</v>
      </c>
      <c r="Y194" s="350">
        <f>Table3[[#This Row],[Quantity]]</f>
        <v>-500</v>
      </c>
      <c r="Z194" t="str">
        <f>_xlfn.XLOOKUP(Table3[[#This Row],[Instrument]],Control!$B$2:$B$19,Control!$F$2:$F$19)</f>
        <v>Brent</v>
      </c>
      <c r="AA194" s="14">
        <f>Table3[[#This Row],[Month2]]</f>
        <v>46173</v>
      </c>
      <c r="AB194" s="350">
        <f t="shared" si="83"/>
        <v>500</v>
      </c>
    </row>
    <row r="195" spans="1:28" ht="15" hidden="1" thickBot="1" x14ac:dyDescent="0.4">
      <c r="A195" t="s">
        <v>1724</v>
      </c>
      <c r="B195" t="str">
        <f>_xlfn.XLOOKUP(Table3[[#This Row],[Cargo Name]],Ledger[Cargo Name],Ledger[SAP Deal Number])</f>
        <v>Unallocated</v>
      </c>
      <c r="C195">
        <v>0</v>
      </c>
      <c r="D195" t="s">
        <v>127</v>
      </c>
      <c r="E195" s="174">
        <v>46045</v>
      </c>
      <c r="F195" s="10" t="s">
        <v>7</v>
      </c>
      <c r="G195" s="4" t="s">
        <v>128</v>
      </c>
      <c r="H195" s="253">
        <v>1500</v>
      </c>
      <c r="I195" s="172">
        <v>46112</v>
      </c>
      <c r="J195" s="172">
        <v>46142</v>
      </c>
      <c r="K195" s="212">
        <f>+K196+0.34</f>
        <v>0.8600000000000001</v>
      </c>
      <c r="L195" s="7">
        <f ca="1">IF(OR(S195="WTI Sprds",S195="Brent Sprds",S195="WTI-Brent",S195="DFL"),INDEX(INDIRECT("'" &amp; S195 &amp; "'!$A$6:$XFD$1048576"),MATCH('PnL26'!$P$1,INDIRECT("'" &amp; S195 &amp; "'!$A$6:$A$1048576"),0),MATCH(EOMONTH(I195,0),INDIRECT("'" &amp; S195 &amp; "'!$A$4:$XFD$4"),0)),INDEX(BBG!$A:$BA,MATCH('PnL26'!$P$1,BBG!$A:$A,0),MATCH($I195,BBG!$A$4:$BA$4,0))-INDEX(BBG!$A:$BA,MATCH('PnL26'!$P$1,BBG!$A:$A,0),MATCH($J195,BBG!$A$4:$BA$4,0)))</f>
        <v>1.37</v>
      </c>
      <c r="M195" s="9">
        <f t="shared" ref="M195:M201" ca="1" si="147">IFERROR((L195-K195)*H195,"")</f>
        <v>765</v>
      </c>
      <c r="N195">
        <f t="shared" ref="N195:N201" si="148">H195*K195</f>
        <v>1290.0000000000002</v>
      </c>
      <c r="O195" s="14" t="str">
        <f t="shared" ref="O195:O201" si="149">IF(I195=J195,TEXT(I195,"MMM YY"),TEXT(I195,"MMM")&amp;"/"&amp;TEXT(J195,"MMM")&amp;" "&amp;RIGHT(T195,2))</f>
        <v>Mar/Apr 26</v>
      </c>
      <c r="P195" s="8" t="str">
        <f t="shared" ref="P195:P201" si="150">IF(H195&lt;0,"Sell","Buy")</f>
        <v>Buy</v>
      </c>
      <c r="Q195">
        <f t="shared" ref="Q195:Q201" ca="1" si="151">H195*L195</f>
        <v>2055</v>
      </c>
      <c r="R195" t="str">
        <f>VLOOKUP(F195,Control!$B:$C,2,FALSE)</f>
        <v>Futures</v>
      </c>
      <c r="S195" t="str">
        <f>VLOOKUP(F195,Control!$B:$D,3,FALSE)</f>
        <v>Brent Sprds</v>
      </c>
      <c r="T195" s="38">
        <f t="shared" ref="T195:T201" si="152">YEAR(I195)</f>
        <v>2026</v>
      </c>
      <c r="U195" t="str">
        <f t="shared" ref="U195:U201" si="153">IFERROR(IF(H195&gt;0,"Buy","Sell"),"")</f>
        <v>Buy</v>
      </c>
      <c r="V195" t="s">
        <v>96</v>
      </c>
      <c r="W195" t="str">
        <f>_xlfn.XLOOKUP(Table3[[#This Row],[Instrument]],Control!$B$2:$B$19,Control!$E$2:$E$19)</f>
        <v>Brent</v>
      </c>
      <c r="X195" s="14">
        <f>Table3[[#This Row],[Month1]]</f>
        <v>46112</v>
      </c>
      <c r="Y195" s="350">
        <f>Table3[[#This Row],[Quantity]]</f>
        <v>1500</v>
      </c>
      <c r="Z195" t="str">
        <f>_xlfn.XLOOKUP(Table3[[#This Row],[Instrument]],Control!$B$2:$B$19,Control!$F$2:$F$19)</f>
        <v>Brent</v>
      </c>
      <c r="AA195" s="14">
        <f>Table3[[#This Row],[Month2]]</f>
        <v>46142</v>
      </c>
      <c r="AB195" s="350">
        <f t="shared" ref="AB195:AB258" si="154">-Y195</f>
        <v>-1500</v>
      </c>
    </row>
    <row r="196" spans="1:28" ht="15" hidden="1" thickBot="1" x14ac:dyDescent="0.4">
      <c r="A196" t="s">
        <v>1724</v>
      </c>
      <c r="B196" t="str">
        <f>_xlfn.XLOOKUP(Table3[[#This Row],[Cargo Name]],Ledger[Cargo Name],Ledger[SAP Deal Number])</f>
        <v>Unallocated</v>
      </c>
      <c r="C196">
        <v>0</v>
      </c>
      <c r="D196" t="s">
        <v>127</v>
      </c>
      <c r="E196" s="174">
        <v>46045</v>
      </c>
      <c r="F196" s="10" t="s">
        <v>7</v>
      </c>
      <c r="G196" s="4" t="s">
        <v>128</v>
      </c>
      <c r="H196" s="253">
        <v>-1500</v>
      </c>
      <c r="I196" s="172">
        <v>46142</v>
      </c>
      <c r="J196" s="172">
        <v>46173</v>
      </c>
      <c r="K196" s="212">
        <v>0.52</v>
      </c>
      <c r="L196" s="7">
        <f ca="1">IF(OR(S196="WTI Sprds",S196="Brent Sprds",S196="WTI-Brent",S196="DFL"),INDEX(INDIRECT("'" &amp; S196 &amp; "'!$A$6:$XFD$1048576"),MATCH('PnL26'!$P$1,INDIRECT("'" &amp; S196 &amp; "'!$A$6:$A$1048576"),0),MATCH(EOMONTH(I196,0),INDIRECT("'" &amp; S196 &amp; "'!$A$4:$XFD$4"),0)),INDEX(BBG!$A:$BA,MATCH('PnL26'!$P$1,BBG!$A:$A,0),MATCH($I196,BBG!$A$4:$BA$4,0))-INDEX(BBG!$A:$BA,MATCH('PnL26'!$P$1,BBG!$A:$A,0),MATCH($J196,BBG!$A$4:$BA$4,0)))</f>
        <v>-0.39</v>
      </c>
      <c r="M196" s="9">
        <f t="shared" ca="1" si="147"/>
        <v>1365</v>
      </c>
      <c r="N196">
        <f t="shared" si="148"/>
        <v>-780</v>
      </c>
      <c r="O196" s="14" t="str">
        <f t="shared" si="149"/>
        <v>Apr/May 26</v>
      </c>
      <c r="P196" s="8" t="str">
        <f t="shared" si="150"/>
        <v>Sell</v>
      </c>
      <c r="Q196">
        <f t="shared" ca="1" si="151"/>
        <v>585</v>
      </c>
      <c r="R196" t="str">
        <f>VLOOKUP(F196,Control!$B:$C,2,FALSE)</f>
        <v>Futures</v>
      </c>
      <c r="S196" t="str">
        <f>VLOOKUP(F196,Control!$B:$D,3,FALSE)</f>
        <v>Brent Sprds</v>
      </c>
      <c r="T196" s="38">
        <f t="shared" si="152"/>
        <v>2026</v>
      </c>
      <c r="U196" t="str">
        <f t="shared" si="153"/>
        <v>Sell</v>
      </c>
      <c r="V196" t="s">
        <v>96</v>
      </c>
      <c r="W196" t="str">
        <f>_xlfn.XLOOKUP(Table3[[#This Row],[Instrument]],Control!$B$2:$B$19,Control!$E$2:$E$19)</f>
        <v>Brent</v>
      </c>
      <c r="X196" s="14">
        <f>Table3[[#This Row],[Month1]]</f>
        <v>46142</v>
      </c>
      <c r="Y196" s="350">
        <f>Table3[[#This Row],[Quantity]]</f>
        <v>-1500</v>
      </c>
      <c r="Z196" t="str">
        <f>_xlfn.XLOOKUP(Table3[[#This Row],[Instrument]],Control!$B$2:$B$19,Control!$F$2:$F$19)</f>
        <v>Brent</v>
      </c>
      <c r="AA196" s="14">
        <f>Table3[[#This Row],[Month2]]</f>
        <v>46173</v>
      </c>
      <c r="AB196" s="350">
        <f t="shared" si="154"/>
        <v>1500</v>
      </c>
    </row>
    <row r="197" spans="1:28" ht="15" hidden="1" thickBot="1" x14ac:dyDescent="0.4">
      <c r="A197" t="s">
        <v>1724</v>
      </c>
      <c r="B197" t="str">
        <f>_xlfn.XLOOKUP(Table3[[#This Row],[Cargo Name]],Ledger[Cargo Name],Ledger[SAP Deal Number])</f>
        <v>Unallocated</v>
      </c>
      <c r="C197">
        <v>0</v>
      </c>
      <c r="D197" t="s">
        <v>127</v>
      </c>
      <c r="E197" s="174">
        <v>46045</v>
      </c>
      <c r="F197" s="10" t="s">
        <v>7</v>
      </c>
      <c r="G197" s="4" t="s">
        <v>128</v>
      </c>
      <c r="H197" s="253">
        <v>500</v>
      </c>
      <c r="I197" s="172">
        <v>46112</v>
      </c>
      <c r="J197" s="172">
        <v>46142</v>
      </c>
      <c r="K197" s="212">
        <f>+K198+0.31</f>
        <v>0.83000000000000007</v>
      </c>
      <c r="L197" s="7">
        <f ca="1">IF(OR(S197="WTI Sprds",S197="Brent Sprds",S197="WTI-Brent",S197="DFL"),INDEX(INDIRECT("'" &amp; S197 &amp; "'!$A$6:$XFD$1048576"),MATCH('PnL26'!$P$1,INDIRECT("'" &amp; S197 &amp; "'!$A$6:$A$1048576"),0),MATCH(EOMONTH(I197,0),INDIRECT("'" &amp; S197 &amp; "'!$A$4:$XFD$4"),0)),INDEX(BBG!$A:$BA,MATCH('PnL26'!$P$1,BBG!$A:$A,0),MATCH($I197,BBG!$A$4:$BA$4,0))-INDEX(BBG!$A:$BA,MATCH('PnL26'!$P$1,BBG!$A:$A,0),MATCH($J197,BBG!$A$4:$BA$4,0)))</f>
        <v>1.37</v>
      </c>
      <c r="M197" s="9">
        <f t="shared" ca="1" si="147"/>
        <v>270</v>
      </c>
      <c r="N197">
        <f t="shared" si="148"/>
        <v>415.00000000000006</v>
      </c>
      <c r="O197" s="14" t="str">
        <f t="shared" si="149"/>
        <v>Mar/Apr 26</v>
      </c>
      <c r="P197" s="8" t="str">
        <f t="shared" si="150"/>
        <v>Buy</v>
      </c>
      <c r="Q197">
        <f t="shared" ca="1" si="151"/>
        <v>685</v>
      </c>
      <c r="R197" t="str">
        <f>VLOOKUP(F197,Control!$B:$C,2,FALSE)</f>
        <v>Futures</v>
      </c>
      <c r="S197" t="str">
        <f>VLOOKUP(F197,Control!$B:$D,3,FALSE)</f>
        <v>Brent Sprds</v>
      </c>
      <c r="T197" s="38">
        <f t="shared" si="152"/>
        <v>2026</v>
      </c>
      <c r="U197" t="str">
        <f t="shared" si="153"/>
        <v>Buy</v>
      </c>
      <c r="V197" t="s">
        <v>96</v>
      </c>
      <c r="W197" t="str">
        <f>_xlfn.XLOOKUP(Table3[[#This Row],[Instrument]],Control!$B$2:$B$19,Control!$E$2:$E$19)</f>
        <v>Brent</v>
      </c>
      <c r="X197" s="14">
        <f>Table3[[#This Row],[Month1]]</f>
        <v>46112</v>
      </c>
      <c r="Y197" s="350">
        <f>Table3[[#This Row],[Quantity]]</f>
        <v>500</v>
      </c>
      <c r="Z197" t="str">
        <f>_xlfn.XLOOKUP(Table3[[#This Row],[Instrument]],Control!$B$2:$B$19,Control!$F$2:$F$19)</f>
        <v>Brent</v>
      </c>
      <c r="AA197" s="14">
        <f>Table3[[#This Row],[Month2]]</f>
        <v>46142</v>
      </c>
      <c r="AB197" s="350">
        <f t="shared" si="154"/>
        <v>-500</v>
      </c>
    </row>
    <row r="198" spans="1:28" ht="15" hidden="1" thickBot="1" x14ac:dyDescent="0.4">
      <c r="A198" t="s">
        <v>1724</v>
      </c>
      <c r="B198" t="str">
        <f>_xlfn.XLOOKUP(Table3[[#This Row],[Cargo Name]],Ledger[Cargo Name],Ledger[SAP Deal Number])</f>
        <v>Unallocated</v>
      </c>
      <c r="C198">
        <v>0</v>
      </c>
      <c r="D198" t="s">
        <v>127</v>
      </c>
      <c r="E198" s="174">
        <v>46045</v>
      </c>
      <c r="F198" s="10" t="s">
        <v>7</v>
      </c>
      <c r="G198" s="4" t="s">
        <v>128</v>
      </c>
      <c r="H198" s="253">
        <v>-500</v>
      </c>
      <c r="I198" s="172">
        <v>46142</v>
      </c>
      <c r="J198" s="172">
        <v>46173</v>
      </c>
      <c r="K198" s="212">
        <v>0.52</v>
      </c>
      <c r="L198" s="7">
        <f ca="1">IF(OR(S198="WTI Sprds",S198="Brent Sprds",S198="WTI-Brent",S198="DFL"),INDEX(INDIRECT("'" &amp; S198 &amp; "'!$A$6:$XFD$1048576"),MATCH('PnL26'!$P$1,INDIRECT("'" &amp; S198 &amp; "'!$A$6:$A$1048576"),0),MATCH(EOMONTH(I198,0),INDIRECT("'" &amp; S198 &amp; "'!$A$4:$XFD$4"),0)),INDEX(BBG!$A:$BA,MATCH('PnL26'!$P$1,BBG!$A:$A,0),MATCH($I198,BBG!$A$4:$BA$4,0))-INDEX(BBG!$A:$BA,MATCH('PnL26'!$P$1,BBG!$A:$A,0),MATCH($J198,BBG!$A$4:$BA$4,0)))</f>
        <v>-0.39</v>
      </c>
      <c r="M198" s="9">
        <f t="shared" ca="1" si="147"/>
        <v>455</v>
      </c>
      <c r="N198">
        <f t="shared" si="148"/>
        <v>-260</v>
      </c>
      <c r="O198" s="14" t="str">
        <f t="shared" si="149"/>
        <v>Apr/May 26</v>
      </c>
      <c r="P198" s="8" t="str">
        <f t="shared" si="150"/>
        <v>Sell</v>
      </c>
      <c r="Q198">
        <f t="shared" ca="1" si="151"/>
        <v>195</v>
      </c>
      <c r="R198" t="str">
        <f>VLOOKUP(F198,Control!$B:$C,2,FALSE)</f>
        <v>Futures</v>
      </c>
      <c r="S198" t="str">
        <f>VLOOKUP(F198,Control!$B:$D,3,FALSE)</f>
        <v>Brent Sprds</v>
      </c>
      <c r="T198" s="38">
        <f t="shared" si="152"/>
        <v>2026</v>
      </c>
      <c r="U198" t="str">
        <f t="shared" si="153"/>
        <v>Sell</v>
      </c>
      <c r="V198" t="s">
        <v>96</v>
      </c>
      <c r="W198" t="str">
        <f>_xlfn.XLOOKUP(Table3[[#This Row],[Instrument]],Control!$B$2:$B$19,Control!$E$2:$E$19)</f>
        <v>Brent</v>
      </c>
      <c r="X198" s="14">
        <f>Table3[[#This Row],[Month1]]</f>
        <v>46142</v>
      </c>
      <c r="Y198" s="350">
        <f>Table3[[#This Row],[Quantity]]</f>
        <v>-500</v>
      </c>
      <c r="Z198" t="str">
        <f>_xlfn.XLOOKUP(Table3[[#This Row],[Instrument]],Control!$B$2:$B$19,Control!$F$2:$F$19)</f>
        <v>Brent</v>
      </c>
      <c r="AA198" s="14">
        <f>Table3[[#This Row],[Month2]]</f>
        <v>46173</v>
      </c>
      <c r="AB198" s="350">
        <f t="shared" si="154"/>
        <v>500</v>
      </c>
    </row>
    <row r="199" spans="1:28" ht="15" hidden="1" thickBot="1" x14ac:dyDescent="0.4">
      <c r="A199" t="s">
        <v>1724</v>
      </c>
      <c r="B199" t="str">
        <f>_xlfn.XLOOKUP(Table3[[#This Row],[Cargo Name]],Ledger[Cargo Name],Ledger[SAP Deal Number])</f>
        <v>Unallocated</v>
      </c>
      <c r="C199">
        <v>0</v>
      </c>
      <c r="D199" t="s">
        <v>127</v>
      </c>
      <c r="E199" s="174">
        <v>46045</v>
      </c>
      <c r="F199" s="10" t="s">
        <v>15</v>
      </c>
      <c r="G199" s="4" t="s">
        <v>128</v>
      </c>
      <c r="H199" s="253">
        <v>-200</v>
      </c>
      <c r="I199" s="173">
        <v>46112</v>
      </c>
      <c r="J199" s="173">
        <v>46112</v>
      </c>
      <c r="K199" s="212">
        <v>0.56999999999999995</v>
      </c>
      <c r="L199" s="192">
        <f>VLOOKUP($I199,'PnL26'!$E$7:$F$59,2,FALSE)</f>
        <v>11.45</v>
      </c>
      <c r="M199" s="9">
        <f t="shared" si="147"/>
        <v>-2176</v>
      </c>
      <c r="N199">
        <f t="shared" si="148"/>
        <v>-113.99999999999999</v>
      </c>
      <c r="O199" s="14" t="str">
        <f t="shared" si="149"/>
        <v>Mar 26</v>
      </c>
      <c r="P199" s="8" t="str">
        <f t="shared" si="150"/>
        <v>Sell</v>
      </c>
      <c r="Q199">
        <f t="shared" si="151"/>
        <v>-2290</v>
      </c>
      <c r="R199" s="38" t="str">
        <f>VLOOKUP(F199,Control!$B:$C,2,FALSE)</f>
        <v>Swaps</v>
      </c>
      <c r="S199" s="38" t="str">
        <f>VLOOKUP(F199,Control!$B:$D,3,FALSE)</f>
        <v>Dated</v>
      </c>
      <c r="T199" s="38">
        <f t="shared" si="152"/>
        <v>2026</v>
      </c>
      <c r="U199" t="str">
        <f t="shared" si="153"/>
        <v>Sell</v>
      </c>
      <c r="V199" t="s">
        <v>96</v>
      </c>
      <c r="W199" t="e">
        <f>_xlfn.XLOOKUP(Table3[[#This Row],[Instrument]],Control!$B$2:$B$19,Control!$E$2:$E$19)</f>
        <v>#N/A</v>
      </c>
      <c r="X199" s="14">
        <f>Table3[[#This Row],[Month1]]</f>
        <v>46112</v>
      </c>
      <c r="Y199" s="350">
        <f>Table3[[#This Row],[Quantity]]</f>
        <v>-200</v>
      </c>
      <c r="Z199" t="e">
        <f>_xlfn.XLOOKUP(Table3[[#This Row],[Instrument]],Control!$B$2:$B$19,Control!$F$2:$F$19)</f>
        <v>#N/A</v>
      </c>
      <c r="AA199" s="14">
        <f>Table3[[#This Row],[Month2]]</f>
        <v>46112</v>
      </c>
      <c r="AB199" s="350">
        <f t="shared" si="154"/>
        <v>200</v>
      </c>
    </row>
    <row r="200" spans="1:28" ht="15" hidden="1" thickBot="1" x14ac:dyDescent="0.4">
      <c r="A200" t="s">
        <v>1724</v>
      </c>
      <c r="B200" t="str">
        <f>_xlfn.XLOOKUP(Table3[[#This Row],[Cargo Name]],Ledger[Cargo Name],Ledger[SAP Deal Number])</f>
        <v>GUN26HS00012</v>
      </c>
      <c r="C200">
        <v>0</v>
      </c>
      <c r="D200" s="26" t="s">
        <v>1727</v>
      </c>
      <c r="E200" s="324">
        <v>46030</v>
      </c>
      <c r="F200" s="325" t="s">
        <v>19</v>
      </c>
      <c r="G200" s="22" t="s">
        <v>268</v>
      </c>
      <c r="H200" s="262">
        <f>'Cargo Econs 2025'!I465</f>
        <v>700</v>
      </c>
      <c r="I200" s="24">
        <v>46081</v>
      </c>
      <c r="J200" s="24">
        <f>Table3[[#This Row],[Month1]]</f>
        <v>46081</v>
      </c>
      <c r="K200" s="207">
        <f>'Cargo Econs 2025'!I481</f>
        <v>-2.96</v>
      </c>
      <c r="L200" s="353">
        <v>-2.92</v>
      </c>
      <c r="M200" s="25">
        <f t="shared" si="147"/>
        <v>28.000000000000025</v>
      </c>
      <c r="N200" s="26">
        <f t="shared" si="148"/>
        <v>-2072</v>
      </c>
      <c r="O200" s="282" t="str">
        <f t="shared" si="149"/>
        <v>Feb 26</v>
      </c>
      <c r="P200" s="27" t="str">
        <f t="shared" si="150"/>
        <v>Buy</v>
      </c>
      <c r="Q200" s="26">
        <f t="shared" si="151"/>
        <v>-2044</v>
      </c>
      <c r="R200" s="26" t="str">
        <f>VLOOKUP(F200,Control!$B:$C,2,FALSE)</f>
        <v>Physical</v>
      </c>
      <c r="S200" s="26" t="str">
        <f>VLOOKUP(F200,Control!$B:$D,3,FALSE)</f>
        <v>Physical</v>
      </c>
      <c r="T200" s="28">
        <f t="shared" si="152"/>
        <v>2026</v>
      </c>
      <c r="U200" t="str">
        <f t="shared" si="153"/>
        <v>Buy</v>
      </c>
      <c r="V200" t="s">
        <v>96</v>
      </c>
      <c r="W200">
        <f>_xlfn.XLOOKUP(Table3[[#This Row],[Instrument]],Control!$B$2:$B$19,Control!$E$2:$E$19)</f>
        <v>0</v>
      </c>
      <c r="X200" s="14">
        <f>Table3[[#This Row],[Month1]]</f>
        <v>46081</v>
      </c>
      <c r="Y200" s="350">
        <f>Table3[[#This Row],[Quantity]]</f>
        <v>700</v>
      </c>
      <c r="Z200">
        <f>_xlfn.XLOOKUP(Table3[[#This Row],[Instrument]],Control!$B$2:$B$19,Control!$F$2:$F$19)</f>
        <v>0</v>
      </c>
      <c r="AA200" s="14">
        <f>Table3[[#This Row],[Month2]]</f>
        <v>46081</v>
      </c>
      <c r="AB200" s="350">
        <f t="shared" si="154"/>
        <v>-700</v>
      </c>
    </row>
    <row r="201" spans="1:28" ht="15" hidden="1" thickBot="1" x14ac:dyDescent="0.4">
      <c r="A201" t="s">
        <v>1724</v>
      </c>
      <c r="B201" t="str">
        <f>_xlfn.XLOOKUP(Table3[[#This Row],[Cargo Name]],Ledger[Cargo Name],Ledger[SAP Deal Number])</f>
        <v>GUN26HS00012</v>
      </c>
      <c r="C201">
        <v>0</v>
      </c>
      <c r="D201" s="26" t="s">
        <v>1727</v>
      </c>
      <c r="E201" s="174">
        <v>46044</v>
      </c>
      <c r="F201" s="10" t="s">
        <v>3</v>
      </c>
      <c r="G201" s="4" t="s">
        <v>268</v>
      </c>
      <c r="H201" s="253">
        <v>-700</v>
      </c>
      <c r="I201" s="172">
        <v>46112</v>
      </c>
      <c r="J201" s="172">
        <f>EOMONTH(Table3[[#This Row],[Month1]],1)</f>
        <v>46142</v>
      </c>
      <c r="K201" s="15">
        <v>0.24</v>
      </c>
      <c r="L201" s="192">
        <f ca="1">IF(OR(S201="WTI Sprds",S201="Brent Sprds",S201="WTI-Brent",S201="DFL"),INDEX(INDIRECT("'" &amp; S201 &amp; "'!$A$6:$XFD$1048576"),MATCH('PnL26'!$P$1,INDIRECT("'" &amp; S201 &amp; "'!$A$6:$A$1048576"),0),MATCH(EOMONTH(I201,0),INDIRECT("'" &amp; S201 &amp; "'!$A$4:$XFD$4"),0)),INDEX(BBG!$A:$BA,MATCH('PnL26'!$P$1,BBG!$A:$A,0),MATCH($I201,BBG!$A$4:$BA$4,0))-INDEX(BBG!$A:$BA,MATCH('PnL26'!$P$1,BBG!$A:$A,0),MATCH($J201,BBG!$A$4:$BA$4,0)))</f>
        <v>0.03</v>
      </c>
      <c r="M201" s="9">
        <f t="shared" ca="1" si="147"/>
        <v>147</v>
      </c>
      <c r="N201">
        <f t="shared" si="148"/>
        <v>-168</v>
      </c>
      <c r="O201" s="14" t="str">
        <f t="shared" si="149"/>
        <v>Mar/Apr 26</v>
      </c>
      <c r="P201" s="8" t="str">
        <f t="shared" si="150"/>
        <v>Sell</v>
      </c>
      <c r="Q201">
        <f t="shared" ca="1" si="151"/>
        <v>-21</v>
      </c>
      <c r="R201" s="38" t="str">
        <f>VLOOKUP(F201,Control!$B:$C,2,FALSE)</f>
        <v>Futures</v>
      </c>
      <c r="S201" s="38" t="str">
        <f>VLOOKUP(F201,Control!$B:$D,3,FALSE)</f>
        <v>WTI Sprds</v>
      </c>
      <c r="T201" s="38">
        <f t="shared" si="152"/>
        <v>2026</v>
      </c>
      <c r="U201" t="str">
        <f t="shared" si="153"/>
        <v>Sell</v>
      </c>
      <c r="V201" t="s">
        <v>96</v>
      </c>
      <c r="W201" t="str">
        <f>_xlfn.XLOOKUP(Table3[[#This Row],[Instrument]],Control!$B$2:$B$19,Control!$E$2:$E$19)</f>
        <v>WTI</v>
      </c>
      <c r="X201" s="14">
        <f>Table3[[#This Row],[Month1]]</f>
        <v>46112</v>
      </c>
      <c r="Y201" s="350">
        <f>Table3[[#This Row],[Quantity]]</f>
        <v>-700</v>
      </c>
      <c r="Z201" t="str">
        <f>_xlfn.XLOOKUP(Table3[[#This Row],[Instrument]],Control!$B$2:$B$19,Control!$F$2:$F$19)</f>
        <v>WTI</v>
      </c>
      <c r="AA201" s="14">
        <f>Table3[[#This Row],[Month2]]</f>
        <v>46142</v>
      </c>
      <c r="AB201" s="350">
        <f t="shared" si="154"/>
        <v>700</v>
      </c>
    </row>
    <row r="202" spans="1:28" ht="15" hidden="1" thickBot="1" x14ac:dyDescent="0.4">
      <c r="A202" t="s">
        <v>1724</v>
      </c>
      <c r="B202" t="str">
        <f>_xlfn.XLOOKUP(Table3[[#This Row],[Cargo Name]],Ledger[Cargo Name],Ledger[SAP Deal Number])</f>
        <v>GUN26HS00012</v>
      </c>
      <c r="C202">
        <v>0</v>
      </c>
      <c r="D202" s="26" t="s">
        <v>1727</v>
      </c>
      <c r="E202" s="174">
        <v>46044</v>
      </c>
      <c r="F202" s="10" t="s">
        <v>10</v>
      </c>
      <c r="G202" s="4" t="s">
        <v>268</v>
      </c>
      <c r="H202" s="253">
        <v>-700</v>
      </c>
      <c r="I202" s="172">
        <v>46142</v>
      </c>
      <c r="J202" s="172">
        <v>46142</v>
      </c>
      <c r="K202" s="15">
        <v>-4.3</v>
      </c>
      <c r="L202" s="192">
        <f ca="1">IF(OR(S202="WTI Sprds",S202="Brent Sprds",S202="WTI-Brent",S202="DFL"),INDEX(INDIRECT("'" &amp; S202 &amp; "'!$A$6:$XFD$1048576"),MATCH('PnL26'!$P$1,INDIRECT("'" &amp; S202 &amp; "'!$A$6:$A$1048576"),0),MATCH(EOMONTH(I202,0),INDIRECT("'" &amp; S202 &amp; "'!$A$4:$XFD$4"),0)),INDEX(BBG!$A:$BA,MATCH('PnL26'!$P$1,BBG!$A:$A,0),MATCH($I202,BBG!$A$4:$BA$4,0))-INDEX(BBG!$A:$BA,MATCH('PnL26'!$P$1,BBG!$A:$A,0),MATCH($J202,BBG!$A$4:$BA$4,0)))</f>
        <v>-5.46</v>
      </c>
      <c r="M202" s="9">
        <f t="shared" ref="M202:M205" ca="1" si="155">IFERROR((L202-K202)*H202,"")</f>
        <v>812.00000000000011</v>
      </c>
      <c r="N202">
        <f t="shared" ref="N202:N205" si="156">H202*K202</f>
        <v>3010</v>
      </c>
      <c r="O202" s="14" t="str">
        <f t="shared" ref="O202" si="157">IF(I202=J202,TEXT(I202,"MMM YY"),TEXT(I202,"MMM")&amp;"/"&amp;TEXT(J202,"MMM")&amp;" "&amp;RIGHT(T202,2))</f>
        <v>Apr 26</v>
      </c>
      <c r="P202" s="8" t="str">
        <f t="shared" ref="P202:P205" si="158">IF(H202&lt;0,"Sell","Buy")</f>
        <v>Sell</v>
      </c>
      <c r="Q202">
        <f t="shared" ref="Q202:Q205" ca="1" si="159">H202*L202</f>
        <v>3822</v>
      </c>
      <c r="R202" s="38" t="str">
        <f>VLOOKUP(F202,Control!$B:$C,2,FALSE)</f>
        <v>Swaps</v>
      </c>
      <c r="S202" s="38" t="str">
        <f>VLOOKUP(F202,Control!$B:$D,3,FALSE)</f>
        <v>WTI-Brent</v>
      </c>
      <c r="T202" s="38">
        <f t="shared" ref="T202" si="160">YEAR(I202)</f>
        <v>2026</v>
      </c>
      <c r="U202" t="str">
        <f t="shared" ref="U202:U205" si="161">IFERROR(IF(H202&gt;0,"Buy","Sell"),"")</f>
        <v>Sell</v>
      </c>
      <c r="V202" t="s">
        <v>96</v>
      </c>
      <c r="W202" t="str">
        <f>_xlfn.XLOOKUP(Table3[[#This Row],[Instrument]],Control!$B$2:$B$19,Control!$E$2:$E$19)</f>
        <v>WTI</v>
      </c>
      <c r="X202" s="14">
        <f>Table3[[#This Row],[Month1]]</f>
        <v>46142</v>
      </c>
      <c r="Y202" s="350">
        <f>Table3[[#This Row],[Quantity]]</f>
        <v>-700</v>
      </c>
      <c r="Z202" t="str">
        <f>_xlfn.XLOOKUP(Table3[[#This Row],[Instrument]],Control!$B$2:$B$19,Control!$F$2:$F$19)</f>
        <v>Brent</v>
      </c>
      <c r="AA202" s="14">
        <f>Table3[[#This Row],[Month2]]</f>
        <v>46142</v>
      </c>
      <c r="AB202" s="350">
        <f t="shared" si="154"/>
        <v>700</v>
      </c>
    </row>
    <row r="203" spans="1:28" ht="15" hidden="1" thickBot="1" x14ac:dyDescent="0.4">
      <c r="A203" t="s">
        <v>1724</v>
      </c>
      <c r="B203" t="str">
        <f>_xlfn.XLOOKUP(Table3[[#This Row],[Cargo Name]],Ledger[Cargo Name],Ledger[SAP Deal Number])</f>
        <v>Unallocated</v>
      </c>
      <c r="C203">
        <v>0</v>
      </c>
      <c r="D203" s="26" t="s">
        <v>127</v>
      </c>
      <c r="E203" s="174">
        <v>46049</v>
      </c>
      <c r="F203" s="10" t="s">
        <v>22</v>
      </c>
      <c r="G203" s="4" t="s">
        <v>128</v>
      </c>
      <c r="H203" s="253">
        <v>600</v>
      </c>
      <c r="I203" s="172" t="s">
        <v>1726</v>
      </c>
      <c r="J203" s="172">
        <f>J202</f>
        <v>46142</v>
      </c>
      <c r="K203" s="15">
        <v>1.7813099999999999</v>
      </c>
      <c r="L203" s="191">
        <f>VLOOKUP($I203,'PnL26'!B:C,2,FALSE)</f>
        <v>2.74</v>
      </c>
      <c r="M203" s="9">
        <f t="shared" si="155"/>
        <v>575.21400000000017</v>
      </c>
      <c r="N203">
        <f t="shared" si="156"/>
        <v>1068.7860000000001</v>
      </c>
      <c r="O203" s="347" t="s">
        <v>98</v>
      </c>
      <c r="P203" s="8" t="str">
        <f t="shared" si="158"/>
        <v>Buy</v>
      </c>
      <c r="Q203">
        <f t="shared" si="159"/>
        <v>1644.0000000000002</v>
      </c>
      <c r="R203" s="38" t="str">
        <f>VLOOKUP(F203,Control!$B:$C,2,FALSE)</f>
        <v>Swaps</v>
      </c>
      <c r="S203" s="38" t="str">
        <f>VLOOKUP(F203,Control!$B:$D,3,FALSE)</f>
        <v>Dated</v>
      </c>
      <c r="T203" s="38">
        <v>2026</v>
      </c>
      <c r="U203" t="str">
        <f t="shared" si="161"/>
        <v>Buy</v>
      </c>
      <c r="V203" t="s">
        <v>96</v>
      </c>
      <c r="W203" t="e">
        <f>_xlfn.XLOOKUP(Table3[[#This Row],[Instrument]],Control!$B$2:$B$19,Control!$E$2:$E$19)</f>
        <v>#N/A</v>
      </c>
      <c r="X203" s="14" t="str">
        <f>Table3[[#This Row],[Month1]]</f>
        <v>Feb09-Feb13</v>
      </c>
      <c r="Y203" s="350">
        <f>Table3[[#This Row],[Quantity]]</f>
        <v>600</v>
      </c>
      <c r="Z203" t="e">
        <f>_xlfn.XLOOKUP(Table3[[#This Row],[Instrument]],Control!$B$2:$B$19,Control!$F$2:$F$19)</f>
        <v>#N/A</v>
      </c>
      <c r="AA203" s="14">
        <f>Table3[[#This Row],[Month2]]</f>
        <v>46142</v>
      </c>
      <c r="AB203" s="350">
        <f t="shared" si="154"/>
        <v>-600</v>
      </c>
    </row>
    <row r="204" spans="1:28" ht="15" hidden="1" thickBot="1" x14ac:dyDescent="0.4">
      <c r="A204" t="s">
        <v>1724</v>
      </c>
      <c r="B204" t="str">
        <f>_xlfn.XLOOKUP(Table3[[#This Row],[Cargo Name]],Ledger[Cargo Name],Ledger[SAP Deal Number])</f>
        <v>PHI26HS00007</v>
      </c>
      <c r="C204">
        <v>0</v>
      </c>
      <c r="D204" s="26" t="s">
        <v>1728</v>
      </c>
      <c r="E204" s="174">
        <v>46049</v>
      </c>
      <c r="F204" s="325" t="s">
        <v>19</v>
      </c>
      <c r="G204" s="23" t="s">
        <v>268</v>
      </c>
      <c r="H204" s="256">
        <v>700</v>
      </c>
      <c r="I204" s="24">
        <v>46112</v>
      </c>
      <c r="J204" s="24">
        <f>Table3[[#This Row],[Month1]]</f>
        <v>46112</v>
      </c>
      <c r="K204" s="207">
        <f>'Cargo Econs 2025'!M481</f>
        <v>-2.2399999999999998</v>
      </c>
      <c r="L204" s="353">
        <f>'Cargo Econs 2025'!M482</f>
        <v>-2.2200000000000002</v>
      </c>
      <c r="M204" s="25">
        <f t="shared" si="155"/>
        <v>13.999999999999702</v>
      </c>
      <c r="N204" s="26">
        <f t="shared" si="156"/>
        <v>-1567.9999999999998</v>
      </c>
      <c r="O204" s="282" t="str">
        <f t="shared" ref="O204:O211" si="162">IF(I204=J204,TEXT(I204,"MMM YY"),TEXT(I204,"MMM")&amp;"/"&amp;TEXT(J204,"MMM")&amp;" "&amp;RIGHT(T204,2))</f>
        <v>Mar 26</v>
      </c>
      <c r="P204" s="27" t="str">
        <f t="shared" si="158"/>
        <v>Buy</v>
      </c>
      <c r="Q204" s="26">
        <f t="shared" si="159"/>
        <v>-1554.0000000000002</v>
      </c>
      <c r="R204" s="26" t="str">
        <f>VLOOKUP(F204,Control!$B:$C,2,FALSE)</f>
        <v>Physical</v>
      </c>
      <c r="S204" s="26" t="str">
        <f>VLOOKUP(F204,Control!$B:$D,3,FALSE)</f>
        <v>Physical</v>
      </c>
      <c r="T204" s="38">
        <f t="shared" ref="T204:T211" si="163">YEAR(I204)</f>
        <v>2026</v>
      </c>
      <c r="U204" t="str">
        <f t="shared" si="161"/>
        <v>Buy</v>
      </c>
      <c r="V204" t="s">
        <v>96</v>
      </c>
      <c r="W204">
        <f>_xlfn.XLOOKUP(Table3[[#This Row],[Instrument]],Control!$B$2:$B$19,Control!$E$2:$E$19)</f>
        <v>0</v>
      </c>
      <c r="X204" s="14">
        <f>Table3[[#This Row],[Month1]]</f>
        <v>46112</v>
      </c>
      <c r="Y204" s="350">
        <f>Table3[[#This Row],[Quantity]]</f>
        <v>700</v>
      </c>
      <c r="Z204">
        <f>_xlfn.XLOOKUP(Table3[[#This Row],[Instrument]],Control!$B$2:$B$19,Control!$F$2:$F$19)</f>
        <v>0</v>
      </c>
      <c r="AA204" s="14">
        <f>Table3[[#This Row],[Month2]]</f>
        <v>46112</v>
      </c>
      <c r="AB204" s="350">
        <f t="shared" si="154"/>
        <v>-700</v>
      </c>
    </row>
    <row r="205" spans="1:28" ht="15" hidden="1" thickBot="1" x14ac:dyDescent="0.4">
      <c r="A205" t="s">
        <v>1724</v>
      </c>
      <c r="B205" t="str">
        <f>_xlfn.XLOOKUP(Table3[[#This Row],[Cargo Name]],Ledger[Cargo Name],Ledger[SAP Deal Number])</f>
        <v>PHI26HS00007</v>
      </c>
      <c r="C205">
        <v>0</v>
      </c>
      <c r="D205" s="26" t="s">
        <v>1728</v>
      </c>
      <c r="E205" s="174">
        <v>46049</v>
      </c>
      <c r="F205" s="10" t="s">
        <v>3</v>
      </c>
      <c r="G205" s="4" t="s">
        <v>268</v>
      </c>
      <c r="H205" s="253">
        <v>-700</v>
      </c>
      <c r="I205" s="172">
        <v>46112</v>
      </c>
      <c r="J205" s="172">
        <f>EOMONTH(Table3[[#This Row],[Month1]],1)</f>
        <v>46142</v>
      </c>
      <c r="K205" s="15">
        <v>0.28999999999999998</v>
      </c>
      <c r="L205" s="192">
        <f ca="1">IF(OR(S205="WTI Sprds",S205="Brent Sprds",S205="WTI-Brent",S205="DFL"),INDEX(INDIRECT("'" &amp; S205 &amp; "'!$A$6:$XFD$1048576"),MATCH('PnL26'!$P$1,INDIRECT("'" &amp; S205 &amp; "'!$A$6:$A$1048576"),0),MATCH(EOMONTH(I205,0),INDIRECT("'" &amp; S205 &amp; "'!$A$4:$XFD$4"),0)),INDEX(BBG!$A:$BA,MATCH('PnL26'!$P$1,BBG!$A:$A,0),MATCH($I205,BBG!$A$4:$BA$4,0))-INDEX(BBG!$A:$BA,MATCH('PnL26'!$P$1,BBG!$A:$A,0),MATCH($J205,BBG!$A$4:$BA$4,0)))</f>
        <v>0.03</v>
      </c>
      <c r="M205" s="9">
        <f t="shared" ca="1" si="155"/>
        <v>182</v>
      </c>
      <c r="N205">
        <f t="shared" si="156"/>
        <v>-203</v>
      </c>
      <c r="O205" s="14" t="str">
        <f t="shared" si="162"/>
        <v>Mar/Apr 26</v>
      </c>
      <c r="P205" s="8" t="str">
        <f t="shared" si="158"/>
        <v>Sell</v>
      </c>
      <c r="Q205">
        <f t="shared" ca="1" si="159"/>
        <v>-21</v>
      </c>
      <c r="R205" s="38" t="str">
        <f>VLOOKUP(F205,Control!$B:$C,2,FALSE)</f>
        <v>Futures</v>
      </c>
      <c r="S205" s="38" t="str">
        <f>VLOOKUP(F205,Control!$B:$D,3,FALSE)</f>
        <v>WTI Sprds</v>
      </c>
      <c r="T205" s="38">
        <f t="shared" si="163"/>
        <v>2026</v>
      </c>
      <c r="U205" t="str">
        <f t="shared" si="161"/>
        <v>Sell</v>
      </c>
      <c r="V205" t="s">
        <v>96</v>
      </c>
      <c r="W205" t="str">
        <f>_xlfn.XLOOKUP(Table3[[#This Row],[Instrument]],Control!$B$2:$B$19,Control!$E$2:$E$19)</f>
        <v>WTI</v>
      </c>
      <c r="X205" s="14">
        <f>Table3[[#This Row],[Month1]]</f>
        <v>46112</v>
      </c>
      <c r="Y205" s="350">
        <f>Table3[[#This Row],[Quantity]]</f>
        <v>-700</v>
      </c>
      <c r="Z205" t="str">
        <f>_xlfn.XLOOKUP(Table3[[#This Row],[Instrument]],Control!$B$2:$B$19,Control!$F$2:$F$19)</f>
        <v>WTI</v>
      </c>
      <c r="AA205" s="14">
        <f>Table3[[#This Row],[Month2]]</f>
        <v>46142</v>
      </c>
      <c r="AB205" s="350">
        <f t="shared" si="154"/>
        <v>700</v>
      </c>
    </row>
    <row r="206" spans="1:28" ht="15" hidden="1" thickBot="1" x14ac:dyDescent="0.4">
      <c r="A206" t="s">
        <v>1724</v>
      </c>
      <c r="B206" t="str">
        <f>_xlfn.XLOOKUP(Table3[[#This Row],[Cargo Name]],Ledger[Cargo Name],Ledger[SAP Deal Number])</f>
        <v>PHI26HS00007</v>
      </c>
      <c r="C206">
        <v>0</v>
      </c>
      <c r="D206" s="26" t="s">
        <v>1728</v>
      </c>
      <c r="E206" s="174">
        <v>46049</v>
      </c>
      <c r="F206" s="10" t="s">
        <v>3</v>
      </c>
      <c r="G206" s="4" t="s">
        <v>268</v>
      </c>
      <c r="H206" s="253">
        <v>-700</v>
      </c>
      <c r="I206" s="172">
        <v>46142</v>
      </c>
      <c r="J206" s="172">
        <f>EOMONTH(Table3[[#This Row],[Month1]],1)</f>
        <v>46173</v>
      </c>
      <c r="K206" s="15">
        <v>0.26</v>
      </c>
      <c r="L206" s="192">
        <f ca="1">IF(OR(S206="WTI Sprds",S206="Brent Sprds",S206="WTI-Brent",S206="DFL"),INDEX(INDIRECT("'" &amp; S206 &amp; "'!$A$6:$XFD$1048576"),MATCH('PnL26'!$P$1,INDIRECT("'" &amp; S206 &amp; "'!$A$6:$A$1048576"),0),MATCH(EOMONTH(I206,0),INDIRECT("'" &amp; S206 &amp; "'!$A$4:$XFD$4"),0)),INDEX(BBG!$A:$BA,MATCH('PnL26'!$P$1,BBG!$A:$A,0),MATCH($I206,BBG!$A$4:$BA$4,0))-INDEX(BBG!$A:$BA,MATCH('PnL26'!$P$1,BBG!$A:$A,0),MATCH($J206,BBG!$A$4:$BA$4,0)))</f>
        <v>0.59</v>
      </c>
      <c r="M206" s="9">
        <f t="shared" ref="M206" ca="1" si="164">IFERROR((L206-K206)*H206,"")</f>
        <v>-230.99999999999997</v>
      </c>
      <c r="N206">
        <f t="shared" ref="N206" si="165">H206*K206</f>
        <v>-182</v>
      </c>
      <c r="O206" s="14" t="str">
        <f t="shared" ref="O206" si="166">IF(I206=J206,TEXT(I206,"MMM YY"),TEXT(I206,"MMM")&amp;"/"&amp;TEXT(J206,"MMM")&amp;" "&amp;RIGHT(T206,2))</f>
        <v>Apr/May 26</v>
      </c>
      <c r="P206" s="8" t="str">
        <f t="shared" ref="P206" si="167">IF(H206&lt;0,"Sell","Buy")</f>
        <v>Sell</v>
      </c>
      <c r="Q206">
        <f t="shared" ref="Q206" ca="1" si="168">H206*L206</f>
        <v>-413</v>
      </c>
      <c r="R206" s="38" t="str">
        <f>VLOOKUP(F206,Control!$B:$C,2,FALSE)</f>
        <v>Futures</v>
      </c>
      <c r="S206" s="38" t="str">
        <f>VLOOKUP(F206,Control!$B:$D,3,FALSE)</f>
        <v>WTI Sprds</v>
      </c>
      <c r="T206" s="38">
        <f t="shared" ref="T206" si="169">YEAR(I206)</f>
        <v>2026</v>
      </c>
      <c r="U206" t="str">
        <f t="shared" ref="U206" si="170">IFERROR(IF(H206&gt;0,"Buy","Sell"),"")</f>
        <v>Sell</v>
      </c>
      <c r="V206" t="s">
        <v>96</v>
      </c>
      <c r="W206" t="str">
        <f>_xlfn.XLOOKUP(Table3[[#This Row],[Instrument]],Control!$B$2:$B$19,Control!$E$2:$E$19)</f>
        <v>WTI</v>
      </c>
      <c r="X206" s="14">
        <f>Table3[[#This Row],[Month1]]</f>
        <v>46142</v>
      </c>
      <c r="Y206" s="350">
        <f>Table3[[#This Row],[Quantity]]</f>
        <v>-700</v>
      </c>
      <c r="Z206" t="str">
        <f>_xlfn.XLOOKUP(Table3[[#This Row],[Instrument]],Control!$B$2:$B$19,Control!$F$2:$F$19)</f>
        <v>WTI</v>
      </c>
      <c r="AA206" s="14">
        <f>Table3[[#This Row],[Month2]]</f>
        <v>46173</v>
      </c>
      <c r="AB206" s="350">
        <f t="shared" si="154"/>
        <v>700</v>
      </c>
    </row>
    <row r="207" spans="1:28" ht="15" hidden="1" thickBot="1" x14ac:dyDescent="0.4">
      <c r="A207" t="s">
        <v>1724</v>
      </c>
      <c r="B207" t="str">
        <f>_xlfn.XLOOKUP(Table3[[#This Row],[Cargo Name]],Ledger[Cargo Name],Ledger[SAP Deal Number])</f>
        <v>PHI26HS00007</v>
      </c>
      <c r="C207">
        <v>0</v>
      </c>
      <c r="D207" s="26" t="s">
        <v>1728</v>
      </c>
      <c r="E207" s="174">
        <v>46049</v>
      </c>
      <c r="F207" s="10" t="s">
        <v>10</v>
      </c>
      <c r="G207" s="4" t="s">
        <v>268</v>
      </c>
      <c r="H207" s="253">
        <v>-700</v>
      </c>
      <c r="I207" s="172">
        <v>46173</v>
      </c>
      <c r="J207" s="172">
        <f>Table3[[#This Row],[Month1]]</f>
        <v>46173</v>
      </c>
      <c r="K207" s="15">
        <v>-4.09</v>
      </c>
      <c r="L207" s="192">
        <f ca="1">IF(OR(S207="WTI Sprds",S207="Brent Sprds",S207="WTI-Brent",S207="DFL"),INDEX(INDIRECT("'" &amp; S207 &amp; "'!$A$6:$XFD$1048576"),MATCH('PnL26'!$P$1,INDIRECT("'" &amp; S207 &amp; "'!$A$6:$A$1048576"),0),MATCH(EOMONTH(I207,0),INDIRECT("'" &amp; S207 &amp; "'!$A$4:$XFD$4"),0)),INDEX(BBG!$A:$BA,MATCH('PnL26'!$P$1,BBG!$A:$A,0),MATCH($I207,BBG!$A$4:$BA$4,0))-INDEX(BBG!$A:$BA,MATCH('PnL26'!$P$1,BBG!$A:$A,0),MATCH($J207,BBG!$A$4:$BA$4,0)))</f>
        <v>-16.97</v>
      </c>
      <c r="M207" s="9">
        <f t="shared" ref="M207:M211" ca="1" si="171">IFERROR((L207-K207)*H207,"")</f>
        <v>9016</v>
      </c>
      <c r="N207">
        <f t="shared" ref="N207:N211" si="172">H207*K207</f>
        <v>2863</v>
      </c>
      <c r="O207" s="14" t="str">
        <f t="shared" si="162"/>
        <v>May 26</v>
      </c>
      <c r="P207" s="8" t="str">
        <f t="shared" ref="P207:P211" si="173">IF(H207&lt;0,"Sell","Buy")</f>
        <v>Sell</v>
      </c>
      <c r="Q207">
        <f t="shared" ref="Q207:Q211" ca="1" si="174">H207*L207</f>
        <v>11879</v>
      </c>
      <c r="R207" s="38" t="str">
        <f>VLOOKUP(F207,Control!$B:$C,2,FALSE)</f>
        <v>Swaps</v>
      </c>
      <c r="S207" s="38" t="str">
        <f>VLOOKUP(F207,Control!$B:$D,3,FALSE)</f>
        <v>WTI-Brent</v>
      </c>
      <c r="T207" s="38">
        <f t="shared" si="163"/>
        <v>2026</v>
      </c>
      <c r="U207" t="str">
        <f t="shared" ref="U207:U211" si="175">IFERROR(IF(H207&gt;0,"Buy","Sell"),"")</f>
        <v>Sell</v>
      </c>
      <c r="V207" t="s">
        <v>96</v>
      </c>
      <c r="W207" t="str">
        <f>_xlfn.XLOOKUP(Table3[[#This Row],[Instrument]],Control!$B$2:$B$19,Control!$E$2:$E$19)</f>
        <v>WTI</v>
      </c>
      <c r="X207" s="14">
        <f>Table3[[#This Row],[Month1]]</f>
        <v>46173</v>
      </c>
      <c r="Y207" s="350">
        <f>Table3[[#This Row],[Quantity]]</f>
        <v>-700</v>
      </c>
      <c r="Z207" t="str">
        <f>_xlfn.XLOOKUP(Table3[[#This Row],[Instrument]],Control!$B$2:$B$19,Control!$F$2:$F$19)</f>
        <v>Brent</v>
      </c>
      <c r="AA207" s="14">
        <f>Table3[[#This Row],[Month2]]</f>
        <v>46173</v>
      </c>
      <c r="AB207" s="350">
        <f t="shared" si="154"/>
        <v>700</v>
      </c>
    </row>
    <row r="208" spans="1:28" ht="15" hidden="1" thickBot="1" x14ac:dyDescent="0.4">
      <c r="A208" t="s">
        <v>1724</v>
      </c>
      <c r="B208" t="str">
        <f>_xlfn.XLOOKUP(Table3[[#This Row],[Cargo Name]],Ledger[Cargo Name],Ledger[SAP Deal Number])</f>
        <v>VIT26HS00011</v>
      </c>
      <c r="C208">
        <v>0</v>
      </c>
      <c r="D208" s="26" t="s">
        <v>1729</v>
      </c>
      <c r="E208" s="174">
        <v>46049</v>
      </c>
      <c r="F208" s="325" t="s">
        <v>19</v>
      </c>
      <c r="G208" s="23" t="s">
        <v>268</v>
      </c>
      <c r="H208" s="256">
        <v>700</v>
      </c>
      <c r="I208" s="24">
        <v>46081</v>
      </c>
      <c r="J208" s="24">
        <v>46081</v>
      </c>
      <c r="K208" s="207">
        <f>'Cargo Econs 2025'!Q481</f>
        <v>-2.2757142857142862</v>
      </c>
      <c r="L208" s="353">
        <f>'Cargo Econs 2025'!Q482</f>
        <v>-2.25</v>
      </c>
      <c r="M208" s="25">
        <f t="shared" si="171"/>
        <v>18.000000000000369</v>
      </c>
      <c r="N208" s="26">
        <f t="shared" si="172"/>
        <v>-1593.0000000000005</v>
      </c>
      <c r="O208" s="282" t="str">
        <f t="shared" si="162"/>
        <v>Feb 26</v>
      </c>
      <c r="P208" s="27" t="str">
        <f t="shared" si="173"/>
        <v>Buy</v>
      </c>
      <c r="Q208" s="26">
        <f t="shared" si="174"/>
        <v>-1575</v>
      </c>
      <c r="R208" s="26" t="str">
        <f>VLOOKUP(F208,Control!$B:$C,2,FALSE)</f>
        <v>Physical</v>
      </c>
      <c r="S208" s="26" t="str">
        <f>VLOOKUP(F208,Control!$B:$D,3,FALSE)</f>
        <v>Physical</v>
      </c>
      <c r="T208" s="38">
        <f t="shared" si="163"/>
        <v>2026</v>
      </c>
      <c r="U208" t="str">
        <f t="shared" si="175"/>
        <v>Buy</v>
      </c>
      <c r="V208" t="s">
        <v>96</v>
      </c>
      <c r="W208">
        <f>_xlfn.XLOOKUP(Table3[[#This Row],[Instrument]],Control!$B$2:$B$19,Control!$E$2:$E$19)</f>
        <v>0</v>
      </c>
      <c r="X208" s="14">
        <f>Table3[[#This Row],[Month1]]</f>
        <v>46081</v>
      </c>
      <c r="Y208" s="350">
        <f>Table3[[#This Row],[Quantity]]</f>
        <v>700</v>
      </c>
      <c r="Z208">
        <f>_xlfn.XLOOKUP(Table3[[#This Row],[Instrument]],Control!$B$2:$B$19,Control!$F$2:$F$19)</f>
        <v>0</v>
      </c>
      <c r="AA208" s="14">
        <f>Table3[[#This Row],[Month2]]</f>
        <v>46081</v>
      </c>
      <c r="AB208" s="350">
        <f t="shared" si="154"/>
        <v>-700</v>
      </c>
    </row>
    <row r="209" spans="1:28" ht="15" hidden="1" thickBot="1" x14ac:dyDescent="0.4">
      <c r="A209" t="s">
        <v>1724</v>
      </c>
      <c r="B209" t="str">
        <f>_xlfn.XLOOKUP(Table3[[#This Row],[Cargo Name]],Ledger[Cargo Name],Ledger[SAP Deal Number])</f>
        <v>VIT26HS00011</v>
      </c>
      <c r="C209">
        <v>0</v>
      </c>
      <c r="D209" s="26" t="s">
        <v>1729</v>
      </c>
      <c r="E209" s="174">
        <v>46049</v>
      </c>
      <c r="F209" s="10" t="s">
        <v>3</v>
      </c>
      <c r="G209" s="4" t="s">
        <v>268</v>
      </c>
      <c r="H209" s="253">
        <v>-700</v>
      </c>
      <c r="I209" s="172">
        <v>46112</v>
      </c>
      <c r="J209" s="172">
        <f>EOMONTH(Table3[[#This Row],[Month1]],1)</f>
        <v>46142</v>
      </c>
      <c r="K209" s="15">
        <v>0.35</v>
      </c>
      <c r="L209" s="192">
        <f ca="1">IF(OR(S209="WTI Sprds",S209="Brent Sprds",S209="WTI-Brent",S209="DFL"),INDEX(INDIRECT("'" &amp; S209 &amp; "'!$A$6:$XFD$1048576"),MATCH('PnL26'!$P$1,INDIRECT("'" &amp; S209 &amp; "'!$A$6:$A$1048576"),0),MATCH(EOMONTH(I209,0),INDIRECT("'" &amp; S209 &amp; "'!$A$4:$XFD$4"),0)),INDEX(BBG!$A:$BA,MATCH('PnL26'!$P$1,BBG!$A:$A,0),MATCH($I209,BBG!$A$4:$BA$4,0))-INDEX(BBG!$A:$BA,MATCH('PnL26'!$P$1,BBG!$A:$A,0),MATCH($J209,BBG!$A$4:$BA$4,0)))</f>
        <v>0.03</v>
      </c>
      <c r="M209" s="9">
        <f t="shared" ca="1" si="171"/>
        <v>223.99999999999997</v>
      </c>
      <c r="N209">
        <f t="shared" si="172"/>
        <v>-244.99999999999997</v>
      </c>
      <c r="O209" s="14" t="str">
        <f t="shared" si="162"/>
        <v>Mar/Apr 26</v>
      </c>
      <c r="P209" s="8" t="str">
        <f t="shared" si="173"/>
        <v>Sell</v>
      </c>
      <c r="Q209">
        <f t="shared" ca="1" si="174"/>
        <v>-21</v>
      </c>
      <c r="R209" s="38" t="str">
        <f>VLOOKUP(F209,Control!$B:$C,2,FALSE)</f>
        <v>Futures</v>
      </c>
      <c r="S209" s="38" t="str">
        <f>VLOOKUP(F209,Control!$B:$D,3,FALSE)</f>
        <v>WTI Sprds</v>
      </c>
      <c r="T209" s="38">
        <f t="shared" si="163"/>
        <v>2026</v>
      </c>
      <c r="U209" t="str">
        <f t="shared" si="175"/>
        <v>Sell</v>
      </c>
      <c r="V209" t="s">
        <v>96</v>
      </c>
      <c r="W209" t="str">
        <f>_xlfn.XLOOKUP(Table3[[#This Row],[Instrument]],Control!$B$2:$B$19,Control!$E$2:$E$19)</f>
        <v>WTI</v>
      </c>
      <c r="X209" s="14">
        <f>Table3[[#This Row],[Month1]]</f>
        <v>46112</v>
      </c>
      <c r="Y209" s="350">
        <f>Table3[[#This Row],[Quantity]]</f>
        <v>-700</v>
      </c>
      <c r="Z209" t="str">
        <f>_xlfn.XLOOKUP(Table3[[#This Row],[Instrument]],Control!$B$2:$B$19,Control!$F$2:$F$19)</f>
        <v>WTI</v>
      </c>
      <c r="AA209" s="14">
        <f>Table3[[#This Row],[Month2]]</f>
        <v>46142</v>
      </c>
      <c r="AB209" s="350">
        <f t="shared" si="154"/>
        <v>700</v>
      </c>
    </row>
    <row r="210" spans="1:28" ht="15" hidden="1" thickBot="1" x14ac:dyDescent="0.4">
      <c r="A210" t="s">
        <v>1724</v>
      </c>
      <c r="B210" t="str">
        <f>_xlfn.XLOOKUP(Table3[[#This Row],[Cargo Name]],Ledger[Cargo Name],Ledger[SAP Deal Number])</f>
        <v>VIT26HS00011</v>
      </c>
      <c r="C210">
        <v>0</v>
      </c>
      <c r="D210" s="26" t="s">
        <v>1729</v>
      </c>
      <c r="E210" s="174">
        <v>46049</v>
      </c>
      <c r="F210" s="10" t="s">
        <v>10</v>
      </c>
      <c r="G210" s="4" t="s">
        <v>268</v>
      </c>
      <c r="H210" s="253">
        <v>-700</v>
      </c>
      <c r="I210" s="172">
        <v>46142</v>
      </c>
      <c r="J210" s="172">
        <v>46142</v>
      </c>
      <c r="K210" s="15">
        <v>-4.49</v>
      </c>
      <c r="L210" s="192">
        <f ca="1">IF(OR(S210="WTI Sprds",S210="Brent Sprds",S210="WTI-Brent",S210="DFL"),INDEX(INDIRECT("'" &amp; S210 &amp; "'!$A$6:$XFD$1048576"),MATCH('PnL26'!$P$1,INDIRECT("'" &amp; S210 &amp; "'!$A$6:$A$1048576"),0),MATCH(EOMONTH(I210,0),INDIRECT("'" &amp; S210 &amp; "'!$A$4:$XFD$4"),0)),INDEX(BBG!$A:$BA,MATCH('PnL26'!$P$1,BBG!$A:$A,0),MATCH($I210,BBG!$A$4:$BA$4,0))-INDEX(BBG!$A:$BA,MATCH('PnL26'!$P$1,BBG!$A:$A,0),MATCH($J210,BBG!$A$4:$BA$4,0)))</f>
        <v>-5.46</v>
      </c>
      <c r="M210" s="9">
        <f t="shared" ca="1" si="171"/>
        <v>678.99999999999977</v>
      </c>
      <c r="N210">
        <f t="shared" si="172"/>
        <v>3143</v>
      </c>
      <c r="O210" s="14" t="str">
        <f t="shared" si="162"/>
        <v>Apr 26</v>
      </c>
      <c r="P210" s="8" t="str">
        <f t="shared" si="173"/>
        <v>Sell</v>
      </c>
      <c r="Q210">
        <f t="shared" ca="1" si="174"/>
        <v>3822</v>
      </c>
      <c r="R210" s="38" t="str">
        <f>VLOOKUP(F210,Control!$B:$C,2,FALSE)</f>
        <v>Swaps</v>
      </c>
      <c r="S210" s="38" t="str">
        <f>VLOOKUP(F210,Control!$B:$D,3,FALSE)</f>
        <v>WTI-Brent</v>
      </c>
      <c r="T210" s="38">
        <f t="shared" si="163"/>
        <v>2026</v>
      </c>
      <c r="U210" t="str">
        <f t="shared" si="175"/>
        <v>Sell</v>
      </c>
      <c r="V210" t="s">
        <v>96</v>
      </c>
      <c r="W210" t="str">
        <f>_xlfn.XLOOKUP(Table3[[#This Row],[Instrument]],Control!$B$2:$B$19,Control!$E$2:$E$19)</f>
        <v>WTI</v>
      </c>
      <c r="X210" s="14">
        <f>Table3[[#This Row],[Month1]]</f>
        <v>46142</v>
      </c>
      <c r="Y210" s="350">
        <f>Table3[[#This Row],[Quantity]]</f>
        <v>-700</v>
      </c>
      <c r="Z210" t="str">
        <f>_xlfn.XLOOKUP(Table3[[#This Row],[Instrument]],Control!$B$2:$B$19,Control!$F$2:$F$19)</f>
        <v>Brent</v>
      </c>
      <c r="AA210" s="14">
        <f>Table3[[#This Row],[Month2]]</f>
        <v>46142</v>
      </c>
      <c r="AB210" s="350">
        <f t="shared" si="154"/>
        <v>700</v>
      </c>
    </row>
    <row r="211" spans="1:28" ht="15" hidden="1" thickBot="1" x14ac:dyDescent="0.4">
      <c r="A211" t="s">
        <v>1724</v>
      </c>
      <c r="B211" t="str">
        <f>_xlfn.XLOOKUP(Table3[[#This Row],[Cargo Name]],Ledger[Cargo Name],Ledger[SAP Deal Number])</f>
        <v>Unallocated</v>
      </c>
      <c r="C211">
        <v>0</v>
      </c>
      <c r="D211" t="s">
        <v>127</v>
      </c>
      <c r="E211" s="174">
        <v>46049</v>
      </c>
      <c r="F211" s="10" t="s">
        <v>10</v>
      </c>
      <c r="G211" s="4" t="s">
        <v>128</v>
      </c>
      <c r="H211" s="253">
        <v>160</v>
      </c>
      <c r="I211" s="172">
        <v>46112</v>
      </c>
      <c r="J211" s="172">
        <v>46112</v>
      </c>
      <c r="K211" s="15">
        <f>+K212-0.6</f>
        <v>-5.05</v>
      </c>
      <c r="L211" s="192">
        <f ca="1">IF(OR(S211="WTI Sprds",S211="Brent Sprds",S211="WTI-Brent",S211="DFL"),INDEX(INDIRECT("'" &amp; S211 &amp; "'!$A$6:$XFD$1048576"),MATCH('PnL26'!$P$1,INDIRECT("'" &amp; S211 &amp; "'!$A$6:$A$1048576"),0),MATCH(EOMONTH(I211,0),INDIRECT("'" &amp; S211 &amp; "'!$A$4:$XFD$4"),0)),INDEX(BBG!$A:$BA,MATCH('PnL26'!$P$1,BBG!$A:$A,0),MATCH($I211,BBG!$A$4:$BA$4,0))-INDEX(BBG!$A:$BA,MATCH('PnL26'!$P$1,BBG!$A:$A,0),MATCH($J211,BBG!$A$4:$BA$4,0)))</f>
        <v>-5.48</v>
      </c>
      <c r="M211" s="9">
        <f t="shared" ca="1" si="171"/>
        <v>-68.800000000000097</v>
      </c>
      <c r="N211">
        <f t="shared" si="172"/>
        <v>-808</v>
      </c>
      <c r="O211" s="14" t="str">
        <f t="shared" si="162"/>
        <v>Mar 26</v>
      </c>
      <c r="P211" s="8" t="str">
        <f t="shared" si="173"/>
        <v>Buy</v>
      </c>
      <c r="Q211">
        <f t="shared" ca="1" si="174"/>
        <v>-876.80000000000007</v>
      </c>
      <c r="R211" s="38" t="str">
        <f>VLOOKUP(F211,Control!$B:$C,2,FALSE)</f>
        <v>Swaps</v>
      </c>
      <c r="S211" s="38" t="str">
        <f>VLOOKUP(F211,Control!$B:$D,3,FALSE)</f>
        <v>WTI-Brent</v>
      </c>
      <c r="T211" s="38">
        <f t="shared" si="163"/>
        <v>2026</v>
      </c>
      <c r="U211" t="str">
        <f t="shared" si="175"/>
        <v>Buy</v>
      </c>
      <c r="V211" t="s">
        <v>96</v>
      </c>
      <c r="W211" t="str">
        <f>_xlfn.XLOOKUP(Table3[[#This Row],[Instrument]],Control!$B$2:$B$19,Control!$E$2:$E$19)</f>
        <v>WTI</v>
      </c>
      <c r="X211" s="14">
        <f>Table3[[#This Row],[Month1]]</f>
        <v>46112</v>
      </c>
      <c r="Y211" s="350">
        <f>Table3[[#This Row],[Quantity]]</f>
        <v>160</v>
      </c>
      <c r="Z211" t="str">
        <f>_xlfn.XLOOKUP(Table3[[#This Row],[Instrument]],Control!$B$2:$B$19,Control!$F$2:$F$19)</f>
        <v>Brent</v>
      </c>
      <c r="AA211" s="14">
        <f>Table3[[#This Row],[Month2]]</f>
        <v>46112</v>
      </c>
      <c r="AB211" s="350">
        <f t="shared" si="154"/>
        <v>-160</v>
      </c>
    </row>
    <row r="212" spans="1:28" ht="15" hidden="1" thickBot="1" x14ac:dyDescent="0.4">
      <c r="A212" t="s">
        <v>1724</v>
      </c>
      <c r="B212" t="str">
        <f>_xlfn.XLOOKUP(Table3[[#This Row],[Cargo Name]],Ledger[Cargo Name],Ledger[SAP Deal Number])</f>
        <v>Unallocated</v>
      </c>
      <c r="C212">
        <v>0</v>
      </c>
      <c r="D212" t="s">
        <v>127</v>
      </c>
      <c r="E212" s="174">
        <v>46049</v>
      </c>
      <c r="F212" s="10" t="s">
        <v>10</v>
      </c>
      <c r="G212" s="4" t="s">
        <v>128</v>
      </c>
      <c r="H212" s="253">
        <v>-160</v>
      </c>
      <c r="I212" s="172">
        <v>46142</v>
      </c>
      <c r="J212" s="172">
        <v>46142</v>
      </c>
      <c r="K212" s="15">
        <v>-4.45</v>
      </c>
      <c r="L212" s="192">
        <f ca="1">IF(OR(S212="WTI Sprds",S212="Brent Sprds",S212="WTI-Brent",S212="DFL"),INDEX(INDIRECT("'" &amp; S212 &amp; "'!$A$6:$XFD$1048576"),MATCH('PnL26'!$P$1,INDIRECT("'" &amp; S212 &amp; "'!$A$6:$A$1048576"),0),MATCH(EOMONTH(I212,0),INDIRECT("'" &amp; S212 &amp; "'!$A$4:$XFD$4"),0)),INDEX(BBG!$A:$BA,MATCH('PnL26'!$P$1,BBG!$A:$A,0),MATCH($I212,BBG!$A$4:$BA$4,0))-INDEX(BBG!$A:$BA,MATCH('PnL26'!$P$1,BBG!$A:$A,0),MATCH($J212,BBG!$A$4:$BA$4,0)))</f>
        <v>-5.46</v>
      </c>
      <c r="M212" s="9">
        <f t="shared" ref="M212:M214" ca="1" si="176">IFERROR((L212-K212)*H212,"")</f>
        <v>161.59999999999997</v>
      </c>
      <c r="N212">
        <f t="shared" ref="N212:N214" si="177">H212*K212</f>
        <v>712</v>
      </c>
      <c r="O212" s="14" t="str">
        <f t="shared" ref="O212:O214" si="178">IF(I212=J212,TEXT(I212,"MMM YY"),TEXT(I212,"MMM")&amp;"/"&amp;TEXT(J212,"MMM")&amp;" "&amp;RIGHT(T212,2))</f>
        <v>Apr 26</v>
      </c>
      <c r="P212" s="8" t="str">
        <f t="shared" ref="P212:P214" si="179">IF(H212&lt;0,"Sell","Buy")</f>
        <v>Sell</v>
      </c>
      <c r="Q212">
        <f t="shared" ref="Q212:Q214" ca="1" si="180">H212*L212</f>
        <v>873.6</v>
      </c>
      <c r="R212" s="38" t="str">
        <f>VLOOKUP(F212,Control!$B:$C,2,FALSE)</f>
        <v>Swaps</v>
      </c>
      <c r="S212" s="38" t="str">
        <f>VLOOKUP(F212,Control!$B:$D,3,FALSE)</f>
        <v>WTI-Brent</v>
      </c>
      <c r="T212" s="38">
        <f t="shared" ref="T212:T214" si="181">YEAR(I212)</f>
        <v>2026</v>
      </c>
      <c r="U212" t="str">
        <f t="shared" ref="U212:U214" si="182">IFERROR(IF(H212&gt;0,"Buy","Sell"),"")</f>
        <v>Sell</v>
      </c>
      <c r="V212" t="s">
        <v>96</v>
      </c>
      <c r="W212" t="str">
        <f>_xlfn.XLOOKUP(Table3[[#This Row],[Instrument]],Control!$B$2:$B$19,Control!$E$2:$E$19)</f>
        <v>WTI</v>
      </c>
      <c r="X212" s="14">
        <f>Table3[[#This Row],[Month1]]</f>
        <v>46142</v>
      </c>
      <c r="Y212" s="350">
        <f>Table3[[#This Row],[Quantity]]</f>
        <v>-160</v>
      </c>
      <c r="Z212" t="str">
        <f>_xlfn.XLOOKUP(Table3[[#This Row],[Instrument]],Control!$B$2:$B$19,Control!$F$2:$F$19)</f>
        <v>Brent</v>
      </c>
      <c r="AA212" s="14">
        <f>Table3[[#This Row],[Month2]]</f>
        <v>46142</v>
      </c>
      <c r="AB212" s="350">
        <f t="shared" si="154"/>
        <v>160</v>
      </c>
    </row>
    <row r="213" spans="1:28" ht="15" hidden="1" thickBot="1" x14ac:dyDescent="0.4">
      <c r="A213" t="s">
        <v>1724</v>
      </c>
      <c r="B213" t="str">
        <f>_xlfn.XLOOKUP(Table3[[#This Row],[Cargo Name]],Ledger[Cargo Name],Ledger[SAP Deal Number])</f>
        <v>Unallocated</v>
      </c>
      <c r="C213">
        <v>0</v>
      </c>
      <c r="D213" t="s">
        <v>127</v>
      </c>
      <c r="E213" s="174">
        <v>46050</v>
      </c>
      <c r="F213" s="10" t="s">
        <v>10</v>
      </c>
      <c r="G213" s="4" t="s">
        <v>128</v>
      </c>
      <c r="H213" s="253">
        <v>-320</v>
      </c>
      <c r="I213" s="172">
        <v>46112</v>
      </c>
      <c r="J213" s="172">
        <v>46112</v>
      </c>
      <c r="K213" s="15">
        <v>-5.16</v>
      </c>
      <c r="L213" s="192">
        <f ca="1">IF(OR(S213="WTI Sprds",S213="Brent Sprds",S213="WTI-Brent",S213="DFL"),INDEX(INDIRECT("'" &amp; S213 &amp; "'!$A$6:$XFD$1048576"),MATCH('PnL26'!$P$1,INDIRECT("'" &amp; S213 &amp; "'!$A$6:$A$1048576"),0),MATCH(EOMONTH(I213,0),INDIRECT("'" &amp; S213 &amp; "'!$A$4:$XFD$4"),0)),INDEX(BBG!$A:$BA,MATCH('PnL26'!$P$1,BBG!$A:$A,0),MATCH($I213,BBG!$A$4:$BA$4,0))-INDEX(BBG!$A:$BA,MATCH('PnL26'!$P$1,BBG!$A:$A,0),MATCH($J213,BBG!$A$4:$BA$4,0)))</f>
        <v>-5.48</v>
      </c>
      <c r="M213" s="9">
        <f t="shared" ca="1" si="176"/>
        <v>102.40000000000009</v>
      </c>
      <c r="N213">
        <f t="shared" si="177"/>
        <v>1651.2</v>
      </c>
      <c r="O213" s="14" t="str">
        <f t="shared" si="178"/>
        <v>Mar 26</v>
      </c>
      <c r="P213" s="8" t="str">
        <f t="shared" si="179"/>
        <v>Sell</v>
      </c>
      <c r="Q213">
        <f t="shared" ca="1" si="180"/>
        <v>1753.6000000000001</v>
      </c>
      <c r="R213" s="38" t="str">
        <f>VLOOKUP(F213,Control!$B:$C,2,FALSE)</f>
        <v>Swaps</v>
      </c>
      <c r="S213" s="38" t="str">
        <f>VLOOKUP(F213,Control!$B:$D,3,FALSE)</f>
        <v>WTI-Brent</v>
      </c>
      <c r="T213" s="38">
        <f t="shared" si="181"/>
        <v>2026</v>
      </c>
      <c r="U213" t="str">
        <f t="shared" si="182"/>
        <v>Sell</v>
      </c>
      <c r="V213" t="s">
        <v>96</v>
      </c>
      <c r="W213" t="str">
        <f>_xlfn.XLOOKUP(Table3[[#This Row],[Instrument]],Control!$B$2:$B$19,Control!$E$2:$E$19)</f>
        <v>WTI</v>
      </c>
      <c r="X213" s="14">
        <f>Table3[[#This Row],[Month1]]</f>
        <v>46112</v>
      </c>
      <c r="Y213" s="350">
        <f>Table3[[#This Row],[Quantity]]</f>
        <v>-320</v>
      </c>
      <c r="Z213" t="str">
        <f>_xlfn.XLOOKUP(Table3[[#This Row],[Instrument]],Control!$B$2:$B$19,Control!$F$2:$F$19)</f>
        <v>Brent</v>
      </c>
      <c r="AA213" s="14">
        <f>Table3[[#This Row],[Month2]]</f>
        <v>46112</v>
      </c>
      <c r="AB213" s="350">
        <f t="shared" si="154"/>
        <v>320</v>
      </c>
    </row>
    <row r="214" spans="1:28" ht="15" hidden="1" thickBot="1" x14ac:dyDescent="0.4">
      <c r="D214" t="s">
        <v>127</v>
      </c>
      <c r="E214" s="16">
        <v>46049</v>
      </c>
      <c r="F214" s="10" t="s">
        <v>3</v>
      </c>
      <c r="G214" s="4" t="s">
        <v>128</v>
      </c>
      <c r="H214" s="253">
        <v>-1000</v>
      </c>
      <c r="I214" s="172">
        <v>46112</v>
      </c>
      <c r="J214" s="172">
        <f>EOMONTH(Table3[[#This Row],[Month1]],1)</f>
        <v>46142</v>
      </c>
      <c r="K214" s="15">
        <v>0.28000000000000003</v>
      </c>
      <c r="L214" s="192">
        <f ca="1">IF(OR(S214="WTI Sprds",S214="Brent Sprds",S214="WTI-Brent",S214="DFL"),INDEX(INDIRECT("'" &amp; S214 &amp; "'!$A$6:$XFD$1048576"),MATCH('PnL26'!$P$1,INDIRECT("'" &amp; S214 &amp; "'!$A$6:$A$1048576"),0),MATCH(EOMONTH(I214,0),INDIRECT("'" &amp; S214 &amp; "'!$A$4:$XFD$4"),0)),INDEX(BBG!$A:$BA,MATCH('PnL26'!$P$1,BBG!$A:$A,0),MATCH($I214,BBG!$A$4:$BA$4,0))-INDEX(BBG!$A:$BA,MATCH('PnL26'!$P$1,BBG!$A:$A,0),MATCH($J214,BBG!$A$4:$BA$4,0)))</f>
        <v>0.03</v>
      </c>
      <c r="M214" s="9">
        <f t="shared" ca="1" si="176"/>
        <v>250</v>
      </c>
      <c r="N214">
        <f t="shared" si="177"/>
        <v>-280</v>
      </c>
      <c r="O214" s="14" t="str">
        <f t="shared" si="178"/>
        <v>Mar/Apr 26</v>
      </c>
      <c r="P214" s="8" t="str">
        <f t="shared" si="179"/>
        <v>Sell</v>
      </c>
      <c r="Q214">
        <f t="shared" ca="1" si="180"/>
        <v>-30</v>
      </c>
      <c r="R214" s="38" t="str">
        <f>VLOOKUP(F214,Control!$B:$C,2,FALSE)</f>
        <v>Futures</v>
      </c>
      <c r="S214" s="38" t="str">
        <f>VLOOKUP(F214,Control!$B:$D,3,FALSE)</f>
        <v>WTI Sprds</v>
      </c>
      <c r="T214" s="38">
        <f t="shared" si="181"/>
        <v>2026</v>
      </c>
      <c r="U214" t="str">
        <f t="shared" si="182"/>
        <v>Sell</v>
      </c>
      <c r="V214" t="s">
        <v>96</v>
      </c>
      <c r="W214" t="str">
        <f>_xlfn.XLOOKUP(Table3[[#This Row],[Instrument]],Control!$B$2:$B$19,Control!$E$2:$E$19)</f>
        <v>WTI</v>
      </c>
      <c r="X214" s="14">
        <f>Table3[[#This Row],[Month1]]</f>
        <v>46112</v>
      </c>
      <c r="Y214" s="350">
        <f>Table3[[#This Row],[Quantity]]</f>
        <v>-1000</v>
      </c>
      <c r="Z214" t="str">
        <f>_xlfn.XLOOKUP(Table3[[#This Row],[Instrument]],Control!$B$2:$B$19,Control!$F$2:$F$19)</f>
        <v>WTI</v>
      </c>
      <c r="AA214" s="14">
        <f>Table3[[#This Row],[Month2]]</f>
        <v>46142</v>
      </c>
      <c r="AB214" s="350">
        <f t="shared" si="154"/>
        <v>1000</v>
      </c>
    </row>
    <row r="215" spans="1:28" ht="15" hidden="1" thickBot="1" x14ac:dyDescent="0.4">
      <c r="A215" t="s">
        <v>1724</v>
      </c>
      <c r="B215" t="str">
        <f>_xlfn.XLOOKUP(Table3[[#This Row],[Cargo Name]],Ledger[Cargo Name],Ledger[SAP Deal Number])</f>
        <v>Unallocated</v>
      </c>
      <c r="C215">
        <v>0</v>
      </c>
      <c r="D215" t="s">
        <v>127</v>
      </c>
      <c r="E215" s="174">
        <v>46050</v>
      </c>
      <c r="F215" s="10" t="s">
        <v>10</v>
      </c>
      <c r="G215" s="4" t="s">
        <v>128</v>
      </c>
      <c r="H215" s="253">
        <v>320</v>
      </c>
      <c r="I215" s="172">
        <v>46142</v>
      </c>
      <c r="J215" s="172">
        <v>46142</v>
      </c>
      <c r="K215" s="15">
        <v>-4.4400000000000004</v>
      </c>
      <c r="L215" s="192">
        <f ca="1">IF(OR(S215="WTI Sprds",S215="Brent Sprds",S215="WTI-Brent",S215="DFL"),INDEX(INDIRECT("'" &amp; S215 &amp; "'!$A$6:$XFD$1048576"),MATCH('PnL26'!$P$1,INDIRECT("'" &amp; S215 &amp; "'!$A$6:$A$1048576"),0),MATCH(EOMONTH(I215,0),INDIRECT("'" &amp; S215 &amp; "'!$A$4:$XFD$4"),0)),INDEX(BBG!$A:$BA,MATCH('PnL26'!$P$1,BBG!$A:$A,0),MATCH($I215,BBG!$A$4:$BA$4,0))-INDEX(BBG!$A:$BA,MATCH('PnL26'!$P$1,BBG!$A:$A,0),MATCH($J215,BBG!$A$4:$BA$4,0)))</f>
        <v>-5.46</v>
      </c>
      <c r="M215" s="9">
        <f t="shared" ref="M215:M219" ca="1" si="183">IFERROR((L215-K215)*H215,"")</f>
        <v>-326.39999999999986</v>
      </c>
      <c r="N215">
        <f t="shared" ref="N215:N219" si="184">H215*K215</f>
        <v>-1420.8000000000002</v>
      </c>
      <c r="O215" s="14" t="str">
        <f t="shared" ref="O215:O219" si="185">IF(I215=J215,TEXT(I215,"MMM YY"),TEXT(I215,"MMM")&amp;"/"&amp;TEXT(J215,"MMM")&amp;" "&amp;RIGHT(T215,2))</f>
        <v>Apr 26</v>
      </c>
      <c r="P215" s="8" t="str">
        <f t="shared" ref="P215:P219" si="186">IF(H215&lt;0,"Sell","Buy")</f>
        <v>Buy</v>
      </c>
      <c r="Q215">
        <f t="shared" ref="Q215:Q219" ca="1" si="187">H215*L215</f>
        <v>-1747.2</v>
      </c>
      <c r="R215" s="38" t="str">
        <f>VLOOKUP(F215,Control!$B:$C,2,FALSE)</f>
        <v>Swaps</v>
      </c>
      <c r="S215" s="38" t="str">
        <f>VLOOKUP(F215,Control!$B:$D,3,FALSE)</f>
        <v>WTI-Brent</v>
      </c>
      <c r="T215" s="38">
        <f t="shared" ref="T215:T219" si="188">YEAR(I215)</f>
        <v>2026</v>
      </c>
      <c r="U215" t="str">
        <f t="shared" ref="U215:U219" si="189">IFERROR(IF(H215&gt;0,"Buy","Sell"),"")</f>
        <v>Buy</v>
      </c>
      <c r="V215" t="s">
        <v>96</v>
      </c>
      <c r="W215" t="str">
        <f>_xlfn.XLOOKUP(Table3[[#This Row],[Instrument]],Control!$B$2:$B$19,Control!$E$2:$E$19)</f>
        <v>WTI</v>
      </c>
      <c r="X215" s="14">
        <f>Table3[[#This Row],[Month1]]</f>
        <v>46142</v>
      </c>
      <c r="Y215" s="350">
        <f>Table3[[#This Row],[Quantity]]</f>
        <v>320</v>
      </c>
      <c r="Z215" t="str">
        <f>_xlfn.XLOOKUP(Table3[[#This Row],[Instrument]],Control!$B$2:$B$19,Control!$F$2:$F$19)</f>
        <v>Brent</v>
      </c>
      <c r="AA215" s="14">
        <f>Table3[[#This Row],[Month2]]</f>
        <v>46142</v>
      </c>
      <c r="AB215" s="350">
        <f t="shared" si="154"/>
        <v>-320</v>
      </c>
    </row>
    <row r="216" spans="1:28" ht="15" hidden="1" thickBot="1" x14ac:dyDescent="0.4">
      <c r="A216" t="s">
        <v>1724</v>
      </c>
      <c r="B216" t="str">
        <f>_xlfn.XLOOKUP(Table3[[#This Row],[Cargo Name]],Ledger[Cargo Name],Ledger[SAP Deal Number])</f>
        <v>Unallocated</v>
      </c>
      <c r="C216">
        <v>0</v>
      </c>
      <c r="D216" t="s">
        <v>127</v>
      </c>
      <c r="E216" s="16">
        <v>46050</v>
      </c>
      <c r="F216" s="10" t="s">
        <v>3</v>
      </c>
      <c r="G216" s="4" t="s">
        <v>128</v>
      </c>
      <c r="H216" s="388">
        <v>-500</v>
      </c>
      <c r="I216" s="172">
        <v>46112</v>
      </c>
      <c r="J216" s="172">
        <f>EOMONTH(Table3[[#This Row],[Month1]],1)</f>
        <v>46142</v>
      </c>
      <c r="K216" s="15">
        <v>0.35</v>
      </c>
      <c r="L216" s="192">
        <f ca="1">IF(OR(S216="WTI Sprds",S216="Brent Sprds",S216="WTI-Brent",S216="DFL"),INDEX(INDIRECT("'" &amp; S216 &amp; "'!$A$6:$XFD$1048576"),MATCH('PnL26'!$P$1,INDIRECT("'" &amp; S216 &amp; "'!$A$6:$A$1048576"),0),MATCH(EOMONTH(I216,0),INDIRECT("'" &amp; S216 &amp; "'!$A$4:$XFD$4"),0)),INDEX(BBG!$A:$BA,MATCH('PnL26'!$P$1,BBG!$A:$A,0),MATCH($I216,BBG!$A$4:$BA$4,0))-INDEX(BBG!$A:$BA,MATCH('PnL26'!$P$1,BBG!$A:$A,0),MATCH($J216,BBG!$A$4:$BA$4,0)))</f>
        <v>0.03</v>
      </c>
      <c r="M216" s="9">
        <f t="shared" ca="1" si="183"/>
        <v>159.99999999999997</v>
      </c>
      <c r="N216">
        <f t="shared" si="184"/>
        <v>-175</v>
      </c>
      <c r="O216" s="14" t="str">
        <f t="shared" si="185"/>
        <v>Mar/Apr 26</v>
      </c>
      <c r="P216" s="8" t="str">
        <f t="shared" si="186"/>
        <v>Sell</v>
      </c>
      <c r="Q216">
        <f t="shared" ca="1" si="187"/>
        <v>-15</v>
      </c>
      <c r="R216" s="38" t="str">
        <f>VLOOKUP(F216,Control!$B:$C,2,FALSE)</f>
        <v>Futures</v>
      </c>
      <c r="S216" s="38" t="str">
        <f>VLOOKUP(F216,Control!$B:$D,3,FALSE)</f>
        <v>WTI Sprds</v>
      </c>
      <c r="T216" s="38">
        <f t="shared" si="188"/>
        <v>2026</v>
      </c>
      <c r="U216" t="str">
        <f t="shared" si="189"/>
        <v>Sell</v>
      </c>
      <c r="V216" t="s">
        <v>96</v>
      </c>
      <c r="W216" t="str">
        <f>_xlfn.XLOOKUP(Table3[[#This Row],[Instrument]],Control!$B$2:$B$19,Control!$E$2:$E$19)</f>
        <v>WTI</v>
      </c>
      <c r="X216" s="14">
        <f>Table3[[#This Row],[Month1]]</f>
        <v>46112</v>
      </c>
      <c r="Y216" s="350">
        <f>Table3[[#This Row],[Quantity]]</f>
        <v>-500</v>
      </c>
      <c r="Z216" t="str">
        <f>_xlfn.XLOOKUP(Table3[[#This Row],[Instrument]],Control!$B$2:$B$19,Control!$F$2:$F$19)</f>
        <v>WTI</v>
      </c>
      <c r="AA216" s="14">
        <f>Table3[[#This Row],[Month2]]</f>
        <v>46142</v>
      </c>
      <c r="AB216" s="350">
        <f t="shared" si="154"/>
        <v>500</v>
      </c>
    </row>
    <row r="217" spans="1:28" ht="15" hidden="1" thickBot="1" x14ac:dyDescent="0.4">
      <c r="A217" t="s">
        <v>1724</v>
      </c>
      <c r="B217" t="str">
        <f>_xlfn.XLOOKUP(Table3[[#This Row],[Cargo Name]],Ledger[Cargo Name],Ledger[SAP Deal Number])</f>
        <v>Unallocated</v>
      </c>
      <c r="C217">
        <v>0</v>
      </c>
      <c r="D217" t="s">
        <v>127</v>
      </c>
      <c r="E217" s="16">
        <v>46050</v>
      </c>
      <c r="F217" s="10" t="s">
        <v>3</v>
      </c>
      <c r="G217" s="4" t="s">
        <v>128</v>
      </c>
      <c r="H217" s="388">
        <v>-500</v>
      </c>
      <c r="I217" s="172">
        <v>46112</v>
      </c>
      <c r="J217" s="172">
        <f>EOMONTH(Table3[[#This Row],[Month1]],1)</f>
        <v>46142</v>
      </c>
      <c r="K217" s="15">
        <v>0.35</v>
      </c>
      <c r="L217" s="192">
        <f ca="1">IF(OR(S217="WTI Sprds",S217="Brent Sprds",S217="WTI-Brent",S217="DFL"),INDEX(INDIRECT("'" &amp; S217 &amp; "'!$A$6:$XFD$1048576"),MATCH('PnL26'!$P$1,INDIRECT("'" &amp; S217 &amp; "'!$A$6:$A$1048576"),0),MATCH(EOMONTH(I217,0),INDIRECT("'" &amp; S217 &amp; "'!$A$4:$XFD$4"),0)),INDEX(BBG!$A:$BA,MATCH('PnL26'!$P$1,BBG!$A:$A,0),MATCH($I217,BBG!$A$4:$BA$4,0))-INDEX(BBG!$A:$BA,MATCH('PnL26'!$P$1,BBG!$A:$A,0),MATCH($J217,BBG!$A$4:$BA$4,0)))</f>
        <v>0.03</v>
      </c>
      <c r="M217" s="9">
        <f t="shared" ca="1" si="183"/>
        <v>159.99999999999997</v>
      </c>
      <c r="N217">
        <f t="shared" si="184"/>
        <v>-175</v>
      </c>
      <c r="O217" s="14" t="str">
        <f t="shared" si="185"/>
        <v>Mar/Apr 26</v>
      </c>
      <c r="P217" s="8" t="str">
        <f t="shared" si="186"/>
        <v>Sell</v>
      </c>
      <c r="Q217">
        <f t="shared" ca="1" si="187"/>
        <v>-15</v>
      </c>
      <c r="R217" s="38" t="str">
        <f>VLOOKUP(F217,Control!$B:$C,2,FALSE)</f>
        <v>Futures</v>
      </c>
      <c r="S217" s="38" t="str">
        <f>VLOOKUP(F217,Control!$B:$D,3,FALSE)</f>
        <v>WTI Sprds</v>
      </c>
      <c r="T217" s="38">
        <f t="shared" si="188"/>
        <v>2026</v>
      </c>
      <c r="U217" t="str">
        <f t="shared" si="189"/>
        <v>Sell</v>
      </c>
      <c r="V217" t="s">
        <v>96</v>
      </c>
      <c r="W217" t="str">
        <f>_xlfn.XLOOKUP(Table3[[#This Row],[Instrument]],Control!$B$2:$B$19,Control!$E$2:$E$19)</f>
        <v>WTI</v>
      </c>
      <c r="X217" s="14">
        <f>Table3[[#This Row],[Month1]]</f>
        <v>46112</v>
      </c>
      <c r="Y217" s="350">
        <f>Table3[[#This Row],[Quantity]]</f>
        <v>-500</v>
      </c>
      <c r="Z217" t="str">
        <f>_xlfn.XLOOKUP(Table3[[#This Row],[Instrument]],Control!$B$2:$B$19,Control!$F$2:$F$19)</f>
        <v>WTI</v>
      </c>
      <c r="AA217" s="14">
        <f>Table3[[#This Row],[Month2]]</f>
        <v>46142</v>
      </c>
      <c r="AB217" s="350">
        <f t="shared" si="154"/>
        <v>500</v>
      </c>
    </row>
    <row r="218" spans="1:28" ht="15" hidden="1" thickBot="1" x14ac:dyDescent="0.4">
      <c r="A218" t="s">
        <v>1724</v>
      </c>
      <c r="B218" t="str">
        <f>_xlfn.XLOOKUP(Table3[[#This Row],[Cargo Name]],Ledger[Cargo Name],Ledger[SAP Deal Number])</f>
        <v>Unallocated</v>
      </c>
      <c r="C218">
        <v>0</v>
      </c>
      <c r="D218" t="s">
        <v>127</v>
      </c>
      <c r="E218" s="16">
        <v>46050</v>
      </c>
      <c r="F218" s="10" t="s">
        <v>3</v>
      </c>
      <c r="G218" s="4" t="s">
        <v>128</v>
      </c>
      <c r="H218" s="388">
        <v>-500</v>
      </c>
      <c r="I218" s="172">
        <v>46142</v>
      </c>
      <c r="J218" s="172">
        <f>EOMONTH(Table3[[#This Row],[Month1]],1)</f>
        <v>46173</v>
      </c>
      <c r="K218" s="15">
        <v>0.3</v>
      </c>
      <c r="L218" s="192">
        <f ca="1">IF(OR(S218="WTI Sprds",S218="Brent Sprds",S218="WTI-Brent",S218="DFL"),INDEX(INDIRECT("'" &amp; S218 &amp; "'!$A$6:$XFD$1048576"),MATCH('PnL26'!$P$1,INDIRECT("'" &amp; S218 &amp; "'!$A$6:$A$1048576"),0),MATCH(EOMONTH(I218,0),INDIRECT("'" &amp; S218 &amp; "'!$A$4:$XFD$4"),0)),INDEX(BBG!$A:$BA,MATCH('PnL26'!$P$1,BBG!$A:$A,0),MATCH($I218,BBG!$A$4:$BA$4,0))-INDEX(BBG!$A:$BA,MATCH('PnL26'!$P$1,BBG!$A:$A,0),MATCH($J218,BBG!$A$4:$BA$4,0)))</f>
        <v>0.59</v>
      </c>
      <c r="M218" s="9">
        <f t="shared" ca="1" si="183"/>
        <v>-145</v>
      </c>
      <c r="N218">
        <f t="shared" si="184"/>
        <v>-150</v>
      </c>
      <c r="O218" s="14" t="str">
        <f t="shared" si="185"/>
        <v>Apr/May 26</v>
      </c>
      <c r="P218" s="8" t="str">
        <f t="shared" si="186"/>
        <v>Sell</v>
      </c>
      <c r="Q218">
        <f t="shared" ca="1" si="187"/>
        <v>-295</v>
      </c>
      <c r="R218" s="38" t="str">
        <f>VLOOKUP(F218,Control!$B:$C,2,FALSE)</f>
        <v>Futures</v>
      </c>
      <c r="S218" s="38" t="str">
        <f>VLOOKUP(F218,Control!$B:$D,3,FALSE)</f>
        <v>WTI Sprds</v>
      </c>
      <c r="T218" s="38">
        <f t="shared" si="188"/>
        <v>2026</v>
      </c>
      <c r="U218" t="str">
        <f t="shared" si="189"/>
        <v>Sell</v>
      </c>
      <c r="V218" t="s">
        <v>96</v>
      </c>
      <c r="W218" t="str">
        <f>_xlfn.XLOOKUP(Table3[[#This Row],[Instrument]],Control!$B$2:$B$19,Control!$E$2:$E$19)</f>
        <v>WTI</v>
      </c>
      <c r="X218" s="14">
        <f>Table3[[#This Row],[Month1]]</f>
        <v>46142</v>
      </c>
      <c r="Y218" s="350">
        <f>Table3[[#This Row],[Quantity]]</f>
        <v>-500</v>
      </c>
      <c r="Z218" t="str">
        <f>_xlfn.XLOOKUP(Table3[[#This Row],[Instrument]],Control!$B$2:$B$19,Control!$F$2:$F$19)</f>
        <v>WTI</v>
      </c>
      <c r="AA218" s="14">
        <f>Table3[[#This Row],[Month2]]</f>
        <v>46173</v>
      </c>
      <c r="AB218" s="350">
        <f t="shared" si="154"/>
        <v>500</v>
      </c>
    </row>
    <row r="219" spans="1:28" ht="15" hidden="1" thickBot="1" x14ac:dyDescent="0.4">
      <c r="A219" t="s">
        <v>1724</v>
      </c>
      <c r="B219" t="str">
        <f>_xlfn.XLOOKUP(Table3[[#This Row],[Cargo Name]],Ledger[Cargo Name],Ledger[SAP Deal Number])</f>
        <v>Unallocated</v>
      </c>
      <c r="C219">
        <v>0</v>
      </c>
      <c r="D219" t="s">
        <v>127</v>
      </c>
      <c r="E219" s="16">
        <v>46050</v>
      </c>
      <c r="F219" s="10" t="s">
        <v>3</v>
      </c>
      <c r="G219" s="4" t="s">
        <v>128</v>
      </c>
      <c r="H219" s="253">
        <v>233</v>
      </c>
      <c r="I219" s="172">
        <v>46112</v>
      </c>
      <c r="J219" s="172">
        <f>EOMONTH(Table3[[#This Row],[Month1]],1)</f>
        <v>46142</v>
      </c>
      <c r="K219" s="15">
        <v>0.3</v>
      </c>
      <c r="L219" s="192">
        <f ca="1">IF(OR(S219="WTI Sprds",S219="Brent Sprds",S219="WTI-Brent",S219="DFL"),INDEX(INDIRECT("'" &amp; S219 &amp; "'!$A$6:$XFD$1048576"),MATCH('PnL26'!$P$1,INDIRECT("'" &amp; S219 &amp; "'!$A$6:$A$1048576"),0),MATCH(EOMONTH(I219,0),INDIRECT("'" &amp; S219 &amp; "'!$A$4:$XFD$4"),0)),INDEX(BBG!$A:$BA,MATCH('PnL26'!$P$1,BBG!$A:$A,0),MATCH($I219,BBG!$A$4:$BA$4,0))-INDEX(BBG!$A:$BA,MATCH('PnL26'!$P$1,BBG!$A:$A,0),MATCH($J219,BBG!$A$4:$BA$4,0)))</f>
        <v>0.03</v>
      </c>
      <c r="M219" s="9">
        <f t="shared" ca="1" si="183"/>
        <v>-62.910000000000004</v>
      </c>
      <c r="N219">
        <f t="shared" si="184"/>
        <v>69.899999999999991</v>
      </c>
      <c r="O219" s="14" t="str">
        <f t="shared" si="185"/>
        <v>Mar/Apr 26</v>
      </c>
      <c r="P219" s="8" t="str">
        <f t="shared" si="186"/>
        <v>Buy</v>
      </c>
      <c r="Q219">
        <f t="shared" ca="1" si="187"/>
        <v>6.9899999999999993</v>
      </c>
      <c r="R219" s="38" t="str">
        <f>VLOOKUP(F219,Control!$B:$C,2,FALSE)</f>
        <v>Futures</v>
      </c>
      <c r="S219" s="38" t="str">
        <f>VLOOKUP(F219,Control!$B:$D,3,FALSE)</f>
        <v>WTI Sprds</v>
      </c>
      <c r="T219" s="38">
        <f t="shared" si="188"/>
        <v>2026</v>
      </c>
      <c r="U219" t="str">
        <f t="shared" si="189"/>
        <v>Buy</v>
      </c>
      <c r="V219" t="s">
        <v>96</v>
      </c>
      <c r="W219" t="str">
        <f>_xlfn.XLOOKUP(Table3[[#This Row],[Instrument]],Control!$B$2:$B$19,Control!$E$2:$E$19)</f>
        <v>WTI</v>
      </c>
      <c r="X219" s="14">
        <f>Table3[[#This Row],[Month1]]</f>
        <v>46112</v>
      </c>
      <c r="Y219" s="350">
        <f>Table3[[#This Row],[Quantity]]</f>
        <v>233</v>
      </c>
      <c r="Z219" t="str">
        <f>_xlfn.XLOOKUP(Table3[[#This Row],[Instrument]],Control!$B$2:$B$19,Control!$F$2:$F$19)</f>
        <v>WTI</v>
      </c>
      <c r="AA219" s="14">
        <f>Table3[[#This Row],[Month2]]</f>
        <v>46142</v>
      </c>
      <c r="AB219" s="350">
        <f t="shared" si="154"/>
        <v>-233</v>
      </c>
    </row>
    <row r="220" spans="1:28" ht="15" hidden="1" thickBot="1" x14ac:dyDescent="0.4">
      <c r="A220" t="s">
        <v>1724</v>
      </c>
      <c r="B220" t="str">
        <f>_xlfn.XLOOKUP(Table3[[#This Row],[Cargo Name]],Ledger[Cargo Name],Ledger[SAP Deal Number])</f>
        <v>Unallocated</v>
      </c>
      <c r="C220">
        <v>0</v>
      </c>
      <c r="D220" t="s">
        <v>127</v>
      </c>
      <c r="E220" s="174">
        <v>46050</v>
      </c>
      <c r="F220" s="10" t="s">
        <v>3</v>
      </c>
      <c r="G220" s="4" t="s">
        <v>128</v>
      </c>
      <c r="H220" s="253">
        <v>79</v>
      </c>
      <c r="I220" s="172">
        <v>46142</v>
      </c>
      <c r="J220" s="172">
        <f>EOMONTH(Table3[[#This Row],[Month1]],1)</f>
        <v>46173</v>
      </c>
      <c r="K220" s="15">
        <v>0.32</v>
      </c>
      <c r="L220" s="192">
        <f ca="1">IF(OR(S220="WTI Sprds",S220="Brent Sprds",S220="WTI-Brent",S220="DFL"),INDEX(INDIRECT("'" &amp; S220 &amp; "'!$A$6:$XFD$1048576"),MATCH('PnL26'!$P$1,INDIRECT("'" &amp; S220 &amp; "'!$A$6:$A$1048576"),0),MATCH(EOMONTH(I220,0),INDIRECT("'" &amp; S220 &amp; "'!$A$4:$XFD$4"),0)),INDEX(BBG!$A:$BA,MATCH('PnL26'!$P$1,BBG!$A:$A,0),MATCH($I220,BBG!$A$4:$BA$4,0))-INDEX(BBG!$A:$BA,MATCH('PnL26'!$P$1,BBG!$A:$A,0),MATCH($J220,BBG!$A$4:$BA$4,0)))</f>
        <v>0.59</v>
      </c>
      <c r="M220" s="9">
        <f t="shared" ref="M220:M227" ca="1" si="190">IFERROR((L220-K220)*H220,"")</f>
        <v>21.33</v>
      </c>
      <c r="N220">
        <f t="shared" ref="N220:N227" si="191">H220*K220</f>
        <v>25.28</v>
      </c>
      <c r="O220" s="14" t="str">
        <f t="shared" ref="O220:O224" si="192">IF(I220=J220,TEXT(I220,"MMM YY"),TEXT(I220,"MMM")&amp;"/"&amp;TEXT(J220,"MMM")&amp;" "&amp;RIGHT(T220,2))</f>
        <v>Apr/May 26</v>
      </c>
      <c r="P220" s="8" t="str">
        <f t="shared" ref="P220:P227" si="193">IF(H220&lt;0,"Sell","Buy")</f>
        <v>Buy</v>
      </c>
      <c r="Q220">
        <f t="shared" ref="Q220:Q227" ca="1" si="194">H220*L220</f>
        <v>46.61</v>
      </c>
      <c r="R220" s="38" t="str">
        <f>VLOOKUP(F220,Control!$B:$C,2,FALSE)</f>
        <v>Futures</v>
      </c>
      <c r="S220" s="38" t="str">
        <f>VLOOKUP(F220,Control!$B:$D,3,FALSE)</f>
        <v>WTI Sprds</v>
      </c>
      <c r="T220" s="38">
        <f t="shared" ref="T220:T224" si="195">YEAR(I220)</f>
        <v>2026</v>
      </c>
      <c r="U220" t="str">
        <f t="shared" ref="U220:U227" si="196">IFERROR(IF(H220&gt;0,"Buy","Sell"),"")</f>
        <v>Buy</v>
      </c>
      <c r="V220" t="s">
        <v>96</v>
      </c>
      <c r="W220" t="str">
        <f>_xlfn.XLOOKUP(Table3[[#This Row],[Instrument]],Control!$B$2:$B$19,Control!$E$2:$E$19)</f>
        <v>WTI</v>
      </c>
      <c r="X220" s="14">
        <f>Table3[[#This Row],[Month1]]</f>
        <v>46142</v>
      </c>
      <c r="Y220" s="350">
        <f>Table3[[#This Row],[Quantity]]</f>
        <v>79</v>
      </c>
      <c r="Z220" t="str">
        <f>_xlfn.XLOOKUP(Table3[[#This Row],[Instrument]],Control!$B$2:$B$19,Control!$F$2:$F$19)</f>
        <v>WTI</v>
      </c>
      <c r="AA220" s="14">
        <f>Table3[[#This Row],[Month2]]</f>
        <v>46173</v>
      </c>
      <c r="AB220" s="350">
        <f t="shared" si="154"/>
        <v>-79</v>
      </c>
    </row>
    <row r="221" spans="1:28" ht="15" hidden="1" thickBot="1" x14ac:dyDescent="0.4">
      <c r="A221" t="s">
        <v>1724</v>
      </c>
      <c r="B221" t="str">
        <f>_xlfn.XLOOKUP(Table3[[#This Row],[Cargo Name]],Ledger[Cargo Name],Ledger[SAP Deal Number])</f>
        <v>Unallocated</v>
      </c>
      <c r="C221">
        <v>0</v>
      </c>
      <c r="D221" t="s">
        <v>127</v>
      </c>
      <c r="E221" s="174">
        <v>46050</v>
      </c>
      <c r="F221" s="10" t="s">
        <v>15</v>
      </c>
      <c r="G221" s="4" t="s">
        <v>128</v>
      </c>
      <c r="H221" s="253">
        <v>-200</v>
      </c>
      <c r="I221" s="173">
        <v>46112</v>
      </c>
      <c r="J221" s="173">
        <v>46112</v>
      </c>
      <c r="K221" s="212">
        <v>0.79</v>
      </c>
      <c r="L221" s="192">
        <f>VLOOKUP($I221,'PnL26'!$E$7:$F$59,2,FALSE)</f>
        <v>11.45</v>
      </c>
      <c r="M221" s="9">
        <f t="shared" si="190"/>
        <v>-2132</v>
      </c>
      <c r="N221">
        <f t="shared" si="191"/>
        <v>-158</v>
      </c>
      <c r="O221" s="14" t="str">
        <f t="shared" si="192"/>
        <v>Mar 26</v>
      </c>
      <c r="P221" s="8" t="str">
        <f t="shared" si="193"/>
        <v>Sell</v>
      </c>
      <c r="Q221">
        <f t="shared" si="194"/>
        <v>-2290</v>
      </c>
      <c r="R221" s="38" t="str">
        <f>VLOOKUP(F221,Control!$B:$C,2,FALSE)</f>
        <v>Swaps</v>
      </c>
      <c r="S221" s="38" t="str">
        <f>VLOOKUP(F221,Control!$B:$D,3,FALSE)</f>
        <v>Dated</v>
      </c>
      <c r="T221" s="38">
        <f t="shared" si="195"/>
        <v>2026</v>
      </c>
      <c r="U221" t="str">
        <f t="shared" si="196"/>
        <v>Sell</v>
      </c>
      <c r="V221" t="s">
        <v>96</v>
      </c>
      <c r="W221" t="e">
        <f>_xlfn.XLOOKUP(Table3[[#This Row],[Instrument]],Control!$B$2:$B$19,Control!$E$2:$E$19)</f>
        <v>#N/A</v>
      </c>
      <c r="X221" s="14">
        <f>Table3[[#This Row],[Month1]]</f>
        <v>46112</v>
      </c>
      <c r="Y221" s="350">
        <f>Table3[[#This Row],[Quantity]]</f>
        <v>-200</v>
      </c>
      <c r="Z221" t="e">
        <f>_xlfn.XLOOKUP(Table3[[#This Row],[Instrument]],Control!$B$2:$B$19,Control!$F$2:$F$19)</f>
        <v>#N/A</v>
      </c>
      <c r="AA221" s="14">
        <f>Table3[[#This Row],[Month2]]</f>
        <v>46112</v>
      </c>
      <c r="AB221" s="350">
        <f t="shared" si="154"/>
        <v>200</v>
      </c>
    </row>
    <row r="222" spans="1:28" ht="15" hidden="1" thickBot="1" x14ac:dyDescent="0.4">
      <c r="A222" t="s">
        <v>1724</v>
      </c>
      <c r="B222" t="str">
        <f>_xlfn.XLOOKUP(Table3[[#This Row],[Cargo Name]],Ledger[Cargo Name],Ledger[SAP Deal Number])</f>
        <v>Unallocated</v>
      </c>
      <c r="C222">
        <v>0</v>
      </c>
      <c r="D222" t="s">
        <v>127</v>
      </c>
      <c r="E222" s="174">
        <v>46050</v>
      </c>
      <c r="F222" s="10" t="s">
        <v>15</v>
      </c>
      <c r="G222" s="4" t="s">
        <v>128</v>
      </c>
      <c r="H222" s="253">
        <v>-157</v>
      </c>
      <c r="I222" s="173">
        <v>46112</v>
      </c>
      <c r="J222" s="173">
        <v>46112</v>
      </c>
      <c r="K222" s="212">
        <v>0.8</v>
      </c>
      <c r="L222" s="192">
        <f>VLOOKUP($I222,'PnL26'!$E$7:$F$59,2,FALSE)</f>
        <v>11.45</v>
      </c>
      <c r="M222" s="9">
        <f t="shared" si="190"/>
        <v>-1672.0499999999997</v>
      </c>
      <c r="N222">
        <f t="shared" si="191"/>
        <v>-125.60000000000001</v>
      </c>
      <c r="O222" s="14" t="str">
        <f t="shared" si="192"/>
        <v>Mar 26</v>
      </c>
      <c r="P222" s="8" t="str">
        <f t="shared" si="193"/>
        <v>Sell</v>
      </c>
      <c r="Q222">
        <f t="shared" si="194"/>
        <v>-1797.6499999999999</v>
      </c>
      <c r="R222" s="38" t="str">
        <f>VLOOKUP(F222,Control!$B:$C,2,FALSE)</f>
        <v>Swaps</v>
      </c>
      <c r="S222" s="38" t="str">
        <f>VLOOKUP(F222,Control!$B:$D,3,FALSE)</f>
        <v>Dated</v>
      </c>
      <c r="T222" s="38">
        <f t="shared" si="195"/>
        <v>2026</v>
      </c>
      <c r="U222" t="str">
        <f t="shared" si="196"/>
        <v>Sell</v>
      </c>
      <c r="V222" t="s">
        <v>96</v>
      </c>
      <c r="W222" t="e">
        <f>_xlfn.XLOOKUP(Table3[[#This Row],[Instrument]],Control!$B$2:$B$19,Control!$E$2:$E$19)</f>
        <v>#N/A</v>
      </c>
      <c r="X222" s="14">
        <f>Table3[[#This Row],[Month1]]</f>
        <v>46112</v>
      </c>
      <c r="Y222" s="350">
        <f>Table3[[#This Row],[Quantity]]</f>
        <v>-157</v>
      </c>
      <c r="Z222" t="e">
        <f>_xlfn.XLOOKUP(Table3[[#This Row],[Instrument]],Control!$B$2:$B$19,Control!$F$2:$F$19)</f>
        <v>#N/A</v>
      </c>
      <c r="AA222" s="14">
        <f>Table3[[#This Row],[Month2]]</f>
        <v>46112</v>
      </c>
      <c r="AB222" s="350">
        <f t="shared" si="154"/>
        <v>157</v>
      </c>
    </row>
    <row r="223" spans="1:28" ht="15" hidden="1" thickBot="1" x14ac:dyDescent="0.4">
      <c r="A223" t="s">
        <v>1724</v>
      </c>
      <c r="B223" t="str">
        <f>_xlfn.XLOOKUP(Table3[[#This Row],[Cargo Name]],Ledger[Cargo Name],Ledger[SAP Deal Number])</f>
        <v>Unallocated</v>
      </c>
      <c r="C223">
        <v>0</v>
      </c>
      <c r="D223" t="s">
        <v>127</v>
      </c>
      <c r="E223" s="174">
        <v>46050</v>
      </c>
      <c r="F223" s="10" t="s">
        <v>10</v>
      </c>
      <c r="G223" s="4" t="s">
        <v>128</v>
      </c>
      <c r="H223" s="388">
        <v>350</v>
      </c>
      <c r="I223" s="172">
        <v>46173</v>
      </c>
      <c r="J223" s="172">
        <v>46173</v>
      </c>
      <c r="K223" s="15">
        <v>-4.1399999999999997</v>
      </c>
      <c r="L223" s="192">
        <f ca="1">IF(OR(S223="WTI Sprds",S223="Brent Sprds",S223="WTI-Brent",S223="DFL"),INDEX(INDIRECT("'" &amp; S223 &amp; "'!$A$6:$XFD$1048576"),MATCH('PnL26'!$P$1,INDIRECT("'" &amp; S223 &amp; "'!$A$6:$A$1048576"),0),MATCH(EOMONTH(I223,0),INDIRECT("'" &amp; S223 &amp; "'!$A$4:$XFD$4"),0)),INDEX(BBG!$A:$BA,MATCH('PnL26'!$P$1,BBG!$A:$A,0),MATCH($I223,BBG!$A$4:$BA$4,0))-INDEX(BBG!$A:$BA,MATCH('PnL26'!$P$1,BBG!$A:$A,0),MATCH($J223,BBG!$A$4:$BA$4,0)))</f>
        <v>-16.97</v>
      </c>
      <c r="M223" s="9">
        <f t="shared" ca="1" si="190"/>
        <v>-4490.4999999999991</v>
      </c>
      <c r="N223">
        <f t="shared" si="191"/>
        <v>-1449</v>
      </c>
      <c r="O223" s="14" t="str">
        <f t="shared" si="192"/>
        <v>May 26</v>
      </c>
      <c r="P223" s="8" t="str">
        <f t="shared" si="193"/>
        <v>Buy</v>
      </c>
      <c r="Q223">
        <f t="shared" ca="1" si="194"/>
        <v>-5939.5</v>
      </c>
      <c r="R223" s="38" t="str">
        <f>VLOOKUP(F223,Control!$B:$C,2,FALSE)</f>
        <v>Swaps</v>
      </c>
      <c r="S223" s="38" t="str">
        <f>VLOOKUP(F223,Control!$B:$D,3,FALSE)</f>
        <v>WTI-Brent</v>
      </c>
      <c r="T223" s="38">
        <f t="shared" si="195"/>
        <v>2026</v>
      </c>
      <c r="U223" t="str">
        <f t="shared" si="196"/>
        <v>Buy</v>
      </c>
      <c r="V223" t="s">
        <v>96</v>
      </c>
      <c r="W223" t="str">
        <f>_xlfn.XLOOKUP(Table3[[#This Row],[Instrument]],Control!$B$2:$B$19,Control!$E$2:$E$19)</f>
        <v>WTI</v>
      </c>
      <c r="X223" s="14">
        <f>Table3[[#This Row],[Month1]]</f>
        <v>46173</v>
      </c>
      <c r="Y223" s="350">
        <f>Table3[[#This Row],[Quantity]]</f>
        <v>350</v>
      </c>
      <c r="Z223" t="str">
        <f>_xlfn.XLOOKUP(Table3[[#This Row],[Instrument]],Control!$B$2:$B$19,Control!$F$2:$F$19)</f>
        <v>Brent</v>
      </c>
      <c r="AA223" s="14">
        <f>Table3[[#This Row],[Month2]]</f>
        <v>46173</v>
      </c>
      <c r="AB223" s="350">
        <f t="shared" si="154"/>
        <v>-350</v>
      </c>
    </row>
    <row r="224" spans="1:28" ht="15" hidden="1" thickBot="1" x14ac:dyDescent="0.4">
      <c r="A224" t="s">
        <v>1724</v>
      </c>
      <c r="B224" t="str">
        <f>_xlfn.XLOOKUP(Table3[[#This Row],[Cargo Name]],Ledger[Cargo Name],Ledger[SAP Deal Number])</f>
        <v>Unallocated</v>
      </c>
      <c r="C224">
        <v>0</v>
      </c>
      <c r="D224" t="s">
        <v>127</v>
      </c>
      <c r="E224" s="174">
        <v>46050</v>
      </c>
      <c r="F224" s="10" t="s">
        <v>7</v>
      </c>
      <c r="G224" s="4" t="s">
        <v>128</v>
      </c>
      <c r="H224" s="253">
        <v>-1243</v>
      </c>
      <c r="I224" s="172">
        <v>46112</v>
      </c>
      <c r="J224" s="172">
        <f>EOMONTH(Table3[[#This Row],[Month1]],1)</f>
        <v>46142</v>
      </c>
      <c r="K224" s="212">
        <f>K225+0.3974</f>
        <v>1.0274000000000001</v>
      </c>
      <c r="L224" s="7">
        <f ca="1">IF(OR(S224="WTI Sprds",S224="Brent Sprds",S224="WTI-Brent",S224="DFL"),INDEX(INDIRECT("'" &amp; S224 &amp; "'!$A$6:$XFD$1048576"),MATCH('PnL26'!$P$1,INDIRECT("'" &amp; S224 &amp; "'!$A$6:$A$1048576"),0),MATCH(EOMONTH(I224,0),INDIRECT("'" &amp; S224 &amp; "'!$A$4:$XFD$4"),0)),INDEX(BBG!$A:$BA,MATCH('PnL26'!$P$1,BBG!$A:$A,0),MATCH($I224,BBG!$A$4:$BA$4,0))-INDEX(BBG!$A:$BA,MATCH('PnL26'!$P$1,BBG!$A:$A,0),MATCH($J224,BBG!$A$4:$BA$4,0)))</f>
        <v>1.37</v>
      </c>
      <c r="M224" s="9">
        <f t="shared" ca="1" si="190"/>
        <v>-425.85180000000003</v>
      </c>
      <c r="N224">
        <f t="shared" si="191"/>
        <v>-1277.0582000000002</v>
      </c>
      <c r="O224" s="14" t="str">
        <f t="shared" si="192"/>
        <v>Mar/Apr 26</v>
      </c>
      <c r="P224" s="8" t="str">
        <f t="shared" si="193"/>
        <v>Sell</v>
      </c>
      <c r="Q224">
        <f t="shared" ca="1" si="194"/>
        <v>-1702.91</v>
      </c>
      <c r="R224" t="str">
        <f>VLOOKUP(F224,Control!$B:$C,2,FALSE)</f>
        <v>Futures</v>
      </c>
      <c r="S224" t="str">
        <f>VLOOKUP(F224,Control!$B:$D,3,FALSE)</f>
        <v>Brent Sprds</v>
      </c>
      <c r="T224" s="38">
        <f t="shared" si="195"/>
        <v>2026</v>
      </c>
      <c r="U224" t="str">
        <f t="shared" si="196"/>
        <v>Sell</v>
      </c>
      <c r="V224" t="s">
        <v>96</v>
      </c>
      <c r="W224" t="str">
        <f>_xlfn.XLOOKUP(Table3[[#This Row],[Instrument]],Control!$B$2:$B$19,Control!$E$2:$E$19)</f>
        <v>Brent</v>
      </c>
      <c r="X224" s="14">
        <f>Table3[[#This Row],[Month1]]</f>
        <v>46112</v>
      </c>
      <c r="Y224" s="350">
        <f>Table3[[#This Row],[Quantity]]</f>
        <v>-1243</v>
      </c>
      <c r="Z224" t="str">
        <f>_xlfn.XLOOKUP(Table3[[#This Row],[Instrument]],Control!$B$2:$B$19,Control!$F$2:$F$19)</f>
        <v>Brent</v>
      </c>
      <c r="AA224" s="14">
        <f>Table3[[#This Row],[Month2]]</f>
        <v>46142</v>
      </c>
      <c r="AB224" s="350">
        <f t="shared" si="154"/>
        <v>1243</v>
      </c>
    </row>
    <row r="225" spans="1:28" ht="15" hidden="1" thickBot="1" x14ac:dyDescent="0.4">
      <c r="A225" t="s">
        <v>1724</v>
      </c>
      <c r="B225" t="str">
        <f>_xlfn.XLOOKUP(Table3[[#This Row],[Cargo Name]],Ledger[Cargo Name],Ledger[SAP Deal Number])</f>
        <v>Unallocated</v>
      </c>
      <c r="C225">
        <v>0</v>
      </c>
      <c r="D225" t="s">
        <v>127</v>
      </c>
      <c r="E225" s="174">
        <v>46050</v>
      </c>
      <c r="F225" s="10" t="s">
        <v>7</v>
      </c>
      <c r="G225" s="4" t="s">
        <v>128</v>
      </c>
      <c r="H225" s="253">
        <v>1243</v>
      </c>
      <c r="I225" s="172">
        <v>46142</v>
      </c>
      <c r="J225" s="172">
        <f>EOMONTH(Table3[[#This Row],[Month1]],1)</f>
        <v>46173</v>
      </c>
      <c r="K225" s="212">
        <v>0.63</v>
      </c>
      <c r="L225" s="7">
        <f ca="1">IF(OR(S225="WTI Sprds",S225="Brent Sprds",S225="WTI-Brent",S225="DFL"),INDEX(INDIRECT("'" &amp; S225 &amp; "'!$A$6:$XFD$1048576"),MATCH('PnL26'!$P$1,INDIRECT("'" &amp; S225 &amp; "'!$A$6:$A$1048576"),0),MATCH(EOMONTH(I225,0),INDIRECT("'" &amp; S225 &amp; "'!$A$4:$XFD$4"),0)),INDEX(BBG!$A:$BA,MATCH('PnL26'!$P$1,BBG!$A:$A,0),MATCH($I225,BBG!$A$4:$BA$4,0))-INDEX(BBG!$A:$BA,MATCH('PnL26'!$P$1,BBG!$A:$A,0),MATCH($J225,BBG!$A$4:$BA$4,0)))</f>
        <v>-0.39</v>
      </c>
      <c r="M225" s="9">
        <f t="shared" ref="M225" ca="1" si="197">IFERROR((L225-K225)*H225,"")</f>
        <v>-1267.8600000000001</v>
      </c>
      <c r="N225">
        <f t="shared" ref="N225" si="198">H225*K225</f>
        <v>783.09</v>
      </c>
      <c r="O225" s="14" t="str">
        <f t="shared" ref="O225" si="199">IF(I225=J225,TEXT(I225,"MMM YY"),TEXT(I225,"MMM")&amp;"/"&amp;TEXT(J225,"MMM")&amp;" "&amp;RIGHT(T225,2))</f>
        <v>Apr/May 26</v>
      </c>
      <c r="P225" s="8" t="str">
        <f t="shared" ref="P225" si="200">IF(H225&lt;0,"Sell","Buy")</f>
        <v>Buy</v>
      </c>
      <c r="Q225">
        <f t="shared" ref="Q225" ca="1" si="201">H225*L225</f>
        <v>-484.77000000000004</v>
      </c>
      <c r="R225" t="str">
        <f>VLOOKUP(F225,Control!$B:$C,2,FALSE)</f>
        <v>Futures</v>
      </c>
      <c r="S225" t="str">
        <f>VLOOKUP(F225,Control!$B:$D,3,FALSE)</f>
        <v>Brent Sprds</v>
      </c>
      <c r="T225" s="38">
        <f t="shared" ref="T225" si="202">YEAR(I225)</f>
        <v>2026</v>
      </c>
      <c r="U225" t="str">
        <f t="shared" ref="U225" si="203">IFERROR(IF(H225&gt;0,"Buy","Sell"),"")</f>
        <v>Buy</v>
      </c>
      <c r="V225" t="s">
        <v>96</v>
      </c>
      <c r="W225" t="str">
        <f>_xlfn.XLOOKUP(Table3[[#This Row],[Instrument]],Control!$B$2:$B$19,Control!$E$2:$E$19)</f>
        <v>Brent</v>
      </c>
      <c r="X225" s="14">
        <f>Table3[[#This Row],[Month1]]</f>
        <v>46142</v>
      </c>
      <c r="Y225" s="350">
        <f>Table3[[#This Row],[Quantity]]</f>
        <v>1243</v>
      </c>
      <c r="Z225" t="str">
        <f>_xlfn.XLOOKUP(Table3[[#This Row],[Instrument]],Control!$B$2:$B$19,Control!$F$2:$F$19)</f>
        <v>Brent</v>
      </c>
      <c r="AA225" s="14">
        <f>Table3[[#This Row],[Month2]]</f>
        <v>46173</v>
      </c>
      <c r="AB225" s="350">
        <f t="shared" si="154"/>
        <v>-1243</v>
      </c>
    </row>
    <row r="226" spans="1:28" ht="15" hidden="1" thickBot="1" x14ac:dyDescent="0.4">
      <c r="A226" t="s">
        <v>1724</v>
      </c>
      <c r="B226" t="str">
        <f>_xlfn.XLOOKUP(Table3[[#This Row],[Cargo Name]],Ledger[Cargo Name],Ledger[SAP Deal Number])</f>
        <v>Unallocated</v>
      </c>
      <c r="C226">
        <v>0</v>
      </c>
      <c r="D226" s="26" t="s">
        <v>127</v>
      </c>
      <c r="E226" s="174">
        <v>46051</v>
      </c>
      <c r="F226" s="10" t="s">
        <v>22</v>
      </c>
      <c r="G226" s="4" t="s">
        <v>128</v>
      </c>
      <c r="H226" s="253">
        <v>100</v>
      </c>
      <c r="I226" s="172" t="s">
        <v>1726</v>
      </c>
      <c r="J226" s="172">
        <f>J223</f>
        <v>46173</v>
      </c>
      <c r="K226" s="15">
        <v>2.1</v>
      </c>
      <c r="L226" s="192">
        <f>VLOOKUP($I226,'PnL26'!B:C,2,FALSE)</f>
        <v>2.74</v>
      </c>
      <c r="M226" s="9">
        <f t="shared" si="190"/>
        <v>64.000000000000014</v>
      </c>
      <c r="N226">
        <f t="shared" si="191"/>
        <v>210</v>
      </c>
      <c r="O226" s="347" t="s">
        <v>98</v>
      </c>
      <c r="P226" s="8" t="str">
        <f t="shared" si="193"/>
        <v>Buy</v>
      </c>
      <c r="Q226">
        <f t="shared" si="194"/>
        <v>274</v>
      </c>
      <c r="R226" s="38" t="str">
        <f>VLOOKUP(F226,Control!$B:$C,2,FALSE)</f>
        <v>Swaps</v>
      </c>
      <c r="S226" s="38" t="str">
        <f>VLOOKUP(F226,Control!$B:$D,3,FALSE)</f>
        <v>Dated</v>
      </c>
      <c r="T226" s="38">
        <v>2026</v>
      </c>
      <c r="U226" t="str">
        <f t="shared" si="196"/>
        <v>Buy</v>
      </c>
      <c r="V226" t="s">
        <v>96</v>
      </c>
      <c r="W226" t="e">
        <f>_xlfn.XLOOKUP(Table3[[#This Row],[Instrument]],Control!$B$2:$B$19,Control!$E$2:$E$19)</f>
        <v>#N/A</v>
      </c>
      <c r="X226" s="14" t="str">
        <f>Table3[[#This Row],[Month1]]</f>
        <v>Feb09-Feb13</v>
      </c>
      <c r="Y226" s="350">
        <f>Table3[[#This Row],[Quantity]]</f>
        <v>100</v>
      </c>
      <c r="Z226" t="e">
        <f>_xlfn.XLOOKUP(Table3[[#This Row],[Instrument]],Control!$B$2:$B$19,Control!$F$2:$F$19)</f>
        <v>#N/A</v>
      </c>
      <c r="AA226" s="14">
        <f>Table3[[#This Row],[Month2]]</f>
        <v>46173</v>
      </c>
      <c r="AB226" s="350">
        <f t="shared" si="154"/>
        <v>-100</v>
      </c>
    </row>
    <row r="227" spans="1:28" ht="15" hidden="1" thickBot="1" x14ac:dyDescent="0.4">
      <c r="A227" t="s">
        <v>1724</v>
      </c>
      <c r="B227" t="str">
        <f>_xlfn.XLOOKUP(Table3[[#This Row],[Cargo Name]],Ledger[Cargo Name],Ledger[SAP Deal Number])</f>
        <v>Unallocated</v>
      </c>
      <c r="C227">
        <v>0</v>
      </c>
      <c r="D227" s="26" t="s">
        <v>127</v>
      </c>
      <c r="E227" s="174">
        <v>46051</v>
      </c>
      <c r="F227" s="10" t="s">
        <v>22</v>
      </c>
      <c r="G227" s="4" t="s">
        <v>128</v>
      </c>
      <c r="H227" s="253">
        <v>400</v>
      </c>
      <c r="I227" s="172" t="s">
        <v>1726</v>
      </c>
      <c r="J227" s="172">
        <f t="shared" ref="J227" si="204">J226</f>
        <v>46173</v>
      </c>
      <c r="K227" s="15">
        <v>2.15</v>
      </c>
      <c r="L227" s="192">
        <f>VLOOKUP($I227,'PnL26'!B:C,2,FALSE)</f>
        <v>2.74</v>
      </c>
      <c r="M227" s="9">
        <f t="shared" si="190"/>
        <v>236.00000000000011</v>
      </c>
      <c r="N227">
        <f t="shared" si="191"/>
        <v>860</v>
      </c>
      <c r="O227" s="347" t="s">
        <v>98</v>
      </c>
      <c r="P227" s="8" t="str">
        <f t="shared" si="193"/>
        <v>Buy</v>
      </c>
      <c r="Q227">
        <f t="shared" si="194"/>
        <v>1096</v>
      </c>
      <c r="R227" s="38" t="str">
        <f>VLOOKUP(F227,Control!$B:$C,2,FALSE)</f>
        <v>Swaps</v>
      </c>
      <c r="S227" s="38" t="str">
        <f>VLOOKUP(F227,Control!$B:$D,3,FALSE)</f>
        <v>Dated</v>
      </c>
      <c r="T227" s="38">
        <v>2026</v>
      </c>
      <c r="U227" t="str">
        <f t="shared" si="196"/>
        <v>Buy</v>
      </c>
      <c r="V227" t="s">
        <v>96</v>
      </c>
      <c r="W227" t="e">
        <f>_xlfn.XLOOKUP(Table3[[#This Row],[Instrument]],Control!$B$2:$B$19,Control!$E$2:$E$19)</f>
        <v>#N/A</v>
      </c>
      <c r="X227" s="14" t="str">
        <f>Table3[[#This Row],[Month1]]</f>
        <v>Feb09-Feb13</v>
      </c>
      <c r="Y227" s="350">
        <f>Table3[[#This Row],[Quantity]]</f>
        <v>400</v>
      </c>
      <c r="Z227" t="e">
        <f>_xlfn.XLOOKUP(Table3[[#This Row],[Instrument]],Control!$B$2:$B$19,Control!$F$2:$F$19)</f>
        <v>#N/A</v>
      </c>
      <c r="AA227" s="14">
        <f>Table3[[#This Row],[Month2]]</f>
        <v>46173</v>
      </c>
      <c r="AB227" s="350">
        <f t="shared" si="154"/>
        <v>-400</v>
      </c>
    </row>
    <row r="228" spans="1:28" ht="15" hidden="1" thickBot="1" x14ac:dyDescent="0.4">
      <c r="A228" t="s">
        <v>1724</v>
      </c>
      <c r="B228" t="str">
        <f>_xlfn.XLOOKUP(Table3[[#This Row],[Cargo Name]],Ledger[Cargo Name],Ledger[SAP Deal Number])</f>
        <v>Unallocated</v>
      </c>
      <c r="C228">
        <v>0</v>
      </c>
      <c r="D228" t="s">
        <v>127</v>
      </c>
      <c r="E228" s="174">
        <v>46051</v>
      </c>
      <c r="F228" s="10" t="s">
        <v>15</v>
      </c>
      <c r="G228" s="4" t="s">
        <v>128</v>
      </c>
      <c r="H228" s="253">
        <v>200</v>
      </c>
      <c r="I228" s="173">
        <v>46142</v>
      </c>
      <c r="J228" s="173">
        <f>Table3[[#This Row],[Month1]]</f>
        <v>46142</v>
      </c>
      <c r="K228" s="212">
        <v>0.52</v>
      </c>
      <c r="L228" s="192">
        <f>VLOOKUP($I228,'PnL26'!$E$7:$F$59,2,FALSE)</f>
        <v>17.678750000000008</v>
      </c>
      <c r="M228" s="9">
        <f t="shared" ref="M228:M232" si="205">IFERROR((L228-K228)*H228,"")</f>
        <v>3431.7500000000018</v>
      </c>
      <c r="N228">
        <f t="shared" ref="N228:N232" si="206">H228*K228</f>
        <v>104</v>
      </c>
      <c r="O228" s="14" t="str">
        <f t="shared" ref="O228:O232" si="207">IF(I228=J228,TEXT(I228,"MMM YY"),TEXT(I228,"MMM")&amp;"/"&amp;TEXT(J228,"MMM")&amp;" "&amp;RIGHT(T228,2))</f>
        <v>Apr 26</v>
      </c>
      <c r="P228" s="8" t="str">
        <f t="shared" ref="P228:P232" si="208">IF(H228&lt;0,"Sell","Buy")</f>
        <v>Buy</v>
      </c>
      <c r="Q228">
        <f t="shared" ref="Q228:Q232" si="209">H228*L228</f>
        <v>3535.7500000000018</v>
      </c>
      <c r="R228" s="38" t="str">
        <f>VLOOKUP(F228,Control!$B:$C,2,FALSE)</f>
        <v>Swaps</v>
      </c>
      <c r="S228" s="38" t="str">
        <f>VLOOKUP(F228,Control!$B:$D,3,FALSE)</f>
        <v>Dated</v>
      </c>
      <c r="T228" s="38">
        <f t="shared" ref="T228:T232" si="210">YEAR(I228)</f>
        <v>2026</v>
      </c>
      <c r="U228" t="str">
        <f t="shared" ref="U228:U232" si="211">IFERROR(IF(H228&gt;0,"Buy","Sell"),"")</f>
        <v>Buy</v>
      </c>
      <c r="V228" t="s">
        <v>96</v>
      </c>
      <c r="W228" t="e">
        <f>_xlfn.XLOOKUP(Table3[[#This Row],[Instrument]],Control!$B$2:$B$19,Control!$E$2:$E$19)</f>
        <v>#N/A</v>
      </c>
      <c r="X228" s="14">
        <f>Table3[[#This Row],[Month1]]</f>
        <v>46142</v>
      </c>
      <c r="Y228" s="350">
        <f>Table3[[#This Row],[Quantity]]</f>
        <v>200</v>
      </c>
      <c r="Z228" t="e">
        <f>_xlfn.XLOOKUP(Table3[[#This Row],[Instrument]],Control!$B$2:$B$19,Control!$F$2:$F$19)</f>
        <v>#N/A</v>
      </c>
      <c r="AA228" s="14">
        <f>Table3[[#This Row],[Month2]]</f>
        <v>46142</v>
      </c>
      <c r="AB228" s="350">
        <f t="shared" si="154"/>
        <v>-200</v>
      </c>
    </row>
    <row r="229" spans="1:28" ht="15" hidden="1" thickBot="1" x14ac:dyDescent="0.4">
      <c r="A229" t="s">
        <v>1724</v>
      </c>
      <c r="B229" t="str">
        <f>_xlfn.XLOOKUP(Table3[[#This Row],[Cargo Name]],Ledger[Cargo Name],Ledger[SAP Deal Number])</f>
        <v>Unallocated</v>
      </c>
      <c r="C229">
        <v>0</v>
      </c>
      <c r="D229" t="s">
        <v>127</v>
      </c>
      <c r="E229" s="174">
        <v>46051</v>
      </c>
      <c r="F229" s="10" t="s">
        <v>15</v>
      </c>
      <c r="G229" s="4" t="s">
        <v>128</v>
      </c>
      <c r="H229" s="253">
        <v>200</v>
      </c>
      <c r="I229" s="173">
        <v>46173</v>
      </c>
      <c r="J229" s="173">
        <f>Table3[[#This Row],[Month1]]</f>
        <v>46173</v>
      </c>
      <c r="K229" s="212">
        <v>0.52</v>
      </c>
      <c r="L229" s="192">
        <f>VLOOKUP($I229,'PnL26'!$E$7:$F$59,2,FALSE)</f>
        <v>3.68</v>
      </c>
      <c r="M229" s="9">
        <f t="shared" si="205"/>
        <v>632</v>
      </c>
      <c r="N229">
        <f t="shared" si="206"/>
        <v>104</v>
      </c>
      <c r="O229" s="14" t="str">
        <f t="shared" si="207"/>
        <v>May 26</v>
      </c>
      <c r="P229" s="8" t="str">
        <f t="shared" si="208"/>
        <v>Buy</v>
      </c>
      <c r="Q229">
        <f t="shared" si="209"/>
        <v>736</v>
      </c>
      <c r="R229" s="38" t="str">
        <f>VLOOKUP(F229,Control!$B:$C,2,FALSE)</f>
        <v>Swaps</v>
      </c>
      <c r="S229" s="38" t="str">
        <f>VLOOKUP(F229,Control!$B:$D,3,FALSE)</f>
        <v>Dated</v>
      </c>
      <c r="T229" s="38">
        <f t="shared" si="210"/>
        <v>2026</v>
      </c>
      <c r="U229" t="str">
        <f t="shared" si="211"/>
        <v>Buy</v>
      </c>
      <c r="V229" t="s">
        <v>96</v>
      </c>
      <c r="W229" t="e">
        <f>_xlfn.XLOOKUP(Table3[[#This Row],[Instrument]],Control!$B$2:$B$19,Control!$E$2:$E$19)</f>
        <v>#N/A</v>
      </c>
      <c r="X229" s="14">
        <f>Table3[[#This Row],[Month1]]</f>
        <v>46173</v>
      </c>
      <c r="Y229" s="350">
        <f>Table3[[#This Row],[Quantity]]</f>
        <v>200</v>
      </c>
      <c r="Z229" t="e">
        <f>_xlfn.XLOOKUP(Table3[[#This Row],[Instrument]],Control!$B$2:$B$19,Control!$F$2:$F$19)</f>
        <v>#N/A</v>
      </c>
      <c r="AA229" s="14">
        <f>Table3[[#This Row],[Month2]]</f>
        <v>46173</v>
      </c>
      <c r="AB229" s="350">
        <f t="shared" si="154"/>
        <v>-200</v>
      </c>
    </row>
    <row r="230" spans="1:28" ht="15" hidden="1" thickBot="1" x14ac:dyDescent="0.4">
      <c r="A230" t="s">
        <v>1724</v>
      </c>
      <c r="B230" t="str">
        <f>_xlfn.XLOOKUP(Table3[[#This Row],[Cargo Name]],Ledger[Cargo Name],Ledger[SAP Deal Number])</f>
        <v>Unallocated</v>
      </c>
      <c r="C230">
        <v>0</v>
      </c>
      <c r="D230" t="s">
        <v>127</v>
      </c>
      <c r="E230" s="174">
        <v>46051</v>
      </c>
      <c r="F230" s="10" t="s">
        <v>15</v>
      </c>
      <c r="G230" s="4" t="s">
        <v>128</v>
      </c>
      <c r="H230" s="253">
        <v>200</v>
      </c>
      <c r="I230" s="173">
        <v>46203</v>
      </c>
      <c r="J230" s="173">
        <f>Table3[[#This Row],[Month1]]</f>
        <v>46203</v>
      </c>
      <c r="K230" s="212">
        <v>0.52</v>
      </c>
      <c r="L230" s="192">
        <f>VLOOKUP($I230,'PnL26'!$E$7:$F$59,2,FALSE)</f>
        <v>2.23</v>
      </c>
      <c r="M230" s="9">
        <f t="shared" si="205"/>
        <v>342</v>
      </c>
      <c r="N230">
        <f t="shared" si="206"/>
        <v>104</v>
      </c>
      <c r="O230" s="14" t="str">
        <f t="shared" si="207"/>
        <v>Jun 26</v>
      </c>
      <c r="P230" s="8" t="str">
        <f t="shared" si="208"/>
        <v>Buy</v>
      </c>
      <c r="Q230">
        <f t="shared" si="209"/>
        <v>446</v>
      </c>
      <c r="R230" s="38" t="str">
        <f>VLOOKUP(F230,Control!$B:$C,2,FALSE)</f>
        <v>Swaps</v>
      </c>
      <c r="S230" s="38" t="str">
        <f>VLOOKUP(F230,Control!$B:$D,3,FALSE)</f>
        <v>Dated</v>
      </c>
      <c r="T230" s="38">
        <f t="shared" si="210"/>
        <v>2026</v>
      </c>
      <c r="U230" t="str">
        <f t="shared" si="211"/>
        <v>Buy</v>
      </c>
      <c r="V230" t="s">
        <v>96</v>
      </c>
      <c r="W230" t="e">
        <f>_xlfn.XLOOKUP(Table3[[#This Row],[Instrument]],Control!$B$2:$B$19,Control!$E$2:$E$19)</f>
        <v>#N/A</v>
      </c>
      <c r="X230" s="14">
        <f>Table3[[#This Row],[Month1]]</f>
        <v>46203</v>
      </c>
      <c r="Y230" s="350">
        <f>Table3[[#This Row],[Quantity]]</f>
        <v>200</v>
      </c>
      <c r="Z230" t="e">
        <f>_xlfn.XLOOKUP(Table3[[#This Row],[Instrument]],Control!$B$2:$B$19,Control!$F$2:$F$19)</f>
        <v>#N/A</v>
      </c>
      <c r="AA230" s="14">
        <f>Table3[[#This Row],[Month2]]</f>
        <v>46203</v>
      </c>
      <c r="AB230" s="350">
        <f t="shared" si="154"/>
        <v>-200</v>
      </c>
    </row>
    <row r="231" spans="1:28" ht="15" hidden="1" thickBot="1" x14ac:dyDescent="0.4">
      <c r="A231" t="s">
        <v>1724</v>
      </c>
      <c r="B231" t="str">
        <f>_xlfn.XLOOKUP(Table3[[#This Row],[Cargo Name]],Ledger[Cargo Name],Ledger[SAP Deal Number])</f>
        <v>Unallocated</v>
      </c>
      <c r="C231">
        <v>0</v>
      </c>
      <c r="D231" t="s">
        <v>127</v>
      </c>
      <c r="E231" s="174">
        <v>46051</v>
      </c>
      <c r="F231" s="10" t="s">
        <v>15</v>
      </c>
      <c r="G231" s="4" t="s">
        <v>128</v>
      </c>
      <c r="H231" s="253">
        <v>200</v>
      </c>
      <c r="I231" s="173">
        <v>46234</v>
      </c>
      <c r="J231" s="173">
        <f>Table3[[#This Row],[Month1]]</f>
        <v>46234</v>
      </c>
      <c r="K231" s="212">
        <v>0.52</v>
      </c>
      <c r="L231" s="192">
        <f>VLOOKUP($I231,'PnL26'!$E$7:$F$59,2,FALSE)</f>
        <v>2.62</v>
      </c>
      <c r="M231" s="9">
        <f t="shared" si="205"/>
        <v>420</v>
      </c>
      <c r="N231">
        <f t="shared" si="206"/>
        <v>104</v>
      </c>
      <c r="O231" s="14" t="str">
        <f t="shared" si="207"/>
        <v>Jul 26</v>
      </c>
      <c r="P231" s="8" t="str">
        <f t="shared" si="208"/>
        <v>Buy</v>
      </c>
      <c r="Q231">
        <f t="shared" si="209"/>
        <v>524</v>
      </c>
      <c r="R231" s="38" t="str">
        <f>VLOOKUP(F231,Control!$B:$C,2,FALSE)</f>
        <v>Swaps</v>
      </c>
      <c r="S231" s="38" t="str">
        <f>VLOOKUP(F231,Control!$B:$D,3,FALSE)</f>
        <v>Dated</v>
      </c>
      <c r="T231" s="38">
        <f t="shared" si="210"/>
        <v>2026</v>
      </c>
      <c r="U231" t="str">
        <f t="shared" si="211"/>
        <v>Buy</v>
      </c>
      <c r="V231" t="s">
        <v>96</v>
      </c>
      <c r="W231" t="e">
        <f>_xlfn.XLOOKUP(Table3[[#This Row],[Instrument]],Control!$B$2:$B$19,Control!$E$2:$E$19)</f>
        <v>#N/A</v>
      </c>
      <c r="X231" s="14">
        <f>Table3[[#This Row],[Month1]]</f>
        <v>46234</v>
      </c>
      <c r="Y231" s="350">
        <f>Table3[[#This Row],[Quantity]]</f>
        <v>200</v>
      </c>
      <c r="Z231" t="e">
        <f>_xlfn.XLOOKUP(Table3[[#This Row],[Instrument]],Control!$B$2:$B$19,Control!$F$2:$F$19)</f>
        <v>#N/A</v>
      </c>
      <c r="AA231" s="14">
        <f>Table3[[#This Row],[Month2]]</f>
        <v>46234</v>
      </c>
      <c r="AB231" s="350">
        <f t="shared" si="154"/>
        <v>-200</v>
      </c>
    </row>
    <row r="232" spans="1:28" ht="15" hidden="1" thickBot="1" x14ac:dyDescent="0.4">
      <c r="A232" t="s">
        <v>1724</v>
      </c>
      <c r="B232" t="str">
        <f>_xlfn.XLOOKUP(Table3[[#This Row],[Cargo Name]],Ledger[Cargo Name],Ledger[SAP Deal Number])</f>
        <v>Unallocated</v>
      </c>
      <c r="C232">
        <v>0</v>
      </c>
      <c r="D232" t="s">
        <v>127</v>
      </c>
      <c r="E232" s="174">
        <v>46051</v>
      </c>
      <c r="F232" s="10" t="s">
        <v>15</v>
      </c>
      <c r="G232" s="4" t="s">
        <v>128</v>
      </c>
      <c r="H232" s="253">
        <v>200</v>
      </c>
      <c r="I232" s="173">
        <v>46265</v>
      </c>
      <c r="J232" s="173">
        <f>Table3[[#This Row],[Month1]]</f>
        <v>46265</v>
      </c>
      <c r="K232" s="212">
        <v>0.52</v>
      </c>
      <c r="L232" s="192">
        <f>VLOOKUP($I232,'PnL26'!$E$7:$F$59,2,FALSE)</f>
        <v>2.62</v>
      </c>
      <c r="M232" s="9">
        <f t="shared" si="205"/>
        <v>420</v>
      </c>
      <c r="N232">
        <f t="shared" si="206"/>
        <v>104</v>
      </c>
      <c r="O232" s="14" t="str">
        <f t="shared" si="207"/>
        <v>Aug 26</v>
      </c>
      <c r="P232" s="8" t="str">
        <f t="shared" si="208"/>
        <v>Buy</v>
      </c>
      <c r="Q232">
        <f t="shared" si="209"/>
        <v>524</v>
      </c>
      <c r="R232" s="38" t="str">
        <f>VLOOKUP(F232,Control!$B:$C,2,FALSE)</f>
        <v>Swaps</v>
      </c>
      <c r="S232" s="38" t="str">
        <f>VLOOKUP(F232,Control!$B:$D,3,FALSE)</f>
        <v>Dated</v>
      </c>
      <c r="T232" s="38">
        <f t="shared" si="210"/>
        <v>2026</v>
      </c>
      <c r="U232" t="str">
        <f t="shared" si="211"/>
        <v>Buy</v>
      </c>
      <c r="V232" t="s">
        <v>96</v>
      </c>
      <c r="W232" t="e">
        <f>_xlfn.XLOOKUP(Table3[[#This Row],[Instrument]],Control!$B$2:$B$19,Control!$E$2:$E$19)</f>
        <v>#N/A</v>
      </c>
      <c r="X232" s="14">
        <f>Table3[[#This Row],[Month1]]</f>
        <v>46265</v>
      </c>
      <c r="Y232" s="350">
        <f>Table3[[#This Row],[Quantity]]</f>
        <v>200</v>
      </c>
      <c r="Z232" t="e">
        <f>_xlfn.XLOOKUP(Table3[[#This Row],[Instrument]],Control!$B$2:$B$19,Control!$F$2:$F$19)</f>
        <v>#N/A</v>
      </c>
      <c r="AA232" s="14">
        <f>Table3[[#This Row],[Month2]]</f>
        <v>46265</v>
      </c>
      <c r="AB232" s="350">
        <f t="shared" si="154"/>
        <v>-200</v>
      </c>
    </row>
    <row r="233" spans="1:28" ht="15" hidden="1" thickBot="1" x14ac:dyDescent="0.4">
      <c r="A233" t="s">
        <v>1724</v>
      </c>
      <c r="B233" t="str">
        <f>_xlfn.XLOOKUP(Table3[[#This Row],[Cargo Name]],Ledger[Cargo Name],Ledger[SAP Deal Number])</f>
        <v>Unallocated</v>
      </c>
      <c r="C233">
        <v>0</v>
      </c>
      <c r="D233" t="s">
        <v>127</v>
      </c>
      <c r="E233" s="174">
        <v>46051</v>
      </c>
      <c r="F233" s="10" t="s">
        <v>15</v>
      </c>
      <c r="G233" s="4" t="s">
        <v>128</v>
      </c>
      <c r="H233" s="253">
        <v>200</v>
      </c>
      <c r="I233" s="173">
        <v>46295</v>
      </c>
      <c r="J233" s="173">
        <f>Table3[[#This Row],[Month1]]</f>
        <v>46295</v>
      </c>
      <c r="K233" s="212">
        <v>0.52</v>
      </c>
      <c r="L233" s="192">
        <f>VLOOKUP($I233,'PnL26'!$E$7:$F$59,2,FALSE)</f>
        <v>2.62</v>
      </c>
      <c r="M233" s="9">
        <f t="shared" ref="M233:M234" si="212">IFERROR((L233-K233)*H233,"")</f>
        <v>420</v>
      </c>
      <c r="N233">
        <f t="shared" ref="N233:N234" si="213">H233*K233</f>
        <v>104</v>
      </c>
      <c r="O233" s="14" t="str">
        <f t="shared" ref="O233:O234" si="214">IF(I233=J233,TEXT(I233,"MMM YY"),TEXT(I233,"MMM")&amp;"/"&amp;TEXT(J233,"MMM")&amp;" "&amp;RIGHT(T233,2))</f>
        <v>Sep 26</v>
      </c>
      <c r="P233" s="8" t="str">
        <f t="shared" ref="P233:P234" si="215">IF(H233&lt;0,"Sell","Buy")</f>
        <v>Buy</v>
      </c>
      <c r="Q233">
        <f t="shared" ref="Q233:Q234" si="216">H233*L233</f>
        <v>524</v>
      </c>
      <c r="R233" s="38" t="str">
        <f>VLOOKUP(F233,Control!$B:$C,2,FALSE)</f>
        <v>Swaps</v>
      </c>
      <c r="S233" s="38" t="str">
        <f>VLOOKUP(F233,Control!$B:$D,3,FALSE)</f>
        <v>Dated</v>
      </c>
      <c r="T233" s="38">
        <f t="shared" ref="T233:T234" si="217">YEAR(I233)</f>
        <v>2026</v>
      </c>
      <c r="U233" t="str">
        <f t="shared" ref="U233:U234" si="218">IFERROR(IF(H233&gt;0,"Buy","Sell"),"")</f>
        <v>Buy</v>
      </c>
      <c r="V233" t="s">
        <v>96</v>
      </c>
      <c r="W233" t="e">
        <f>_xlfn.XLOOKUP(Table3[[#This Row],[Instrument]],Control!$B$2:$B$19,Control!$E$2:$E$19)</f>
        <v>#N/A</v>
      </c>
      <c r="X233" s="14">
        <f>Table3[[#This Row],[Month1]]</f>
        <v>46295</v>
      </c>
      <c r="Y233" s="350">
        <f>Table3[[#This Row],[Quantity]]</f>
        <v>200</v>
      </c>
      <c r="Z233" t="e">
        <f>_xlfn.XLOOKUP(Table3[[#This Row],[Instrument]],Control!$B$2:$B$19,Control!$F$2:$F$19)</f>
        <v>#N/A</v>
      </c>
      <c r="AA233" s="14">
        <f>Table3[[#This Row],[Month2]]</f>
        <v>46295</v>
      </c>
      <c r="AB233" s="350">
        <f t="shared" si="154"/>
        <v>-200</v>
      </c>
    </row>
    <row r="234" spans="1:28" ht="15" hidden="1" thickBot="1" x14ac:dyDescent="0.4">
      <c r="A234" t="s">
        <v>1724</v>
      </c>
      <c r="B234" t="str">
        <f>_xlfn.XLOOKUP(Table3[[#This Row],[Cargo Name]],Ledger[Cargo Name],Ledger[SAP Deal Number])</f>
        <v>Unallocated</v>
      </c>
      <c r="C234">
        <v>0</v>
      </c>
      <c r="D234" t="s">
        <v>127</v>
      </c>
      <c r="E234" s="174">
        <v>46051</v>
      </c>
      <c r="F234" s="10" t="s">
        <v>10</v>
      </c>
      <c r="G234" s="4" t="s">
        <v>128</v>
      </c>
      <c r="H234" s="253">
        <v>100</v>
      </c>
      <c r="I234" s="172">
        <v>46142</v>
      </c>
      <c r="J234" s="172">
        <v>46142</v>
      </c>
      <c r="K234" s="15">
        <v>-4.49</v>
      </c>
      <c r="L234" s="192">
        <f ca="1">IF(OR(S234="WTI Sprds",S234="Brent Sprds",S234="WTI-Brent",S234="DFL"),INDEX(INDIRECT("'" &amp; S234 &amp; "'!$A$6:$XFD$1048576"),MATCH('PnL26'!$P$1,INDIRECT("'" &amp; S234 &amp; "'!$A$6:$A$1048576"),0),MATCH(EOMONTH(I234,0),INDIRECT("'" &amp; S234 &amp; "'!$A$4:$XFD$4"),0)),INDEX(BBG!$A:$BA,MATCH('PnL26'!$P$1,BBG!$A:$A,0),MATCH($I234,BBG!$A$4:$BA$4,0))-INDEX(BBG!$A:$BA,MATCH('PnL26'!$P$1,BBG!$A:$A,0),MATCH($J234,BBG!$A$4:$BA$4,0)))</f>
        <v>-5.46</v>
      </c>
      <c r="M234" s="9">
        <f t="shared" ca="1" si="212"/>
        <v>-96.999999999999972</v>
      </c>
      <c r="N234">
        <f t="shared" si="213"/>
        <v>-449</v>
      </c>
      <c r="O234" s="14" t="str">
        <f t="shared" si="214"/>
        <v>Apr 26</v>
      </c>
      <c r="P234" s="8" t="str">
        <f t="shared" si="215"/>
        <v>Buy</v>
      </c>
      <c r="Q234">
        <f t="shared" ca="1" si="216"/>
        <v>-546</v>
      </c>
      <c r="R234" s="38" t="str">
        <f>VLOOKUP(F234,Control!$B:$C,2,FALSE)</f>
        <v>Swaps</v>
      </c>
      <c r="S234" s="38" t="str">
        <f>VLOOKUP(F234,Control!$B:$D,3,FALSE)</f>
        <v>WTI-Brent</v>
      </c>
      <c r="T234" s="38">
        <f t="shared" si="217"/>
        <v>2026</v>
      </c>
      <c r="U234" t="str">
        <f t="shared" si="218"/>
        <v>Buy</v>
      </c>
      <c r="V234" t="s">
        <v>96</v>
      </c>
      <c r="W234" t="str">
        <f>_xlfn.XLOOKUP(Table3[[#This Row],[Instrument]],Control!$B$2:$B$19,Control!$E$2:$E$19)</f>
        <v>WTI</v>
      </c>
      <c r="X234" s="14">
        <f>Table3[[#This Row],[Month1]]</f>
        <v>46142</v>
      </c>
      <c r="Y234" s="350">
        <f>Table3[[#This Row],[Quantity]]</f>
        <v>100</v>
      </c>
      <c r="Z234" t="str">
        <f>_xlfn.XLOOKUP(Table3[[#This Row],[Instrument]],Control!$B$2:$B$19,Control!$F$2:$F$19)</f>
        <v>Brent</v>
      </c>
      <c r="AA234" s="14">
        <f>Table3[[#This Row],[Month2]]</f>
        <v>46142</v>
      </c>
      <c r="AB234" s="350">
        <f t="shared" si="154"/>
        <v>-100</v>
      </c>
    </row>
    <row r="235" spans="1:28" ht="15" hidden="1" thickBot="1" x14ac:dyDescent="0.4">
      <c r="A235" t="s">
        <v>1724</v>
      </c>
      <c r="B235" t="str">
        <f>_xlfn.XLOOKUP(Table3[[#This Row],[Cargo Name]],Ledger[Cargo Name],Ledger[SAP Deal Number])</f>
        <v>Unallocated</v>
      </c>
      <c r="C235">
        <v>0</v>
      </c>
      <c r="D235" t="s">
        <v>127</v>
      </c>
      <c r="E235" s="174">
        <v>46051</v>
      </c>
      <c r="F235" s="10" t="s">
        <v>10</v>
      </c>
      <c r="G235" s="4" t="s">
        <v>128</v>
      </c>
      <c r="H235" s="253">
        <v>100</v>
      </c>
      <c r="I235" s="172">
        <v>46142</v>
      </c>
      <c r="J235" s="172">
        <v>46142</v>
      </c>
      <c r="K235" s="15">
        <v>-4.5199999999999996</v>
      </c>
      <c r="L235" s="192">
        <f ca="1">IF(OR(S235="WTI Sprds",S235="Brent Sprds",S235="WTI-Brent",S235="DFL"),INDEX(INDIRECT("'" &amp; S235 &amp; "'!$A$6:$XFD$1048576"),MATCH('PnL26'!$P$1,INDIRECT("'" &amp; S235 &amp; "'!$A$6:$A$1048576"),0),MATCH(EOMONTH(I235,0),INDIRECT("'" &amp; S235 &amp; "'!$A$4:$XFD$4"),0)),INDEX(BBG!$A:$BA,MATCH('PnL26'!$P$1,BBG!$A:$A,0),MATCH($I235,BBG!$A$4:$BA$4,0))-INDEX(BBG!$A:$BA,MATCH('PnL26'!$P$1,BBG!$A:$A,0),MATCH($J235,BBG!$A$4:$BA$4,0)))</f>
        <v>-5.46</v>
      </c>
      <c r="M235" s="9">
        <f t="shared" ref="M235:M238" ca="1" si="219">IFERROR((L235-K235)*H235,"")</f>
        <v>-94.000000000000043</v>
      </c>
      <c r="N235">
        <f t="shared" ref="N235:N238" si="220">H235*K235</f>
        <v>-451.99999999999994</v>
      </c>
      <c r="O235" s="14" t="str">
        <f t="shared" ref="O235:O238" si="221">IF(I235=J235,TEXT(I235,"MMM YY"),TEXT(I235,"MMM")&amp;"/"&amp;TEXT(J235,"MMM")&amp;" "&amp;RIGHT(T235,2))</f>
        <v>Apr 26</v>
      </c>
      <c r="P235" s="8" t="str">
        <f t="shared" ref="P235:P238" si="222">IF(H235&lt;0,"Sell","Buy")</f>
        <v>Buy</v>
      </c>
      <c r="Q235">
        <f t="shared" ref="Q235:Q238" ca="1" si="223">H235*L235</f>
        <v>-546</v>
      </c>
      <c r="R235" s="38" t="str">
        <f>VLOOKUP(F235,Control!$B:$C,2,FALSE)</f>
        <v>Swaps</v>
      </c>
      <c r="S235" s="38" t="str">
        <f>VLOOKUP(F235,Control!$B:$D,3,FALSE)</f>
        <v>WTI-Brent</v>
      </c>
      <c r="T235" s="38">
        <f t="shared" ref="T235:T238" si="224">YEAR(I235)</f>
        <v>2026</v>
      </c>
      <c r="U235" t="str">
        <f t="shared" ref="U235:U238" si="225">IFERROR(IF(H235&gt;0,"Buy","Sell"),"")</f>
        <v>Buy</v>
      </c>
      <c r="V235" t="s">
        <v>96</v>
      </c>
      <c r="W235" t="str">
        <f>_xlfn.XLOOKUP(Table3[[#This Row],[Instrument]],Control!$B$2:$B$19,Control!$E$2:$E$19)</f>
        <v>WTI</v>
      </c>
      <c r="X235" s="14">
        <f>Table3[[#This Row],[Month1]]</f>
        <v>46142</v>
      </c>
      <c r="Y235" s="350">
        <f>Table3[[#This Row],[Quantity]]</f>
        <v>100</v>
      </c>
      <c r="Z235" t="str">
        <f>_xlfn.XLOOKUP(Table3[[#This Row],[Instrument]],Control!$B$2:$B$19,Control!$F$2:$F$19)</f>
        <v>Brent</v>
      </c>
      <c r="AA235" s="14">
        <f>Table3[[#This Row],[Month2]]</f>
        <v>46142</v>
      </c>
      <c r="AB235" s="350">
        <f t="shared" si="154"/>
        <v>-100</v>
      </c>
    </row>
    <row r="236" spans="1:28" ht="15" hidden="1" thickBot="1" x14ac:dyDescent="0.4">
      <c r="A236" t="s">
        <v>1724</v>
      </c>
      <c r="B236" t="str">
        <f>_xlfn.XLOOKUP(Table3[[#This Row],[Cargo Name]],Ledger[Cargo Name],Ledger[SAP Deal Number])</f>
        <v>Unallocated</v>
      </c>
      <c r="C236">
        <v>0</v>
      </c>
      <c r="D236" t="s">
        <v>127</v>
      </c>
      <c r="E236" s="174">
        <v>46051</v>
      </c>
      <c r="F236" s="10" t="s">
        <v>10</v>
      </c>
      <c r="G236" s="4" t="s">
        <v>128</v>
      </c>
      <c r="H236" s="253">
        <v>100</v>
      </c>
      <c r="I236" s="172">
        <v>46142</v>
      </c>
      <c r="J236" s="172">
        <v>46142</v>
      </c>
      <c r="K236" s="15">
        <v>-4.55</v>
      </c>
      <c r="L236" s="192">
        <f ca="1">IF(OR(S236="WTI Sprds",S236="Brent Sprds",S236="WTI-Brent",S236="DFL"),INDEX(INDIRECT("'" &amp; S236 &amp; "'!$A$6:$XFD$1048576"),MATCH('PnL26'!$P$1,INDIRECT("'" &amp; S236 &amp; "'!$A$6:$A$1048576"),0),MATCH(EOMONTH(I236,0),INDIRECT("'" &amp; S236 &amp; "'!$A$4:$XFD$4"),0)),INDEX(BBG!$A:$BA,MATCH('PnL26'!$P$1,BBG!$A:$A,0),MATCH($I236,BBG!$A$4:$BA$4,0))-INDEX(BBG!$A:$BA,MATCH('PnL26'!$P$1,BBG!$A:$A,0),MATCH($J236,BBG!$A$4:$BA$4,0)))</f>
        <v>-5.46</v>
      </c>
      <c r="M236" s="9">
        <f t="shared" ca="1" si="219"/>
        <v>-91.000000000000014</v>
      </c>
      <c r="N236">
        <f t="shared" si="220"/>
        <v>-455</v>
      </c>
      <c r="O236" s="14" t="str">
        <f t="shared" si="221"/>
        <v>Apr 26</v>
      </c>
      <c r="P236" s="8" t="str">
        <f t="shared" si="222"/>
        <v>Buy</v>
      </c>
      <c r="Q236">
        <f t="shared" ca="1" si="223"/>
        <v>-546</v>
      </c>
      <c r="R236" s="38" t="str">
        <f>VLOOKUP(F236,Control!$B:$C,2,FALSE)</f>
        <v>Swaps</v>
      </c>
      <c r="S236" s="38" t="str">
        <f>VLOOKUP(F236,Control!$B:$D,3,FALSE)</f>
        <v>WTI-Brent</v>
      </c>
      <c r="T236" s="38">
        <f t="shared" si="224"/>
        <v>2026</v>
      </c>
      <c r="U236" t="str">
        <f t="shared" si="225"/>
        <v>Buy</v>
      </c>
      <c r="V236" t="s">
        <v>96</v>
      </c>
      <c r="W236" t="str">
        <f>_xlfn.XLOOKUP(Table3[[#This Row],[Instrument]],Control!$B$2:$B$19,Control!$E$2:$E$19)</f>
        <v>WTI</v>
      </c>
      <c r="X236" s="14">
        <f>Table3[[#This Row],[Month1]]</f>
        <v>46142</v>
      </c>
      <c r="Y236" s="350">
        <f>Table3[[#This Row],[Quantity]]</f>
        <v>100</v>
      </c>
      <c r="Z236" t="str">
        <f>_xlfn.XLOOKUP(Table3[[#This Row],[Instrument]],Control!$B$2:$B$19,Control!$F$2:$F$19)</f>
        <v>Brent</v>
      </c>
      <c r="AA236" s="14">
        <f>Table3[[#This Row],[Month2]]</f>
        <v>46142</v>
      </c>
      <c r="AB236" s="350">
        <f t="shared" si="154"/>
        <v>-100</v>
      </c>
    </row>
    <row r="237" spans="1:28" ht="15" hidden="1" thickBot="1" x14ac:dyDescent="0.4">
      <c r="A237" t="s">
        <v>1724</v>
      </c>
      <c r="B237" t="str">
        <f>_xlfn.XLOOKUP(Table3[[#This Row],[Cargo Name]],Ledger[Cargo Name],Ledger[SAP Deal Number])</f>
        <v>Unallocated</v>
      </c>
      <c r="C237">
        <v>0</v>
      </c>
      <c r="D237" t="s">
        <v>127</v>
      </c>
      <c r="E237" s="174">
        <v>46051</v>
      </c>
      <c r="F237" s="10" t="s">
        <v>7</v>
      </c>
      <c r="G237" s="4" t="s">
        <v>128</v>
      </c>
      <c r="H237" s="253">
        <v>-1123</v>
      </c>
      <c r="I237" s="172">
        <v>46112</v>
      </c>
      <c r="J237" s="172">
        <f>EOMONTH(Table3[[#This Row],[Month1]],1)</f>
        <v>46142</v>
      </c>
      <c r="K237" s="212">
        <f>K238+0.4</f>
        <v>1.03</v>
      </c>
      <c r="L237" s="7">
        <f ca="1">IF(OR(S237="WTI Sprds",S237="Brent Sprds",S237="WTI-Brent",S237="DFL"),INDEX(INDIRECT("'" &amp; S237 &amp; "'!$A$6:$XFD$1048576"),MATCH('PnL26'!$P$1,INDIRECT("'" &amp; S237 &amp; "'!$A$6:$A$1048576"),0),MATCH(EOMONTH(I237,0),INDIRECT("'" &amp; S237 &amp; "'!$A$4:$XFD$4"),0)),INDEX(BBG!$A:$BA,MATCH('PnL26'!$P$1,BBG!$A:$A,0),MATCH($I237,BBG!$A$4:$BA$4,0))-INDEX(BBG!$A:$BA,MATCH('PnL26'!$P$1,BBG!$A:$A,0),MATCH($J237,BBG!$A$4:$BA$4,0)))</f>
        <v>1.37</v>
      </c>
      <c r="M237" s="9">
        <f t="shared" ca="1" si="219"/>
        <v>-381.82000000000011</v>
      </c>
      <c r="N237">
        <f t="shared" si="220"/>
        <v>-1156.69</v>
      </c>
      <c r="O237" s="14" t="str">
        <f t="shared" si="221"/>
        <v>Mar/Apr 26</v>
      </c>
      <c r="P237" s="8" t="str">
        <f t="shared" si="222"/>
        <v>Sell</v>
      </c>
      <c r="Q237">
        <f t="shared" ca="1" si="223"/>
        <v>-1538.5100000000002</v>
      </c>
      <c r="R237" t="str">
        <f>VLOOKUP(F237,Control!$B:$C,2,FALSE)</f>
        <v>Futures</v>
      </c>
      <c r="S237" t="str">
        <f>VLOOKUP(F237,Control!$B:$D,3,FALSE)</f>
        <v>Brent Sprds</v>
      </c>
      <c r="T237" s="38">
        <f t="shared" si="224"/>
        <v>2026</v>
      </c>
      <c r="U237" t="str">
        <f t="shared" si="225"/>
        <v>Sell</v>
      </c>
      <c r="V237" t="s">
        <v>96</v>
      </c>
      <c r="W237" t="str">
        <f>_xlfn.XLOOKUP(Table3[[#This Row],[Instrument]],Control!$B$2:$B$19,Control!$E$2:$E$19)</f>
        <v>Brent</v>
      </c>
      <c r="X237" s="14">
        <f>Table3[[#This Row],[Month1]]</f>
        <v>46112</v>
      </c>
      <c r="Y237" s="350">
        <f>Table3[[#This Row],[Quantity]]</f>
        <v>-1123</v>
      </c>
      <c r="Z237" t="str">
        <f>_xlfn.XLOOKUP(Table3[[#This Row],[Instrument]],Control!$B$2:$B$19,Control!$F$2:$F$19)</f>
        <v>Brent</v>
      </c>
      <c r="AA237" s="14">
        <f>Table3[[#This Row],[Month2]]</f>
        <v>46142</v>
      </c>
      <c r="AB237" s="350">
        <f t="shared" si="154"/>
        <v>1123</v>
      </c>
    </row>
    <row r="238" spans="1:28" ht="15" hidden="1" thickBot="1" x14ac:dyDescent="0.4">
      <c r="A238" t="s">
        <v>1724</v>
      </c>
      <c r="B238" t="str">
        <f>_xlfn.XLOOKUP(Table3[[#This Row],[Cargo Name]],Ledger[Cargo Name],Ledger[SAP Deal Number])</f>
        <v>Unallocated</v>
      </c>
      <c r="C238">
        <v>0</v>
      </c>
      <c r="D238" t="s">
        <v>127</v>
      </c>
      <c r="E238" s="174">
        <v>46051</v>
      </c>
      <c r="F238" s="10" t="s">
        <v>7</v>
      </c>
      <c r="G238" s="4" t="s">
        <v>128</v>
      </c>
      <c r="H238" s="253">
        <v>1123</v>
      </c>
      <c r="I238" s="172">
        <v>46142</v>
      </c>
      <c r="J238" s="172">
        <f>EOMONTH(Table3[[#This Row],[Month1]],1)</f>
        <v>46173</v>
      </c>
      <c r="K238" s="212">
        <v>0.63</v>
      </c>
      <c r="L238" s="7">
        <f ca="1">IF(OR(S238="WTI Sprds",S238="Brent Sprds",S238="WTI-Brent",S238="DFL"),INDEX(INDIRECT("'" &amp; S238 &amp; "'!$A$6:$XFD$1048576"),MATCH('PnL26'!$P$1,INDIRECT("'" &amp; S238 &amp; "'!$A$6:$A$1048576"),0),MATCH(EOMONTH(I238,0),INDIRECT("'" &amp; S238 &amp; "'!$A$4:$XFD$4"),0)),INDEX(BBG!$A:$BA,MATCH('PnL26'!$P$1,BBG!$A:$A,0),MATCH($I238,BBG!$A$4:$BA$4,0))-INDEX(BBG!$A:$BA,MATCH('PnL26'!$P$1,BBG!$A:$A,0),MATCH($J238,BBG!$A$4:$BA$4,0)))</f>
        <v>-0.39</v>
      </c>
      <c r="M238" s="9">
        <f t="shared" ca="1" si="219"/>
        <v>-1145.46</v>
      </c>
      <c r="N238">
        <f t="shared" si="220"/>
        <v>707.49</v>
      </c>
      <c r="O238" s="14" t="str">
        <f t="shared" si="221"/>
        <v>Apr/May 26</v>
      </c>
      <c r="P238" s="8" t="str">
        <f t="shared" si="222"/>
        <v>Buy</v>
      </c>
      <c r="Q238">
        <f t="shared" ca="1" si="223"/>
        <v>-437.97</v>
      </c>
      <c r="R238" t="str">
        <f>VLOOKUP(F238,Control!$B:$C,2,FALSE)</f>
        <v>Futures</v>
      </c>
      <c r="S238" t="str">
        <f>VLOOKUP(F238,Control!$B:$D,3,FALSE)</f>
        <v>Brent Sprds</v>
      </c>
      <c r="T238" s="38">
        <f t="shared" si="224"/>
        <v>2026</v>
      </c>
      <c r="U238" t="str">
        <f t="shared" si="225"/>
        <v>Buy</v>
      </c>
      <c r="V238" t="s">
        <v>96</v>
      </c>
      <c r="W238" t="str">
        <f>_xlfn.XLOOKUP(Table3[[#This Row],[Instrument]],Control!$B$2:$B$19,Control!$E$2:$E$19)</f>
        <v>Brent</v>
      </c>
      <c r="X238" s="14">
        <f>Table3[[#This Row],[Month1]]</f>
        <v>46142</v>
      </c>
      <c r="Y238" s="350">
        <f>Table3[[#This Row],[Quantity]]</f>
        <v>1123</v>
      </c>
      <c r="Z238" t="str">
        <f>_xlfn.XLOOKUP(Table3[[#This Row],[Instrument]],Control!$B$2:$B$19,Control!$F$2:$F$19)</f>
        <v>Brent</v>
      </c>
      <c r="AA238" s="14">
        <f>Table3[[#This Row],[Month2]]</f>
        <v>46173</v>
      </c>
      <c r="AB238" s="350">
        <f t="shared" si="154"/>
        <v>-1123</v>
      </c>
    </row>
    <row r="239" spans="1:28" ht="15" hidden="1" thickBot="1" x14ac:dyDescent="0.4">
      <c r="A239" t="s">
        <v>1724</v>
      </c>
      <c r="B239" t="str">
        <f>_xlfn.XLOOKUP(Table3[[#This Row],[Cargo Name]],Ledger[Cargo Name],Ledger[SAP Deal Number])</f>
        <v>Unallocated</v>
      </c>
      <c r="C239">
        <v>0</v>
      </c>
      <c r="D239" t="s">
        <v>127</v>
      </c>
      <c r="E239" s="174">
        <v>46051</v>
      </c>
      <c r="F239" s="10" t="s">
        <v>7</v>
      </c>
      <c r="G239" s="4" t="s">
        <v>128</v>
      </c>
      <c r="H239" s="253">
        <v>-400</v>
      </c>
      <c r="I239" s="172">
        <v>46112</v>
      </c>
      <c r="J239" s="172">
        <f>EOMONTH(Table3[[#This Row],[Month1]],1)</f>
        <v>46142</v>
      </c>
      <c r="K239" s="212">
        <f>K240+0.4</f>
        <v>1.03</v>
      </c>
      <c r="L239" s="7">
        <f ca="1">IF(OR(S239="WTI Sprds",S239="Brent Sprds",S239="WTI-Brent",S239="DFL"),INDEX(INDIRECT("'" &amp; S239 &amp; "'!$A$6:$XFD$1048576"),MATCH('PnL26'!$P$1,INDIRECT("'" &amp; S239 &amp; "'!$A$6:$A$1048576"),0),MATCH(EOMONTH(I239,0),INDIRECT("'" &amp; S239 &amp; "'!$A$4:$XFD$4"),0)),INDEX(BBG!$A:$BA,MATCH('PnL26'!$P$1,BBG!$A:$A,0),MATCH($I239,BBG!$A$4:$BA$4,0))-INDEX(BBG!$A:$BA,MATCH('PnL26'!$P$1,BBG!$A:$A,0),MATCH($J239,BBG!$A$4:$BA$4,0)))</f>
        <v>1.37</v>
      </c>
      <c r="M239" s="9">
        <f t="shared" ref="M239:M244" ca="1" si="226">IFERROR((L239-K239)*H239,"")</f>
        <v>-136.00000000000003</v>
      </c>
      <c r="N239">
        <f t="shared" ref="N239:N244" si="227">H239*K239</f>
        <v>-412</v>
      </c>
      <c r="O239" s="14" t="str">
        <f t="shared" ref="O239:O244" si="228">IF(I239=J239,TEXT(I239,"MMM YY"),TEXT(I239,"MMM")&amp;"/"&amp;TEXT(J239,"MMM")&amp;" "&amp;RIGHT(T239,2))</f>
        <v>Mar/Apr 26</v>
      </c>
      <c r="P239" s="8" t="str">
        <f t="shared" ref="P239:P244" si="229">IF(H239&lt;0,"Sell","Buy")</f>
        <v>Sell</v>
      </c>
      <c r="Q239">
        <f t="shared" ref="Q239:Q244" ca="1" si="230">H239*L239</f>
        <v>-548</v>
      </c>
      <c r="R239" t="str">
        <f>VLOOKUP(F239,Control!$B:$C,2,FALSE)</f>
        <v>Futures</v>
      </c>
      <c r="S239" t="str">
        <f>VLOOKUP(F239,Control!$B:$D,3,FALSE)</f>
        <v>Brent Sprds</v>
      </c>
      <c r="T239" s="38">
        <f t="shared" ref="T239:T244" si="231">YEAR(I239)</f>
        <v>2026</v>
      </c>
      <c r="U239" t="str">
        <f t="shared" ref="U239:U244" si="232">IFERROR(IF(H239&gt;0,"Buy","Sell"),"")</f>
        <v>Sell</v>
      </c>
      <c r="V239" t="s">
        <v>96</v>
      </c>
      <c r="W239" t="str">
        <f>_xlfn.XLOOKUP(Table3[[#This Row],[Instrument]],Control!$B$2:$B$19,Control!$E$2:$E$19)</f>
        <v>Brent</v>
      </c>
      <c r="X239" s="14">
        <f>Table3[[#This Row],[Month1]]</f>
        <v>46112</v>
      </c>
      <c r="Y239" s="350">
        <f>Table3[[#This Row],[Quantity]]</f>
        <v>-400</v>
      </c>
      <c r="Z239" t="str">
        <f>_xlfn.XLOOKUP(Table3[[#This Row],[Instrument]],Control!$B$2:$B$19,Control!$F$2:$F$19)</f>
        <v>Brent</v>
      </c>
      <c r="AA239" s="14">
        <f>Table3[[#This Row],[Month2]]</f>
        <v>46142</v>
      </c>
      <c r="AB239" s="350">
        <f t="shared" si="154"/>
        <v>400</v>
      </c>
    </row>
    <row r="240" spans="1:28" ht="15" hidden="1" thickBot="1" x14ac:dyDescent="0.4">
      <c r="A240" t="s">
        <v>1724</v>
      </c>
      <c r="B240" t="str">
        <f>_xlfn.XLOOKUP(Table3[[#This Row],[Cargo Name]],Ledger[Cargo Name],Ledger[SAP Deal Number])</f>
        <v>Unallocated</v>
      </c>
      <c r="C240">
        <v>0</v>
      </c>
      <c r="D240" t="s">
        <v>127</v>
      </c>
      <c r="E240" s="174">
        <v>46051</v>
      </c>
      <c r="F240" s="10" t="s">
        <v>7</v>
      </c>
      <c r="G240" s="4" t="s">
        <v>128</v>
      </c>
      <c r="H240" s="253">
        <f>-H239</f>
        <v>400</v>
      </c>
      <c r="I240" s="172">
        <v>46142</v>
      </c>
      <c r="J240" s="172">
        <f>EOMONTH(Table3[[#This Row],[Month1]],1)</f>
        <v>46173</v>
      </c>
      <c r="K240" s="212">
        <v>0.63</v>
      </c>
      <c r="L240" s="7">
        <f ca="1">IF(OR(S240="WTI Sprds",S240="Brent Sprds",S240="WTI-Brent",S240="DFL"),INDEX(INDIRECT("'" &amp; S240 &amp; "'!$A$6:$XFD$1048576"),MATCH('PnL26'!$P$1,INDIRECT("'" &amp; S240 &amp; "'!$A$6:$A$1048576"),0),MATCH(EOMONTH(I240,0),INDIRECT("'" &amp; S240 &amp; "'!$A$4:$XFD$4"),0)),INDEX(BBG!$A:$BA,MATCH('PnL26'!$P$1,BBG!$A:$A,0),MATCH($I240,BBG!$A$4:$BA$4,0))-INDEX(BBG!$A:$BA,MATCH('PnL26'!$P$1,BBG!$A:$A,0),MATCH($J240,BBG!$A$4:$BA$4,0)))</f>
        <v>-0.39</v>
      </c>
      <c r="M240" s="9">
        <f t="shared" ca="1" si="226"/>
        <v>-408</v>
      </c>
      <c r="N240">
        <f t="shared" si="227"/>
        <v>252</v>
      </c>
      <c r="O240" s="14" t="str">
        <f t="shared" si="228"/>
        <v>Apr/May 26</v>
      </c>
      <c r="P240" s="8" t="str">
        <f t="shared" si="229"/>
        <v>Buy</v>
      </c>
      <c r="Q240">
        <f t="shared" ca="1" si="230"/>
        <v>-156</v>
      </c>
      <c r="R240" t="str">
        <f>VLOOKUP(F240,Control!$B:$C,2,FALSE)</f>
        <v>Futures</v>
      </c>
      <c r="S240" t="str">
        <f>VLOOKUP(F240,Control!$B:$D,3,FALSE)</f>
        <v>Brent Sprds</v>
      </c>
      <c r="T240" s="38">
        <f t="shared" si="231"/>
        <v>2026</v>
      </c>
      <c r="U240" t="str">
        <f t="shared" si="232"/>
        <v>Buy</v>
      </c>
      <c r="V240" t="s">
        <v>96</v>
      </c>
      <c r="W240" t="str">
        <f>_xlfn.XLOOKUP(Table3[[#This Row],[Instrument]],Control!$B$2:$B$19,Control!$E$2:$E$19)</f>
        <v>Brent</v>
      </c>
      <c r="X240" s="14">
        <f>Table3[[#This Row],[Month1]]</f>
        <v>46142</v>
      </c>
      <c r="Y240" s="350">
        <f>Table3[[#This Row],[Quantity]]</f>
        <v>400</v>
      </c>
      <c r="Z240" t="str">
        <f>_xlfn.XLOOKUP(Table3[[#This Row],[Instrument]],Control!$B$2:$B$19,Control!$F$2:$F$19)</f>
        <v>Brent</v>
      </c>
      <c r="AA240" s="14">
        <f>Table3[[#This Row],[Month2]]</f>
        <v>46173</v>
      </c>
      <c r="AB240" s="350">
        <f t="shared" si="154"/>
        <v>-400</v>
      </c>
    </row>
    <row r="241" spans="1:28" ht="15" hidden="1" thickBot="1" x14ac:dyDescent="0.4">
      <c r="A241" t="s">
        <v>1724</v>
      </c>
      <c r="B241" t="str">
        <f>_xlfn.XLOOKUP(Table3[[#This Row],[Cargo Name]],Ledger[Cargo Name],Ledger[SAP Deal Number])</f>
        <v>Unallocated</v>
      </c>
      <c r="C241">
        <v>0</v>
      </c>
      <c r="D241" t="s">
        <v>127</v>
      </c>
      <c r="E241" s="174">
        <v>46051</v>
      </c>
      <c r="F241" s="10" t="s">
        <v>7</v>
      </c>
      <c r="G241" s="4" t="s">
        <v>128</v>
      </c>
      <c r="H241" s="253">
        <v>-400</v>
      </c>
      <c r="I241" s="172">
        <v>46112</v>
      </c>
      <c r="J241" s="172">
        <f>EOMONTH(Table3[[#This Row],[Month1]],1)</f>
        <v>46142</v>
      </c>
      <c r="K241" s="212">
        <f>K242+0.41</f>
        <v>1.04</v>
      </c>
      <c r="L241" s="7">
        <f ca="1">IF(OR(S241="WTI Sprds",S241="Brent Sprds",S241="WTI-Brent",S241="DFL"),INDEX(INDIRECT("'" &amp; S241 &amp; "'!$A$6:$XFD$1048576"),MATCH('PnL26'!$P$1,INDIRECT("'" &amp; S241 &amp; "'!$A$6:$A$1048576"),0),MATCH(EOMONTH(I241,0),INDIRECT("'" &amp; S241 &amp; "'!$A$4:$XFD$4"),0)),INDEX(BBG!$A:$BA,MATCH('PnL26'!$P$1,BBG!$A:$A,0),MATCH($I241,BBG!$A$4:$BA$4,0))-INDEX(BBG!$A:$BA,MATCH('PnL26'!$P$1,BBG!$A:$A,0),MATCH($J241,BBG!$A$4:$BA$4,0)))</f>
        <v>1.37</v>
      </c>
      <c r="M241" s="9">
        <f t="shared" ca="1" si="226"/>
        <v>-132.00000000000003</v>
      </c>
      <c r="N241">
        <f t="shared" si="227"/>
        <v>-416</v>
      </c>
      <c r="O241" s="14" t="str">
        <f t="shared" si="228"/>
        <v>Mar/Apr 26</v>
      </c>
      <c r="P241" s="8" t="str">
        <f t="shared" si="229"/>
        <v>Sell</v>
      </c>
      <c r="Q241">
        <f t="shared" ca="1" si="230"/>
        <v>-548</v>
      </c>
      <c r="R241" t="str">
        <f>VLOOKUP(F241,Control!$B:$C,2,FALSE)</f>
        <v>Futures</v>
      </c>
      <c r="S241" t="str">
        <f>VLOOKUP(F241,Control!$B:$D,3,FALSE)</f>
        <v>Brent Sprds</v>
      </c>
      <c r="T241" s="38">
        <f t="shared" si="231"/>
        <v>2026</v>
      </c>
      <c r="U241" t="str">
        <f t="shared" si="232"/>
        <v>Sell</v>
      </c>
      <c r="V241" t="s">
        <v>96</v>
      </c>
      <c r="W241" t="str">
        <f>_xlfn.XLOOKUP(Table3[[#This Row],[Instrument]],Control!$B$2:$B$19,Control!$E$2:$E$19)</f>
        <v>Brent</v>
      </c>
      <c r="X241" s="14">
        <f>Table3[[#This Row],[Month1]]</f>
        <v>46112</v>
      </c>
      <c r="Y241" s="350">
        <f>Table3[[#This Row],[Quantity]]</f>
        <v>-400</v>
      </c>
      <c r="Z241" t="str">
        <f>_xlfn.XLOOKUP(Table3[[#This Row],[Instrument]],Control!$B$2:$B$19,Control!$F$2:$F$19)</f>
        <v>Brent</v>
      </c>
      <c r="AA241" s="14">
        <f>Table3[[#This Row],[Month2]]</f>
        <v>46142</v>
      </c>
      <c r="AB241" s="350">
        <f t="shared" si="154"/>
        <v>400</v>
      </c>
    </row>
    <row r="242" spans="1:28" ht="15" hidden="1" thickBot="1" x14ac:dyDescent="0.4">
      <c r="A242" t="s">
        <v>1724</v>
      </c>
      <c r="B242" t="str">
        <f>_xlfn.XLOOKUP(Table3[[#This Row],[Cargo Name]],Ledger[Cargo Name],Ledger[SAP Deal Number])</f>
        <v>Unallocated</v>
      </c>
      <c r="C242">
        <v>0</v>
      </c>
      <c r="D242" t="s">
        <v>127</v>
      </c>
      <c r="E242" s="174">
        <v>46051</v>
      </c>
      <c r="F242" s="10" t="s">
        <v>7</v>
      </c>
      <c r="G242" s="4" t="s">
        <v>128</v>
      </c>
      <c r="H242" s="253">
        <f>-H241</f>
        <v>400</v>
      </c>
      <c r="I242" s="172">
        <v>46142</v>
      </c>
      <c r="J242" s="172">
        <f>EOMONTH(Table3[[#This Row],[Month1]],1)</f>
        <v>46173</v>
      </c>
      <c r="K242" s="212">
        <v>0.63</v>
      </c>
      <c r="L242" s="7">
        <f ca="1">IF(OR(S242="WTI Sprds",S242="Brent Sprds",S242="WTI-Brent",S242="DFL"),INDEX(INDIRECT("'" &amp; S242 &amp; "'!$A$6:$XFD$1048576"),MATCH('PnL26'!$P$1,INDIRECT("'" &amp; S242 &amp; "'!$A$6:$A$1048576"),0),MATCH(EOMONTH(I242,0),INDIRECT("'" &amp; S242 &amp; "'!$A$4:$XFD$4"),0)),INDEX(BBG!$A:$BA,MATCH('PnL26'!$P$1,BBG!$A:$A,0),MATCH($I242,BBG!$A$4:$BA$4,0))-INDEX(BBG!$A:$BA,MATCH('PnL26'!$P$1,BBG!$A:$A,0),MATCH($J242,BBG!$A$4:$BA$4,0)))</f>
        <v>-0.39</v>
      </c>
      <c r="M242" s="9">
        <f t="shared" ca="1" si="226"/>
        <v>-408</v>
      </c>
      <c r="N242">
        <f t="shared" si="227"/>
        <v>252</v>
      </c>
      <c r="O242" s="14" t="str">
        <f t="shared" si="228"/>
        <v>Apr/May 26</v>
      </c>
      <c r="P242" s="8" t="str">
        <f t="shared" si="229"/>
        <v>Buy</v>
      </c>
      <c r="Q242">
        <f t="shared" ca="1" si="230"/>
        <v>-156</v>
      </c>
      <c r="R242" t="str">
        <f>VLOOKUP(F242,Control!$B:$C,2,FALSE)</f>
        <v>Futures</v>
      </c>
      <c r="S242" t="str">
        <f>VLOOKUP(F242,Control!$B:$D,3,FALSE)</f>
        <v>Brent Sprds</v>
      </c>
      <c r="T242" s="38">
        <f t="shared" si="231"/>
        <v>2026</v>
      </c>
      <c r="U242" t="str">
        <f t="shared" si="232"/>
        <v>Buy</v>
      </c>
      <c r="V242" t="s">
        <v>96</v>
      </c>
      <c r="W242" t="str">
        <f>_xlfn.XLOOKUP(Table3[[#This Row],[Instrument]],Control!$B$2:$B$19,Control!$E$2:$E$19)</f>
        <v>Brent</v>
      </c>
      <c r="X242" s="14">
        <f>Table3[[#This Row],[Month1]]</f>
        <v>46142</v>
      </c>
      <c r="Y242" s="350">
        <f>Table3[[#This Row],[Quantity]]</f>
        <v>400</v>
      </c>
      <c r="Z242" t="str">
        <f>_xlfn.XLOOKUP(Table3[[#This Row],[Instrument]],Control!$B$2:$B$19,Control!$F$2:$F$19)</f>
        <v>Brent</v>
      </c>
      <c r="AA242" s="14">
        <f>Table3[[#This Row],[Month2]]</f>
        <v>46173</v>
      </c>
      <c r="AB242" s="350">
        <f t="shared" si="154"/>
        <v>-400</v>
      </c>
    </row>
    <row r="243" spans="1:28" ht="15" hidden="1" thickBot="1" x14ac:dyDescent="0.4">
      <c r="A243" t="s">
        <v>1724</v>
      </c>
      <c r="B243" t="str">
        <f>_xlfn.XLOOKUP(Table3[[#This Row],[Cargo Name]],Ledger[Cargo Name],Ledger[SAP Deal Number])</f>
        <v>Unallocated</v>
      </c>
      <c r="C243">
        <v>0</v>
      </c>
      <c r="D243" t="s">
        <v>127</v>
      </c>
      <c r="E243" s="174">
        <v>46051</v>
      </c>
      <c r="F243" s="10" t="s">
        <v>7</v>
      </c>
      <c r="G243" s="4" t="s">
        <v>128</v>
      </c>
      <c r="H243" s="253">
        <v>-117</v>
      </c>
      <c r="I243" s="172">
        <v>46112</v>
      </c>
      <c r="J243" s="172">
        <f>EOMONTH(Table3[[#This Row],[Month1]],1)</f>
        <v>46142</v>
      </c>
      <c r="K243" s="212">
        <f>K244+0.42</f>
        <v>1.05</v>
      </c>
      <c r="L243" s="7">
        <f ca="1">IF(OR(S243="WTI Sprds",S243="Brent Sprds",S243="WTI-Brent",S243="DFL"),INDEX(INDIRECT("'" &amp; S243 &amp; "'!$A$6:$XFD$1048576"),MATCH('PnL26'!$P$1,INDIRECT("'" &amp; S243 &amp; "'!$A$6:$A$1048576"),0),MATCH(EOMONTH(I243,0),INDIRECT("'" &amp; S243 &amp; "'!$A$4:$XFD$4"),0)),INDEX(BBG!$A:$BA,MATCH('PnL26'!$P$1,BBG!$A:$A,0),MATCH($I243,BBG!$A$4:$BA$4,0))-INDEX(BBG!$A:$BA,MATCH('PnL26'!$P$1,BBG!$A:$A,0),MATCH($J243,BBG!$A$4:$BA$4,0)))</f>
        <v>1.37</v>
      </c>
      <c r="M243" s="9">
        <f t="shared" ca="1" si="226"/>
        <v>-37.440000000000005</v>
      </c>
      <c r="N243">
        <f t="shared" si="227"/>
        <v>-122.85000000000001</v>
      </c>
      <c r="O243" s="14" t="str">
        <f t="shared" si="228"/>
        <v>Mar/Apr 26</v>
      </c>
      <c r="P243" s="8" t="str">
        <f t="shared" si="229"/>
        <v>Sell</v>
      </c>
      <c r="Q243">
        <f t="shared" ca="1" si="230"/>
        <v>-160.29000000000002</v>
      </c>
      <c r="R243" t="str">
        <f>VLOOKUP(F243,Control!$B:$C,2,FALSE)</f>
        <v>Futures</v>
      </c>
      <c r="S243" t="str">
        <f>VLOOKUP(F243,Control!$B:$D,3,FALSE)</f>
        <v>Brent Sprds</v>
      </c>
      <c r="T243" s="38">
        <f t="shared" si="231"/>
        <v>2026</v>
      </c>
      <c r="U243" t="str">
        <f t="shared" si="232"/>
        <v>Sell</v>
      </c>
      <c r="V243" t="s">
        <v>96</v>
      </c>
      <c r="W243" t="str">
        <f>_xlfn.XLOOKUP(Table3[[#This Row],[Instrument]],Control!$B$2:$B$19,Control!$E$2:$E$19)</f>
        <v>Brent</v>
      </c>
      <c r="X243" s="14">
        <f>Table3[[#This Row],[Month1]]</f>
        <v>46112</v>
      </c>
      <c r="Y243" s="350">
        <f>Table3[[#This Row],[Quantity]]</f>
        <v>-117</v>
      </c>
      <c r="Z243" t="str">
        <f>_xlfn.XLOOKUP(Table3[[#This Row],[Instrument]],Control!$B$2:$B$19,Control!$F$2:$F$19)</f>
        <v>Brent</v>
      </c>
      <c r="AA243" s="14">
        <f>Table3[[#This Row],[Month2]]</f>
        <v>46142</v>
      </c>
      <c r="AB243" s="350">
        <f t="shared" si="154"/>
        <v>117</v>
      </c>
    </row>
    <row r="244" spans="1:28" ht="15" hidden="1" thickBot="1" x14ac:dyDescent="0.4">
      <c r="A244" t="s">
        <v>1724</v>
      </c>
      <c r="B244" t="str">
        <f>_xlfn.XLOOKUP(Table3[[#This Row],[Cargo Name]],Ledger[Cargo Name],Ledger[SAP Deal Number])</f>
        <v>Unallocated</v>
      </c>
      <c r="C244">
        <v>0</v>
      </c>
      <c r="D244" t="s">
        <v>127</v>
      </c>
      <c r="E244" s="174">
        <v>46051</v>
      </c>
      <c r="F244" s="10" t="s">
        <v>7</v>
      </c>
      <c r="G244" s="4" t="s">
        <v>128</v>
      </c>
      <c r="H244" s="253">
        <f>-H243</f>
        <v>117</v>
      </c>
      <c r="I244" s="172">
        <v>46142</v>
      </c>
      <c r="J244" s="172">
        <f>EOMONTH(Table3[[#This Row],[Month1]],1)</f>
        <v>46173</v>
      </c>
      <c r="K244" s="212">
        <v>0.63</v>
      </c>
      <c r="L244" s="7">
        <f ca="1">IF(OR(S244="WTI Sprds",S244="Brent Sprds",S244="WTI-Brent",S244="DFL"),INDEX(INDIRECT("'" &amp; S244 &amp; "'!$A$6:$XFD$1048576"),MATCH('PnL26'!$P$1,INDIRECT("'" &amp; S244 &amp; "'!$A$6:$A$1048576"),0),MATCH(EOMONTH(I244,0),INDIRECT("'" &amp; S244 &amp; "'!$A$4:$XFD$4"),0)),INDEX(BBG!$A:$BA,MATCH('PnL26'!$P$1,BBG!$A:$A,0),MATCH($I244,BBG!$A$4:$BA$4,0))-INDEX(BBG!$A:$BA,MATCH('PnL26'!$P$1,BBG!$A:$A,0),MATCH($J244,BBG!$A$4:$BA$4,0)))</f>
        <v>-0.39</v>
      </c>
      <c r="M244" s="9">
        <f t="shared" ca="1" si="226"/>
        <v>-119.34</v>
      </c>
      <c r="N244">
        <f t="shared" si="227"/>
        <v>73.709999999999994</v>
      </c>
      <c r="O244" s="14" t="str">
        <f t="shared" si="228"/>
        <v>Apr/May 26</v>
      </c>
      <c r="P244" s="8" t="str">
        <f t="shared" si="229"/>
        <v>Buy</v>
      </c>
      <c r="Q244">
        <f t="shared" ca="1" si="230"/>
        <v>-45.63</v>
      </c>
      <c r="R244" t="str">
        <f>VLOOKUP(F244,Control!$B:$C,2,FALSE)</f>
        <v>Futures</v>
      </c>
      <c r="S244" t="str">
        <f>VLOOKUP(F244,Control!$B:$D,3,FALSE)</f>
        <v>Brent Sprds</v>
      </c>
      <c r="T244" s="38">
        <f t="shared" si="231"/>
        <v>2026</v>
      </c>
      <c r="U244" t="str">
        <f t="shared" si="232"/>
        <v>Buy</v>
      </c>
      <c r="V244" t="s">
        <v>96</v>
      </c>
      <c r="W244" t="str">
        <f>_xlfn.XLOOKUP(Table3[[#This Row],[Instrument]],Control!$B$2:$B$19,Control!$E$2:$E$19)</f>
        <v>Brent</v>
      </c>
      <c r="X244" s="14">
        <f>Table3[[#This Row],[Month1]]</f>
        <v>46142</v>
      </c>
      <c r="Y244" s="350">
        <f>Table3[[#This Row],[Quantity]]</f>
        <v>117</v>
      </c>
      <c r="Z244" t="str">
        <f>_xlfn.XLOOKUP(Table3[[#This Row],[Instrument]],Control!$B$2:$B$19,Control!$F$2:$F$19)</f>
        <v>Brent</v>
      </c>
      <c r="AA244" s="14">
        <f>Table3[[#This Row],[Month2]]</f>
        <v>46173</v>
      </c>
      <c r="AB244" s="350">
        <f t="shared" si="154"/>
        <v>-117</v>
      </c>
    </row>
    <row r="245" spans="1:28" ht="15" hidden="1" thickBot="1" x14ac:dyDescent="0.4">
      <c r="A245" t="s">
        <v>1724</v>
      </c>
      <c r="B245" t="str">
        <f>_xlfn.XLOOKUP(Table3[[#This Row],[Cargo Name]],Ledger[Cargo Name],Ledger[SAP Deal Number])</f>
        <v>Unallocated</v>
      </c>
      <c r="C245">
        <v>0</v>
      </c>
      <c r="D245" t="s">
        <v>127</v>
      </c>
      <c r="E245" s="174">
        <v>46051</v>
      </c>
      <c r="F245" s="10" t="s">
        <v>7</v>
      </c>
      <c r="G245" s="4" t="s">
        <v>128</v>
      </c>
      <c r="H245" s="253">
        <v>-109</v>
      </c>
      <c r="I245" s="172">
        <v>46112</v>
      </c>
      <c r="J245" s="172">
        <f>EOMONTH(Table3[[#This Row],[Month1]],1)</f>
        <v>46142</v>
      </c>
      <c r="K245" s="212">
        <f ca="1">Table3[[#This Row],[Mtm]]</f>
        <v>1.37</v>
      </c>
      <c r="L245" s="7">
        <f ca="1">IF(OR(S245="WTI Sprds",S245="Brent Sprds",S245="WTI-Brent",S245="DFL"),INDEX(INDIRECT("'" &amp; S245 &amp; "'!$A$6:$XFD$1048576"),MATCH('PnL26'!$P$1,INDIRECT("'" &amp; S245 &amp; "'!$A$6:$A$1048576"),0),MATCH(EOMONTH(I245,0),INDIRECT("'" &amp; S245 &amp; "'!$A$4:$XFD$4"),0)),INDEX(BBG!$A:$BA,MATCH('PnL26'!$P$1,BBG!$A:$A,0),MATCH($I245,BBG!$A$4:$BA$4,0))-INDEX(BBG!$A:$BA,MATCH('PnL26'!$P$1,BBG!$A:$A,0),MATCH($J245,BBG!$A$4:$BA$4,0)))</f>
        <v>1.37</v>
      </c>
      <c r="M245" s="9">
        <f t="shared" ref="M245:M247" ca="1" si="233">IFERROR((L245-K245)*H245,"")</f>
        <v>0</v>
      </c>
      <c r="N245">
        <f t="shared" ref="N245:N247" ca="1" si="234">H245*K245</f>
        <v>-149.33000000000001</v>
      </c>
      <c r="O245" s="14" t="str">
        <f t="shared" ref="O245:O247" si="235">IF(I245=J245,TEXT(I245,"MMM YY"),TEXT(I245,"MMM")&amp;"/"&amp;TEXT(J245,"MMM")&amp;" "&amp;RIGHT(T245,2))</f>
        <v>Mar/Apr 26</v>
      </c>
      <c r="P245" s="8" t="str">
        <f t="shared" ref="P245:P247" si="236">IF(H245&lt;0,"Sell","Buy")</f>
        <v>Sell</v>
      </c>
      <c r="Q245">
        <f t="shared" ref="Q245:Q247" ca="1" si="237">H245*L245</f>
        <v>-149.33000000000001</v>
      </c>
      <c r="R245" t="str">
        <f>VLOOKUP(F245,Control!$B:$C,2,FALSE)</f>
        <v>Futures</v>
      </c>
      <c r="S245" t="str">
        <f>VLOOKUP(F245,Control!$B:$D,3,FALSE)</f>
        <v>Brent Sprds</v>
      </c>
      <c r="T245" s="38">
        <f t="shared" ref="T245:T247" si="238">YEAR(I245)</f>
        <v>2026</v>
      </c>
      <c r="U245" t="str">
        <f t="shared" ref="U245:U247" si="239">IFERROR(IF(H245&gt;0,"Buy","Sell"),"")</f>
        <v>Sell</v>
      </c>
      <c r="V245" t="s">
        <v>96</v>
      </c>
      <c r="W245" t="str">
        <f>_xlfn.XLOOKUP(Table3[[#This Row],[Instrument]],Control!$B$2:$B$19,Control!$E$2:$E$19)</f>
        <v>Brent</v>
      </c>
      <c r="X245" s="14">
        <f>Table3[[#This Row],[Month1]]</f>
        <v>46112</v>
      </c>
      <c r="Y245" s="350">
        <f>Table3[[#This Row],[Quantity]]</f>
        <v>-109</v>
      </c>
      <c r="Z245" t="str">
        <f>_xlfn.XLOOKUP(Table3[[#This Row],[Instrument]],Control!$B$2:$B$19,Control!$F$2:$F$19)</f>
        <v>Brent</v>
      </c>
      <c r="AA245" s="14">
        <f>Table3[[#This Row],[Month2]]</f>
        <v>46142</v>
      </c>
      <c r="AB245" s="350">
        <f t="shared" si="154"/>
        <v>109</v>
      </c>
    </row>
    <row r="246" spans="1:28" ht="15" hidden="1" thickBot="1" x14ac:dyDescent="0.4">
      <c r="A246" t="s">
        <v>1724</v>
      </c>
      <c r="B246" t="str">
        <f>_xlfn.XLOOKUP(Table3[[#This Row],[Cargo Name]],Ledger[Cargo Name],Ledger[SAP Deal Number])</f>
        <v>Unallocated</v>
      </c>
      <c r="C246">
        <v>0</v>
      </c>
      <c r="D246" t="s">
        <v>127</v>
      </c>
      <c r="E246" s="174">
        <v>46051</v>
      </c>
      <c r="F246" s="10" t="s">
        <v>15</v>
      </c>
      <c r="G246" s="4" t="s">
        <v>128</v>
      </c>
      <c r="H246" s="253">
        <v>200</v>
      </c>
      <c r="I246" s="173">
        <v>46081</v>
      </c>
      <c r="J246" s="173">
        <v>46081</v>
      </c>
      <c r="K246" s="212">
        <v>1.65</v>
      </c>
      <c r="L246" s="192">
        <f>VLOOKUP($I246,'PnL26'!$E$7:$F$59,2,FALSE)</f>
        <v>1.76</v>
      </c>
      <c r="M246" s="9">
        <f t="shared" si="233"/>
        <v>22.000000000000021</v>
      </c>
      <c r="N246">
        <f t="shared" si="234"/>
        <v>330</v>
      </c>
      <c r="O246" s="14" t="str">
        <f t="shared" si="235"/>
        <v>Feb 26</v>
      </c>
      <c r="P246" s="8" t="str">
        <f t="shared" si="236"/>
        <v>Buy</v>
      </c>
      <c r="Q246">
        <f t="shared" si="237"/>
        <v>352</v>
      </c>
      <c r="R246" s="38" t="str">
        <f>VLOOKUP(F246,Control!$B:$C,2,FALSE)</f>
        <v>Swaps</v>
      </c>
      <c r="S246" s="38" t="str">
        <f>VLOOKUP(F246,Control!$B:$D,3,FALSE)</f>
        <v>Dated</v>
      </c>
      <c r="T246" s="38">
        <f t="shared" si="238"/>
        <v>2026</v>
      </c>
      <c r="U246" t="str">
        <f t="shared" si="239"/>
        <v>Buy</v>
      </c>
      <c r="V246" t="s">
        <v>96</v>
      </c>
      <c r="W246" t="e">
        <f>_xlfn.XLOOKUP(Table3[[#This Row],[Instrument]],Control!$B$2:$B$19,Control!$E$2:$E$19)</f>
        <v>#N/A</v>
      </c>
      <c r="X246" s="14">
        <f>Table3[[#This Row],[Month1]]</f>
        <v>46081</v>
      </c>
      <c r="Y246" s="350">
        <f>Table3[[#This Row],[Quantity]]</f>
        <v>200</v>
      </c>
      <c r="Z246" t="e">
        <f>_xlfn.XLOOKUP(Table3[[#This Row],[Instrument]],Control!$B$2:$B$19,Control!$F$2:$F$19)</f>
        <v>#N/A</v>
      </c>
      <c r="AA246" s="14">
        <f>Table3[[#This Row],[Month2]]</f>
        <v>46081</v>
      </c>
      <c r="AB246" s="350">
        <f t="shared" si="154"/>
        <v>-200</v>
      </c>
    </row>
    <row r="247" spans="1:28" ht="15" hidden="1" thickBot="1" x14ac:dyDescent="0.4">
      <c r="A247" t="s">
        <v>1724</v>
      </c>
      <c r="B247" t="str">
        <f>_xlfn.XLOOKUP(Table3[[#This Row],[Cargo Name]],Ledger[Cargo Name],Ledger[SAP Deal Number])</f>
        <v>Unallocated</v>
      </c>
      <c r="C247">
        <v>0</v>
      </c>
      <c r="D247" t="s">
        <v>127</v>
      </c>
      <c r="E247" s="174">
        <v>46051</v>
      </c>
      <c r="F247" s="10" t="s">
        <v>15</v>
      </c>
      <c r="G247" s="4" t="s">
        <v>128</v>
      </c>
      <c r="H247" s="253">
        <v>-100</v>
      </c>
      <c r="I247" s="173">
        <v>46112</v>
      </c>
      <c r="J247" s="173">
        <v>46112</v>
      </c>
      <c r="K247" s="212">
        <v>0.92</v>
      </c>
      <c r="L247" s="192">
        <f>VLOOKUP($I247,'PnL26'!$E$7:$F$59,2,FALSE)</f>
        <v>11.45</v>
      </c>
      <c r="M247" s="9">
        <f t="shared" si="233"/>
        <v>-1053</v>
      </c>
      <c r="N247">
        <f t="shared" si="234"/>
        <v>-92</v>
      </c>
      <c r="O247" s="14" t="str">
        <f t="shared" si="235"/>
        <v>Mar 26</v>
      </c>
      <c r="P247" s="8" t="str">
        <f t="shared" si="236"/>
        <v>Sell</v>
      </c>
      <c r="Q247">
        <f t="shared" si="237"/>
        <v>-1145</v>
      </c>
      <c r="R247" s="38" t="str">
        <f>VLOOKUP(F247,Control!$B:$C,2,FALSE)</f>
        <v>Swaps</v>
      </c>
      <c r="S247" s="38" t="str">
        <f>VLOOKUP(F247,Control!$B:$D,3,FALSE)</f>
        <v>Dated</v>
      </c>
      <c r="T247" s="38">
        <f t="shared" si="238"/>
        <v>2026</v>
      </c>
      <c r="U247" t="str">
        <f t="shared" si="239"/>
        <v>Sell</v>
      </c>
      <c r="V247" t="s">
        <v>96</v>
      </c>
      <c r="W247" t="e">
        <f>_xlfn.XLOOKUP(Table3[[#This Row],[Instrument]],Control!$B$2:$B$19,Control!$E$2:$E$19)</f>
        <v>#N/A</v>
      </c>
      <c r="X247" s="14">
        <f>Table3[[#This Row],[Month1]]</f>
        <v>46112</v>
      </c>
      <c r="Y247" s="350">
        <f>Table3[[#This Row],[Quantity]]</f>
        <v>-100</v>
      </c>
      <c r="Z247" t="e">
        <f>_xlfn.XLOOKUP(Table3[[#This Row],[Instrument]],Control!$B$2:$B$19,Control!$F$2:$F$19)</f>
        <v>#N/A</v>
      </c>
      <c r="AA247" s="14">
        <f>Table3[[#This Row],[Month2]]</f>
        <v>46112</v>
      </c>
      <c r="AB247" s="350">
        <f t="shared" si="154"/>
        <v>100</v>
      </c>
    </row>
    <row r="248" spans="1:28" ht="15" hidden="1" thickBot="1" x14ac:dyDescent="0.4">
      <c r="A248" t="s">
        <v>1724</v>
      </c>
      <c r="B248" t="str">
        <f>_xlfn.XLOOKUP(Table3[[#This Row],[Cargo Name]],Ledger[Cargo Name],Ledger[SAP Deal Number])</f>
        <v>Unallocated</v>
      </c>
      <c r="C248">
        <v>0</v>
      </c>
      <c r="D248" t="s">
        <v>127</v>
      </c>
      <c r="E248" s="174">
        <v>46051</v>
      </c>
      <c r="F248" s="10" t="s">
        <v>7</v>
      </c>
      <c r="G248" s="4" t="s">
        <v>128</v>
      </c>
      <c r="H248" s="253">
        <v>1000</v>
      </c>
      <c r="I248" s="172">
        <v>46173</v>
      </c>
      <c r="J248" s="172">
        <f>EOMONTH(Table3[[#This Row],[Month1]],1)</f>
        <v>46203</v>
      </c>
      <c r="K248" s="212">
        <v>0.56999999999999995</v>
      </c>
      <c r="L248" s="7">
        <f ca="1">IF(OR(S248="WTI Sprds",S248="Brent Sprds",S248="WTI-Brent",S248="DFL"),INDEX(INDIRECT("'" &amp; S248 &amp; "'!$A$6:$XFD$1048576"),MATCH('PnL26'!$P$1,INDIRECT("'" &amp; S248 &amp; "'!$A$6:$A$1048576"),0),MATCH(EOMONTH(I248,0),INDIRECT("'" &amp; S248 &amp; "'!$A$4:$XFD$4"),0)),INDEX(BBG!$A:$BA,MATCH('PnL26'!$P$1,BBG!$A:$A,0),MATCH($I248,BBG!$A$4:$BA$4,0))-INDEX(BBG!$A:$BA,MATCH('PnL26'!$P$1,BBG!$A:$A,0),MATCH($J248,BBG!$A$4:$BA$4,0)))</f>
        <v>14.38</v>
      </c>
      <c r="M248" s="9">
        <f t="shared" ref="M248:M250" ca="1" si="240">IFERROR((L248-K248)*H248,"")</f>
        <v>13810</v>
      </c>
      <c r="N248">
        <f t="shared" ref="N248:N250" si="241">H248*K248</f>
        <v>570</v>
      </c>
      <c r="O248" s="14" t="str">
        <f t="shared" ref="O248:O250" si="242">IF(I248=J248,TEXT(I248,"MMM YY"),TEXT(I248,"MMM")&amp;"/"&amp;TEXT(J248,"MMM")&amp;" "&amp;RIGHT(T248,2))</f>
        <v>May/Jun 26</v>
      </c>
      <c r="P248" s="8" t="str">
        <f t="shared" ref="P248:P250" si="243">IF(H248&lt;0,"Sell","Buy")</f>
        <v>Buy</v>
      </c>
      <c r="Q248">
        <f t="shared" ref="Q248:Q250" ca="1" si="244">H248*L248</f>
        <v>14380</v>
      </c>
      <c r="R248" t="str">
        <f>VLOOKUP(F248,Control!$B:$C,2,FALSE)</f>
        <v>Futures</v>
      </c>
      <c r="S248" t="str">
        <f>VLOOKUP(F248,Control!$B:$D,3,FALSE)</f>
        <v>Brent Sprds</v>
      </c>
      <c r="T248" s="38">
        <f t="shared" ref="T248:T250" si="245">YEAR(I248)</f>
        <v>2026</v>
      </c>
      <c r="U248" t="str">
        <f t="shared" ref="U248:U250" si="246">IFERROR(IF(H248&gt;0,"Buy","Sell"),"")</f>
        <v>Buy</v>
      </c>
      <c r="V248" t="s">
        <v>96</v>
      </c>
      <c r="W248" t="str">
        <f>_xlfn.XLOOKUP(Table3[[#This Row],[Instrument]],Control!$B$2:$B$19,Control!$E$2:$E$19)</f>
        <v>Brent</v>
      </c>
      <c r="X248" s="14">
        <f>Table3[[#This Row],[Month1]]</f>
        <v>46173</v>
      </c>
      <c r="Y248" s="350">
        <f>Table3[[#This Row],[Quantity]]</f>
        <v>1000</v>
      </c>
      <c r="Z248" t="str">
        <f>_xlfn.XLOOKUP(Table3[[#This Row],[Instrument]],Control!$B$2:$B$19,Control!$F$2:$F$19)</f>
        <v>Brent</v>
      </c>
      <c r="AA248" s="14">
        <f>Table3[[#This Row],[Month2]]</f>
        <v>46203</v>
      </c>
      <c r="AB248" s="350">
        <f t="shared" si="154"/>
        <v>-1000</v>
      </c>
    </row>
    <row r="249" spans="1:28" ht="15" hidden="1" thickBot="1" x14ac:dyDescent="0.4">
      <c r="A249" t="s">
        <v>1724</v>
      </c>
      <c r="B249" t="str">
        <f>_xlfn.XLOOKUP(Table3[[#This Row],[Cargo Name]],Ledger[Cargo Name],Ledger[SAP Deal Number])</f>
        <v>Unallocated</v>
      </c>
      <c r="C249">
        <v>0</v>
      </c>
      <c r="D249" t="s">
        <v>127</v>
      </c>
      <c r="E249" s="174">
        <v>46051</v>
      </c>
      <c r="F249" s="10" t="s">
        <v>3</v>
      </c>
      <c r="G249" s="4" t="s">
        <v>128</v>
      </c>
      <c r="H249" s="253">
        <v>221</v>
      </c>
      <c r="I249" s="172">
        <v>46112</v>
      </c>
      <c r="J249" s="172">
        <f>EOMONTH(Table3[[#This Row],[Month1]],1)</f>
        <v>46142</v>
      </c>
      <c r="K249" s="212">
        <v>0.41</v>
      </c>
      <c r="L249" s="192">
        <f ca="1">IF(OR(S249="WTI Sprds",S249="Brent Sprds",S249="WTI-Brent",S249="DFL"),INDEX(INDIRECT("'" &amp; S249 &amp; "'!$A$6:$XFD$1048576"),MATCH('PnL26'!$P$1,INDIRECT("'" &amp; S249 &amp; "'!$A$6:$A$1048576"),0),MATCH(EOMONTH(I249,0),INDIRECT("'" &amp; S249 &amp; "'!$A$4:$XFD$4"),0)),INDEX(BBG!$A:$BA,MATCH('PnL26'!$P$1,BBG!$A:$A,0),MATCH($I249,BBG!$A$4:$BA$4,0))-INDEX(BBG!$A:$BA,MATCH('PnL26'!$P$1,BBG!$A:$A,0),MATCH($J249,BBG!$A$4:$BA$4,0)))</f>
        <v>0.03</v>
      </c>
      <c r="M249" s="9">
        <f t="shared" ca="1" si="240"/>
        <v>-83.98</v>
      </c>
      <c r="N249">
        <f t="shared" si="241"/>
        <v>90.61</v>
      </c>
      <c r="O249" s="14" t="str">
        <f t="shared" si="242"/>
        <v>Mar/Apr 26</v>
      </c>
      <c r="P249" s="8" t="str">
        <f t="shared" si="243"/>
        <v>Buy</v>
      </c>
      <c r="Q249">
        <f t="shared" ca="1" si="244"/>
        <v>6.63</v>
      </c>
      <c r="R249" s="38" t="str">
        <f>VLOOKUP(F249,Control!$B:$C,2,FALSE)</f>
        <v>Futures</v>
      </c>
      <c r="S249" s="38" t="str">
        <f>VLOOKUP(F249,Control!$B:$D,3,FALSE)</f>
        <v>WTI Sprds</v>
      </c>
      <c r="T249" s="38">
        <f t="shared" si="245"/>
        <v>2026</v>
      </c>
      <c r="U249" t="str">
        <f t="shared" si="246"/>
        <v>Buy</v>
      </c>
      <c r="V249" t="s">
        <v>96</v>
      </c>
      <c r="W249" t="str">
        <f>_xlfn.XLOOKUP(Table3[[#This Row],[Instrument]],Control!$B$2:$B$19,Control!$E$2:$E$19)</f>
        <v>WTI</v>
      </c>
      <c r="X249" s="14">
        <f>Table3[[#This Row],[Month1]]</f>
        <v>46112</v>
      </c>
      <c r="Y249" s="350">
        <f>Table3[[#This Row],[Quantity]]</f>
        <v>221</v>
      </c>
      <c r="Z249" t="str">
        <f>_xlfn.XLOOKUP(Table3[[#This Row],[Instrument]],Control!$B$2:$B$19,Control!$F$2:$F$19)</f>
        <v>WTI</v>
      </c>
      <c r="AA249" s="14">
        <f>Table3[[#This Row],[Month2]]</f>
        <v>46142</v>
      </c>
      <c r="AB249" s="350">
        <f t="shared" si="154"/>
        <v>-221</v>
      </c>
    </row>
    <row r="250" spans="1:28" ht="15" hidden="1" thickBot="1" x14ac:dyDescent="0.4">
      <c r="A250" t="s">
        <v>1724</v>
      </c>
      <c r="B250" t="str">
        <f>_xlfn.XLOOKUP(Table3[[#This Row],[Cargo Name]],Ledger[Cargo Name],Ledger[SAP Deal Number])</f>
        <v>Unallocated</v>
      </c>
      <c r="C250">
        <v>0</v>
      </c>
      <c r="D250" t="s">
        <v>127</v>
      </c>
      <c r="E250" s="174">
        <v>46051</v>
      </c>
      <c r="F250" s="10" t="s">
        <v>3</v>
      </c>
      <c r="G250" s="4" t="s">
        <v>128</v>
      </c>
      <c r="H250" s="253">
        <v>70</v>
      </c>
      <c r="I250" s="172">
        <v>46142</v>
      </c>
      <c r="J250" s="172">
        <f>EOMONTH(Table3[[#This Row],[Month1]],1)</f>
        <v>46173</v>
      </c>
      <c r="K250" s="212">
        <v>0.41</v>
      </c>
      <c r="L250" s="192">
        <f ca="1">IF(OR(S250="WTI Sprds",S250="Brent Sprds",S250="WTI-Brent",S250="DFL"),INDEX(INDIRECT("'" &amp; S250 &amp; "'!$A$6:$XFD$1048576"),MATCH('PnL26'!$P$1,INDIRECT("'" &amp; S250 &amp; "'!$A$6:$A$1048576"),0),MATCH(EOMONTH(I250,0),INDIRECT("'" &amp; S250 &amp; "'!$A$4:$XFD$4"),0)),INDEX(BBG!$A:$BA,MATCH('PnL26'!$P$1,BBG!$A:$A,0),MATCH($I250,BBG!$A$4:$BA$4,0))-INDEX(BBG!$A:$BA,MATCH('PnL26'!$P$1,BBG!$A:$A,0),MATCH($J250,BBG!$A$4:$BA$4,0)))</f>
        <v>0.59</v>
      </c>
      <c r="M250" s="9">
        <f t="shared" ca="1" si="240"/>
        <v>12.6</v>
      </c>
      <c r="N250">
        <f t="shared" si="241"/>
        <v>28.7</v>
      </c>
      <c r="O250" s="14" t="str">
        <f t="shared" si="242"/>
        <v>Apr/May 26</v>
      </c>
      <c r="P250" s="8" t="str">
        <f t="shared" si="243"/>
        <v>Buy</v>
      </c>
      <c r="Q250">
        <f t="shared" ca="1" si="244"/>
        <v>41.3</v>
      </c>
      <c r="R250" s="38" t="str">
        <f>VLOOKUP(F250,Control!$B:$C,2,FALSE)</f>
        <v>Futures</v>
      </c>
      <c r="S250" s="38" t="str">
        <f>VLOOKUP(F250,Control!$B:$D,3,FALSE)</f>
        <v>WTI Sprds</v>
      </c>
      <c r="T250" s="38">
        <f t="shared" si="245"/>
        <v>2026</v>
      </c>
      <c r="U250" t="str">
        <f t="shared" si="246"/>
        <v>Buy</v>
      </c>
      <c r="V250" t="s">
        <v>96</v>
      </c>
      <c r="W250" t="str">
        <f>_xlfn.XLOOKUP(Table3[[#This Row],[Instrument]],Control!$B$2:$B$19,Control!$E$2:$E$19)</f>
        <v>WTI</v>
      </c>
      <c r="X250" s="14">
        <f>Table3[[#This Row],[Month1]]</f>
        <v>46142</v>
      </c>
      <c r="Y250" s="350">
        <f>Table3[[#This Row],[Quantity]]</f>
        <v>70</v>
      </c>
      <c r="Z250" t="str">
        <f>_xlfn.XLOOKUP(Table3[[#This Row],[Instrument]],Control!$B$2:$B$19,Control!$F$2:$F$19)</f>
        <v>WTI</v>
      </c>
      <c r="AA250" s="14">
        <f>Table3[[#This Row],[Month2]]</f>
        <v>46173</v>
      </c>
      <c r="AB250" s="350">
        <f t="shared" si="154"/>
        <v>-70</v>
      </c>
    </row>
    <row r="251" spans="1:28" ht="15" hidden="1" thickBot="1" x14ac:dyDescent="0.4">
      <c r="A251" t="s">
        <v>1724</v>
      </c>
      <c r="B251" t="str">
        <f>_xlfn.XLOOKUP(Table3[[#This Row],[Cargo Name]],Ledger[Cargo Name],Ledger[SAP Deal Number])</f>
        <v>Unallocated</v>
      </c>
      <c r="C251">
        <v>0</v>
      </c>
      <c r="D251" t="s">
        <v>127</v>
      </c>
      <c r="E251" s="174">
        <v>46052</v>
      </c>
      <c r="F251" s="10" t="s">
        <v>3</v>
      </c>
      <c r="G251" s="4" t="s">
        <v>128</v>
      </c>
      <c r="H251" s="253">
        <v>221</v>
      </c>
      <c r="I251" s="172">
        <v>46112</v>
      </c>
      <c r="J251" s="172">
        <f>EOMONTH(Table3[[#This Row],[Month1]],1)</f>
        <v>46142</v>
      </c>
      <c r="K251" s="370">
        <v>0.47</v>
      </c>
      <c r="L251" s="192">
        <f ca="1">IF(OR(S251="WTI Sprds",S251="Brent Sprds",S251="WTI-Brent",S251="DFL"),INDEX(INDIRECT("'" &amp; S251 &amp; "'!$A$6:$XFD$1048576"),MATCH('PnL26'!$P$1,INDIRECT("'" &amp; S251 &amp; "'!$A$6:$A$1048576"),0),MATCH(EOMONTH(I251,0),INDIRECT("'" &amp; S251 &amp; "'!$A$4:$XFD$4"),0)),INDEX(BBG!$A:$BA,MATCH('PnL26'!$P$1,BBG!$A:$A,0),MATCH($I251,BBG!$A$4:$BA$4,0))-INDEX(BBG!$A:$BA,MATCH('PnL26'!$P$1,BBG!$A:$A,0),MATCH($J251,BBG!$A$4:$BA$4,0)))</f>
        <v>0.03</v>
      </c>
      <c r="M251" s="9">
        <f t="shared" ref="M251:M252" ca="1" si="247">IFERROR((L251-K251)*H251,"")</f>
        <v>-97.24</v>
      </c>
      <c r="N251">
        <f t="shared" ref="N251:N252" si="248">H251*K251</f>
        <v>103.86999999999999</v>
      </c>
      <c r="O251" s="14" t="str">
        <f t="shared" ref="O251:O252" si="249">IF(I251=J251,TEXT(I251,"MMM YY"),TEXT(I251,"MMM")&amp;"/"&amp;TEXT(J251,"MMM")&amp;" "&amp;RIGHT(T251,2))</f>
        <v>Mar/Apr 26</v>
      </c>
      <c r="P251" s="8" t="str">
        <f t="shared" ref="P251:P252" si="250">IF(H251&lt;0,"Sell","Buy")</f>
        <v>Buy</v>
      </c>
      <c r="Q251">
        <f t="shared" ref="Q251:Q252" ca="1" si="251">H251*L251</f>
        <v>6.63</v>
      </c>
      <c r="R251" s="38" t="str">
        <f>VLOOKUP(F251,Control!$B:$C,2,FALSE)</f>
        <v>Futures</v>
      </c>
      <c r="S251" s="38" t="str">
        <f>VLOOKUP(F251,Control!$B:$D,3,FALSE)</f>
        <v>WTI Sprds</v>
      </c>
      <c r="T251" s="38">
        <f t="shared" ref="T251:T252" si="252">YEAR(I251)</f>
        <v>2026</v>
      </c>
      <c r="U251" t="str">
        <f t="shared" ref="U251:U252" si="253">IFERROR(IF(H251&gt;0,"Buy","Sell"),"")</f>
        <v>Buy</v>
      </c>
      <c r="V251" t="s">
        <v>96</v>
      </c>
      <c r="W251" t="str">
        <f>_xlfn.XLOOKUP(Table3[[#This Row],[Instrument]],Control!$B$2:$B$19,Control!$E$2:$E$19)</f>
        <v>WTI</v>
      </c>
      <c r="X251" s="14">
        <f>Table3[[#This Row],[Month1]]</f>
        <v>46112</v>
      </c>
      <c r="Y251" s="350">
        <f>Table3[[#This Row],[Quantity]]</f>
        <v>221</v>
      </c>
      <c r="Z251" t="str">
        <f>_xlfn.XLOOKUP(Table3[[#This Row],[Instrument]],Control!$B$2:$B$19,Control!$F$2:$F$19)</f>
        <v>WTI</v>
      </c>
      <c r="AA251" s="14">
        <f>Table3[[#This Row],[Month2]]</f>
        <v>46142</v>
      </c>
      <c r="AB251" s="350">
        <f t="shared" si="154"/>
        <v>-221</v>
      </c>
    </row>
    <row r="252" spans="1:28" ht="15" hidden="1" thickBot="1" x14ac:dyDescent="0.4">
      <c r="A252" t="s">
        <v>1724</v>
      </c>
      <c r="B252" t="str">
        <f>_xlfn.XLOOKUP(Table3[[#This Row],[Cargo Name]],Ledger[Cargo Name],Ledger[SAP Deal Number])</f>
        <v>Unallocated</v>
      </c>
      <c r="C252">
        <v>0</v>
      </c>
      <c r="D252" t="s">
        <v>127</v>
      </c>
      <c r="E252" s="174">
        <v>46052</v>
      </c>
      <c r="F252" s="10" t="s">
        <v>3</v>
      </c>
      <c r="G252" s="4" t="s">
        <v>128</v>
      </c>
      <c r="H252" s="253">
        <v>70</v>
      </c>
      <c r="I252" s="172">
        <v>46142</v>
      </c>
      <c r="J252" s="172">
        <f>EOMONTH(Table3[[#This Row],[Month1]],1)</f>
        <v>46173</v>
      </c>
      <c r="K252" s="370">
        <v>0.42</v>
      </c>
      <c r="L252" s="192">
        <f ca="1">IF(OR(S252="WTI Sprds",S252="Brent Sprds",S252="WTI-Brent",S252="DFL"),INDEX(INDIRECT("'" &amp; S252 &amp; "'!$A$6:$XFD$1048576"),MATCH('PnL26'!$P$1,INDIRECT("'" &amp; S252 &amp; "'!$A$6:$A$1048576"),0),MATCH(EOMONTH(I252,0),INDIRECT("'" &amp; S252 &amp; "'!$A$4:$XFD$4"),0)),INDEX(BBG!$A:$BA,MATCH('PnL26'!$P$1,BBG!$A:$A,0),MATCH($I252,BBG!$A$4:$BA$4,0))-INDEX(BBG!$A:$BA,MATCH('PnL26'!$P$1,BBG!$A:$A,0),MATCH($J252,BBG!$A$4:$BA$4,0)))</f>
        <v>0.59</v>
      </c>
      <c r="M252" s="9">
        <f t="shared" ca="1" si="247"/>
        <v>11.899999999999999</v>
      </c>
      <c r="N252">
        <f t="shared" si="248"/>
        <v>29.4</v>
      </c>
      <c r="O252" s="14" t="str">
        <f t="shared" si="249"/>
        <v>Apr/May 26</v>
      </c>
      <c r="P252" s="8" t="str">
        <f t="shared" si="250"/>
        <v>Buy</v>
      </c>
      <c r="Q252">
        <f t="shared" ca="1" si="251"/>
        <v>41.3</v>
      </c>
      <c r="R252" s="38" t="str">
        <f>VLOOKUP(F252,Control!$B:$C,2,FALSE)</f>
        <v>Futures</v>
      </c>
      <c r="S252" s="38" t="str">
        <f>VLOOKUP(F252,Control!$B:$D,3,FALSE)</f>
        <v>WTI Sprds</v>
      </c>
      <c r="T252" s="38">
        <f t="shared" si="252"/>
        <v>2026</v>
      </c>
      <c r="U252" t="str">
        <f t="shared" si="253"/>
        <v>Buy</v>
      </c>
      <c r="V252" t="s">
        <v>96</v>
      </c>
      <c r="W252" t="str">
        <f>_xlfn.XLOOKUP(Table3[[#This Row],[Instrument]],Control!$B$2:$B$19,Control!$E$2:$E$19)</f>
        <v>WTI</v>
      </c>
      <c r="X252" s="14">
        <f>Table3[[#This Row],[Month1]]</f>
        <v>46142</v>
      </c>
      <c r="Y252" s="350">
        <f>Table3[[#This Row],[Quantity]]</f>
        <v>70</v>
      </c>
      <c r="Z252" t="str">
        <f>_xlfn.XLOOKUP(Table3[[#This Row],[Instrument]],Control!$B$2:$B$19,Control!$F$2:$F$19)</f>
        <v>WTI</v>
      </c>
      <c r="AA252" s="14">
        <f>Table3[[#This Row],[Month2]]</f>
        <v>46173</v>
      </c>
      <c r="AB252" s="350">
        <f t="shared" si="154"/>
        <v>-70</v>
      </c>
    </row>
    <row r="253" spans="1:28" ht="15" hidden="1" thickBot="1" x14ac:dyDescent="0.4">
      <c r="A253" t="s">
        <v>1724</v>
      </c>
      <c r="B253" t="str">
        <f>_xlfn.XLOOKUP(Table3[[#This Row],[Cargo Name]],Ledger[Cargo Name],Ledger[SAP Deal Number])</f>
        <v>Unallocated</v>
      </c>
      <c r="C253">
        <v>0</v>
      </c>
      <c r="D253" t="s">
        <v>127</v>
      </c>
      <c r="E253" s="174">
        <v>46052</v>
      </c>
      <c r="F253" s="10" t="s">
        <v>7</v>
      </c>
      <c r="G253" s="4" t="s">
        <v>128</v>
      </c>
      <c r="H253" s="253">
        <v>200</v>
      </c>
      <c r="I253" s="172">
        <v>46142</v>
      </c>
      <c r="J253" s="172">
        <f>EOMONTH(Table3[[#This Row],[Month1]],1)</f>
        <v>46173</v>
      </c>
      <c r="K253" s="370">
        <v>0.71</v>
      </c>
      <c r="L253" s="192">
        <f ca="1">IF(OR(S253="WTI Sprds",S253="Brent Sprds",S253="WTI-Brent",S253="DFL"),INDEX(INDIRECT("'" &amp; S253 &amp; "'!$A$6:$XFD$1048576"),MATCH('PnL26'!$P$1,INDIRECT("'" &amp; S253 &amp; "'!$A$6:$A$1048576"),0),MATCH(EOMONTH(I253,0),INDIRECT("'" &amp; S253 &amp; "'!$A$4:$XFD$4"),0)),INDEX(BBG!$A:$BA,MATCH('PnL26'!$P$1,BBG!$A:$A,0),MATCH($I253,BBG!$A$4:$BA$4,0))-INDEX(BBG!$A:$BA,MATCH('PnL26'!$P$1,BBG!$A:$A,0),MATCH($J253,BBG!$A$4:$BA$4,0)))</f>
        <v>-0.39</v>
      </c>
      <c r="M253" s="9">
        <f t="shared" ref="M253:M259" ca="1" si="254">IFERROR((L253-K253)*H253,"")</f>
        <v>-220.00000000000003</v>
      </c>
      <c r="N253">
        <f t="shared" ref="N253:N259" si="255">H253*K253</f>
        <v>142</v>
      </c>
      <c r="O253" s="14" t="str">
        <f t="shared" ref="O253:O263" si="256">IF(I253=J253,TEXT(I253,"MMM YY"),TEXT(I253,"MMM")&amp;"/"&amp;TEXT(J253,"MMM")&amp;" "&amp;RIGHT(T253,2))</f>
        <v>Apr/May 26</v>
      </c>
      <c r="P253" s="8" t="str">
        <f t="shared" ref="P253:P263" si="257">IF(H253&lt;0,"Sell","Buy")</f>
        <v>Buy</v>
      </c>
      <c r="Q253">
        <f t="shared" ref="Q253:Q263" ca="1" si="258">H253*L253</f>
        <v>-78</v>
      </c>
      <c r="R253" s="38" t="str">
        <f>VLOOKUP(F253,Control!$B:$C,2,FALSE)</f>
        <v>Futures</v>
      </c>
      <c r="S253" s="38" t="str">
        <f>VLOOKUP(F253,Control!$B:$D,3,FALSE)</f>
        <v>Brent Sprds</v>
      </c>
      <c r="T253" s="38">
        <f t="shared" ref="T253:T263" si="259">YEAR(I253)</f>
        <v>2026</v>
      </c>
      <c r="U253" t="str">
        <f t="shared" ref="U253:U263" si="260">IFERROR(IF(H253&gt;0,"Buy","Sell"),"")</f>
        <v>Buy</v>
      </c>
      <c r="V253" t="s">
        <v>96</v>
      </c>
      <c r="W253" t="str">
        <f>_xlfn.XLOOKUP(Table3[[#This Row],[Instrument]],Control!$B$2:$B$19,Control!$E$2:$E$19)</f>
        <v>Brent</v>
      </c>
      <c r="X253" s="14">
        <f>Table3[[#This Row],[Month1]]</f>
        <v>46142</v>
      </c>
      <c r="Y253" s="350">
        <f>Table3[[#This Row],[Quantity]]</f>
        <v>200</v>
      </c>
      <c r="Z253" t="str">
        <f>_xlfn.XLOOKUP(Table3[[#This Row],[Instrument]],Control!$B$2:$B$19,Control!$F$2:$F$19)</f>
        <v>Brent</v>
      </c>
      <c r="AA253" s="14">
        <f>Table3[[#This Row],[Month2]]</f>
        <v>46173</v>
      </c>
      <c r="AB253" s="350">
        <f t="shared" si="154"/>
        <v>-200</v>
      </c>
    </row>
    <row r="254" spans="1:28" ht="15" hidden="1" thickBot="1" x14ac:dyDescent="0.4">
      <c r="D254" t="s">
        <v>127</v>
      </c>
      <c r="E254" s="174">
        <v>46052</v>
      </c>
      <c r="F254" s="10" t="s">
        <v>15</v>
      </c>
      <c r="G254" s="4" t="s">
        <v>128</v>
      </c>
      <c r="H254" s="253">
        <v>101</v>
      </c>
      <c r="I254" s="173">
        <v>46053</v>
      </c>
      <c r="J254" s="173">
        <v>46053</v>
      </c>
      <c r="K254" s="212">
        <v>2.09</v>
      </c>
      <c r="L254" s="192">
        <f>VLOOKUP($I254,'PnL26'!$E$7:$F$59,2,FALSE)</f>
        <v>2.09</v>
      </c>
      <c r="M254" s="9">
        <f t="shared" si="254"/>
        <v>0</v>
      </c>
      <c r="N254">
        <f t="shared" si="255"/>
        <v>211.08999999999997</v>
      </c>
      <c r="O254" s="14" t="str">
        <f t="shared" si="256"/>
        <v>Jan 26</v>
      </c>
      <c r="P254" s="8" t="str">
        <f t="shared" si="257"/>
        <v>Buy</v>
      </c>
      <c r="Q254">
        <f t="shared" si="258"/>
        <v>211.08999999999997</v>
      </c>
      <c r="R254" s="38" t="str">
        <f>VLOOKUP(F254,Control!$B:$C,2,FALSE)</f>
        <v>Swaps</v>
      </c>
      <c r="S254" s="38" t="str">
        <f>VLOOKUP(F254,Control!$B:$D,3,FALSE)</f>
        <v>Dated</v>
      </c>
      <c r="T254" s="38">
        <f t="shared" si="259"/>
        <v>2026</v>
      </c>
      <c r="U254" t="str">
        <f t="shared" si="260"/>
        <v>Buy</v>
      </c>
      <c r="V254" t="s">
        <v>96</v>
      </c>
      <c r="W254" t="e">
        <f>_xlfn.XLOOKUP(Table3[[#This Row],[Instrument]],Control!$B$2:$B$19,Control!$E$2:$E$19)</f>
        <v>#N/A</v>
      </c>
      <c r="X254" s="14">
        <f>Table3[[#This Row],[Month1]]</f>
        <v>46053</v>
      </c>
      <c r="Y254" s="350">
        <f>Table3[[#This Row],[Quantity]]</f>
        <v>101</v>
      </c>
      <c r="Z254" t="e">
        <f>_xlfn.XLOOKUP(Table3[[#This Row],[Instrument]],Control!$B$2:$B$19,Control!$F$2:$F$19)</f>
        <v>#N/A</v>
      </c>
      <c r="AA254" s="14">
        <f>Table3[[#This Row],[Month2]]</f>
        <v>46053</v>
      </c>
      <c r="AB254" s="350">
        <f t="shared" si="154"/>
        <v>-101</v>
      </c>
    </row>
    <row r="255" spans="1:28" ht="15" hidden="1" thickBot="1" x14ac:dyDescent="0.4">
      <c r="D255" s="385" t="s">
        <v>1730</v>
      </c>
      <c r="E255" s="228">
        <v>46055</v>
      </c>
      <c r="F255" s="229" t="s">
        <v>19</v>
      </c>
      <c r="G255" s="380" t="s">
        <v>268</v>
      </c>
      <c r="H255" s="337">
        <v>2130</v>
      </c>
      <c r="I255" s="231">
        <v>46112</v>
      </c>
      <c r="J255" s="231">
        <v>46112</v>
      </c>
      <c r="K255" s="232">
        <f>'Cargo Econs 2026'!$C$63</f>
        <v>6.3077998585118022</v>
      </c>
      <c r="L255" s="315">
        <f>'Cargo Econs 2026'!$C$64</f>
        <v>6.68</v>
      </c>
      <c r="M255" s="234">
        <f t="shared" si="254"/>
        <v>792.78630136986055</v>
      </c>
      <c r="N255" s="227">
        <f t="shared" si="255"/>
        <v>13435.613698630139</v>
      </c>
      <c r="O255" s="235" t="str">
        <f t="shared" si="256"/>
        <v>Mar 26</v>
      </c>
      <c r="P255" s="236" t="str">
        <f t="shared" si="257"/>
        <v>Buy</v>
      </c>
      <c r="Q255" s="227">
        <f t="shared" si="258"/>
        <v>14228.4</v>
      </c>
      <c r="R255" s="227" t="str">
        <f>VLOOKUP(F255,Control!$B:$C,2,FALSE)</f>
        <v>Physical</v>
      </c>
      <c r="S255" s="227" t="str">
        <f>VLOOKUP(F255,Control!$B:$D,3,FALSE)</f>
        <v>Physical</v>
      </c>
      <c r="T255" s="237">
        <f t="shared" si="259"/>
        <v>2026</v>
      </c>
      <c r="U255" s="227" t="str">
        <f t="shared" si="260"/>
        <v>Buy</v>
      </c>
      <c r="V255" s="238" t="s">
        <v>96</v>
      </c>
      <c r="W255">
        <f>_xlfn.XLOOKUP(Table3[[#This Row],[Instrument]],Control!$B$2:$B$19,Control!$E$2:$E$19)</f>
        <v>0</v>
      </c>
      <c r="X255" s="14">
        <f>Table3[[#This Row],[Month1]]</f>
        <v>46112</v>
      </c>
      <c r="Y255" s="350">
        <f>Table3[[#This Row],[Quantity]]</f>
        <v>2130</v>
      </c>
      <c r="Z255">
        <f>_xlfn.XLOOKUP(Table3[[#This Row],[Instrument]],Control!$B$2:$B$19,Control!$F$2:$F$19)</f>
        <v>0</v>
      </c>
      <c r="AA255" s="14">
        <f>Table3[[#This Row],[Month2]]</f>
        <v>46112</v>
      </c>
      <c r="AB255" s="350">
        <f t="shared" si="154"/>
        <v>-2130</v>
      </c>
    </row>
    <row r="256" spans="1:28" ht="15" hidden="1" thickBot="1" x14ac:dyDescent="0.4">
      <c r="D256" s="382" t="s">
        <v>1730</v>
      </c>
      <c r="E256" s="174">
        <v>46055</v>
      </c>
      <c r="F256" s="325" t="s">
        <v>19</v>
      </c>
      <c r="G256" s="23" t="s">
        <v>268</v>
      </c>
      <c r="H256" s="256"/>
      <c r="I256" s="24">
        <v>46112</v>
      </c>
      <c r="J256" s="24">
        <v>46112</v>
      </c>
      <c r="K256" s="207">
        <f>'Cargo Econs 2025'!D506</f>
        <v>6.3152380952380955</v>
      </c>
      <c r="L256" s="353">
        <f>L255-0.3</f>
        <v>6.38</v>
      </c>
      <c r="M256" s="25">
        <f t="shared" ref="M256" si="261">IFERROR((L256-K256)*H256,"")</f>
        <v>0</v>
      </c>
      <c r="N256" s="26">
        <f t="shared" ref="N256" si="262">H256*K256</f>
        <v>0</v>
      </c>
      <c r="O256" s="282" t="str">
        <f t="shared" ref="O256" si="263">IF(I256=J256,TEXT(I256,"MMM YY"),TEXT(I256,"MMM")&amp;"/"&amp;TEXT(J256,"MMM")&amp;" "&amp;RIGHT(T256,2))</f>
        <v>Mar 26</v>
      </c>
      <c r="P256" s="27" t="str">
        <f t="shared" ref="P256" si="264">IF(H256&lt;0,"Sell","Buy")</f>
        <v>Buy</v>
      </c>
      <c r="Q256" s="26">
        <f t="shared" ref="Q256" si="265">H256*L256</f>
        <v>0</v>
      </c>
      <c r="R256" s="26" t="str">
        <f>VLOOKUP(F256,Control!$B:$C,2,FALSE)</f>
        <v>Physical</v>
      </c>
      <c r="S256" s="26" t="str">
        <f>VLOOKUP(F256,Control!$B:$D,3,FALSE)</f>
        <v>Physical</v>
      </c>
      <c r="T256" s="38">
        <f t="shared" ref="T256" si="266">YEAR(I256)</f>
        <v>2026</v>
      </c>
      <c r="U256" t="str">
        <f t="shared" ref="U256" si="267">IFERROR(IF(H256&gt;0,"Buy","Sell"),"")</f>
        <v>Sell</v>
      </c>
      <c r="V256" s="240" t="s">
        <v>96</v>
      </c>
      <c r="W256">
        <f>_xlfn.XLOOKUP(Table3[[#This Row],[Instrument]],Control!$B$2:$B$19,Control!$E$2:$E$19)</f>
        <v>0</v>
      </c>
      <c r="X256" s="14">
        <f>Table3[[#This Row],[Month1]]</f>
        <v>46112</v>
      </c>
      <c r="Y256" s="350">
        <f>Table3[[#This Row],[Quantity]]</f>
        <v>0</v>
      </c>
      <c r="Z256">
        <f>_xlfn.XLOOKUP(Table3[[#This Row],[Instrument]],Control!$B$2:$B$19,Control!$F$2:$F$19)</f>
        <v>0</v>
      </c>
      <c r="AA256" s="14">
        <f>Table3[[#This Row],[Month2]]</f>
        <v>46112</v>
      </c>
      <c r="AB256" s="350">
        <f t="shared" si="154"/>
        <v>0</v>
      </c>
    </row>
    <row r="257" spans="4:28" ht="15" hidden="1" thickBot="1" x14ac:dyDescent="0.4">
      <c r="D257" s="239" t="s">
        <v>1730</v>
      </c>
      <c r="E257" s="174">
        <v>46055</v>
      </c>
      <c r="F257" s="10" t="s">
        <v>3</v>
      </c>
      <c r="G257" s="4" t="s">
        <v>268</v>
      </c>
      <c r="H257" s="253">
        <v>-2100</v>
      </c>
      <c r="I257" s="172">
        <v>46112</v>
      </c>
      <c r="J257" s="172">
        <v>46142</v>
      </c>
      <c r="K257" s="212">
        <v>0.43</v>
      </c>
      <c r="L257" s="7">
        <f ca="1">IF(OR(S257="WTI Sprds",S257="Brent Sprds",S257="WTI-Brent",S257="DFL"),INDEX(INDIRECT("'" &amp; S257 &amp; "'!$A$6:$XFD$1048576"),MATCH('PnL26'!$P$1,INDIRECT("'" &amp; S257 &amp; "'!$A$6:$A$1048576"),0),MATCH(EOMONTH(I257,0),INDIRECT("'" &amp; S257 &amp; "'!$A$4:$XFD$4"),0)),INDEX(BBG!$A:$BA,MATCH('PnL26'!$P$1,BBG!$A:$A,0),MATCH($I257,BBG!$A$4:$BA$4,0))-INDEX(BBG!$A:$BA,MATCH('PnL26'!$P$1,BBG!$A:$A,0),MATCH($J257,BBG!$A$4:$BA$4,0)))</f>
        <v>0.03</v>
      </c>
      <c r="M257" s="9">
        <f t="shared" ca="1" si="254"/>
        <v>840</v>
      </c>
      <c r="N257">
        <f t="shared" si="255"/>
        <v>-903</v>
      </c>
      <c r="O257" s="14" t="str">
        <f t="shared" si="256"/>
        <v>Mar/Apr 26</v>
      </c>
      <c r="P257" s="8" t="str">
        <f t="shared" si="257"/>
        <v>Sell</v>
      </c>
      <c r="Q257">
        <f t="shared" ca="1" si="258"/>
        <v>-63</v>
      </c>
      <c r="R257" t="str">
        <f>VLOOKUP(F257,Control!$B:$C,2,FALSE)</f>
        <v>Futures</v>
      </c>
      <c r="S257" t="str">
        <f>VLOOKUP(F257,Control!$B:$D,3,FALSE)</f>
        <v>WTI Sprds</v>
      </c>
      <c r="T257" s="38">
        <f t="shared" si="259"/>
        <v>2026</v>
      </c>
      <c r="U257" t="str">
        <f t="shared" si="260"/>
        <v>Sell</v>
      </c>
      <c r="V257" s="240" t="s">
        <v>96</v>
      </c>
      <c r="W257" t="str">
        <f>_xlfn.XLOOKUP(Table3[[#This Row],[Instrument]],Control!$B$2:$B$19,Control!$E$2:$E$19)</f>
        <v>WTI</v>
      </c>
      <c r="X257" s="14">
        <f>Table3[[#This Row],[Month1]]</f>
        <v>46112</v>
      </c>
      <c r="Y257" s="350">
        <f>Table3[[#This Row],[Quantity]]</f>
        <v>-2100</v>
      </c>
      <c r="Z257" t="str">
        <f>_xlfn.XLOOKUP(Table3[[#This Row],[Instrument]],Control!$B$2:$B$19,Control!$F$2:$F$19)</f>
        <v>WTI</v>
      </c>
      <c r="AA257" s="14">
        <f>Table3[[#This Row],[Month2]]</f>
        <v>46142</v>
      </c>
      <c r="AB257" s="350">
        <f t="shared" si="154"/>
        <v>2100</v>
      </c>
    </row>
    <row r="258" spans="4:28" ht="15" hidden="1" thickBot="1" x14ac:dyDescent="0.4">
      <c r="D258" s="239" t="s">
        <v>1730</v>
      </c>
      <c r="E258" s="174">
        <v>46055</v>
      </c>
      <c r="F258" s="10" t="s">
        <v>3</v>
      </c>
      <c r="G258" s="4" t="s">
        <v>268</v>
      </c>
      <c r="H258" s="253">
        <f>-H255</f>
        <v>-2130</v>
      </c>
      <c r="I258" s="172">
        <f>J257</f>
        <v>46142</v>
      </c>
      <c r="J258" s="172">
        <f>EOMONTH(Table3[[#This Row],[Month1]],1)</f>
        <v>46173</v>
      </c>
      <c r="K258" s="212">
        <v>0.37</v>
      </c>
      <c r="L258" s="7">
        <f ca="1">IF(OR(S258="WTI Sprds",S258="Brent Sprds",S258="WTI-Brent",S258="DFL"),INDEX(INDIRECT("'" &amp; S258 &amp; "'!$A$6:$XFD$1048576"),MATCH('PnL26'!$P$1,INDIRECT("'" &amp; S258 &amp; "'!$A$6:$A$1048576"),0),MATCH(EOMONTH(I258,0),INDIRECT("'" &amp; S258 &amp; "'!$A$4:$XFD$4"),0)),INDEX(BBG!$A:$BA,MATCH('PnL26'!$P$1,BBG!$A:$A,0),MATCH($I258,BBG!$A$4:$BA$4,0))-INDEX(BBG!$A:$BA,MATCH('PnL26'!$P$1,BBG!$A:$A,0),MATCH($J258,BBG!$A$4:$BA$4,0)))</f>
        <v>0.59</v>
      </c>
      <c r="M258" s="9">
        <f t="shared" ca="1" si="254"/>
        <v>-468.59999999999997</v>
      </c>
      <c r="N258">
        <f t="shared" si="255"/>
        <v>-788.1</v>
      </c>
      <c r="O258" s="14" t="str">
        <f t="shared" si="256"/>
        <v>Apr/May 26</v>
      </c>
      <c r="P258" s="8" t="str">
        <f t="shared" si="257"/>
        <v>Sell</v>
      </c>
      <c r="Q258">
        <f t="shared" ca="1" si="258"/>
        <v>-1256.7</v>
      </c>
      <c r="R258" t="str">
        <f>VLOOKUP(F258,Control!$B:$C,2,FALSE)</f>
        <v>Futures</v>
      </c>
      <c r="S258" t="str">
        <f>VLOOKUP(F258,Control!$B:$D,3,FALSE)</f>
        <v>WTI Sprds</v>
      </c>
      <c r="T258" s="38">
        <f t="shared" si="259"/>
        <v>2026</v>
      </c>
      <c r="U258" t="str">
        <f t="shared" si="260"/>
        <v>Sell</v>
      </c>
      <c r="V258" s="240" t="s">
        <v>96</v>
      </c>
      <c r="W258" t="str">
        <f>_xlfn.XLOOKUP(Table3[[#This Row],[Instrument]],Control!$B$2:$B$19,Control!$E$2:$E$19)</f>
        <v>WTI</v>
      </c>
      <c r="X258" s="14">
        <f>Table3[[#This Row],[Month1]]</f>
        <v>46142</v>
      </c>
      <c r="Y258" s="350">
        <f>Table3[[#This Row],[Quantity]]</f>
        <v>-2130</v>
      </c>
      <c r="Z258" t="str">
        <f>_xlfn.XLOOKUP(Table3[[#This Row],[Instrument]],Control!$B$2:$B$19,Control!$F$2:$F$19)</f>
        <v>WTI</v>
      </c>
      <c r="AA258" s="14">
        <f>Table3[[#This Row],[Month2]]</f>
        <v>46173</v>
      </c>
      <c r="AB258" s="350">
        <f t="shared" si="154"/>
        <v>2130</v>
      </c>
    </row>
    <row r="259" spans="4:28" ht="15" hidden="1" thickBot="1" x14ac:dyDescent="0.4">
      <c r="D259" s="239" t="s">
        <v>1730</v>
      </c>
      <c r="E259" s="174">
        <v>46055</v>
      </c>
      <c r="F259" s="10" t="s">
        <v>10</v>
      </c>
      <c r="G259" s="4" t="s">
        <v>268</v>
      </c>
      <c r="H259" s="253">
        <f>H258</f>
        <v>-2130</v>
      </c>
      <c r="I259" s="172">
        <f>J258</f>
        <v>46173</v>
      </c>
      <c r="J259" s="172">
        <f>Table3[[#This Row],[Month1]]</f>
        <v>46173</v>
      </c>
      <c r="K259" s="212">
        <v>-4.25</v>
      </c>
      <c r="L259" s="7">
        <f ca="1">IF(OR(S259="WTI Sprds",S259="Brent Sprds",S259="WTI-Brent",S259="DFL"),INDEX(INDIRECT("'" &amp; S259 &amp; "'!$A$6:$XFD$1048576"),MATCH('PnL26'!$P$1,INDIRECT("'" &amp; S259 &amp; "'!$A$6:$A$1048576"),0),MATCH(EOMONTH(I259,0),INDIRECT("'" &amp; S259 &amp; "'!$A$4:$XFD$4"),0)),INDEX(BBG!$A:$BA,MATCH('PnL26'!$P$1,BBG!$A:$A,0),MATCH($I259,BBG!$A$4:$BA$4,0))-INDEX(BBG!$A:$BA,MATCH('PnL26'!$P$1,BBG!$A:$A,0),MATCH($J259,BBG!$A$4:$BA$4,0)))</f>
        <v>-16.97</v>
      </c>
      <c r="M259" s="9">
        <f t="shared" ca="1" si="254"/>
        <v>27093.599999999999</v>
      </c>
      <c r="N259">
        <f t="shared" si="255"/>
        <v>9052.5</v>
      </c>
      <c r="O259" s="14" t="str">
        <f t="shared" si="256"/>
        <v>May 26</v>
      </c>
      <c r="P259" s="8" t="str">
        <f t="shared" si="257"/>
        <v>Sell</v>
      </c>
      <c r="Q259">
        <f t="shared" ca="1" si="258"/>
        <v>36146.1</v>
      </c>
      <c r="R259" t="str">
        <f>VLOOKUP(F259,Control!$B:$C,2,FALSE)</f>
        <v>Swaps</v>
      </c>
      <c r="S259" t="str">
        <f>VLOOKUP(F259,Control!$B:$D,3,FALSE)</f>
        <v>WTI-Brent</v>
      </c>
      <c r="T259" s="38">
        <f t="shared" si="259"/>
        <v>2026</v>
      </c>
      <c r="U259" t="str">
        <f t="shared" si="260"/>
        <v>Sell</v>
      </c>
      <c r="V259" s="240" t="s">
        <v>96</v>
      </c>
      <c r="W259" t="str">
        <f>_xlfn.XLOOKUP(Table3[[#This Row],[Instrument]],Control!$B$2:$B$19,Control!$E$2:$E$19)</f>
        <v>WTI</v>
      </c>
      <c r="X259" s="14">
        <f>Table3[[#This Row],[Month1]]</f>
        <v>46173</v>
      </c>
      <c r="Y259" s="350">
        <f>Table3[[#This Row],[Quantity]]</f>
        <v>-2130</v>
      </c>
      <c r="Z259" t="str">
        <f>_xlfn.XLOOKUP(Table3[[#This Row],[Instrument]],Control!$B$2:$B$19,Control!$F$2:$F$19)</f>
        <v>Brent</v>
      </c>
      <c r="AA259" s="14">
        <f>Table3[[#This Row],[Month2]]</f>
        <v>46173</v>
      </c>
      <c r="AB259" s="350">
        <f t="shared" ref="AB259:AB322" si="268">-Y259</f>
        <v>2130</v>
      </c>
    </row>
    <row r="260" spans="4:28" ht="15" hidden="1" thickBot="1" x14ac:dyDescent="0.4">
      <c r="D260" s="239" t="s">
        <v>1730</v>
      </c>
      <c r="E260" s="174">
        <v>46055</v>
      </c>
      <c r="F260" s="10" t="s">
        <v>7</v>
      </c>
      <c r="G260" s="4" t="s">
        <v>268</v>
      </c>
      <c r="H260" s="253">
        <f>-2130+107</f>
        <v>-2023</v>
      </c>
      <c r="I260" s="172">
        <f>J259</f>
        <v>46173</v>
      </c>
      <c r="J260" s="172">
        <v>46203</v>
      </c>
      <c r="K260" s="212">
        <v>0.56999999999999995</v>
      </c>
      <c r="L260" s="7">
        <f ca="1">IF(OR(S260="WTI Sprds",S260="Brent Sprds",S260="WTI-Brent",S260="DFL"),INDEX(INDIRECT("'" &amp; S260 &amp; "'!$A$6:$XFD$1048576"),MATCH('PnL26'!$P$1,INDIRECT("'" &amp; S260 &amp; "'!$A$6:$A$1048576"),0),MATCH(EOMONTH(I260,0),INDIRECT("'" &amp; S260 &amp; "'!$A$4:$XFD$4"),0)),INDEX(BBG!$A:$BA,MATCH('PnL26'!$P$1,BBG!$A:$A,0),MATCH($I260,BBG!$A$4:$BA$4,0))-INDEX(BBG!$A:$BA,MATCH('PnL26'!$P$1,BBG!$A:$A,0),MATCH($J260,BBG!$A$4:$BA$4,0)))</f>
        <v>14.38</v>
      </c>
      <c r="M260" s="9">
        <f t="shared" ref="M260" ca="1" si="269">IFERROR((L260-K260)*H260,"")</f>
        <v>-27937.63</v>
      </c>
      <c r="N260">
        <f t="shared" ref="N260" si="270">H260*K260</f>
        <v>-1153.1099999999999</v>
      </c>
      <c r="O260" s="14" t="str">
        <f t="shared" ref="O260" si="271">IF(I260=J260,TEXT(I260,"MMM YY"),TEXT(I260,"MMM")&amp;"/"&amp;TEXT(J260,"MMM")&amp;" "&amp;RIGHT(T260,2))</f>
        <v>May/Jun 26</v>
      </c>
      <c r="P260" s="8" t="str">
        <f t="shared" ref="P260" si="272">IF(H260&lt;0,"Sell","Buy")</f>
        <v>Sell</v>
      </c>
      <c r="Q260">
        <f t="shared" ref="Q260" ca="1" si="273">H260*L260</f>
        <v>-29090.74</v>
      </c>
      <c r="R260" t="str">
        <f>VLOOKUP(F260,Control!$B:$C,2,FALSE)</f>
        <v>Futures</v>
      </c>
      <c r="S260" t="str">
        <f>VLOOKUP(F260,Control!$B:$D,3,FALSE)</f>
        <v>Brent Sprds</v>
      </c>
      <c r="T260" s="38">
        <f t="shared" ref="T260" si="274">YEAR(I260)</f>
        <v>2026</v>
      </c>
      <c r="U260" t="str">
        <f t="shared" ref="U260" si="275">IFERROR(IF(H260&gt;0,"Buy","Sell"),"")</f>
        <v>Sell</v>
      </c>
      <c r="V260" s="240" t="s">
        <v>96</v>
      </c>
      <c r="W260" t="str">
        <f>_xlfn.XLOOKUP(Table3[[#This Row],[Instrument]],Control!$B$2:$B$19,Control!$E$2:$E$19)</f>
        <v>Brent</v>
      </c>
      <c r="X260" s="14">
        <f>Table3[[#This Row],[Month1]]</f>
        <v>46173</v>
      </c>
      <c r="Y260" s="350">
        <f>Table3[[#This Row],[Quantity]]</f>
        <v>-2023</v>
      </c>
      <c r="Z260" t="str">
        <f>_xlfn.XLOOKUP(Table3[[#This Row],[Instrument]],Control!$B$2:$B$19,Control!$F$2:$F$19)</f>
        <v>Brent</v>
      </c>
      <c r="AA260" s="14">
        <f>Table3[[#This Row],[Month2]]</f>
        <v>46203</v>
      </c>
      <c r="AB260" s="350">
        <f t="shared" si="268"/>
        <v>2023</v>
      </c>
    </row>
    <row r="261" spans="4:28" ht="15" hidden="1" thickBot="1" x14ac:dyDescent="0.4">
      <c r="D261" s="239" t="s">
        <v>1730</v>
      </c>
      <c r="E261" s="174">
        <v>46055</v>
      </c>
      <c r="F261" s="10" t="s">
        <v>7</v>
      </c>
      <c r="G261" s="4" t="s">
        <v>268</v>
      </c>
      <c r="H261" s="253">
        <v>-107</v>
      </c>
      <c r="I261" s="172">
        <f>J260</f>
        <v>46203</v>
      </c>
      <c r="J261" s="172">
        <v>46234</v>
      </c>
      <c r="K261" s="212">
        <v>0.43</v>
      </c>
      <c r="L261" s="7">
        <f ca="1">IF(OR(S261="WTI Sprds",S261="Brent Sprds",S261="WTI-Brent",S261="DFL"),INDEX(INDIRECT("'" &amp; S261 &amp; "'!$A$6:$XFD$1048576"),MATCH('PnL26'!$P$1,INDIRECT("'" &amp; S261 &amp; "'!$A$6:$A$1048576"),0),MATCH(EOMONTH(I261,0),INDIRECT("'" &amp; S261 &amp; "'!$A$4:$XFD$4"),0)),INDEX(BBG!$A:$BA,MATCH('PnL26'!$P$1,BBG!$A:$A,0),MATCH($I261,BBG!$A$4:$BA$4,0))-INDEX(BBG!$A:$BA,MATCH('PnL26'!$P$1,BBG!$A:$A,0),MATCH($J261,BBG!$A$4:$BA$4,0)))</f>
        <v>3.61</v>
      </c>
      <c r="M261" s="9">
        <f t="shared" ref="M261" ca="1" si="276">IFERROR((L261-K261)*H261,"")</f>
        <v>-340.26</v>
      </c>
      <c r="N261">
        <f t="shared" ref="N261" si="277">H261*K261</f>
        <v>-46.01</v>
      </c>
      <c r="O261" s="14" t="str">
        <f t="shared" ref="O261" si="278">IF(I261=J261,TEXT(I261,"MMM YY"),TEXT(I261,"MMM")&amp;"/"&amp;TEXT(J261,"MMM")&amp;" "&amp;RIGHT(T261,2))</f>
        <v>Jun/Jul 26</v>
      </c>
      <c r="P261" s="8" t="str">
        <f t="shared" ref="P261" si="279">IF(H261&lt;0,"Sell","Buy")</f>
        <v>Sell</v>
      </c>
      <c r="Q261">
        <f t="shared" ref="Q261" ca="1" si="280">H261*L261</f>
        <v>-386.27</v>
      </c>
      <c r="R261" t="str">
        <f>VLOOKUP(F261,Control!$B:$C,2,FALSE)</f>
        <v>Futures</v>
      </c>
      <c r="S261" t="str">
        <f>VLOOKUP(F261,Control!$B:$D,3,FALSE)</f>
        <v>Brent Sprds</v>
      </c>
      <c r="T261" s="38">
        <f t="shared" ref="T261" si="281">YEAR(I261)</f>
        <v>2026</v>
      </c>
      <c r="U261" t="str">
        <f t="shared" ref="U261" si="282">IFERROR(IF(H261&gt;0,"Buy","Sell"),"")</f>
        <v>Sell</v>
      </c>
      <c r="V261" s="240" t="s">
        <v>96</v>
      </c>
      <c r="W261" t="str">
        <f>_xlfn.XLOOKUP(Table3[[#This Row],[Instrument]],Control!$B$2:$B$19,Control!$E$2:$E$19)</f>
        <v>Brent</v>
      </c>
      <c r="X261" s="14">
        <f>Table3[[#This Row],[Month1]]</f>
        <v>46203</v>
      </c>
      <c r="Y261" s="350">
        <f>Table3[[#This Row],[Quantity]]</f>
        <v>-107</v>
      </c>
      <c r="Z261" t="str">
        <f>_xlfn.XLOOKUP(Table3[[#This Row],[Instrument]],Control!$B$2:$B$19,Control!$F$2:$F$19)</f>
        <v>Brent</v>
      </c>
      <c r="AA261" s="14">
        <f>Table3[[#This Row],[Month2]]</f>
        <v>46234</v>
      </c>
      <c r="AB261" s="350">
        <f t="shared" si="268"/>
        <v>107</v>
      </c>
    </row>
    <row r="262" spans="4:28" ht="15" hidden="1" thickBot="1" x14ac:dyDescent="0.4">
      <c r="D262" s="239" t="s">
        <v>1730</v>
      </c>
      <c r="E262" s="174">
        <v>46055</v>
      </c>
      <c r="F262" s="47" t="s">
        <v>28</v>
      </c>
      <c r="G262" s="4" t="s">
        <v>268</v>
      </c>
      <c r="H262" s="253">
        <v>-2000</v>
      </c>
      <c r="I262" s="172">
        <v>46112</v>
      </c>
      <c r="J262" s="172">
        <v>46112</v>
      </c>
      <c r="K262" s="212">
        <v>14500</v>
      </c>
      <c r="L262" s="314">
        <f>K262</f>
        <v>14500</v>
      </c>
      <c r="M262" s="9">
        <f>L262-K262</f>
        <v>0</v>
      </c>
      <c r="N262" s="91">
        <f>L262-K262</f>
        <v>0</v>
      </c>
      <c r="O262" s="14" t="str">
        <f t="shared" si="256"/>
        <v>Mar 26</v>
      </c>
      <c r="P262" s="8" t="str">
        <f t="shared" si="257"/>
        <v>Sell</v>
      </c>
      <c r="Q262">
        <f t="shared" si="258"/>
        <v>-29000000</v>
      </c>
      <c r="R262" t="str">
        <f>VLOOKUP(F262,Control!$B:$C,2,FALSE)</f>
        <v>Freight</v>
      </c>
      <c r="S262" t="str">
        <f>VLOOKUP(F262,Control!$B:$D,3,FALSE)</f>
        <v>Freight</v>
      </c>
      <c r="T262" s="38">
        <f t="shared" si="259"/>
        <v>2026</v>
      </c>
      <c r="U262" t="str">
        <f t="shared" si="260"/>
        <v>Sell</v>
      </c>
      <c r="V262" s="240" t="s">
        <v>96</v>
      </c>
      <c r="W262" t="e">
        <f>_xlfn.XLOOKUP(Table3[[#This Row],[Instrument]],Control!$B$2:$B$19,Control!$E$2:$E$19)</f>
        <v>#N/A</v>
      </c>
      <c r="X262" s="14">
        <f>Table3[[#This Row],[Month1]]</f>
        <v>46112</v>
      </c>
      <c r="Y262" s="350">
        <f>Table3[[#This Row],[Quantity]]</f>
        <v>-2000</v>
      </c>
      <c r="Z262" t="e">
        <f>_xlfn.XLOOKUP(Table3[[#This Row],[Instrument]],Control!$B$2:$B$19,Control!$F$2:$F$19)</f>
        <v>#N/A</v>
      </c>
      <c r="AA262" s="14">
        <f>Table3[[#This Row],[Month2]]</f>
        <v>46112</v>
      </c>
      <c r="AB262" s="350">
        <f t="shared" si="268"/>
        <v>2000</v>
      </c>
    </row>
    <row r="263" spans="4:28" ht="15" hidden="1" thickBot="1" x14ac:dyDescent="0.4">
      <c r="D263" s="383" t="s">
        <v>1730</v>
      </c>
      <c r="E263" s="300">
        <v>46055</v>
      </c>
      <c r="F263" s="242" t="s">
        <v>28</v>
      </c>
      <c r="G263" s="317" t="s">
        <v>128</v>
      </c>
      <c r="H263" s="277">
        <v>2000</v>
      </c>
      <c r="I263" s="244">
        <v>46112</v>
      </c>
      <c r="J263" s="244">
        <v>46112</v>
      </c>
      <c r="K263" s="384">
        <v>13500</v>
      </c>
      <c r="L263" s="319">
        <f>L262</f>
        <v>14500</v>
      </c>
      <c r="M263" s="247">
        <f>L263-K263</f>
        <v>1000</v>
      </c>
      <c r="N263" s="252">
        <f>K262-K263</f>
        <v>1000</v>
      </c>
      <c r="O263" s="248" t="str">
        <f t="shared" si="256"/>
        <v>Mar 26</v>
      </c>
      <c r="P263" s="249" t="str">
        <f t="shared" si="257"/>
        <v>Buy</v>
      </c>
      <c r="Q263" s="160">
        <f t="shared" si="258"/>
        <v>29000000</v>
      </c>
      <c r="R263" s="160" t="str">
        <f>VLOOKUP(F263,Control!$B:$C,2,FALSE)</f>
        <v>Freight</v>
      </c>
      <c r="S263" s="160" t="str">
        <f>VLOOKUP(F263,Control!$B:$D,3,FALSE)</f>
        <v>Freight</v>
      </c>
      <c r="T263" s="250">
        <f t="shared" si="259"/>
        <v>2026</v>
      </c>
      <c r="U263" s="160" t="str">
        <f t="shared" si="260"/>
        <v>Buy</v>
      </c>
      <c r="V263" s="251" t="s">
        <v>96</v>
      </c>
      <c r="W263" t="e">
        <f>_xlfn.XLOOKUP(Table3[[#This Row],[Instrument]],Control!$B$2:$B$19,Control!$E$2:$E$19)</f>
        <v>#N/A</v>
      </c>
      <c r="X263" s="14">
        <f>Table3[[#This Row],[Month1]]</f>
        <v>46112</v>
      </c>
      <c r="Y263" s="350">
        <f>Table3[[#This Row],[Quantity]]</f>
        <v>2000</v>
      </c>
      <c r="Z263" t="e">
        <f>_xlfn.XLOOKUP(Table3[[#This Row],[Instrument]],Control!$B$2:$B$19,Control!$F$2:$F$19)</f>
        <v>#N/A</v>
      </c>
      <c r="AA263" s="14">
        <f>Table3[[#This Row],[Month2]]</f>
        <v>46112</v>
      </c>
      <c r="AB263" s="350">
        <f t="shared" si="268"/>
        <v>-2000</v>
      </c>
    </row>
    <row r="264" spans="4:28" ht="15" hidden="1" thickBot="1" x14ac:dyDescent="0.4">
      <c r="D264" t="s">
        <v>1730</v>
      </c>
      <c r="E264" s="174">
        <v>46055</v>
      </c>
      <c r="F264" s="10" t="s">
        <v>3</v>
      </c>
      <c r="G264" s="4" t="s">
        <v>128</v>
      </c>
      <c r="H264" s="253">
        <v>1000</v>
      </c>
      <c r="I264" s="172">
        <v>46112</v>
      </c>
      <c r="J264" s="172">
        <v>46142</v>
      </c>
      <c r="K264" s="212">
        <v>0.41</v>
      </c>
      <c r="L264" s="7">
        <f ca="1">IF(OR(S264="WTI Sprds",S264="Brent Sprds",S264="WTI-Brent",S264="DFL"),INDEX(INDIRECT("'" &amp; S264 &amp; "'!$A$6:$XFD$1048576"),MATCH('PnL26'!$P$1,INDIRECT("'" &amp; S264 &amp; "'!$A$6:$A$1048576"),0),MATCH(EOMONTH(I264,0),INDIRECT("'" &amp; S264 &amp; "'!$A$4:$XFD$4"),0)),INDEX(BBG!$A:$BA,MATCH('PnL26'!$P$1,BBG!$A:$A,0),MATCH($I264,BBG!$A$4:$BA$4,0))-INDEX(BBG!$A:$BA,MATCH('PnL26'!$P$1,BBG!$A:$A,0),MATCH($J264,BBG!$A$4:$BA$4,0)))</f>
        <v>0.03</v>
      </c>
      <c r="M264" s="9">
        <f t="shared" ref="M264:M273" ca="1" si="283">IFERROR((L264-K264)*H264,"")</f>
        <v>-380</v>
      </c>
      <c r="N264">
        <f t="shared" ref="N264:N273" si="284">H264*K264</f>
        <v>410</v>
      </c>
      <c r="O264" s="14" t="str">
        <f t="shared" ref="O264:O270" si="285">IF(I264=J264,TEXT(I264,"MMM YY"),TEXT(I264,"MMM")&amp;"/"&amp;TEXT(J264,"MMM")&amp;" "&amp;RIGHT(T264,2))</f>
        <v>Mar/Apr 26</v>
      </c>
      <c r="P264" s="8" t="str">
        <f t="shared" ref="P264:P273" si="286">IF(H264&lt;0,"Sell","Buy")</f>
        <v>Buy</v>
      </c>
      <c r="Q264">
        <f t="shared" ref="Q264:Q273" ca="1" si="287">H264*L264</f>
        <v>30</v>
      </c>
      <c r="R264" t="str">
        <f>VLOOKUP(F264,Control!$B:$C,2,FALSE)</f>
        <v>Futures</v>
      </c>
      <c r="S264" t="str">
        <f>VLOOKUP(F264,Control!$B:$D,3,FALSE)</f>
        <v>WTI Sprds</v>
      </c>
      <c r="T264" s="38">
        <f t="shared" ref="T264:T270" si="288">YEAR(I264)</f>
        <v>2026</v>
      </c>
      <c r="U264" t="str">
        <f t="shared" ref="U264:U273" si="289">IFERROR(IF(H264&gt;0,"Buy","Sell"),"")</f>
        <v>Buy</v>
      </c>
      <c r="V264" t="s">
        <v>96</v>
      </c>
      <c r="W264" t="str">
        <f>_xlfn.XLOOKUP(Table3[[#This Row],[Instrument]],Control!$B$2:$B$19,Control!$E$2:$E$19)</f>
        <v>WTI</v>
      </c>
      <c r="X264" s="14">
        <f>Table3[[#This Row],[Month1]]</f>
        <v>46112</v>
      </c>
      <c r="Y264" s="350">
        <f>Table3[[#This Row],[Quantity]]</f>
        <v>1000</v>
      </c>
      <c r="Z264" t="str">
        <f>_xlfn.XLOOKUP(Table3[[#This Row],[Instrument]],Control!$B$2:$B$19,Control!$F$2:$F$19)</f>
        <v>WTI</v>
      </c>
      <c r="AA264" s="14">
        <f>Table3[[#This Row],[Month2]]</f>
        <v>46142</v>
      </c>
      <c r="AB264" s="350">
        <f t="shared" si="268"/>
        <v>-1000</v>
      </c>
    </row>
    <row r="265" spans="4:28" ht="15" hidden="1" thickBot="1" x14ac:dyDescent="0.4">
      <c r="D265" t="s">
        <v>1730</v>
      </c>
      <c r="E265" s="174">
        <v>46055</v>
      </c>
      <c r="F265" s="10" t="s">
        <v>3</v>
      </c>
      <c r="G265" s="4" t="s">
        <v>128</v>
      </c>
      <c r="H265" s="253">
        <v>1000</v>
      </c>
      <c r="I265" s="172">
        <f>J264</f>
        <v>46142</v>
      </c>
      <c r="J265" s="172">
        <f>EOMONTH(Table3[[#This Row],[Month1]],1)</f>
        <v>46173</v>
      </c>
      <c r="K265" s="212">
        <v>0.37</v>
      </c>
      <c r="L265" s="7">
        <f ca="1">IF(OR(S265="WTI Sprds",S265="Brent Sprds",S265="WTI-Brent",S265="DFL"),INDEX(INDIRECT("'" &amp; S265 &amp; "'!$A$6:$XFD$1048576"),MATCH('PnL26'!$P$1,INDIRECT("'" &amp; S265 &amp; "'!$A$6:$A$1048576"),0),MATCH(EOMONTH(I265,0),INDIRECT("'" &amp; S265 &amp; "'!$A$4:$XFD$4"),0)),INDEX(BBG!$A:$BA,MATCH('PnL26'!$P$1,BBG!$A:$A,0),MATCH($I265,BBG!$A$4:$BA$4,0))-INDEX(BBG!$A:$BA,MATCH('PnL26'!$P$1,BBG!$A:$A,0),MATCH($J265,BBG!$A$4:$BA$4,0)))</f>
        <v>0.59</v>
      </c>
      <c r="M265" s="9">
        <f t="shared" ca="1" si="283"/>
        <v>219.99999999999997</v>
      </c>
      <c r="N265">
        <f t="shared" si="284"/>
        <v>370</v>
      </c>
      <c r="O265" s="14" t="str">
        <f t="shared" si="285"/>
        <v>Apr/May 26</v>
      </c>
      <c r="P265" s="8" t="str">
        <f t="shared" si="286"/>
        <v>Buy</v>
      </c>
      <c r="Q265">
        <f t="shared" ca="1" si="287"/>
        <v>590</v>
      </c>
      <c r="R265" t="str">
        <f>VLOOKUP(F265,Control!$B:$C,2,FALSE)</f>
        <v>Futures</v>
      </c>
      <c r="S265" t="str">
        <f>VLOOKUP(F265,Control!$B:$D,3,FALSE)</f>
        <v>WTI Sprds</v>
      </c>
      <c r="T265" s="38">
        <f t="shared" si="288"/>
        <v>2026</v>
      </c>
      <c r="U265" t="str">
        <f t="shared" si="289"/>
        <v>Buy</v>
      </c>
      <c r="V265" t="s">
        <v>96</v>
      </c>
      <c r="W265" t="str">
        <f>_xlfn.XLOOKUP(Table3[[#This Row],[Instrument]],Control!$B$2:$B$19,Control!$E$2:$E$19)</f>
        <v>WTI</v>
      </c>
      <c r="X265" s="14">
        <f>Table3[[#This Row],[Month1]]</f>
        <v>46142</v>
      </c>
      <c r="Y265" s="350">
        <f>Table3[[#This Row],[Quantity]]</f>
        <v>1000</v>
      </c>
      <c r="Z265" t="str">
        <f>_xlfn.XLOOKUP(Table3[[#This Row],[Instrument]],Control!$B$2:$B$19,Control!$F$2:$F$19)</f>
        <v>WTI</v>
      </c>
      <c r="AA265" s="14">
        <f>Table3[[#This Row],[Month2]]</f>
        <v>46173</v>
      </c>
      <c r="AB265" s="350">
        <f t="shared" si="268"/>
        <v>-1000</v>
      </c>
    </row>
    <row r="266" spans="4:28" ht="15" hidden="1" thickBot="1" x14ac:dyDescent="0.4">
      <c r="D266" t="s">
        <v>1730</v>
      </c>
      <c r="E266" s="174">
        <v>46055</v>
      </c>
      <c r="F266" s="10" t="s">
        <v>10</v>
      </c>
      <c r="G266" s="4" t="s">
        <v>128</v>
      </c>
      <c r="H266" s="253">
        <v>1000</v>
      </c>
      <c r="I266" s="172">
        <f>J265</f>
        <v>46173</v>
      </c>
      <c r="J266" s="172">
        <f>Table3[[#This Row],[Month1]]</f>
        <v>46173</v>
      </c>
      <c r="K266" s="212">
        <v>-4.28</v>
      </c>
      <c r="L266" s="7">
        <f ca="1">IF(OR(S266="WTI Sprds",S266="Brent Sprds",S266="WTI-Brent",S266="DFL"),INDEX(INDIRECT("'" &amp; S266 &amp; "'!$A$6:$XFD$1048576"),MATCH('PnL26'!$P$1,INDIRECT("'" &amp; S266 &amp; "'!$A$6:$A$1048576"),0),MATCH(EOMONTH(I266,0),INDIRECT("'" &amp; S266 &amp; "'!$A$4:$XFD$4"),0)),INDEX(BBG!$A:$BA,MATCH('PnL26'!$P$1,BBG!$A:$A,0),MATCH($I266,BBG!$A$4:$BA$4,0))-INDEX(BBG!$A:$BA,MATCH('PnL26'!$P$1,BBG!$A:$A,0),MATCH($J266,BBG!$A$4:$BA$4,0)))</f>
        <v>-16.97</v>
      </c>
      <c r="M266" s="9">
        <f t="shared" ca="1" si="283"/>
        <v>-12689.999999999998</v>
      </c>
      <c r="N266">
        <f t="shared" si="284"/>
        <v>-4280</v>
      </c>
      <c r="O266" s="14" t="str">
        <f t="shared" si="285"/>
        <v>May 26</v>
      </c>
      <c r="P266" s="8" t="str">
        <f t="shared" si="286"/>
        <v>Buy</v>
      </c>
      <c r="Q266">
        <f t="shared" ca="1" si="287"/>
        <v>-16970</v>
      </c>
      <c r="R266" t="str">
        <f>VLOOKUP(F266,Control!$B:$C,2,FALSE)</f>
        <v>Swaps</v>
      </c>
      <c r="S266" t="str">
        <f>VLOOKUP(F266,Control!$B:$D,3,FALSE)</f>
        <v>WTI-Brent</v>
      </c>
      <c r="T266" s="38">
        <f t="shared" si="288"/>
        <v>2026</v>
      </c>
      <c r="U266" t="str">
        <f t="shared" si="289"/>
        <v>Buy</v>
      </c>
      <c r="V266" t="s">
        <v>96</v>
      </c>
      <c r="W266" t="str">
        <f>_xlfn.XLOOKUP(Table3[[#This Row],[Instrument]],Control!$B$2:$B$19,Control!$E$2:$E$19)</f>
        <v>WTI</v>
      </c>
      <c r="X266" s="14">
        <f>Table3[[#This Row],[Month1]]</f>
        <v>46173</v>
      </c>
      <c r="Y266" s="350">
        <f>Table3[[#This Row],[Quantity]]</f>
        <v>1000</v>
      </c>
      <c r="Z266" t="str">
        <f>_xlfn.XLOOKUP(Table3[[#This Row],[Instrument]],Control!$B$2:$B$19,Control!$F$2:$F$19)</f>
        <v>Brent</v>
      </c>
      <c r="AA266" s="14">
        <f>Table3[[#This Row],[Month2]]</f>
        <v>46173</v>
      </c>
      <c r="AB266" s="350">
        <f t="shared" si="268"/>
        <v>-1000</v>
      </c>
    </row>
    <row r="267" spans="4:28" ht="15" hidden="1" thickBot="1" x14ac:dyDescent="0.4">
      <c r="D267" t="s">
        <v>127</v>
      </c>
      <c r="E267" s="174">
        <v>46055</v>
      </c>
      <c r="F267" s="10" t="s">
        <v>15</v>
      </c>
      <c r="G267" s="4" t="s">
        <v>128</v>
      </c>
      <c r="H267" s="253">
        <v>-100</v>
      </c>
      <c r="I267" s="173">
        <v>46112</v>
      </c>
      <c r="J267" s="173">
        <v>46112</v>
      </c>
      <c r="K267" s="212">
        <v>0.77</v>
      </c>
      <c r="L267" s="192">
        <f>VLOOKUP($I267,'PnL26'!$E$7:$F$59,2,FALSE)</f>
        <v>11.45</v>
      </c>
      <c r="M267" s="9">
        <f t="shared" si="283"/>
        <v>-1068</v>
      </c>
      <c r="N267">
        <f t="shared" si="284"/>
        <v>-77</v>
      </c>
      <c r="O267" s="14" t="str">
        <f t="shared" si="285"/>
        <v>Mar 26</v>
      </c>
      <c r="P267" s="8" t="str">
        <f t="shared" si="286"/>
        <v>Sell</v>
      </c>
      <c r="Q267">
        <f t="shared" si="287"/>
        <v>-1145</v>
      </c>
      <c r="R267" s="38" t="str">
        <f>VLOOKUP(F267,Control!$B:$C,2,FALSE)</f>
        <v>Swaps</v>
      </c>
      <c r="S267" s="38" t="str">
        <f>VLOOKUP(F267,Control!$B:$D,3,FALSE)</f>
        <v>Dated</v>
      </c>
      <c r="T267" s="38">
        <f t="shared" si="288"/>
        <v>2026</v>
      </c>
      <c r="U267" t="str">
        <f t="shared" si="289"/>
        <v>Sell</v>
      </c>
      <c r="V267" t="s">
        <v>96</v>
      </c>
      <c r="W267" t="e">
        <f>_xlfn.XLOOKUP(Table3[[#This Row],[Instrument]],Control!$B$2:$B$19,Control!$E$2:$E$19)</f>
        <v>#N/A</v>
      </c>
      <c r="X267" s="14">
        <f>Table3[[#This Row],[Month1]]</f>
        <v>46112</v>
      </c>
      <c r="Y267" s="350">
        <f>Table3[[#This Row],[Quantity]]</f>
        <v>-100</v>
      </c>
      <c r="Z267" t="e">
        <f>_xlfn.XLOOKUP(Table3[[#This Row],[Instrument]],Control!$B$2:$B$19,Control!$F$2:$F$19)</f>
        <v>#N/A</v>
      </c>
      <c r="AA267" s="14">
        <f>Table3[[#This Row],[Month2]]</f>
        <v>46112</v>
      </c>
      <c r="AB267" s="350">
        <f t="shared" si="268"/>
        <v>100</v>
      </c>
    </row>
    <row r="268" spans="4:28" ht="15" hidden="1" thickBot="1" x14ac:dyDescent="0.4">
      <c r="D268" t="s">
        <v>1731</v>
      </c>
      <c r="E268" s="16">
        <v>46055</v>
      </c>
      <c r="F268" s="325" t="s">
        <v>19</v>
      </c>
      <c r="G268" s="23" t="s">
        <v>268</v>
      </c>
      <c r="H268" s="256">
        <v>700</v>
      </c>
      <c r="I268" s="24">
        <v>46081</v>
      </c>
      <c r="J268" s="24">
        <v>46081</v>
      </c>
      <c r="K268" s="207">
        <f>'Cargo Econs 2025'!I506</f>
        <v>-2.6100000000000003</v>
      </c>
      <c r="L268" s="353">
        <f>'Cargo Econs 2025'!I507</f>
        <v>-2.5499999999999998</v>
      </c>
      <c r="M268" s="25">
        <f t="shared" si="283"/>
        <v>42.000000000000348</v>
      </c>
      <c r="N268" s="26">
        <f t="shared" si="284"/>
        <v>-1827.0000000000002</v>
      </c>
      <c r="O268" s="282" t="str">
        <f t="shared" si="285"/>
        <v>Feb 26</v>
      </c>
      <c r="P268" s="27" t="str">
        <f t="shared" si="286"/>
        <v>Buy</v>
      </c>
      <c r="Q268" s="26">
        <f t="shared" si="287"/>
        <v>-1784.9999999999998</v>
      </c>
      <c r="R268" s="26" t="str">
        <f>VLOOKUP(F268,Control!$B:$C,2,FALSE)</f>
        <v>Physical</v>
      </c>
      <c r="S268" s="26" t="str">
        <f>VLOOKUP(F268,Control!$B:$D,3,FALSE)</f>
        <v>Physical</v>
      </c>
      <c r="T268" s="38">
        <f t="shared" si="288"/>
        <v>2026</v>
      </c>
      <c r="U268" t="str">
        <f t="shared" si="289"/>
        <v>Buy</v>
      </c>
      <c r="V268" t="s">
        <v>96</v>
      </c>
      <c r="W268">
        <f>_xlfn.XLOOKUP(Table3[[#This Row],[Instrument]],Control!$B$2:$B$19,Control!$E$2:$E$19)</f>
        <v>0</v>
      </c>
      <c r="X268" s="14">
        <f>Table3[[#This Row],[Month1]]</f>
        <v>46081</v>
      </c>
      <c r="Y268" s="350">
        <f>Table3[[#This Row],[Quantity]]</f>
        <v>700</v>
      </c>
      <c r="Z268">
        <f>_xlfn.XLOOKUP(Table3[[#This Row],[Instrument]],Control!$B$2:$B$19,Control!$F$2:$F$19)</f>
        <v>0</v>
      </c>
      <c r="AA268" s="14">
        <f>Table3[[#This Row],[Month2]]</f>
        <v>46081</v>
      </c>
      <c r="AB268" s="350">
        <f t="shared" si="268"/>
        <v>-700</v>
      </c>
    </row>
    <row r="269" spans="4:28" ht="15" hidden="1" thickBot="1" x14ac:dyDescent="0.4">
      <c r="D269" t="s">
        <v>1731</v>
      </c>
      <c r="E269" s="16">
        <v>46055</v>
      </c>
      <c r="F269" s="10" t="s">
        <v>3</v>
      </c>
      <c r="G269" s="4" t="s">
        <v>268</v>
      </c>
      <c r="H269" s="253">
        <f>-H268</f>
        <v>-700</v>
      </c>
      <c r="I269" s="172">
        <v>46112</v>
      </c>
      <c r="J269" s="172">
        <v>46142</v>
      </c>
      <c r="K269" s="212">
        <v>0.42</v>
      </c>
      <c r="L269" s="7">
        <f ca="1">IF(OR(S269="WTI Sprds",S269="Brent Sprds",S269="WTI-Brent",S269="DFL"),INDEX(INDIRECT("'" &amp; S269 &amp; "'!$A$6:$XFD$1048576"),MATCH('PnL26'!$P$1,INDIRECT("'" &amp; S269 &amp; "'!$A$6:$A$1048576"),0),MATCH(EOMONTH(I269,0),INDIRECT("'" &amp; S269 &amp; "'!$A$4:$XFD$4"),0)),INDEX(BBG!$A:$BA,MATCH('PnL26'!$P$1,BBG!$A:$A,0),MATCH($I269,BBG!$A$4:$BA$4,0))-INDEX(BBG!$A:$BA,MATCH('PnL26'!$P$1,BBG!$A:$A,0),MATCH($J269,BBG!$A$4:$BA$4,0)))</f>
        <v>0.03</v>
      </c>
      <c r="M269" s="9">
        <f t="shared" ca="1" si="283"/>
        <v>273</v>
      </c>
      <c r="N269">
        <f t="shared" si="284"/>
        <v>-294</v>
      </c>
      <c r="O269" s="14" t="str">
        <f t="shared" si="285"/>
        <v>Mar/Apr 26</v>
      </c>
      <c r="P269" s="8" t="str">
        <f t="shared" si="286"/>
        <v>Sell</v>
      </c>
      <c r="Q269">
        <f t="shared" ca="1" si="287"/>
        <v>-21</v>
      </c>
      <c r="R269" t="str">
        <f>VLOOKUP(F269,Control!$B:$C,2,FALSE)</f>
        <v>Futures</v>
      </c>
      <c r="S269" t="str">
        <f>VLOOKUP(F269,Control!$B:$D,3,FALSE)</f>
        <v>WTI Sprds</v>
      </c>
      <c r="T269" s="38">
        <f t="shared" si="288"/>
        <v>2026</v>
      </c>
      <c r="U269" t="str">
        <f t="shared" si="289"/>
        <v>Sell</v>
      </c>
      <c r="V269" t="s">
        <v>96</v>
      </c>
      <c r="W269" t="str">
        <f>_xlfn.XLOOKUP(Table3[[#This Row],[Instrument]],Control!$B$2:$B$19,Control!$E$2:$E$19)</f>
        <v>WTI</v>
      </c>
      <c r="X269" s="14">
        <f>Table3[[#This Row],[Month1]]</f>
        <v>46112</v>
      </c>
      <c r="Y269" s="350">
        <f>Table3[[#This Row],[Quantity]]</f>
        <v>-700</v>
      </c>
      <c r="Z269" t="str">
        <f>_xlfn.XLOOKUP(Table3[[#This Row],[Instrument]],Control!$B$2:$B$19,Control!$F$2:$F$19)</f>
        <v>WTI</v>
      </c>
      <c r="AA269" s="14">
        <f>Table3[[#This Row],[Month2]]</f>
        <v>46142</v>
      </c>
      <c r="AB269" s="350">
        <f t="shared" si="268"/>
        <v>700</v>
      </c>
    </row>
    <row r="270" spans="4:28" ht="15" hidden="1" thickBot="1" x14ac:dyDescent="0.4">
      <c r="D270" t="s">
        <v>1731</v>
      </c>
      <c r="E270" s="16">
        <v>46055</v>
      </c>
      <c r="F270" s="10" t="s">
        <v>10</v>
      </c>
      <c r="G270" s="4" t="s">
        <v>268</v>
      </c>
      <c r="H270" s="253">
        <f>H269</f>
        <v>-700</v>
      </c>
      <c r="I270" s="172">
        <f>J269</f>
        <v>46142</v>
      </c>
      <c r="J270" s="172">
        <f>Table3[[#This Row],[Month1]]</f>
        <v>46142</v>
      </c>
      <c r="K270" s="212">
        <v>-4.58</v>
      </c>
      <c r="L270" s="7">
        <f ca="1">IF(OR(S270="WTI Sprds",S270="Brent Sprds",S270="WTI-Brent",S270="DFL"),INDEX(INDIRECT("'" &amp; S270 &amp; "'!$A$6:$XFD$1048576"),MATCH('PnL26'!$P$1,INDIRECT("'" &amp; S270 &amp; "'!$A$6:$A$1048576"),0),MATCH(EOMONTH(I270,0),INDIRECT("'" &amp; S270 &amp; "'!$A$4:$XFD$4"),0)),INDEX(BBG!$A:$BA,MATCH('PnL26'!$P$1,BBG!$A:$A,0),MATCH($I270,BBG!$A$4:$BA$4,0))-INDEX(BBG!$A:$BA,MATCH('PnL26'!$P$1,BBG!$A:$A,0),MATCH($J270,BBG!$A$4:$BA$4,0)))</f>
        <v>-5.46</v>
      </c>
      <c r="M270" s="9">
        <f t="shared" ca="1" si="283"/>
        <v>615.99999999999989</v>
      </c>
      <c r="N270">
        <f t="shared" si="284"/>
        <v>3206</v>
      </c>
      <c r="O270" s="14" t="str">
        <f t="shared" si="285"/>
        <v>Apr 26</v>
      </c>
      <c r="P270" s="8" t="str">
        <f t="shared" si="286"/>
        <v>Sell</v>
      </c>
      <c r="Q270">
        <f t="shared" ca="1" si="287"/>
        <v>3822</v>
      </c>
      <c r="R270" t="str">
        <f>VLOOKUP(F270,Control!$B:$C,2,FALSE)</f>
        <v>Swaps</v>
      </c>
      <c r="S270" t="str">
        <f>VLOOKUP(F270,Control!$B:$D,3,FALSE)</f>
        <v>WTI-Brent</v>
      </c>
      <c r="T270" s="38">
        <f t="shared" si="288"/>
        <v>2026</v>
      </c>
      <c r="U270" t="str">
        <f t="shared" si="289"/>
        <v>Sell</v>
      </c>
      <c r="V270" t="s">
        <v>96</v>
      </c>
      <c r="W270" t="str">
        <f>_xlfn.XLOOKUP(Table3[[#This Row],[Instrument]],Control!$B$2:$B$19,Control!$E$2:$E$19)</f>
        <v>WTI</v>
      </c>
      <c r="X270" s="14">
        <f>Table3[[#This Row],[Month1]]</f>
        <v>46142</v>
      </c>
      <c r="Y270" s="350">
        <f>Table3[[#This Row],[Quantity]]</f>
        <v>-700</v>
      </c>
      <c r="Z270" t="str">
        <f>_xlfn.XLOOKUP(Table3[[#This Row],[Instrument]],Control!$B$2:$B$19,Control!$F$2:$F$19)</f>
        <v>Brent</v>
      </c>
      <c r="AA270" s="14">
        <f>Table3[[#This Row],[Month2]]</f>
        <v>46142</v>
      </c>
      <c r="AB270" s="350">
        <f t="shared" si="268"/>
        <v>700</v>
      </c>
    </row>
    <row r="271" spans="4:28" ht="15" hidden="1" thickBot="1" x14ac:dyDescent="0.4">
      <c r="D271" t="s">
        <v>127</v>
      </c>
      <c r="E271" s="174">
        <v>46055</v>
      </c>
      <c r="F271" s="10" t="s">
        <v>3</v>
      </c>
      <c r="G271" s="4" t="s">
        <v>128</v>
      </c>
      <c r="H271" s="253">
        <v>221</v>
      </c>
      <c r="I271" s="172">
        <v>46112</v>
      </c>
      <c r="J271" s="172">
        <f>EOMONTH(Table3[[#This Row],[Month1]],1)</f>
        <v>46142</v>
      </c>
      <c r="K271" s="370">
        <v>0.42</v>
      </c>
      <c r="L271" s="192">
        <f ca="1">IF(OR(S271="WTI Sprds",S271="Brent Sprds",S271="WTI-Brent",S271="DFL"),INDEX(INDIRECT("'" &amp; S271 &amp; "'!$A$6:$XFD$1048576"),MATCH('PnL26'!$P$1,INDIRECT("'" &amp; S271 &amp; "'!$A$6:$A$1048576"),0),MATCH(EOMONTH(I271,0),INDIRECT("'" &amp; S271 &amp; "'!$A$4:$XFD$4"),0)),INDEX(BBG!$A:$BA,MATCH('PnL26'!$P$1,BBG!$A:$A,0),MATCH($I271,BBG!$A$4:$BA$4,0))-INDEX(BBG!$A:$BA,MATCH('PnL26'!$P$1,BBG!$A:$A,0),MATCH($J271,BBG!$A$4:$BA$4,0)))</f>
        <v>0.03</v>
      </c>
      <c r="M271" s="9">
        <f t="shared" ca="1" si="283"/>
        <v>-86.19</v>
      </c>
      <c r="N271">
        <f t="shared" si="284"/>
        <v>92.82</v>
      </c>
      <c r="O271" s="14" t="str">
        <f t="shared" ref="O271:O272" si="290">IF(I271=J271,TEXT(I271,"MMM YY"),TEXT(I271,"MMM")&amp;"/"&amp;TEXT(J271,"MMM")&amp;" "&amp;RIGHT(T271,2))</f>
        <v>Mar/Apr 26</v>
      </c>
      <c r="P271" s="8" t="str">
        <f t="shared" si="286"/>
        <v>Buy</v>
      </c>
      <c r="Q271">
        <f t="shared" ca="1" si="287"/>
        <v>6.63</v>
      </c>
      <c r="R271" s="38" t="str">
        <f>VLOOKUP(F271,Control!$B:$C,2,FALSE)</f>
        <v>Futures</v>
      </c>
      <c r="S271" s="38" t="str">
        <f>VLOOKUP(F271,Control!$B:$D,3,FALSE)</f>
        <v>WTI Sprds</v>
      </c>
      <c r="T271" s="38">
        <f t="shared" ref="T271:T272" si="291">YEAR(I271)</f>
        <v>2026</v>
      </c>
      <c r="U271" t="str">
        <f t="shared" si="289"/>
        <v>Buy</v>
      </c>
      <c r="V271" t="s">
        <v>96</v>
      </c>
      <c r="W271" t="str">
        <f>_xlfn.XLOOKUP(Table3[[#This Row],[Instrument]],Control!$B$2:$B$19,Control!$E$2:$E$19)</f>
        <v>WTI</v>
      </c>
      <c r="X271" s="14">
        <f>Table3[[#This Row],[Month1]]</f>
        <v>46112</v>
      </c>
      <c r="Y271" s="350">
        <f>Table3[[#This Row],[Quantity]]</f>
        <v>221</v>
      </c>
      <c r="Z271" t="str">
        <f>_xlfn.XLOOKUP(Table3[[#This Row],[Instrument]],Control!$B$2:$B$19,Control!$F$2:$F$19)</f>
        <v>WTI</v>
      </c>
      <c r="AA271" s="14">
        <f>Table3[[#This Row],[Month2]]</f>
        <v>46142</v>
      </c>
      <c r="AB271" s="350">
        <f t="shared" si="268"/>
        <v>-221</v>
      </c>
    </row>
    <row r="272" spans="4:28" ht="15" hidden="1" thickBot="1" x14ac:dyDescent="0.4">
      <c r="D272" t="s">
        <v>127</v>
      </c>
      <c r="E272" s="174">
        <v>46055</v>
      </c>
      <c r="F272" s="10" t="s">
        <v>3</v>
      </c>
      <c r="G272" s="4" t="s">
        <v>128</v>
      </c>
      <c r="H272" s="253">
        <v>70</v>
      </c>
      <c r="I272" s="172">
        <v>46142</v>
      </c>
      <c r="J272" s="172">
        <f>EOMONTH(Table3[[#This Row],[Month1]],1)</f>
        <v>46173</v>
      </c>
      <c r="K272" s="370">
        <v>0.38</v>
      </c>
      <c r="L272" s="192">
        <f ca="1">IF(OR(S272="WTI Sprds",S272="Brent Sprds",S272="WTI-Brent",S272="DFL"),INDEX(INDIRECT("'" &amp; S272 &amp; "'!$A$6:$XFD$1048576"),MATCH('PnL26'!$P$1,INDIRECT("'" &amp; S272 &amp; "'!$A$6:$A$1048576"),0),MATCH(EOMONTH(I272,0),INDIRECT("'" &amp; S272 &amp; "'!$A$4:$XFD$4"),0)),INDEX(BBG!$A:$BA,MATCH('PnL26'!$P$1,BBG!$A:$A,0),MATCH($I272,BBG!$A$4:$BA$4,0))-INDEX(BBG!$A:$BA,MATCH('PnL26'!$P$1,BBG!$A:$A,0),MATCH($J272,BBG!$A$4:$BA$4,0)))</f>
        <v>0.59</v>
      </c>
      <c r="M272" s="9">
        <f t="shared" ca="1" si="283"/>
        <v>14.699999999999998</v>
      </c>
      <c r="N272">
        <f t="shared" si="284"/>
        <v>26.6</v>
      </c>
      <c r="O272" s="14" t="str">
        <f t="shared" si="290"/>
        <v>Apr/May 26</v>
      </c>
      <c r="P272" s="8" t="str">
        <f t="shared" si="286"/>
        <v>Buy</v>
      </c>
      <c r="Q272">
        <f t="shared" ca="1" si="287"/>
        <v>41.3</v>
      </c>
      <c r="R272" s="38" t="str">
        <f>VLOOKUP(F272,Control!$B:$C,2,FALSE)</f>
        <v>Futures</v>
      </c>
      <c r="S272" s="38" t="str">
        <f>VLOOKUP(F272,Control!$B:$D,3,FALSE)</f>
        <v>WTI Sprds</v>
      </c>
      <c r="T272" s="38">
        <f t="shared" si="291"/>
        <v>2026</v>
      </c>
      <c r="U272" t="str">
        <f t="shared" si="289"/>
        <v>Buy</v>
      </c>
      <c r="V272" t="s">
        <v>96</v>
      </c>
      <c r="W272" t="str">
        <f>_xlfn.XLOOKUP(Table3[[#This Row],[Instrument]],Control!$B$2:$B$19,Control!$E$2:$E$19)</f>
        <v>WTI</v>
      </c>
      <c r="X272" s="14">
        <f>Table3[[#This Row],[Month1]]</f>
        <v>46142</v>
      </c>
      <c r="Y272" s="350">
        <f>Table3[[#This Row],[Quantity]]</f>
        <v>70</v>
      </c>
      <c r="Z272" t="str">
        <f>_xlfn.XLOOKUP(Table3[[#This Row],[Instrument]],Control!$B$2:$B$19,Control!$F$2:$F$19)</f>
        <v>WTI</v>
      </c>
      <c r="AA272" s="14">
        <f>Table3[[#This Row],[Month2]]</f>
        <v>46173</v>
      </c>
      <c r="AB272" s="350">
        <f t="shared" si="268"/>
        <v>-70</v>
      </c>
    </row>
    <row r="273" spans="4:28" ht="15" hidden="1" thickBot="1" x14ac:dyDescent="0.4">
      <c r="D273" s="26" t="s">
        <v>127</v>
      </c>
      <c r="E273" s="174">
        <v>46056</v>
      </c>
      <c r="F273" s="10" t="s">
        <v>22</v>
      </c>
      <c r="G273" s="4" t="s">
        <v>128</v>
      </c>
      <c r="H273" s="253">
        <v>400</v>
      </c>
      <c r="I273" s="172" t="s">
        <v>1726</v>
      </c>
      <c r="J273" s="172">
        <f>J270</f>
        <v>46142</v>
      </c>
      <c r="K273" s="15">
        <v>2.73</v>
      </c>
      <c r="L273" s="192">
        <f>VLOOKUP($I273,'PnL26'!B:C,2,FALSE)</f>
        <v>2.74</v>
      </c>
      <c r="M273" s="9">
        <f t="shared" si="283"/>
        <v>4.0000000000000924</v>
      </c>
      <c r="N273">
        <f t="shared" si="284"/>
        <v>1092</v>
      </c>
      <c r="O273" s="347" t="s">
        <v>98</v>
      </c>
      <c r="P273" s="8" t="str">
        <f t="shared" si="286"/>
        <v>Buy</v>
      </c>
      <c r="Q273">
        <f t="shared" si="287"/>
        <v>1096</v>
      </c>
      <c r="R273" s="38" t="str">
        <f>VLOOKUP(F273,Control!$B:$C,2,FALSE)</f>
        <v>Swaps</v>
      </c>
      <c r="S273" s="38" t="str">
        <f>VLOOKUP(F273,Control!$B:$D,3,FALSE)</f>
        <v>Dated</v>
      </c>
      <c r="T273" s="38">
        <v>2026</v>
      </c>
      <c r="U273" t="str">
        <f t="shared" si="289"/>
        <v>Buy</v>
      </c>
      <c r="V273" t="s">
        <v>96</v>
      </c>
      <c r="W273" t="e">
        <f>_xlfn.XLOOKUP(Table3[[#This Row],[Instrument]],Control!$B$2:$B$19,Control!$E$2:$E$19)</f>
        <v>#N/A</v>
      </c>
      <c r="X273" s="14" t="str">
        <f>Table3[[#This Row],[Month1]]</f>
        <v>Feb09-Feb13</v>
      </c>
      <c r="Y273" s="350">
        <f>Table3[[#This Row],[Quantity]]</f>
        <v>400</v>
      </c>
      <c r="Z273" t="e">
        <f>_xlfn.XLOOKUP(Table3[[#This Row],[Instrument]],Control!$B$2:$B$19,Control!$F$2:$F$19)</f>
        <v>#N/A</v>
      </c>
      <c r="AA273" s="14">
        <f>Table3[[#This Row],[Month2]]</f>
        <v>46142</v>
      </c>
      <c r="AB273" s="350">
        <f t="shared" si="268"/>
        <v>-400</v>
      </c>
    </row>
    <row r="274" spans="4:28" ht="15" hidden="1" thickBot="1" x14ac:dyDescent="0.4">
      <c r="D274" t="s">
        <v>127</v>
      </c>
      <c r="E274" s="174">
        <v>46056</v>
      </c>
      <c r="F274" s="10" t="s">
        <v>15</v>
      </c>
      <c r="G274" s="4" t="s">
        <v>128</v>
      </c>
      <c r="H274" s="253">
        <v>-400</v>
      </c>
      <c r="I274" s="173">
        <v>46112</v>
      </c>
      <c r="J274" s="173">
        <v>46112</v>
      </c>
      <c r="K274" s="212">
        <v>0.89</v>
      </c>
      <c r="L274" s="192">
        <f>VLOOKUP($I274,'PnL26'!$E$7:$F$59,2,FALSE)</f>
        <v>11.45</v>
      </c>
      <c r="M274" s="9">
        <f t="shared" ref="M274" si="292">IFERROR((L274-K274)*H274,"")</f>
        <v>-4223.9999999999991</v>
      </c>
      <c r="N274">
        <f t="shared" ref="N274:N275" si="293">H274*K274</f>
        <v>-356</v>
      </c>
      <c r="O274" s="14" t="str">
        <f t="shared" ref="O274" si="294">IF(I274=J274,TEXT(I274,"MMM YY"),TEXT(I274,"MMM")&amp;"/"&amp;TEXT(J274,"MMM")&amp;" "&amp;RIGHT(T274,2))</f>
        <v>Mar 26</v>
      </c>
      <c r="P274" s="8" t="str">
        <f t="shared" ref="P274:P275" si="295">IF(H274&lt;0,"Sell","Buy")</f>
        <v>Sell</v>
      </c>
      <c r="Q274">
        <f t="shared" ref="Q274:Q275" si="296">H274*L274</f>
        <v>-4580</v>
      </c>
      <c r="R274" s="38" t="str">
        <f>VLOOKUP(F274,Control!$B:$C,2,FALSE)</f>
        <v>Swaps</v>
      </c>
      <c r="S274" s="38" t="str">
        <f>VLOOKUP(F274,Control!$B:$D,3,FALSE)</f>
        <v>Dated</v>
      </c>
      <c r="T274" s="38">
        <f t="shared" ref="T274" si="297">YEAR(I274)</f>
        <v>2026</v>
      </c>
      <c r="U274" t="str">
        <f t="shared" ref="U274:U275" si="298">IFERROR(IF(H274&gt;0,"Buy","Sell"),"")</f>
        <v>Sell</v>
      </c>
      <c r="V274" t="s">
        <v>96</v>
      </c>
      <c r="W274" t="e">
        <f>_xlfn.XLOOKUP(Table3[[#This Row],[Instrument]],Control!$B$2:$B$19,Control!$E$2:$E$19)</f>
        <v>#N/A</v>
      </c>
      <c r="X274" s="14">
        <f>Table3[[#This Row],[Month1]]</f>
        <v>46112</v>
      </c>
      <c r="Y274" s="350">
        <f>Table3[[#This Row],[Quantity]]</f>
        <v>-400</v>
      </c>
      <c r="Z274" t="e">
        <f>_xlfn.XLOOKUP(Table3[[#This Row],[Instrument]],Control!$B$2:$B$19,Control!$F$2:$F$19)</f>
        <v>#N/A</v>
      </c>
      <c r="AA274" s="14">
        <f>Table3[[#This Row],[Month2]]</f>
        <v>46112</v>
      </c>
      <c r="AB274" s="350">
        <f t="shared" si="268"/>
        <v>400</v>
      </c>
    </row>
    <row r="275" spans="4:28" ht="15" hidden="1" thickBot="1" x14ac:dyDescent="0.4">
      <c r="D275" s="26" t="s">
        <v>127</v>
      </c>
      <c r="E275" s="174">
        <v>46056</v>
      </c>
      <c r="F275" s="10" t="s">
        <v>22</v>
      </c>
      <c r="G275" s="4" t="s">
        <v>128</v>
      </c>
      <c r="H275" s="253">
        <v>0</v>
      </c>
      <c r="I275" s="172" t="s">
        <v>1726</v>
      </c>
      <c r="J275" s="172">
        <f>J272</f>
        <v>46173</v>
      </c>
      <c r="K275" s="15">
        <v>2.73</v>
      </c>
      <c r="L275" s="192">
        <f>VLOOKUP($I275,'PnL26'!B:C,2,FALSE)</f>
        <v>2.74</v>
      </c>
      <c r="M275" s="9">
        <f>60*(67.33-66.3)</f>
        <v>61.800000000000068</v>
      </c>
      <c r="N275">
        <f t="shared" si="293"/>
        <v>0</v>
      </c>
      <c r="O275" s="347" t="s">
        <v>98</v>
      </c>
      <c r="P275" s="8" t="str">
        <f t="shared" si="295"/>
        <v>Buy</v>
      </c>
      <c r="Q275">
        <f t="shared" si="296"/>
        <v>0</v>
      </c>
      <c r="R275" s="38" t="str">
        <f>VLOOKUP(F275,Control!$B:$C,2,FALSE)</f>
        <v>Swaps</v>
      </c>
      <c r="S275" s="38" t="str">
        <f>VLOOKUP(F275,Control!$B:$D,3,FALSE)</f>
        <v>Dated</v>
      </c>
      <c r="T275" s="38">
        <v>2026</v>
      </c>
      <c r="U275" t="str">
        <f t="shared" si="298"/>
        <v>Sell</v>
      </c>
      <c r="V275" t="s">
        <v>96</v>
      </c>
      <c r="W275" t="e">
        <f>_xlfn.XLOOKUP(Table3[[#This Row],[Instrument]],Control!$B$2:$B$19,Control!$E$2:$E$19)</f>
        <v>#N/A</v>
      </c>
      <c r="X275" s="14" t="str">
        <f>Table3[[#This Row],[Month1]]</f>
        <v>Feb09-Feb13</v>
      </c>
      <c r="Y275" s="350">
        <f>Table3[[#This Row],[Quantity]]</f>
        <v>0</v>
      </c>
      <c r="Z275" t="e">
        <f>_xlfn.XLOOKUP(Table3[[#This Row],[Instrument]],Control!$B$2:$B$19,Control!$F$2:$F$19)</f>
        <v>#N/A</v>
      </c>
      <c r="AA275" s="14">
        <f>Table3[[#This Row],[Month2]]</f>
        <v>46173</v>
      </c>
      <c r="AB275" s="350">
        <f t="shared" si="268"/>
        <v>0</v>
      </c>
    </row>
    <row r="276" spans="4:28" ht="15" hidden="1" thickBot="1" x14ac:dyDescent="0.4">
      <c r="D276" t="s">
        <v>1730</v>
      </c>
      <c r="E276" s="174">
        <v>46056</v>
      </c>
      <c r="F276" s="10" t="s">
        <v>3</v>
      </c>
      <c r="G276" s="4" t="s">
        <v>128</v>
      </c>
      <c r="H276" s="379">
        <v>1000</v>
      </c>
      <c r="I276" s="172">
        <v>46112</v>
      </c>
      <c r="J276" s="172">
        <v>46142</v>
      </c>
      <c r="K276" s="15">
        <v>0.41</v>
      </c>
      <c r="L276" s="192">
        <f ca="1">IF(OR(S276="WTI Sprds",S276="Brent Sprds",S276="WTI-Brent",S276="DFL"),INDEX(INDIRECT("'" &amp; S276 &amp; "'!$A$6:$XFD$1048576"),MATCH('PnL26'!$P$1,INDIRECT("'" &amp; S276 &amp; "'!$A$6:$A$1048576"),0),MATCH(EOMONTH(I276,0),INDIRECT("'" &amp; S276 &amp; "'!$A$4:$XFD$4"),0)),INDEX(BBG!$A:$BA,MATCH('PnL26'!$P$1,BBG!$A:$A,0),MATCH($I276,BBG!$A$4:$BA$4,0))-INDEX(BBG!$A:$BA,MATCH('PnL26'!$P$1,BBG!$A:$A,0),MATCH($J276,BBG!$A$4:$BA$4,0)))</f>
        <v>0.03</v>
      </c>
      <c r="M276" s="9">
        <f t="shared" ref="M276:M287" ca="1" si="299">IFERROR((L276-K276)*H276,"")</f>
        <v>-380</v>
      </c>
      <c r="N276">
        <f t="shared" ref="N276:N287" si="300">H276*K276</f>
        <v>410</v>
      </c>
      <c r="O276" s="14" t="str">
        <f t="shared" ref="O276:O287" si="301">IF(I276=J276,TEXT(I276,"MMM YY"),TEXT(I276,"MMM")&amp;"/"&amp;TEXT(J276,"MMM")&amp;" "&amp;RIGHT(T276,2))</f>
        <v>Mar/Apr 26</v>
      </c>
      <c r="P276" s="8" t="str">
        <f t="shared" ref="P276:P287" si="302">IF(H276&lt;0,"Sell","Buy")</f>
        <v>Buy</v>
      </c>
      <c r="Q276">
        <f t="shared" ref="Q276:Q287" ca="1" si="303">H276*L276</f>
        <v>30</v>
      </c>
      <c r="R276" s="38" t="str">
        <f>VLOOKUP(F276,Control!$B:$C,2,FALSE)</f>
        <v>Futures</v>
      </c>
      <c r="S276" s="38" t="str">
        <f>VLOOKUP(F276,Control!$B:$D,3,FALSE)</f>
        <v>WTI Sprds</v>
      </c>
      <c r="T276" s="38">
        <f t="shared" ref="T276:T287" si="304">YEAR(I276)</f>
        <v>2026</v>
      </c>
      <c r="U276" t="str">
        <f t="shared" ref="U276:U287" si="305">IFERROR(IF(H276&gt;0,"Buy","Sell"),"")</f>
        <v>Buy</v>
      </c>
      <c r="V276" t="s">
        <v>96</v>
      </c>
      <c r="W276" t="str">
        <f>_xlfn.XLOOKUP(Table3[[#This Row],[Instrument]],Control!$B$2:$B$19,Control!$E$2:$E$19)</f>
        <v>WTI</v>
      </c>
      <c r="X276" s="14">
        <f>Table3[[#This Row],[Month1]]</f>
        <v>46112</v>
      </c>
      <c r="Y276" s="350">
        <f>Table3[[#This Row],[Quantity]]</f>
        <v>1000</v>
      </c>
      <c r="Z276" t="str">
        <f>_xlfn.XLOOKUP(Table3[[#This Row],[Instrument]],Control!$B$2:$B$19,Control!$F$2:$F$19)</f>
        <v>WTI</v>
      </c>
      <c r="AA276" s="14">
        <f>Table3[[#This Row],[Month2]]</f>
        <v>46142</v>
      </c>
      <c r="AB276" s="350">
        <f t="shared" si="268"/>
        <v>-1000</v>
      </c>
    </row>
    <row r="277" spans="4:28" ht="15" hidden="1" thickBot="1" x14ac:dyDescent="0.4">
      <c r="D277" t="s">
        <v>1730</v>
      </c>
      <c r="E277" s="174">
        <v>46056</v>
      </c>
      <c r="F277" s="10" t="s">
        <v>3</v>
      </c>
      <c r="G277" s="4" t="s">
        <v>128</v>
      </c>
      <c r="H277" s="379">
        <v>1000</v>
      </c>
      <c r="I277" s="172">
        <v>46142</v>
      </c>
      <c r="J277" s="172">
        <v>46173</v>
      </c>
      <c r="K277" s="15">
        <v>0.37</v>
      </c>
      <c r="L277" s="192">
        <f ca="1">IF(OR(S277="WTI Sprds",S277="Brent Sprds",S277="WTI-Brent",S277="DFL"),INDEX(INDIRECT("'" &amp; S277 &amp; "'!$A$6:$XFD$1048576"),MATCH('PnL26'!$P$1,INDIRECT("'" &amp; S277 &amp; "'!$A$6:$A$1048576"),0),MATCH(EOMONTH(I277,0),INDIRECT("'" &amp; S277 &amp; "'!$A$4:$XFD$4"),0)),INDEX(BBG!$A:$BA,MATCH('PnL26'!$P$1,BBG!$A:$A,0),MATCH($I277,BBG!$A$4:$BA$4,0))-INDEX(BBG!$A:$BA,MATCH('PnL26'!$P$1,BBG!$A:$A,0),MATCH($J277,BBG!$A$4:$BA$4,0)))</f>
        <v>0.59</v>
      </c>
      <c r="M277" s="9">
        <f t="shared" ca="1" si="299"/>
        <v>219.99999999999997</v>
      </c>
      <c r="N277">
        <f t="shared" si="300"/>
        <v>370</v>
      </c>
      <c r="O277" s="14" t="str">
        <f t="shared" si="301"/>
        <v>Apr/May 26</v>
      </c>
      <c r="P277" s="8" t="str">
        <f t="shared" si="302"/>
        <v>Buy</v>
      </c>
      <c r="Q277">
        <f t="shared" ca="1" si="303"/>
        <v>590</v>
      </c>
      <c r="R277" s="38" t="str">
        <f>VLOOKUP(F277,Control!$B:$C,2,FALSE)</f>
        <v>Futures</v>
      </c>
      <c r="S277" s="38" t="str">
        <f>VLOOKUP(F277,Control!$B:$D,3,FALSE)</f>
        <v>WTI Sprds</v>
      </c>
      <c r="T277" s="38">
        <f t="shared" si="304"/>
        <v>2026</v>
      </c>
      <c r="U277" t="str">
        <f t="shared" si="305"/>
        <v>Buy</v>
      </c>
      <c r="V277" t="s">
        <v>96</v>
      </c>
      <c r="W277" t="str">
        <f>_xlfn.XLOOKUP(Table3[[#This Row],[Instrument]],Control!$B$2:$B$19,Control!$E$2:$E$19)</f>
        <v>WTI</v>
      </c>
      <c r="X277" s="14">
        <f>Table3[[#This Row],[Month1]]</f>
        <v>46142</v>
      </c>
      <c r="Y277" s="350">
        <f>Table3[[#This Row],[Quantity]]</f>
        <v>1000</v>
      </c>
      <c r="Z277" t="str">
        <f>_xlfn.XLOOKUP(Table3[[#This Row],[Instrument]],Control!$B$2:$B$19,Control!$F$2:$F$19)</f>
        <v>WTI</v>
      </c>
      <c r="AA277" s="14">
        <f>Table3[[#This Row],[Month2]]</f>
        <v>46173</v>
      </c>
      <c r="AB277" s="350">
        <f t="shared" si="268"/>
        <v>-1000</v>
      </c>
    </row>
    <row r="278" spans="4:28" ht="15" hidden="1" thickBot="1" x14ac:dyDescent="0.4">
      <c r="D278" t="s">
        <v>1730</v>
      </c>
      <c r="E278" s="174">
        <v>46056</v>
      </c>
      <c r="F278" s="10" t="s">
        <v>10</v>
      </c>
      <c r="G278" s="4" t="s">
        <v>128</v>
      </c>
      <c r="H278" s="379">
        <v>1000</v>
      </c>
      <c r="I278" s="172">
        <v>46173</v>
      </c>
      <c r="J278" s="172">
        <v>46173</v>
      </c>
      <c r="K278" s="15">
        <v>-4.1950000000000003</v>
      </c>
      <c r="L278" s="192">
        <f ca="1">IF(OR(S278="WTI Sprds",S278="Brent Sprds",S278="WTI-Brent",S278="DFL"),INDEX(INDIRECT("'" &amp; S278 &amp; "'!$A$6:$XFD$1048576"),MATCH('PnL26'!$P$1,INDIRECT("'" &amp; S278 &amp; "'!$A$6:$A$1048576"),0),MATCH(EOMONTH(I278,0),INDIRECT("'" &amp; S278 &amp; "'!$A$4:$XFD$4"),0)),INDEX(BBG!$A:$BA,MATCH('PnL26'!$P$1,BBG!$A:$A,0),MATCH($I278,BBG!$A$4:$BA$4,0))-INDEX(BBG!$A:$BA,MATCH('PnL26'!$P$1,BBG!$A:$A,0),MATCH($J278,BBG!$A$4:$BA$4,0)))</f>
        <v>-16.97</v>
      </c>
      <c r="M278" s="9">
        <f t="shared" ca="1" si="299"/>
        <v>-12774.999999999998</v>
      </c>
      <c r="N278">
        <f t="shared" si="300"/>
        <v>-4195</v>
      </c>
      <c r="O278" s="14" t="str">
        <f t="shared" si="301"/>
        <v>May 26</v>
      </c>
      <c r="P278" s="8" t="str">
        <f t="shared" si="302"/>
        <v>Buy</v>
      </c>
      <c r="Q278">
        <f t="shared" ca="1" si="303"/>
        <v>-16970</v>
      </c>
      <c r="R278" s="38" t="str">
        <f>VLOOKUP(F278,Control!$B:$C,2,FALSE)</f>
        <v>Swaps</v>
      </c>
      <c r="S278" s="38" t="str">
        <f>VLOOKUP(F278,Control!$B:$D,3,FALSE)</f>
        <v>WTI-Brent</v>
      </c>
      <c r="T278" s="38">
        <f t="shared" si="304"/>
        <v>2026</v>
      </c>
      <c r="U278" t="str">
        <f t="shared" si="305"/>
        <v>Buy</v>
      </c>
      <c r="V278" t="s">
        <v>96</v>
      </c>
      <c r="W278" t="str">
        <f>_xlfn.XLOOKUP(Table3[[#This Row],[Instrument]],Control!$B$2:$B$19,Control!$E$2:$E$19)</f>
        <v>WTI</v>
      </c>
      <c r="X278" s="14">
        <f>Table3[[#This Row],[Month1]]</f>
        <v>46173</v>
      </c>
      <c r="Y278" s="350">
        <f>Table3[[#This Row],[Quantity]]</f>
        <v>1000</v>
      </c>
      <c r="Z278" t="str">
        <f>_xlfn.XLOOKUP(Table3[[#This Row],[Instrument]],Control!$B$2:$B$19,Control!$F$2:$F$19)</f>
        <v>Brent</v>
      </c>
      <c r="AA278" s="14">
        <f>Table3[[#This Row],[Month2]]</f>
        <v>46173</v>
      </c>
      <c r="AB278" s="350">
        <f t="shared" si="268"/>
        <v>-1000</v>
      </c>
    </row>
    <row r="279" spans="4:28" ht="15" hidden="1" thickBot="1" x14ac:dyDescent="0.4">
      <c r="D279" t="s">
        <v>1730</v>
      </c>
      <c r="E279" s="174">
        <v>46056</v>
      </c>
      <c r="F279" s="10" t="s">
        <v>3</v>
      </c>
      <c r="G279" s="4" t="s">
        <v>128</v>
      </c>
      <c r="H279" s="379">
        <v>400</v>
      </c>
      <c r="I279" s="172">
        <v>46112</v>
      </c>
      <c r="J279" s="172">
        <v>46142</v>
      </c>
      <c r="K279" s="15">
        <v>0.41</v>
      </c>
      <c r="L279" s="192">
        <f ca="1">IF(OR(S279="WTI Sprds",S279="Brent Sprds",S279="WTI-Brent",S279="DFL"),INDEX(INDIRECT("'" &amp; S279 &amp; "'!$A$6:$XFD$1048576"),MATCH('PnL26'!$P$1,INDIRECT("'" &amp; S279 &amp; "'!$A$6:$A$1048576"),0),MATCH(EOMONTH(I279,0),INDIRECT("'" &amp; S279 &amp; "'!$A$4:$XFD$4"),0)),INDEX(BBG!$A:$BA,MATCH('PnL26'!$P$1,BBG!$A:$A,0),MATCH($I279,BBG!$A$4:$BA$4,0))-INDEX(BBG!$A:$BA,MATCH('PnL26'!$P$1,BBG!$A:$A,0),MATCH($J279,BBG!$A$4:$BA$4,0)))</f>
        <v>0.03</v>
      </c>
      <c r="M279" s="9">
        <f t="shared" ca="1" si="299"/>
        <v>-152</v>
      </c>
      <c r="N279">
        <f t="shared" si="300"/>
        <v>164</v>
      </c>
      <c r="O279" s="14" t="str">
        <f t="shared" si="301"/>
        <v>Mar/Apr 26</v>
      </c>
      <c r="P279" s="8" t="str">
        <f t="shared" si="302"/>
        <v>Buy</v>
      </c>
      <c r="Q279">
        <f t="shared" ca="1" si="303"/>
        <v>12</v>
      </c>
      <c r="R279" s="38" t="str">
        <f>VLOOKUP(F279,Control!$B:$C,2,FALSE)</f>
        <v>Futures</v>
      </c>
      <c r="S279" s="38" t="str">
        <f>VLOOKUP(F279,Control!$B:$D,3,FALSE)</f>
        <v>WTI Sprds</v>
      </c>
      <c r="T279" s="38">
        <f t="shared" si="304"/>
        <v>2026</v>
      </c>
      <c r="U279" t="str">
        <f t="shared" si="305"/>
        <v>Buy</v>
      </c>
      <c r="V279" t="s">
        <v>96</v>
      </c>
      <c r="W279" t="str">
        <f>_xlfn.XLOOKUP(Table3[[#This Row],[Instrument]],Control!$B$2:$B$19,Control!$E$2:$E$19)</f>
        <v>WTI</v>
      </c>
      <c r="X279" s="14">
        <f>Table3[[#This Row],[Month1]]</f>
        <v>46112</v>
      </c>
      <c r="Y279" s="350">
        <f>Table3[[#This Row],[Quantity]]</f>
        <v>400</v>
      </c>
      <c r="Z279" t="str">
        <f>_xlfn.XLOOKUP(Table3[[#This Row],[Instrument]],Control!$B$2:$B$19,Control!$F$2:$F$19)</f>
        <v>WTI</v>
      </c>
      <c r="AA279" s="14">
        <f>Table3[[#This Row],[Month2]]</f>
        <v>46142</v>
      </c>
      <c r="AB279" s="350">
        <f t="shared" si="268"/>
        <v>-400</v>
      </c>
    </row>
    <row r="280" spans="4:28" ht="15" hidden="1" thickBot="1" x14ac:dyDescent="0.4">
      <c r="D280" t="s">
        <v>1730</v>
      </c>
      <c r="E280" s="174">
        <v>46056</v>
      </c>
      <c r="F280" s="10" t="s">
        <v>3</v>
      </c>
      <c r="G280" s="4" t="s">
        <v>128</v>
      </c>
      <c r="H280" s="379">
        <v>400</v>
      </c>
      <c r="I280" s="172">
        <v>46142</v>
      </c>
      <c r="J280" s="172">
        <v>46173</v>
      </c>
      <c r="K280" s="15">
        <v>0.37</v>
      </c>
      <c r="L280" s="192">
        <f ca="1">IF(OR(S280="WTI Sprds",S280="Brent Sprds",S280="WTI-Brent",S280="DFL"),INDEX(INDIRECT("'" &amp; S280 &amp; "'!$A$6:$XFD$1048576"),MATCH('PnL26'!$P$1,INDIRECT("'" &amp; S280 &amp; "'!$A$6:$A$1048576"),0),MATCH(EOMONTH(I280,0),INDIRECT("'" &amp; S280 &amp; "'!$A$4:$XFD$4"),0)),INDEX(BBG!$A:$BA,MATCH('PnL26'!$P$1,BBG!$A:$A,0),MATCH($I280,BBG!$A$4:$BA$4,0))-INDEX(BBG!$A:$BA,MATCH('PnL26'!$P$1,BBG!$A:$A,0),MATCH($J280,BBG!$A$4:$BA$4,0)))</f>
        <v>0.59</v>
      </c>
      <c r="M280" s="9">
        <f t="shared" ca="1" si="299"/>
        <v>87.999999999999986</v>
      </c>
      <c r="N280">
        <f t="shared" si="300"/>
        <v>148</v>
      </c>
      <c r="O280" s="14" t="str">
        <f t="shared" si="301"/>
        <v>Apr/May 26</v>
      </c>
      <c r="P280" s="8" t="str">
        <f t="shared" si="302"/>
        <v>Buy</v>
      </c>
      <c r="Q280">
        <f t="shared" ca="1" si="303"/>
        <v>236</v>
      </c>
      <c r="R280" s="38" t="str">
        <f>VLOOKUP(F280,Control!$B:$C,2,FALSE)</f>
        <v>Futures</v>
      </c>
      <c r="S280" s="38" t="str">
        <f>VLOOKUP(F280,Control!$B:$D,3,FALSE)</f>
        <v>WTI Sprds</v>
      </c>
      <c r="T280" s="38">
        <f t="shared" si="304"/>
        <v>2026</v>
      </c>
      <c r="U280" t="str">
        <f t="shared" si="305"/>
        <v>Buy</v>
      </c>
      <c r="V280" t="s">
        <v>96</v>
      </c>
      <c r="W280" t="str">
        <f>_xlfn.XLOOKUP(Table3[[#This Row],[Instrument]],Control!$B$2:$B$19,Control!$E$2:$E$19)</f>
        <v>WTI</v>
      </c>
      <c r="X280" s="14">
        <f>Table3[[#This Row],[Month1]]</f>
        <v>46142</v>
      </c>
      <c r="Y280" s="350">
        <f>Table3[[#This Row],[Quantity]]</f>
        <v>400</v>
      </c>
      <c r="Z280" t="str">
        <f>_xlfn.XLOOKUP(Table3[[#This Row],[Instrument]],Control!$B$2:$B$19,Control!$F$2:$F$19)</f>
        <v>WTI</v>
      </c>
      <c r="AA280" s="14">
        <f>Table3[[#This Row],[Month2]]</f>
        <v>46173</v>
      </c>
      <c r="AB280" s="350">
        <f t="shared" si="268"/>
        <v>-400</v>
      </c>
    </row>
    <row r="281" spans="4:28" ht="15" hidden="1" thickBot="1" x14ac:dyDescent="0.4">
      <c r="D281" t="s">
        <v>1730</v>
      </c>
      <c r="E281" s="174">
        <v>46056</v>
      </c>
      <c r="F281" s="10" t="s">
        <v>10</v>
      </c>
      <c r="G281" s="4" t="s">
        <v>128</v>
      </c>
      <c r="H281" s="379">
        <v>400</v>
      </c>
      <c r="I281" s="172">
        <v>46173</v>
      </c>
      <c r="J281" s="172">
        <v>46173</v>
      </c>
      <c r="K281" s="15">
        <v>-4.24</v>
      </c>
      <c r="L281" s="192">
        <f ca="1">IF(OR(S281="WTI Sprds",S281="Brent Sprds",S281="WTI-Brent",S281="DFL"),INDEX(INDIRECT("'" &amp; S281 &amp; "'!$A$6:$XFD$1048576"),MATCH('PnL26'!$P$1,INDIRECT("'" &amp; S281 &amp; "'!$A$6:$A$1048576"),0),MATCH(EOMONTH(I281,0),INDIRECT("'" &amp; S281 &amp; "'!$A$4:$XFD$4"),0)),INDEX(BBG!$A:$BA,MATCH('PnL26'!$P$1,BBG!$A:$A,0),MATCH($I281,BBG!$A$4:$BA$4,0))-INDEX(BBG!$A:$BA,MATCH('PnL26'!$P$1,BBG!$A:$A,0),MATCH($J281,BBG!$A$4:$BA$4,0)))</f>
        <v>-16.97</v>
      </c>
      <c r="M281" s="9">
        <f t="shared" ca="1" si="299"/>
        <v>-5091.9999999999991</v>
      </c>
      <c r="N281">
        <f t="shared" si="300"/>
        <v>-1696</v>
      </c>
      <c r="O281" s="14" t="str">
        <f t="shared" si="301"/>
        <v>May 26</v>
      </c>
      <c r="P281" s="8" t="str">
        <f t="shared" si="302"/>
        <v>Buy</v>
      </c>
      <c r="Q281">
        <f t="shared" ca="1" si="303"/>
        <v>-6788</v>
      </c>
      <c r="R281" s="38" t="str">
        <f>VLOOKUP(F281,Control!$B:$C,2,FALSE)</f>
        <v>Swaps</v>
      </c>
      <c r="S281" s="38" t="str">
        <f>VLOOKUP(F281,Control!$B:$D,3,FALSE)</f>
        <v>WTI-Brent</v>
      </c>
      <c r="T281" s="38">
        <f t="shared" si="304"/>
        <v>2026</v>
      </c>
      <c r="U281" t="str">
        <f t="shared" si="305"/>
        <v>Buy</v>
      </c>
      <c r="V281" t="s">
        <v>96</v>
      </c>
      <c r="W281" t="str">
        <f>_xlfn.XLOOKUP(Table3[[#This Row],[Instrument]],Control!$B$2:$B$19,Control!$E$2:$E$19)</f>
        <v>WTI</v>
      </c>
      <c r="X281" s="14">
        <f>Table3[[#This Row],[Month1]]</f>
        <v>46173</v>
      </c>
      <c r="Y281" s="350">
        <f>Table3[[#This Row],[Quantity]]</f>
        <v>400</v>
      </c>
      <c r="Z281" t="str">
        <f>_xlfn.XLOOKUP(Table3[[#This Row],[Instrument]],Control!$B$2:$B$19,Control!$F$2:$F$19)</f>
        <v>Brent</v>
      </c>
      <c r="AA281" s="14">
        <f>Table3[[#This Row],[Month2]]</f>
        <v>46173</v>
      </c>
      <c r="AB281" s="350">
        <f t="shared" si="268"/>
        <v>-400</v>
      </c>
    </row>
    <row r="282" spans="4:28" ht="15" hidden="1" thickBot="1" x14ac:dyDescent="0.4">
      <c r="D282" t="s">
        <v>1730</v>
      </c>
      <c r="E282" s="174">
        <v>46056</v>
      </c>
      <c r="F282" s="10" t="s">
        <v>3</v>
      </c>
      <c r="G282" s="4" t="s">
        <v>128</v>
      </c>
      <c r="H282" s="379">
        <v>166</v>
      </c>
      <c r="I282" s="172">
        <v>46112</v>
      </c>
      <c r="J282" s="172">
        <v>46142</v>
      </c>
      <c r="K282" s="15">
        <v>0.41</v>
      </c>
      <c r="L282" s="192">
        <f ca="1">IF(OR(S282="WTI Sprds",S282="Brent Sprds",S282="WTI-Brent",S282="DFL"),INDEX(INDIRECT("'" &amp; S282 &amp; "'!$A$6:$XFD$1048576"),MATCH('PnL26'!$P$1,INDIRECT("'" &amp; S282 &amp; "'!$A$6:$A$1048576"),0),MATCH(EOMONTH(I282,0),INDIRECT("'" &amp; S282 &amp; "'!$A$4:$XFD$4"),0)),INDEX(BBG!$A:$BA,MATCH('PnL26'!$P$1,BBG!$A:$A,0),MATCH($I282,BBG!$A$4:$BA$4,0))-INDEX(BBG!$A:$BA,MATCH('PnL26'!$P$1,BBG!$A:$A,0),MATCH($J282,BBG!$A$4:$BA$4,0)))</f>
        <v>0.03</v>
      </c>
      <c r="M282" s="9">
        <f t="shared" ca="1" si="299"/>
        <v>-63.08</v>
      </c>
      <c r="N282">
        <f t="shared" si="300"/>
        <v>68.06</v>
      </c>
      <c r="O282" s="14" t="str">
        <f t="shared" si="301"/>
        <v>Mar/Apr 26</v>
      </c>
      <c r="P282" s="8" t="str">
        <f t="shared" si="302"/>
        <v>Buy</v>
      </c>
      <c r="Q282">
        <f t="shared" ca="1" si="303"/>
        <v>4.9799999999999995</v>
      </c>
      <c r="R282" s="38" t="str">
        <f>VLOOKUP(F282,Control!$B:$C,2,FALSE)</f>
        <v>Futures</v>
      </c>
      <c r="S282" s="38" t="str">
        <f>VLOOKUP(F282,Control!$B:$D,3,FALSE)</f>
        <v>WTI Sprds</v>
      </c>
      <c r="T282" s="38">
        <f t="shared" si="304"/>
        <v>2026</v>
      </c>
      <c r="U282" t="str">
        <f t="shared" si="305"/>
        <v>Buy</v>
      </c>
      <c r="V282" t="s">
        <v>96</v>
      </c>
      <c r="W282" t="str">
        <f>_xlfn.XLOOKUP(Table3[[#This Row],[Instrument]],Control!$B$2:$B$19,Control!$E$2:$E$19)</f>
        <v>WTI</v>
      </c>
      <c r="X282" s="14">
        <f>Table3[[#This Row],[Month1]]</f>
        <v>46112</v>
      </c>
      <c r="Y282" s="350">
        <f>Table3[[#This Row],[Quantity]]</f>
        <v>166</v>
      </c>
      <c r="Z282" t="str">
        <f>_xlfn.XLOOKUP(Table3[[#This Row],[Instrument]],Control!$B$2:$B$19,Control!$F$2:$F$19)</f>
        <v>WTI</v>
      </c>
      <c r="AA282" s="14">
        <f>Table3[[#This Row],[Month2]]</f>
        <v>46142</v>
      </c>
      <c r="AB282" s="350">
        <f t="shared" si="268"/>
        <v>-166</v>
      </c>
    </row>
    <row r="283" spans="4:28" ht="15" hidden="1" thickBot="1" x14ac:dyDescent="0.4">
      <c r="D283" t="s">
        <v>1730</v>
      </c>
      <c r="E283" s="174">
        <v>46056</v>
      </c>
      <c r="F283" s="10" t="s">
        <v>3</v>
      </c>
      <c r="G283" s="4" t="s">
        <v>128</v>
      </c>
      <c r="H283" s="379">
        <v>166</v>
      </c>
      <c r="I283" s="172">
        <v>46142</v>
      </c>
      <c r="J283" s="172">
        <v>46173</v>
      </c>
      <c r="K283" s="15">
        <v>0.37</v>
      </c>
      <c r="L283" s="192">
        <f ca="1">IF(OR(S283="WTI Sprds",S283="Brent Sprds",S283="WTI-Brent",S283="DFL"),INDEX(INDIRECT("'" &amp; S283 &amp; "'!$A$6:$XFD$1048576"),MATCH('PnL26'!$P$1,INDIRECT("'" &amp; S283 &amp; "'!$A$6:$A$1048576"),0),MATCH(EOMONTH(I283,0),INDIRECT("'" &amp; S283 &amp; "'!$A$4:$XFD$4"),0)),INDEX(BBG!$A:$BA,MATCH('PnL26'!$P$1,BBG!$A:$A,0),MATCH($I283,BBG!$A$4:$BA$4,0))-INDEX(BBG!$A:$BA,MATCH('PnL26'!$P$1,BBG!$A:$A,0),MATCH($J283,BBG!$A$4:$BA$4,0)))</f>
        <v>0.59</v>
      </c>
      <c r="M283" s="9">
        <f t="shared" ca="1" si="299"/>
        <v>36.519999999999996</v>
      </c>
      <c r="N283">
        <f t="shared" si="300"/>
        <v>61.42</v>
      </c>
      <c r="O283" s="14" t="str">
        <f t="shared" si="301"/>
        <v>Apr/May 26</v>
      </c>
      <c r="P283" s="8" t="str">
        <f t="shared" si="302"/>
        <v>Buy</v>
      </c>
      <c r="Q283">
        <f t="shared" ca="1" si="303"/>
        <v>97.94</v>
      </c>
      <c r="R283" s="38" t="str">
        <f>VLOOKUP(F283,Control!$B:$C,2,FALSE)</f>
        <v>Futures</v>
      </c>
      <c r="S283" s="38" t="str">
        <f>VLOOKUP(F283,Control!$B:$D,3,FALSE)</f>
        <v>WTI Sprds</v>
      </c>
      <c r="T283" s="38">
        <f t="shared" si="304"/>
        <v>2026</v>
      </c>
      <c r="U283" t="str">
        <f t="shared" si="305"/>
        <v>Buy</v>
      </c>
      <c r="V283" t="s">
        <v>96</v>
      </c>
      <c r="W283" t="str">
        <f>_xlfn.XLOOKUP(Table3[[#This Row],[Instrument]],Control!$B$2:$B$19,Control!$E$2:$E$19)</f>
        <v>WTI</v>
      </c>
      <c r="X283" s="14">
        <f>Table3[[#This Row],[Month1]]</f>
        <v>46142</v>
      </c>
      <c r="Y283" s="350">
        <f>Table3[[#This Row],[Quantity]]</f>
        <v>166</v>
      </c>
      <c r="Z283" t="str">
        <f>_xlfn.XLOOKUP(Table3[[#This Row],[Instrument]],Control!$B$2:$B$19,Control!$F$2:$F$19)</f>
        <v>WTI</v>
      </c>
      <c r="AA283" s="14">
        <f>Table3[[#This Row],[Month2]]</f>
        <v>46173</v>
      </c>
      <c r="AB283" s="350">
        <f t="shared" si="268"/>
        <v>-166</v>
      </c>
    </row>
    <row r="284" spans="4:28" ht="15" hidden="1" thickBot="1" x14ac:dyDescent="0.4">
      <c r="D284" t="s">
        <v>1730</v>
      </c>
      <c r="E284" s="174">
        <v>46056</v>
      </c>
      <c r="F284" s="10" t="s">
        <v>10</v>
      </c>
      <c r="G284" s="4" t="s">
        <v>128</v>
      </c>
      <c r="H284" s="379">
        <v>166</v>
      </c>
      <c r="I284" s="172">
        <v>46173</v>
      </c>
      <c r="J284" s="172">
        <v>46173</v>
      </c>
      <c r="K284" s="15">
        <v>-4.25</v>
      </c>
      <c r="L284" s="192">
        <f ca="1">IF(OR(S284="WTI Sprds",S284="Brent Sprds",S284="WTI-Brent",S284="DFL"),INDEX(INDIRECT("'" &amp; S284 &amp; "'!$A$6:$XFD$1048576"),MATCH('PnL26'!$P$1,INDIRECT("'" &amp; S284 &amp; "'!$A$6:$A$1048576"),0),MATCH(EOMONTH(I284,0),INDIRECT("'" &amp; S284 &amp; "'!$A$4:$XFD$4"),0)),INDEX(BBG!$A:$BA,MATCH('PnL26'!$P$1,BBG!$A:$A,0),MATCH($I284,BBG!$A$4:$BA$4,0))-INDEX(BBG!$A:$BA,MATCH('PnL26'!$P$1,BBG!$A:$A,0),MATCH($J284,BBG!$A$4:$BA$4,0)))</f>
        <v>-16.97</v>
      </c>
      <c r="M284" s="9">
        <f t="shared" ca="1" si="299"/>
        <v>-2111.52</v>
      </c>
      <c r="N284">
        <f t="shared" si="300"/>
        <v>-705.5</v>
      </c>
      <c r="O284" s="14" t="str">
        <f t="shared" si="301"/>
        <v>May 26</v>
      </c>
      <c r="P284" s="8" t="str">
        <f t="shared" si="302"/>
        <v>Buy</v>
      </c>
      <c r="Q284">
        <f t="shared" ca="1" si="303"/>
        <v>-2817.02</v>
      </c>
      <c r="R284" s="38" t="str">
        <f>VLOOKUP(F284,Control!$B:$C,2,FALSE)</f>
        <v>Swaps</v>
      </c>
      <c r="S284" s="38" t="str">
        <f>VLOOKUP(F284,Control!$B:$D,3,FALSE)</f>
        <v>WTI-Brent</v>
      </c>
      <c r="T284" s="38">
        <f t="shared" si="304"/>
        <v>2026</v>
      </c>
      <c r="U284" t="str">
        <f t="shared" si="305"/>
        <v>Buy</v>
      </c>
      <c r="V284" t="s">
        <v>96</v>
      </c>
      <c r="W284" t="str">
        <f>_xlfn.XLOOKUP(Table3[[#This Row],[Instrument]],Control!$B$2:$B$19,Control!$E$2:$E$19)</f>
        <v>WTI</v>
      </c>
      <c r="X284" s="14">
        <f>Table3[[#This Row],[Month1]]</f>
        <v>46173</v>
      </c>
      <c r="Y284" s="350">
        <f>Table3[[#This Row],[Quantity]]</f>
        <v>166</v>
      </c>
      <c r="Z284" t="str">
        <f>_xlfn.XLOOKUP(Table3[[#This Row],[Instrument]],Control!$B$2:$B$19,Control!$F$2:$F$19)</f>
        <v>Brent</v>
      </c>
      <c r="AA284" s="14">
        <f>Table3[[#This Row],[Month2]]</f>
        <v>46173</v>
      </c>
      <c r="AB284" s="350">
        <f t="shared" si="268"/>
        <v>-166</v>
      </c>
    </row>
    <row r="285" spans="4:28" ht="15" hidden="1" thickBot="1" x14ac:dyDescent="0.4">
      <c r="D285" t="s">
        <v>1731</v>
      </c>
      <c r="E285" s="174">
        <v>46056</v>
      </c>
      <c r="F285" s="10" t="s">
        <v>3</v>
      </c>
      <c r="G285" s="4" t="s">
        <v>128</v>
      </c>
      <c r="H285" s="253">
        <v>221</v>
      </c>
      <c r="I285" s="172">
        <v>46112</v>
      </c>
      <c r="J285" s="172">
        <f>EOMONTH(Table3[[#This Row],[Month1]],1)</f>
        <v>46142</v>
      </c>
      <c r="K285" s="370">
        <v>0.38</v>
      </c>
      <c r="L285" s="192">
        <f ca="1">IF(OR(S285="WTI Sprds",S285="Brent Sprds",S285="WTI-Brent",S285="DFL"),INDEX(INDIRECT("'" &amp; S285 &amp; "'!$A$6:$XFD$1048576"),MATCH('PnL26'!$P$1,INDIRECT("'" &amp; S285 &amp; "'!$A$6:$A$1048576"),0),MATCH(EOMONTH(I285,0),INDIRECT("'" &amp; S285 &amp; "'!$A$4:$XFD$4"),0)),INDEX(BBG!$A:$BA,MATCH('PnL26'!$P$1,BBG!$A:$A,0),MATCH($I285,BBG!$A$4:$BA$4,0))-INDEX(BBG!$A:$BA,MATCH('PnL26'!$P$1,BBG!$A:$A,0),MATCH($J285,BBG!$A$4:$BA$4,0)))</f>
        <v>0.03</v>
      </c>
      <c r="M285" s="9">
        <f t="shared" ca="1" si="299"/>
        <v>-77.349999999999994</v>
      </c>
      <c r="N285">
        <f t="shared" si="300"/>
        <v>83.98</v>
      </c>
      <c r="O285" s="14" t="str">
        <f t="shared" si="301"/>
        <v>Mar/Apr 26</v>
      </c>
      <c r="P285" s="8" t="str">
        <f t="shared" si="302"/>
        <v>Buy</v>
      </c>
      <c r="Q285">
        <f t="shared" ca="1" si="303"/>
        <v>6.63</v>
      </c>
      <c r="R285" s="38" t="str">
        <f>VLOOKUP(F285,Control!$B:$C,2,FALSE)</f>
        <v>Futures</v>
      </c>
      <c r="S285" s="38" t="str">
        <f>VLOOKUP(F285,Control!$B:$D,3,FALSE)</f>
        <v>WTI Sprds</v>
      </c>
      <c r="T285" s="38">
        <f t="shared" si="304"/>
        <v>2026</v>
      </c>
      <c r="U285" t="str">
        <f t="shared" si="305"/>
        <v>Buy</v>
      </c>
      <c r="V285" t="s">
        <v>96</v>
      </c>
      <c r="W285" t="str">
        <f>_xlfn.XLOOKUP(Table3[[#This Row],[Instrument]],Control!$B$2:$B$19,Control!$E$2:$E$19)</f>
        <v>WTI</v>
      </c>
      <c r="X285" s="14">
        <f>Table3[[#This Row],[Month1]]</f>
        <v>46112</v>
      </c>
      <c r="Y285" s="350">
        <f>Table3[[#This Row],[Quantity]]</f>
        <v>221</v>
      </c>
      <c r="Z285" t="str">
        <f>_xlfn.XLOOKUP(Table3[[#This Row],[Instrument]],Control!$B$2:$B$19,Control!$F$2:$F$19)</f>
        <v>WTI</v>
      </c>
      <c r="AA285" s="14">
        <f>Table3[[#This Row],[Month2]]</f>
        <v>46142</v>
      </c>
      <c r="AB285" s="350">
        <f t="shared" si="268"/>
        <v>-221</v>
      </c>
    </row>
    <row r="286" spans="4:28" ht="15" hidden="1" thickBot="1" x14ac:dyDescent="0.4">
      <c r="D286" t="s">
        <v>1730</v>
      </c>
      <c r="E286" s="174">
        <v>46056</v>
      </c>
      <c r="F286" s="10" t="s">
        <v>3</v>
      </c>
      <c r="G286" s="4" t="s">
        <v>128</v>
      </c>
      <c r="H286" s="253">
        <v>70</v>
      </c>
      <c r="I286" s="172">
        <v>46142</v>
      </c>
      <c r="J286" s="172">
        <f>EOMONTH(Table3[[#This Row],[Month1]],1)</f>
        <v>46173</v>
      </c>
      <c r="K286" s="370">
        <v>0.35</v>
      </c>
      <c r="L286" s="192">
        <f ca="1">IF(OR(S286="WTI Sprds",S286="Brent Sprds",S286="WTI-Brent",S286="DFL"),INDEX(INDIRECT("'" &amp; S286 &amp; "'!$A$6:$XFD$1048576"),MATCH('PnL26'!$P$1,INDIRECT("'" &amp; S286 &amp; "'!$A$6:$A$1048576"),0),MATCH(EOMONTH(I286,0),INDIRECT("'" &amp; S286 &amp; "'!$A$4:$XFD$4"),0)),INDEX(BBG!$A:$BA,MATCH('PnL26'!$P$1,BBG!$A:$A,0),MATCH($I286,BBG!$A$4:$BA$4,0))-INDEX(BBG!$A:$BA,MATCH('PnL26'!$P$1,BBG!$A:$A,0),MATCH($J286,BBG!$A$4:$BA$4,0)))</f>
        <v>0.59</v>
      </c>
      <c r="M286" s="9">
        <f t="shared" ca="1" si="299"/>
        <v>16.8</v>
      </c>
      <c r="N286">
        <f t="shared" si="300"/>
        <v>24.5</v>
      </c>
      <c r="O286" s="14" t="str">
        <f t="shared" si="301"/>
        <v>Apr/May 26</v>
      </c>
      <c r="P286" s="8" t="str">
        <f t="shared" si="302"/>
        <v>Buy</v>
      </c>
      <c r="Q286">
        <f t="shared" ca="1" si="303"/>
        <v>41.3</v>
      </c>
      <c r="R286" s="38" t="str">
        <f>VLOOKUP(F286,Control!$B:$C,2,FALSE)</f>
        <v>Futures</v>
      </c>
      <c r="S286" s="38" t="str">
        <f>VLOOKUP(F286,Control!$B:$D,3,FALSE)</f>
        <v>WTI Sprds</v>
      </c>
      <c r="T286" s="38">
        <f t="shared" si="304"/>
        <v>2026</v>
      </c>
      <c r="U286" t="str">
        <f t="shared" si="305"/>
        <v>Buy</v>
      </c>
      <c r="V286" t="s">
        <v>96</v>
      </c>
      <c r="W286" t="str">
        <f>_xlfn.XLOOKUP(Table3[[#This Row],[Instrument]],Control!$B$2:$B$19,Control!$E$2:$E$19)</f>
        <v>WTI</v>
      </c>
      <c r="X286" s="14">
        <f>Table3[[#This Row],[Month1]]</f>
        <v>46142</v>
      </c>
      <c r="Y286" s="350">
        <f>Table3[[#This Row],[Quantity]]</f>
        <v>70</v>
      </c>
      <c r="Z286" t="str">
        <f>_xlfn.XLOOKUP(Table3[[#This Row],[Instrument]],Control!$B$2:$B$19,Control!$F$2:$F$19)</f>
        <v>WTI</v>
      </c>
      <c r="AA286" s="14">
        <f>Table3[[#This Row],[Month2]]</f>
        <v>46173</v>
      </c>
      <c r="AB286" s="350">
        <f t="shared" si="268"/>
        <v>-70</v>
      </c>
    </row>
    <row r="287" spans="4:28" ht="15" hidden="1" thickBot="1" x14ac:dyDescent="0.4">
      <c r="D287" t="s">
        <v>1730</v>
      </c>
      <c r="E287" s="174">
        <v>46056</v>
      </c>
      <c r="F287" s="10" t="s">
        <v>7</v>
      </c>
      <c r="G287" s="4" t="s">
        <v>128</v>
      </c>
      <c r="H287" s="253">
        <v>1000</v>
      </c>
      <c r="I287" s="172">
        <f>J286</f>
        <v>46173</v>
      </c>
      <c r="J287" s="172">
        <v>46203</v>
      </c>
      <c r="K287" s="212">
        <v>0.55000000000000004</v>
      </c>
      <c r="L287" s="7">
        <f ca="1">IF(OR(S287="WTI Sprds",S287="Brent Sprds",S287="WTI-Brent",S287="DFL"),INDEX(INDIRECT("'" &amp; S287 &amp; "'!$A$6:$XFD$1048576"),MATCH('PnL26'!$P$1,INDIRECT("'" &amp; S287 &amp; "'!$A$6:$A$1048576"),0),MATCH(EOMONTH(I287,0),INDIRECT("'" &amp; S287 &amp; "'!$A$4:$XFD$4"),0)),INDEX(BBG!$A:$BA,MATCH('PnL26'!$P$1,BBG!$A:$A,0),MATCH($I287,BBG!$A$4:$BA$4,0))-INDEX(BBG!$A:$BA,MATCH('PnL26'!$P$1,BBG!$A:$A,0),MATCH($J287,BBG!$A$4:$BA$4,0)))</f>
        <v>14.38</v>
      </c>
      <c r="M287" s="9">
        <f t="shared" ca="1" si="299"/>
        <v>13830</v>
      </c>
      <c r="N287">
        <f t="shared" si="300"/>
        <v>550</v>
      </c>
      <c r="O287" s="14" t="str">
        <f t="shared" si="301"/>
        <v>May/Jun 26</v>
      </c>
      <c r="P287" s="8" t="str">
        <f t="shared" si="302"/>
        <v>Buy</v>
      </c>
      <c r="Q287">
        <f t="shared" ca="1" si="303"/>
        <v>14380</v>
      </c>
      <c r="R287" t="str">
        <f>VLOOKUP(F287,Control!$B:$C,2,FALSE)</f>
        <v>Futures</v>
      </c>
      <c r="S287" t="str">
        <f>VLOOKUP(F287,Control!$B:$D,3,FALSE)</f>
        <v>Brent Sprds</v>
      </c>
      <c r="T287" s="38">
        <f t="shared" si="304"/>
        <v>2026</v>
      </c>
      <c r="U287" t="str">
        <f t="shared" si="305"/>
        <v>Buy</v>
      </c>
      <c r="V287" t="s">
        <v>96</v>
      </c>
      <c r="W287" t="str">
        <f>_xlfn.XLOOKUP(Table3[[#This Row],[Instrument]],Control!$B$2:$B$19,Control!$E$2:$E$19)</f>
        <v>Brent</v>
      </c>
      <c r="X287" s="14">
        <f>Table3[[#This Row],[Month1]]</f>
        <v>46173</v>
      </c>
      <c r="Y287" s="350">
        <f>Table3[[#This Row],[Quantity]]</f>
        <v>1000</v>
      </c>
      <c r="Z287" t="str">
        <f>_xlfn.XLOOKUP(Table3[[#This Row],[Instrument]],Control!$B$2:$B$19,Control!$F$2:$F$19)</f>
        <v>Brent</v>
      </c>
      <c r="AA287" s="14">
        <f>Table3[[#This Row],[Month2]]</f>
        <v>46203</v>
      </c>
      <c r="AB287" s="350">
        <f t="shared" si="268"/>
        <v>-1000</v>
      </c>
    </row>
    <row r="288" spans="4:28" ht="15" hidden="1" thickBot="1" x14ac:dyDescent="0.4">
      <c r="D288" t="s">
        <v>127</v>
      </c>
      <c r="E288" s="16">
        <v>46057</v>
      </c>
      <c r="F288" s="10" t="s">
        <v>10</v>
      </c>
      <c r="G288" s="4" t="s">
        <v>128</v>
      </c>
      <c r="H288" s="253">
        <v>340</v>
      </c>
      <c r="I288" s="172">
        <v>46173</v>
      </c>
      <c r="J288" s="172">
        <v>46173</v>
      </c>
      <c r="K288" s="212">
        <v>-4.29</v>
      </c>
      <c r="L288" s="7">
        <f ca="1">IF(OR(S288="WTI Sprds",S288="Brent Sprds",S288="WTI-Brent",S288="DFL"),INDEX(INDIRECT("'" &amp; S288 &amp; "'!$A$6:$XFD$1048576"),MATCH('PnL26'!$P$1,INDIRECT("'" &amp; S288 &amp; "'!$A$6:$A$1048576"),0),MATCH(EOMONTH(I288,0),INDIRECT("'" &amp; S288 &amp; "'!$A$4:$XFD$4"),0)),INDEX(BBG!$A:$BA,MATCH('PnL26'!$P$1,BBG!$A:$A,0),MATCH($I288,BBG!$A$4:$BA$4,0))-INDEX(BBG!$A:$BA,MATCH('PnL26'!$P$1,BBG!$A:$A,0),MATCH($J288,BBG!$A$4:$BA$4,0)))</f>
        <v>-16.97</v>
      </c>
      <c r="M288" s="9">
        <f t="shared" ref="M288" ca="1" si="306">IFERROR((L288-K288)*H288,"")</f>
        <v>-4311.2</v>
      </c>
      <c r="N288">
        <f t="shared" ref="N288:N293" si="307">H288*K288</f>
        <v>-1458.6</v>
      </c>
      <c r="O288" s="14" t="str">
        <f t="shared" ref="O288" si="308">IF(I288=J288,TEXT(I288,"MMM YY"),TEXT(I288,"MMM")&amp;"/"&amp;TEXT(J288,"MMM")&amp;" "&amp;RIGHT(T288,2))</f>
        <v>May 26</v>
      </c>
      <c r="P288" s="8" t="str">
        <f t="shared" ref="P288:P293" si="309">IF(H288&lt;0,"Sell","Buy")</f>
        <v>Buy</v>
      </c>
      <c r="Q288">
        <f t="shared" ref="Q288:Q293" ca="1" si="310">H288*L288</f>
        <v>-5769.7999999999993</v>
      </c>
      <c r="R288" t="str">
        <f>VLOOKUP(F288,Control!$B:$C,2,FALSE)</f>
        <v>Swaps</v>
      </c>
      <c r="S288" t="str">
        <f>VLOOKUP(F288,Control!$B:$D,3,FALSE)</f>
        <v>WTI-Brent</v>
      </c>
      <c r="T288">
        <f t="shared" ref="T288" si="311">YEAR(I288)</f>
        <v>2026</v>
      </c>
      <c r="U288" t="str">
        <f t="shared" ref="U288:U293" si="312">IFERROR(IF(H288&gt;0,"Buy","Sell"),"")</f>
        <v>Buy</v>
      </c>
      <c r="V288" t="s">
        <v>96</v>
      </c>
      <c r="W288" t="str">
        <f>_xlfn.XLOOKUP(Table3[[#This Row],[Instrument]],Control!$B$2:$B$19,Control!$E$2:$E$19)</f>
        <v>WTI</v>
      </c>
      <c r="X288" s="14">
        <f>Table3[[#This Row],[Month1]]</f>
        <v>46173</v>
      </c>
      <c r="Y288" s="350">
        <f>Table3[[#This Row],[Quantity]]</f>
        <v>340</v>
      </c>
      <c r="Z288" t="str">
        <f>_xlfn.XLOOKUP(Table3[[#This Row],[Instrument]],Control!$B$2:$B$19,Control!$F$2:$F$19)</f>
        <v>Brent</v>
      </c>
      <c r="AA288" s="14">
        <f>Table3[[#This Row],[Month2]]</f>
        <v>46173</v>
      </c>
      <c r="AB288" s="350">
        <f t="shared" si="268"/>
        <v>-340</v>
      </c>
    </row>
    <row r="289" spans="4:29" ht="15" hidden="1" thickBot="1" x14ac:dyDescent="0.4">
      <c r="D289" t="s">
        <v>127</v>
      </c>
      <c r="E289" s="16">
        <v>46057</v>
      </c>
      <c r="F289" s="10" t="s">
        <v>22</v>
      </c>
      <c r="G289" s="4" t="s">
        <v>128</v>
      </c>
      <c r="H289" s="253">
        <v>100</v>
      </c>
      <c r="I289" s="172" t="s">
        <v>1726</v>
      </c>
      <c r="J289" s="172">
        <f>J286</f>
        <v>46173</v>
      </c>
      <c r="K289" s="100">
        <v>2.65</v>
      </c>
      <c r="L289" s="7">
        <f>VLOOKUP($I289,'PnL26'!B:C,2,FALSE)</f>
        <v>2.74</v>
      </c>
      <c r="M289" s="9">
        <f>60*(67.33-66.3)</f>
        <v>61.800000000000068</v>
      </c>
      <c r="N289">
        <f t="shared" si="307"/>
        <v>265</v>
      </c>
      <c r="O289" s="347" t="s">
        <v>98</v>
      </c>
      <c r="P289" s="8" t="str">
        <f t="shared" si="309"/>
        <v>Buy</v>
      </c>
      <c r="Q289">
        <f t="shared" si="310"/>
        <v>274</v>
      </c>
      <c r="R289" t="str">
        <f>VLOOKUP(F289,Control!$B:$C,2,FALSE)</f>
        <v>Swaps</v>
      </c>
      <c r="S289" t="str">
        <f>VLOOKUP(F289,Control!$B:$D,3,FALSE)</f>
        <v>Dated</v>
      </c>
      <c r="T289">
        <v>2026</v>
      </c>
      <c r="U289" t="str">
        <f t="shared" si="312"/>
        <v>Buy</v>
      </c>
      <c r="V289" t="s">
        <v>96</v>
      </c>
      <c r="W289" t="e">
        <f>_xlfn.XLOOKUP(Table3[[#This Row],[Instrument]],Control!$B$2:$B$19,Control!$E$2:$E$19)</f>
        <v>#N/A</v>
      </c>
      <c r="X289" s="14" t="str">
        <f>Table3[[#This Row],[Month1]]</f>
        <v>Feb09-Feb13</v>
      </c>
      <c r="Y289" s="350">
        <f>Table3[[#This Row],[Quantity]]</f>
        <v>100</v>
      </c>
      <c r="Z289" t="e">
        <f>_xlfn.XLOOKUP(Table3[[#This Row],[Instrument]],Control!$B$2:$B$19,Control!$F$2:$F$19)</f>
        <v>#N/A</v>
      </c>
      <c r="AA289" s="14">
        <f>Table3[[#This Row],[Month2]]</f>
        <v>46173</v>
      </c>
      <c r="AB289" s="350">
        <f t="shared" si="268"/>
        <v>-100</v>
      </c>
    </row>
    <row r="290" spans="4:29" ht="15" hidden="1" thickBot="1" x14ac:dyDescent="0.4">
      <c r="D290" t="s">
        <v>1731</v>
      </c>
      <c r="E290" s="16">
        <v>46057</v>
      </c>
      <c r="F290" s="10" t="s">
        <v>3</v>
      </c>
      <c r="G290" s="4" t="s">
        <v>128</v>
      </c>
      <c r="H290" s="253">
        <v>268</v>
      </c>
      <c r="I290" s="172">
        <v>46112</v>
      </c>
      <c r="J290" s="172">
        <f>EOMONTH(Table3[[#This Row],[Month1]],1)</f>
        <v>46142</v>
      </c>
      <c r="K290" s="100">
        <v>0.39</v>
      </c>
      <c r="L290" s="7">
        <f ca="1">IF(OR(S290="WTI Sprds",S290="Brent Sprds",S290="WTI-Brent",S290="DFL"),INDEX(INDIRECT("'" &amp; S290 &amp; "'!$A$6:$XFD$1048576"),MATCH('PnL26'!$P$1,INDIRECT("'" &amp; S290 &amp; "'!$A$6:$A$1048576"),0),MATCH(EOMONTH(I290,0),INDIRECT("'" &amp; S290 &amp; "'!$A$4:$XFD$4"),0)),INDEX(BBG!$A:$BA,MATCH('PnL26'!$P$1,BBG!$A:$A,0),MATCH($I290,BBG!$A$4:$BA$4,0))-INDEX(BBG!$A:$BA,MATCH('PnL26'!$P$1,BBG!$A:$A,0),MATCH($J290,BBG!$A$4:$BA$4,0)))</f>
        <v>0.03</v>
      </c>
      <c r="M290" s="9">
        <f t="shared" ref="M290:M293" ca="1" si="313">IFERROR((L290-K290)*H290,"")</f>
        <v>-96.47999999999999</v>
      </c>
      <c r="N290">
        <f t="shared" si="307"/>
        <v>104.52000000000001</v>
      </c>
      <c r="O290" s="14" t="str">
        <f t="shared" ref="O290:O293" si="314">IF(I290=J290,TEXT(I290,"MMM YY"),TEXT(I290,"MMM")&amp;"/"&amp;TEXT(J290,"MMM")&amp;" "&amp;RIGHT(T290,2))</f>
        <v>Mar/Apr 26</v>
      </c>
      <c r="P290" s="8" t="str">
        <f t="shared" si="309"/>
        <v>Buy</v>
      </c>
      <c r="Q290">
        <f t="shared" ca="1" si="310"/>
        <v>8.0399999999999991</v>
      </c>
      <c r="R290" t="str">
        <f>VLOOKUP(F290,Control!$B:$C,2,FALSE)</f>
        <v>Futures</v>
      </c>
      <c r="S290" t="str">
        <f>VLOOKUP(F290,Control!$B:$D,3,FALSE)</f>
        <v>WTI Sprds</v>
      </c>
      <c r="T290">
        <f t="shared" ref="T290:T293" si="315">YEAR(I290)</f>
        <v>2026</v>
      </c>
      <c r="U290" t="str">
        <f t="shared" si="312"/>
        <v>Buy</v>
      </c>
      <c r="V290" t="s">
        <v>96</v>
      </c>
      <c r="W290" t="str">
        <f>_xlfn.XLOOKUP(Table3[[#This Row],[Instrument]],Control!$B$2:$B$19,Control!$E$2:$E$19)</f>
        <v>WTI</v>
      </c>
      <c r="X290" s="14">
        <f>Table3[[#This Row],[Month1]]</f>
        <v>46112</v>
      </c>
      <c r="Y290" s="350">
        <f>Table3[[#This Row],[Quantity]]</f>
        <v>268</v>
      </c>
      <c r="Z290" t="str">
        <f>_xlfn.XLOOKUP(Table3[[#This Row],[Instrument]],Control!$B$2:$B$19,Control!$F$2:$F$19)</f>
        <v>WTI</v>
      </c>
      <c r="AA290" s="14">
        <f>Table3[[#This Row],[Month2]]</f>
        <v>46142</v>
      </c>
      <c r="AB290" s="350">
        <f t="shared" si="268"/>
        <v>-268</v>
      </c>
    </row>
    <row r="291" spans="4:29" ht="15" hidden="1" thickBot="1" x14ac:dyDescent="0.4">
      <c r="D291" t="s">
        <v>1730</v>
      </c>
      <c r="E291" s="16">
        <v>46057</v>
      </c>
      <c r="F291" s="10" t="s">
        <v>3</v>
      </c>
      <c r="G291" s="4" t="s">
        <v>128</v>
      </c>
      <c r="H291" s="253">
        <v>85</v>
      </c>
      <c r="I291" s="172">
        <v>46142</v>
      </c>
      <c r="J291" s="172">
        <f>EOMONTH(Table3[[#This Row],[Month1]],1)</f>
        <v>46173</v>
      </c>
      <c r="K291" s="100">
        <v>0.39</v>
      </c>
      <c r="L291" s="7">
        <f ca="1">IF(OR(S291="WTI Sprds",S291="Brent Sprds",S291="WTI-Brent",S291="DFL"),INDEX(INDIRECT("'" &amp; S291 &amp; "'!$A$6:$XFD$1048576"),MATCH('PnL26'!$P$1,INDIRECT("'" &amp; S291 &amp; "'!$A$6:$A$1048576"),0),MATCH(EOMONTH(I291,0),INDIRECT("'" &amp; S291 &amp; "'!$A$4:$XFD$4"),0)),INDEX(BBG!$A:$BA,MATCH('PnL26'!$P$1,BBG!$A:$A,0),MATCH($I291,BBG!$A$4:$BA$4,0))-INDEX(BBG!$A:$BA,MATCH('PnL26'!$P$1,BBG!$A:$A,0),MATCH($J291,BBG!$A$4:$BA$4,0)))</f>
        <v>0.59</v>
      </c>
      <c r="M291" s="9">
        <f t="shared" ca="1" si="313"/>
        <v>16.999999999999996</v>
      </c>
      <c r="N291">
        <f t="shared" si="307"/>
        <v>33.15</v>
      </c>
      <c r="O291" s="14" t="str">
        <f t="shared" si="314"/>
        <v>Apr/May 26</v>
      </c>
      <c r="P291" s="8" t="str">
        <f t="shared" si="309"/>
        <v>Buy</v>
      </c>
      <c r="Q291">
        <f t="shared" ca="1" si="310"/>
        <v>50.15</v>
      </c>
      <c r="R291" t="str">
        <f>VLOOKUP(F291,Control!$B:$C,2,FALSE)</f>
        <v>Futures</v>
      </c>
      <c r="S291" t="str">
        <f>VLOOKUP(F291,Control!$B:$D,3,FALSE)</f>
        <v>WTI Sprds</v>
      </c>
      <c r="T291">
        <f t="shared" si="315"/>
        <v>2026</v>
      </c>
      <c r="U291" t="str">
        <f t="shared" si="312"/>
        <v>Buy</v>
      </c>
      <c r="V291" t="s">
        <v>96</v>
      </c>
      <c r="W291" t="str">
        <f>_xlfn.XLOOKUP(Table3[[#This Row],[Instrument]],Control!$B$2:$B$19,Control!$E$2:$E$19)</f>
        <v>WTI</v>
      </c>
      <c r="X291" s="14">
        <f>Table3[[#This Row],[Month1]]</f>
        <v>46142</v>
      </c>
      <c r="Y291" s="350">
        <f>Table3[[#This Row],[Quantity]]</f>
        <v>85</v>
      </c>
      <c r="Z291" t="str">
        <f>_xlfn.XLOOKUP(Table3[[#This Row],[Instrument]],Control!$B$2:$B$19,Control!$F$2:$F$19)</f>
        <v>WTI</v>
      </c>
      <c r="AA291" s="14">
        <f>Table3[[#This Row],[Month2]]</f>
        <v>46173</v>
      </c>
      <c r="AB291" s="350">
        <f t="shared" si="268"/>
        <v>-85</v>
      </c>
    </row>
    <row r="292" spans="4:29" ht="15" hidden="1" thickBot="1" x14ac:dyDescent="0.4">
      <c r="D292" t="s">
        <v>127</v>
      </c>
      <c r="E292" s="16">
        <v>46057</v>
      </c>
      <c r="F292" s="10" t="s">
        <v>3</v>
      </c>
      <c r="G292" s="4" t="s">
        <v>128</v>
      </c>
      <c r="H292" s="253">
        <v>216</v>
      </c>
      <c r="I292" s="172">
        <v>46112</v>
      </c>
      <c r="J292" s="172">
        <v>46142</v>
      </c>
      <c r="K292" s="100">
        <v>0.39</v>
      </c>
      <c r="L292" s="7">
        <f ca="1">IF(OR(S292="WTI Sprds",S292="Brent Sprds",S292="WTI-Brent",S292="DFL"),INDEX(INDIRECT("'" &amp; S292 &amp; "'!$A$6:$XFD$1048576"),MATCH('PnL26'!$P$1,INDIRECT("'" &amp; S292 &amp; "'!$A$6:$A$1048576"),0),MATCH(EOMONTH(I292,0),INDIRECT("'" &amp; S292 &amp; "'!$A$4:$XFD$4"),0)),INDEX(BBG!$A:$BA,MATCH('PnL26'!$P$1,BBG!$A:$A,0),MATCH($I292,BBG!$A$4:$BA$4,0))-INDEX(BBG!$A:$BA,MATCH('PnL26'!$P$1,BBG!$A:$A,0),MATCH($J292,BBG!$A$4:$BA$4,0)))</f>
        <v>0.03</v>
      </c>
      <c r="M292" s="9">
        <f t="shared" ca="1" si="313"/>
        <v>-77.759999999999991</v>
      </c>
      <c r="N292">
        <f t="shared" si="307"/>
        <v>84.240000000000009</v>
      </c>
      <c r="O292" s="14" t="str">
        <f t="shared" si="314"/>
        <v>Mar/Apr 26</v>
      </c>
      <c r="P292" s="8" t="str">
        <f t="shared" si="309"/>
        <v>Buy</v>
      </c>
      <c r="Q292">
        <f t="shared" ca="1" si="310"/>
        <v>6.4799999999999995</v>
      </c>
      <c r="R292" t="str">
        <f>VLOOKUP(F292,Control!$B:$C,2,FALSE)</f>
        <v>Futures</v>
      </c>
      <c r="S292" t="str">
        <f>VLOOKUP(F292,Control!$B:$D,3,FALSE)</f>
        <v>WTI Sprds</v>
      </c>
      <c r="T292">
        <f t="shared" si="315"/>
        <v>2026</v>
      </c>
      <c r="U292" t="str">
        <f t="shared" si="312"/>
        <v>Buy</v>
      </c>
      <c r="V292" t="s">
        <v>96</v>
      </c>
      <c r="W292" t="str">
        <f>_xlfn.XLOOKUP(Table3[[#This Row],[Instrument]],Control!$B$2:$B$19,Control!$E$2:$E$19)</f>
        <v>WTI</v>
      </c>
      <c r="X292" s="14">
        <f>Table3[[#This Row],[Month1]]</f>
        <v>46112</v>
      </c>
      <c r="Y292" s="350">
        <f>Table3[[#This Row],[Quantity]]</f>
        <v>216</v>
      </c>
      <c r="Z292" t="str">
        <f>_xlfn.XLOOKUP(Table3[[#This Row],[Instrument]],Control!$B$2:$B$19,Control!$F$2:$F$19)</f>
        <v>WTI</v>
      </c>
      <c r="AA292" s="14">
        <f>Table3[[#This Row],[Month2]]</f>
        <v>46142</v>
      </c>
      <c r="AB292" s="350">
        <f t="shared" si="268"/>
        <v>-216</v>
      </c>
    </row>
    <row r="293" spans="4:29" ht="15" hidden="1" thickBot="1" x14ac:dyDescent="0.4">
      <c r="D293" t="s">
        <v>127</v>
      </c>
      <c r="E293" s="16">
        <v>46057</v>
      </c>
      <c r="F293" s="10" t="s">
        <v>10</v>
      </c>
      <c r="G293" s="4" t="s">
        <v>128</v>
      </c>
      <c r="H293" s="253">
        <v>216</v>
      </c>
      <c r="I293" s="172">
        <v>46142</v>
      </c>
      <c r="J293" s="172">
        <v>46142</v>
      </c>
      <c r="K293" s="100">
        <f>-4.25-K292</f>
        <v>-4.6399999999999997</v>
      </c>
      <c r="L293" s="7">
        <f ca="1">IF(OR(S293="WTI Sprds",S293="Brent Sprds",S293="WTI-Brent",S293="DFL"),INDEX(INDIRECT("'" &amp; S293 &amp; "'!$A$6:$XFD$1048576"),MATCH('PnL26'!$P$1,INDIRECT("'" &amp; S293 &amp; "'!$A$6:$A$1048576"),0),MATCH(EOMONTH(I293,0),INDIRECT("'" &amp; S293 &amp; "'!$A$4:$XFD$4"),0)),INDEX(BBG!$A:$BA,MATCH('PnL26'!$P$1,BBG!$A:$A,0),MATCH($I293,BBG!$A$4:$BA$4,0))-INDEX(BBG!$A:$BA,MATCH('PnL26'!$P$1,BBG!$A:$A,0),MATCH($J293,BBG!$A$4:$BA$4,0)))</f>
        <v>-5.46</v>
      </c>
      <c r="M293" s="9">
        <f t="shared" ca="1" si="313"/>
        <v>-177.12000000000006</v>
      </c>
      <c r="N293">
        <f t="shared" si="307"/>
        <v>-1002.2399999999999</v>
      </c>
      <c r="O293" s="14" t="str">
        <f t="shared" si="314"/>
        <v>Apr 26</v>
      </c>
      <c r="P293" s="8" t="str">
        <f t="shared" si="309"/>
        <v>Buy</v>
      </c>
      <c r="Q293">
        <f t="shared" ca="1" si="310"/>
        <v>-1179.3599999999999</v>
      </c>
      <c r="R293" t="str">
        <f>VLOOKUP(F293,Control!$B:$C,2,FALSE)</f>
        <v>Swaps</v>
      </c>
      <c r="S293" t="str">
        <f>VLOOKUP(F293,Control!$B:$D,3,FALSE)</f>
        <v>WTI-Brent</v>
      </c>
      <c r="T293">
        <f t="shared" si="315"/>
        <v>2026</v>
      </c>
      <c r="U293" t="str">
        <f t="shared" si="312"/>
        <v>Buy</v>
      </c>
      <c r="V293" t="s">
        <v>96</v>
      </c>
      <c r="W293" t="str">
        <f>_xlfn.XLOOKUP(Table3[[#This Row],[Instrument]],Control!$B$2:$B$19,Control!$E$2:$E$19)</f>
        <v>WTI</v>
      </c>
      <c r="X293" s="14">
        <f>Table3[[#This Row],[Month1]]</f>
        <v>46142</v>
      </c>
      <c r="Y293" s="350">
        <f>Table3[[#This Row],[Quantity]]</f>
        <v>216</v>
      </c>
      <c r="Z293" t="str">
        <f>_xlfn.XLOOKUP(Table3[[#This Row],[Instrument]],Control!$B$2:$B$19,Control!$F$2:$F$19)</f>
        <v>Brent</v>
      </c>
      <c r="AA293" s="14">
        <f>Table3[[#This Row],[Month2]]</f>
        <v>46142</v>
      </c>
      <c r="AB293" s="350">
        <f t="shared" si="268"/>
        <v>-216</v>
      </c>
      <c r="AC293">
        <v>115</v>
      </c>
    </row>
    <row r="294" spans="4:29" ht="15" hidden="1" thickBot="1" x14ac:dyDescent="0.4">
      <c r="D294" t="s">
        <v>1731</v>
      </c>
      <c r="E294" s="16">
        <v>46058</v>
      </c>
      <c r="F294" s="10" t="s">
        <v>3</v>
      </c>
      <c r="G294" s="4" t="s">
        <v>128</v>
      </c>
      <c r="H294" s="253">
        <v>268</v>
      </c>
      <c r="I294" s="172">
        <v>46112</v>
      </c>
      <c r="J294" s="172">
        <f>EOMONTH(Table3[[#This Row],[Month1]],1)</f>
        <v>46142</v>
      </c>
      <c r="K294" s="100">
        <v>0.28000000000000003</v>
      </c>
      <c r="L294" s="7">
        <f ca="1">IF(OR(S294="WTI Sprds",S294="Brent Sprds",S294="WTI-Brent",S294="DFL"),INDEX(INDIRECT("'" &amp; S294 &amp; "'!$A$6:$XFD$1048576"),MATCH('PnL26'!$P$1,INDIRECT("'" &amp; S294 &amp; "'!$A$6:$A$1048576"),0),MATCH(EOMONTH(I294,0),INDIRECT("'" &amp; S294 &amp; "'!$A$4:$XFD$4"),0)),INDEX(BBG!$A:$BA,MATCH('PnL26'!$P$1,BBG!$A:$A,0),MATCH($I294,BBG!$A$4:$BA$4,0))-INDEX(BBG!$A:$BA,MATCH('PnL26'!$P$1,BBG!$A:$A,0),MATCH($J294,BBG!$A$4:$BA$4,0)))</f>
        <v>0.03</v>
      </c>
      <c r="M294" s="9">
        <f t="shared" ref="M294:M295" ca="1" si="316">IFERROR((L294-K294)*H294,"")</f>
        <v>-67</v>
      </c>
      <c r="N294">
        <f t="shared" ref="N294:N295" si="317">H294*K294</f>
        <v>75.040000000000006</v>
      </c>
      <c r="O294" s="14" t="str">
        <f t="shared" ref="O294:O295" si="318">IF(I294=J294,TEXT(I294,"MMM YY"),TEXT(I294,"MMM")&amp;"/"&amp;TEXT(J294,"MMM")&amp;" "&amp;RIGHT(T294,2))</f>
        <v>Mar/Apr 26</v>
      </c>
      <c r="P294" s="8" t="str">
        <f t="shared" ref="P294:P295" si="319">IF(H294&lt;0,"Sell","Buy")</f>
        <v>Buy</v>
      </c>
      <c r="Q294">
        <f t="shared" ref="Q294:Q295" ca="1" si="320">H294*L294</f>
        <v>8.0399999999999991</v>
      </c>
      <c r="R294" t="str">
        <f>VLOOKUP(F294,Control!$B:$C,2,FALSE)</f>
        <v>Futures</v>
      </c>
      <c r="S294" t="str">
        <f>VLOOKUP(F294,Control!$B:$D,3,FALSE)</f>
        <v>WTI Sprds</v>
      </c>
      <c r="T294">
        <f t="shared" ref="T294:T295" si="321">YEAR(I294)</f>
        <v>2026</v>
      </c>
      <c r="U294" t="str">
        <f t="shared" ref="U294:U295" si="322">IFERROR(IF(H294&gt;0,"Buy","Sell"),"")</f>
        <v>Buy</v>
      </c>
      <c r="V294" t="s">
        <v>96</v>
      </c>
      <c r="W294" t="str">
        <f>_xlfn.XLOOKUP(Table3[[#This Row],[Instrument]],Control!$B$2:$B$19,Control!$E$2:$E$19)</f>
        <v>WTI</v>
      </c>
      <c r="X294" s="14">
        <f>Table3[[#This Row],[Month1]]</f>
        <v>46112</v>
      </c>
      <c r="Y294" s="350">
        <f>Table3[[#This Row],[Quantity]]</f>
        <v>268</v>
      </c>
      <c r="Z294" t="str">
        <f>_xlfn.XLOOKUP(Table3[[#This Row],[Instrument]],Control!$B$2:$B$19,Control!$F$2:$F$19)</f>
        <v>WTI</v>
      </c>
      <c r="AA294" s="14">
        <f>Table3[[#This Row],[Month2]]</f>
        <v>46142</v>
      </c>
      <c r="AB294" s="350">
        <f t="shared" si="268"/>
        <v>-268</v>
      </c>
      <c r="AC294">
        <v>117</v>
      </c>
    </row>
    <row r="295" spans="4:29" ht="15" hidden="1" thickBot="1" x14ac:dyDescent="0.4">
      <c r="D295" t="s">
        <v>1730</v>
      </c>
      <c r="E295" s="16">
        <v>46058</v>
      </c>
      <c r="F295" s="10" t="s">
        <v>3</v>
      </c>
      <c r="G295" s="4" t="s">
        <v>128</v>
      </c>
      <c r="H295" s="253">
        <v>85</v>
      </c>
      <c r="I295" s="172">
        <v>46142</v>
      </c>
      <c r="J295" s="172">
        <f>EOMONTH(Table3[[#This Row],[Month1]],1)</f>
        <v>46173</v>
      </c>
      <c r="K295" s="100">
        <v>0.28000000000000003</v>
      </c>
      <c r="L295" s="7">
        <f ca="1">IF(OR(S295="WTI Sprds",S295="Brent Sprds",S295="WTI-Brent",S295="DFL"),INDEX(INDIRECT("'" &amp; S295 &amp; "'!$A$6:$XFD$1048576"),MATCH('PnL26'!$P$1,INDIRECT("'" &amp; S295 &amp; "'!$A$6:$A$1048576"),0),MATCH(EOMONTH(I295,0),INDIRECT("'" &amp; S295 &amp; "'!$A$4:$XFD$4"),0)),INDEX(BBG!$A:$BA,MATCH('PnL26'!$P$1,BBG!$A:$A,0),MATCH($I295,BBG!$A$4:$BA$4,0))-INDEX(BBG!$A:$BA,MATCH('PnL26'!$P$1,BBG!$A:$A,0),MATCH($J295,BBG!$A$4:$BA$4,0)))</f>
        <v>0.59</v>
      </c>
      <c r="M295" s="9">
        <f t="shared" ca="1" si="316"/>
        <v>26.349999999999994</v>
      </c>
      <c r="N295">
        <f t="shared" si="317"/>
        <v>23.8</v>
      </c>
      <c r="O295" s="14" t="str">
        <f t="shared" si="318"/>
        <v>Apr/May 26</v>
      </c>
      <c r="P295" s="8" t="str">
        <f t="shared" si="319"/>
        <v>Buy</v>
      </c>
      <c r="Q295">
        <f t="shared" ca="1" si="320"/>
        <v>50.15</v>
      </c>
      <c r="R295" t="str">
        <f>VLOOKUP(F295,Control!$B:$C,2,FALSE)</f>
        <v>Futures</v>
      </c>
      <c r="S295" t="str">
        <f>VLOOKUP(F295,Control!$B:$D,3,FALSE)</f>
        <v>WTI Sprds</v>
      </c>
      <c r="T295">
        <f t="shared" si="321"/>
        <v>2026</v>
      </c>
      <c r="U295" t="str">
        <f t="shared" si="322"/>
        <v>Buy</v>
      </c>
      <c r="V295" t="s">
        <v>96</v>
      </c>
      <c r="W295" t="str">
        <f>_xlfn.XLOOKUP(Table3[[#This Row],[Instrument]],Control!$B$2:$B$19,Control!$E$2:$E$19)</f>
        <v>WTI</v>
      </c>
      <c r="X295" s="14">
        <f>Table3[[#This Row],[Month1]]</f>
        <v>46142</v>
      </c>
      <c r="Y295" s="350">
        <f>Table3[[#This Row],[Quantity]]</f>
        <v>85</v>
      </c>
      <c r="Z295" t="str">
        <f>_xlfn.XLOOKUP(Table3[[#This Row],[Instrument]],Control!$B$2:$B$19,Control!$F$2:$F$19)</f>
        <v>WTI</v>
      </c>
      <c r="AA295" s="14">
        <f>Table3[[#This Row],[Month2]]</f>
        <v>46173</v>
      </c>
      <c r="AB295" s="350">
        <f t="shared" si="268"/>
        <v>-85</v>
      </c>
      <c r="AC295">
        <v>120</v>
      </c>
    </row>
    <row r="296" spans="4:29" ht="15" hidden="1" thickBot="1" x14ac:dyDescent="0.4">
      <c r="D296" t="s">
        <v>1731</v>
      </c>
      <c r="E296" s="174">
        <v>46058</v>
      </c>
      <c r="F296" s="10" t="s">
        <v>3</v>
      </c>
      <c r="G296" s="4" t="s">
        <v>128</v>
      </c>
      <c r="H296" s="253">
        <v>500</v>
      </c>
      <c r="I296" s="172">
        <v>46112</v>
      </c>
      <c r="J296" s="172">
        <f>EOMONTH(Table3[[#This Row],[Month1]],1)</f>
        <v>46142</v>
      </c>
      <c r="K296" s="100">
        <v>0.3</v>
      </c>
      <c r="L296" s="7">
        <f ca="1">IF(OR(S296="WTI Sprds",S296="Brent Sprds",S296="WTI-Brent",S296="DFL"),INDEX(INDIRECT("'" &amp; S296 &amp; "'!$A$6:$XFD$1048576"),MATCH('PnL26'!$P$1,INDIRECT("'" &amp; S296 &amp; "'!$A$6:$A$1048576"),0),MATCH(EOMONTH(I296,0),INDIRECT("'" &amp; S296 &amp; "'!$A$4:$XFD$4"),0)),INDEX(BBG!$A:$BA,MATCH('PnL26'!$P$1,BBG!$A:$A,0),MATCH($I296,BBG!$A$4:$BA$4,0))-INDEX(BBG!$A:$BA,MATCH('PnL26'!$P$1,BBG!$A:$A,0),MATCH($J296,BBG!$A$4:$BA$4,0)))</f>
        <v>0.03</v>
      </c>
      <c r="M296" s="9">
        <f t="shared" ref="M296:M300" ca="1" si="323">IFERROR((L296-K296)*H296,"")</f>
        <v>-135</v>
      </c>
      <c r="N296">
        <f t="shared" ref="N296:N300" si="324">H296*K296</f>
        <v>150</v>
      </c>
      <c r="O296" s="14" t="str">
        <f t="shared" ref="O296:O298" si="325">IF(I296=J296,TEXT(I296,"MMM YY"),TEXT(I296,"MMM")&amp;"/"&amp;TEXT(J296,"MMM")&amp;" "&amp;RIGHT(T296,2))</f>
        <v>Mar/Apr 26</v>
      </c>
      <c r="P296" s="8" t="str">
        <f t="shared" ref="P296:P300" si="326">IF(H296&lt;0,"Sell","Buy")</f>
        <v>Buy</v>
      </c>
      <c r="Q296">
        <f t="shared" ref="Q296:Q300" ca="1" si="327">H296*L296</f>
        <v>15</v>
      </c>
      <c r="R296" t="str">
        <f>VLOOKUP(F296,Control!$B:$C,2,FALSE)</f>
        <v>Futures</v>
      </c>
      <c r="S296" t="str">
        <f>VLOOKUP(F296,Control!$B:$D,3,FALSE)</f>
        <v>WTI Sprds</v>
      </c>
      <c r="T296" s="38">
        <f t="shared" ref="T296:T298" si="328">YEAR(I296)</f>
        <v>2026</v>
      </c>
      <c r="U296" t="str">
        <f t="shared" ref="U296:U300" si="329">IFERROR(IF(H296&gt;0,"Buy","Sell"),"")</f>
        <v>Buy</v>
      </c>
      <c r="V296" t="s">
        <v>96</v>
      </c>
      <c r="W296" t="str">
        <f>_xlfn.XLOOKUP(Table3[[#This Row],[Instrument]],Control!$B$2:$B$19,Control!$E$2:$E$19)</f>
        <v>WTI</v>
      </c>
      <c r="X296" s="14">
        <f>Table3[[#This Row],[Month1]]</f>
        <v>46112</v>
      </c>
      <c r="Y296" s="350">
        <f>Table3[[#This Row],[Quantity]]</f>
        <v>500</v>
      </c>
      <c r="Z296" t="str">
        <f>_xlfn.XLOOKUP(Table3[[#This Row],[Instrument]],Control!$B$2:$B$19,Control!$F$2:$F$19)</f>
        <v>WTI</v>
      </c>
      <c r="AA296" s="14">
        <f>Table3[[#This Row],[Month2]]</f>
        <v>46142</v>
      </c>
      <c r="AB296" s="350">
        <f t="shared" si="268"/>
        <v>-500</v>
      </c>
      <c r="AC296" cm="1">
        <f t="array" ref="AC296">SUMPRODUCT(AC293:AC295,AB293:AB295/SUM(AB293:AB295))</f>
        <v>116.68892794376097</v>
      </c>
    </row>
    <row r="297" spans="4:29" ht="15" hidden="1" thickBot="1" x14ac:dyDescent="0.4">
      <c r="D297" t="s">
        <v>1730</v>
      </c>
      <c r="E297" s="174">
        <v>46058</v>
      </c>
      <c r="F297" s="10" t="s">
        <v>3</v>
      </c>
      <c r="G297" s="4" t="s">
        <v>128</v>
      </c>
      <c r="H297" s="253">
        <v>500</v>
      </c>
      <c r="I297" s="172">
        <v>46142</v>
      </c>
      <c r="J297" s="172">
        <f>EOMONTH(Table3[[#This Row],[Month1]],1)</f>
        <v>46173</v>
      </c>
      <c r="K297" s="100">
        <v>0.3</v>
      </c>
      <c r="L297" s="7">
        <f ca="1">IF(OR(S297="WTI Sprds",S297="Brent Sprds",S297="WTI-Brent",S297="DFL"),INDEX(INDIRECT("'" &amp; S297 &amp; "'!$A$6:$XFD$1048576"),MATCH('PnL26'!$P$1,INDIRECT("'" &amp; S297 &amp; "'!$A$6:$A$1048576"),0),MATCH(EOMONTH(I297,0),INDIRECT("'" &amp; S297 &amp; "'!$A$4:$XFD$4"),0)),INDEX(BBG!$A:$BA,MATCH('PnL26'!$P$1,BBG!$A:$A,0),MATCH($I297,BBG!$A$4:$BA$4,0))-INDEX(BBG!$A:$BA,MATCH('PnL26'!$P$1,BBG!$A:$A,0),MATCH($J297,BBG!$A$4:$BA$4,0)))</f>
        <v>0.59</v>
      </c>
      <c r="M297" s="9">
        <f t="shared" ca="1" si="323"/>
        <v>145</v>
      </c>
      <c r="N297">
        <f t="shared" si="324"/>
        <v>150</v>
      </c>
      <c r="O297" s="14" t="str">
        <f t="shared" si="325"/>
        <v>Apr/May 26</v>
      </c>
      <c r="P297" s="8" t="str">
        <f t="shared" si="326"/>
        <v>Buy</v>
      </c>
      <c r="Q297">
        <f t="shared" ca="1" si="327"/>
        <v>295</v>
      </c>
      <c r="R297" t="str">
        <f>VLOOKUP(F297,Control!$B:$C,2,FALSE)</f>
        <v>Futures</v>
      </c>
      <c r="S297" t="str">
        <f>VLOOKUP(F297,Control!$B:$D,3,FALSE)</f>
        <v>WTI Sprds</v>
      </c>
      <c r="T297" s="38">
        <f t="shared" si="328"/>
        <v>2026</v>
      </c>
      <c r="U297" t="str">
        <f t="shared" si="329"/>
        <v>Buy</v>
      </c>
      <c r="V297" t="s">
        <v>96</v>
      </c>
      <c r="W297" t="str">
        <f>_xlfn.XLOOKUP(Table3[[#This Row],[Instrument]],Control!$B$2:$B$19,Control!$E$2:$E$19)</f>
        <v>WTI</v>
      </c>
      <c r="X297" s="14">
        <f>Table3[[#This Row],[Month1]]</f>
        <v>46142</v>
      </c>
      <c r="Y297" s="350">
        <f>Table3[[#This Row],[Quantity]]</f>
        <v>500</v>
      </c>
      <c r="Z297" t="str">
        <f>_xlfn.XLOOKUP(Table3[[#This Row],[Instrument]],Control!$B$2:$B$19,Control!$F$2:$F$19)</f>
        <v>WTI</v>
      </c>
      <c r="AA297" s="14">
        <f>Table3[[#This Row],[Month2]]</f>
        <v>46173</v>
      </c>
      <c r="AB297" s="350">
        <f t="shared" si="268"/>
        <v>-500</v>
      </c>
    </row>
    <row r="298" spans="4:29" ht="15" hidden="1" thickBot="1" x14ac:dyDescent="0.4">
      <c r="D298" t="s">
        <v>127</v>
      </c>
      <c r="E298" s="174">
        <v>46059</v>
      </c>
      <c r="F298" s="10" t="s">
        <v>10</v>
      </c>
      <c r="G298" s="4" t="s">
        <v>128</v>
      </c>
      <c r="H298" s="253">
        <v>540</v>
      </c>
      <c r="I298" s="172">
        <v>46142</v>
      </c>
      <c r="J298" s="172">
        <v>46142</v>
      </c>
      <c r="K298" s="100">
        <v>-4.6900000000000004</v>
      </c>
      <c r="L298" s="7">
        <f ca="1">IF(OR(S298="WTI Sprds",S298="Brent Sprds",S298="WTI-Brent",S298="DFL"),INDEX(INDIRECT("'" &amp; S298 &amp; "'!$A$6:$XFD$1048576"),MATCH('PnL26'!$P$1,INDIRECT("'" &amp; S298 &amp; "'!$A$6:$A$1048576"),0),MATCH(EOMONTH(I298,0),INDIRECT("'" &amp; S298 &amp; "'!$A$4:$XFD$4"),0)),INDEX(BBG!$A:$BA,MATCH('PnL26'!$P$1,BBG!$A:$A,0),MATCH($I298,BBG!$A$4:$BA$4,0))-INDEX(BBG!$A:$BA,MATCH('PnL26'!$P$1,BBG!$A:$A,0),MATCH($J298,BBG!$A$4:$BA$4,0)))</f>
        <v>-5.46</v>
      </c>
      <c r="M298" s="9">
        <f t="shared" ca="1" si="323"/>
        <v>-415.79999999999978</v>
      </c>
      <c r="N298">
        <f t="shared" si="324"/>
        <v>-2532.6000000000004</v>
      </c>
      <c r="O298" s="14" t="str">
        <f t="shared" si="325"/>
        <v>Apr 26</v>
      </c>
      <c r="P298" s="8" t="str">
        <f t="shared" si="326"/>
        <v>Buy</v>
      </c>
      <c r="Q298">
        <f t="shared" ca="1" si="327"/>
        <v>-2948.4</v>
      </c>
      <c r="R298" t="str">
        <f>VLOOKUP(F298,Control!$B:$C,2,FALSE)</f>
        <v>Swaps</v>
      </c>
      <c r="S298" t="str">
        <f>VLOOKUP(F298,Control!$B:$D,3,FALSE)</f>
        <v>WTI-Brent</v>
      </c>
      <c r="T298" s="38">
        <f t="shared" si="328"/>
        <v>2026</v>
      </c>
      <c r="U298" t="str">
        <f t="shared" si="329"/>
        <v>Buy</v>
      </c>
      <c r="V298" t="s">
        <v>96</v>
      </c>
      <c r="W298" t="str">
        <f>_xlfn.XLOOKUP(Table3[[#This Row],[Instrument]],Control!$B$2:$B$19,Control!$E$2:$E$19)</f>
        <v>WTI</v>
      </c>
      <c r="X298" s="14">
        <f>Table3[[#This Row],[Month1]]</f>
        <v>46142</v>
      </c>
      <c r="Y298" s="350">
        <f>Table3[[#This Row],[Quantity]]</f>
        <v>540</v>
      </c>
      <c r="Z298" t="str">
        <f>_xlfn.XLOOKUP(Table3[[#This Row],[Instrument]],Control!$B$2:$B$19,Control!$F$2:$F$19)</f>
        <v>Brent</v>
      </c>
      <c r="AA298" s="14">
        <f>Table3[[#This Row],[Month2]]</f>
        <v>46142</v>
      </c>
      <c r="AB298" s="350">
        <f t="shared" si="268"/>
        <v>-540</v>
      </c>
    </row>
    <row r="299" spans="4:29" ht="15" hidden="1" thickBot="1" x14ac:dyDescent="0.4">
      <c r="D299" t="s">
        <v>127</v>
      </c>
      <c r="E299" s="174">
        <v>46059</v>
      </c>
      <c r="F299" s="10" t="s">
        <v>22</v>
      </c>
      <c r="G299" s="4" t="s">
        <v>128</v>
      </c>
      <c r="H299" s="253">
        <v>-1000</v>
      </c>
      <c r="I299" s="172" t="s">
        <v>1725</v>
      </c>
      <c r="J299" s="172">
        <f>J296</f>
        <v>46142</v>
      </c>
      <c r="K299" s="100">
        <f>Table3[[#This Row],[Mtm]]</f>
        <v>2.516</v>
      </c>
      <c r="L299" s="7">
        <f>VLOOKUP($I299,'PnL26'!B:C,2,FALSE)</f>
        <v>2.516</v>
      </c>
      <c r="M299" s="9">
        <f t="shared" si="323"/>
        <v>0</v>
      </c>
      <c r="N299">
        <f t="shared" si="324"/>
        <v>-2516</v>
      </c>
      <c r="O299" s="347" t="s">
        <v>98</v>
      </c>
      <c r="P299" s="8" t="str">
        <f t="shared" si="326"/>
        <v>Sell</v>
      </c>
      <c r="Q299">
        <f t="shared" si="327"/>
        <v>-2516</v>
      </c>
      <c r="R299" t="str">
        <f>VLOOKUP(F299,Control!$B:$C,2,FALSE)</f>
        <v>Swaps</v>
      </c>
      <c r="S299" t="str">
        <f>VLOOKUP(F299,Control!$B:$D,3,FALSE)</f>
        <v>Dated</v>
      </c>
      <c r="T299" s="38">
        <v>2026</v>
      </c>
      <c r="U299" t="str">
        <f t="shared" si="329"/>
        <v>Sell</v>
      </c>
      <c r="V299" t="s">
        <v>96</v>
      </c>
      <c r="W299" t="e">
        <f>_xlfn.XLOOKUP(Table3[[#This Row],[Instrument]],Control!$B$2:$B$19,Control!$E$2:$E$19)</f>
        <v>#N/A</v>
      </c>
      <c r="X299" s="14" t="str">
        <f>Table3[[#This Row],[Month1]]</f>
        <v>Feb02-Feb06</v>
      </c>
      <c r="Y299" s="350">
        <f>Table3[[#This Row],[Quantity]]</f>
        <v>-1000</v>
      </c>
      <c r="Z299" t="e">
        <f>_xlfn.XLOOKUP(Table3[[#This Row],[Instrument]],Control!$B$2:$B$19,Control!$F$2:$F$19)</f>
        <v>#N/A</v>
      </c>
      <c r="AA299" s="14">
        <f>Table3[[#This Row],[Month2]]</f>
        <v>46142</v>
      </c>
      <c r="AB299" s="350">
        <f t="shared" si="268"/>
        <v>1000</v>
      </c>
    </row>
    <row r="300" spans="4:29" ht="15" hidden="1" thickBot="1" x14ac:dyDescent="0.4">
      <c r="D300" t="s">
        <v>127</v>
      </c>
      <c r="E300" s="174">
        <v>46066</v>
      </c>
      <c r="F300" s="10" t="s">
        <v>15</v>
      </c>
      <c r="G300" s="4" t="s">
        <v>128</v>
      </c>
      <c r="H300" s="253">
        <v>1335</v>
      </c>
      <c r="I300" s="173">
        <v>46112</v>
      </c>
      <c r="J300" s="173">
        <v>46112</v>
      </c>
      <c r="K300" s="100">
        <v>0.875</v>
      </c>
      <c r="L300" s="192">
        <f>VLOOKUP($I300,'PnL26'!$E$7:$F$59,2,FALSE)</f>
        <v>11.45</v>
      </c>
      <c r="M300" s="9">
        <f t="shared" si="323"/>
        <v>14117.624999999998</v>
      </c>
      <c r="N300">
        <f t="shared" si="324"/>
        <v>1168.125</v>
      </c>
      <c r="O300" s="14" t="str">
        <f t="shared" ref="O300:O301" si="330">IF(I300=J300,TEXT(I300,"MMM YY"),TEXT(I300,"MMM")&amp;"/"&amp;TEXT(J300,"MMM")&amp;" "&amp;RIGHT(T300,2))</f>
        <v>Mar 26</v>
      </c>
      <c r="P300" s="8" t="str">
        <f t="shared" si="326"/>
        <v>Buy</v>
      </c>
      <c r="Q300">
        <f t="shared" si="327"/>
        <v>15285.749999999998</v>
      </c>
      <c r="R300" s="38" t="str">
        <f>VLOOKUP(F300,Control!$B:$C,2,FALSE)</f>
        <v>Swaps</v>
      </c>
      <c r="S300" s="38" t="str">
        <f>VLOOKUP(F300,Control!$B:$D,3,FALSE)</f>
        <v>Dated</v>
      </c>
      <c r="T300" s="38">
        <f t="shared" ref="T300:T301" si="331">YEAR(I300)</f>
        <v>2026</v>
      </c>
      <c r="U300" t="str">
        <f t="shared" si="329"/>
        <v>Buy</v>
      </c>
      <c r="V300" t="s">
        <v>96</v>
      </c>
      <c r="W300" t="e">
        <f>_xlfn.XLOOKUP(Table3[[#This Row],[Instrument]],Control!$B$2:$B$19,Control!$E$2:$E$19)</f>
        <v>#N/A</v>
      </c>
      <c r="X300" s="14">
        <f>Table3[[#This Row],[Month1]]</f>
        <v>46112</v>
      </c>
      <c r="Y300" s="350">
        <f>Table3[[#This Row],[Quantity]]</f>
        <v>1335</v>
      </c>
      <c r="Z300" t="e">
        <f>_xlfn.XLOOKUP(Table3[[#This Row],[Instrument]],Control!$B$2:$B$19,Control!$F$2:$F$19)</f>
        <v>#N/A</v>
      </c>
      <c r="AA300" s="14">
        <f>Table3[[#This Row],[Month2]]</f>
        <v>46112</v>
      </c>
      <c r="AB300" s="350">
        <f t="shared" si="268"/>
        <v>-1335</v>
      </c>
    </row>
    <row r="301" spans="4:29" ht="15" hidden="1" thickBot="1" x14ac:dyDescent="0.4">
      <c r="D301" t="s">
        <v>127</v>
      </c>
      <c r="E301" s="174">
        <v>46072</v>
      </c>
      <c r="F301" s="10" t="s">
        <v>3</v>
      </c>
      <c r="G301" s="4" t="s">
        <v>128</v>
      </c>
      <c r="H301" s="253">
        <f>464+96</f>
        <v>560</v>
      </c>
      <c r="I301" s="172">
        <v>46112</v>
      </c>
      <c r="J301" s="172">
        <f>EOMONTH(Table3[[#This Row],[Month1]],1)</f>
        <v>46142</v>
      </c>
      <c r="K301" s="100">
        <v>0.03</v>
      </c>
      <c r="L301" s="7">
        <f ca="1">IF(OR(S301="WTI Sprds",S301="Brent Sprds",S301="WTI-Brent",S301="DFL"),INDEX(INDIRECT("'" &amp; S301 &amp; "'!$A$6:$XFD$1048576"),MATCH('PnL26'!$P$1,INDIRECT("'" &amp; S301 &amp; "'!$A$6:$A$1048576"),0),MATCH(EOMONTH(I301,0),INDIRECT("'" &amp; S301 &amp; "'!$A$4:$XFD$4"),0)),INDEX(BBG!$A:$BA,MATCH('PnL26'!$P$1,BBG!$A:$A,0),MATCH($I301,BBG!$A$4:$BA$4,0))-INDEX(BBG!$A:$BA,MATCH('PnL26'!$P$1,BBG!$A:$A,0),MATCH($J301,BBG!$A$4:$BA$4,0)))</f>
        <v>0.03</v>
      </c>
      <c r="M301" s="9">
        <f t="shared" ref="M301" ca="1" si="332">IFERROR((L301-K301)*H301,"")</f>
        <v>0</v>
      </c>
      <c r="N301">
        <f t="shared" ref="N301" si="333">H301*K301</f>
        <v>16.8</v>
      </c>
      <c r="O301" s="14" t="str">
        <f t="shared" si="330"/>
        <v>Mar/Apr 26</v>
      </c>
      <c r="P301" s="8" t="str">
        <f t="shared" ref="P301" si="334">IF(H301&lt;0,"Sell","Buy")</f>
        <v>Buy</v>
      </c>
      <c r="Q301">
        <f t="shared" ref="Q301" ca="1" si="335">H301*L301</f>
        <v>16.8</v>
      </c>
      <c r="R301" t="str">
        <f>VLOOKUP(F301,Control!$B:$C,2,FALSE)</f>
        <v>Futures</v>
      </c>
      <c r="S301" t="str">
        <f>VLOOKUP(F301,Control!$B:$D,3,FALSE)</f>
        <v>WTI Sprds</v>
      </c>
      <c r="T301" s="38">
        <f t="shared" si="331"/>
        <v>2026</v>
      </c>
      <c r="U301" t="str">
        <f t="shared" ref="U301" si="336">IFERROR(IF(H301&gt;0,"Buy","Sell"),"")</f>
        <v>Buy</v>
      </c>
      <c r="V301" t="s">
        <v>96</v>
      </c>
      <c r="W301" t="str">
        <f>_xlfn.XLOOKUP(Table3[[#This Row],[Instrument]],Control!$B$2:$B$19,Control!$E$2:$E$19)</f>
        <v>WTI</v>
      </c>
      <c r="X301" s="14">
        <f>Table3[[#This Row],[Month1]]</f>
        <v>46112</v>
      </c>
      <c r="Y301" s="350">
        <f>Table3[[#This Row],[Quantity]]</f>
        <v>560</v>
      </c>
      <c r="Z301" t="str">
        <f>_xlfn.XLOOKUP(Table3[[#This Row],[Instrument]],Control!$B$2:$B$19,Control!$F$2:$F$19)</f>
        <v>WTI</v>
      </c>
      <c r="AA301" s="14">
        <f>Table3[[#This Row],[Month2]]</f>
        <v>46142</v>
      </c>
      <c r="AB301" s="350">
        <f t="shared" si="268"/>
        <v>-560</v>
      </c>
    </row>
    <row r="302" spans="4:29" ht="15" hidden="1" thickBot="1" x14ac:dyDescent="0.4">
      <c r="D302" t="s">
        <v>127</v>
      </c>
      <c r="E302" s="174">
        <v>46073</v>
      </c>
      <c r="F302" s="10" t="s">
        <v>3</v>
      </c>
      <c r="G302" s="4" t="s">
        <v>128</v>
      </c>
      <c r="H302" s="253">
        <v>-96</v>
      </c>
      <c r="I302" s="172">
        <v>46112</v>
      </c>
      <c r="J302" s="172">
        <f>EOMONTH(Table3[[#This Row],[Month1]],1)</f>
        <v>46142</v>
      </c>
      <c r="K302" s="100">
        <v>0.27</v>
      </c>
      <c r="L302" s="7">
        <f ca="1">IF(OR(S302="WTI Sprds",S302="Brent Sprds",S302="WTI-Brent",S302="DFL"),INDEX(INDIRECT("'" &amp; S302 &amp; "'!$A$6:$XFD$1048576"),MATCH('PnL26'!$P$1,INDIRECT("'" &amp; S302 &amp; "'!$A$6:$A$1048576"),0),MATCH(EOMONTH(I302,0),INDIRECT("'" &amp; S302 &amp; "'!$A$4:$XFD$4"),0)),INDEX(BBG!$A:$BA,MATCH('PnL26'!$P$1,BBG!$A:$A,0),MATCH($I302,BBG!$A$4:$BA$4,0))-INDEX(BBG!$A:$BA,MATCH('PnL26'!$P$1,BBG!$A:$A,0),MATCH($J302,BBG!$A$4:$BA$4,0)))</f>
        <v>0.03</v>
      </c>
      <c r="M302" s="9">
        <f t="shared" ref="M302:M303" ca="1" si="337">IFERROR((L302-K302)*H302,"")</f>
        <v>23.040000000000003</v>
      </c>
      <c r="N302">
        <f t="shared" ref="N302:N310" si="338">H302*K302</f>
        <v>-25.92</v>
      </c>
      <c r="O302" s="14" t="str">
        <f t="shared" ref="O302:O310" si="339">IF(I302=J302,TEXT(I302,"MMM YY"),TEXT(I302,"MMM")&amp;"/"&amp;TEXT(J302,"MMM")&amp;" "&amp;RIGHT(T302,2))</f>
        <v>Mar/Apr 26</v>
      </c>
      <c r="P302" s="8" t="str">
        <f t="shared" ref="P302:P310" si="340">IF(H302&lt;0,"Sell","Buy")</f>
        <v>Sell</v>
      </c>
      <c r="Q302">
        <f t="shared" ref="Q302:Q310" ca="1" si="341">H302*L302</f>
        <v>-2.88</v>
      </c>
      <c r="R302" t="str">
        <f>VLOOKUP(F302,Control!$B:$C,2,FALSE)</f>
        <v>Futures</v>
      </c>
      <c r="S302" t="str">
        <f>VLOOKUP(F302,Control!$B:$D,3,FALSE)</f>
        <v>WTI Sprds</v>
      </c>
      <c r="T302" s="38">
        <f t="shared" ref="T302:T310" si="342">YEAR(I302)</f>
        <v>2026</v>
      </c>
      <c r="U302" t="str">
        <f t="shared" ref="U302:U310" si="343">IFERROR(IF(H302&gt;0,"Buy","Sell"),"")</f>
        <v>Sell</v>
      </c>
      <c r="V302" t="s">
        <v>96</v>
      </c>
      <c r="W302" t="str">
        <f>_xlfn.XLOOKUP(Table3[[#This Row],[Instrument]],Control!$B$2:$B$19,Control!$E$2:$E$19)</f>
        <v>WTI</v>
      </c>
      <c r="X302" s="14">
        <f>Table3[[#This Row],[Month1]]</f>
        <v>46112</v>
      </c>
      <c r="Y302" s="350">
        <f>Table3[[#This Row],[Quantity]]</f>
        <v>-96</v>
      </c>
      <c r="Z302" t="str">
        <f>_xlfn.XLOOKUP(Table3[[#This Row],[Instrument]],Control!$B$2:$B$19,Control!$F$2:$F$19)</f>
        <v>WTI</v>
      </c>
      <c r="AA302" s="14">
        <f>Table3[[#This Row],[Month2]]</f>
        <v>46142</v>
      </c>
      <c r="AB302" s="350">
        <f t="shared" si="268"/>
        <v>96</v>
      </c>
    </row>
    <row r="303" spans="4:29" ht="15" hidden="1" thickBot="1" x14ac:dyDescent="0.4">
      <c r="D303" t="s">
        <v>127</v>
      </c>
      <c r="E303" s="174">
        <v>46076</v>
      </c>
      <c r="F303" s="10" t="s">
        <v>3</v>
      </c>
      <c r="G303" s="4" t="s">
        <v>128</v>
      </c>
      <c r="H303" s="253">
        <v>300</v>
      </c>
      <c r="I303" s="172">
        <v>46142</v>
      </c>
      <c r="J303" s="389">
        <v>46173</v>
      </c>
      <c r="K303" s="100">
        <v>0.2</v>
      </c>
      <c r="L303" s="7">
        <f ca="1">IF(OR(S303="WTI Sprds",S303="Brent Sprds",S303="WTI-Brent",S303="DFL"),INDEX(INDIRECT("'" &amp; S303 &amp; "'!$A$6:$XFD$1048576"),MATCH('PnL26'!$P$1,INDIRECT("'" &amp; S303 &amp; "'!$A$6:$A$1048576"),0),MATCH(EOMONTH(I303,0),INDIRECT("'" &amp; S303 &amp; "'!$A$4:$XFD$4"),0)),INDEX(BBG!$A:$BA,MATCH('PnL26'!$P$1,BBG!$A:$A,0),MATCH($I303,BBG!$A$4:$BA$4,0))-INDEX(BBG!$A:$BA,MATCH('PnL26'!$P$1,BBG!$A:$A,0),MATCH($J303,BBG!$A$4:$BA$4,0)))</f>
        <v>0.59</v>
      </c>
      <c r="M303" s="9">
        <f t="shared" ca="1" si="337"/>
        <v>116.99999999999999</v>
      </c>
      <c r="N303">
        <f t="shared" si="338"/>
        <v>60</v>
      </c>
      <c r="O303" s="14" t="str">
        <f t="shared" si="339"/>
        <v>Apr/May 26</v>
      </c>
      <c r="P303" s="8" t="str">
        <f t="shared" si="340"/>
        <v>Buy</v>
      </c>
      <c r="Q303">
        <f t="shared" ca="1" si="341"/>
        <v>177</v>
      </c>
      <c r="R303" t="str">
        <f>VLOOKUP(F303,Control!$B:$C,2,FALSE)</f>
        <v>Futures</v>
      </c>
      <c r="S303" t="str">
        <f>VLOOKUP(F303,Control!$B:$D,3,FALSE)</f>
        <v>WTI Sprds</v>
      </c>
      <c r="T303" s="38">
        <f t="shared" si="342"/>
        <v>2026</v>
      </c>
      <c r="U303" t="str">
        <f t="shared" si="343"/>
        <v>Buy</v>
      </c>
      <c r="V303" t="s">
        <v>96</v>
      </c>
      <c r="W303" t="str">
        <f>_xlfn.XLOOKUP(Table3[[#This Row],[Instrument]],Control!$B$2:$B$19,Control!$E$2:$E$19)</f>
        <v>WTI</v>
      </c>
      <c r="X303" s="14">
        <f>Table3[[#This Row],[Month1]]</f>
        <v>46142</v>
      </c>
      <c r="Y303" s="350">
        <f>Table3[[#This Row],[Quantity]]</f>
        <v>300</v>
      </c>
      <c r="Z303" t="str">
        <f>_xlfn.XLOOKUP(Table3[[#This Row],[Instrument]],Control!$B$2:$B$19,Control!$F$2:$F$19)</f>
        <v>WTI</v>
      </c>
      <c r="AA303" s="14">
        <f>Table3[[#This Row],[Month2]]</f>
        <v>46173</v>
      </c>
      <c r="AB303" s="350">
        <f t="shared" si="268"/>
        <v>-300</v>
      </c>
    </row>
    <row r="304" spans="4:29" ht="15" hidden="1" thickBot="1" x14ac:dyDescent="0.4">
      <c r="D304" t="s">
        <v>127</v>
      </c>
      <c r="E304" s="174">
        <v>46076</v>
      </c>
      <c r="F304" s="375" t="s">
        <v>36</v>
      </c>
      <c r="G304" s="4" t="s">
        <v>128</v>
      </c>
      <c r="H304" s="253">
        <v>25</v>
      </c>
      <c r="I304" s="172">
        <v>46112</v>
      </c>
      <c r="J304" s="172">
        <v>46112</v>
      </c>
      <c r="K304" s="212">
        <v>55.256300000000003</v>
      </c>
      <c r="L304" s="314">
        <f>VLOOKUP(I304,[2]USG!$O$45:$S100,MATCH("Freight-TD25 $/MT",[2]USG!$O$46:$S$46,0),FALSE)</f>
        <v>97.696500000000015</v>
      </c>
      <c r="M304" s="9">
        <f>-(K304-L304)*Table3[[#This Row],[Quantity]]</f>
        <v>1061.0050000000003</v>
      </c>
      <c r="N304">
        <f t="shared" si="338"/>
        <v>1381.4075</v>
      </c>
      <c r="O304" s="14" t="str">
        <f t="shared" si="339"/>
        <v>Mar 26</v>
      </c>
      <c r="P304" s="8" t="str">
        <f t="shared" si="340"/>
        <v>Buy</v>
      </c>
      <c r="Q304">
        <f t="shared" si="341"/>
        <v>2442.4125000000004</v>
      </c>
      <c r="R304" t="str">
        <f>VLOOKUP(F304,Control!$B:$C,2,FALSE)</f>
        <v>Freight</v>
      </c>
      <c r="S304" t="str">
        <f>VLOOKUP(F304,Control!$B:$D,3,FALSE)</f>
        <v>Freight</v>
      </c>
      <c r="T304" s="38">
        <f t="shared" si="342"/>
        <v>2026</v>
      </c>
      <c r="U304" t="str">
        <f t="shared" si="343"/>
        <v>Buy</v>
      </c>
      <c r="V304" t="s">
        <v>96</v>
      </c>
      <c r="W304" t="e">
        <f>_xlfn.XLOOKUP(Table3[[#This Row],[Instrument]],Control!$B$2:$B$19,Control!$E$2:$E$19)</f>
        <v>#N/A</v>
      </c>
      <c r="X304" s="14">
        <f>Table3[[#This Row],[Month1]]</f>
        <v>46112</v>
      </c>
      <c r="Y304" s="350">
        <f>Table3[[#This Row],[Quantity]]</f>
        <v>25</v>
      </c>
      <c r="Z304" t="e">
        <f>_xlfn.XLOOKUP(Table3[[#This Row],[Instrument]],Control!$B$2:$B$19,Control!$F$2:$F$19)</f>
        <v>#N/A</v>
      </c>
      <c r="AA304" s="14">
        <f>Table3[[#This Row],[Month2]]</f>
        <v>46112</v>
      </c>
      <c r="AB304" s="350">
        <f t="shared" si="268"/>
        <v>-25</v>
      </c>
    </row>
    <row r="305" spans="4:28" ht="15" hidden="1" thickBot="1" x14ac:dyDescent="0.4">
      <c r="D305" t="s">
        <v>127</v>
      </c>
      <c r="E305" s="174">
        <v>46078</v>
      </c>
      <c r="F305" s="10" t="s">
        <v>10</v>
      </c>
      <c r="G305" s="4" t="s">
        <v>128</v>
      </c>
      <c r="H305" s="253">
        <v>400</v>
      </c>
      <c r="I305" s="172">
        <v>46203</v>
      </c>
      <c r="J305" s="172">
        <v>46203</v>
      </c>
      <c r="K305" s="100">
        <v>-5.0199999999999996</v>
      </c>
      <c r="L305" s="7">
        <f ca="1">IF(OR(S305="WTI Sprds",S305="Brent Sprds",S305="WTI-Brent",S305="DFL"),INDEX(INDIRECT("'" &amp; S305 &amp; "'!$A$6:$XFD$1048576"),MATCH('PnL26'!$P$1,INDIRECT("'" &amp; S305 &amp; "'!$A$6:$A$1048576"),0),MATCH(EOMONTH(I305,0),INDIRECT("'" &amp; S305 &amp; "'!$A$4:$XFD$4"),0)),INDEX(BBG!$A:$BA,MATCH('PnL26'!$P$1,BBG!$A:$A,0),MATCH($I305,BBG!$A$4:$BA$4,0))-INDEX(BBG!$A:$BA,MATCH('PnL26'!$P$1,BBG!$A:$A,0),MATCH($J305,BBG!$A$4:$BA$4,0)))</f>
        <v>-8.94</v>
      </c>
      <c r="M305" s="9">
        <f t="shared" ref="M305:M307" ca="1" si="344">IFERROR((L305-K305)*H305,"")</f>
        <v>-1568</v>
      </c>
      <c r="N305">
        <f t="shared" si="338"/>
        <v>-2007.9999999999998</v>
      </c>
      <c r="O305" s="14" t="str">
        <f t="shared" si="339"/>
        <v>Jun 26</v>
      </c>
      <c r="P305" s="8" t="str">
        <f t="shared" si="340"/>
        <v>Buy</v>
      </c>
      <c r="Q305">
        <f t="shared" ca="1" si="341"/>
        <v>-3576</v>
      </c>
      <c r="R305" t="str">
        <f>VLOOKUP(F305,Control!$B:$C,2,FALSE)</f>
        <v>Swaps</v>
      </c>
      <c r="S305" t="str">
        <f>VLOOKUP(F305,Control!$B:$D,3,FALSE)</f>
        <v>WTI-Brent</v>
      </c>
      <c r="T305" s="38">
        <f t="shared" si="342"/>
        <v>2026</v>
      </c>
      <c r="U305" t="str">
        <f t="shared" si="343"/>
        <v>Buy</v>
      </c>
      <c r="V305" t="s">
        <v>96</v>
      </c>
      <c r="W305" t="str">
        <f>_xlfn.XLOOKUP(Table3[[#This Row],[Instrument]],Control!$B$2:$B$19,Control!$E$2:$E$19)</f>
        <v>WTI</v>
      </c>
      <c r="X305" s="14">
        <f>Table3[[#This Row],[Month1]]</f>
        <v>46203</v>
      </c>
      <c r="Y305" s="350">
        <f>Table3[[#This Row],[Quantity]]</f>
        <v>400</v>
      </c>
      <c r="Z305" t="str">
        <f>_xlfn.XLOOKUP(Table3[[#This Row],[Instrument]],Control!$B$2:$B$19,Control!$F$2:$F$19)</f>
        <v>Brent</v>
      </c>
      <c r="AA305" s="14">
        <f>Table3[[#This Row],[Month2]]</f>
        <v>46203</v>
      </c>
      <c r="AB305" s="350">
        <f t="shared" si="268"/>
        <v>-400</v>
      </c>
    </row>
    <row r="306" spans="4:28" ht="15" hidden="1" thickBot="1" x14ac:dyDescent="0.4">
      <c r="D306" s="395" t="s">
        <v>1732</v>
      </c>
      <c r="E306" s="174">
        <v>46078</v>
      </c>
      <c r="F306" s="229" t="s">
        <v>19</v>
      </c>
      <c r="G306" s="380" t="s">
        <v>268</v>
      </c>
      <c r="H306" s="381">
        <v>700</v>
      </c>
      <c r="I306" s="231">
        <v>46053</v>
      </c>
      <c r="J306" s="231">
        <v>46053</v>
      </c>
      <c r="K306" s="232">
        <f>'Cargo Econs 2026'!$I$63</f>
        <v>-0.1147146428571425</v>
      </c>
      <c r="L306" s="315">
        <v>-0.02</v>
      </c>
      <c r="M306" s="234">
        <f t="shared" si="344"/>
        <v>66.30024999999975</v>
      </c>
      <c r="N306" s="227">
        <f t="shared" si="338"/>
        <v>-80.30024999999975</v>
      </c>
      <c r="O306" s="235" t="str">
        <f t="shared" si="339"/>
        <v>Jan 26</v>
      </c>
      <c r="P306" s="236" t="str">
        <f t="shared" si="340"/>
        <v>Buy</v>
      </c>
      <c r="Q306" s="227">
        <f t="shared" si="341"/>
        <v>-14</v>
      </c>
      <c r="R306" s="227" t="str">
        <f>VLOOKUP(F306,Control!$B:$C,2,FALSE)</f>
        <v>Physical</v>
      </c>
      <c r="S306" s="227" t="str">
        <f>VLOOKUP(F306,Control!$B:$D,3,FALSE)</f>
        <v>Physical</v>
      </c>
      <c r="T306" s="38">
        <f t="shared" si="342"/>
        <v>2026</v>
      </c>
      <c r="U306" s="238" t="str">
        <f t="shared" si="343"/>
        <v>Buy</v>
      </c>
      <c r="V306" t="s">
        <v>96</v>
      </c>
      <c r="W306">
        <f>_xlfn.XLOOKUP(Table3[[#This Row],[Instrument]],Control!$B$2:$B$19,Control!$E$2:$E$19)</f>
        <v>0</v>
      </c>
      <c r="X306" s="14">
        <f>Table3[[#This Row],[Month1]]</f>
        <v>46053</v>
      </c>
      <c r="Y306" s="350">
        <f>Table3[[#This Row],[Quantity]]</f>
        <v>700</v>
      </c>
      <c r="Z306">
        <f>_xlfn.XLOOKUP(Table3[[#This Row],[Instrument]],Control!$B$2:$B$19,Control!$F$2:$F$19)</f>
        <v>0</v>
      </c>
      <c r="AA306" s="14">
        <f>Table3[[#This Row],[Month2]]</f>
        <v>46053</v>
      </c>
      <c r="AB306" s="350">
        <f t="shared" si="268"/>
        <v>-700</v>
      </c>
    </row>
    <row r="307" spans="4:28" ht="15" hidden="1" thickBot="1" x14ac:dyDescent="0.4">
      <c r="D307" t="s">
        <v>1732</v>
      </c>
      <c r="E307" s="174">
        <v>46078</v>
      </c>
      <c r="F307" s="10" t="s">
        <v>10</v>
      </c>
      <c r="G307" s="4" t="s">
        <v>268</v>
      </c>
      <c r="H307" s="253">
        <v>-700</v>
      </c>
      <c r="I307" s="172">
        <v>46142</v>
      </c>
      <c r="J307" s="172">
        <v>46142</v>
      </c>
      <c r="K307" s="212">
        <v>-5.4</v>
      </c>
      <c r="L307" s="192">
        <f ca="1">IF(OR(S307="WTI Sprds",S307="Brent Sprds",S307="WTI-Brent",S307="DFL"),INDEX(INDIRECT("'" &amp; S307 &amp; "'!$A$6:$XFD$1048576"),MATCH('PnL26'!$P$1,INDIRECT("'" &amp; S307 &amp; "'!$A$6:$A$1048576"),0),MATCH(EOMONTH(I307,0),INDIRECT("'" &amp; S307 &amp; "'!$A$4:$XFD$4"),0)),INDEX(BBG!$A:$BA,MATCH('PnL26'!$P$1,BBG!$A:$A,0),MATCH($I307,BBG!$A$4:$BA$4,0))-INDEX(BBG!$A:$BA,MATCH('PnL26'!$P$1,BBG!$A:$A,0),MATCH($J307,BBG!$A$4:$BA$4,0)))</f>
        <v>-5.46</v>
      </c>
      <c r="M307" s="9">
        <f t="shared" ca="1" si="344"/>
        <v>41.99999999999973</v>
      </c>
      <c r="N307">
        <f t="shared" si="338"/>
        <v>3780.0000000000005</v>
      </c>
      <c r="O307" s="14" t="str">
        <f t="shared" si="339"/>
        <v>Apr 26</v>
      </c>
      <c r="P307" s="8" t="str">
        <f t="shared" si="340"/>
        <v>Sell</v>
      </c>
      <c r="Q307">
        <f t="shared" ca="1" si="341"/>
        <v>3822</v>
      </c>
      <c r="R307" t="str">
        <f>VLOOKUP(F307,Control!$B:$C,2,FALSE)</f>
        <v>Swaps</v>
      </c>
      <c r="S307" t="str">
        <f>VLOOKUP(F307,Control!$B:$D,3,FALSE)</f>
        <v>WTI-Brent</v>
      </c>
      <c r="T307" s="38">
        <f t="shared" si="342"/>
        <v>2026</v>
      </c>
      <c r="U307" s="240" t="str">
        <f t="shared" si="343"/>
        <v>Sell</v>
      </c>
      <c r="V307" t="s">
        <v>96</v>
      </c>
      <c r="W307" t="str">
        <f>_xlfn.XLOOKUP(Table3[[#This Row],[Instrument]],Control!$B$2:$B$19,Control!$E$2:$E$19)</f>
        <v>WTI</v>
      </c>
      <c r="X307" s="14">
        <f>Table3[[#This Row],[Month1]]</f>
        <v>46142</v>
      </c>
      <c r="Y307" s="350">
        <f>Table3[[#This Row],[Quantity]]</f>
        <v>-700</v>
      </c>
      <c r="Z307" t="str">
        <f>_xlfn.XLOOKUP(Table3[[#This Row],[Instrument]],Control!$B$2:$B$19,Control!$F$2:$F$19)</f>
        <v>Brent</v>
      </c>
      <c r="AA307" s="14">
        <f>Table3[[#This Row],[Month2]]</f>
        <v>46142</v>
      </c>
      <c r="AB307" s="350">
        <f t="shared" si="268"/>
        <v>700</v>
      </c>
    </row>
    <row r="308" spans="4:28" ht="15" hidden="1" thickBot="1" x14ac:dyDescent="0.4">
      <c r="D308" t="s">
        <v>1732</v>
      </c>
      <c r="E308" s="174">
        <v>46078</v>
      </c>
      <c r="F308" s="47" t="s">
        <v>36</v>
      </c>
      <c r="G308" s="4" t="s">
        <v>268</v>
      </c>
      <c r="H308" s="253">
        <v>-700</v>
      </c>
      <c r="I308" s="172">
        <v>46112</v>
      </c>
      <c r="J308" s="172">
        <v>46142</v>
      </c>
      <c r="K308" s="212">
        <v>263</v>
      </c>
      <c r="L308" s="314">
        <f>AVERAGE(VLOOKUP(I308,[2]USG!$O$45:$S$100,MATCH(F308,[2]USG!$O$46:$S$46,0),FALSE),VLOOKUP(J308,[2]USG!$O$45:$S$100,MATCH(F308,[2]USG!$O$46:$S$46,0),FALSE))</f>
        <v>471.25</v>
      </c>
      <c r="M308" s="25">
        <f>IF(Table3[[#This Row],[Quantity]]&gt;0,-21.47*70*(Table3[[#This Row],[Price]]-Table3[[#This Row],[Mtm]])/100,21.47*70*(Table3[[#This Row],[Price]]-Table3[[#This Row],[Mtm]])/100)</f>
        <v>-3129.7892499999998</v>
      </c>
      <c r="N308">
        <f t="shared" si="338"/>
        <v>-184100</v>
      </c>
      <c r="O308" s="14" t="str">
        <f>O304</f>
        <v>Mar 26</v>
      </c>
      <c r="P308" s="8" t="str">
        <f t="shared" si="340"/>
        <v>Sell</v>
      </c>
      <c r="Q308">
        <f t="shared" si="341"/>
        <v>-329875</v>
      </c>
      <c r="R308" t="str">
        <f>VLOOKUP(F308,Control!$B:$C,2,FALSE)</f>
        <v>Freight</v>
      </c>
      <c r="S308" t="str">
        <f>VLOOKUP(F308,Control!$B:$D,3,FALSE)</f>
        <v>Freight</v>
      </c>
      <c r="T308" s="38">
        <f t="shared" si="342"/>
        <v>2026</v>
      </c>
      <c r="U308" s="240" t="str">
        <f t="shared" si="343"/>
        <v>Sell</v>
      </c>
      <c r="V308" t="s">
        <v>96</v>
      </c>
      <c r="W308" t="e">
        <f>_xlfn.XLOOKUP(Table3[[#This Row],[Instrument]],Control!$B$2:$B$19,Control!$E$2:$E$19)</f>
        <v>#N/A</v>
      </c>
      <c r="X308" s="14">
        <f>Table3[[#This Row],[Month1]]</f>
        <v>46112</v>
      </c>
      <c r="Y308" s="350">
        <f>Table3[[#This Row],[Quantity]]</f>
        <v>-700</v>
      </c>
      <c r="Z308" t="e">
        <f>_xlfn.XLOOKUP(Table3[[#This Row],[Instrument]],Control!$B$2:$B$19,Control!$F$2:$F$19)</f>
        <v>#N/A</v>
      </c>
      <c r="AA308" s="14">
        <f>Table3[[#This Row],[Month2]]</f>
        <v>46142</v>
      </c>
      <c r="AB308" s="350">
        <f t="shared" si="268"/>
        <v>700</v>
      </c>
    </row>
    <row r="309" spans="4:28" ht="15" hidden="1" thickBot="1" x14ac:dyDescent="0.4">
      <c r="D309" t="s">
        <v>1732</v>
      </c>
      <c r="E309" s="174">
        <v>46078</v>
      </c>
      <c r="F309" s="47" t="s">
        <v>36</v>
      </c>
      <c r="G309" s="4" t="s">
        <v>128</v>
      </c>
      <c r="H309" s="253">
        <v>700</v>
      </c>
      <c r="I309" s="172">
        <v>46112</v>
      </c>
      <c r="J309" s="172">
        <v>46142</v>
      </c>
      <c r="K309" s="212">
        <v>350</v>
      </c>
      <c r="L309" s="314">
        <f>AVERAGE(VLOOKUP(I309,[2]USG!$O$45:$S$100,MATCH(F309,[2]USG!$O$46:$S$46,0),FALSE),VLOOKUP(J309,[2]USG!$O$45:$S$100,MATCH(F309,[2]USG!$O$46:$S$46,0),FALSE))</f>
        <v>471.25</v>
      </c>
      <c r="M309" s="25">
        <f>IF(Table3[[#This Row],[Quantity]]&gt;0,-21.47*70*(Table3[[#This Row],[Price]]-Table3[[#This Row],[Mtm]])/100,21.47*70*(Table3[[#This Row],[Price]]-Table3[[#This Row],[Mtm]])/100)</f>
        <v>1822.2662499999997</v>
      </c>
      <c r="N309">
        <f t="shared" ref="N309" si="345">H309*K309</f>
        <v>245000</v>
      </c>
      <c r="O309" s="14" t="s">
        <v>104</v>
      </c>
      <c r="P309" s="8" t="str">
        <f t="shared" ref="P309" si="346">IF(H309&lt;0,"Sell","Buy")</f>
        <v>Buy</v>
      </c>
      <c r="Q309">
        <f t="shared" ref="Q309" si="347">H309*L309</f>
        <v>329875</v>
      </c>
      <c r="R309" t="str">
        <f>VLOOKUP(F309,Control!$B:$C,2,FALSE)</f>
        <v>Freight</v>
      </c>
      <c r="S309" t="str">
        <f>VLOOKUP(F309,Control!$B:$D,3,FALSE)</f>
        <v>Freight</v>
      </c>
      <c r="T309" s="38">
        <f t="shared" ref="T309" si="348">YEAR(I309)</f>
        <v>2026</v>
      </c>
      <c r="U309" s="240" t="str">
        <f t="shared" ref="U309" si="349">IFERROR(IF(H309&gt;0,"Buy","Sell"),"")</f>
        <v>Buy</v>
      </c>
      <c r="V309" t="s">
        <v>96</v>
      </c>
      <c r="W309" t="e">
        <f>_xlfn.XLOOKUP(Table3[[#This Row],[Instrument]],Control!$B$2:$B$19,Control!$E$2:$E$19)</f>
        <v>#N/A</v>
      </c>
      <c r="X309" s="14">
        <f>Table3[[#This Row],[Month1]]</f>
        <v>46112</v>
      </c>
      <c r="Y309" s="350">
        <f>Table3[[#This Row],[Quantity]]</f>
        <v>700</v>
      </c>
      <c r="Z309" t="e">
        <f>_xlfn.XLOOKUP(Table3[[#This Row],[Instrument]],Control!$B$2:$B$19,Control!$F$2:$F$19)</f>
        <v>#N/A</v>
      </c>
      <c r="AA309" s="14">
        <f>Table3[[#This Row],[Month2]]</f>
        <v>46142</v>
      </c>
      <c r="AB309" s="350">
        <f t="shared" si="268"/>
        <v>-700</v>
      </c>
    </row>
    <row r="310" spans="4:28" ht="15" hidden="1" thickBot="1" x14ac:dyDescent="0.4">
      <c r="D310" t="s">
        <v>1732</v>
      </c>
      <c r="E310" s="174">
        <v>46078</v>
      </c>
      <c r="F310" s="375" t="s">
        <v>39</v>
      </c>
      <c r="G310" s="4" t="s">
        <v>268</v>
      </c>
      <c r="H310" s="253">
        <v>700</v>
      </c>
      <c r="I310" s="172">
        <v>46142</v>
      </c>
      <c r="J310" s="172">
        <v>46142</v>
      </c>
      <c r="K310" s="212">
        <v>155</v>
      </c>
      <c r="L310" s="314">
        <f>Dated!$M$31</f>
        <v>313.25</v>
      </c>
      <c r="M310" s="9">
        <f>7.25*86.7*(Table3[[#This Row],[Mtm]]-Table3[[#This Row],[Price]])/100</f>
        <v>994.71993750000013</v>
      </c>
      <c r="N310">
        <f t="shared" si="338"/>
        <v>108500</v>
      </c>
      <c r="O310" s="14" t="str">
        <f t="shared" si="339"/>
        <v>Apr 26</v>
      </c>
      <c r="P310" s="8" t="str">
        <f t="shared" si="340"/>
        <v>Buy</v>
      </c>
      <c r="Q310">
        <f t="shared" si="341"/>
        <v>219275</v>
      </c>
      <c r="R310" t="str">
        <f>VLOOKUP(F310,Control!$B:$C,2,FALSE)</f>
        <v>Freight</v>
      </c>
      <c r="S310" t="str">
        <f>VLOOKUP(F310,Control!$B:$D,3,FALSE)</f>
        <v>Freight</v>
      </c>
      <c r="T310" s="38">
        <f t="shared" si="342"/>
        <v>2026</v>
      </c>
      <c r="U310" s="240" t="str">
        <f t="shared" si="343"/>
        <v>Buy</v>
      </c>
      <c r="V310" t="s">
        <v>96</v>
      </c>
      <c r="W310" t="e">
        <f>_xlfn.XLOOKUP(Table3[[#This Row],[Instrument]],Control!$B$2:$B$19,Control!$E$2:$E$19)</f>
        <v>#N/A</v>
      </c>
      <c r="X310" s="14">
        <f>Table3[[#This Row],[Month1]]</f>
        <v>46142</v>
      </c>
      <c r="Y310" s="350">
        <f>Table3[[#This Row],[Quantity]]</f>
        <v>700</v>
      </c>
      <c r="Z310" t="e">
        <f>_xlfn.XLOOKUP(Table3[[#This Row],[Instrument]],Control!$B$2:$B$19,Control!$F$2:$F$19)</f>
        <v>#N/A</v>
      </c>
      <c r="AA310" s="14">
        <f>Table3[[#This Row],[Month2]]</f>
        <v>46142</v>
      </c>
      <c r="AB310" s="350">
        <f t="shared" si="268"/>
        <v>-700</v>
      </c>
    </row>
    <row r="311" spans="4:28" ht="15" hidden="1" thickBot="1" x14ac:dyDescent="0.4">
      <c r="D311" t="s">
        <v>127</v>
      </c>
      <c r="E311" s="174">
        <v>46079</v>
      </c>
      <c r="F311" s="10" t="s">
        <v>10</v>
      </c>
      <c r="G311" s="4" t="s">
        <v>128</v>
      </c>
      <c r="H311" s="253">
        <v>456</v>
      </c>
      <c r="I311" s="172">
        <v>46142</v>
      </c>
      <c r="J311" s="172">
        <v>46142</v>
      </c>
      <c r="K311" s="100">
        <v>-5.54</v>
      </c>
      <c r="L311" s="7">
        <f ca="1">IF(OR(S311="WTI Sprds",S311="Brent Sprds",S311="WTI-Brent",S311="DFL"),INDEX(INDIRECT("'" &amp; S311 &amp; "'!$A$6:$XFD$1048576"),MATCH('PnL26'!$P$1,INDIRECT("'" &amp; S311 &amp; "'!$A$6:$A$1048576"),0),MATCH(EOMONTH(I311,0),INDIRECT("'" &amp; S311 &amp; "'!$A$4:$XFD$4"),0)),INDEX(BBG!$A:$BA,MATCH('PnL26'!$P$1,BBG!$A:$A,0),MATCH($I311,BBG!$A$4:$BA$4,0))-INDEX(BBG!$A:$BA,MATCH('PnL26'!$P$1,BBG!$A:$A,0),MATCH($J311,BBG!$A$4:$BA$4,0)))</f>
        <v>-5.46</v>
      </c>
      <c r="M311" s="9">
        <f t="shared" ref="M311" ca="1" si="350">IFERROR((L311-K311)*H311,"")</f>
        <v>36.480000000000032</v>
      </c>
      <c r="N311">
        <f t="shared" ref="N311" si="351">H311*K311</f>
        <v>-2526.2400000000002</v>
      </c>
      <c r="O311" s="14" t="str">
        <f t="shared" ref="O311" si="352">IF(I311=J311,TEXT(I311,"MMM YY"),TEXT(I311,"MMM")&amp;"/"&amp;TEXT(J311,"MMM")&amp;" "&amp;RIGHT(T311,2))</f>
        <v>Apr 26</v>
      </c>
      <c r="P311" s="8" t="str">
        <f t="shared" ref="P311" si="353">IF(H311&lt;0,"Sell","Buy")</f>
        <v>Buy</v>
      </c>
      <c r="Q311">
        <f t="shared" ref="Q311" ca="1" si="354">H311*L311</f>
        <v>-2489.7599999999998</v>
      </c>
      <c r="R311" t="str">
        <f>VLOOKUP(F311,Control!$B:$C,2,FALSE)</f>
        <v>Swaps</v>
      </c>
      <c r="S311" t="str">
        <f>VLOOKUP(F311,Control!$B:$D,3,FALSE)</f>
        <v>WTI-Brent</v>
      </c>
      <c r="T311" s="38">
        <f t="shared" ref="T311" si="355">YEAR(I311)</f>
        <v>2026</v>
      </c>
      <c r="U311" t="str">
        <f t="shared" ref="U311" si="356">IFERROR(IF(H311&gt;0,"Buy","Sell"),"")</f>
        <v>Buy</v>
      </c>
      <c r="V311" t="s">
        <v>96</v>
      </c>
      <c r="W311" t="str">
        <f>_xlfn.XLOOKUP(Table3[[#This Row],[Instrument]],Control!$B$2:$B$19,Control!$E$2:$E$19)</f>
        <v>WTI</v>
      </c>
      <c r="X311" s="14">
        <f>Table3[[#This Row],[Month1]]</f>
        <v>46142</v>
      </c>
      <c r="Y311" s="350">
        <f>Table3[[#This Row],[Quantity]]</f>
        <v>456</v>
      </c>
      <c r="Z311" t="str">
        <f>_xlfn.XLOOKUP(Table3[[#This Row],[Instrument]],Control!$B$2:$B$19,Control!$F$2:$F$19)</f>
        <v>Brent</v>
      </c>
      <c r="AA311" s="14">
        <f>Table3[[#This Row],[Month2]]</f>
        <v>46142</v>
      </c>
      <c r="AB311" s="350">
        <f t="shared" si="268"/>
        <v>-456</v>
      </c>
    </row>
    <row r="312" spans="4:28" ht="15" hidden="1" thickBot="1" x14ac:dyDescent="0.4">
      <c r="D312" t="s">
        <v>127</v>
      </c>
      <c r="E312" s="174">
        <v>46079</v>
      </c>
      <c r="F312" s="10" t="s">
        <v>10</v>
      </c>
      <c r="G312" s="4" t="s">
        <v>128</v>
      </c>
      <c r="H312" s="253">
        <v>-456</v>
      </c>
      <c r="I312" s="172">
        <v>46173</v>
      </c>
      <c r="J312" s="172">
        <v>46173</v>
      </c>
      <c r="K312" s="100">
        <v>-5.73</v>
      </c>
      <c r="L312" s="7">
        <f ca="1">IF(OR(S312="WTI Sprds",S312="Brent Sprds",S312="WTI-Brent",S312="DFL"),INDEX(INDIRECT("'" &amp; S312 &amp; "'!$A$6:$XFD$1048576"),MATCH('PnL26'!$P$1,INDIRECT("'" &amp; S312 &amp; "'!$A$6:$A$1048576"),0),MATCH(EOMONTH(I312,0),INDIRECT("'" &amp; S312 &amp; "'!$A$4:$XFD$4"),0)),INDEX(BBG!$A:$BA,MATCH('PnL26'!$P$1,BBG!$A:$A,0),MATCH($I312,BBG!$A$4:$BA$4,0))-INDEX(BBG!$A:$BA,MATCH('PnL26'!$P$1,BBG!$A:$A,0),MATCH($J312,BBG!$A$4:$BA$4,0)))</f>
        <v>-16.97</v>
      </c>
      <c r="M312" s="9">
        <f t="shared" ref="M312" ca="1" si="357">IFERROR((L312-K312)*H312,"")</f>
        <v>5125.4399999999996</v>
      </c>
      <c r="N312">
        <f t="shared" ref="N312" si="358">H312*K312</f>
        <v>2612.88</v>
      </c>
      <c r="O312" s="14" t="str">
        <f t="shared" ref="O312" si="359">IF(I312=J312,TEXT(I312,"MMM YY"),TEXT(I312,"MMM")&amp;"/"&amp;TEXT(J312,"MMM")&amp;" "&amp;RIGHT(T312,2))</f>
        <v>May 26</v>
      </c>
      <c r="P312" s="8" t="str">
        <f t="shared" ref="P312" si="360">IF(H312&lt;0,"Sell","Buy")</f>
        <v>Sell</v>
      </c>
      <c r="Q312">
        <f t="shared" ref="Q312" ca="1" si="361">H312*L312</f>
        <v>7738.32</v>
      </c>
      <c r="R312" t="str">
        <f>VLOOKUP(F312,Control!$B:$C,2,FALSE)</f>
        <v>Swaps</v>
      </c>
      <c r="S312" t="str">
        <f>VLOOKUP(F312,Control!$B:$D,3,FALSE)</f>
        <v>WTI-Brent</v>
      </c>
      <c r="T312" s="38">
        <f t="shared" ref="T312" si="362">YEAR(I312)</f>
        <v>2026</v>
      </c>
      <c r="U312" t="str">
        <f t="shared" ref="U312" si="363">IFERROR(IF(H312&gt;0,"Buy","Sell"),"")</f>
        <v>Sell</v>
      </c>
      <c r="V312" t="s">
        <v>96</v>
      </c>
      <c r="W312" t="str">
        <f>_xlfn.XLOOKUP(Table3[[#This Row],[Instrument]],Control!$B$2:$B$19,Control!$E$2:$E$19)</f>
        <v>WTI</v>
      </c>
      <c r="X312" s="14">
        <f>Table3[[#This Row],[Month1]]</f>
        <v>46173</v>
      </c>
      <c r="Y312" s="350">
        <f>Table3[[#This Row],[Quantity]]</f>
        <v>-456</v>
      </c>
      <c r="Z312" t="str">
        <f>_xlfn.XLOOKUP(Table3[[#This Row],[Instrument]],Control!$B$2:$B$19,Control!$F$2:$F$19)</f>
        <v>Brent</v>
      </c>
      <c r="AA312" s="14">
        <f>Table3[[#This Row],[Month2]]</f>
        <v>46173</v>
      </c>
      <c r="AB312" s="350">
        <f t="shared" si="268"/>
        <v>456</v>
      </c>
    </row>
    <row r="313" spans="4:28" ht="15" hidden="1" thickBot="1" x14ac:dyDescent="0.4">
      <c r="D313" t="s">
        <v>1732</v>
      </c>
      <c r="E313" s="174">
        <v>46079</v>
      </c>
      <c r="F313" s="10" t="s">
        <v>10</v>
      </c>
      <c r="G313" s="4" t="s">
        <v>128</v>
      </c>
      <c r="H313" s="253">
        <v>700</v>
      </c>
      <c r="I313" s="172">
        <v>46142</v>
      </c>
      <c r="J313" s="172">
        <v>46142</v>
      </c>
      <c r="K313" s="100">
        <v>-5.54</v>
      </c>
      <c r="L313" s="7">
        <f ca="1">IF(OR(S313="WTI Sprds",S313="Brent Sprds",S313="WTI-Brent",S313="DFL"),INDEX(INDIRECT("'" &amp; S313 &amp; "'!$A$6:$XFD$1048576"),MATCH('PnL26'!$P$1,INDIRECT("'" &amp; S313 &amp; "'!$A$6:$A$1048576"),0),MATCH(EOMONTH(I313,0),INDIRECT("'" &amp; S313 &amp; "'!$A$4:$XFD$4"),0)),INDEX(BBG!$A:$BA,MATCH('PnL26'!$P$1,BBG!$A:$A,0),MATCH($I313,BBG!$A$4:$BA$4,0))-INDEX(BBG!$A:$BA,MATCH('PnL26'!$P$1,BBG!$A:$A,0),MATCH($J313,BBG!$A$4:$BA$4,0)))</f>
        <v>-5.46</v>
      </c>
      <c r="M313" s="9">
        <f t="shared" ref="M313:M321" ca="1" si="364">IFERROR((L313-K313)*H313,"")</f>
        <v>56.00000000000005</v>
      </c>
      <c r="N313">
        <f t="shared" ref="N313:N321" si="365">H313*K313</f>
        <v>-3878</v>
      </c>
      <c r="O313" s="14" t="str">
        <f t="shared" ref="O313:O324" si="366">IF(I313=J313,TEXT(I313,"MMM YY"),TEXT(I313,"MMM")&amp;"/"&amp;TEXT(J313,"MMM")&amp;" "&amp;RIGHT(T313,2))</f>
        <v>Apr 26</v>
      </c>
      <c r="P313" s="8" t="str">
        <f t="shared" ref="P313:P324" si="367">IF(H313&lt;0,"Sell","Buy")</f>
        <v>Buy</v>
      </c>
      <c r="Q313">
        <f t="shared" ref="Q313:Q324" ca="1" si="368">H313*L313</f>
        <v>-3822</v>
      </c>
      <c r="R313" t="str">
        <f>VLOOKUP(F313,Control!$B:$C,2,FALSE)</f>
        <v>Swaps</v>
      </c>
      <c r="S313" t="str">
        <f>VLOOKUP(F313,Control!$B:$D,3,FALSE)</f>
        <v>WTI-Brent</v>
      </c>
      <c r="T313" s="38">
        <f t="shared" ref="T313:T324" si="369">YEAR(I313)</f>
        <v>2026</v>
      </c>
      <c r="U313" t="str">
        <f t="shared" ref="U313:U324" si="370">IFERROR(IF(H313&gt;0,"Buy","Sell"),"")</f>
        <v>Buy</v>
      </c>
      <c r="V313" t="s">
        <v>96</v>
      </c>
      <c r="W313" t="str">
        <f>_xlfn.XLOOKUP(Table3[[#This Row],[Instrument]],Control!$B$2:$B$19,Control!$E$2:$E$19)</f>
        <v>WTI</v>
      </c>
      <c r="X313" s="14">
        <f>Table3[[#This Row],[Month1]]</f>
        <v>46142</v>
      </c>
      <c r="Y313" s="350">
        <f>Table3[[#This Row],[Quantity]]</f>
        <v>700</v>
      </c>
      <c r="Z313" t="str">
        <f>_xlfn.XLOOKUP(Table3[[#This Row],[Instrument]],Control!$B$2:$B$19,Control!$F$2:$F$19)</f>
        <v>Brent</v>
      </c>
      <c r="AA313" s="14">
        <f>Table3[[#This Row],[Month2]]</f>
        <v>46142</v>
      </c>
      <c r="AB313" s="350">
        <f t="shared" si="268"/>
        <v>-700</v>
      </c>
    </row>
    <row r="314" spans="4:28" ht="15" hidden="1" thickBot="1" x14ac:dyDescent="0.4">
      <c r="D314" t="s">
        <v>127</v>
      </c>
      <c r="E314" s="174">
        <v>46079</v>
      </c>
      <c r="F314" s="10" t="s">
        <v>7</v>
      </c>
      <c r="G314" s="4" t="s">
        <v>128</v>
      </c>
      <c r="H314" s="253">
        <v>-18</v>
      </c>
      <c r="I314" s="172">
        <v>46142</v>
      </c>
      <c r="J314" s="172">
        <v>46173</v>
      </c>
      <c r="K314" s="100">
        <v>-0.09</v>
      </c>
      <c r="L314" s="7">
        <f ca="1">IF(OR(S314="WTI Sprds",S314="Brent Sprds",S314="WTI-Brent",S314="DFL"),INDEX(INDIRECT("'" &amp; S314 &amp; "'!$A$6:$XFD$1048576"),MATCH('PnL26'!$P$1,INDIRECT("'" &amp; S314 &amp; "'!$A$6:$A$1048576"),0),MATCH(EOMONTH(I314,0),INDIRECT("'" &amp; S314 &amp; "'!$A$4:$XFD$4"),0)),INDEX(BBG!$A:$BA,MATCH('PnL26'!$P$1,BBG!$A:$A,0),MATCH($I314,BBG!$A$4:$BA$4,0))-INDEX(BBG!$A:$BA,MATCH('PnL26'!$P$1,BBG!$A:$A,0),MATCH($J314,BBG!$A$4:$BA$4,0)))</f>
        <v>-0.39</v>
      </c>
      <c r="M314" s="9">
        <f t="shared" ca="1" si="364"/>
        <v>5.4</v>
      </c>
      <c r="N314">
        <f t="shared" si="365"/>
        <v>1.6199999999999999</v>
      </c>
      <c r="O314" s="14" t="str">
        <f t="shared" si="366"/>
        <v>Apr/May 26</v>
      </c>
      <c r="P314" s="8" t="str">
        <f t="shared" si="367"/>
        <v>Sell</v>
      </c>
      <c r="Q314">
        <f t="shared" ca="1" si="368"/>
        <v>7.0200000000000005</v>
      </c>
      <c r="R314" t="str">
        <f>VLOOKUP(F314,Control!$B:$C,2,FALSE)</f>
        <v>Futures</v>
      </c>
      <c r="S314" t="str">
        <f>VLOOKUP(F314,Control!$B:$D,3,FALSE)</f>
        <v>Brent Sprds</v>
      </c>
      <c r="T314" s="38">
        <f t="shared" si="369"/>
        <v>2026</v>
      </c>
      <c r="U314" t="str">
        <f t="shared" si="370"/>
        <v>Sell</v>
      </c>
      <c r="V314" t="s">
        <v>96</v>
      </c>
      <c r="W314" t="str">
        <f>_xlfn.XLOOKUP(Table3[[#This Row],[Instrument]],Control!$B$2:$B$19,Control!$E$2:$E$19)</f>
        <v>Brent</v>
      </c>
      <c r="X314" s="14">
        <f>Table3[[#This Row],[Month1]]</f>
        <v>46142</v>
      </c>
      <c r="Y314" s="350">
        <f>Table3[[#This Row],[Quantity]]</f>
        <v>-18</v>
      </c>
      <c r="Z314" t="str">
        <f>_xlfn.XLOOKUP(Table3[[#This Row],[Instrument]],Control!$B$2:$B$19,Control!$F$2:$F$19)</f>
        <v>Brent</v>
      </c>
      <c r="AA314" s="14">
        <f>Table3[[#This Row],[Month2]]</f>
        <v>46173</v>
      </c>
      <c r="AB314" s="350">
        <f t="shared" si="268"/>
        <v>18</v>
      </c>
    </row>
    <row r="315" spans="4:28" ht="15" hidden="1" thickBot="1" x14ac:dyDescent="0.4">
      <c r="D315" t="s">
        <v>127</v>
      </c>
      <c r="E315" s="174">
        <v>46079</v>
      </c>
      <c r="F315" s="10" t="s">
        <v>3</v>
      </c>
      <c r="G315" s="4" t="s">
        <v>128</v>
      </c>
      <c r="H315" s="253">
        <v>531</v>
      </c>
      <c r="I315" s="172">
        <v>46142</v>
      </c>
      <c r="J315" s="172">
        <f>EOMONTH(Table3[[#This Row],[Month1]],1)</f>
        <v>46173</v>
      </c>
      <c r="K315" s="100">
        <v>0.1</v>
      </c>
      <c r="L315" s="7">
        <f ca="1">IF(OR(S315="WTI Sprds",S315="Brent Sprds",S315="WTI-Brent",S315="DFL"),INDEX(INDIRECT("'" &amp; S315 &amp; "'!$A$6:$XFD$1048576"),MATCH('PnL26'!$P$1,INDIRECT("'" &amp; S315 &amp; "'!$A$6:$A$1048576"),0),MATCH(EOMONTH(I315,0),INDIRECT("'" &amp; S315 &amp; "'!$A$4:$XFD$4"),0)),INDEX(BBG!$A:$BA,MATCH('PnL26'!$P$1,BBG!$A:$A,0),MATCH($I315,BBG!$A$4:$BA$4,0))-INDEX(BBG!$A:$BA,MATCH('PnL26'!$P$1,BBG!$A:$A,0),MATCH($J315,BBG!$A$4:$BA$4,0)))</f>
        <v>0.59</v>
      </c>
      <c r="M315" s="9">
        <f t="shared" ca="1" si="364"/>
        <v>260.19</v>
      </c>
      <c r="N315">
        <f t="shared" si="365"/>
        <v>53.1</v>
      </c>
      <c r="O315" s="14" t="str">
        <f t="shared" si="366"/>
        <v>Apr/May 26</v>
      </c>
      <c r="P315" s="8" t="str">
        <f t="shared" si="367"/>
        <v>Buy</v>
      </c>
      <c r="Q315">
        <f t="shared" ca="1" si="368"/>
        <v>313.28999999999996</v>
      </c>
      <c r="R315" t="str">
        <f>VLOOKUP(F315,Control!$B:$C,2,FALSE)</f>
        <v>Futures</v>
      </c>
      <c r="S315" t="str">
        <f>VLOOKUP(F315,Control!$B:$D,3,FALSE)</f>
        <v>WTI Sprds</v>
      </c>
      <c r="T315" s="38">
        <f t="shared" si="369"/>
        <v>2026</v>
      </c>
      <c r="U315" t="str">
        <f t="shared" si="370"/>
        <v>Buy</v>
      </c>
      <c r="V315" t="s">
        <v>96</v>
      </c>
      <c r="W315" t="str">
        <f>_xlfn.XLOOKUP(Table3[[#This Row],[Instrument]],Control!$B$2:$B$19,Control!$E$2:$E$19)</f>
        <v>WTI</v>
      </c>
      <c r="X315" s="14">
        <f>Table3[[#This Row],[Month1]]</f>
        <v>46142</v>
      </c>
      <c r="Y315" s="350">
        <f>Table3[[#This Row],[Quantity]]</f>
        <v>531</v>
      </c>
      <c r="Z315" t="str">
        <f>_xlfn.XLOOKUP(Table3[[#This Row],[Instrument]],Control!$B$2:$B$19,Control!$F$2:$F$19)</f>
        <v>WTI</v>
      </c>
      <c r="AA315" s="14">
        <f>Table3[[#This Row],[Month2]]</f>
        <v>46173</v>
      </c>
      <c r="AB315" s="350">
        <f t="shared" si="268"/>
        <v>-531</v>
      </c>
    </row>
    <row r="316" spans="4:28" ht="15" hidden="1" thickBot="1" x14ac:dyDescent="0.4">
      <c r="D316" t="s">
        <v>127</v>
      </c>
      <c r="E316" s="174">
        <v>46079</v>
      </c>
      <c r="F316" s="10" t="s">
        <v>3</v>
      </c>
      <c r="G316" s="4" t="s">
        <v>128</v>
      </c>
      <c r="H316" s="253">
        <v>531</v>
      </c>
      <c r="I316" s="172">
        <v>46173</v>
      </c>
      <c r="J316" s="172">
        <f>EOMONTH(Table3[[#This Row],[Month1]],1)</f>
        <v>46203</v>
      </c>
      <c r="K316" s="100">
        <v>0.25</v>
      </c>
      <c r="L316" s="7">
        <f ca="1">IF(OR(S316="WTI Sprds",S316="Brent Sprds",S316="WTI-Brent",S316="DFL"),INDEX(INDIRECT("'" &amp; S316 &amp; "'!$A$6:$XFD$1048576"),MATCH('PnL26'!$P$1,INDIRECT("'" &amp; S316 &amp; "'!$A$6:$A$1048576"),0),MATCH(EOMONTH(I316,0),INDIRECT("'" &amp; S316 &amp; "'!$A$4:$XFD$4"),0)),INDEX(BBG!$A:$BA,MATCH('PnL26'!$P$1,BBG!$A:$A,0),MATCH($I316,BBG!$A$4:$BA$4,0))-INDEX(BBG!$A:$BA,MATCH('PnL26'!$P$1,BBG!$A:$A,0),MATCH($J316,BBG!$A$4:$BA$4,0)))</f>
        <v>2.19</v>
      </c>
      <c r="M316" s="9">
        <f t="shared" ca="1" si="364"/>
        <v>1030.1399999999999</v>
      </c>
      <c r="N316">
        <f t="shared" si="365"/>
        <v>132.75</v>
      </c>
      <c r="O316" s="14" t="str">
        <f t="shared" si="366"/>
        <v>May/Jun 26</v>
      </c>
      <c r="P316" s="8" t="str">
        <f t="shared" si="367"/>
        <v>Buy</v>
      </c>
      <c r="Q316">
        <f t="shared" ca="1" si="368"/>
        <v>1162.8899999999999</v>
      </c>
      <c r="R316" t="str">
        <f>VLOOKUP(F316,Control!$B:$C,2,FALSE)</f>
        <v>Futures</v>
      </c>
      <c r="S316" t="str">
        <f>VLOOKUP(F316,Control!$B:$D,3,FALSE)</f>
        <v>WTI Sprds</v>
      </c>
      <c r="T316" s="38">
        <f t="shared" si="369"/>
        <v>2026</v>
      </c>
      <c r="U316" t="str">
        <f t="shared" si="370"/>
        <v>Buy</v>
      </c>
      <c r="V316" t="s">
        <v>96</v>
      </c>
      <c r="W316" t="str">
        <f>_xlfn.XLOOKUP(Table3[[#This Row],[Instrument]],Control!$B$2:$B$19,Control!$E$2:$E$19)</f>
        <v>WTI</v>
      </c>
      <c r="X316" s="14">
        <f>Table3[[#This Row],[Month1]]</f>
        <v>46173</v>
      </c>
      <c r="Y316" s="350">
        <f>Table3[[#This Row],[Quantity]]</f>
        <v>531</v>
      </c>
      <c r="Z316" t="str">
        <f>_xlfn.XLOOKUP(Table3[[#This Row],[Instrument]],Control!$B$2:$B$19,Control!$F$2:$F$19)</f>
        <v>WTI</v>
      </c>
      <c r="AA316" s="14">
        <f>Table3[[#This Row],[Month2]]</f>
        <v>46203</v>
      </c>
      <c r="AB316" s="350">
        <f t="shared" si="268"/>
        <v>-531</v>
      </c>
    </row>
    <row r="317" spans="4:28" ht="15" hidden="1" thickBot="1" x14ac:dyDescent="0.4">
      <c r="D317" s="385" t="s">
        <v>1733</v>
      </c>
      <c r="E317" s="174">
        <v>46080</v>
      </c>
      <c r="F317" s="229" t="s">
        <v>19</v>
      </c>
      <c r="G317" s="380" t="s">
        <v>268</v>
      </c>
      <c r="H317" s="392">
        <v>2079</v>
      </c>
      <c r="I317" s="231">
        <v>46112</v>
      </c>
      <c r="J317" s="231">
        <v>46112</v>
      </c>
      <c r="K317" s="232">
        <f>'Cargo Econs 2026'!$L$63</f>
        <v>6.0920189995189986</v>
      </c>
      <c r="L317" s="315">
        <f>'Cargo Econs 2026'!$L$64</f>
        <v>6.09</v>
      </c>
      <c r="M317" s="234">
        <f t="shared" si="364"/>
        <v>-4.1974999999984099</v>
      </c>
      <c r="N317" s="227">
        <f t="shared" si="365"/>
        <v>12665.307499999999</v>
      </c>
      <c r="O317" s="235" t="str">
        <f t="shared" si="366"/>
        <v>Mar 26</v>
      </c>
      <c r="P317" s="236" t="str">
        <f t="shared" si="367"/>
        <v>Buy</v>
      </c>
      <c r="Q317" s="227">
        <f t="shared" si="368"/>
        <v>12661.11</v>
      </c>
      <c r="R317" s="227" t="str">
        <f>VLOOKUP(F317,Control!$B:$C,2,FALSE)</f>
        <v>Physical</v>
      </c>
      <c r="S317" s="227" t="str">
        <f>VLOOKUP(F317,Control!$B:$D,3,FALSE)</f>
        <v>Physical</v>
      </c>
      <c r="T317" s="38">
        <f t="shared" si="369"/>
        <v>2026</v>
      </c>
      <c r="U317" s="227" t="str">
        <f t="shared" si="370"/>
        <v>Buy</v>
      </c>
      <c r="V317" s="238" t="s">
        <v>96</v>
      </c>
      <c r="W317">
        <f>_xlfn.XLOOKUP(Table3[[#This Row],[Instrument]],Control!$B$2:$B$19,Control!$E$2:$E$19)</f>
        <v>0</v>
      </c>
      <c r="X317" s="14">
        <f>Table3[[#This Row],[Month1]]</f>
        <v>46112</v>
      </c>
      <c r="Y317" s="350">
        <f>Table3[[#This Row],[Quantity]]</f>
        <v>2079</v>
      </c>
      <c r="Z317">
        <f>_xlfn.XLOOKUP(Table3[[#This Row],[Instrument]],Control!$B$2:$B$19,Control!$F$2:$F$19)</f>
        <v>0</v>
      </c>
      <c r="AA317" s="14">
        <f>Table3[[#This Row],[Month2]]</f>
        <v>46112</v>
      </c>
      <c r="AB317" s="350">
        <f t="shared" si="268"/>
        <v>-2079</v>
      </c>
    </row>
    <row r="318" spans="4:28" ht="15" hidden="1" thickBot="1" x14ac:dyDescent="0.4">
      <c r="D318" s="239" t="s">
        <v>1733</v>
      </c>
      <c r="E318" s="174">
        <v>46080</v>
      </c>
      <c r="F318" s="10" t="s">
        <v>3</v>
      </c>
      <c r="G318" s="4" t="s">
        <v>268</v>
      </c>
      <c r="H318" s="253">
        <v>-2079</v>
      </c>
      <c r="I318" s="172">
        <v>46142</v>
      </c>
      <c r="J318" s="172">
        <f>EOMONTH(Table3[[#This Row],[Month1]],1)</f>
        <v>46173</v>
      </c>
      <c r="K318" s="212">
        <v>0.16</v>
      </c>
      <c r="L318" s="7">
        <f ca="1">IF(OR(S318="WTI Sprds",S318="Brent Sprds",S318="WTI-Brent",S318="DFL"),INDEX(INDIRECT("'" &amp; S318 &amp; "'!$A$6:$XFD$1048576"),MATCH('PnL26'!$P$1,INDIRECT("'" &amp; S318 &amp; "'!$A$6:$A$1048576"),0),MATCH(EOMONTH(I318,0),INDIRECT("'" &amp; S318 &amp; "'!$A$4:$XFD$4"),0)),INDEX(BBG!$A:$BA,MATCH('PnL26'!$P$1,BBG!$A:$A,0),MATCH($I318,BBG!$A$4:$BA$4,0))-INDEX(BBG!$A:$BA,MATCH('PnL26'!$P$1,BBG!$A:$A,0),MATCH($J318,BBG!$A$4:$BA$4,0)))</f>
        <v>0.59</v>
      </c>
      <c r="M318" s="9">
        <f t="shared" ca="1" si="364"/>
        <v>-893.96999999999991</v>
      </c>
      <c r="N318">
        <f t="shared" si="365"/>
        <v>-332.64</v>
      </c>
      <c r="O318" s="14" t="str">
        <f t="shared" si="366"/>
        <v>Apr/May 26</v>
      </c>
      <c r="P318" s="8" t="str">
        <f t="shared" si="367"/>
        <v>Sell</v>
      </c>
      <c r="Q318">
        <f t="shared" ca="1" si="368"/>
        <v>-1226.6099999999999</v>
      </c>
      <c r="R318" t="str">
        <f>VLOOKUP(F318,Control!$B:$C,2,FALSE)</f>
        <v>Futures</v>
      </c>
      <c r="S318" t="str">
        <f>VLOOKUP(F318,Control!$B:$D,3,FALSE)</f>
        <v>WTI Sprds</v>
      </c>
      <c r="T318" s="38">
        <f t="shared" si="369"/>
        <v>2026</v>
      </c>
      <c r="U318" t="str">
        <f t="shared" si="370"/>
        <v>Sell</v>
      </c>
      <c r="V318" s="240" t="s">
        <v>96</v>
      </c>
      <c r="W318" t="str">
        <f>_xlfn.XLOOKUP(Table3[[#This Row],[Instrument]],Control!$B$2:$B$19,Control!$E$2:$E$19)</f>
        <v>WTI</v>
      </c>
      <c r="X318" s="14">
        <f>Table3[[#This Row],[Month1]]</f>
        <v>46142</v>
      </c>
      <c r="Y318" s="350">
        <f>Table3[[#This Row],[Quantity]]</f>
        <v>-2079</v>
      </c>
      <c r="Z318" t="str">
        <f>_xlfn.XLOOKUP(Table3[[#This Row],[Instrument]],Control!$B$2:$B$19,Control!$F$2:$F$19)</f>
        <v>WTI</v>
      </c>
      <c r="AA318" s="14">
        <f>Table3[[#This Row],[Month2]]</f>
        <v>46173</v>
      </c>
      <c r="AB318" s="350">
        <f t="shared" si="268"/>
        <v>2079</v>
      </c>
    </row>
    <row r="319" spans="4:28" ht="15" hidden="1" thickBot="1" x14ac:dyDescent="0.4">
      <c r="D319" s="239" t="s">
        <v>1733</v>
      </c>
      <c r="E319" s="174">
        <v>46080</v>
      </c>
      <c r="F319" s="10" t="s">
        <v>3</v>
      </c>
      <c r="G319" s="4" t="s">
        <v>268</v>
      </c>
      <c r="H319" s="253">
        <f>-H317</f>
        <v>-2079</v>
      </c>
      <c r="I319" s="172">
        <f>J318</f>
        <v>46173</v>
      </c>
      <c r="J319" s="172">
        <f>EOMONTH(Table3[[#This Row],[Month1]],1)</f>
        <v>46203</v>
      </c>
      <c r="K319" s="212">
        <v>0.39</v>
      </c>
      <c r="L319" s="7">
        <f ca="1">IF(OR(S319="WTI Sprds",S319="Brent Sprds",S319="WTI-Brent",S319="DFL"),INDEX(INDIRECT("'" &amp; S319 &amp; "'!$A$6:$XFD$1048576"),MATCH('PnL26'!$P$1,INDIRECT("'" &amp; S319 &amp; "'!$A$6:$A$1048576"),0),MATCH(EOMONTH(I319,0),INDIRECT("'" &amp; S319 &amp; "'!$A$4:$XFD$4"),0)),INDEX(BBG!$A:$BA,MATCH('PnL26'!$P$1,BBG!$A:$A,0),MATCH($I319,BBG!$A$4:$BA$4,0))-INDEX(BBG!$A:$BA,MATCH('PnL26'!$P$1,BBG!$A:$A,0),MATCH($J319,BBG!$A$4:$BA$4,0)))</f>
        <v>2.19</v>
      </c>
      <c r="M319" s="9">
        <f t="shared" ca="1" si="364"/>
        <v>-3742.2</v>
      </c>
      <c r="N319">
        <f t="shared" si="365"/>
        <v>-810.81000000000006</v>
      </c>
      <c r="O319" s="14" t="str">
        <f t="shared" si="366"/>
        <v>May/Jun 26</v>
      </c>
      <c r="P319" s="8" t="str">
        <f t="shared" si="367"/>
        <v>Sell</v>
      </c>
      <c r="Q319">
        <f t="shared" ca="1" si="368"/>
        <v>-4553.01</v>
      </c>
      <c r="R319" t="str">
        <f>VLOOKUP(F319,Control!$B:$C,2,FALSE)</f>
        <v>Futures</v>
      </c>
      <c r="S319" t="str">
        <f>VLOOKUP(F319,Control!$B:$D,3,FALSE)</f>
        <v>WTI Sprds</v>
      </c>
      <c r="T319" s="38">
        <f t="shared" si="369"/>
        <v>2026</v>
      </c>
      <c r="U319" t="str">
        <f t="shared" si="370"/>
        <v>Sell</v>
      </c>
      <c r="V319" s="240" t="s">
        <v>96</v>
      </c>
      <c r="W319" t="str">
        <f>_xlfn.XLOOKUP(Table3[[#This Row],[Instrument]],Control!$B$2:$B$19,Control!$E$2:$E$19)</f>
        <v>WTI</v>
      </c>
      <c r="X319" s="14">
        <f>Table3[[#This Row],[Month1]]</f>
        <v>46173</v>
      </c>
      <c r="Y319" s="350">
        <f>Table3[[#This Row],[Quantity]]</f>
        <v>-2079</v>
      </c>
      <c r="Z319" t="str">
        <f>_xlfn.XLOOKUP(Table3[[#This Row],[Instrument]],Control!$B$2:$B$19,Control!$F$2:$F$19)</f>
        <v>WTI</v>
      </c>
      <c r="AA319" s="14">
        <f>Table3[[#This Row],[Month2]]</f>
        <v>46203</v>
      </c>
      <c r="AB319" s="350">
        <f t="shared" si="268"/>
        <v>2079</v>
      </c>
    </row>
    <row r="320" spans="4:28" ht="15" hidden="1" thickBot="1" x14ac:dyDescent="0.4">
      <c r="D320" s="239" t="s">
        <v>1733</v>
      </c>
      <c r="E320" s="174">
        <v>46080</v>
      </c>
      <c r="F320" s="10" t="s">
        <v>10</v>
      </c>
      <c r="G320" s="4" t="s">
        <v>268</v>
      </c>
      <c r="H320" s="253">
        <f>+H319</f>
        <v>-2079</v>
      </c>
      <c r="I320" s="172">
        <f>J319</f>
        <v>46203</v>
      </c>
      <c r="J320" s="172">
        <f>Table3[[#This Row],[Month1]]</f>
        <v>46203</v>
      </c>
      <c r="K320" s="212">
        <v>-5.8</v>
      </c>
      <c r="L320" s="7">
        <f ca="1">IF(OR(S320="WTI Sprds",S320="Brent Sprds",S320="WTI-Brent",S320="DFL"),INDEX(INDIRECT("'" &amp; S320 &amp; "'!$A$6:$XFD$1048576"),MATCH('PnL26'!$P$1,INDIRECT("'" &amp; S320 &amp; "'!$A$6:$A$1048576"),0),MATCH(EOMONTH(I320,0),INDIRECT("'" &amp; S320 &amp; "'!$A$4:$XFD$4"),0)),INDEX(BBG!$A:$BA,MATCH('PnL26'!$P$1,BBG!$A:$A,0),MATCH($I320,BBG!$A$4:$BA$4,0))-INDEX(BBG!$A:$BA,MATCH('PnL26'!$P$1,BBG!$A:$A,0),MATCH($J320,BBG!$A$4:$BA$4,0)))</f>
        <v>-8.94</v>
      </c>
      <c r="M320" s="9">
        <f t="shared" ca="1" si="364"/>
        <v>6528.0599999999995</v>
      </c>
      <c r="N320">
        <f t="shared" si="365"/>
        <v>12058.199999999999</v>
      </c>
      <c r="O320" s="14" t="str">
        <f t="shared" si="366"/>
        <v>Jun 26</v>
      </c>
      <c r="P320" s="8" t="str">
        <f t="shared" si="367"/>
        <v>Sell</v>
      </c>
      <c r="Q320">
        <f t="shared" ca="1" si="368"/>
        <v>18586.259999999998</v>
      </c>
      <c r="R320" t="str">
        <f>VLOOKUP(F320,Control!$B:$C,2,FALSE)</f>
        <v>Swaps</v>
      </c>
      <c r="S320" t="str">
        <f>VLOOKUP(F320,Control!$B:$D,3,FALSE)</f>
        <v>WTI-Brent</v>
      </c>
      <c r="T320" s="38">
        <f t="shared" si="369"/>
        <v>2026</v>
      </c>
      <c r="U320" t="str">
        <f t="shared" si="370"/>
        <v>Sell</v>
      </c>
      <c r="V320" s="240" t="s">
        <v>96</v>
      </c>
      <c r="W320" t="str">
        <f>_xlfn.XLOOKUP(Table3[[#This Row],[Instrument]],Control!$B$2:$B$19,Control!$E$2:$E$19)</f>
        <v>WTI</v>
      </c>
      <c r="X320" s="14">
        <f>Table3[[#This Row],[Month1]]</f>
        <v>46203</v>
      </c>
      <c r="Y320" s="350">
        <f>Table3[[#This Row],[Quantity]]</f>
        <v>-2079</v>
      </c>
      <c r="Z320" t="str">
        <f>_xlfn.XLOOKUP(Table3[[#This Row],[Instrument]],Control!$B$2:$B$19,Control!$F$2:$F$19)</f>
        <v>Brent</v>
      </c>
      <c r="AA320" s="14">
        <f>Table3[[#This Row],[Month2]]</f>
        <v>46203</v>
      </c>
      <c r="AB320" s="350">
        <f t="shared" si="268"/>
        <v>2079</v>
      </c>
    </row>
    <row r="321" spans="4:28" ht="15" hidden="1" thickBot="1" x14ac:dyDescent="0.4">
      <c r="D321" s="239" t="s">
        <v>1733</v>
      </c>
      <c r="E321" s="174">
        <v>46080</v>
      </c>
      <c r="F321" s="10" t="s">
        <v>7</v>
      </c>
      <c r="G321" s="4" t="s">
        <v>268</v>
      </c>
      <c r="H321" s="253">
        <v>-1970</v>
      </c>
      <c r="I321" s="172">
        <f>J320</f>
        <v>46203</v>
      </c>
      <c r="J321" s="172">
        <v>46234</v>
      </c>
      <c r="K321" s="212">
        <v>0.71</v>
      </c>
      <c r="L321" s="7">
        <f ca="1">IF(OR(S321="WTI Sprds",S321="Brent Sprds",S321="WTI-Brent",S321="DFL"),INDEX(INDIRECT("'" &amp; S321 &amp; "'!$A$6:$XFD$1048576"),MATCH('PnL26'!$P$1,INDIRECT("'" &amp; S321 &amp; "'!$A$6:$A$1048576"),0),MATCH(EOMONTH(I321,0),INDIRECT("'" &amp; S321 &amp; "'!$A$4:$XFD$4"),0)),INDEX(BBG!$A:$BA,MATCH('PnL26'!$P$1,BBG!$A:$A,0),MATCH($I321,BBG!$A$4:$BA$4,0))-INDEX(BBG!$A:$BA,MATCH('PnL26'!$P$1,BBG!$A:$A,0),MATCH($J321,BBG!$A$4:$BA$4,0)))</f>
        <v>3.61</v>
      </c>
      <c r="M321" s="9">
        <f t="shared" ca="1" si="364"/>
        <v>-5713</v>
      </c>
      <c r="N321">
        <f t="shared" si="365"/>
        <v>-1398.6999999999998</v>
      </c>
      <c r="O321" s="14" t="str">
        <f t="shared" si="366"/>
        <v>Jun/Jul 26</v>
      </c>
      <c r="P321" s="8" t="str">
        <f t="shared" si="367"/>
        <v>Sell</v>
      </c>
      <c r="Q321">
        <f t="shared" ca="1" si="368"/>
        <v>-7111.7</v>
      </c>
      <c r="R321" t="str">
        <f>VLOOKUP(F321,Control!$B:$C,2,FALSE)</f>
        <v>Futures</v>
      </c>
      <c r="S321" t="str">
        <f>VLOOKUP(F321,Control!$B:$D,3,FALSE)</f>
        <v>Brent Sprds</v>
      </c>
      <c r="T321" s="38">
        <f t="shared" si="369"/>
        <v>2026</v>
      </c>
      <c r="U321" t="str">
        <f t="shared" si="370"/>
        <v>Sell</v>
      </c>
      <c r="V321" s="240" t="s">
        <v>96</v>
      </c>
      <c r="W321" t="str">
        <f>_xlfn.XLOOKUP(Table3[[#This Row],[Instrument]],Control!$B$2:$B$19,Control!$E$2:$E$19)</f>
        <v>Brent</v>
      </c>
      <c r="X321" s="14">
        <f>Table3[[#This Row],[Month1]]</f>
        <v>46203</v>
      </c>
      <c r="Y321" s="350">
        <f>Table3[[#This Row],[Quantity]]</f>
        <v>-1970</v>
      </c>
      <c r="Z321" t="str">
        <f>_xlfn.XLOOKUP(Table3[[#This Row],[Instrument]],Control!$B$2:$B$19,Control!$F$2:$F$19)</f>
        <v>Brent</v>
      </c>
      <c r="AA321" s="14">
        <f>Table3[[#This Row],[Month2]]</f>
        <v>46234</v>
      </c>
      <c r="AB321" s="350">
        <f t="shared" si="268"/>
        <v>1970</v>
      </c>
    </row>
    <row r="322" spans="4:28" ht="15" hidden="1" thickBot="1" x14ac:dyDescent="0.4">
      <c r="D322" s="239" t="s">
        <v>1733</v>
      </c>
      <c r="E322" s="174">
        <v>46080</v>
      </c>
      <c r="F322" s="10" t="s">
        <v>7</v>
      </c>
      <c r="G322" s="4" t="s">
        <v>268</v>
      </c>
      <c r="H322" s="253">
        <v>-109</v>
      </c>
      <c r="I322" s="172">
        <f>J321</f>
        <v>46234</v>
      </c>
      <c r="J322" s="172">
        <f>EOMONTH(Table3[[#This Row],[Month1]],1)</f>
        <v>46265</v>
      </c>
      <c r="K322" s="212">
        <f>K321+0.05</f>
        <v>0.76</v>
      </c>
      <c r="L322" s="7">
        <f ca="1">IF(OR(S322="WTI Sprds",S322="Brent Sprds",S322="WTI-Brent",S322="DFL"),INDEX(INDIRECT("'" &amp; S322 &amp; "'!$A$6:$XFD$1048576"),MATCH('PnL26'!$P$1,INDIRECT("'" &amp; S322 &amp; "'!$A$6:$A$1048576"),0),MATCH(EOMONTH(I322,0),INDIRECT("'" &amp; S322 &amp; "'!$A$4:$XFD$4"),0)),INDEX(BBG!$A:$BA,MATCH('PnL26'!$P$1,BBG!$A:$A,0),MATCH($I322,BBG!$A$4:$BA$4,0))-INDEX(BBG!$A:$BA,MATCH('PnL26'!$P$1,BBG!$A:$A,0),MATCH($J322,BBG!$A$4:$BA$4,0)))</f>
        <v>0.93</v>
      </c>
      <c r="M322" s="9">
        <f t="shared" ref="M322" ca="1" si="371">IFERROR((L322-K322)*H322,"")</f>
        <v>-18.530000000000005</v>
      </c>
      <c r="N322">
        <f t="shared" ref="N322" si="372">H322*K322</f>
        <v>-82.84</v>
      </c>
      <c r="O322" s="14" t="str">
        <f t="shared" ref="O322" si="373">IF(I322=J322,TEXT(I322,"MMM YY"),TEXT(I322,"MMM")&amp;"/"&amp;TEXT(J322,"MMM")&amp;" "&amp;RIGHT(T322,2))</f>
        <v>Jul/Aug 26</v>
      </c>
      <c r="P322" s="8" t="str">
        <f t="shared" ref="P322" si="374">IF(H322&lt;0,"Sell","Buy")</f>
        <v>Sell</v>
      </c>
      <c r="Q322">
        <f t="shared" ref="Q322" ca="1" si="375">H322*L322</f>
        <v>-101.37</v>
      </c>
      <c r="R322" t="str">
        <f>VLOOKUP(F322,Control!$B:$C,2,FALSE)</f>
        <v>Futures</v>
      </c>
      <c r="S322" t="str">
        <f>VLOOKUP(F322,Control!$B:$D,3,FALSE)</f>
        <v>Brent Sprds</v>
      </c>
      <c r="T322" s="38">
        <f t="shared" ref="T322" si="376">YEAR(I322)</f>
        <v>2026</v>
      </c>
      <c r="U322" t="str">
        <f t="shared" ref="U322" si="377">IFERROR(IF(H322&gt;0,"Buy","Sell"),"")</f>
        <v>Sell</v>
      </c>
      <c r="V322" s="240" t="s">
        <v>96</v>
      </c>
      <c r="W322" t="str">
        <f>_xlfn.XLOOKUP(Table3[[#This Row],[Instrument]],Control!$B$2:$B$19,Control!$E$2:$E$19)</f>
        <v>Brent</v>
      </c>
      <c r="X322" s="14">
        <f>Table3[[#This Row],[Month1]]</f>
        <v>46234</v>
      </c>
      <c r="Y322" s="350">
        <f>Table3[[#This Row],[Quantity]]</f>
        <v>-109</v>
      </c>
      <c r="Z322" t="str">
        <f>_xlfn.XLOOKUP(Table3[[#This Row],[Instrument]],Control!$B$2:$B$19,Control!$F$2:$F$19)</f>
        <v>Brent</v>
      </c>
      <c r="AA322" s="14">
        <f>Table3[[#This Row],[Month2]]</f>
        <v>46265</v>
      </c>
      <c r="AB322" s="350">
        <f t="shared" si="268"/>
        <v>109</v>
      </c>
    </row>
    <row r="323" spans="4:28" ht="15" hidden="1" thickBot="1" x14ac:dyDescent="0.4">
      <c r="D323" s="239" t="s">
        <v>1733</v>
      </c>
      <c r="E323" s="174">
        <v>46080</v>
      </c>
      <c r="F323" s="47" t="s">
        <v>28</v>
      </c>
      <c r="G323" s="4" t="s">
        <v>268</v>
      </c>
      <c r="H323" s="253">
        <v>-2000</v>
      </c>
      <c r="I323" s="172">
        <v>46112</v>
      </c>
      <c r="J323" s="172">
        <v>46112</v>
      </c>
      <c r="K323" s="212">
        <v>16650</v>
      </c>
      <c r="L323" s="314">
        <f>K323</f>
        <v>16650</v>
      </c>
      <c r="M323" s="9">
        <f>L323-K323</f>
        <v>0</v>
      </c>
      <c r="N323" s="91">
        <f>L323-K323</f>
        <v>0</v>
      </c>
      <c r="O323" s="14" t="str">
        <f t="shared" si="366"/>
        <v>Mar 26</v>
      </c>
      <c r="P323" s="8" t="str">
        <f t="shared" si="367"/>
        <v>Sell</v>
      </c>
      <c r="Q323">
        <f t="shared" si="368"/>
        <v>-33300000</v>
      </c>
      <c r="R323" t="str">
        <f>VLOOKUP(F323,Control!$B:$C,2,FALSE)</f>
        <v>Freight</v>
      </c>
      <c r="S323" t="str">
        <f>VLOOKUP(F323,Control!$B:$D,3,FALSE)</f>
        <v>Freight</v>
      </c>
      <c r="T323" s="38">
        <f t="shared" si="369"/>
        <v>2026</v>
      </c>
      <c r="U323" t="str">
        <f t="shared" si="370"/>
        <v>Sell</v>
      </c>
      <c r="V323" s="240" t="s">
        <v>96</v>
      </c>
      <c r="W323" t="e">
        <f>_xlfn.XLOOKUP(Table3[[#This Row],[Instrument]],Control!$B$2:$B$19,Control!$E$2:$E$19)</f>
        <v>#N/A</v>
      </c>
      <c r="X323" s="14">
        <f>Table3[[#This Row],[Month1]]</f>
        <v>46112</v>
      </c>
      <c r="Y323" s="350">
        <f>Table3[[#This Row],[Quantity]]</f>
        <v>-2000</v>
      </c>
      <c r="Z323" t="e">
        <f>_xlfn.XLOOKUP(Table3[[#This Row],[Instrument]],Control!$B$2:$B$19,Control!$F$2:$F$19)</f>
        <v>#N/A</v>
      </c>
      <c r="AA323" s="14">
        <f>Table3[[#This Row],[Month2]]</f>
        <v>46112</v>
      </c>
      <c r="AB323" s="350">
        <f t="shared" ref="AB323:AB388" si="378">-Y323</f>
        <v>2000</v>
      </c>
    </row>
    <row r="324" spans="4:28" ht="15" hidden="1" thickBot="1" x14ac:dyDescent="0.4">
      <c r="D324" s="239" t="s">
        <v>1733</v>
      </c>
      <c r="E324" s="174">
        <v>46080</v>
      </c>
      <c r="F324" s="47" t="s">
        <v>28</v>
      </c>
      <c r="G324" s="4" t="s">
        <v>128</v>
      </c>
      <c r="H324" s="253">
        <v>2000</v>
      </c>
      <c r="I324" s="172">
        <v>46112</v>
      </c>
      <c r="J324" s="172">
        <v>46112</v>
      </c>
      <c r="K324" s="390">
        <f>14500-350</f>
        <v>14150</v>
      </c>
      <c r="L324" s="314">
        <f>L323</f>
        <v>16650</v>
      </c>
      <c r="M324" s="9">
        <f>L324-K324</f>
        <v>2500</v>
      </c>
      <c r="N324" s="91">
        <f>K323-K324</f>
        <v>2500</v>
      </c>
      <c r="O324" s="14" t="str">
        <f t="shared" si="366"/>
        <v>Mar 26</v>
      </c>
      <c r="P324" s="8" t="str">
        <f t="shared" si="367"/>
        <v>Buy</v>
      </c>
      <c r="Q324">
        <f t="shared" si="368"/>
        <v>33300000</v>
      </c>
      <c r="R324" t="str">
        <f>VLOOKUP(F324,Control!$B:$C,2,FALSE)</f>
        <v>Freight</v>
      </c>
      <c r="S324" t="str">
        <f>VLOOKUP(F324,Control!$B:$D,3,FALSE)</f>
        <v>Freight</v>
      </c>
      <c r="T324" s="38">
        <f t="shared" si="369"/>
        <v>2026</v>
      </c>
      <c r="U324" t="str">
        <f t="shared" si="370"/>
        <v>Buy</v>
      </c>
      <c r="V324" s="240" t="s">
        <v>96</v>
      </c>
      <c r="W324" t="e">
        <f>_xlfn.XLOOKUP(Table3[[#This Row],[Instrument]],Control!$B$2:$B$19,Control!$E$2:$E$19)</f>
        <v>#N/A</v>
      </c>
      <c r="X324" s="14">
        <f>Table3[[#This Row],[Month1]]</f>
        <v>46112</v>
      </c>
      <c r="Y324" s="350">
        <f>Table3[[#This Row],[Quantity]]</f>
        <v>2000</v>
      </c>
      <c r="Z324" t="e">
        <f>_xlfn.XLOOKUP(Table3[[#This Row],[Instrument]],Control!$B$2:$B$19,Control!$F$2:$F$19)</f>
        <v>#N/A</v>
      </c>
      <c r="AA324" s="14">
        <f>Table3[[#This Row],[Month2]]</f>
        <v>46112</v>
      </c>
      <c r="AB324" s="350">
        <f t="shared" si="378"/>
        <v>-2000</v>
      </c>
    </row>
    <row r="325" spans="4:28" ht="15" hidden="1" thickBot="1" x14ac:dyDescent="0.4">
      <c r="D325" s="385" t="s">
        <v>1734</v>
      </c>
      <c r="E325" s="174">
        <v>46080</v>
      </c>
      <c r="F325" s="229" t="s">
        <v>19</v>
      </c>
      <c r="G325" s="380" t="s">
        <v>268</v>
      </c>
      <c r="H325" s="392">
        <v>1900</v>
      </c>
      <c r="I325" s="231">
        <v>46142</v>
      </c>
      <c r="J325" s="231">
        <v>46142</v>
      </c>
      <c r="K325" s="232">
        <f>'Cargo Econs 2026'!$C$104</f>
        <v>-1.4880000000000004</v>
      </c>
      <c r="L325" s="315">
        <f>'Cargo Econs 2026'!$C$105</f>
        <v>-0.94874999999999987</v>
      </c>
      <c r="M325" s="234">
        <f t="shared" ref="M325:M329" si="379">IFERROR((L325-K325)*H325,"")</f>
        <v>1024.575000000001</v>
      </c>
      <c r="N325" s="227">
        <f t="shared" ref="N325:N329" si="380">H325*K325</f>
        <v>-2827.2000000000007</v>
      </c>
      <c r="O325" s="235" t="str">
        <f t="shared" ref="O325:O329" si="381">IF(I325=J325,TEXT(I325,"MMM YY"),TEXT(I325,"MMM")&amp;"/"&amp;TEXT(J325,"MMM")&amp;" "&amp;RIGHT(T325,2))</f>
        <v>Apr 26</v>
      </c>
      <c r="P325" s="236" t="str">
        <f t="shared" ref="P325:P329" si="382">IF(H325&lt;0,"Sell","Buy")</f>
        <v>Buy</v>
      </c>
      <c r="Q325" s="227">
        <f t="shared" ref="Q325:Q329" si="383">H325*L325</f>
        <v>-1802.6249999999998</v>
      </c>
      <c r="R325" s="227" t="str">
        <f>VLOOKUP(F325,Control!$B:$C,2,FALSE)</f>
        <v>Physical</v>
      </c>
      <c r="S325" s="227" t="str">
        <f>VLOOKUP(F325,Control!$B:$D,3,FALSE)</f>
        <v>Physical</v>
      </c>
      <c r="T325" s="38">
        <f t="shared" ref="T325:T329" si="384">YEAR(I325)</f>
        <v>2026</v>
      </c>
      <c r="U325" s="227" t="str">
        <f t="shared" ref="U325:U329" si="385">IFERROR(IF(H325&gt;0,"Buy","Sell"),"")</f>
        <v>Buy</v>
      </c>
      <c r="V325" s="238" t="s">
        <v>96</v>
      </c>
      <c r="W325">
        <f>_xlfn.XLOOKUP(Table3[[#This Row],[Instrument]],Control!$B$2:$B$19,Control!$E$2:$E$19)</f>
        <v>0</v>
      </c>
      <c r="X325" s="14">
        <f>Table3[[#This Row],[Month1]]</f>
        <v>46142</v>
      </c>
      <c r="Y325" s="350">
        <f>Table3[[#This Row],[Quantity]]</f>
        <v>1900</v>
      </c>
      <c r="Z325">
        <f>_xlfn.XLOOKUP(Table3[[#This Row],[Instrument]],Control!$B$2:$B$19,Control!$F$2:$F$19)</f>
        <v>0</v>
      </c>
      <c r="AA325" s="14">
        <f>Table3[[#This Row],[Month2]]</f>
        <v>46142</v>
      </c>
      <c r="AB325" s="350">
        <f t="shared" si="378"/>
        <v>-1900</v>
      </c>
    </row>
    <row r="326" spans="4:28" ht="15" hidden="1" thickBot="1" x14ac:dyDescent="0.4">
      <c r="D326" s="239" t="s">
        <v>1734</v>
      </c>
      <c r="E326" s="174">
        <v>46080</v>
      </c>
      <c r="F326" s="10" t="s">
        <v>3</v>
      </c>
      <c r="G326" s="4" t="s">
        <v>268</v>
      </c>
      <c r="H326" s="253">
        <v>-1900</v>
      </c>
      <c r="I326" s="172">
        <v>46142</v>
      </c>
      <c r="J326" s="172">
        <f>EOMONTH(Table3[[#This Row],[Month1]],1)</f>
        <v>46173</v>
      </c>
      <c r="K326" s="212">
        <v>0.16</v>
      </c>
      <c r="L326" s="7">
        <f ca="1">IF(OR(S326="WTI Sprds",S326="Brent Sprds",S326="WTI-Brent",S326="DFL"),INDEX(INDIRECT("'" &amp; S326 &amp; "'!$A$6:$XFD$1048576"),MATCH('PnL26'!$P$1,INDIRECT("'" &amp; S326 &amp; "'!$A$6:$A$1048576"),0),MATCH(EOMONTH(I326,0),INDIRECT("'" &amp; S326 &amp; "'!$A$4:$XFD$4"),0)),INDEX(BBG!$A:$BA,MATCH('PnL26'!$P$1,BBG!$A:$A,0),MATCH($I326,BBG!$A$4:$BA$4,0))-INDEX(BBG!$A:$BA,MATCH('PnL26'!$P$1,BBG!$A:$A,0),MATCH($J326,BBG!$A$4:$BA$4,0)))</f>
        <v>0.59</v>
      </c>
      <c r="M326" s="9">
        <f t="shared" ca="1" si="379"/>
        <v>-816.99999999999989</v>
      </c>
      <c r="N326">
        <f t="shared" si="380"/>
        <v>-304</v>
      </c>
      <c r="O326" s="14" t="str">
        <f t="shared" si="381"/>
        <v>Apr/May 26</v>
      </c>
      <c r="P326" s="8" t="str">
        <f t="shared" si="382"/>
        <v>Sell</v>
      </c>
      <c r="Q326">
        <f t="shared" ca="1" si="383"/>
        <v>-1121</v>
      </c>
      <c r="R326" t="str">
        <f>VLOOKUP(F326,Control!$B:$C,2,FALSE)</f>
        <v>Futures</v>
      </c>
      <c r="S326" t="str">
        <f>VLOOKUP(F326,Control!$B:$D,3,FALSE)</f>
        <v>WTI Sprds</v>
      </c>
      <c r="T326" s="38">
        <f t="shared" si="384"/>
        <v>2026</v>
      </c>
      <c r="U326" t="str">
        <f t="shared" si="385"/>
        <v>Sell</v>
      </c>
      <c r="V326" s="240" t="s">
        <v>96</v>
      </c>
      <c r="W326" t="str">
        <f>_xlfn.XLOOKUP(Table3[[#This Row],[Instrument]],Control!$B$2:$B$19,Control!$E$2:$E$19)</f>
        <v>WTI</v>
      </c>
      <c r="X326" s="14">
        <f>Table3[[#This Row],[Month1]]</f>
        <v>46142</v>
      </c>
      <c r="Y326" s="350">
        <f>Table3[[#This Row],[Quantity]]</f>
        <v>-1900</v>
      </c>
      <c r="Z326" t="str">
        <f>_xlfn.XLOOKUP(Table3[[#This Row],[Instrument]],Control!$B$2:$B$19,Control!$F$2:$F$19)</f>
        <v>WTI</v>
      </c>
      <c r="AA326" s="14">
        <f>Table3[[#This Row],[Month2]]</f>
        <v>46173</v>
      </c>
      <c r="AB326" s="350">
        <f t="shared" si="378"/>
        <v>1900</v>
      </c>
    </row>
    <row r="327" spans="4:28" ht="15" hidden="1" thickBot="1" x14ac:dyDescent="0.4">
      <c r="D327" s="239" t="s">
        <v>1734</v>
      </c>
      <c r="E327" s="174">
        <v>46080</v>
      </c>
      <c r="F327" s="10" t="s">
        <v>3</v>
      </c>
      <c r="G327" s="4" t="s">
        <v>268</v>
      </c>
      <c r="H327" s="253">
        <f t="shared" ref="H327:H328" si="386">-$H$325</f>
        <v>-1900</v>
      </c>
      <c r="I327" s="172">
        <f>J326</f>
        <v>46173</v>
      </c>
      <c r="J327" s="172">
        <f>EOMONTH(Table3[[#This Row],[Month1]],1)</f>
        <v>46203</v>
      </c>
      <c r="K327" s="212">
        <v>0.39</v>
      </c>
      <c r="L327" s="7">
        <f ca="1">IF(OR(S327="WTI Sprds",S327="Brent Sprds",S327="WTI-Brent",S327="DFL"),INDEX(INDIRECT("'" &amp; S327 &amp; "'!$A$6:$XFD$1048576"),MATCH('PnL26'!$P$1,INDIRECT("'" &amp; S327 &amp; "'!$A$6:$A$1048576"),0),MATCH(EOMONTH(I327,0),INDIRECT("'" &amp; S327 &amp; "'!$A$4:$XFD$4"),0)),INDEX(BBG!$A:$BA,MATCH('PnL26'!$P$1,BBG!$A:$A,0),MATCH($I327,BBG!$A$4:$BA$4,0))-INDEX(BBG!$A:$BA,MATCH('PnL26'!$P$1,BBG!$A:$A,0),MATCH($J327,BBG!$A$4:$BA$4,0)))</f>
        <v>2.19</v>
      </c>
      <c r="M327" s="9">
        <f t="shared" ca="1" si="379"/>
        <v>-3419.9999999999995</v>
      </c>
      <c r="N327">
        <f t="shared" si="380"/>
        <v>-741</v>
      </c>
      <c r="O327" s="14" t="str">
        <f t="shared" si="381"/>
        <v>May/Jun 26</v>
      </c>
      <c r="P327" s="8" t="str">
        <f t="shared" si="382"/>
        <v>Sell</v>
      </c>
      <c r="Q327">
        <f t="shared" ca="1" si="383"/>
        <v>-4161</v>
      </c>
      <c r="R327" t="str">
        <f>VLOOKUP(F327,Control!$B:$C,2,FALSE)</f>
        <v>Futures</v>
      </c>
      <c r="S327" t="str">
        <f>VLOOKUP(F327,Control!$B:$D,3,FALSE)</f>
        <v>WTI Sprds</v>
      </c>
      <c r="T327" s="38">
        <f t="shared" si="384"/>
        <v>2026</v>
      </c>
      <c r="U327" t="str">
        <f t="shared" si="385"/>
        <v>Sell</v>
      </c>
      <c r="V327" s="240" t="s">
        <v>96</v>
      </c>
      <c r="W327" t="str">
        <f>_xlfn.XLOOKUP(Table3[[#This Row],[Instrument]],Control!$B$2:$B$19,Control!$E$2:$E$19)</f>
        <v>WTI</v>
      </c>
      <c r="X327" s="14">
        <f>Table3[[#This Row],[Month1]]</f>
        <v>46173</v>
      </c>
      <c r="Y327" s="350">
        <f>Table3[[#This Row],[Quantity]]</f>
        <v>-1900</v>
      </c>
      <c r="Z327" t="str">
        <f>_xlfn.XLOOKUP(Table3[[#This Row],[Instrument]],Control!$B$2:$B$19,Control!$F$2:$F$19)</f>
        <v>WTI</v>
      </c>
      <c r="AA327" s="14">
        <f>Table3[[#This Row],[Month2]]</f>
        <v>46203</v>
      </c>
      <c r="AB327" s="350">
        <f t="shared" si="378"/>
        <v>1900</v>
      </c>
    </row>
    <row r="328" spans="4:28" ht="15" hidden="1" thickBot="1" x14ac:dyDescent="0.4">
      <c r="D328" s="239" t="s">
        <v>1734</v>
      </c>
      <c r="E328" s="174">
        <v>46080</v>
      </c>
      <c r="F328" s="10" t="s">
        <v>10</v>
      </c>
      <c r="G328" s="4" t="s">
        <v>268</v>
      </c>
      <c r="H328" s="253">
        <f t="shared" si="386"/>
        <v>-1900</v>
      </c>
      <c r="I328" s="172">
        <f>J327</f>
        <v>46203</v>
      </c>
      <c r="J328" s="172">
        <f>Table3[[#This Row],[Month1]]</f>
        <v>46203</v>
      </c>
      <c r="K328" s="212">
        <v>-5.8</v>
      </c>
      <c r="L328" s="7">
        <f ca="1">IF(OR(S328="WTI Sprds",S328="Brent Sprds",S328="WTI-Brent",S328="DFL"),INDEX(INDIRECT("'" &amp; S328 &amp; "'!$A$6:$XFD$1048576"),MATCH('PnL26'!$P$1,INDIRECT("'" &amp; S328 &amp; "'!$A$6:$A$1048576"),0),MATCH(EOMONTH(I328,0),INDIRECT("'" &amp; S328 &amp; "'!$A$4:$XFD$4"),0)),INDEX(BBG!$A:$BA,MATCH('PnL26'!$P$1,BBG!$A:$A,0),MATCH($I328,BBG!$A$4:$BA$4,0))-INDEX(BBG!$A:$BA,MATCH('PnL26'!$P$1,BBG!$A:$A,0),MATCH($J328,BBG!$A$4:$BA$4,0)))</f>
        <v>-8.94</v>
      </c>
      <c r="M328" s="9">
        <f t="shared" ca="1" si="379"/>
        <v>5965.9999999999991</v>
      </c>
      <c r="N328">
        <f t="shared" si="380"/>
        <v>11020</v>
      </c>
      <c r="O328" s="14" t="str">
        <f t="shared" si="381"/>
        <v>Jun 26</v>
      </c>
      <c r="P328" s="8" t="str">
        <f t="shared" si="382"/>
        <v>Sell</v>
      </c>
      <c r="Q328">
        <f t="shared" ca="1" si="383"/>
        <v>16986</v>
      </c>
      <c r="R328" t="str">
        <f>VLOOKUP(F328,Control!$B:$C,2,FALSE)</f>
        <v>Swaps</v>
      </c>
      <c r="S328" t="str">
        <f>VLOOKUP(F328,Control!$B:$D,3,FALSE)</f>
        <v>WTI-Brent</v>
      </c>
      <c r="T328" s="38">
        <f t="shared" si="384"/>
        <v>2026</v>
      </c>
      <c r="U328" t="str">
        <f t="shared" si="385"/>
        <v>Sell</v>
      </c>
      <c r="V328" s="240" t="s">
        <v>96</v>
      </c>
      <c r="W328" t="str">
        <f>_xlfn.XLOOKUP(Table3[[#This Row],[Instrument]],Control!$B$2:$B$19,Control!$E$2:$E$19)</f>
        <v>WTI</v>
      </c>
      <c r="X328" s="14">
        <f>Table3[[#This Row],[Month1]]</f>
        <v>46203</v>
      </c>
      <c r="Y328" s="350">
        <f>Table3[[#This Row],[Quantity]]</f>
        <v>-1900</v>
      </c>
      <c r="Z328" t="str">
        <f>_xlfn.XLOOKUP(Table3[[#This Row],[Instrument]],Control!$B$2:$B$19,Control!$F$2:$F$19)</f>
        <v>Brent</v>
      </c>
      <c r="AA328" s="14">
        <f>Table3[[#This Row],[Month2]]</f>
        <v>46203</v>
      </c>
      <c r="AB328" s="350">
        <f t="shared" si="378"/>
        <v>1900</v>
      </c>
    </row>
    <row r="329" spans="4:28" ht="15" hidden="1" thickBot="1" x14ac:dyDescent="0.4">
      <c r="D329" s="239" t="s">
        <v>1734</v>
      </c>
      <c r="E329" s="174">
        <v>46080</v>
      </c>
      <c r="F329" s="10" t="s">
        <v>7</v>
      </c>
      <c r="G329" s="4" t="s">
        <v>268</v>
      </c>
      <c r="H329" s="253">
        <v>-1800</v>
      </c>
      <c r="I329" s="172">
        <f>J328</f>
        <v>46203</v>
      </c>
      <c r="J329" s="172">
        <v>46234</v>
      </c>
      <c r="K329" s="212">
        <v>0.7</v>
      </c>
      <c r="L329" s="7">
        <f ca="1">IF(OR(S329="WTI Sprds",S329="Brent Sprds",S329="WTI-Brent",S329="DFL"),INDEX(INDIRECT("'" &amp; S329 &amp; "'!$A$6:$XFD$1048576"),MATCH('PnL26'!$P$1,INDIRECT("'" &amp; S329 &amp; "'!$A$6:$A$1048576"),0),MATCH(EOMONTH(I329,0),INDIRECT("'" &amp; S329 &amp; "'!$A$4:$XFD$4"),0)),INDEX(BBG!$A:$BA,MATCH('PnL26'!$P$1,BBG!$A:$A,0),MATCH($I329,BBG!$A$4:$BA$4,0))-INDEX(BBG!$A:$BA,MATCH('PnL26'!$P$1,BBG!$A:$A,0),MATCH($J329,BBG!$A$4:$BA$4,0)))</f>
        <v>3.61</v>
      </c>
      <c r="M329" s="9">
        <f t="shared" ca="1" si="379"/>
        <v>-5238</v>
      </c>
      <c r="N329">
        <f t="shared" si="380"/>
        <v>-1260</v>
      </c>
      <c r="O329" s="14" t="str">
        <f t="shared" si="381"/>
        <v>Jun/Jul 26</v>
      </c>
      <c r="P329" s="8" t="str">
        <f t="shared" si="382"/>
        <v>Sell</v>
      </c>
      <c r="Q329">
        <f t="shared" ca="1" si="383"/>
        <v>-6498</v>
      </c>
      <c r="R329" t="str">
        <f>VLOOKUP(F329,Control!$B:$C,2,FALSE)</f>
        <v>Futures</v>
      </c>
      <c r="S329" t="str">
        <f>VLOOKUP(F329,Control!$B:$D,3,FALSE)</f>
        <v>Brent Sprds</v>
      </c>
      <c r="T329" s="38">
        <f t="shared" si="384"/>
        <v>2026</v>
      </c>
      <c r="U329" t="str">
        <f t="shared" si="385"/>
        <v>Sell</v>
      </c>
      <c r="V329" s="240" t="s">
        <v>96</v>
      </c>
      <c r="W329" t="str">
        <f>_xlfn.XLOOKUP(Table3[[#This Row],[Instrument]],Control!$B$2:$B$19,Control!$E$2:$E$19)</f>
        <v>Brent</v>
      </c>
      <c r="X329" s="14">
        <f>Table3[[#This Row],[Month1]]</f>
        <v>46203</v>
      </c>
      <c r="Y329" s="350">
        <f>Table3[[#This Row],[Quantity]]</f>
        <v>-1800</v>
      </c>
      <c r="Z329" t="str">
        <f>_xlfn.XLOOKUP(Table3[[#This Row],[Instrument]],Control!$B$2:$B$19,Control!$F$2:$F$19)</f>
        <v>Brent</v>
      </c>
      <c r="AA329" s="14">
        <f>Table3[[#This Row],[Month2]]</f>
        <v>46234</v>
      </c>
      <c r="AB329" s="350">
        <f t="shared" si="378"/>
        <v>1800</v>
      </c>
    </row>
    <row r="330" spans="4:28" ht="15" hidden="1" thickBot="1" x14ac:dyDescent="0.4">
      <c r="D330" s="239" t="s">
        <v>1734</v>
      </c>
      <c r="E330" s="174">
        <v>46080</v>
      </c>
      <c r="F330" s="10" t="s">
        <v>7</v>
      </c>
      <c r="G330" s="4" t="s">
        <v>268</v>
      </c>
      <c r="H330" s="253">
        <f>H325*-0.05275</f>
        <v>-100.22499999999999</v>
      </c>
      <c r="I330" s="172">
        <f>J329</f>
        <v>46234</v>
      </c>
      <c r="J330" s="172">
        <f>EOMONTH(Table3[[#This Row],[Month1]],1)</f>
        <v>46265</v>
      </c>
      <c r="K330" s="212">
        <v>0.75</v>
      </c>
      <c r="L330" s="7">
        <f ca="1">IF(OR(S330="WTI Sprds",S330="Brent Sprds",S330="WTI-Brent",S330="DFL"),INDEX(INDIRECT("'" &amp; S330 &amp; "'!$A$6:$XFD$1048576"),MATCH('PnL26'!$P$1,INDIRECT("'" &amp; S330 &amp; "'!$A$6:$A$1048576"),0),MATCH(EOMONTH(I330,0),INDIRECT("'" &amp; S330 &amp; "'!$A$4:$XFD$4"),0)),INDEX(BBG!$A:$BA,MATCH('PnL26'!$P$1,BBG!$A:$A,0),MATCH($I330,BBG!$A$4:$BA$4,0))-INDEX(BBG!$A:$BA,MATCH('PnL26'!$P$1,BBG!$A:$A,0),MATCH($J330,BBG!$A$4:$BA$4,0)))</f>
        <v>0.93</v>
      </c>
      <c r="M330" s="9">
        <f t="shared" ref="M330" ca="1" si="387">IFERROR((L330-K330)*H330,"")</f>
        <v>-18.040500000000005</v>
      </c>
      <c r="N330">
        <f t="shared" ref="N330" si="388">H330*K330</f>
        <v>-75.168749999999989</v>
      </c>
      <c r="O330" s="14" t="str">
        <f t="shared" ref="O330" si="389">IF(I330=J330,TEXT(I330,"MMM YY"),TEXT(I330,"MMM")&amp;"/"&amp;TEXT(J330,"MMM")&amp;" "&amp;RIGHT(T330,2))</f>
        <v>Jul/Aug 26</v>
      </c>
      <c r="P330" s="8" t="str">
        <f t="shared" ref="P330" si="390">IF(H330&lt;0,"Sell","Buy")</f>
        <v>Sell</v>
      </c>
      <c r="Q330">
        <f t="shared" ref="Q330" ca="1" si="391">H330*L330</f>
        <v>-93.209249999999997</v>
      </c>
      <c r="R330" t="str">
        <f>VLOOKUP(F330,Control!$B:$C,2,FALSE)</f>
        <v>Futures</v>
      </c>
      <c r="S330" t="str">
        <f>VLOOKUP(F330,Control!$B:$D,3,FALSE)</f>
        <v>Brent Sprds</v>
      </c>
      <c r="T330" s="38">
        <f t="shared" ref="T330" si="392">YEAR(I330)</f>
        <v>2026</v>
      </c>
      <c r="U330" t="str">
        <f t="shared" ref="U330" si="393">IFERROR(IF(H330&gt;0,"Buy","Sell"),"")</f>
        <v>Sell</v>
      </c>
      <c r="V330" s="240" t="s">
        <v>96</v>
      </c>
      <c r="W330" t="str">
        <f>_xlfn.XLOOKUP(Table3[[#This Row],[Instrument]],Control!$B$2:$B$19,Control!$E$2:$E$19)</f>
        <v>Brent</v>
      </c>
      <c r="X330" s="14">
        <f>Table3[[#This Row],[Month1]]</f>
        <v>46234</v>
      </c>
      <c r="Y330" s="350">
        <f>Table3[[#This Row],[Quantity]]</f>
        <v>-100.22499999999999</v>
      </c>
      <c r="Z330" t="str">
        <f>_xlfn.XLOOKUP(Table3[[#This Row],[Instrument]],Control!$B$2:$B$19,Control!$F$2:$F$19)</f>
        <v>Brent</v>
      </c>
      <c r="AA330" s="14">
        <f>Table3[[#This Row],[Month2]]</f>
        <v>46265</v>
      </c>
      <c r="AB330" s="350">
        <f t="shared" si="378"/>
        <v>100.22499999999999</v>
      </c>
    </row>
    <row r="331" spans="4:28" ht="15" hidden="1" thickBot="1" x14ac:dyDescent="0.4">
      <c r="D331" s="239" t="s">
        <v>1734</v>
      </c>
      <c r="E331" s="174">
        <v>46080</v>
      </c>
      <c r="F331" s="10" t="s">
        <v>3</v>
      </c>
      <c r="G331" s="4" t="s">
        <v>128</v>
      </c>
      <c r="H331" s="253">
        <v>2000</v>
      </c>
      <c r="I331" s="172">
        <v>46142</v>
      </c>
      <c r="J331" s="172">
        <f>EOMONTH(Table3[[#This Row],[Month1]],1)</f>
        <v>46173</v>
      </c>
      <c r="K331" s="212">
        <v>0.16</v>
      </c>
      <c r="L331" s="7">
        <f ca="1">IF(OR(S331="WTI Sprds",S331="Brent Sprds",S331="WTI-Brent",S331="DFL"),INDEX(INDIRECT("'" &amp; S331 &amp; "'!$A$6:$XFD$1048576"),MATCH('PnL26'!$P$1,INDIRECT("'" &amp; S331 &amp; "'!$A$6:$A$1048576"),0),MATCH(EOMONTH(I331,0),INDIRECT("'" &amp; S331 &amp; "'!$A$4:$XFD$4"),0)),INDEX(BBG!$A:$BA,MATCH('PnL26'!$P$1,BBG!$A:$A,0),MATCH($I331,BBG!$A$4:$BA$4,0))-INDEX(BBG!$A:$BA,MATCH('PnL26'!$P$1,BBG!$A:$A,0),MATCH($J331,BBG!$A$4:$BA$4,0)))</f>
        <v>0.59</v>
      </c>
      <c r="M331" s="9">
        <f t="shared" ref="M331:M334" ca="1" si="394">IFERROR((L331-K331)*H331,"")</f>
        <v>859.99999999999989</v>
      </c>
      <c r="N331">
        <f t="shared" ref="N331:N334" si="395">H331*K331</f>
        <v>320</v>
      </c>
      <c r="O331" s="14" t="str">
        <f t="shared" ref="O331:O334" si="396">IF(I331=J331,TEXT(I331,"MMM YY"),TEXT(I331,"MMM")&amp;"/"&amp;TEXT(J331,"MMM")&amp;" "&amp;RIGHT(T331,2))</f>
        <v>Apr/May 26</v>
      </c>
      <c r="P331" s="8" t="str">
        <f t="shared" ref="P331:P334" si="397">IF(H331&lt;0,"Sell","Buy")</f>
        <v>Buy</v>
      </c>
      <c r="Q331">
        <f t="shared" ref="Q331:Q334" ca="1" si="398">H331*L331</f>
        <v>1180</v>
      </c>
      <c r="R331" t="str">
        <f>VLOOKUP(F331,Control!$B:$C,2,FALSE)</f>
        <v>Futures</v>
      </c>
      <c r="S331" t="str">
        <f>VLOOKUP(F331,Control!$B:$D,3,FALSE)</f>
        <v>WTI Sprds</v>
      </c>
      <c r="T331" s="38">
        <f t="shared" ref="T331:T334" si="399">YEAR(I331)</f>
        <v>2026</v>
      </c>
      <c r="U331" t="str">
        <f t="shared" ref="U331:U334" si="400">IFERROR(IF(H331&gt;0,"Buy","Sell"),"")</f>
        <v>Buy</v>
      </c>
      <c r="V331" s="240" t="s">
        <v>96</v>
      </c>
      <c r="W331" t="str">
        <f>_xlfn.XLOOKUP(Table3[[#This Row],[Instrument]],Control!$B$2:$B$19,Control!$E$2:$E$19)</f>
        <v>WTI</v>
      </c>
      <c r="X331" s="14">
        <f>Table3[[#This Row],[Month1]]</f>
        <v>46142</v>
      </c>
      <c r="Y331" s="350">
        <f>Table3[[#This Row],[Quantity]]</f>
        <v>2000</v>
      </c>
      <c r="Z331" t="str">
        <f>_xlfn.XLOOKUP(Table3[[#This Row],[Instrument]],Control!$B$2:$B$19,Control!$F$2:$F$19)</f>
        <v>WTI</v>
      </c>
      <c r="AA331" s="14">
        <f>Table3[[#This Row],[Month2]]</f>
        <v>46173</v>
      </c>
      <c r="AB331" s="350">
        <f t="shared" si="378"/>
        <v>-2000</v>
      </c>
    </row>
    <row r="332" spans="4:28" ht="15" hidden="1" thickBot="1" x14ac:dyDescent="0.4">
      <c r="D332" s="239" t="s">
        <v>1734</v>
      </c>
      <c r="E332" s="174">
        <v>46080</v>
      </c>
      <c r="F332" s="10" t="s">
        <v>3</v>
      </c>
      <c r="G332" s="4" t="s">
        <v>128</v>
      </c>
      <c r="H332" s="253">
        <v>2000</v>
      </c>
      <c r="I332" s="172">
        <f>J331</f>
        <v>46173</v>
      </c>
      <c r="J332" s="172">
        <f>EOMONTH(Table3[[#This Row],[Month1]],1)</f>
        <v>46203</v>
      </c>
      <c r="K332" s="212">
        <v>0.39</v>
      </c>
      <c r="L332" s="7">
        <f ca="1">IF(OR(S332="WTI Sprds",S332="Brent Sprds",S332="WTI-Brent",S332="DFL"),INDEX(INDIRECT("'" &amp; S332 &amp; "'!$A$6:$XFD$1048576"),MATCH('PnL26'!$P$1,INDIRECT("'" &amp; S332 &amp; "'!$A$6:$A$1048576"),0),MATCH(EOMONTH(I332,0),INDIRECT("'" &amp; S332 &amp; "'!$A$4:$XFD$4"),0)),INDEX(BBG!$A:$BA,MATCH('PnL26'!$P$1,BBG!$A:$A,0),MATCH($I332,BBG!$A$4:$BA$4,0))-INDEX(BBG!$A:$BA,MATCH('PnL26'!$P$1,BBG!$A:$A,0),MATCH($J332,BBG!$A$4:$BA$4,0)))</f>
        <v>2.19</v>
      </c>
      <c r="M332" s="9">
        <f t="shared" ca="1" si="394"/>
        <v>3599.9999999999995</v>
      </c>
      <c r="N332">
        <f t="shared" si="395"/>
        <v>780</v>
      </c>
      <c r="O332" s="14" t="str">
        <f t="shared" si="396"/>
        <v>May/Jun 26</v>
      </c>
      <c r="P332" s="8" t="str">
        <f t="shared" si="397"/>
        <v>Buy</v>
      </c>
      <c r="Q332">
        <f t="shared" ca="1" si="398"/>
        <v>4380</v>
      </c>
      <c r="R332" t="str">
        <f>VLOOKUP(F332,Control!$B:$C,2,FALSE)</f>
        <v>Futures</v>
      </c>
      <c r="S332" t="str">
        <f>VLOOKUP(F332,Control!$B:$D,3,FALSE)</f>
        <v>WTI Sprds</v>
      </c>
      <c r="T332" s="38">
        <f t="shared" si="399"/>
        <v>2026</v>
      </c>
      <c r="U332" t="str">
        <f t="shared" si="400"/>
        <v>Buy</v>
      </c>
      <c r="V332" s="240" t="s">
        <v>96</v>
      </c>
      <c r="W332" t="str">
        <f>_xlfn.XLOOKUP(Table3[[#This Row],[Instrument]],Control!$B$2:$B$19,Control!$E$2:$E$19)</f>
        <v>WTI</v>
      </c>
      <c r="X332" s="14">
        <f>Table3[[#This Row],[Month1]]</f>
        <v>46173</v>
      </c>
      <c r="Y332" s="350">
        <f>Table3[[#This Row],[Quantity]]</f>
        <v>2000</v>
      </c>
      <c r="Z332" t="str">
        <f>_xlfn.XLOOKUP(Table3[[#This Row],[Instrument]],Control!$B$2:$B$19,Control!$F$2:$F$19)</f>
        <v>WTI</v>
      </c>
      <c r="AA332" s="14">
        <f>Table3[[#This Row],[Month2]]</f>
        <v>46203</v>
      </c>
      <c r="AB332" s="350">
        <f t="shared" si="378"/>
        <v>-2000</v>
      </c>
    </row>
    <row r="333" spans="4:28" ht="15" hidden="1" thickBot="1" x14ac:dyDescent="0.4">
      <c r="D333" s="239" t="s">
        <v>1734</v>
      </c>
      <c r="E333" s="174">
        <v>46080</v>
      </c>
      <c r="F333" s="10" t="s">
        <v>10</v>
      </c>
      <c r="G333" s="4" t="s">
        <v>128</v>
      </c>
      <c r="H333" s="253">
        <v>2000</v>
      </c>
      <c r="I333" s="172">
        <f>J332</f>
        <v>46203</v>
      </c>
      <c r="J333" s="172">
        <f>Table3[[#This Row],[Month1]]</f>
        <v>46203</v>
      </c>
      <c r="K333" s="212">
        <v>-5.8</v>
      </c>
      <c r="L333" s="7">
        <f ca="1">IF(OR(S333="WTI Sprds",S333="Brent Sprds",S333="WTI-Brent",S333="DFL"),INDEX(INDIRECT("'" &amp; S333 &amp; "'!$A$6:$XFD$1048576"),MATCH('PnL26'!$P$1,INDIRECT("'" &amp; S333 &amp; "'!$A$6:$A$1048576"),0),MATCH(EOMONTH(I333,0),INDIRECT("'" &amp; S333 &amp; "'!$A$4:$XFD$4"),0)),INDEX(BBG!$A:$BA,MATCH('PnL26'!$P$1,BBG!$A:$A,0),MATCH($I333,BBG!$A$4:$BA$4,0))-INDEX(BBG!$A:$BA,MATCH('PnL26'!$P$1,BBG!$A:$A,0),MATCH($J333,BBG!$A$4:$BA$4,0)))</f>
        <v>-8.94</v>
      </c>
      <c r="M333" s="9">
        <f t="shared" ca="1" si="394"/>
        <v>-6279.9999999999991</v>
      </c>
      <c r="N333">
        <f t="shared" si="395"/>
        <v>-11600</v>
      </c>
      <c r="O333" s="14" t="str">
        <f t="shared" si="396"/>
        <v>Jun 26</v>
      </c>
      <c r="P333" s="8" t="str">
        <f t="shared" si="397"/>
        <v>Buy</v>
      </c>
      <c r="Q333">
        <f t="shared" ca="1" si="398"/>
        <v>-17880</v>
      </c>
      <c r="R333" t="str">
        <f>VLOOKUP(F333,Control!$B:$C,2,FALSE)</f>
        <v>Swaps</v>
      </c>
      <c r="S333" t="str">
        <f>VLOOKUP(F333,Control!$B:$D,3,FALSE)</f>
        <v>WTI-Brent</v>
      </c>
      <c r="T333" s="38">
        <f t="shared" si="399"/>
        <v>2026</v>
      </c>
      <c r="U333" t="str">
        <f t="shared" si="400"/>
        <v>Buy</v>
      </c>
      <c r="V333" s="240" t="s">
        <v>96</v>
      </c>
      <c r="W333" t="str">
        <f>_xlfn.XLOOKUP(Table3[[#This Row],[Instrument]],Control!$B$2:$B$19,Control!$E$2:$E$19)</f>
        <v>WTI</v>
      </c>
      <c r="X333" s="14">
        <f>Table3[[#This Row],[Month1]]</f>
        <v>46203</v>
      </c>
      <c r="Y333" s="350">
        <f>Table3[[#This Row],[Quantity]]</f>
        <v>2000</v>
      </c>
      <c r="Z333" t="str">
        <f>_xlfn.XLOOKUP(Table3[[#This Row],[Instrument]],Control!$B$2:$B$19,Control!$F$2:$F$19)</f>
        <v>Brent</v>
      </c>
      <c r="AA333" s="14">
        <f>Table3[[#This Row],[Month2]]</f>
        <v>46203</v>
      </c>
      <c r="AB333" s="350">
        <f t="shared" si="378"/>
        <v>-2000</v>
      </c>
    </row>
    <row r="334" spans="4:28" ht="15" hidden="1" thickBot="1" x14ac:dyDescent="0.4">
      <c r="D334" s="239" t="s">
        <v>1734</v>
      </c>
      <c r="E334" s="174">
        <v>46080</v>
      </c>
      <c r="F334" s="10" t="s">
        <v>7</v>
      </c>
      <c r="G334" s="4" t="s">
        <v>128</v>
      </c>
      <c r="H334" s="253">
        <v>2000</v>
      </c>
      <c r="I334" s="172">
        <f>J333</f>
        <v>46203</v>
      </c>
      <c r="J334" s="172">
        <v>46234</v>
      </c>
      <c r="K334" s="212">
        <v>0.7</v>
      </c>
      <c r="L334" s="7">
        <f ca="1">IF(OR(S334="WTI Sprds",S334="Brent Sprds",S334="WTI-Brent",S334="DFL"),INDEX(INDIRECT("'" &amp; S334 &amp; "'!$A$6:$XFD$1048576"),MATCH('PnL26'!$P$1,INDIRECT("'" &amp; S334 &amp; "'!$A$6:$A$1048576"),0),MATCH(EOMONTH(I334,0),INDIRECT("'" &amp; S334 &amp; "'!$A$4:$XFD$4"),0)),INDEX(BBG!$A:$BA,MATCH('PnL26'!$P$1,BBG!$A:$A,0),MATCH($I334,BBG!$A$4:$BA$4,0))-INDEX(BBG!$A:$BA,MATCH('PnL26'!$P$1,BBG!$A:$A,0),MATCH($J334,BBG!$A$4:$BA$4,0)))</f>
        <v>3.61</v>
      </c>
      <c r="M334" s="9">
        <f t="shared" ca="1" si="394"/>
        <v>5820</v>
      </c>
      <c r="N334">
        <f t="shared" si="395"/>
        <v>1400</v>
      </c>
      <c r="O334" s="14" t="str">
        <f t="shared" si="396"/>
        <v>Jun/Jul 26</v>
      </c>
      <c r="P334" s="8" t="str">
        <f t="shared" si="397"/>
        <v>Buy</v>
      </c>
      <c r="Q334">
        <f t="shared" ca="1" si="398"/>
        <v>7220</v>
      </c>
      <c r="R334" t="str">
        <f>VLOOKUP(F334,Control!$B:$C,2,FALSE)</f>
        <v>Futures</v>
      </c>
      <c r="S334" t="str">
        <f>VLOOKUP(F334,Control!$B:$D,3,FALSE)</f>
        <v>Brent Sprds</v>
      </c>
      <c r="T334" s="38">
        <f t="shared" si="399"/>
        <v>2026</v>
      </c>
      <c r="U334" t="str">
        <f t="shared" si="400"/>
        <v>Buy</v>
      </c>
      <c r="V334" s="240" t="s">
        <v>96</v>
      </c>
      <c r="W334" t="str">
        <f>_xlfn.XLOOKUP(Table3[[#This Row],[Instrument]],Control!$B$2:$B$19,Control!$E$2:$E$19)</f>
        <v>Brent</v>
      </c>
      <c r="X334" s="14">
        <f>Table3[[#This Row],[Month1]]</f>
        <v>46203</v>
      </c>
      <c r="Y334" s="350">
        <f>Table3[[#This Row],[Quantity]]</f>
        <v>2000</v>
      </c>
      <c r="Z334" t="str">
        <f>_xlfn.XLOOKUP(Table3[[#This Row],[Instrument]],Control!$B$2:$B$19,Control!$F$2:$F$19)</f>
        <v>Brent</v>
      </c>
      <c r="AA334" s="14">
        <f>Table3[[#This Row],[Month2]]</f>
        <v>46234</v>
      </c>
      <c r="AB334" s="350">
        <f t="shared" si="378"/>
        <v>-2000</v>
      </c>
    </row>
    <row r="335" spans="4:28" ht="15" hidden="1" thickBot="1" x14ac:dyDescent="0.4">
      <c r="D335" s="239" t="s">
        <v>1733</v>
      </c>
      <c r="E335" s="174">
        <v>46080</v>
      </c>
      <c r="F335" s="10" t="s">
        <v>3</v>
      </c>
      <c r="G335" s="4" t="s">
        <v>128</v>
      </c>
      <c r="H335" s="253">
        <v>500</v>
      </c>
      <c r="I335" s="172">
        <v>46173</v>
      </c>
      <c r="J335" s="172">
        <f>EOMONTH(Table3[[#This Row],[Month1]],1)</f>
        <v>46203</v>
      </c>
      <c r="K335" s="212">
        <v>0.35</v>
      </c>
      <c r="L335" s="7">
        <f ca="1">IF(OR(S335="WTI Sprds",S335="Brent Sprds",S335="WTI-Brent",S335="DFL"),INDEX(INDIRECT("'" &amp; S335 &amp; "'!$A$6:$XFD$1048576"),MATCH('PnL26'!$P$1,INDIRECT("'" &amp; S335 &amp; "'!$A$6:$A$1048576"),0),MATCH(EOMONTH(I335,0),INDIRECT("'" &amp; S335 &amp; "'!$A$4:$XFD$4"),0)),INDEX(BBG!$A:$BA,MATCH('PnL26'!$P$1,BBG!$A:$A,0),MATCH($I335,BBG!$A$4:$BA$4,0))-INDEX(BBG!$A:$BA,MATCH('PnL26'!$P$1,BBG!$A:$A,0),MATCH($J335,BBG!$A$4:$BA$4,0)))</f>
        <v>2.19</v>
      </c>
      <c r="M335" s="9">
        <f t="shared" ref="M335:M336" ca="1" si="401">IFERROR((L335-K335)*H335,"")</f>
        <v>919.99999999999989</v>
      </c>
      <c r="N335">
        <f t="shared" ref="N335:N336" si="402">H335*K335</f>
        <v>175</v>
      </c>
      <c r="O335" s="14" t="str">
        <f t="shared" ref="O335:O336" si="403">IF(I335=J335,TEXT(I335,"MMM YY"),TEXT(I335,"MMM")&amp;"/"&amp;TEXT(J335,"MMM")&amp;" "&amp;RIGHT(T335,2))</f>
        <v>May/Jun 26</v>
      </c>
      <c r="P335" s="8" t="str">
        <f t="shared" ref="P335:P336" si="404">IF(H335&lt;0,"Sell","Buy")</f>
        <v>Buy</v>
      </c>
      <c r="Q335">
        <f t="shared" ref="Q335:Q336" ca="1" si="405">H335*L335</f>
        <v>1095</v>
      </c>
      <c r="R335" t="str">
        <f>VLOOKUP(F335,Control!$B:$C,2,FALSE)</f>
        <v>Futures</v>
      </c>
      <c r="S335" t="str">
        <f>VLOOKUP(F335,Control!$B:$D,3,FALSE)</f>
        <v>WTI Sprds</v>
      </c>
      <c r="T335" s="38">
        <f t="shared" ref="T335:T336" si="406">YEAR(I335)</f>
        <v>2026</v>
      </c>
      <c r="U335" t="str">
        <f t="shared" ref="U335:U336" si="407">IFERROR(IF(H335&gt;0,"Buy","Sell"),"")</f>
        <v>Buy</v>
      </c>
      <c r="V335" s="240" t="s">
        <v>96</v>
      </c>
      <c r="W335" t="str">
        <f>_xlfn.XLOOKUP(Table3[[#This Row],[Instrument]],Control!$B$2:$B$19,Control!$E$2:$E$19)</f>
        <v>WTI</v>
      </c>
      <c r="X335" s="14">
        <f>Table3[[#This Row],[Month1]]</f>
        <v>46173</v>
      </c>
      <c r="Y335" s="350">
        <f>Table3[[#This Row],[Quantity]]</f>
        <v>500</v>
      </c>
      <c r="Z335" t="str">
        <f>_xlfn.XLOOKUP(Table3[[#This Row],[Instrument]],Control!$B$2:$B$19,Control!$F$2:$F$19)</f>
        <v>WTI</v>
      </c>
      <c r="AA335" s="14">
        <f>Table3[[#This Row],[Month2]]</f>
        <v>46203</v>
      </c>
      <c r="AB335" s="350">
        <f t="shared" si="378"/>
        <v>-500</v>
      </c>
    </row>
    <row r="336" spans="4:28" ht="15" hidden="1" thickBot="1" x14ac:dyDescent="0.4">
      <c r="D336" s="239" t="s">
        <v>1733</v>
      </c>
      <c r="E336" s="174">
        <v>46080</v>
      </c>
      <c r="F336" s="10" t="s">
        <v>10</v>
      </c>
      <c r="G336" s="4" t="s">
        <v>128</v>
      </c>
      <c r="H336" s="253">
        <v>500</v>
      </c>
      <c r="I336" s="172">
        <f>J335</f>
        <v>46203</v>
      </c>
      <c r="J336" s="172">
        <f>Table3[[#This Row],[Month1]]</f>
        <v>46203</v>
      </c>
      <c r="K336" s="212">
        <v>-5.7</v>
      </c>
      <c r="L336" s="7">
        <f ca="1">IF(OR(S336="WTI Sprds",S336="Brent Sprds",S336="WTI-Brent",S336="DFL"),INDEX(INDIRECT("'" &amp; S336 &amp; "'!$A$6:$XFD$1048576"),MATCH('PnL26'!$P$1,INDIRECT("'" &amp; S336 &amp; "'!$A$6:$A$1048576"),0),MATCH(EOMONTH(I336,0),INDIRECT("'" &amp; S336 &amp; "'!$A$4:$XFD$4"),0)),INDEX(BBG!$A:$BA,MATCH('PnL26'!$P$1,BBG!$A:$A,0),MATCH($I336,BBG!$A$4:$BA$4,0))-INDEX(BBG!$A:$BA,MATCH('PnL26'!$P$1,BBG!$A:$A,0),MATCH($J336,BBG!$A$4:$BA$4,0)))</f>
        <v>-8.94</v>
      </c>
      <c r="M336" s="9">
        <f t="shared" ca="1" si="401"/>
        <v>-1619.9999999999998</v>
      </c>
      <c r="N336">
        <f t="shared" si="402"/>
        <v>-2850</v>
      </c>
      <c r="O336" s="14" t="str">
        <f t="shared" si="403"/>
        <v>Jun 26</v>
      </c>
      <c r="P336" s="8" t="str">
        <f t="shared" si="404"/>
        <v>Buy</v>
      </c>
      <c r="Q336">
        <f t="shared" ca="1" si="405"/>
        <v>-4470</v>
      </c>
      <c r="R336" t="str">
        <f>VLOOKUP(F336,Control!$B:$C,2,FALSE)</f>
        <v>Swaps</v>
      </c>
      <c r="S336" t="str">
        <f>VLOOKUP(F336,Control!$B:$D,3,FALSE)</f>
        <v>WTI-Brent</v>
      </c>
      <c r="T336" s="38">
        <f t="shared" si="406"/>
        <v>2026</v>
      </c>
      <c r="U336" t="str">
        <f t="shared" si="407"/>
        <v>Buy</v>
      </c>
      <c r="V336" s="240" t="s">
        <v>96</v>
      </c>
      <c r="W336" t="str">
        <f>_xlfn.XLOOKUP(Table3[[#This Row],[Instrument]],Control!$B$2:$B$19,Control!$E$2:$E$19)</f>
        <v>WTI</v>
      </c>
      <c r="X336" s="14">
        <f>Table3[[#This Row],[Month1]]</f>
        <v>46203</v>
      </c>
      <c r="Y336" s="350">
        <f>Table3[[#This Row],[Quantity]]</f>
        <v>500</v>
      </c>
      <c r="Z336" t="str">
        <f>_xlfn.XLOOKUP(Table3[[#This Row],[Instrument]],Control!$B$2:$B$19,Control!$F$2:$F$19)</f>
        <v>Brent</v>
      </c>
      <c r="AA336" s="14">
        <f>Table3[[#This Row],[Month2]]</f>
        <v>46203</v>
      </c>
      <c r="AB336" s="350">
        <f t="shared" si="378"/>
        <v>-500</v>
      </c>
    </row>
    <row r="337" spans="4:28" ht="15" hidden="1" thickBot="1" x14ac:dyDescent="0.4">
      <c r="D337" s="239" t="s">
        <v>1733</v>
      </c>
      <c r="E337" s="174">
        <v>46080</v>
      </c>
      <c r="F337" s="10" t="s">
        <v>3</v>
      </c>
      <c r="G337" s="4" t="s">
        <v>128</v>
      </c>
      <c r="H337" s="253">
        <v>500</v>
      </c>
      <c r="I337" s="172">
        <v>46173</v>
      </c>
      <c r="J337" s="172">
        <f>EOMONTH(Table3[[#This Row],[Month1]],1)</f>
        <v>46203</v>
      </c>
      <c r="K337" s="212">
        <v>0.34</v>
      </c>
      <c r="L337" s="7">
        <f ca="1">IF(OR(S337="WTI Sprds",S337="Brent Sprds",S337="WTI-Brent",S337="DFL"),INDEX(INDIRECT("'" &amp; S337 &amp; "'!$A$6:$XFD$1048576"),MATCH('PnL26'!$P$1,INDIRECT("'" &amp; S337 &amp; "'!$A$6:$A$1048576"),0),MATCH(EOMONTH(I337,0),INDIRECT("'" &amp; S337 &amp; "'!$A$4:$XFD$4"),0)),INDEX(BBG!$A:$BA,MATCH('PnL26'!$P$1,BBG!$A:$A,0),MATCH($I337,BBG!$A$4:$BA$4,0))-INDEX(BBG!$A:$BA,MATCH('PnL26'!$P$1,BBG!$A:$A,0),MATCH($J337,BBG!$A$4:$BA$4,0)))</f>
        <v>2.19</v>
      </c>
      <c r="M337" s="9">
        <f t="shared" ref="M337:M338" ca="1" si="408">IFERROR((L337-K337)*H337,"")</f>
        <v>924.99999999999989</v>
      </c>
      <c r="N337">
        <f t="shared" ref="N337:N338" si="409">H337*K337</f>
        <v>170</v>
      </c>
      <c r="O337" s="14" t="str">
        <f t="shared" ref="O337:O338" si="410">IF(I337=J337,TEXT(I337,"MMM YY"),TEXT(I337,"MMM")&amp;"/"&amp;TEXT(J337,"MMM")&amp;" "&amp;RIGHT(T337,2))</f>
        <v>May/Jun 26</v>
      </c>
      <c r="P337" s="8" t="str">
        <f t="shared" ref="P337:P338" si="411">IF(H337&lt;0,"Sell","Buy")</f>
        <v>Buy</v>
      </c>
      <c r="Q337">
        <f t="shared" ref="Q337:Q338" ca="1" si="412">H337*L337</f>
        <v>1095</v>
      </c>
      <c r="R337" t="str">
        <f>VLOOKUP(F337,Control!$B:$C,2,FALSE)</f>
        <v>Futures</v>
      </c>
      <c r="S337" t="str">
        <f>VLOOKUP(F337,Control!$B:$D,3,FALSE)</f>
        <v>WTI Sprds</v>
      </c>
      <c r="T337" s="38">
        <f t="shared" ref="T337:T338" si="413">YEAR(I337)</f>
        <v>2026</v>
      </c>
      <c r="U337" t="str">
        <f t="shared" ref="U337:U338" si="414">IFERROR(IF(H337&gt;0,"Buy","Sell"),"")</f>
        <v>Buy</v>
      </c>
      <c r="V337" s="240" t="s">
        <v>96</v>
      </c>
      <c r="W337" t="str">
        <f>_xlfn.XLOOKUP(Table3[[#This Row],[Instrument]],Control!$B$2:$B$19,Control!$E$2:$E$19)</f>
        <v>WTI</v>
      </c>
      <c r="X337" s="14">
        <f>Table3[[#This Row],[Month1]]</f>
        <v>46173</v>
      </c>
      <c r="Y337" s="350">
        <f>Table3[[#This Row],[Quantity]]</f>
        <v>500</v>
      </c>
      <c r="Z337" t="str">
        <f>_xlfn.XLOOKUP(Table3[[#This Row],[Instrument]],Control!$B$2:$B$19,Control!$F$2:$F$19)</f>
        <v>WTI</v>
      </c>
      <c r="AA337" s="14">
        <f>Table3[[#This Row],[Month2]]</f>
        <v>46203</v>
      </c>
      <c r="AB337" s="350">
        <f t="shared" si="378"/>
        <v>-500</v>
      </c>
    </row>
    <row r="338" spans="4:28" ht="15" hidden="1" thickBot="1" x14ac:dyDescent="0.4">
      <c r="D338" s="239" t="s">
        <v>1733</v>
      </c>
      <c r="E338" s="174">
        <v>46080</v>
      </c>
      <c r="F338" s="10" t="s">
        <v>10</v>
      </c>
      <c r="G338" s="4" t="s">
        <v>128</v>
      </c>
      <c r="H338" s="253">
        <v>500</v>
      </c>
      <c r="I338" s="172">
        <f>J337</f>
        <v>46203</v>
      </c>
      <c r="J338" s="172">
        <f>Table3[[#This Row],[Month1]]</f>
        <v>46203</v>
      </c>
      <c r="K338" s="212">
        <v>-5.7</v>
      </c>
      <c r="L338" s="7">
        <f ca="1">IF(OR(S338="WTI Sprds",S338="Brent Sprds",S338="WTI-Brent",S338="DFL"),INDEX(INDIRECT("'" &amp; S338 &amp; "'!$A$6:$XFD$1048576"),MATCH('PnL26'!$P$1,INDIRECT("'" &amp; S338 &amp; "'!$A$6:$A$1048576"),0),MATCH(EOMONTH(I338,0),INDIRECT("'" &amp; S338 &amp; "'!$A$4:$XFD$4"),0)),INDEX(BBG!$A:$BA,MATCH('PnL26'!$P$1,BBG!$A:$A,0),MATCH($I338,BBG!$A$4:$BA$4,0))-INDEX(BBG!$A:$BA,MATCH('PnL26'!$P$1,BBG!$A:$A,0),MATCH($J338,BBG!$A$4:$BA$4,0)))</f>
        <v>-8.94</v>
      </c>
      <c r="M338" s="9">
        <f t="shared" ca="1" si="408"/>
        <v>-1619.9999999999998</v>
      </c>
      <c r="N338">
        <f t="shared" si="409"/>
        <v>-2850</v>
      </c>
      <c r="O338" s="14" t="str">
        <f t="shared" si="410"/>
        <v>Jun 26</v>
      </c>
      <c r="P338" s="8" t="str">
        <f t="shared" si="411"/>
        <v>Buy</v>
      </c>
      <c r="Q338">
        <f t="shared" ca="1" si="412"/>
        <v>-4470</v>
      </c>
      <c r="R338" t="str">
        <f>VLOOKUP(F338,Control!$B:$C,2,FALSE)</f>
        <v>Swaps</v>
      </c>
      <c r="S338" t="str">
        <f>VLOOKUP(F338,Control!$B:$D,3,FALSE)</f>
        <v>WTI-Brent</v>
      </c>
      <c r="T338" s="38">
        <f t="shared" si="413"/>
        <v>2026</v>
      </c>
      <c r="U338" t="str">
        <f t="shared" si="414"/>
        <v>Buy</v>
      </c>
      <c r="V338" s="240" t="s">
        <v>96</v>
      </c>
      <c r="W338" t="str">
        <f>_xlfn.XLOOKUP(Table3[[#This Row],[Instrument]],Control!$B$2:$B$19,Control!$E$2:$E$19)</f>
        <v>WTI</v>
      </c>
      <c r="X338" s="14">
        <f>Table3[[#This Row],[Month1]]</f>
        <v>46203</v>
      </c>
      <c r="Y338" s="350">
        <f>Table3[[#This Row],[Quantity]]</f>
        <v>500</v>
      </c>
      <c r="Z338" t="str">
        <f>_xlfn.XLOOKUP(Table3[[#This Row],[Instrument]],Control!$B$2:$B$19,Control!$F$2:$F$19)</f>
        <v>Brent</v>
      </c>
      <c r="AA338" s="14">
        <f>Table3[[#This Row],[Month2]]</f>
        <v>46203</v>
      </c>
      <c r="AB338" s="350">
        <f t="shared" si="378"/>
        <v>-500</v>
      </c>
    </row>
    <row r="339" spans="4:28" ht="15" hidden="1" thickBot="1" x14ac:dyDescent="0.4">
      <c r="D339" s="239" t="s">
        <v>1733</v>
      </c>
      <c r="E339" s="174">
        <v>46080</v>
      </c>
      <c r="F339" s="10" t="s">
        <v>3</v>
      </c>
      <c r="G339" s="4" t="s">
        <v>128</v>
      </c>
      <c r="H339" s="253">
        <v>500</v>
      </c>
      <c r="I339" s="172">
        <v>46173</v>
      </c>
      <c r="J339" s="172">
        <f>EOMONTH(Table3[[#This Row],[Month1]],1)</f>
        <v>46203</v>
      </c>
      <c r="K339" s="212">
        <v>0.31</v>
      </c>
      <c r="L339" s="7">
        <f ca="1">IF(OR(S339="WTI Sprds",S339="Brent Sprds",S339="WTI-Brent",S339="DFL"),INDEX(INDIRECT("'" &amp; S339 &amp; "'!$A$6:$XFD$1048576"),MATCH('PnL26'!$P$1,INDIRECT("'" &amp; S339 &amp; "'!$A$6:$A$1048576"),0),MATCH(EOMONTH(I339,0),INDIRECT("'" &amp; S339 &amp; "'!$A$4:$XFD$4"),0)),INDEX(BBG!$A:$BA,MATCH('PnL26'!$P$1,BBG!$A:$A,0),MATCH($I339,BBG!$A$4:$BA$4,0))-INDEX(BBG!$A:$BA,MATCH('PnL26'!$P$1,BBG!$A:$A,0),MATCH($J339,BBG!$A$4:$BA$4,0)))</f>
        <v>2.19</v>
      </c>
      <c r="M339" s="9">
        <f t="shared" ref="M339:M341" ca="1" si="415">IFERROR((L339-K339)*H339,"")</f>
        <v>940</v>
      </c>
      <c r="N339">
        <f t="shared" ref="N339:N341" si="416">H339*K339</f>
        <v>155</v>
      </c>
      <c r="O339" s="14" t="str">
        <f t="shared" ref="O339:O341" si="417">IF(I339=J339,TEXT(I339,"MMM YY"),TEXT(I339,"MMM")&amp;"/"&amp;TEXT(J339,"MMM")&amp;" "&amp;RIGHT(T339,2))</f>
        <v>May/Jun 26</v>
      </c>
      <c r="P339" s="8" t="str">
        <f t="shared" ref="P339:P341" si="418">IF(H339&lt;0,"Sell","Buy")</f>
        <v>Buy</v>
      </c>
      <c r="Q339">
        <f t="shared" ref="Q339:Q341" ca="1" si="419">H339*L339</f>
        <v>1095</v>
      </c>
      <c r="R339" t="str">
        <f>VLOOKUP(F339,Control!$B:$C,2,FALSE)</f>
        <v>Futures</v>
      </c>
      <c r="S339" t="str">
        <f>VLOOKUP(F339,Control!$B:$D,3,FALSE)</f>
        <v>WTI Sprds</v>
      </c>
      <c r="T339" s="38">
        <f t="shared" ref="T339:T341" si="420">YEAR(I339)</f>
        <v>2026</v>
      </c>
      <c r="U339" t="str">
        <f t="shared" ref="U339:U341" si="421">IFERROR(IF(H339&gt;0,"Buy","Sell"),"")</f>
        <v>Buy</v>
      </c>
      <c r="V339" s="240" t="s">
        <v>96</v>
      </c>
      <c r="W339" t="str">
        <f>_xlfn.XLOOKUP(Table3[[#This Row],[Instrument]],Control!$B$2:$B$19,Control!$E$2:$E$19)</f>
        <v>WTI</v>
      </c>
      <c r="X339" s="14">
        <f>Table3[[#This Row],[Month1]]</f>
        <v>46173</v>
      </c>
      <c r="Y339" s="350">
        <f>Table3[[#This Row],[Quantity]]</f>
        <v>500</v>
      </c>
      <c r="Z339" t="str">
        <f>_xlfn.XLOOKUP(Table3[[#This Row],[Instrument]],Control!$B$2:$B$19,Control!$F$2:$F$19)</f>
        <v>WTI</v>
      </c>
      <c r="AA339" s="14">
        <f>Table3[[#This Row],[Month2]]</f>
        <v>46203</v>
      </c>
      <c r="AB339" s="350">
        <f t="shared" si="378"/>
        <v>-500</v>
      </c>
    </row>
    <row r="340" spans="4:28" ht="15" hidden="1" thickBot="1" x14ac:dyDescent="0.4">
      <c r="D340" s="239" t="s">
        <v>1733</v>
      </c>
      <c r="E340" s="174">
        <v>46080</v>
      </c>
      <c r="F340" s="10" t="s">
        <v>10</v>
      </c>
      <c r="G340" s="4" t="s">
        <v>128</v>
      </c>
      <c r="H340" s="253">
        <v>500</v>
      </c>
      <c r="I340" s="172">
        <f>J339</f>
        <v>46203</v>
      </c>
      <c r="J340" s="172">
        <f>Table3[[#This Row],[Month1]]</f>
        <v>46203</v>
      </c>
      <c r="K340" s="212">
        <v>-5.7</v>
      </c>
      <c r="L340" s="7">
        <f ca="1">IF(OR(S340="WTI Sprds",S340="Brent Sprds",S340="WTI-Brent",S340="DFL"),INDEX(INDIRECT("'" &amp; S340 &amp; "'!$A$6:$XFD$1048576"),MATCH('PnL26'!$P$1,INDIRECT("'" &amp; S340 &amp; "'!$A$6:$A$1048576"),0),MATCH(EOMONTH(I340,0),INDIRECT("'" &amp; S340 &amp; "'!$A$4:$XFD$4"),0)),INDEX(BBG!$A:$BA,MATCH('PnL26'!$P$1,BBG!$A:$A,0),MATCH($I340,BBG!$A$4:$BA$4,0))-INDEX(BBG!$A:$BA,MATCH('PnL26'!$P$1,BBG!$A:$A,0),MATCH($J340,BBG!$A$4:$BA$4,0)))</f>
        <v>-8.94</v>
      </c>
      <c r="M340" s="9">
        <f t="shared" ca="1" si="415"/>
        <v>-1619.9999999999998</v>
      </c>
      <c r="N340">
        <f t="shared" si="416"/>
        <v>-2850</v>
      </c>
      <c r="O340" s="14" t="str">
        <f t="shared" si="417"/>
        <v>Jun 26</v>
      </c>
      <c r="P340" s="8" t="str">
        <f t="shared" si="418"/>
        <v>Buy</v>
      </c>
      <c r="Q340">
        <f t="shared" ca="1" si="419"/>
        <v>-4470</v>
      </c>
      <c r="R340" t="str">
        <f>VLOOKUP(F340,Control!$B:$C,2,FALSE)</f>
        <v>Swaps</v>
      </c>
      <c r="S340" t="str">
        <f>VLOOKUP(F340,Control!$B:$D,3,FALSE)</f>
        <v>WTI-Brent</v>
      </c>
      <c r="T340" s="38">
        <f t="shared" si="420"/>
        <v>2026</v>
      </c>
      <c r="U340" t="str">
        <f t="shared" si="421"/>
        <v>Buy</v>
      </c>
      <c r="V340" s="240" t="s">
        <v>96</v>
      </c>
      <c r="W340" t="str">
        <f>_xlfn.XLOOKUP(Table3[[#This Row],[Instrument]],Control!$B$2:$B$19,Control!$E$2:$E$19)</f>
        <v>WTI</v>
      </c>
      <c r="X340" s="14">
        <f>Table3[[#This Row],[Month1]]</f>
        <v>46203</v>
      </c>
      <c r="Y340" s="350">
        <f>Table3[[#This Row],[Quantity]]</f>
        <v>500</v>
      </c>
      <c r="Z340" t="str">
        <f>_xlfn.XLOOKUP(Table3[[#This Row],[Instrument]],Control!$B$2:$B$19,Control!$F$2:$F$19)</f>
        <v>Brent</v>
      </c>
      <c r="AA340" s="14">
        <f>Table3[[#This Row],[Month2]]</f>
        <v>46203</v>
      </c>
      <c r="AB340" s="350">
        <f t="shared" si="378"/>
        <v>-500</v>
      </c>
    </row>
    <row r="341" spans="4:28" ht="15" hidden="1" thickBot="1" x14ac:dyDescent="0.4">
      <c r="D341" s="239" t="s">
        <v>1734</v>
      </c>
      <c r="E341" s="174">
        <v>46080</v>
      </c>
      <c r="F341" s="10" t="s">
        <v>7</v>
      </c>
      <c r="G341" s="4" t="s">
        <v>128</v>
      </c>
      <c r="H341" s="253">
        <v>1000</v>
      </c>
      <c r="I341" s="172">
        <f>J340</f>
        <v>46203</v>
      </c>
      <c r="J341" s="172">
        <v>46234</v>
      </c>
      <c r="K341" s="212">
        <v>0.66</v>
      </c>
      <c r="L341" s="7">
        <f ca="1">IF(OR(S341="WTI Sprds",S341="Brent Sprds",S341="WTI-Brent",S341="DFL"),INDEX(INDIRECT("'" &amp; S341 &amp; "'!$A$6:$XFD$1048576"),MATCH('PnL26'!$P$1,INDIRECT("'" &amp; S341 &amp; "'!$A$6:$A$1048576"),0),MATCH(EOMONTH(I341,0),INDIRECT("'" &amp; S341 &amp; "'!$A$4:$XFD$4"),0)),INDEX(BBG!$A:$BA,MATCH('PnL26'!$P$1,BBG!$A:$A,0),MATCH($I341,BBG!$A$4:$BA$4,0))-INDEX(BBG!$A:$BA,MATCH('PnL26'!$P$1,BBG!$A:$A,0),MATCH($J341,BBG!$A$4:$BA$4,0)))</f>
        <v>3.61</v>
      </c>
      <c r="M341" s="9">
        <f t="shared" ca="1" si="415"/>
        <v>2949.9999999999995</v>
      </c>
      <c r="N341">
        <f t="shared" si="416"/>
        <v>660</v>
      </c>
      <c r="O341" s="14" t="str">
        <f t="shared" si="417"/>
        <v>Jun/Jul 26</v>
      </c>
      <c r="P341" s="8" t="str">
        <f t="shared" si="418"/>
        <v>Buy</v>
      </c>
      <c r="Q341">
        <f t="shared" ca="1" si="419"/>
        <v>3610</v>
      </c>
      <c r="R341" t="str">
        <f>VLOOKUP(F341,Control!$B:$C,2,FALSE)</f>
        <v>Futures</v>
      </c>
      <c r="S341" t="str">
        <f>VLOOKUP(F341,Control!$B:$D,3,FALSE)</f>
        <v>Brent Sprds</v>
      </c>
      <c r="T341" s="38">
        <f t="shared" si="420"/>
        <v>2026</v>
      </c>
      <c r="U341" t="str">
        <f t="shared" si="421"/>
        <v>Buy</v>
      </c>
      <c r="V341" s="240" t="s">
        <v>96</v>
      </c>
      <c r="W341" t="str">
        <f>_xlfn.XLOOKUP(Table3[[#This Row],[Instrument]],Control!$B$2:$B$19,Control!$E$2:$E$19)</f>
        <v>Brent</v>
      </c>
      <c r="X341" s="14">
        <f>Table3[[#This Row],[Month1]]</f>
        <v>46203</v>
      </c>
      <c r="Y341" s="350">
        <f>Table3[[#This Row],[Quantity]]</f>
        <v>1000</v>
      </c>
      <c r="Z341" t="str">
        <f>_xlfn.XLOOKUP(Table3[[#This Row],[Instrument]],Control!$B$2:$B$19,Control!$F$2:$F$19)</f>
        <v>Brent</v>
      </c>
      <c r="AA341" s="14">
        <f>Table3[[#This Row],[Month2]]</f>
        <v>46234</v>
      </c>
      <c r="AB341" s="350">
        <f t="shared" si="378"/>
        <v>-1000</v>
      </c>
    </row>
    <row r="342" spans="4:28" ht="15" hidden="1" thickBot="1" x14ac:dyDescent="0.4">
      <c r="D342" s="239" t="s">
        <v>1734</v>
      </c>
      <c r="E342" s="174">
        <v>46080</v>
      </c>
      <c r="F342" s="10" t="s">
        <v>7</v>
      </c>
      <c r="G342" s="4" t="s">
        <v>128</v>
      </c>
      <c r="H342" s="253">
        <v>1000</v>
      </c>
      <c r="I342" s="172">
        <v>46203</v>
      </c>
      <c r="J342" s="172">
        <v>46234</v>
      </c>
      <c r="K342" s="212">
        <v>0.68</v>
      </c>
      <c r="L342" s="7">
        <f ca="1">IF(OR(S342="WTI Sprds",S342="Brent Sprds",S342="WTI-Brent",S342="DFL"),INDEX(INDIRECT("'" &amp; S342 &amp; "'!$A$6:$XFD$1048576"),MATCH('PnL26'!$P$1,INDIRECT("'" &amp; S342 &amp; "'!$A$6:$A$1048576"),0),MATCH(EOMONTH(I342,0),INDIRECT("'" &amp; S342 &amp; "'!$A$4:$XFD$4"),0)),INDEX(BBG!$A:$BA,MATCH('PnL26'!$P$1,BBG!$A:$A,0),MATCH($I342,BBG!$A$4:$BA$4,0))-INDEX(BBG!$A:$BA,MATCH('PnL26'!$P$1,BBG!$A:$A,0),MATCH($J342,BBG!$A$4:$BA$4,0)))</f>
        <v>3.61</v>
      </c>
      <c r="M342" s="9">
        <f t="shared" ref="M342:M345" ca="1" si="422">IFERROR((L342-K342)*H342,"")</f>
        <v>2929.9999999999995</v>
      </c>
      <c r="N342">
        <f t="shared" ref="N342:N345" si="423">H342*K342</f>
        <v>680</v>
      </c>
      <c r="O342" s="14" t="str">
        <f t="shared" ref="O342:O345" si="424">IF(I342=J342,TEXT(I342,"MMM YY"),TEXT(I342,"MMM")&amp;"/"&amp;TEXT(J342,"MMM")&amp;" "&amp;RIGHT(T342,2))</f>
        <v>Jun/Jul 26</v>
      </c>
      <c r="P342" s="8" t="str">
        <f t="shared" ref="P342:P345" si="425">IF(H342&lt;0,"Sell","Buy")</f>
        <v>Buy</v>
      </c>
      <c r="Q342">
        <f t="shared" ref="Q342:Q345" ca="1" si="426">H342*L342</f>
        <v>3610</v>
      </c>
      <c r="R342" t="str">
        <f>VLOOKUP(F342,Control!$B:$C,2,FALSE)</f>
        <v>Futures</v>
      </c>
      <c r="S342" t="str">
        <f>VLOOKUP(F342,Control!$B:$D,3,FALSE)</f>
        <v>Brent Sprds</v>
      </c>
      <c r="T342" s="38">
        <f t="shared" ref="T342:T345" si="427">YEAR(I342)</f>
        <v>2026</v>
      </c>
      <c r="U342" t="str">
        <f t="shared" ref="U342:U345" si="428">IFERROR(IF(H342&gt;0,"Buy","Sell"),"")</f>
        <v>Buy</v>
      </c>
      <c r="V342" s="240" t="s">
        <v>96</v>
      </c>
      <c r="W342" t="str">
        <f>_xlfn.XLOOKUP(Table3[[#This Row],[Instrument]],Control!$B$2:$B$19,Control!$E$2:$E$19)</f>
        <v>Brent</v>
      </c>
      <c r="X342" s="14">
        <f>Table3[[#This Row],[Month1]]</f>
        <v>46203</v>
      </c>
      <c r="Y342" s="350">
        <f>Table3[[#This Row],[Quantity]]</f>
        <v>1000</v>
      </c>
      <c r="Z342" t="str">
        <f>_xlfn.XLOOKUP(Table3[[#This Row],[Instrument]],Control!$B$2:$B$19,Control!$F$2:$F$19)</f>
        <v>Brent</v>
      </c>
      <c r="AA342" s="14">
        <f>Table3[[#This Row],[Month2]]</f>
        <v>46234</v>
      </c>
      <c r="AB342" s="350">
        <f t="shared" si="378"/>
        <v>-1000</v>
      </c>
    </row>
    <row r="343" spans="4:28" ht="15" hidden="1" thickBot="1" x14ac:dyDescent="0.4">
      <c r="D343" s="239" t="s">
        <v>127</v>
      </c>
      <c r="E343" s="174">
        <v>46080</v>
      </c>
      <c r="F343" s="10" t="s">
        <v>3</v>
      </c>
      <c r="G343" s="4" t="s">
        <v>128</v>
      </c>
      <c r="H343" s="253">
        <v>186</v>
      </c>
      <c r="I343" s="172">
        <v>46142</v>
      </c>
      <c r="J343" s="172">
        <f>EOMONTH(Table3[[#This Row],[Month1]],1)</f>
        <v>46173</v>
      </c>
      <c r="K343" s="212">
        <v>0.13300000000000001</v>
      </c>
      <c r="L343" s="7">
        <f ca="1">IF(OR(S343="WTI Sprds",S343="Brent Sprds",S343="WTI-Brent",S343="DFL"),INDEX(INDIRECT("'" &amp; S343 &amp; "'!$A$6:$XFD$1048576"),MATCH('PnL26'!$P$1,INDIRECT("'" &amp; S343 &amp; "'!$A$6:$A$1048576"),0),MATCH(EOMONTH(I343,0),INDIRECT("'" &amp; S343 &amp; "'!$A$4:$XFD$4"),0)),INDEX(BBG!$A:$BA,MATCH('PnL26'!$P$1,BBG!$A:$A,0),MATCH($I343,BBG!$A$4:$BA$4,0))-INDEX(BBG!$A:$BA,MATCH('PnL26'!$P$1,BBG!$A:$A,0),MATCH($J343,BBG!$A$4:$BA$4,0)))</f>
        <v>0.59</v>
      </c>
      <c r="M343" s="9">
        <f t="shared" ca="1" si="422"/>
        <v>85.001999999999995</v>
      </c>
      <c r="N343">
        <f t="shared" si="423"/>
        <v>24.738</v>
      </c>
      <c r="O343" s="14" t="str">
        <f t="shared" si="424"/>
        <v>Apr/May 26</v>
      </c>
      <c r="P343" s="8" t="str">
        <f t="shared" si="425"/>
        <v>Buy</v>
      </c>
      <c r="Q343">
        <f t="shared" ca="1" si="426"/>
        <v>109.74</v>
      </c>
      <c r="R343" t="str">
        <f>VLOOKUP(F343,Control!$B:$C,2,FALSE)</f>
        <v>Futures</v>
      </c>
      <c r="S343" t="str">
        <f>VLOOKUP(F343,Control!$B:$D,3,FALSE)</f>
        <v>WTI Sprds</v>
      </c>
      <c r="T343" s="38">
        <f t="shared" si="427"/>
        <v>2026</v>
      </c>
      <c r="U343" t="str">
        <f t="shared" si="428"/>
        <v>Buy</v>
      </c>
      <c r="V343" s="240" t="s">
        <v>96</v>
      </c>
      <c r="W343" t="str">
        <f>_xlfn.XLOOKUP(Table3[[#This Row],[Instrument]],Control!$B$2:$B$19,Control!$E$2:$E$19)</f>
        <v>WTI</v>
      </c>
      <c r="X343" s="14">
        <f>Table3[[#This Row],[Month1]]</f>
        <v>46142</v>
      </c>
      <c r="Y343" s="350">
        <f>Table3[[#This Row],[Quantity]]</f>
        <v>186</v>
      </c>
      <c r="Z343" t="str">
        <f>_xlfn.XLOOKUP(Table3[[#This Row],[Instrument]],Control!$B$2:$B$19,Control!$F$2:$F$19)</f>
        <v>WTI</v>
      </c>
      <c r="AA343" s="14">
        <f>Table3[[#This Row],[Month2]]</f>
        <v>46173</v>
      </c>
      <c r="AB343" s="350">
        <f t="shared" si="378"/>
        <v>-186</v>
      </c>
    </row>
    <row r="344" spans="4:28" ht="15" hidden="1" thickBot="1" x14ac:dyDescent="0.4">
      <c r="D344" s="239" t="s">
        <v>127</v>
      </c>
      <c r="E344" s="174">
        <v>46080</v>
      </c>
      <c r="F344" s="10" t="s">
        <v>3</v>
      </c>
      <c r="G344" s="4" t="s">
        <v>128</v>
      </c>
      <c r="H344" s="253">
        <v>62</v>
      </c>
      <c r="I344" s="172">
        <f>J343</f>
        <v>46173</v>
      </c>
      <c r="J344" s="172">
        <f>EOMONTH(Table3[[#This Row],[Month1]],1)</f>
        <v>46203</v>
      </c>
      <c r="K344" s="212">
        <v>0.33</v>
      </c>
      <c r="L344" s="7">
        <f ca="1">IF(OR(S344="WTI Sprds",S344="Brent Sprds",S344="WTI-Brent",S344="DFL"),INDEX(INDIRECT("'" &amp; S344 &amp; "'!$A$6:$XFD$1048576"),MATCH('PnL26'!$P$1,INDIRECT("'" &amp; S344 &amp; "'!$A$6:$A$1048576"),0),MATCH(EOMONTH(I344,0),INDIRECT("'" &amp; S344 &amp; "'!$A$4:$XFD$4"),0)),INDEX(BBG!$A:$BA,MATCH('PnL26'!$P$1,BBG!$A:$A,0),MATCH($I344,BBG!$A$4:$BA$4,0))-INDEX(BBG!$A:$BA,MATCH('PnL26'!$P$1,BBG!$A:$A,0),MATCH($J344,BBG!$A$4:$BA$4,0)))</f>
        <v>2.19</v>
      </c>
      <c r="M344" s="9">
        <f t="shared" ca="1" si="422"/>
        <v>115.32</v>
      </c>
      <c r="N344">
        <f t="shared" si="423"/>
        <v>20.46</v>
      </c>
      <c r="O344" s="14" t="str">
        <f t="shared" si="424"/>
        <v>May/Jun 26</v>
      </c>
      <c r="P344" s="8" t="str">
        <f t="shared" si="425"/>
        <v>Buy</v>
      </c>
      <c r="Q344">
        <f t="shared" ca="1" si="426"/>
        <v>135.78</v>
      </c>
      <c r="R344" t="str">
        <f>VLOOKUP(F344,Control!$B:$C,2,FALSE)</f>
        <v>Futures</v>
      </c>
      <c r="S344" t="str">
        <f>VLOOKUP(F344,Control!$B:$D,3,FALSE)</f>
        <v>WTI Sprds</v>
      </c>
      <c r="T344" s="38">
        <f t="shared" si="427"/>
        <v>2026</v>
      </c>
      <c r="U344" t="str">
        <f t="shared" si="428"/>
        <v>Buy</v>
      </c>
      <c r="V344" s="240" t="s">
        <v>96</v>
      </c>
      <c r="W344" t="str">
        <f>_xlfn.XLOOKUP(Table3[[#This Row],[Instrument]],Control!$B$2:$B$19,Control!$E$2:$E$19)</f>
        <v>WTI</v>
      </c>
      <c r="X344" s="14">
        <f>Table3[[#This Row],[Month1]]</f>
        <v>46173</v>
      </c>
      <c r="Y344" s="350">
        <f>Table3[[#This Row],[Quantity]]</f>
        <v>62</v>
      </c>
      <c r="Z344" t="str">
        <f>_xlfn.XLOOKUP(Table3[[#This Row],[Instrument]],Control!$B$2:$B$19,Control!$F$2:$F$19)</f>
        <v>WTI</v>
      </c>
      <c r="AA344" s="14">
        <f>Table3[[#This Row],[Month2]]</f>
        <v>46203</v>
      </c>
      <c r="AB344" s="350">
        <f t="shared" si="378"/>
        <v>-62</v>
      </c>
    </row>
    <row r="345" spans="4:28" ht="15" hidden="1" thickBot="1" x14ac:dyDescent="0.4">
      <c r="D345" t="s">
        <v>127</v>
      </c>
      <c r="E345" s="174">
        <v>46080</v>
      </c>
      <c r="F345" s="10" t="s">
        <v>15</v>
      </c>
      <c r="G345" s="4" t="s">
        <v>128</v>
      </c>
      <c r="H345" s="253">
        <v>-5</v>
      </c>
      <c r="I345" s="173">
        <v>46081</v>
      </c>
      <c r="J345" s="173">
        <v>46081</v>
      </c>
      <c r="K345" s="100">
        <v>1.76</v>
      </c>
      <c r="L345" s="192">
        <f>VLOOKUP($I345,'PnL26'!$E$7:$F$59,2,FALSE)</f>
        <v>1.76</v>
      </c>
      <c r="M345" s="9">
        <f t="shared" si="422"/>
        <v>0</v>
      </c>
      <c r="N345">
        <f t="shared" si="423"/>
        <v>-8.8000000000000007</v>
      </c>
      <c r="O345" s="14" t="str">
        <f t="shared" si="424"/>
        <v>Feb 26</v>
      </c>
      <c r="P345" s="8" t="str">
        <f t="shared" si="425"/>
        <v>Sell</v>
      </c>
      <c r="Q345">
        <f t="shared" si="426"/>
        <v>-8.8000000000000007</v>
      </c>
      <c r="R345" s="38" t="str">
        <f>VLOOKUP(F345,Control!$B:$C,2,FALSE)</f>
        <v>Swaps</v>
      </c>
      <c r="S345" s="38" t="str">
        <f>VLOOKUP(F345,Control!$B:$D,3,FALSE)</f>
        <v>Dated</v>
      </c>
      <c r="T345" s="38">
        <f t="shared" si="427"/>
        <v>2026</v>
      </c>
      <c r="U345" t="str">
        <f t="shared" si="428"/>
        <v>Sell</v>
      </c>
      <c r="V345" t="s">
        <v>96</v>
      </c>
      <c r="W345" t="e">
        <f>_xlfn.XLOOKUP(Table3[[#This Row],[Instrument]],Control!$B$2:$B$19,Control!$E$2:$E$19)</f>
        <v>#N/A</v>
      </c>
      <c r="X345" s="14">
        <f>Table3[[#This Row],[Month1]]</f>
        <v>46081</v>
      </c>
      <c r="Y345" s="350">
        <f>Table3[[#This Row],[Quantity]]</f>
        <v>-5</v>
      </c>
      <c r="Z345" t="e">
        <f>_xlfn.XLOOKUP(Table3[[#This Row],[Instrument]],Control!$B$2:$B$19,Control!$F$2:$F$19)</f>
        <v>#N/A</v>
      </c>
      <c r="AA345" s="14">
        <f>Table3[[#This Row],[Month2]]</f>
        <v>46081</v>
      </c>
      <c r="AB345" s="350">
        <f t="shared" si="378"/>
        <v>5</v>
      </c>
    </row>
    <row r="346" spans="4:28" ht="15" hidden="1" thickBot="1" x14ac:dyDescent="0.4">
      <c r="D346" s="239" t="s">
        <v>127</v>
      </c>
      <c r="E346" s="174">
        <v>46083</v>
      </c>
      <c r="F346" s="10" t="s">
        <v>3</v>
      </c>
      <c r="G346" s="4" t="s">
        <v>128</v>
      </c>
      <c r="H346" s="253">
        <v>100</v>
      </c>
      <c r="I346" s="172">
        <v>46142</v>
      </c>
      <c r="J346" s="172">
        <f>EOMONTH(Table3[[#This Row],[Month1]],1)</f>
        <v>46173</v>
      </c>
      <c r="K346" s="212">
        <v>0.3</v>
      </c>
      <c r="L346" s="7">
        <f ca="1">IF(OR(S346="WTI Sprds",S346="Brent Sprds",S346="WTI-Brent",S346="DFL"),INDEX(INDIRECT("'" &amp; S346 &amp; "'!$A$6:$XFD$1048576"),MATCH('PnL26'!$P$1,INDIRECT("'" &amp; S346 &amp; "'!$A$6:$A$1048576"),0),MATCH(EOMONTH(I346,0),INDIRECT("'" &amp; S346 &amp; "'!$A$4:$XFD$4"),0)),INDEX(BBG!$A:$BA,MATCH('PnL26'!$P$1,BBG!$A:$A,0),MATCH($I346,BBG!$A$4:$BA$4,0))-INDEX(BBG!$A:$BA,MATCH('PnL26'!$P$1,BBG!$A:$A,0),MATCH($J346,BBG!$A$4:$BA$4,0)))</f>
        <v>0.59</v>
      </c>
      <c r="M346" s="9">
        <f t="shared" ref="M346:M349" ca="1" si="429">IFERROR((L346-K346)*H346,"")</f>
        <v>28.999999999999996</v>
      </c>
      <c r="N346">
        <f t="shared" ref="N346:N349" si="430">H346*K346</f>
        <v>30</v>
      </c>
      <c r="O346" s="14" t="str">
        <f t="shared" ref="O346:O349" si="431">IF(I346=J346,TEXT(I346,"MMM YY"),TEXT(I346,"MMM")&amp;"/"&amp;TEXT(J346,"MMM")&amp;" "&amp;RIGHT(T346,2))</f>
        <v>Apr/May 26</v>
      </c>
      <c r="P346" s="8" t="str">
        <f t="shared" ref="P346:P349" si="432">IF(H346&lt;0,"Sell","Buy")</f>
        <v>Buy</v>
      </c>
      <c r="Q346">
        <f t="shared" ref="Q346:Q349" ca="1" si="433">H346*L346</f>
        <v>59</v>
      </c>
      <c r="R346" t="str">
        <f>VLOOKUP(F346,Control!$B:$C,2,FALSE)</f>
        <v>Futures</v>
      </c>
      <c r="S346" t="str">
        <f>VLOOKUP(F346,Control!$B:$D,3,FALSE)</f>
        <v>WTI Sprds</v>
      </c>
      <c r="T346" s="38">
        <f t="shared" ref="T346:T349" si="434">YEAR(I346)</f>
        <v>2026</v>
      </c>
      <c r="U346" t="str">
        <f t="shared" ref="U346:U349" si="435">IFERROR(IF(H346&gt;0,"Buy","Sell"),"")</f>
        <v>Buy</v>
      </c>
      <c r="V346" s="240" t="s">
        <v>96</v>
      </c>
      <c r="W346" t="str">
        <f>_xlfn.XLOOKUP(Table3[[#This Row],[Instrument]],Control!$B$2:$B$19,Control!$E$2:$E$19)</f>
        <v>WTI</v>
      </c>
      <c r="X346" s="14">
        <f>Table3[[#This Row],[Month1]]</f>
        <v>46142</v>
      </c>
      <c r="Y346" s="350">
        <f>Table3[[#This Row],[Quantity]]</f>
        <v>100</v>
      </c>
      <c r="Z346" t="str">
        <f>_xlfn.XLOOKUP(Table3[[#This Row],[Instrument]],Control!$B$2:$B$19,Control!$F$2:$F$19)</f>
        <v>WTI</v>
      </c>
      <c r="AA346" s="14">
        <f>Table3[[#This Row],[Month2]]</f>
        <v>46173</v>
      </c>
      <c r="AB346" s="350">
        <f t="shared" si="378"/>
        <v>-100</v>
      </c>
    </row>
    <row r="347" spans="4:28" ht="15" hidden="1" thickBot="1" x14ac:dyDescent="0.4">
      <c r="D347" t="s">
        <v>127</v>
      </c>
      <c r="E347" s="174">
        <v>46083</v>
      </c>
      <c r="F347" s="10" t="s">
        <v>15</v>
      </c>
      <c r="G347" s="4" t="s">
        <v>128</v>
      </c>
      <c r="H347" s="253">
        <v>-100</v>
      </c>
      <c r="I347" s="173">
        <v>46234</v>
      </c>
      <c r="J347" s="173">
        <v>46234</v>
      </c>
      <c r="K347" s="100">
        <v>1.17</v>
      </c>
      <c r="L347" s="192">
        <f>VLOOKUP($I347,'PnL26'!$E$7:$F$59,2,FALSE)</f>
        <v>2.62</v>
      </c>
      <c r="M347" s="9">
        <f t="shared" si="429"/>
        <v>-145.00000000000003</v>
      </c>
      <c r="N347">
        <f t="shared" si="430"/>
        <v>-117</v>
      </c>
      <c r="O347" s="14" t="str">
        <f t="shared" si="431"/>
        <v>Jul 26</v>
      </c>
      <c r="P347" s="8" t="str">
        <f t="shared" si="432"/>
        <v>Sell</v>
      </c>
      <c r="Q347">
        <f t="shared" si="433"/>
        <v>-262</v>
      </c>
      <c r="R347" s="38" t="str">
        <f>VLOOKUP(F347,Control!$B:$C,2,FALSE)</f>
        <v>Swaps</v>
      </c>
      <c r="S347" s="38" t="str">
        <f>VLOOKUP(F347,Control!$B:$D,3,FALSE)</f>
        <v>Dated</v>
      </c>
      <c r="T347" s="38">
        <f t="shared" si="434"/>
        <v>2026</v>
      </c>
      <c r="U347" t="str">
        <f t="shared" si="435"/>
        <v>Sell</v>
      </c>
      <c r="V347" t="s">
        <v>96</v>
      </c>
      <c r="W347" t="e">
        <f>_xlfn.XLOOKUP(Table3[[#This Row],[Instrument]],Control!$B$2:$B$19,Control!$E$2:$E$19)</f>
        <v>#N/A</v>
      </c>
      <c r="X347" s="14">
        <f>Table3[[#This Row],[Month1]]</f>
        <v>46234</v>
      </c>
      <c r="Y347" s="350">
        <f>Table3[[#This Row],[Quantity]]</f>
        <v>-100</v>
      </c>
      <c r="Z347" t="e">
        <f>_xlfn.XLOOKUP(Table3[[#This Row],[Instrument]],Control!$B$2:$B$19,Control!$F$2:$F$19)</f>
        <v>#N/A</v>
      </c>
      <c r="AA347" s="14">
        <f>Table3[[#This Row],[Month2]]</f>
        <v>46234</v>
      </c>
      <c r="AB347" s="350">
        <f t="shared" si="378"/>
        <v>100</v>
      </c>
    </row>
    <row r="348" spans="4:28" ht="15" hidden="1" thickBot="1" x14ac:dyDescent="0.4">
      <c r="D348" t="s">
        <v>127</v>
      </c>
      <c r="E348" s="174">
        <v>46083</v>
      </c>
      <c r="F348" s="10" t="s">
        <v>15</v>
      </c>
      <c r="G348" s="4" t="s">
        <v>128</v>
      </c>
      <c r="H348" s="253">
        <v>-100</v>
      </c>
      <c r="I348" s="173">
        <v>46265</v>
      </c>
      <c r="J348" s="173">
        <v>46265</v>
      </c>
      <c r="K348" s="100">
        <v>1.17</v>
      </c>
      <c r="L348" s="192">
        <f>VLOOKUP($I348,'PnL26'!$E$7:$F$59,2,FALSE)</f>
        <v>2.62</v>
      </c>
      <c r="M348" s="9">
        <f t="shared" si="429"/>
        <v>-145.00000000000003</v>
      </c>
      <c r="N348">
        <f t="shared" si="430"/>
        <v>-117</v>
      </c>
      <c r="O348" s="14" t="str">
        <f t="shared" si="431"/>
        <v>Aug 26</v>
      </c>
      <c r="P348" s="8" t="str">
        <f t="shared" si="432"/>
        <v>Sell</v>
      </c>
      <c r="Q348">
        <f t="shared" si="433"/>
        <v>-262</v>
      </c>
      <c r="R348" s="38" t="str">
        <f>VLOOKUP(F348,Control!$B:$C,2,FALSE)</f>
        <v>Swaps</v>
      </c>
      <c r="S348" s="38" t="str">
        <f>VLOOKUP(F348,Control!$B:$D,3,FALSE)</f>
        <v>Dated</v>
      </c>
      <c r="T348" s="38">
        <f t="shared" si="434"/>
        <v>2026</v>
      </c>
      <c r="U348" t="str">
        <f t="shared" si="435"/>
        <v>Sell</v>
      </c>
      <c r="V348" t="s">
        <v>96</v>
      </c>
      <c r="W348" t="e">
        <f>_xlfn.XLOOKUP(Table3[[#This Row],[Instrument]],Control!$B$2:$B$19,Control!$E$2:$E$19)</f>
        <v>#N/A</v>
      </c>
      <c r="X348" s="14">
        <f>Table3[[#This Row],[Month1]]</f>
        <v>46265</v>
      </c>
      <c r="Y348" s="350">
        <f>Table3[[#This Row],[Quantity]]</f>
        <v>-100</v>
      </c>
      <c r="Z348" t="e">
        <f>_xlfn.XLOOKUP(Table3[[#This Row],[Instrument]],Control!$B$2:$B$19,Control!$F$2:$F$19)</f>
        <v>#N/A</v>
      </c>
      <c r="AA348" s="14">
        <f>Table3[[#This Row],[Month2]]</f>
        <v>46265</v>
      </c>
      <c r="AB348" s="350">
        <f t="shared" si="378"/>
        <v>100</v>
      </c>
    </row>
    <row r="349" spans="4:28" ht="15" hidden="1" thickBot="1" x14ac:dyDescent="0.4">
      <c r="D349" t="s">
        <v>127</v>
      </c>
      <c r="E349" s="174">
        <v>46083</v>
      </c>
      <c r="F349" s="10" t="s">
        <v>15</v>
      </c>
      <c r="G349" s="4" t="s">
        <v>128</v>
      </c>
      <c r="H349" s="253">
        <v>-100</v>
      </c>
      <c r="I349" s="173">
        <v>46295</v>
      </c>
      <c r="J349" s="173">
        <v>46295</v>
      </c>
      <c r="K349" s="100">
        <v>1.17</v>
      </c>
      <c r="L349" s="192">
        <f>VLOOKUP($I349,'PnL26'!$E$7:$F$59,2,FALSE)</f>
        <v>2.62</v>
      </c>
      <c r="M349" s="9">
        <f t="shared" si="429"/>
        <v>-145.00000000000003</v>
      </c>
      <c r="N349">
        <f t="shared" si="430"/>
        <v>-117</v>
      </c>
      <c r="O349" s="14" t="str">
        <f t="shared" si="431"/>
        <v>Sep 26</v>
      </c>
      <c r="P349" s="8" t="str">
        <f t="shared" si="432"/>
        <v>Sell</v>
      </c>
      <c r="Q349">
        <f t="shared" si="433"/>
        <v>-262</v>
      </c>
      <c r="R349" s="38" t="str">
        <f>VLOOKUP(F349,Control!$B:$C,2,FALSE)</f>
        <v>Swaps</v>
      </c>
      <c r="S349" s="38" t="str">
        <f>VLOOKUP(F349,Control!$B:$D,3,FALSE)</f>
        <v>Dated</v>
      </c>
      <c r="T349" s="38">
        <f t="shared" si="434"/>
        <v>2026</v>
      </c>
      <c r="U349" t="str">
        <f t="shared" si="435"/>
        <v>Sell</v>
      </c>
      <c r="V349" t="s">
        <v>96</v>
      </c>
      <c r="W349" t="e">
        <f>_xlfn.XLOOKUP(Table3[[#This Row],[Instrument]],Control!$B$2:$B$19,Control!$E$2:$E$19)</f>
        <v>#N/A</v>
      </c>
      <c r="X349" s="14">
        <f>Table3[[#This Row],[Month1]]</f>
        <v>46295</v>
      </c>
      <c r="Y349" s="350">
        <f>Table3[[#This Row],[Quantity]]</f>
        <v>-100</v>
      </c>
      <c r="Z349" t="e">
        <f>_xlfn.XLOOKUP(Table3[[#This Row],[Instrument]],Control!$B$2:$B$19,Control!$F$2:$F$19)</f>
        <v>#N/A</v>
      </c>
      <c r="AA349" s="14">
        <f>Table3[[#This Row],[Month2]]</f>
        <v>46295</v>
      </c>
      <c r="AB349" s="350">
        <f t="shared" si="378"/>
        <v>100</v>
      </c>
    </row>
    <row r="350" spans="4:28" ht="15" hidden="1" thickBot="1" x14ac:dyDescent="0.4">
      <c r="D350" s="239" t="s">
        <v>127</v>
      </c>
      <c r="E350" s="174">
        <v>46083</v>
      </c>
      <c r="F350" s="10" t="s">
        <v>3</v>
      </c>
      <c r="G350" s="4" t="s">
        <v>128</v>
      </c>
      <c r="H350" s="253">
        <v>186</v>
      </c>
      <c r="I350" s="172">
        <v>46142</v>
      </c>
      <c r="J350" s="172">
        <f>EOMONTH(Table3[[#This Row],[Month1]],1)</f>
        <v>46173</v>
      </c>
      <c r="K350" s="212">
        <v>0.51</v>
      </c>
      <c r="L350" s="7">
        <f ca="1">IF(OR(S350="WTI Sprds",S350="Brent Sprds",S350="WTI-Brent",S350="DFL"),INDEX(INDIRECT("'" &amp; S350 &amp; "'!$A$6:$XFD$1048576"),MATCH('PnL26'!$P$1,INDIRECT("'" &amp; S350 &amp; "'!$A$6:$A$1048576"),0),MATCH(EOMONTH(I350,0),INDIRECT("'" &amp; S350 &amp; "'!$A$4:$XFD$4"),0)),INDEX(BBG!$A:$BA,MATCH('PnL26'!$P$1,BBG!$A:$A,0),MATCH($I350,BBG!$A$4:$BA$4,0))-INDEX(BBG!$A:$BA,MATCH('PnL26'!$P$1,BBG!$A:$A,0),MATCH($J350,BBG!$A$4:$BA$4,0)))</f>
        <v>0.59</v>
      </c>
      <c r="M350" s="9">
        <f t="shared" ref="M350" ca="1" si="436">IFERROR((L350-K350)*H350,"")</f>
        <v>14.879999999999992</v>
      </c>
      <c r="N350">
        <f t="shared" ref="N350" si="437">H350*K350</f>
        <v>94.86</v>
      </c>
      <c r="O350" s="14" t="str">
        <f t="shared" ref="O350" si="438">IF(I350=J350,TEXT(I350,"MMM YY"),TEXT(I350,"MMM")&amp;"/"&amp;TEXT(J350,"MMM")&amp;" "&amp;RIGHT(T350,2))</f>
        <v>Apr/May 26</v>
      </c>
      <c r="P350" s="8" t="str">
        <f t="shared" ref="P350" si="439">IF(H350&lt;0,"Sell","Buy")</f>
        <v>Buy</v>
      </c>
      <c r="Q350">
        <f t="shared" ref="Q350" ca="1" si="440">H350*L350</f>
        <v>109.74</v>
      </c>
      <c r="R350" t="str">
        <f>VLOOKUP(F350,Control!$B:$C,2,FALSE)</f>
        <v>Futures</v>
      </c>
      <c r="S350" t="str">
        <f>VLOOKUP(F350,Control!$B:$D,3,FALSE)</f>
        <v>WTI Sprds</v>
      </c>
      <c r="T350" s="38">
        <f t="shared" ref="T350" si="441">YEAR(I350)</f>
        <v>2026</v>
      </c>
      <c r="U350" t="str">
        <f t="shared" ref="U350" si="442">IFERROR(IF(H350&gt;0,"Buy","Sell"),"")</f>
        <v>Buy</v>
      </c>
      <c r="V350" s="240" t="s">
        <v>96</v>
      </c>
      <c r="W350" t="str">
        <f>_xlfn.XLOOKUP(Table3[[#This Row],[Instrument]],Control!$B$2:$B$19,Control!$E$2:$E$19)</f>
        <v>WTI</v>
      </c>
      <c r="X350" s="14">
        <f>Table3[[#This Row],[Month1]]</f>
        <v>46142</v>
      </c>
      <c r="Y350" s="350">
        <f>Table3[[#This Row],[Quantity]]</f>
        <v>186</v>
      </c>
      <c r="Z350" t="str">
        <f>_xlfn.XLOOKUP(Table3[[#This Row],[Instrument]],Control!$B$2:$B$19,Control!$F$2:$F$19)</f>
        <v>WTI</v>
      </c>
      <c r="AA350" s="14">
        <f>Table3[[#This Row],[Month2]]</f>
        <v>46173</v>
      </c>
      <c r="AB350" s="350">
        <f t="shared" si="378"/>
        <v>-186</v>
      </c>
    </row>
    <row r="351" spans="4:28" ht="15" hidden="1" thickBot="1" x14ac:dyDescent="0.4">
      <c r="D351" s="239" t="s">
        <v>127</v>
      </c>
      <c r="E351" s="174">
        <v>46083</v>
      </c>
      <c r="F351" s="10" t="s">
        <v>3</v>
      </c>
      <c r="G351" s="4" t="s">
        <v>128</v>
      </c>
      <c r="H351" s="253">
        <v>62</v>
      </c>
      <c r="I351" s="172">
        <v>46173</v>
      </c>
      <c r="J351" s="172">
        <f>EOMONTH(Table3[[#This Row],[Month1]],1)</f>
        <v>46203</v>
      </c>
      <c r="K351" s="212">
        <v>0.95</v>
      </c>
      <c r="L351" s="7">
        <f ca="1">IF(OR(S351="WTI Sprds",S351="Brent Sprds",S351="WTI-Brent",S351="DFL"),INDEX(INDIRECT("'" &amp; S351 &amp; "'!$A$6:$XFD$1048576"),MATCH('PnL26'!$P$1,INDIRECT("'" &amp; S351 &amp; "'!$A$6:$A$1048576"),0),MATCH(EOMONTH(I351,0),INDIRECT("'" &amp; S351 &amp; "'!$A$4:$XFD$4"),0)),INDEX(BBG!$A:$BA,MATCH('PnL26'!$P$1,BBG!$A:$A,0),MATCH($I351,BBG!$A$4:$BA$4,0))-INDEX(BBG!$A:$BA,MATCH('PnL26'!$P$1,BBG!$A:$A,0),MATCH($J351,BBG!$A$4:$BA$4,0)))</f>
        <v>2.19</v>
      </c>
      <c r="M351" s="9">
        <f t="shared" ref="M351:M356" ca="1" si="443">IFERROR((L351-K351)*H351,"")</f>
        <v>76.88</v>
      </c>
      <c r="N351">
        <f t="shared" ref="N351:N358" si="444">H351*K351</f>
        <v>58.9</v>
      </c>
      <c r="O351" s="14" t="str">
        <f t="shared" ref="O351:O358" si="445">IF(I351=J351,TEXT(I351,"MMM YY"),TEXT(I351,"MMM")&amp;"/"&amp;TEXT(J351,"MMM")&amp;" "&amp;RIGHT(T351,2))</f>
        <v>May/Jun 26</v>
      </c>
      <c r="P351" s="8" t="str">
        <f t="shared" ref="P351:P358" si="446">IF(H351&lt;0,"Sell","Buy")</f>
        <v>Buy</v>
      </c>
      <c r="Q351">
        <f t="shared" ref="Q351:Q358" ca="1" si="447">H351*L351</f>
        <v>135.78</v>
      </c>
      <c r="R351" t="str">
        <f>VLOOKUP(F351,Control!$B:$C,2,FALSE)</f>
        <v>Futures</v>
      </c>
      <c r="S351" t="str">
        <f>VLOOKUP(F351,Control!$B:$D,3,FALSE)</f>
        <v>WTI Sprds</v>
      </c>
      <c r="T351" s="38">
        <f t="shared" ref="T351:T358" si="448">YEAR(I351)</f>
        <v>2026</v>
      </c>
      <c r="U351" t="str">
        <f t="shared" ref="U351:U358" si="449">IFERROR(IF(H351&gt;0,"Buy","Sell"),"")</f>
        <v>Buy</v>
      </c>
      <c r="V351" s="240" t="s">
        <v>96</v>
      </c>
      <c r="W351" t="str">
        <f>_xlfn.XLOOKUP(Table3[[#This Row],[Instrument]],Control!$B$2:$B$19,Control!$E$2:$E$19)</f>
        <v>WTI</v>
      </c>
      <c r="X351" s="14">
        <f>Table3[[#This Row],[Month1]]</f>
        <v>46173</v>
      </c>
      <c r="Y351" s="350">
        <f>Table3[[#This Row],[Quantity]]</f>
        <v>62</v>
      </c>
      <c r="Z351" t="str">
        <f>_xlfn.XLOOKUP(Table3[[#This Row],[Instrument]],Control!$B$2:$B$19,Control!$F$2:$F$19)</f>
        <v>WTI</v>
      </c>
      <c r="AA351" s="14">
        <f>Table3[[#This Row],[Month2]]</f>
        <v>46203</v>
      </c>
      <c r="AB351" s="350">
        <f t="shared" si="378"/>
        <v>-62</v>
      </c>
    </row>
    <row r="352" spans="4:28" ht="15" hidden="1" thickBot="1" x14ac:dyDescent="0.4">
      <c r="D352" s="239" t="s">
        <v>127</v>
      </c>
      <c r="E352" s="174">
        <v>46084</v>
      </c>
      <c r="F352" s="10" t="s">
        <v>7</v>
      </c>
      <c r="G352" s="4" t="s">
        <v>128</v>
      </c>
      <c r="H352" s="253">
        <v>122</v>
      </c>
      <c r="I352" s="172">
        <v>46173</v>
      </c>
      <c r="J352" s="172">
        <f>EOMONTH(Table3[[#This Row],[Month1]],1)</f>
        <v>46203</v>
      </c>
      <c r="K352" s="212">
        <v>3.22</v>
      </c>
      <c r="L352" s="7">
        <f ca="1">IF(OR(S352="WTI Sprds",S352="Brent Sprds",S352="WTI-Brent",S352="DFL"),INDEX(INDIRECT("'" &amp; S352 &amp; "'!$A$6:$XFD$1048576"),MATCH('PnL26'!$P$1,INDIRECT("'" &amp; S352 &amp; "'!$A$6:$A$1048576"),0),MATCH(EOMONTH(I352,0),INDIRECT("'" &amp; S352 &amp; "'!$A$4:$XFD$4"),0)),INDEX(BBG!$A:$BA,MATCH('PnL26'!$P$1,BBG!$A:$A,0),MATCH($I352,BBG!$A$4:$BA$4,0))-INDEX(BBG!$A:$BA,MATCH('PnL26'!$P$1,BBG!$A:$A,0),MATCH($J352,BBG!$A$4:$BA$4,0)))</f>
        <v>14.38</v>
      </c>
      <c r="M352" s="9">
        <f t="shared" ca="1" si="443"/>
        <v>1361.52</v>
      </c>
      <c r="N352">
        <f t="shared" si="444"/>
        <v>392.84000000000003</v>
      </c>
      <c r="O352" s="14" t="str">
        <f t="shared" si="445"/>
        <v>May/Jun 26</v>
      </c>
      <c r="P352" s="8" t="str">
        <f t="shared" si="446"/>
        <v>Buy</v>
      </c>
      <c r="Q352">
        <f t="shared" ca="1" si="447"/>
        <v>1754.3600000000001</v>
      </c>
      <c r="R352" t="str">
        <f>VLOOKUP(F352,Control!$B:$C,2,FALSE)</f>
        <v>Futures</v>
      </c>
      <c r="S352" t="str">
        <f>VLOOKUP(F352,Control!$B:$D,3,FALSE)</f>
        <v>Brent Sprds</v>
      </c>
      <c r="T352" s="38">
        <f t="shared" si="448"/>
        <v>2026</v>
      </c>
      <c r="U352" t="str">
        <f t="shared" si="449"/>
        <v>Buy</v>
      </c>
      <c r="V352" s="240" t="s">
        <v>96</v>
      </c>
      <c r="W352" t="str">
        <f>_xlfn.XLOOKUP(Table3[[#This Row],[Instrument]],Control!$B$2:$B$19,Control!$E$2:$E$19)</f>
        <v>Brent</v>
      </c>
      <c r="X352" s="14">
        <f>Table3[[#This Row],[Month1]]</f>
        <v>46173</v>
      </c>
      <c r="Y352" s="350">
        <f>Table3[[#This Row],[Quantity]]</f>
        <v>122</v>
      </c>
      <c r="Z352" t="str">
        <f>_xlfn.XLOOKUP(Table3[[#This Row],[Instrument]],Control!$B$2:$B$19,Control!$F$2:$F$19)</f>
        <v>Brent</v>
      </c>
      <c r="AA352" s="14">
        <f>Table3[[#This Row],[Month2]]</f>
        <v>46203</v>
      </c>
      <c r="AB352" s="350">
        <f t="shared" si="378"/>
        <v>-122</v>
      </c>
    </row>
    <row r="353" spans="4:28" ht="15" hidden="1" thickBot="1" x14ac:dyDescent="0.4">
      <c r="D353" t="s">
        <v>127</v>
      </c>
      <c r="E353" s="174">
        <v>46084</v>
      </c>
      <c r="F353" s="10" t="s">
        <v>15</v>
      </c>
      <c r="G353" s="4" t="s">
        <v>128</v>
      </c>
      <c r="H353" s="253">
        <v>-388</v>
      </c>
      <c r="I353" s="173">
        <v>46142</v>
      </c>
      <c r="J353" s="173">
        <v>46142</v>
      </c>
      <c r="K353" s="100">
        <v>2.83</v>
      </c>
      <c r="L353" s="192">
        <f>VLOOKUP($I353,'PnL26'!$E$7:$F$59,2,FALSE)</f>
        <v>17.678750000000008</v>
      </c>
      <c r="M353" s="9">
        <f t="shared" si="443"/>
        <v>-5761.3150000000032</v>
      </c>
      <c r="N353">
        <f t="shared" si="444"/>
        <v>-1098.04</v>
      </c>
      <c r="O353" s="14" t="str">
        <f t="shared" si="445"/>
        <v>Apr 26</v>
      </c>
      <c r="P353" s="8" t="str">
        <f t="shared" si="446"/>
        <v>Sell</v>
      </c>
      <c r="Q353">
        <f t="shared" si="447"/>
        <v>-6859.3550000000032</v>
      </c>
      <c r="R353" s="38" t="str">
        <f>VLOOKUP(F353,Control!$B:$C,2,FALSE)</f>
        <v>Swaps</v>
      </c>
      <c r="S353" s="38" t="str">
        <f>VLOOKUP(F353,Control!$B:$D,3,FALSE)</f>
        <v>Dated</v>
      </c>
      <c r="T353" s="38">
        <f t="shared" si="448"/>
        <v>2026</v>
      </c>
      <c r="U353" t="str">
        <f t="shared" si="449"/>
        <v>Sell</v>
      </c>
      <c r="V353" t="s">
        <v>96</v>
      </c>
      <c r="W353" t="e">
        <f>_xlfn.XLOOKUP(Table3[[#This Row],[Instrument]],Control!$B$2:$B$19,Control!$E$2:$E$19)</f>
        <v>#N/A</v>
      </c>
      <c r="X353" s="14">
        <f>Table3[[#This Row],[Month1]]</f>
        <v>46142</v>
      </c>
      <c r="Y353" s="350">
        <f>Table3[[#This Row],[Quantity]]</f>
        <v>-388</v>
      </c>
      <c r="Z353" t="e">
        <f>_xlfn.XLOOKUP(Table3[[#This Row],[Instrument]],Control!$B$2:$B$19,Control!$F$2:$F$19)</f>
        <v>#N/A</v>
      </c>
      <c r="AA353" s="14">
        <f>Table3[[#This Row],[Month2]]</f>
        <v>46142</v>
      </c>
      <c r="AB353" s="350">
        <f t="shared" si="378"/>
        <v>388</v>
      </c>
    </row>
    <row r="354" spans="4:28" ht="15" hidden="1" thickBot="1" x14ac:dyDescent="0.4">
      <c r="D354" t="s">
        <v>127</v>
      </c>
      <c r="E354" s="174">
        <v>46084</v>
      </c>
      <c r="F354" s="10" t="s">
        <v>15</v>
      </c>
      <c r="G354" s="4" t="s">
        <v>128</v>
      </c>
      <c r="H354" s="253">
        <v>-388</v>
      </c>
      <c r="I354" s="173">
        <v>46173</v>
      </c>
      <c r="J354" s="173">
        <v>46173</v>
      </c>
      <c r="K354" s="100">
        <v>2.83</v>
      </c>
      <c r="L354" s="192">
        <f>VLOOKUP($I354,'PnL26'!$E$7:$F$59,2,FALSE)</f>
        <v>3.68</v>
      </c>
      <c r="M354" s="9">
        <f t="shared" si="443"/>
        <v>-329.8</v>
      </c>
      <c r="N354">
        <f t="shared" si="444"/>
        <v>-1098.04</v>
      </c>
      <c r="O354" s="14" t="str">
        <f t="shared" si="445"/>
        <v>May 26</v>
      </c>
      <c r="P354" s="8" t="str">
        <f t="shared" si="446"/>
        <v>Sell</v>
      </c>
      <c r="Q354">
        <f t="shared" si="447"/>
        <v>-1427.8400000000001</v>
      </c>
      <c r="R354" s="38" t="str">
        <f>VLOOKUP(F354,Control!$B:$C,2,FALSE)</f>
        <v>Swaps</v>
      </c>
      <c r="S354" s="38" t="str">
        <f>VLOOKUP(F354,Control!$B:$D,3,FALSE)</f>
        <v>Dated</v>
      </c>
      <c r="T354" s="38">
        <f t="shared" si="448"/>
        <v>2026</v>
      </c>
      <c r="U354" t="str">
        <f t="shared" si="449"/>
        <v>Sell</v>
      </c>
      <c r="V354" t="s">
        <v>96</v>
      </c>
      <c r="W354" t="e">
        <f>_xlfn.XLOOKUP(Table3[[#This Row],[Instrument]],Control!$B$2:$B$19,Control!$E$2:$E$19)</f>
        <v>#N/A</v>
      </c>
      <c r="X354" s="14">
        <f>Table3[[#This Row],[Month1]]</f>
        <v>46173</v>
      </c>
      <c r="Y354" s="350">
        <f>Table3[[#This Row],[Quantity]]</f>
        <v>-388</v>
      </c>
      <c r="Z354" t="e">
        <f>_xlfn.XLOOKUP(Table3[[#This Row],[Instrument]],Control!$B$2:$B$19,Control!$F$2:$F$19)</f>
        <v>#N/A</v>
      </c>
      <c r="AA354" s="14">
        <f>Table3[[#This Row],[Month2]]</f>
        <v>46173</v>
      </c>
      <c r="AB354" s="350">
        <f t="shared" si="378"/>
        <v>388</v>
      </c>
    </row>
    <row r="355" spans="4:28" ht="15" hidden="1" thickBot="1" x14ac:dyDescent="0.4">
      <c r="D355" t="s">
        <v>127</v>
      </c>
      <c r="E355" s="174">
        <v>46084</v>
      </c>
      <c r="F355" s="10" t="s">
        <v>15</v>
      </c>
      <c r="G355" s="4" t="s">
        <v>128</v>
      </c>
      <c r="H355" s="253">
        <v>-388</v>
      </c>
      <c r="I355" s="173">
        <v>46203</v>
      </c>
      <c r="J355" s="173">
        <v>46203</v>
      </c>
      <c r="K355" s="100">
        <v>2.83</v>
      </c>
      <c r="L355" s="192">
        <f>VLOOKUP($I355,'PnL26'!$E$7:$F$59,2,FALSE)</f>
        <v>2.23</v>
      </c>
      <c r="M355" s="9">
        <f t="shared" si="443"/>
        <v>232.80000000000004</v>
      </c>
      <c r="N355">
        <f t="shared" si="444"/>
        <v>-1098.04</v>
      </c>
      <c r="O355" s="14" t="str">
        <f t="shared" si="445"/>
        <v>Jun 26</v>
      </c>
      <c r="P355" s="8" t="str">
        <f t="shared" si="446"/>
        <v>Sell</v>
      </c>
      <c r="Q355">
        <f t="shared" si="447"/>
        <v>-865.24</v>
      </c>
      <c r="R355" s="38" t="str">
        <f>VLOOKUP(F355,Control!$B:$C,2,FALSE)</f>
        <v>Swaps</v>
      </c>
      <c r="S355" s="38" t="str">
        <f>VLOOKUP(F355,Control!$B:$D,3,FALSE)</f>
        <v>Dated</v>
      </c>
      <c r="T355" s="38">
        <f t="shared" si="448"/>
        <v>2026</v>
      </c>
      <c r="U355" t="str">
        <f t="shared" si="449"/>
        <v>Sell</v>
      </c>
      <c r="V355" t="s">
        <v>96</v>
      </c>
      <c r="W355" t="e">
        <f>_xlfn.XLOOKUP(Table3[[#This Row],[Instrument]],Control!$B$2:$B$19,Control!$E$2:$E$19)</f>
        <v>#N/A</v>
      </c>
      <c r="X355" s="14">
        <f>Table3[[#This Row],[Month1]]</f>
        <v>46203</v>
      </c>
      <c r="Y355" s="350">
        <f>Table3[[#This Row],[Quantity]]</f>
        <v>-388</v>
      </c>
      <c r="Z355" t="e">
        <f>_xlfn.XLOOKUP(Table3[[#This Row],[Instrument]],Control!$B$2:$B$19,Control!$F$2:$F$19)</f>
        <v>#N/A</v>
      </c>
      <c r="AA355" s="14">
        <f>Table3[[#This Row],[Month2]]</f>
        <v>46203</v>
      </c>
      <c r="AB355" s="350">
        <f t="shared" si="378"/>
        <v>388</v>
      </c>
    </row>
    <row r="356" spans="4:28" ht="15" hidden="1" thickBot="1" x14ac:dyDescent="0.4">
      <c r="D356" s="239" t="s">
        <v>127</v>
      </c>
      <c r="E356" s="174">
        <v>46085</v>
      </c>
      <c r="F356" s="10" t="s">
        <v>10</v>
      </c>
      <c r="G356" s="4" t="s">
        <v>128</v>
      </c>
      <c r="H356" s="253">
        <v>200</v>
      </c>
      <c r="I356" s="172">
        <v>46234</v>
      </c>
      <c r="J356" s="172">
        <v>46234</v>
      </c>
      <c r="K356" s="212">
        <v>-5.38</v>
      </c>
      <c r="L356" s="7">
        <f ca="1">IF(OR(S356="WTI Sprds",S356="Brent Sprds",S356="WTI-Brent",S356="DFL"),INDEX(INDIRECT("'" &amp; S356 &amp; "'!$A$6:$XFD$1048576"),MATCH('PnL26'!$P$1,INDIRECT("'" &amp; S356 &amp; "'!$A$6:$A$1048576"),0),MATCH(EOMONTH(I356,0),INDIRECT("'" &amp; S356 &amp; "'!$A$4:$XFD$4"),0)),INDEX(BBG!$A:$BA,MATCH('PnL26'!$P$1,BBG!$A:$A,0),MATCH($I356,BBG!$A$4:$BA$4,0))-INDEX(BBG!$A:$BA,MATCH('PnL26'!$P$1,BBG!$A:$A,0),MATCH($J356,BBG!$A$4:$BA$4,0)))</f>
        <v>-4.6900000000000004</v>
      </c>
      <c r="M356" s="9">
        <f t="shared" ca="1" si="443"/>
        <v>137.99999999999989</v>
      </c>
      <c r="N356">
        <f t="shared" si="444"/>
        <v>-1076</v>
      </c>
      <c r="O356" s="14" t="str">
        <f t="shared" si="445"/>
        <v>Jul 26</v>
      </c>
      <c r="P356" s="8" t="str">
        <f t="shared" si="446"/>
        <v>Buy</v>
      </c>
      <c r="Q356">
        <f t="shared" ca="1" si="447"/>
        <v>-938.00000000000011</v>
      </c>
      <c r="R356" t="str">
        <f>VLOOKUP(F356,Control!$B:$C,2,FALSE)</f>
        <v>Swaps</v>
      </c>
      <c r="S356" t="str">
        <f>VLOOKUP(F356,Control!$B:$D,3,FALSE)</f>
        <v>WTI-Brent</v>
      </c>
      <c r="T356" s="38">
        <f t="shared" si="448"/>
        <v>2026</v>
      </c>
      <c r="U356" t="str">
        <f t="shared" si="449"/>
        <v>Buy</v>
      </c>
      <c r="V356" s="240" t="s">
        <v>96</v>
      </c>
      <c r="W356" t="str">
        <f>_xlfn.XLOOKUP(Table3[[#This Row],[Instrument]],Control!$B$2:$B$19,Control!$E$2:$E$19)</f>
        <v>WTI</v>
      </c>
      <c r="X356" s="14">
        <f>Table3[[#This Row],[Month1]]</f>
        <v>46234</v>
      </c>
      <c r="Y356" s="350">
        <f>Table3[[#This Row],[Quantity]]</f>
        <v>200</v>
      </c>
      <c r="Z356" t="str">
        <f>_xlfn.XLOOKUP(Table3[[#This Row],[Instrument]],Control!$B$2:$B$19,Control!$F$2:$F$19)</f>
        <v>Brent</v>
      </c>
      <c r="AA356" s="14">
        <f>Table3[[#This Row],[Month2]]</f>
        <v>46234</v>
      </c>
      <c r="AB356" s="350">
        <f t="shared" si="378"/>
        <v>-200</v>
      </c>
    </row>
    <row r="357" spans="4:28" ht="15" hidden="1" thickBot="1" x14ac:dyDescent="0.4">
      <c r="D357" t="s">
        <v>1735</v>
      </c>
      <c r="E357" s="174">
        <v>46085</v>
      </c>
      <c r="F357" s="375" t="s">
        <v>36</v>
      </c>
      <c r="G357" s="4" t="s">
        <v>128</v>
      </c>
      <c r="H357" s="253">
        <v>20</v>
      </c>
      <c r="I357" s="172">
        <v>46173</v>
      </c>
      <c r="J357" s="172">
        <v>46173</v>
      </c>
      <c r="K357" s="212">
        <v>59.878500000000003</v>
      </c>
      <c r="L357" s="314">
        <f>VLOOKUP(I357,[2]USG!$O$45:$S100,MATCH("Freight-TD25 $/MT",[2]USG!$O$46:$S$46,0),FALSE)</f>
        <v>55.781550000000003</v>
      </c>
      <c r="M357" s="9">
        <f>-(K357-L357)*Table3[[#This Row],[Quantity]]</f>
        <v>-81.938999999999993</v>
      </c>
      <c r="N357">
        <f t="shared" si="444"/>
        <v>1197.5700000000002</v>
      </c>
      <c r="O357" s="14" t="str">
        <f t="shared" si="445"/>
        <v>May 26</v>
      </c>
      <c r="P357" s="8" t="str">
        <f t="shared" si="446"/>
        <v>Buy</v>
      </c>
      <c r="Q357">
        <f t="shared" si="447"/>
        <v>1115.6310000000001</v>
      </c>
      <c r="R357" t="str">
        <f>VLOOKUP(F357,Control!$B:$C,2,FALSE)</f>
        <v>Freight</v>
      </c>
      <c r="S357" t="str">
        <f>VLOOKUP(F357,Control!$B:$D,3,FALSE)</f>
        <v>Freight</v>
      </c>
      <c r="T357" s="38">
        <f t="shared" si="448"/>
        <v>2026</v>
      </c>
      <c r="U357" t="str">
        <f t="shared" si="449"/>
        <v>Buy</v>
      </c>
      <c r="V357" t="s">
        <v>96</v>
      </c>
      <c r="W357" t="e">
        <f>_xlfn.XLOOKUP(Table3[[#This Row],[Instrument]],Control!$B$2:$B$19,Control!$E$2:$E$19)</f>
        <v>#N/A</v>
      </c>
      <c r="X357" s="14">
        <f>Table3[[#This Row],[Month1]]</f>
        <v>46173</v>
      </c>
      <c r="Y357" s="350">
        <f>Table3[[#This Row],[Quantity]]</f>
        <v>20</v>
      </c>
      <c r="Z357" t="e">
        <f>_xlfn.XLOOKUP(Table3[[#This Row],[Instrument]],Control!$B$2:$B$19,Control!$F$2:$F$19)</f>
        <v>#N/A</v>
      </c>
      <c r="AA357" s="14">
        <f>Table3[[#This Row],[Month2]]</f>
        <v>46173</v>
      </c>
      <c r="AB357" s="350">
        <f t="shared" si="378"/>
        <v>-20</v>
      </c>
    </row>
    <row r="358" spans="4:28" ht="15" hidden="1" thickBot="1" x14ac:dyDescent="0.4">
      <c r="D358" s="239" t="s">
        <v>127</v>
      </c>
      <c r="E358" s="174">
        <v>46086</v>
      </c>
      <c r="F358" s="10" t="s">
        <v>3</v>
      </c>
      <c r="G358" s="4" t="s">
        <v>128</v>
      </c>
      <c r="H358" s="253">
        <v>186</v>
      </c>
      <c r="I358" s="172">
        <v>46142</v>
      </c>
      <c r="J358" s="172">
        <f>EOMONTH(Table3[[#This Row],[Month1]],1)</f>
        <v>46173</v>
      </c>
      <c r="K358" s="212">
        <v>2.37</v>
      </c>
      <c r="L358" s="7">
        <f ca="1">IF(OR(S358="WTI Sprds",S358="Brent Sprds",S358="WTI-Brent",S358="DFL"),INDEX(INDIRECT("'" &amp; S358 &amp; "'!$A$6:$XFD$1048576"),MATCH('PnL26'!$P$1,INDIRECT("'" &amp; S358 &amp; "'!$A$6:$A$1048576"),0),MATCH(EOMONTH(I358,0),INDIRECT("'" &amp; S358 &amp; "'!$A$4:$XFD$4"),0)),INDEX(BBG!$A:$BA,MATCH('PnL26'!$P$1,BBG!$A:$A,0),MATCH($I358,BBG!$A$4:$BA$4,0))-INDEX(BBG!$A:$BA,MATCH('PnL26'!$P$1,BBG!$A:$A,0),MATCH($J358,BBG!$A$4:$BA$4,0)))</f>
        <v>0.59</v>
      </c>
      <c r="M358" s="9">
        <f t="shared" ref="M358:M359" ca="1" si="450">IFERROR((L358-K358)*H358,"")</f>
        <v>-331.08000000000004</v>
      </c>
      <c r="N358">
        <f t="shared" si="444"/>
        <v>440.82</v>
      </c>
      <c r="O358" s="14" t="str">
        <f t="shared" si="445"/>
        <v>Apr/May 26</v>
      </c>
      <c r="P358" s="8" t="str">
        <f t="shared" si="446"/>
        <v>Buy</v>
      </c>
      <c r="Q358">
        <f t="shared" ca="1" si="447"/>
        <v>109.74</v>
      </c>
      <c r="R358" t="str">
        <f>VLOOKUP(F358,Control!$B:$C,2,FALSE)</f>
        <v>Futures</v>
      </c>
      <c r="S358" t="str">
        <f>VLOOKUP(F358,Control!$B:$D,3,FALSE)</f>
        <v>WTI Sprds</v>
      </c>
      <c r="T358" s="38">
        <f t="shared" si="448"/>
        <v>2026</v>
      </c>
      <c r="U358" t="str">
        <f t="shared" si="449"/>
        <v>Buy</v>
      </c>
      <c r="V358" s="240" t="s">
        <v>96</v>
      </c>
      <c r="W358" t="str">
        <f>_xlfn.XLOOKUP(Table3[[#This Row],[Instrument]],Control!$B$2:$B$19,Control!$E$2:$E$19)</f>
        <v>WTI</v>
      </c>
      <c r="X358" s="14">
        <f>Table3[[#This Row],[Month1]]</f>
        <v>46142</v>
      </c>
      <c r="Y358" s="350">
        <f>Table3[[#This Row],[Quantity]]</f>
        <v>186</v>
      </c>
      <c r="Z358" t="str">
        <f>_xlfn.XLOOKUP(Table3[[#This Row],[Instrument]],Control!$B$2:$B$19,Control!$F$2:$F$19)</f>
        <v>WTI</v>
      </c>
      <c r="AA358" s="14">
        <f>Table3[[#This Row],[Month2]]</f>
        <v>46173</v>
      </c>
      <c r="AB358" s="350">
        <f t="shared" si="378"/>
        <v>-186</v>
      </c>
    </row>
    <row r="359" spans="4:28" ht="15" hidden="1" thickBot="1" x14ac:dyDescent="0.4">
      <c r="D359" s="239" t="s">
        <v>127</v>
      </c>
      <c r="E359" s="174">
        <v>46086</v>
      </c>
      <c r="F359" s="10" t="s">
        <v>3</v>
      </c>
      <c r="G359" s="4" t="s">
        <v>128</v>
      </c>
      <c r="H359" s="253">
        <v>62</v>
      </c>
      <c r="I359" s="172">
        <v>46173</v>
      </c>
      <c r="J359" s="172">
        <f>EOMONTH(Table3[[#This Row],[Month1]],1)</f>
        <v>46203</v>
      </c>
      <c r="K359" s="212">
        <v>3.12</v>
      </c>
      <c r="L359" s="7">
        <f ca="1">IF(OR(S359="WTI Sprds",S359="Brent Sprds",S359="WTI-Brent",S359="DFL"),INDEX(INDIRECT("'" &amp; S359 &amp; "'!$A$6:$XFD$1048576"),MATCH('PnL26'!$P$1,INDIRECT("'" &amp; S359 &amp; "'!$A$6:$A$1048576"),0),MATCH(EOMONTH(I359,0),INDIRECT("'" &amp; S359 &amp; "'!$A$4:$XFD$4"),0)),INDEX(BBG!$A:$BA,MATCH('PnL26'!$P$1,BBG!$A:$A,0),MATCH($I359,BBG!$A$4:$BA$4,0))-INDEX(BBG!$A:$BA,MATCH('PnL26'!$P$1,BBG!$A:$A,0),MATCH($J359,BBG!$A$4:$BA$4,0)))</f>
        <v>2.19</v>
      </c>
      <c r="M359" s="9">
        <f t="shared" ca="1" si="450"/>
        <v>-57.660000000000011</v>
      </c>
      <c r="N359">
        <f t="shared" ref="N359" si="451">H359*K359</f>
        <v>193.44</v>
      </c>
      <c r="O359" s="14" t="str">
        <f t="shared" ref="O359:O362" si="452">IF(I359=J359,TEXT(I359,"MMM YY"),TEXT(I359,"MMM")&amp;"/"&amp;TEXT(J359,"MMM")&amp;" "&amp;RIGHT(T359,2))</f>
        <v>May/Jun 26</v>
      </c>
      <c r="P359" s="8" t="str">
        <f t="shared" ref="P359:P362" si="453">IF(H359&lt;0,"Sell","Buy")</f>
        <v>Buy</v>
      </c>
      <c r="Q359">
        <f t="shared" ref="Q359:Q362" ca="1" si="454">H359*L359</f>
        <v>135.78</v>
      </c>
      <c r="R359" t="str">
        <f>VLOOKUP(F359,Control!$B:$C,2,FALSE)</f>
        <v>Futures</v>
      </c>
      <c r="S359" t="str">
        <f>VLOOKUP(F359,Control!$B:$D,3,FALSE)</f>
        <v>WTI Sprds</v>
      </c>
      <c r="T359" s="38">
        <f t="shared" ref="T359:T362" si="455">YEAR(I359)</f>
        <v>2026</v>
      </c>
      <c r="U359" t="str">
        <f t="shared" ref="U359:U362" si="456">IFERROR(IF(H359&gt;0,"Buy","Sell"),"")</f>
        <v>Buy</v>
      </c>
      <c r="V359" s="240" t="s">
        <v>96</v>
      </c>
      <c r="W359" t="str">
        <f>_xlfn.XLOOKUP(Table3[[#This Row],[Instrument]],Control!$B$2:$B$19,Control!$E$2:$E$19)</f>
        <v>WTI</v>
      </c>
      <c r="X359" s="14">
        <f>Table3[[#This Row],[Month1]]</f>
        <v>46173</v>
      </c>
      <c r="Y359" s="350">
        <f>Table3[[#This Row],[Quantity]]</f>
        <v>62</v>
      </c>
      <c r="Z359" t="str">
        <f>_xlfn.XLOOKUP(Table3[[#This Row],[Instrument]],Control!$B$2:$B$19,Control!$F$2:$F$19)</f>
        <v>WTI</v>
      </c>
      <c r="AA359" s="14">
        <f>Table3[[#This Row],[Month2]]</f>
        <v>46203</v>
      </c>
      <c r="AB359" s="350">
        <f t="shared" si="378"/>
        <v>-62</v>
      </c>
    </row>
    <row r="360" spans="4:28" ht="15" hidden="1" thickBot="1" x14ac:dyDescent="0.4">
      <c r="D360" s="239" t="s">
        <v>1733</v>
      </c>
      <c r="E360" s="174">
        <v>46080</v>
      </c>
      <c r="F360" s="47" t="s">
        <v>28</v>
      </c>
      <c r="G360" s="4" t="s">
        <v>268</v>
      </c>
      <c r="H360" s="253">
        <v>-2000</v>
      </c>
      <c r="I360" s="172">
        <v>46142</v>
      </c>
      <c r="J360" s="172">
        <v>46142</v>
      </c>
      <c r="K360" s="212">
        <v>17500</v>
      </c>
      <c r="L360" s="314">
        <f>K360</f>
        <v>17500</v>
      </c>
      <c r="M360" s="9">
        <f>L360-K360</f>
        <v>0</v>
      </c>
      <c r="N360" s="91">
        <f>L360-K360</f>
        <v>0</v>
      </c>
      <c r="O360" s="14" t="str">
        <f t="shared" si="452"/>
        <v>Apr 26</v>
      </c>
      <c r="P360" s="8" t="str">
        <f t="shared" si="453"/>
        <v>Sell</v>
      </c>
      <c r="Q360">
        <f t="shared" si="454"/>
        <v>-35000000</v>
      </c>
      <c r="R360" t="str">
        <f>VLOOKUP(F360,Control!$B:$C,2,FALSE)</f>
        <v>Freight</v>
      </c>
      <c r="S360" t="str">
        <f>VLOOKUP(F360,Control!$B:$D,3,FALSE)</f>
        <v>Freight</v>
      </c>
      <c r="T360" s="38">
        <f t="shared" si="455"/>
        <v>2026</v>
      </c>
      <c r="U360" t="str">
        <f t="shared" si="456"/>
        <v>Sell</v>
      </c>
      <c r="V360" s="240" t="s">
        <v>96</v>
      </c>
      <c r="W360" t="e">
        <f>_xlfn.XLOOKUP(Table3[[#This Row],[Instrument]],Control!$B$2:$B$19,Control!$E$2:$E$19)</f>
        <v>#N/A</v>
      </c>
      <c r="X360" s="14">
        <f>Table3[[#This Row],[Month1]]</f>
        <v>46142</v>
      </c>
      <c r="Y360" s="350">
        <f>Table3[[#This Row],[Quantity]]</f>
        <v>-2000</v>
      </c>
      <c r="Z360" t="e">
        <f>_xlfn.XLOOKUP(Table3[[#This Row],[Instrument]],Control!$B$2:$B$19,Control!$F$2:$F$19)</f>
        <v>#N/A</v>
      </c>
      <c r="AA360" s="14">
        <f>Table3[[#This Row],[Month2]]</f>
        <v>46142</v>
      </c>
      <c r="AB360" s="350">
        <f t="shared" si="378"/>
        <v>2000</v>
      </c>
    </row>
    <row r="361" spans="4:28" ht="15" hidden="1" thickBot="1" x14ac:dyDescent="0.4">
      <c r="D361" s="239" t="s">
        <v>1733</v>
      </c>
      <c r="E361" s="174">
        <v>46080</v>
      </c>
      <c r="F361" s="47" t="s">
        <v>28</v>
      </c>
      <c r="G361" s="4" t="s">
        <v>128</v>
      </c>
      <c r="H361" s="253">
        <v>2000</v>
      </c>
      <c r="I361" s="172">
        <v>46142</v>
      </c>
      <c r="J361" s="172">
        <v>46142</v>
      </c>
      <c r="K361" s="100">
        <f>K360-8675</f>
        <v>8825</v>
      </c>
      <c r="L361" s="314">
        <f>L360</f>
        <v>17500</v>
      </c>
      <c r="M361" s="9">
        <f>L361-K361</f>
        <v>8675</v>
      </c>
      <c r="N361" s="91">
        <f>K360-K361</f>
        <v>8675</v>
      </c>
      <c r="O361" s="14" t="str">
        <f t="shared" si="452"/>
        <v>Apr 26</v>
      </c>
      <c r="P361" s="8" t="str">
        <f t="shared" si="453"/>
        <v>Buy</v>
      </c>
      <c r="Q361">
        <f t="shared" si="454"/>
        <v>35000000</v>
      </c>
      <c r="R361" t="str">
        <f>VLOOKUP(F361,Control!$B:$C,2,FALSE)</f>
        <v>Freight</v>
      </c>
      <c r="S361" t="str">
        <f>VLOOKUP(F361,Control!$B:$D,3,FALSE)</f>
        <v>Freight</v>
      </c>
      <c r="T361" s="38">
        <f t="shared" si="455"/>
        <v>2026</v>
      </c>
      <c r="U361" t="str">
        <f t="shared" si="456"/>
        <v>Buy</v>
      </c>
      <c r="V361" s="240" t="s">
        <v>96</v>
      </c>
      <c r="W361" t="e">
        <f>_xlfn.XLOOKUP(Table3[[#This Row],[Instrument]],Control!$B$2:$B$19,Control!$E$2:$E$19)</f>
        <v>#N/A</v>
      </c>
      <c r="X361" s="14">
        <f>Table3[[#This Row],[Month1]]</f>
        <v>46142</v>
      </c>
      <c r="Y361" s="350">
        <f>Table3[[#This Row],[Quantity]]</f>
        <v>2000</v>
      </c>
      <c r="Z361" t="e">
        <f>_xlfn.XLOOKUP(Table3[[#This Row],[Instrument]],Control!$B$2:$B$19,Control!$F$2:$F$19)</f>
        <v>#N/A</v>
      </c>
      <c r="AA361" s="14">
        <f>Table3[[#This Row],[Month2]]</f>
        <v>46142</v>
      </c>
      <c r="AB361" s="350">
        <f t="shared" si="378"/>
        <v>-2000</v>
      </c>
    </row>
    <row r="362" spans="4:28" ht="15" hidden="1" thickBot="1" x14ac:dyDescent="0.4">
      <c r="D362" s="239" t="s">
        <v>127</v>
      </c>
      <c r="E362" s="174">
        <v>46087</v>
      </c>
      <c r="F362" s="10" t="s">
        <v>3</v>
      </c>
      <c r="G362" s="4" t="s">
        <v>128</v>
      </c>
      <c r="H362" s="253">
        <v>-181</v>
      </c>
      <c r="I362" s="172">
        <v>46142</v>
      </c>
      <c r="J362" s="172">
        <f>EOMONTH(Table3[[#This Row],[Month1]],1)</f>
        <v>46173</v>
      </c>
      <c r="K362" s="212">
        <v>3.38</v>
      </c>
      <c r="L362" s="7">
        <f ca="1">IF(OR(S362="WTI Sprds",S362="Brent Sprds",S362="WTI-Brent",S362="DFL"),INDEX(INDIRECT("'" &amp; S362 &amp; "'!$A$6:$XFD$1048576"),MATCH('PnL26'!$P$1,INDIRECT("'" &amp; S362 &amp; "'!$A$6:$A$1048576"),0),MATCH(EOMONTH(I362,0),INDIRECT("'" &amp; S362 &amp; "'!$A$4:$XFD$4"),0)),INDEX(BBG!$A:$BA,MATCH('PnL26'!$P$1,BBG!$A:$A,0),MATCH($I362,BBG!$A$4:$BA$4,0))-INDEX(BBG!$A:$BA,MATCH('PnL26'!$P$1,BBG!$A:$A,0),MATCH($J362,BBG!$A$4:$BA$4,0)))</f>
        <v>0.59</v>
      </c>
      <c r="M362" s="9">
        <f t="shared" ref="M362:M368" ca="1" si="457">IFERROR((L362-K362)*H362,"")</f>
        <v>504.99</v>
      </c>
      <c r="N362">
        <f t="shared" ref="N362:N368" si="458">H362*K362</f>
        <v>-611.78</v>
      </c>
      <c r="O362" s="14" t="str">
        <f t="shared" si="452"/>
        <v>Apr/May 26</v>
      </c>
      <c r="P362" s="8" t="str">
        <f t="shared" si="453"/>
        <v>Sell</v>
      </c>
      <c r="Q362">
        <f t="shared" ca="1" si="454"/>
        <v>-106.78999999999999</v>
      </c>
      <c r="R362" t="str">
        <f>VLOOKUP(F362,Control!$B:$C,2,FALSE)</f>
        <v>Futures</v>
      </c>
      <c r="S362" t="str">
        <f>VLOOKUP(F362,Control!$B:$D,3,FALSE)</f>
        <v>WTI Sprds</v>
      </c>
      <c r="T362" s="38">
        <f t="shared" si="455"/>
        <v>2026</v>
      </c>
      <c r="U362" t="str">
        <f t="shared" si="456"/>
        <v>Sell</v>
      </c>
      <c r="V362" s="240" t="s">
        <v>96</v>
      </c>
      <c r="W362" t="str">
        <f>_xlfn.XLOOKUP(Table3[[#This Row],[Instrument]],Control!$B$2:$B$19,Control!$E$2:$E$19)</f>
        <v>WTI</v>
      </c>
      <c r="X362" s="14">
        <f>Table3[[#This Row],[Month1]]</f>
        <v>46142</v>
      </c>
      <c r="Y362" s="350">
        <f>Table3[[#This Row],[Quantity]]</f>
        <v>-181</v>
      </c>
      <c r="Z362" t="str">
        <f>_xlfn.XLOOKUP(Table3[[#This Row],[Instrument]],Control!$B$2:$B$19,Control!$F$2:$F$19)</f>
        <v>WTI</v>
      </c>
      <c r="AA362" s="14">
        <f>Table3[[#This Row],[Month2]]</f>
        <v>46173</v>
      </c>
      <c r="AB362" s="350">
        <f t="shared" si="378"/>
        <v>181</v>
      </c>
    </row>
    <row r="363" spans="4:28" ht="15" hidden="1" thickBot="1" x14ac:dyDescent="0.4">
      <c r="D363" s="239" t="s">
        <v>127</v>
      </c>
      <c r="E363" s="174">
        <v>46087</v>
      </c>
      <c r="F363" s="10" t="s">
        <v>3</v>
      </c>
      <c r="G363" s="4" t="s">
        <v>128</v>
      </c>
      <c r="H363" s="253">
        <v>-62</v>
      </c>
      <c r="I363" s="172">
        <v>46173</v>
      </c>
      <c r="J363" s="172">
        <f>EOMONTH(Table3[[#This Row],[Month1]],1)</f>
        <v>46203</v>
      </c>
      <c r="K363" s="212">
        <v>5.33</v>
      </c>
      <c r="L363" s="7">
        <f ca="1">IF(OR(S363="WTI Sprds",S363="Brent Sprds",S363="WTI-Brent",S363="DFL"),INDEX(INDIRECT("'" &amp; S363 &amp; "'!$A$6:$XFD$1048576"),MATCH('PnL26'!$P$1,INDIRECT("'" &amp; S363 &amp; "'!$A$6:$A$1048576"),0),MATCH(EOMONTH(I363,0),INDIRECT("'" &amp; S363 &amp; "'!$A$4:$XFD$4"),0)),INDEX(BBG!$A:$BA,MATCH('PnL26'!$P$1,BBG!$A:$A,0),MATCH($I363,BBG!$A$4:$BA$4,0))-INDEX(BBG!$A:$BA,MATCH('PnL26'!$P$1,BBG!$A:$A,0),MATCH($J363,BBG!$A$4:$BA$4,0)))</f>
        <v>2.19</v>
      </c>
      <c r="M363" s="9">
        <f t="shared" ca="1" si="457"/>
        <v>194.68</v>
      </c>
      <c r="N363">
        <f t="shared" si="458"/>
        <v>-330.46</v>
      </c>
      <c r="O363" s="14" t="str">
        <f t="shared" ref="O363:O368" si="459">IF(I363=J363,TEXT(I363,"MMM YY"),TEXT(I363,"MMM")&amp;"/"&amp;TEXT(J363,"MMM")&amp;" "&amp;RIGHT(T363,2))</f>
        <v>May/Jun 26</v>
      </c>
      <c r="P363" s="8" t="str">
        <f t="shared" ref="P363:P368" si="460">IF(H363&lt;0,"Sell","Buy")</f>
        <v>Sell</v>
      </c>
      <c r="Q363">
        <f t="shared" ref="Q363:Q368" ca="1" si="461">H363*L363</f>
        <v>-135.78</v>
      </c>
      <c r="R363" t="str">
        <f>VLOOKUP(F363,Control!$B:$C,2,FALSE)</f>
        <v>Futures</v>
      </c>
      <c r="S363" t="str">
        <f>VLOOKUP(F363,Control!$B:$D,3,FALSE)</f>
        <v>WTI Sprds</v>
      </c>
      <c r="T363" s="38">
        <f t="shared" ref="T363:T368" si="462">YEAR(I363)</f>
        <v>2026</v>
      </c>
      <c r="U363" t="str">
        <f t="shared" ref="U363:U368" si="463">IFERROR(IF(H363&gt;0,"Buy","Sell"),"")</f>
        <v>Sell</v>
      </c>
      <c r="V363" s="240" t="s">
        <v>96</v>
      </c>
      <c r="W363" t="str">
        <f>_xlfn.XLOOKUP(Table3[[#This Row],[Instrument]],Control!$B$2:$B$19,Control!$E$2:$E$19)</f>
        <v>WTI</v>
      </c>
      <c r="X363" s="14">
        <f>Table3[[#This Row],[Month1]]</f>
        <v>46173</v>
      </c>
      <c r="Y363" s="350">
        <f>Table3[[#This Row],[Quantity]]</f>
        <v>-62</v>
      </c>
      <c r="Z363" t="str">
        <f>_xlfn.XLOOKUP(Table3[[#This Row],[Instrument]],Control!$B$2:$B$19,Control!$F$2:$F$19)</f>
        <v>WTI</v>
      </c>
      <c r="AA363" s="14">
        <f>Table3[[#This Row],[Month2]]</f>
        <v>46203</v>
      </c>
      <c r="AB363" s="350">
        <f t="shared" si="378"/>
        <v>62</v>
      </c>
    </row>
    <row r="364" spans="4:28" ht="15" hidden="1" thickBot="1" x14ac:dyDescent="0.4">
      <c r="D364" t="s">
        <v>127</v>
      </c>
      <c r="E364" s="174">
        <v>46087</v>
      </c>
      <c r="F364" s="393" t="s">
        <v>15</v>
      </c>
      <c r="G364" s="4" t="s">
        <v>128</v>
      </c>
      <c r="H364" s="269">
        <v>450</v>
      </c>
      <c r="I364" s="173">
        <v>46112</v>
      </c>
      <c r="J364" s="173">
        <v>46112</v>
      </c>
      <c r="K364" s="100">
        <v>3.33</v>
      </c>
      <c r="L364" s="394">
        <f>Dated!$H$31</f>
        <v>4.659722222222225</v>
      </c>
      <c r="M364" s="9">
        <f t="shared" si="457"/>
        <v>598.37500000000125</v>
      </c>
      <c r="N364">
        <f t="shared" si="458"/>
        <v>1498.5</v>
      </c>
      <c r="O364" s="14" t="str">
        <f t="shared" si="459"/>
        <v>Mar 26</v>
      </c>
      <c r="P364" s="8" t="str">
        <f t="shared" si="460"/>
        <v>Buy</v>
      </c>
      <c r="Q364">
        <f t="shared" si="461"/>
        <v>2096.8750000000014</v>
      </c>
      <c r="R364" s="38" t="str">
        <f>VLOOKUP(F364,Control!$B:$C,2,FALSE)</f>
        <v>Swaps</v>
      </c>
      <c r="S364" s="38" t="str">
        <f>VLOOKUP(F364,Control!$B:$D,3,FALSE)</f>
        <v>Dated</v>
      </c>
      <c r="T364" s="38">
        <f t="shared" si="462"/>
        <v>2026</v>
      </c>
      <c r="U364" t="str">
        <f t="shared" si="463"/>
        <v>Buy</v>
      </c>
      <c r="V364" t="s">
        <v>96</v>
      </c>
      <c r="W364" t="e">
        <f>_xlfn.XLOOKUP(Table3[[#This Row],[Instrument]],Control!$B$2:$B$19,Control!$E$2:$E$19)</f>
        <v>#N/A</v>
      </c>
      <c r="X364" s="14">
        <f>Table3[[#This Row],[Month1]]</f>
        <v>46112</v>
      </c>
      <c r="Y364" s="350">
        <f>Table3[[#This Row],[Quantity]]</f>
        <v>450</v>
      </c>
      <c r="Z364" t="e">
        <f>_xlfn.XLOOKUP(Table3[[#This Row],[Instrument]],Control!$B$2:$B$19,Control!$F$2:$F$19)</f>
        <v>#N/A</v>
      </c>
      <c r="AA364" s="14">
        <f>Table3[[#This Row],[Month2]]</f>
        <v>46112</v>
      </c>
      <c r="AB364" s="350">
        <f t="shared" si="378"/>
        <v>-450</v>
      </c>
    </row>
    <row r="365" spans="4:28" ht="15" hidden="1" thickBot="1" x14ac:dyDescent="0.4">
      <c r="D365" s="239" t="s">
        <v>1734</v>
      </c>
      <c r="E365" s="174">
        <v>46090</v>
      </c>
      <c r="F365" s="10" t="s">
        <v>3</v>
      </c>
      <c r="G365" s="4" t="s">
        <v>128</v>
      </c>
      <c r="H365" s="253">
        <v>-100</v>
      </c>
      <c r="I365" s="172">
        <v>46142</v>
      </c>
      <c r="J365" s="172">
        <f>EOMONTH(Table3[[#This Row],[Month1]],1)</f>
        <v>46173</v>
      </c>
      <c r="K365" s="212">
        <v>4.2850000000000001</v>
      </c>
      <c r="L365" s="7">
        <f ca="1">IF(OR(S365="WTI Sprds",S365="Brent Sprds",S365="WTI-Brent",S365="DFL"),INDEX(INDIRECT("'" &amp; S365 &amp; "'!$A$6:$XFD$1048576"),MATCH('PnL26'!$P$1,INDIRECT("'" &amp; S365 &amp; "'!$A$6:$A$1048576"),0),MATCH(EOMONTH(I365,0),INDIRECT("'" &amp; S365 &amp; "'!$A$4:$XFD$4"),0)),INDEX(BBG!$A:$BA,MATCH('PnL26'!$P$1,BBG!$A:$A,0),MATCH($I365,BBG!$A$4:$BA$4,0))-INDEX(BBG!$A:$BA,MATCH('PnL26'!$P$1,BBG!$A:$A,0),MATCH($J365,BBG!$A$4:$BA$4,0)))</f>
        <v>0.59</v>
      </c>
      <c r="M365" s="9">
        <f t="shared" ca="1" si="457"/>
        <v>369.5</v>
      </c>
      <c r="N365">
        <f t="shared" si="458"/>
        <v>-428.5</v>
      </c>
      <c r="O365" s="14" t="str">
        <f t="shared" si="459"/>
        <v>Apr/May 26</v>
      </c>
      <c r="P365" s="8" t="str">
        <f t="shared" si="460"/>
        <v>Sell</v>
      </c>
      <c r="Q365">
        <f t="shared" ca="1" si="461"/>
        <v>-59</v>
      </c>
      <c r="R365" t="str">
        <f>VLOOKUP(F365,Control!$B:$C,2,FALSE)</f>
        <v>Futures</v>
      </c>
      <c r="S365" t="str">
        <f>VLOOKUP(F365,Control!$B:$D,3,FALSE)</f>
        <v>WTI Sprds</v>
      </c>
      <c r="T365" s="38">
        <f t="shared" si="462"/>
        <v>2026</v>
      </c>
      <c r="U365" t="str">
        <f t="shared" si="463"/>
        <v>Sell</v>
      </c>
      <c r="V365" s="240" t="s">
        <v>96</v>
      </c>
      <c r="W365" t="str">
        <f>_xlfn.XLOOKUP(Table3[[#This Row],[Instrument]],Control!$B$2:$B$19,Control!$E$2:$E$19)</f>
        <v>WTI</v>
      </c>
      <c r="X365" s="14">
        <f>Table3[[#This Row],[Month1]]</f>
        <v>46142</v>
      </c>
      <c r="Y365" s="350">
        <f>Table3[[#This Row],[Quantity]]</f>
        <v>-100</v>
      </c>
      <c r="Z365" t="str">
        <f>_xlfn.XLOOKUP(Table3[[#This Row],[Instrument]],Control!$B$2:$B$19,Control!$F$2:$F$19)</f>
        <v>WTI</v>
      </c>
      <c r="AA365" s="14">
        <f>Table3[[#This Row],[Month2]]</f>
        <v>46173</v>
      </c>
      <c r="AB365" s="350">
        <f t="shared" si="378"/>
        <v>100</v>
      </c>
    </row>
    <row r="366" spans="4:28" ht="15" hidden="1" thickBot="1" x14ac:dyDescent="0.4">
      <c r="D366" s="239" t="s">
        <v>1734</v>
      </c>
      <c r="E366" s="174">
        <v>46090</v>
      </c>
      <c r="F366" s="10" t="s">
        <v>3</v>
      </c>
      <c r="G366" s="4" t="s">
        <v>128</v>
      </c>
      <c r="H366" s="253">
        <v>-100</v>
      </c>
      <c r="I366" s="172">
        <f>J365</f>
        <v>46173</v>
      </c>
      <c r="J366" s="172">
        <f>EOMONTH(Table3[[#This Row],[Month1]],1)</f>
        <v>46203</v>
      </c>
      <c r="K366" s="212">
        <v>6.4350000000000005</v>
      </c>
      <c r="L366" s="7">
        <f ca="1">IF(OR(S366="WTI Sprds",S366="Brent Sprds",S366="WTI-Brent",S366="DFL"),INDEX(INDIRECT("'" &amp; S366 &amp; "'!$A$6:$XFD$1048576"),MATCH('PnL26'!$P$1,INDIRECT("'" &amp; S366 &amp; "'!$A$6:$A$1048576"),0),MATCH(EOMONTH(I366,0),INDIRECT("'" &amp; S366 &amp; "'!$A$4:$XFD$4"),0)),INDEX(BBG!$A:$BA,MATCH('PnL26'!$P$1,BBG!$A:$A,0),MATCH($I366,BBG!$A$4:$BA$4,0))-INDEX(BBG!$A:$BA,MATCH('PnL26'!$P$1,BBG!$A:$A,0),MATCH($J366,BBG!$A$4:$BA$4,0)))</f>
        <v>2.19</v>
      </c>
      <c r="M366" s="9">
        <f t="shared" ca="1" si="457"/>
        <v>424.50000000000011</v>
      </c>
      <c r="N366">
        <f t="shared" si="458"/>
        <v>-643.5</v>
      </c>
      <c r="O366" s="14" t="str">
        <f t="shared" si="459"/>
        <v>May/Jun 26</v>
      </c>
      <c r="P366" s="8" t="str">
        <f t="shared" si="460"/>
        <v>Sell</v>
      </c>
      <c r="Q366">
        <f t="shared" ca="1" si="461"/>
        <v>-219</v>
      </c>
      <c r="R366" t="str">
        <f>VLOOKUP(F366,Control!$B:$C,2,FALSE)</f>
        <v>Futures</v>
      </c>
      <c r="S366" t="str">
        <f>VLOOKUP(F366,Control!$B:$D,3,FALSE)</f>
        <v>WTI Sprds</v>
      </c>
      <c r="T366" s="38">
        <f t="shared" si="462"/>
        <v>2026</v>
      </c>
      <c r="U366" t="str">
        <f t="shared" si="463"/>
        <v>Sell</v>
      </c>
      <c r="V366" s="240" t="s">
        <v>96</v>
      </c>
      <c r="W366" t="str">
        <f>_xlfn.XLOOKUP(Table3[[#This Row],[Instrument]],Control!$B$2:$B$19,Control!$E$2:$E$19)</f>
        <v>WTI</v>
      </c>
      <c r="X366" s="14">
        <f>Table3[[#This Row],[Month1]]</f>
        <v>46173</v>
      </c>
      <c r="Y366" s="350">
        <f>Table3[[#This Row],[Quantity]]</f>
        <v>-100</v>
      </c>
      <c r="Z366" t="str">
        <f>_xlfn.XLOOKUP(Table3[[#This Row],[Instrument]],Control!$B$2:$B$19,Control!$F$2:$F$19)</f>
        <v>WTI</v>
      </c>
      <c r="AA366" s="14">
        <f>Table3[[#This Row],[Month2]]</f>
        <v>46203</v>
      </c>
      <c r="AB366" s="350">
        <f t="shared" si="378"/>
        <v>100</v>
      </c>
    </row>
    <row r="367" spans="4:28" ht="15" hidden="1" thickBot="1" x14ac:dyDescent="0.4">
      <c r="D367" s="239" t="s">
        <v>1734</v>
      </c>
      <c r="E367" s="174">
        <v>46090</v>
      </c>
      <c r="F367" s="10" t="s">
        <v>10</v>
      </c>
      <c r="G367" s="4" t="s">
        <v>128</v>
      </c>
      <c r="H367" s="253">
        <v>-100</v>
      </c>
      <c r="I367" s="172">
        <f>J366</f>
        <v>46203</v>
      </c>
      <c r="J367" s="172">
        <f>Table3[[#This Row],[Month1]]</f>
        <v>46203</v>
      </c>
      <c r="K367" s="212">
        <v>-6.2049999999999992</v>
      </c>
      <c r="L367" s="7">
        <f ca="1">IF(OR(S367="WTI Sprds",S367="Brent Sprds",S367="WTI-Brent",S367="DFL"),INDEX(INDIRECT("'" &amp; S367 &amp; "'!$A$6:$XFD$1048576"),MATCH('PnL26'!$P$1,INDIRECT("'" &amp; S367 &amp; "'!$A$6:$A$1048576"),0),MATCH(EOMONTH(I367,0),INDIRECT("'" &amp; S367 &amp; "'!$A$4:$XFD$4"),0)),INDEX(BBG!$A:$BA,MATCH('PnL26'!$P$1,BBG!$A:$A,0),MATCH($I367,BBG!$A$4:$BA$4,0))-INDEX(BBG!$A:$BA,MATCH('PnL26'!$P$1,BBG!$A:$A,0),MATCH($J367,BBG!$A$4:$BA$4,0)))</f>
        <v>-8.94</v>
      </c>
      <c r="M367" s="9">
        <f t="shared" ca="1" si="457"/>
        <v>273.50000000000006</v>
      </c>
      <c r="N367">
        <f t="shared" si="458"/>
        <v>620.49999999999989</v>
      </c>
      <c r="O367" s="14" t="str">
        <f t="shared" si="459"/>
        <v>Jun 26</v>
      </c>
      <c r="P367" s="8" t="str">
        <f t="shared" si="460"/>
        <v>Sell</v>
      </c>
      <c r="Q367">
        <f t="shared" ca="1" si="461"/>
        <v>894</v>
      </c>
      <c r="R367" t="str">
        <f>VLOOKUP(F367,Control!$B:$C,2,FALSE)</f>
        <v>Swaps</v>
      </c>
      <c r="S367" t="str">
        <f>VLOOKUP(F367,Control!$B:$D,3,FALSE)</f>
        <v>WTI-Brent</v>
      </c>
      <c r="T367" s="38">
        <f t="shared" si="462"/>
        <v>2026</v>
      </c>
      <c r="U367" t="str">
        <f t="shared" si="463"/>
        <v>Sell</v>
      </c>
      <c r="V367" s="240" t="s">
        <v>96</v>
      </c>
      <c r="W367" t="str">
        <f>_xlfn.XLOOKUP(Table3[[#This Row],[Instrument]],Control!$B$2:$B$19,Control!$E$2:$E$19)</f>
        <v>WTI</v>
      </c>
      <c r="X367" s="14">
        <f>Table3[[#This Row],[Month1]]</f>
        <v>46203</v>
      </c>
      <c r="Y367" s="350">
        <f>Table3[[#This Row],[Quantity]]</f>
        <v>-100</v>
      </c>
      <c r="Z367" t="str">
        <f>_xlfn.XLOOKUP(Table3[[#This Row],[Instrument]],Control!$B$2:$B$19,Control!$F$2:$F$19)</f>
        <v>Brent</v>
      </c>
      <c r="AA367" s="14">
        <f>Table3[[#This Row],[Month2]]</f>
        <v>46203</v>
      </c>
      <c r="AB367" s="350">
        <f t="shared" si="378"/>
        <v>100</v>
      </c>
    </row>
    <row r="368" spans="4:28" ht="15" hidden="1" thickBot="1" x14ac:dyDescent="0.4">
      <c r="D368" s="239" t="s">
        <v>1734</v>
      </c>
      <c r="E368" s="174">
        <v>46090</v>
      </c>
      <c r="F368" s="10" t="s">
        <v>7</v>
      </c>
      <c r="G368" s="4" t="s">
        <v>128</v>
      </c>
      <c r="H368" s="253">
        <v>-100</v>
      </c>
      <c r="I368" s="172">
        <f>J367</f>
        <v>46203</v>
      </c>
      <c r="J368" s="172">
        <v>46234</v>
      </c>
      <c r="K368" s="212">
        <v>5.6450000000000005</v>
      </c>
      <c r="L368" s="7">
        <f ca="1">IF(OR(S368="WTI Sprds",S368="Brent Sprds",S368="WTI-Brent",S368="DFL"),INDEX(INDIRECT("'" &amp; S368 &amp; "'!$A$6:$XFD$1048576"),MATCH('PnL26'!$P$1,INDIRECT("'" &amp; S368 &amp; "'!$A$6:$A$1048576"),0),MATCH(EOMONTH(I368,0),INDIRECT("'" &amp; S368 &amp; "'!$A$4:$XFD$4"),0)),INDEX(BBG!$A:$BA,MATCH('PnL26'!$P$1,BBG!$A:$A,0),MATCH($I368,BBG!$A$4:$BA$4,0))-INDEX(BBG!$A:$BA,MATCH('PnL26'!$P$1,BBG!$A:$A,0),MATCH($J368,BBG!$A$4:$BA$4,0)))</f>
        <v>3.61</v>
      </c>
      <c r="M368" s="9">
        <f t="shared" ca="1" si="457"/>
        <v>203.50000000000006</v>
      </c>
      <c r="N368">
        <f t="shared" si="458"/>
        <v>-564.5</v>
      </c>
      <c r="O368" s="14" t="str">
        <f t="shared" si="459"/>
        <v>Jun/Jul 26</v>
      </c>
      <c r="P368" s="8" t="str">
        <f t="shared" si="460"/>
        <v>Sell</v>
      </c>
      <c r="Q368">
        <f t="shared" ca="1" si="461"/>
        <v>-361</v>
      </c>
      <c r="R368" t="str">
        <f>VLOOKUP(F368,Control!$B:$C,2,FALSE)</f>
        <v>Futures</v>
      </c>
      <c r="S368" t="str">
        <f>VLOOKUP(F368,Control!$B:$D,3,FALSE)</f>
        <v>Brent Sprds</v>
      </c>
      <c r="T368" s="38">
        <f t="shared" si="462"/>
        <v>2026</v>
      </c>
      <c r="U368" t="str">
        <f t="shared" si="463"/>
        <v>Sell</v>
      </c>
      <c r="V368" s="240" t="s">
        <v>96</v>
      </c>
      <c r="W368" t="str">
        <f>_xlfn.XLOOKUP(Table3[[#This Row],[Instrument]],Control!$B$2:$B$19,Control!$E$2:$E$19)</f>
        <v>Brent</v>
      </c>
      <c r="X368" s="14">
        <f>Table3[[#This Row],[Month1]]</f>
        <v>46203</v>
      </c>
      <c r="Y368" s="350">
        <f>Table3[[#This Row],[Quantity]]</f>
        <v>-100</v>
      </c>
      <c r="Z368" t="str">
        <f>_xlfn.XLOOKUP(Table3[[#This Row],[Instrument]],Control!$B$2:$B$19,Control!$F$2:$F$19)</f>
        <v>Brent</v>
      </c>
      <c r="AA368" s="14">
        <f>Table3[[#This Row],[Month2]]</f>
        <v>46234</v>
      </c>
      <c r="AB368" s="350">
        <f t="shared" si="378"/>
        <v>100</v>
      </c>
    </row>
    <row r="369" spans="4:28" ht="15" hidden="1" thickBot="1" x14ac:dyDescent="0.4">
      <c r="D369" s="239" t="s">
        <v>1734</v>
      </c>
      <c r="E369" s="174">
        <v>46090</v>
      </c>
      <c r="F369" s="10" t="s">
        <v>7</v>
      </c>
      <c r="G369" s="4" t="s">
        <v>128</v>
      </c>
      <c r="H369" s="253">
        <v>100</v>
      </c>
      <c r="I369" s="172">
        <v>46234</v>
      </c>
      <c r="J369" s="172">
        <v>46265</v>
      </c>
      <c r="K369" s="212">
        <v>4.3825000000000003</v>
      </c>
      <c r="L369" s="7">
        <f ca="1">IF(OR(S369="WTI Sprds",S369="Brent Sprds",S369="WTI-Brent",S369="DFL"),INDEX(INDIRECT("'" &amp; S369 &amp; "'!$A$6:$XFD$1048576"),MATCH('PnL26'!$P$1,INDIRECT("'" &amp; S369 &amp; "'!$A$6:$A$1048576"),0),MATCH(EOMONTH(I369,0),INDIRECT("'" &amp; S369 &amp; "'!$A$4:$XFD$4"),0)),INDEX(BBG!$A:$BA,MATCH('PnL26'!$P$1,BBG!$A:$A,0),MATCH($I369,BBG!$A$4:$BA$4,0))-INDEX(BBG!$A:$BA,MATCH('PnL26'!$P$1,BBG!$A:$A,0),MATCH($J369,BBG!$A$4:$BA$4,0)))</f>
        <v>0.93</v>
      </c>
      <c r="M369" s="9">
        <f t="shared" ref="M369:M370" ca="1" si="464">IFERROR((L369-K369)*H369,"")</f>
        <v>-345.25</v>
      </c>
      <c r="N369">
        <f t="shared" ref="N369:N370" si="465">H369*K369</f>
        <v>438.25</v>
      </c>
      <c r="O369" s="14" t="str">
        <f t="shared" ref="O369:O370" si="466">IF(I369=J369,TEXT(I369,"MMM YY"),TEXT(I369,"MMM")&amp;"/"&amp;TEXT(J369,"MMM")&amp;" "&amp;RIGHT(T369,2))</f>
        <v>Jul/Aug 26</v>
      </c>
      <c r="P369" s="8" t="str">
        <f t="shared" ref="P369:P370" si="467">IF(H369&lt;0,"Sell","Buy")</f>
        <v>Buy</v>
      </c>
      <c r="Q369">
        <f t="shared" ref="Q369:Q370" ca="1" si="468">H369*L369</f>
        <v>93</v>
      </c>
      <c r="R369" t="str">
        <f>VLOOKUP(F369,Control!$B:$C,2,FALSE)</f>
        <v>Futures</v>
      </c>
      <c r="S369" t="str">
        <f>VLOOKUP(F369,Control!$B:$D,3,FALSE)</f>
        <v>Brent Sprds</v>
      </c>
      <c r="T369" s="38">
        <f t="shared" ref="T369:T370" si="469">YEAR(I369)</f>
        <v>2026</v>
      </c>
      <c r="U369" t="str">
        <f t="shared" ref="U369:U370" si="470">IFERROR(IF(H369&gt;0,"Buy","Sell"),"")</f>
        <v>Buy</v>
      </c>
      <c r="V369" s="240" t="s">
        <v>96</v>
      </c>
      <c r="W369" t="str">
        <f>_xlfn.XLOOKUP(Table3[[#This Row],[Instrument]],Control!$B$2:$B$19,Control!$E$2:$E$19)</f>
        <v>Brent</v>
      </c>
      <c r="X369" s="14">
        <f>Table3[[#This Row],[Month1]]</f>
        <v>46234</v>
      </c>
      <c r="Y369" s="350">
        <f>Table3[[#This Row],[Quantity]]</f>
        <v>100</v>
      </c>
      <c r="Z369" t="str">
        <f>_xlfn.XLOOKUP(Table3[[#This Row],[Instrument]],Control!$B$2:$B$19,Control!$F$2:$F$19)</f>
        <v>Brent</v>
      </c>
      <c r="AA369" s="14">
        <f>Table3[[#This Row],[Month2]]</f>
        <v>46265</v>
      </c>
      <c r="AB369" s="350">
        <f t="shared" si="378"/>
        <v>-100</v>
      </c>
    </row>
    <row r="370" spans="4:28" ht="15" hidden="1" thickBot="1" x14ac:dyDescent="0.4">
      <c r="D370" t="s">
        <v>127</v>
      </c>
      <c r="E370" s="174">
        <v>46087</v>
      </c>
      <c r="F370" s="10" t="s">
        <v>15</v>
      </c>
      <c r="G370" s="4" t="s">
        <v>128</v>
      </c>
      <c r="H370" s="253">
        <v>-100</v>
      </c>
      <c r="I370" s="173">
        <v>46234</v>
      </c>
      <c r="J370" s="173">
        <f t="shared" ref="J370:J372" si="471">I370</f>
        <v>46234</v>
      </c>
      <c r="K370" s="100">
        <v>3.25</v>
      </c>
      <c r="L370" s="192">
        <f>VLOOKUP($I370,'PnL26'!$E$7:$F$59,2,FALSE)</f>
        <v>2.62</v>
      </c>
      <c r="M370" s="9">
        <f t="shared" si="464"/>
        <v>62.999999999999986</v>
      </c>
      <c r="N370">
        <f t="shared" si="465"/>
        <v>-325</v>
      </c>
      <c r="O370" s="14" t="str">
        <f t="shared" si="466"/>
        <v>Jul 26</v>
      </c>
      <c r="P370" s="8" t="str">
        <f t="shared" si="467"/>
        <v>Sell</v>
      </c>
      <c r="Q370">
        <f t="shared" si="468"/>
        <v>-262</v>
      </c>
      <c r="R370" s="38" t="str">
        <f>VLOOKUP(F370,Control!$B:$C,2,FALSE)</f>
        <v>Swaps</v>
      </c>
      <c r="S370" s="38" t="str">
        <f>VLOOKUP(F370,Control!$B:$D,3,FALSE)</f>
        <v>Dated</v>
      </c>
      <c r="T370" s="38">
        <f t="shared" si="469"/>
        <v>2026</v>
      </c>
      <c r="U370" t="str">
        <f t="shared" si="470"/>
        <v>Sell</v>
      </c>
      <c r="V370" t="s">
        <v>96</v>
      </c>
      <c r="W370" t="e">
        <f>_xlfn.XLOOKUP(Table3[[#This Row],[Instrument]],Control!$B$2:$B$19,Control!$E$2:$E$19)</f>
        <v>#N/A</v>
      </c>
      <c r="X370" s="14">
        <f>Table3[[#This Row],[Month1]]</f>
        <v>46234</v>
      </c>
      <c r="Y370" s="350">
        <f>Table3[[#This Row],[Quantity]]</f>
        <v>-100</v>
      </c>
      <c r="Z370" t="e">
        <f>_xlfn.XLOOKUP(Table3[[#This Row],[Instrument]],Control!$B$2:$B$19,Control!$F$2:$F$19)</f>
        <v>#N/A</v>
      </c>
      <c r="AA370" s="14">
        <f>Table3[[#This Row],[Month2]]</f>
        <v>46234</v>
      </c>
      <c r="AB370" s="350">
        <f t="shared" si="378"/>
        <v>100</v>
      </c>
    </row>
    <row r="371" spans="4:28" ht="15" hidden="1" thickBot="1" x14ac:dyDescent="0.4">
      <c r="D371" t="s">
        <v>127</v>
      </c>
      <c r="E371" s="174">
        <v>46087</v>
      </c>
      <c r="F371" s="10" t="s">
        <v>15</v>
      </c>
      <c r="G371" s="4" t="s">
        <v>128</v>
      </c>
      <c r="H371" s="253">
        <v>-100</v>
      </c>
      <c r="I371" s="173">
        <v>46265</v>
      </c>
      <c r="J371" s="173">
        <f t="shared" si="471"/>
        <v>46265</v>
      </c>
      <c r="K371" s="100">
        <v>3.25</v>
      </c>
      <c r="L371" s="192">
        <f>VLOOKUP($I371,'PnL26'!$E$7:$F$59,2,FALSE)</f>
        <v>2.62</v>
      </c>
      <c r="M371" s="9">
        <f t="shared" ref="M371:M373" si="472">IFERROR((L371-K371)*H371,"")</f>
        <v>62.999999999999986</v>
      </c>
      <c r="N371">
        <f t="shared" ref="N371:N373" si="473">H371*K371</f>
        <v>-325</v>
      </c>
      <c r="O371" s="14" t="str">
        <f t="shared" ref="O371:O373" si="474">IF(I371=J371,TEXT(I371,"MMM YY"),TEXT(I371,"MMM")&amp;"/"&amp;TEXT(J371,"MMM")&amp;" "&amp;RIGHT(T371,2))</f>
        <v>Aug 26</v>
      </c>
      <c r="P371" s="8" t="str">
        <f t="shared" ref="P371:P373" si="475">IF(H371&lt;0,"Sell","Buy")</f>
        <v>Sell</v>
      </c>
      <c r="Q371">
        <f t="shared" ref="Q371:Q373" si="476">H371*L371</f>
        <v>-262</v>
      </c>
      <c r="R371" s="38" t="str">
        <f>VLOOKUP(F371,Control!$B:$C,2,FALSE)</f>
        <v>Swaps</v>
      </c>
      <c r="S371" s="38" t="str">
        <f>VLOOKUP(F371,Control!$B:$D,3,FALSE)</f>
        <v>Dated</v>
      </c>
      <c r="T371" s="38">
        <f t="shared" ref="T371:T373" si="477">YEAR(I371)</f>
        <v>2026</v>
      </c>
      <c r="U371" t="str">
        <f t="shared" ref="U371:U373" si="478">IFERROR(IF(H371&gt;0,"Buy","Sell"),"")</f>
        <v>Sell</v>
      </c>
      <c r="V371" t="s">
        <v>96</v>
      </c>
      <c r="W371" t="e">
        <f>_xlfn.XLOOKUP(Table3[[#This Row],[Instrument]],Control!$B$2:$B$19,Control!$E$2:$E$19)</f>
        <v>#N/A</v>
      </c>
      <c r="X371" s="14">
        <f>Table3[[#This Row],[Month1]]</f>
        <v>46265</v>
      </c>
      <c r="Y371" s="350">
        <f>Table3[[#This Row],[Quantity]]</f>
        <v>-100</v>
      </c>
      <c r="Z371" t="e">
        <f>_xlfn.XLOOKUP(Table3[[#This Row],[Instrument]],Control!$B$2:$B$19,Control!$F$2:$F$19)</f>
        <v>#N/A</v>
      </c>
      <c r="AA371" s="14">
        <f>Table3[[#This Row],[Month2]]</f>
        <v>46265</v>
      </c>
      <c r="AB371" s="350">
        <f t="shared" si="378"/>
        <v>100</v>
      </c>
    </row>
    <row r="372" spans="4:28" ht="15" hidden="1" thickBot="1" x14ac:dyDescent="0.4">
      <c r="D372" t="s">
        <v>127</v>
      </c>
      <c r="E372" s="174">
        <v>46087</v>
      </c>
      <c r="F372" s="10" t="s">
        <v>15</v>
      </c>
      <c r="G372" s="4" t="s">
        <v>128</v>
      </c>
      <c r="H372" s="253">
        <v>-100</v>
      </c>
      <c r="I372" s="173">
        <v>46295</v>
      </c>
      <c r="J372" s="173">
        <f t="shared" si="471"/>
        <v>46295</v>
      </c>
      <c r="K372" s="100">
        <v>3.25</v>
      </c>
      <c r="L372" s="192">
        <f>VLOOKUP($I372,'PnL26'!$E$7:$F$59,2,FALSE)</f>
        <v>2.62</v>
      </c>
      <c r="M372" s="9">
        <f t="shared" si="472"/>
        <v>62.999999999999986</v>
      </c>
      <c r="N372">
        <f t="shared" si="473"/>
        <v>-325</v>
      </c>
      <c r="O372" s="14" t="str">
        <f t="shared" si="474"/>
        <v>Sep 26</v>
      </c>
      <c r="P372" s="8" t="str">
        <f t="shared" si="475"/>
        <v>Sell</v>
      </c>
      <c r="Q372">
        <f t="shared" si="476"/>
        <v>-262</v>
      </c>
      <c r="R372" s="38" t="str">
        <f>VLOOKUP(F372,Control!$B:$C,2,FALSE)</f>
        <v>Swaps</v>
      </c>
      <c r="S372" s="38" t="str">
        <f>VLOOKUP(F372,Control!$B:$D,3,FALSE)</f>
        <v>Dated</v>
      </c>
      <c r="T372" s="38">
        <f t="shared" si="477"/>
        <v>2026</v>
      </c>
      <c r="U372" t="str">
        <f t="shared" si="478"/>
        <v>Sell</v>
      </c>
      <c r="V372" t="s">
        <v>96</v>
      </c>
      <c r="W372" t="e">
        <f>_xlfn.XLOOKUP(Table3[[#This Row],[Instrument]],Control!$B$2:$B$19,Control!$E$2:$E$19)</f>
        <v>#N/A</v>
      </c>
      <c r="X372" s="14">
        <f>Table3[[#This Row],[Month1]]</f>
        <v>46295</v>
      </c>
      <c r="Y372" s="350">
        <f>Table3[[#This Row],[Quantity]]</f>
        <v>-100</v>
      </c>
      <c r="Z372" t="e">
        <f>_xlfn.XLOOKUP(Table3[[#This Row],[Instrument]],Control!$B$2:$B$19,Control!$F$2:$F$19)</f>
        <v>#N/A</v>
      </c>
      <c r="AA372" s="14">
        <f>Table3[[#This Row],[Month2]]</f>
        <v>46295</v>
      </c>
      <c r="AB372" s="350">
        <f t="shared" si="378"/>
        <v>100</v>
      </c>
    </row>
    <row r="373" spans="4:28" ht="15" hidden="1" thickBot="1" x14ac:dyDescent="0.4">
      <c r="D373" s="239" t="s">
        <v>1734</v>
      </c>
      <c r="E373" s="174">
        <v>46091</v>
      </c>
      <c r="F373" s="10" t="s">
        <v>3</v>
      </c>
      <c r="G373" s="4" t="s">
        <v>128</v>
      </c>
      <c r="H373" s="253">
        <v>186</v>
      </c>
      <c r="I373" s="172">
        <v>46142</v>
      </c>
      <c r="J373" s="172">
        <f>EOMONTH(Table3[[#This Row],[Month1]],1)</f>
        <v>46173</v>
      </c>
      <c r="K373" s="212">
        <v>1.35</v>
      </c>
      <c r="L373" s="7">
        <f ca="1">IF(OR(S373="WTI Sprds",S373="Brent Sprds",S373="WTI-Brent",S373="DFL"),INDEX(INDIRECT("'" &amp; S373 &amp; "'!$A$6:$XFD$1048576"),MATCH('PnL26'!$P$1,INDIRECT("'" &amp; S373 &amp; "'!$A$6:$A$1048576"),0),MATCH(EOMONTH(I373,0),INDIRECT("'" &amp; S373 &amp; "'!$A$4:$XFD$4"),0)),INDEX(BBG!$A:$BA,MATCH('PnL26'!$P$1,BBG!$A:$A,0),MATCH($I373,BBG!$A$4:$BA$4,0))-INDEX(BBG!$A:$BA,MATCH('PnL26'!$P$1,BBG!$A:$A,0),MATCH($J373,BBG!$A$4:$BA$4,0)))</f>
        <v>0.59</v>
      </c>
      <c r="M373" s="9">
        <f t="shared" ca="1" si="472"/>
        <v>-141.36000000000001</v>
      </c>
      <c r="N373">
        <f t="shared" si="473"/>
        <v>251.10000000000002</v>
      </c>
      <c r="O373" s="14" t="str">
        <f t="shared" si="474"/>
        <v>Apr/May 26</v>
      </c>
      <c r="P373" s="8" t="str">
        <f t="shared" si="475"/>
        <v>Buy</v>
      </c>
      <c r="Q373">
        <f t="shared" ca="1" si="476"/>
        <v>109.74</v>
      </c>
      <c r="R373" t="str">
        <f>VLOOKUP(F373,Control!$B:$C,2,FALSE)</f>
        <v>Futures</v>
      </c>
      <c r="S373" t="str">
        <f>VLOOKUP(F373,Control!$B:$D,3,FALSE)</f>
        <v>WTI Sprds</v>
      </c>
      <c r="T373" s="38">
        <f t="shared" si="477"/>
        <v>2026</v>
      </c>
      <c r="U373" t="str">
        <f t="shared" si="478"/>
        <v>Buy</v>
      </c>
      <c r="V373" s="240" t="s">
        <v>96</v>
      </c>
      <c r="W373" t="str">
        <f>_xlfn.XLOOKUP(Table3[[#This Row],[Instrument]],Control!$B$2:$B$19,Control!$E$2:$E$19)</f>
        <v>WTI</v>
      </c>
      <c r="X373" s="14">
        <f>Table3[[#This Row],[Month1]]</f>
        <v>46142</v>
      </c>
      <c r="Y373" s="350">
        <f>Table3[[#This Row],[Quantity]]</f>
        <v>186</v>
      </c>
      <c r="Z373" t="str">
        <f>_xlfn.XLOOKUP(Table3[[#This Row],[Instrument]],Control!$B$2:$B$19,Control!$F$2:$F$19)</f>
        <v>WTI</v>
      </c>
      <c r="AA373" s="14">
        <f>Table3[[#This Row],[Month2]]</f>
        <v>46173</v>
      </c>
      <c r="AB373" s="350">
        <f t="shared" si="378"/>
        <v>-186</v>
      </c>
    </row>
    <row r="374" spans="4:28" ht="15" hidden="1" thickBot="1" x14ac:dyDescent="0.4">
      <c r="D374" s="239" t="s">
        <v>1734</v>
      </c>
      <c r="E374" s="174">
        <v>46091</v>
      </c>
      <c r="F374" s="10" t="s">
        <v>3</v>
      </c>
      <c r="G374" s="4" t="s">
        <v>128</v>
      </c>
      <c r="H374" s="253">
        <v>62</v>
      </c>
      <c r="I374" s="172">
        <f>J373</f>
        <v>46173</v>
      </c>
      <c r="J374" s="172">
        <f>EOMONTH(Table3[[#This Row],[Month1]],1)</f>
        <v>46203</v>
      </c>
      <c r="K374" s="212">
        <v>2.66</v>
      </c>
      <c r="L374" s="7">
        <f ca="1">IF(OR(S374="WTI Sprds",S374="Brent Sprds",S374="WTI-Brent",S374="DFL"),INDEX(INDIRECT("'" &amp; S374 &amp; "'!$A$6:$XFD$1048576"),MATCH('PnL26'!$P$1,INDIRECT("'" &amp; S374 &amp; "'!$A$6:$A$1048576"),0),MATCH(EOMONTH(I374,0),INDIRECT("'" &amp; S374 &amp; "'!$A$4:$XFD$4"),0)),INDEX(BBG!$A:$BA,MATCH('PnL26'!$P$1,BBG!$A:$A,0),MATCH($I374,BBG!$A$4:$BA$4,0))-INDEX(BBG!$A:$BA,MATCH('PnL26'!$P$1,BBG!$A:$A,0),MATCH($J374,BBG!$A$4:$BA$4,0)))</f>
        <v>2.19</v>
      </c>
      <c r="M374" s="9">
        <f t="shared" ref="M374:M375" ca="1" si="479">IFERROR((L374-K374)*H374,"")</f>
        <v>-29.140000000000011</v>
      </c>
      <c r="N374">
        <f t="shared" ref="N374:N375" si="480">H374*K374</f>
        <v>164.92000000000002</v>
      </c>
      <c r="O374" s="14" t="str">
        <f t="shared" ref="O374:O375" si="481">IF(I374=J374,TEXT(I374,"MMM YY"),TEXT(I374,"MMM")&amp;"/"&amp;TEXT(J374,"MMM")&amp;" "&amp;RIGHT(T374,2))</f>
        <v>May/Jun 26</v>
      </c>
      <c r="P374" s="8" t="str">
        <f t="shared" ref="P374:P375" si="482">IF(H374&lt;0,"Sell","Buy")</f>
        <v>Buy</v>
      </c>
      <c r="Q374">
        <f t="shared" ref="Q374:Q375" ca="1" si="483">H374*L374</f>
        <v>135.78</v>
      </c>
      <c r="R374" t="str">
        <f>VLOOKUP(F374,Control!$B:$C,2,FALSE)</f>
        <v>Futures</v>
      </c>
      <c r="S374" t="str">
        <f>VLOOKUP(F374,Control!$B:$D,3,FALSE)</f>
        <v>WTI Sprds</v>
      </c>
      <c r="T374" s="38">
        <f t="shared" ref="T374:T375" si="484">YEAR(I374)</f>
        <v>2026</v>
      </c>
      <c r="U374" t="str">
        <f t="shared" ref="U374:U375" si="485">IFERROR(IF(H374&gt;0,"Buy","Sell"),"")</f>
        <v>Buy</v>
      </c>
      <c r="V374" s="240" t="s">
        <v>96</v>
      </c>
      <c r="W374" t="str">
        <f>_xlfn.XLOOKUP(Table3[[#This Row],[Instrument]],Control!$B$2:$B$19,Control!$E$2:$E$19)</f>
        <v>WTI</v>
      </c>
      <c r="X374" s="14">
        <f>Table3[[#This Row],[Month1]]</f>
        <v>46173</v>
      </c>
      <c r="Y374" s="350">
        <f>Table3[[#This Row],[Quantity]]</f>
        <v>62</v>
      </c>
      <c r="Z374" t="str">
        <f>_xlfn.XLOOKUP(Table3[[#This Row],[Instrument]],Control!$B$2:$B$19,Control!$F$2:$F$19)</f>
        <v>WTI</v>
      </c>
      <c r="AA374" s="14">
        <f>Table3[[#This Row],[Month2]]</f>
        <v>46203</v>
      </c>
      <c r="AB374" s="350">
        <f t="shared" si="378"/>
        <v>-62</v>
      </c>
    </row>
    <row r="375" spans="4:28" ht="15" hidden="1" thickBot="1" x14ac:dyDescent="0.4">
      <c r="D375" s="239" t="s">
        <v>1734</v>
      </c>
      <c r="E375" s="174">
        <v>46091</v>
      </c>
      <c r="F375" s="10" t="s">
        <v>3</v>
      </c>
      <c r="G375" s="4" t="s">
        <v>128</v>
      </c>
      <c r="H375" s="253">
        <v>71</v>
      </c>
      <c r="I375" s="172">
        <v>46142</v>
      </c>
      <c r="J375" s="172">
        <f>EOMONTH(Table3[[#This Row],[Month1]],1)</f>
        <v>46173</v>
      </c>
      <c r="K375" s="212">
        <v>1.875</v>
      </c>
      <c r="L375" s="7">
        <f ca="1">IF(OR(S375="WTI Sprds",S375="Brent Sprds",S375="WTI-Brent",S375="DFL"),INDEX(INDIRECT("'" &amp; S375 &amp; "'!$A$6:$XFD$1048576"),MATCH('PnL26'!$P$1,INDIRECT("'" &amp; S375 &amp; "'!$A$6:$A$1048576"),0),MATCH(EOMONTH(I375,0),INDIRECT("'" &amp; S375 &amp; "'!$A$4:$XFD$4"),0)),INDEX(BBG!$A:$BA,MATCH('PnL26'!$P$1,BBG!$A:$A,0),MATCH($I375,BBG!$A$4:$BA$4,0))-INDEX(BBG!$A:$BA,MATCH('PnL26'!$P$1,BBG!$A:$A,0),MATCH($J375,BBG!$A$4:$BA$4,0)))</f>
        <v>0.59</v>
      </c>
      <c r="M375" s="9">
        <f t="shared" ca="1" si="479"/>
        <v>-91.235000000000014</v>
      </c>
      <c r="N375">
        <f t="shared" si="480"/>
        <v>133.125</v>
      </c>
      <c r="O375" s="14" t="str">
        <f t="shared" si="481"/>
        <v>Apr/May 26</v>
      </c>
      <c r="P375" s="8" t="str">
        <f t="shared" si="482"/>
        <v>Buy</v>
      </c>
      <c r="Q375">
        <f t="shared" ca="1" si="483"/>
        <v>41.89</v>
      </c>
      <c r="R375" t="str">
        <f>VLOOKUP(F375,Control!$B:$C,2,FALSE)</f>
        <v>Futures</v>
      </c>
      <c r="S375" t="str">
        <f>VLOOKUP(F375,Control!$B:$D,3,FALSE)</f>
        <v>WTI Sprds</v>
      </c>
      <c r="T375" s="38">
        <f t="shared" si="484"/>
        <v>2026</v>
      </c>
      <c r="U375" t="str">
        <f t="shared" si="485"/>
        <v>Buy</v>
      </c>
      <c r="V375" s="240" t="s">
        <v>96</v>
      </c>
      <c r="W375" t="str">
        <f>_xlfn.XLOOKUP(Table3[[#This Row],[Instrument]],Control!$B$2:$B$19,Control!$E$2:$E$19)</f>
        <v>WTI</v>
      </c>
      <c r="X375" s="14">
        <f>Table3[[#This Row],[Month1]]</f>
        <v>46142</v>
      </c>
      <c r="Y375" s="350">
        <f>Table3[[#This Row],[Quantity]]</f>
        <v>71</v>
      </c>
      <c r="Z375" t="str">
        <f>_xlfn.XLOOKUP(Table3[[#This Row],[Instrument]],Control!$B$2:$B$19,Control!$F$2:$F$19)</f>
        <v>WTI</v>
      </c>
      <c r="AA375" s="14">
        <f>Table3[[#This Row],[Month2]]</f>
        <v>46173</v>
      </c>
      <c r="AB375" s="350">
        <f t="shared" si="378"/>
        <v>-71</v>
      </c>
    </row>
    <row r="376" spans="4:28" ht="15" hidden="1" thickBot="1" x14ac:dyDescent="0.4">
      <c r="D376" s="239" t="s">
        <v>1734</v>
      </c>
      <c r="E376" s="174">
        <v>46091</v>
      </c>
      <c r="F376" s="10" t="s">
        <v>3</v>
      </c>
      <c r="G376" s="4" t="s">
        <v>128</v>
      </c>
      <c r="H376" s="253">
        <v>71</v>
      </c>
      <c r="I376" s="172">
        <f>J375</f>
        <v>46173</v>
      </c>
      <c r="J376" s="172">
        <f>EOMONTH(Table3[[#This Row],[Month1]],1)</f>
        <v>46203</v>
      </c>
      <c r="K376" s="212">
        <v>1.875</v>
      </c>
      <c r="L376" s="7">
        <f ca="1">IF(OR(S376="WTI Sprds",S376="Brent Sprds",S376="WTI-Brent",S376="DFL"),INDEX(INDIRECT("'" &amp; S376 &amp; "'!$A$6:$XFD$1048576"),MATCH('PnL26'!$P$1,INDIRECT("'" &amp; S376 &amp; "'!$A$6:$A$1048576"),0),MATCH(EOMONTH(I376,0),INDIRECT("'" &amp; S376 &amp; "'!$A$4:$XFD$4"),0)),INDEX(BBG!$A:$BA,MATCH('PnL26'!$P$1,BBG!$A:$A,0),MATCH($I376,BBG!$A$4:$BA$4,0))-INDEX(BBG!$A:$BA,MATCH('PnL26'!$P$1,BBG!$A:$A,0),MATCH($J376,BBG!$A$4:$BA$4,0)))</f>
        <v>2.19</v>
      </c>
      <c r="M376" s="9">
        <f t="shared" ref="M376:M377" ca="1" si="486">IFERROR((L376-K376)*H376,"")</f>
        <v>22.364999999999995</v>
      </c>
      <c r="N376">
        <f t="shared" ref="N376:N378" si="487">H376*K376</f>
        <v>133.125</v>
      </c>
      <c r="O376" s="14" t="str">
        <f t="shared" ref="O376:O378" si="488">IF(I376=J376,TEXT(I376,"MMM YY"),TEXT(I376,"MMM")&amp;"/"&amp;TEXT(J376,"MMM")&amp;" "&amp;RIGHT(T376,2))</f>
        <v>May/Jun 26</v>
      </c>
      <c r="P376" s="8" t="str">
        <f t="shared" ref="P376:P378" si="489">IF(H376&lt;0,"Sell","Buy")</f>
        <v>Buy</v>
      </c>
      <c r="Q376">
        <f t="shared" ref="Q376:Q378" ca="1" si="490">H376*L376</f>
        <v>155.49</v>
      </c>
      <c r="R376" t="str">
        <f>VLOOKUP(F376,Control!$B:$C,2,FALSE)</f>
        <v>Futures</v>
      </c>
      <c r="S376" t="str">
        <f>VLOOKUP(F376,Control!$B:$D,3,FALSE)</f>
        <v>WTI Sprds</v>
      </c>
      <c r="T376" s="38">
        <f t="shared" ref="T376:T378" si="491">YEAR(I376)</f>
        <v>2026</v>
      </c>
      <c r="U376" t="str">
        <f t="shared" ref="U376:U378" si="492">IFERROR(IF(H376&gt;0,"Buy","Sell"),"")</f>
        <v>Buy</v>
      </c>
      <c r="V376" s="240" t="s">
        <v>96</v>
      </c>
      <c r="W376" t="str">
        <f>_xlfn.XLOOKUP(Table3[[#This Row],[Instrument]],Control!$B$2:$B$19,Control!$E$2:$E$19)</f>
        <v>WTI</v>
      </c>
      <c r="X376" s="14">
        <f>Table3[[#This Row],[Month1]]</f>
        <v>46173</v>
      </c>
      <c r="Y376" s="350">
        <f>Table3[[#This Row],[Quantity]]</f>
        <v>71</v>
      </c>
      <c r="Z376" t="str">
        <f>_xlfn.XLOOKUP(Table3[[#This Row],[Instrument]],Control!$B$2:$B$19,Control!$F$2:$F$19)</f>
        <v>WTI</v>
      </c>
      <c r="AA376" s="14">
        <f>Table3[[#This Row],[Month2]]</f>
        <v>46203</v>
      </c>
      <c r="AB376" s="350">
        <f t="shared" si="378"/>
        <v>-71</v>
      </c>
    </row>
    <row r="377" spans="4:28" ht="15" hidden="1" thickBot="1" x14ac:dyDescent="0.4">
      <c r="D377" t="s">
        <v>127</v>
      </c>
      <c r="E377" s="174">
        <v>46091</v>
      </c>
      <c r="F377" s="393" t="s">
        <v>15</v>
      </c>
      <c r="G377" s="4" t="s">
        <v>128</v>
      </c>
      <c r="H377" s="269">
        <v>-132</v>
      </c>
      <c r="I377" s="173">
        <v>46112</v>
      </c>
      <c r="J377" s="173">
        <v>46112</v>
      </c>
      <c r="K377" s="100">
        <v>1</v>
      </c>
      <c r="L377" s="394">
        <f>Dated!$I$31</f>
        <v>4.8475000000000028</v>
      </c>
      <c r="M377" s="9">
        <f t="shared" si="486"/>
        <v>-507.87000000000035</v>
      </c>
      <c r="N377">
        <f t="shared" si="487"/>
        <v>-132</v>
      </c>
      <c r="O377" s="14" t="str">
        <f t="shared" si="488"/>
        <v>Mar 26</v>
      </c>
      <c r="P377" s="8" t="str">
        <f t="shared" si="489"/>
        <v>Sell</v>
      </c>
      <c r="Q377">
        <f t="shared" si="490"/>
        <v>-639.87000000000035</v>
      </c>
      <c r="R377" s="38" t="str">
        <f>VLOOKUP(F377,Control!$B:$C,2,FALSE)</f>
        <v>Swaps</v>
      </c>
      <c r="S377" s="38" t="str">
        <f>VLOOKUP(F377,Control!$B:$D,3,FALSE)</f>
        <v>Dated</v>
      </c>
      <c r="T377" s="38">
        <f t="shared" si="491"/>
        <v>2026</v>
      </c>
      <c r="U377" t="str">
        <f t="shared" si="492"/>
        <v>Sell</v>
      </c>
      <c r="V377" t="s">
        <v>96</v>
      </c>
      <c r="W377" t="e">
        <f>_xlfn.XLOOKUP(Table3[[#This Row],[Instrument]],Control!$B$2:$B$19,Control!$E$2:$E$19)</f>
        <v>#N/A</v>
      </c>
      <c r="X377" s="14">
        <f>Table3[[#This Row],[Month1]]</f>
        <v>46112</v>
      </c>
      <c r="Y377" s="350">
        <f>Table3[[#This Row],[Quantity]]</f>
        <v>-132</v>
      </c>
      <c r="Z377" t="e">
        <f>_xlfn.XLOOKUP(Table3[[#This Row],[Instrument]],Control!$B$2:$B$19,Control!$F$2:$F$19)</f>
        <v>#N/A</v>
      </c>
      <c r="AA377" s="14">
        <f>Table3[[#This Row],[Month2]]</f>
        <v>46112</v>
      </c>
      <c r="AB377" s="350">
        <f t="shared" si="378"/>
        <v>132</v>
      </c>
    </row>
    <row r="378" spans="4:28" ht="15" hidden="1" thickBot="1" x14ac:dyDescent="0.4">
      <c r="D378" t="s">
        <v>1735</v>
      </c>
      <c r="E378" s="174">
        <v>46091</v>
      </c>
      <c r="F378" s="375" t="s">
        <v>36</v>
      </c>
      <c r="G378" s="4" t="s">
        <v>128</v>
      </c>
      <c r="H378" s="253">
        <v>15</v>
      </c>
      <c r="I378" s="172">
        <v>46142</v>
      </c>
      <c r="J378" s="172">
        <f>Table3[[#This Row],[Month1]]</f>
        <v>46142</v>
      </c>
      <c r="K378" s="212">
        <v>42.545299999999997</v>
      </c>
      <c r="L378" s="314">
        <f>VLOOKUP(I378,[2]USG!$O$45:$S100,MATCH("Freight-TD25 $/MT",[2]USG!$O$46:$S$46,0),FALSE)</f>
        <v>100.32275000000001</v>
      </c>
      <c r="M378" s="9">
        <f>-(K378-L378)*Table3[[#This Row],[Quantity]]</f>
        <v>866.66175000000021</v>
      </c>
      <c r="N378">
        <f t="shared" si="487"/>
        <v>638.17949999999996</v>
      </c>
      <c r="O378" s="14" t="str">
        <f t="shared" si="488"/>
        <v>Apr 26</v>
      </c>
      <c r="P378" s="8" t="str">
        <f t="shared" si="489"/>
        <v>Buy</v>
      </c>
      <c r="Q378">
        <f t="shared" si="490"/>
        <v>1504.8412500000002</v>
      </c>
      <c r="R378" t="str">
        <f>VLOOKUP(F378,Control!$B:$C,2,FALSE)</f>
        <v>Freight</v>
      </c>
      <c r="S378" t="str">
        <f>VLOOKUP(F378,Control!$B:$D,3,FALSE)</f>
        <v>Freight</v>
      </c>
      <c r="T378" s="38">
        <f t="shared" si="491"/>
        <v>2026</v>
      </c>
      <c r="U378" t="str">
        <f t="shared" si="492"/>
        <v>Buy</v>
      </c>
      <c r="V378" t="s">
        <v>96</v>
      </c>
      <c r="W378" t="e">
        <f>_xlfn.XLOOKUP(Table3[[#This Row],[Instrument]],Control!$B$2:$B$19,Control!$E$2:$E$19)</f>
        <v>#N/A</v>
      </c>
      <c r="X378" s="14">
        <f>Table3[[#This Row],[Month1]]</f>
        <v>46142</v>
      </c>
      <c r="Y378" s="350">
        <f>Table3[[#This Row],[Quantity]]</f>
        <v>15</v>
      </c>
      <c r="Z378" t="e">
        <f>_xlfn.XLOOKUP(Table3[[#This Row],[Instrument]],Control!$B$2:$B$19,Control!$F$2:$F$19)</f>
        <v>#N/A</v>
      </c>
      <c r="AA378" s="14">
        <f>Table3[[#This Row],[Month2]]</f>
        <v>46142</v>
      </c>
      <c r="AB378" s="350">
        <f t="shared" si="378"/>
        <v>-15</v>
      </c>
    </row>
    <row r="379" spans="4:28" ht="15" hidden="1" thickBot="1" x14ac:dyDescent="0.4">
      <c r="D379" t="s">
        <v>1735</v>
      </c>
      <c r="E379" s="174">
        <v>46092</v>
      </c>
      <c r="F379" s="375" t="s">
        <v>36</v>
      </c>
      <c r="G379" s="4" t="s">
        <v>128</v>
      </c>
      <c r="H379" s="253">
        <v>20</v>
      </c>
      <c r="I379" s="172">
        <v>46234</v>
      </c>
      <c r="J379" s="172">
        <f>Table3[[#This Row],[Month1]]</f>
        <v>46234</v>
      </c>
      <c r="K379" s="212">
        <v>37.737000000000002</v>
      </c>
      <c r="L379" s="314">
        <f>VLOOKUP(I379,[2]USG!$O$45:$S100,MATCH("Freight-TD25 $/MT",[2]USG!$O$46:$S$46,0),FALSE)</f>
        <v>62.189600000000006</v>
      </c>
      <c r="M379" s="9">
        <f>-(K379-L379)*Table3[[#This Row],[Quantity]]</f>
        <v>489.05200000000008</v>
      </c>
      <c r="N379">
        <f t="shared" ref="N379:N383" si="493">H379*K379</f>
        <v>754.74</v>
      </c>
      <c r="O379" s="14" t="str">
        <f t="shared" ref="O379:O383" si="494">IF(I379=J379,TEXT(I379,"MMM YY"),TEXT(I379,"MMM")&amp;"/"&amp;TEXT(J379,"MMM")&amp;" "&amp;RIGHT(T379,2))</f>
        <v>Jul 26</v>
      </c>
      <c r="P379" s="8" t="str">
        <f t="shared" ref="P379:P383" si="495">IF(H379&lt;0,"Sell","Buy")</f>
        <v>Buy</v>
      </c>
      <c r="Q379">
        <f t="shared" ref="Q379:Q383" si="496">H379*L379</f>
        <v>1243.7920000000001</v>
      </c>
      <c r="R379" t="str">
        <f>VLOOKUP(F379,Control!$B:$C,2,FALSE)</f>
        <v>Freight</v>
      </c>
      <c r="S379" t="str">
        <f>VLOOKUP(F379,Control!$B:$D,3,FALSE)</f>
        <v>Freight</v>
      </c>
      <c r="T379" s="38">
        <f t="shared" ref="T379:T383" si="497">YEAR(I379)</f>
        <v>2026</v>
      </c>
      <c r="U379" t="str">
        <f t="shared" ref="U379:U383" si="498">IFERROR(IF(H379&gt;0,"Buy","Sell"),"")</f>
        <v>Buy</v>
      </c>
      <c r="V379" t="s">
        <v>96</v>
      </c>
      <c r="W379" t="e">
        <f>_xlfn.XLOOKUP(Table3[[#This Row],[Instrument]],Control!$B$2:$B$19,Control!$E$2:$E$19)</f>
        <v>#N/A</v>
      </c>
      <c r="X379" s="14">
        <f>Table3[[#This Row],[Month1]]</f>
        <v>46234</v>
      </c>
      <c r="Y379" s="350">
        <f>Table3[[#This Row],[Quantity]]</f>
        <v>20</v>
      </c>
      <c r="Z379" t="e">
        <f>_xlfn.XLOOKUP(Table3[[#This Row],[Instrument]],Control!$B$2:$B$19,Control!$F$2:$F$19)</f>
        <v>#N/A</v>
      </c>
      <c r="AA379" s="14">
        <f>Table3[[#This Row],[Month2]]</f>
        <v>46234</v>
      </c>
      <c r="AB379" s="350">
        <f t="shared" si="378"/>
        <v>-20</v>
      </c>
    </row>
    <row r="380" spans="4:28" ht="15" hidden="1" thickBot="1" x14ac:dyDescent="0.4">
      <c r="D380" t="s">
        <v>1735</v>
      </c>
      <c r="E380" s="174">
        <v>46092</v>
      </c>
      <c r="F380" s="375" t="s">
        <v>36</v>
      </c>
      <c r="G380" s="4" t="s">
        <v>128</v>
      </c>
      <c r="H380" s="253">
        <v>20</v>
      </c>
      <c r="I380" s="172">
        <v>46265</v>
      </c>
      <c r="J380" s="172">
        <f>Table3[[#This Row],[Month1]]</f>
        <v>46265</v>
      </c>
      <c r="K380" s="212">
        <v>37.737000000000002</v>
      </c>
      <c r="L380" s="314">
        <f>VLOOKUP(I380,[2]USG!$O$45:$S100,MATCH("Freight-TD25 $/MT",[2]USG!$O$46:$S$46,0),FALSE)</f>
        <v>66.70675</v>
      </c>
      <c r="M380" s="9">
        <f>-(K380-L380)*Table3[[#This Row],[Quantity]]</f>
        <v>579.39499999999998</v>
      </c>
      <c r="N380">
        <f t="shared" si="493"/>
        <v>754.74</v>
      </c>
      <c r="O380" s="14" t="str">
        <f t="shared" si="494"/>
        <v>Aug 26</v>
      </c>
      <c r="P380" s="8" t="str">
        <f t="shared" si="495"/>
        <v>Buy</v>
      </c>
      <c r="Q380">
        <f t="shared" si="496"/>
        <v>1334.135</v>
      </c>
      <c r="R380" t="str">
        <f>VLOOKUP(F380,Control!$B:$C,2,FALSE)</f>
        <v>Freight</v>
      </c>
      <c r="S380" t="str">
        <f>VLOOKUP(F380,Control!$B:$D,3,FALSE)</f>
        <v>Freight</v>
      </c>
      <c r="T380" s="38">
        <f t="shared" si="497"/>
        <v>2026</v>
      </c>
      <c r="U380" t="str">
        <f t="shared" si="498"/>
        <v>Buy</v>
      </c>
      <c r="V380" t="s">
        <v>96</v>
      </c>
      <c r="W380" t="e">
        <f>_xlfn.XLOOKUP(Table3[[#This Row],[Instrument]],Control!$B$2:$B$19,Control!$E$2:$E$19)</f>
        <v>#N/A</v>
      </c>
      <c r="X380" s="14">
        <f>Table3[[#This Row],[Month1]]</f>
        <v>46265</v>
      </c>
      <c r="Y380" s="350">
        <f>Table3[[#This Row],[Quantity]]</f>
        <v>20</v>
      </c>
      <c r="Z380" t="e">
        <f>_xlfn.XLOOKUP(Table3[[#This Row],[Instrument]],Control!$B$2:$B$19,Control!$F$2:$F$19)</f>
        <v>#N/A</v>
      </c>
      <c r="AA380" s="14">
        <f>Table3[[#This Row],[Month2]]</f>
        <v>46265</v>
      </c>
      <c r="AB380" s="350">
        <f t="shared" si="378"/>
        <v>-20</v>
      </c>
    </row>
    <row r="381" spans="4:28" ht="15" hidden="1" thickBot="1" x14ac:dyDescent="0.4">
      <c r="D381" t="s">
        <v>1735</v>
      </c>
      <c r="E381" s="174">
        <v>46092</v>
      </c>
      <c r="F381" s="375" t="s">
        <v>36</v>
      </c>
      <c r="G381" s="4" t="s">
        <v>128</v>
      </c>
      <c r="H381" s="253">
        <v>20</v>
      </c>
      <c r="I381" s="172">
        <v>46295</v>
      </c>
      <c r="J381" s="172">
        <f>Table3[[#This Row],[Month1]]</f>
        <v>46295</v>
      </c>
      <c r="K381" s="212">
        <v>37.737000000000002</v>
      </c>
      <c r="L381" s="314">
        <f>VLOOKUP(I381,[2]USG!$O$45:$S100,MATCH("Freight-TD25 $/MT",[2]USG!$O$46:$S$46,0),FALSE)</f>
        <v>62.189600000000006</v>
      </c>
      <c r="M381" s="9">
        <f>-(K381-L381)*Table3[[#This Row],[Quantity]]</f>
        <v>489.05200000000008</v>
      </c>
      <c r="N381">
        <f t="shared" si="493"/>
        <v>754.74</v>
      </c>
      <c r="O381" s="14" t="str">
        <f t="shared" si="494"/>
        <v>Sep 26</v>
      </c>
      <c r="P381" s="8" t="str">
        <f t="shared" si="495"/>
        <v>Buy</v>
      </c>
      <c r="Q381">
        <f t="shared" si="496"/>
        <v>1243.7920000000001</v>
      </c>
      <c r="R381" t="str">
        <f>VLOOKUP(F381,Control!$B:$C,2,FALSE)</f>
        <v>Freight</v>
      </c>
      <c r="S381" t="str">
        <f>VLOOKUP(F381,Control!$B:$D,3,FALSE)</f>
        <v>Freight</v>
      </c>
      <c r="T381" s="38">
        <f t="shared" si="497"/>
        <v>2026</v>
      </c>
      <c r="U381" t="str">
        <f t="shared" si="498"/>
        <v>Buy</v>
      </c>
      <c r="V381" t="s">
        <v>96</v>
      </c>
      <c r="W381" t="e">
        <f>_xlfn.XLOOKUP(Table3[[#This Row],[Instrument]],Control!$B$2:$B$19,Control!$E$2:$E$19)</f>
        <v>#N/A</v>
      </c>
      <c r="X381" s="14">
        <f>Table3[[#This Row],[Month1]]</f>
        <v>46295</v>
      </c>
      <c r="Y381" s="350">
        <f>Table3[[#This Row],[Quantity]]</f>
        <v>20</v>
      </c>
      <c r="Z381" t="e">
        <f>_xlfn.XLOOKUP(Table3[[#This Row],[Instrument]],Control!$B$2:$B$19,Control!$F$2:$F$19)</f>
        <v>#N/A</v>
      </c>
      <c r="AA381" s="14">
        <f>Table3[[#This Row],[Month2]]</f>
        <v>46295</v>
      </c>
      <c r="AB381" s="350">
        <f t="shared" si="378"/>
        <v>-20</v>
      </c>
    </row>
    <row r="382" spans="4:28" ht="15" hidden="1" thickBot="1" x14ac:dyDescent="0.4">
      <c r="D382" s="239" t="s">
        <v>127</v>
      </c>
      <c r="E382" s="174">
        <v>46093</v>
      </c>
      <c r="F382" s="10" t="s">
        <v>3</v>
      </c>
      <c r="G382" s="4" t="s">
        <v>128</v>
      </c>
      <c r="H382" s="253">
        <v>186</v>
      </c>
      <c r="I382" s="172">
        <v>46142</v>
      </c>
      <c r="J382" s="172">
        <f>EOMONTH(Table3[[#This Row],[Month1]],1)</f>
        <v>46173</v>
      </c>
      <c r="K382" s="212">
        <v>1.3</v>
      </c>
      <c r="L382" s="7">
        <f ca="1">IF(OR(S382="WTI Sprds",S382="Brent Sprds",S382="WTI-Brent",S382="DFL"),INDEX(INDIRECT("'" &amp; S382 &amp; "'!$A$6:$XFD$1048576"),MATCH('PnL26'!$P$1,INDIRECT("'" &amp; S382 &amp; "'!$A$6:$A$1048576"),0),MATCH(EOMONTH(I382,0),INDIRECT("'" &amp; S382 &amp; "'!$A$4:$XFD$4"),0)),INDEX(BBG!$A:$BA,MATCH('PnL26'!$P$1,BBG!$A:$A,0),MATCH($I382,BBG!$A$4:$BA$4,0))-INDEX(BBG!$A:$BA,MATCH('PnL26'!$P$1,BBG!$A:$A,0),MATCH($J382,BBG!$A$4:$BA$4,0)))</f>
        <v>0.59</v>
      </c>
      <c r="M382" s="9">
        <f t="shared" ref="M382:M383" ca="1" si="499">IFERROR((L382-K382)*H382,"")</f>
        <v>-132.06</v>
      </c>
      <c r="N382">
        <f t="shared" si="493"/>
        <v>241.8</v>
      </c>
      <c r="O382" s="14" t="str">
        <f t="shared" si="494"/>
        <v>Apr/May 26</v>
      </c>
      <c r="P382" s="8" t="str">
        <f t="shared" si="495"/>
        <v>Buy</v>
      </c>
      <c r="Q382">
        <f t="shared" ca="1" si="496"/>
        <v>109.74</v>
      </c>
      <c r="R382" t="str">
        <f>VLOOKUP(F382,Control!$B:$C,2,FALSE)</f>
        <v>Futures</v>
      </c>
      <c r="S382" t="str">
        <f>VLOOKUP(F382,Control!$B:$D,3,FALSE)</f>
        <v>WTI Sprds</v>
      </c>
      <c r="T382" s="38">
        <f t="shared" si="497"/>
        <v>2026</v>
      </c>
      <c r="U382" t="str">
        <f t="shared" si="498"/>
        <v>Buy</v>
      </c>
      <c r="V382" s="240" t="s">
        <v>96</v>
      </c>
      <c r="W382" t="str">
        <f>_xlfn.XLOOKUP(Table3[[#This Row],[Instrument]],Control!$B$2:$B$19,Control!$E$2:$E$19)</f>
        <v>WTI</v>
      </c>
      <c r="X382" s="14">
        <f>Table3[[#This Row],[Month1]]</f>
        <v>46142</v>
      </c>
      <c r="Y382" s="350">
        <f>Table3[[#This Row],[Quantity]]</f>
        <v>186</v>
      </c>
      <c r="Z382" t="str">
        <f>_xlfn.XLOOKUP(Table3[[#This Row],[Instrument]],Control!$B$2:$B$19,Control!$F$2:$F$19)</f>
        <v>WTI</v>
      </c>
      <c r="AA382" s="14">
        <f>Table3[[#This Row],[Month2]]</f>
        <v>46173</v>
      </c>
      <c r="AB382" s="350">
        <f t="shared" si="378"/>
        <v>-186</v>
      </c>
    </row>
    <row r="383" spans="4:28" ht="15" hidden="1" thickBot="1" x14ac:dyDescent="0.4">
      <c r="D383" s="239" t="s">
        <v>127</v>
      </c>
      <c r="E383" s="174">
        <v>46093</v>
      </c>
      <c r="F383" s="10" t="s">
        <v>3</v>
      </c>
      <c r="G383" s="4" t="s">
        <v>128</v>
      </c>
      <c r="H383" s="253">
        <v>62</v>
      </c>
      <c r="I383" s="172">
        <f>J382</f>
        <v>46173</v>
      </c>
      <c r="J383" s="172">
        <f>EOMONTH(Table3[[#This Row],[Month1]],1)</f>
        <v>46203</v>
      </c>
      <c r="K383" s="212">
        <v>3.95</v>
      </c>
      <c r="L383" s="7">
        <f ca="1">IF(OR(S383="WTI Sprds",S383="Brent Sprds",S383="WTI-Brent",S383="DFL"),INDEX(INDIRECT("'" &amp; S383 &amp; "'!$A$6:$XFD$1048576"),MATCH('PnL26'!$P$1,INDIRECT("'" &amp; S383 &amp; "'!$A$6:$A$1048576"),0),MATCH(EOMONTH(I383,0),INDIRECT("'" &amp; S383 &amp; "'!$A$4:$XFD$4"),0)),INDEX(BBG!$A:$BA,MATCH('PnL26'!$P$1,BBG!$A:$A,0),MATCH($I383,BBG!$A$4:$BA$4,0))-INDEX(BBG!$A:$BA,MATCH('PnL26'!$P$1,BBG!$A:$A,0),MATCH($J383,BBG!$A$4:$BA$4,0)))</f>
        <v>2.19</v>
      </c>
      <c r="M383" s="9">
        <f t="shared" ca="1" si="499"/>
        <v>-109.12000000000002</v>
      </c>
      <c r="N383">
        <f t="shared" si="493"/>
        <v>244.9</v>
      </c>
      <c r="O383" s="14" t="str">
        <f t="shared" si="494"/>
        <v>May/Jun 26</v>
      </c>
      <c r="P383" s="8" t="str">
        <f t="shared" si="495"/>
        <v>Buy</v>
      </c>
      <c r="Q383">
        <f t="shared" ca="1" si="496"/>
        <v>135.78</v>
      </c>
      <c r="R383" t="str">
        <f>VLOOKUP(F383,Control!$B:$C,2,FALSE)</f>
        <v>Futures</v>
      </c>
      <c r="S383" t="str">
        <f>VLOOKUP(F383,Control!$B:$D,3,FALSE)</f>
        <v>WTI Sprds</v>
      </c>
      <c r="T383" s="38">
        <f t="shared" si="497"/>
        <v>2026</v>
      </c>
      <c r="U383" t="str">
        <f t="shared" si="498"/>
        <v>Buy</v>
      </c>
      <c r="V383" s="240" t="s">
        <v>96</v>
      </c>
      <c r="W383" t="str">
        <f>_xlfn.XLOOKUP(Table3[[#This Row],[Instrument]],Control!$B$2:$B$19,Control!$E$2:$E$19)</f>
        <v>WTI</v>
      </c>
      <c r="X383" s="14">
        <f>Table3[[#This Row],[Month1]]</f>
        <v>46173</v>
      </c>
      <c r="Y383" s="350">
        <f>Table3[[#This Row],[Quantity]]</f>
        <v>62</v>
      </c>
      <c r="Z383" t="str">
        <f>_xlfn.XLOOKUP(Table3[[#This Row],[Instrument]],Control!$B$2:$B$19,Control!$F$2:$F$19)</f>
        <v>WTI</v>
      </c>
      <c r="AA383" s="14">
        <f>Table3[[#This Row],[Month2]]</f>
        <v>46203</v>
      </c>
      <c r="AB383" s="350">
        <f t="shared" si="378"/>
        <v>-62</v>
      </c>
    </row>
    <row r="384" spans="4:28" ht="15" hidden="1" thickBot="1" x14ac:dyDescent="0.4">
      <c r="D384" s="239" t="s">
        <v>127</v>
      </c>
      <c r="E384" s="174">
        <v>46094</v>
      </c>
      <c r="F384" s="10" t="s">
        <v>3</v>
      </c>
      <c r="G384" s="4" t="s">
        <v>128</v>
      </c>
      <c r="H384" s="253">
        <v>-250</v>
      </c>
      <c r="I384" s="172">
        <v>46142</v>
      </c>
      <c r="J384" s="172">
        <f>EOMONTH(Table3[[#This Row],[Month1]],1)</f>
        <v>46173</v>
      </c>
      <c r="K384" s="212">
        <v>2</v>
      </c>
      <c r="L384" s="7">
        <f ca="1">IF(OR(S384="WTI Sprds",S384="Brent Sprds",S384="WTI-Brent",S384="DFL"),INDEX(INDIRECT("'" &amp; S384 &amp; "'!$A$6:$XFD$1048576"),MATCH('PnL26'!$P$1,INDIRECT("'" &amp; S384 &amp; "'!$A$6:$A$1048576"),0),MATCH(EOMONTH(I384,0),INDIRECT("'" &amp; S384 &amp; "'!$A$4:$XFD$4"),0)),INDEX(BBG!$A:$BA,MATCH('PnL26'!$P$1,BBG!$A:$A,0),MATCH($I384,BBG!$A$4:$BA$4,0))-INDEX(BBG!$A:$BA,MATCH('PnL26'!$P$1,BBG!$A:$A,0),MATCH($J384,BBG!$A$4:$BA$4,0)))</f>
        <v>0.59</v>
      </c>
      <c r="M384" s="9">
        <f t="shared" ref="M384:M390" ca="1" si="500">IFERROR((L384-K384)*H384,"")</f>
        <v>352.50000000000006</v>
      </c>
      <c r="N384">
        <f t="shared" ref="N384:N395" si="501">H384*K384</f>
        <v>-500</v>
      </c>
      <c r="O384" s="14" t="str">
        <f t="shared" ref="O384:O395" si="502">IF(I384=J384,TEXT(I384,"MMM YY"),TEXT(I384,"MMM")&amp;"/"&amp;TEXT(J384,"MMM")&amp;" "&amp;RIGHT(T384,2))</f>
        <v>Apr/May 26</v>
      </c>
      <c r="P384" s="8" t="str">
        <f t="shared" ref="P384:P395" si="503">IF(H384&lt;0,"Sell","Buy")</f>
        <v>Sell</v>
      </c>
      <c r="Q384">
        <f t="shared" ref="Q384:Q395" ca="1" si="504">H384*L384</f>
        <v>-147.5</v>
      </c>
      <c r="R384" t="str">
        <f>VLOOKUP(F384,Control!$B:$C,2,FALSE)</f>
        <v>Futures</v>
      </c>
      <c r="S384" t="str">
        <f>VLOOKUP(F384,Control!$B:$D,3,FALSE)</f>
        <v>WTI Sprds</v>
      </c>
      <c r="T384" s="38">
        <f t="shared" ref="T384:T395" si="505">YEAR(I384)</f>
        <v>2026</v>
      </c>
      <c r="U384" t="str">
        <f t="shared" ref="U384:U395" si="506">IFERROR(IF(H384&gt;0,"Buy","Sell"),"")</f>
        <v>Sell</v>
      </c>
      <c r="V384" s="240" t="s">
        <v>96</v>
      </c>
      <c r="W384" t="str">
        <f>_xlfn.XLOOKUP(Table3[[#This Row],[Instrument]],Control!$B$2:$B$19,Control!$E$2:$E$19)</f>
        <v>WTI</v>
      </c>
      <c r="X384" s="14">
        <f>Table3[[#This Row],[Month1]]</f>
        <v>46142</v>
      </c>
      <c r="Y384" s="350">
        <f>Table3[[#This Row],[Quantity]]</f>
        <v>-250</v>
      </c>
      <c r="Z384" t="str">
        <f>_xlfn.XLOOKUP(Table3[[#This Row],[Instrument]],Control!$B$2:$B$19,Control!$F$2:$F$19)</f>
        <v>WTI</v>
      </c>
      <c r="AA384" s="14">
        <f>Table3[[#This Row],[Month2]]</f>
        <v>46173</v>
      </c>
      <c r="AB384" s="350">
        <f t="shared" si="378"/>
        <v>250</v>
      </c>
    </row>
    <row r="385" spans="4:28" ht="15" hidden="1" thickBot="1" x14ac:dyDescent="0.4">
      <c r="D385" s="239" t="s">
        <v>127</v>
      </c>
      <c r="E385" s="174">
        <v>46094</v>
      </c>
      <c r="F385" s="10" t="s">
        <v>3</v>
      </c>
      <c r="G385" s="4" t="s">
        <v>128</v>
      </c>
      <c r="H385" s="253">
        <v>-250</v>
      </c>
      <c r="I385" s="172">
        <f>J384</f>
        <v>46173</v>
      </c>
      <c r="J385" s="172">
        <f>EOMONTH(Table3[[#This Row],[Month1]],1)</f>
        <v>46203</v>
      </c>
      <c r="K385" s="212">
        <v>4.3600000000000003</v>
      </c>
      <c r="L385" s="7">
        <f ca="1">IF(OR(S385="WTI Sprds",S385="Brent Sprds",S385="WTI-Brent",S385="DFL"),INDEX(INDIRECT("'" &amp; S385 &amp; "'!$A$6:$XFD$1048576"),MATCH('PnL26'!$P$1,INDIRECT("'" &amp; S385 &amp; "'!$A$6:$A$1048576"),0),MATCH(EOMONTH(I385,0),INDIRECT("'" &amp; S385 &amp; "'!$A$4:$XFD$4"),0)),INDEX(BBG!$A:$BA,MATCH('PnL26'!$P$1,BBG!$A:$A,0),MATCH($I385,BBG!$A$4:$BA$4,0))-INDEX(BBG!$A:$BA,MATCH('PnL26'!$P$1,BBG!$A:$A,0),MATCH($J385,BBG!$A$4:$BA$4,0)))</f>
        <v>2.19</v>
      </c>
      <c r="M385" s="9">
        <f t="shared" ca="1" si="500"/>
        <v>542.50000000000011</v>
      </c>
      <c r="N385">
        <f t="shared" si="501"/>
        <v>-1090</v>
      </c>
      <c r="O385" s="14" t="str">
        <f t="shared" si="502"/>
        <v>May/Jun 26</v>
      </c>
      <c r="P385" s="8" t="str">
        <f t="shared" si="503"/>
        <v>Sell</v>
      </c>
      <c r="Q385">
        <f t="shared" ca="1" si="504"/>
        <v>-547.5</v>
      </c>
      <c r="R385" t="str">
        <f>VLOOKUP(F385,Control!$B:$C,2,FALSE)</f>
        <v>Futures</v>
      </c>
      <c r="S385" t="str">
        <f>VLOOKUP(F385,Control!$B:$D,3,FALSE)</f>
        <v>WTI Sprds</v>
      </c>
      <c r="T385" s="38">
        <f t="shared" si="505"/>
        <v>2026</v>
      </c>
      <c r="U385" t="str">
        <f t="shared" si="506"/>
        <v>Sell</v>
      </c>
      <c r="V385" s="240" t="s">
        <v>96</v>
      </c>
      <c r="W385" t="str">
        <f>_xlfn.XLOOKUP(Table3[[#This Row],[Instrument]],Control!$B$2:$B$19,Control!$E$2:$E$19)</f>
        <v>WTI</v>
      </c>
      <c r="X385" s="14">
        <f>Table3[[#This Row],[Month1]]</f>
        <v>46173</v>
      </c>
      <c r="Y385" s="350">
        <f>Table3[[#This Row],[Quantity]]</f>
        <v>-250</v>
      </c>
      <c r="Z385" t="str">
        <f>_xlfn.XLOOKUP(Table3[[#This Row],[Instrument]],Control!$B$2:$B$19,Control!$F$2:$F$19)</f>
        <v>WTI</v>
      </c>
      <c r="AA385" s="14">
        <f>Table3[[#This Row],[Month2]]</f>
        <v>46203</v>
      </c>
      <c r="AB385" s="350">
        <f t="shared" si="378"/>
        <v>250</v>
      </c>
    </row>
    <row r="386" spans="4:28" ht="15" hidden="1" thickBot="1" x14ac:dyDescent="0.4">
      <c r="D386" s="239" t="s">
        <v>127</v>
      </c>
      <c r="E386" s="174">
        <v>46094</v>
      </c>
      <c r="F386" s="10" t="s">
        <v>3</v>
      </c>
      <c r="G386" s="4" t="s">
        <v>128</v>
      </c>
      <c r="H386" s="253">
        <v>-66</v>
      </c>
      <c r="I386" s="172">
        <v>46142</v>
      </c>
      <c r="J386" s="172">
        <f>EOMONTH(Table3[[#This Row],[Month1]],1)</f>
        <v>46173</v>
      </c>
      <c r="K386" s="212">
        <v>1.87</v>
      </c>
      <c r="L386" s="7">
        <f ca="1">IF(OR(S386="WTI Sprds",S386="Brent Sprds",S386="WTI-Brent",S386="DFL"),INDEX(INDIRECT("'" &amp; S386 &amp; "'!$A$6:$XFD$1048576"),MATCH('PnL26'!$P$1,INDIRECT("'" &amp; S386 &amp; "'!$A$6:$A$1048576"),0),MATCH(EOMONTH(I386,0),INDIRECT("'" &amp; S386 &amp; "'!$A$4:$XFD$4"),0)),INDEX(BBG!$A:$BA,MATCH('PnL26'!$P$1,BBG!$A:$A,0),MATCH($I386,BBG!$A$4:$BA$4,0))-INDEX(BBG!$A:$BA,MATCH('PnL26'!$P$1,BBG!$A:$A,0),MATCH($J386,BBG!$A$4:$BA$4,0)))</f>
        <v>0.59</v>
      </c>
      <c r="M386" s="9">
        <f t="shared" ref="M386:M387" ca="1" si="507">IFERROR((L386-K386)*H386,"")</f>
        <v>84.480000000000018</v>
      </c>
      <c r="N386">
        <f t="shared" ref="N386:N387" si="508">H386*K386</f>
        <v>-123.42</v>
      </c>
      <c r="O386" s="14" t="str">
        <f t="shared" ref="O386:O387" si="509">IF(I386=J386,TEXT(I386,"MMM YY"),TEXT(I386,"MMM")&amp;"/"&amp;TEXT(J386,"MMM")&amp;" "&amp;RIGHT(T386,2))</f>
        <v>Apr/May 26</v>
      </c>
      <c r="P386" s="8" t="str">
        <f t="shared" ref="P386:P387" si="510">IF(H386&lt;0,"Sell","Buy")</f>
        <v>Sell</v>
      </c>
      <c r="Q386">
        <f t="shared" ref="Q386:Q387" ca="1" si="511">H386*L386</f>
        <v>-38.94</v>
      </c>
      <c r="R386" t="str">
        <f>VLOOKUP(F386,Control!$B:$C,2,FALSE)</f>
        <v>Futures</v>
      </c>
      <c r="S386" t="str">
        <f>VLOOKUP(F386,Control!$B:$D,3,FALSE)</f>
        <v>WTI Sprds</v>
      </c>
      <c r="T386" s="38">
        <f t="shared" ref="T386:T387" si="512">YEAR(I386)</f>
        <v>2026</v>
      </c>
      <c r="U386" t="str">
        <f t="shared" ref="U386:U387" si="513">IFERROR(IF(H386&gt;0,"Buy","Sell"),"")</f>
        <v>Sell</v>
      </c>
      <c r="V386" s="240" t="s">
        <v>96</v>
      </c>
      <c r="W386" t="str">
        <f>_xlfn.XLOOKUP(Table3[[#This Row],[Instrument]],Control!$B$2:$B$19,Control!$E$2:$E$19)</f>
        <v>WTI</v>
      </c>
      <c r="X386" s="14">
        <f>Table3[[#This Row],[Month1]]</f>
        <v>46142</v>
      </c>
      <c r="Y386" s="350"/>
      <c r="Z386" t="str">
        <f>_xlfn.XLOOKUP(Table3[[#This Row],[Instrument]],Control!$B$2:$B$19,Control!$F$2:$F$19)</f>
        <v>WTI</v>
      </c>
      <c r="AA386" s="14">
        <f>Table3[[#This Row],[Month2]]</f>
        <v>46173</v>
      </c>
      <c r="AB386" s="350"/>
    </row>
    <row r="387" spans="4:28" ht="15" hidden="1" thickBot="1" x14ac:dyDescent="0.4">
      <c r="D387" s="239" t="s">
        <v>127</v>
      </c>
      <c r="E387" s="174">
        <v>46094</v>
      </c>
      <c r="F387" s="10" t="s">
        <v>10</v>
      </c>
      <c r="G387" s="4" t="s">
        <v>128</v>
      </c>
      <c r="H387" s="253">
        <v>-66</v>
      </c>
      <c r="I387" s="172">
        <v>46173</v>
      </c>
      <c r="J387" s="172">
        <v>46173</v>
      </c>
      <c r="K387" s="212">
        <v>-6.3</v>
      </c>
      <c r="L387" s="7">
        <f ca="1">IF(OR(S387="WTI Sprds",S387="Brent Sprds",S387="WTI-Brent",S387="DFL"),INDEX(INDIRECT("'" &amp; S387 &amp; "'!$A$6:$XFD$1048576"),MATCH('PnL26'!$P$1,INDIRECT("'" &amp; S387 &amp; "'!$A$6:$A$1048576"),0),MATCH(EOMONTH(I387,0),INDIRECT("'" &amp; S387 &amp; "'!$A$4:$XFD$4"),0)),INDEX(BBG!$A:$BA,MATCH('PnL26'!$P$1,BBG!$A:$A,0),MATCH($I387,BBG!$A$4:$BA$4,0))-INDEX(BBG!$A:$BA,MATCH('PnL26'!$P$1,BBG!$A:$A,0),MATCH($J387,BBG!$A$4:$BA$4,0)))</f>
        <v>-16.97</v>
      </c>
      <c r="M387" s="9">
        <f t="shared" ca="1" si="507"/>
        <v>704.21999999999991</v>
      </c>
      <c r="N387">
        <f t="shared" si="508"/>
        <v>415.8</v>
      </c>
      <c r="O387" s="14" t="str">
        <f t="shared" si="509"/>
        <v>May 26</v>
      </c>
      <c r="P387" s="8" t="str">
        <f t="shared" si="510"/>
        <v>Sell</v>
      </c>
      <c r="Q387">
        <f t="shared" ca="1" si="511"/>
        <v>1120.02</v>
      </c>
      <c r="R387" t="str">
        <f>VLOOKUP(F387,Control!$B:$C,2,FALSE)</f>
        <v>Swaps</v>
      </c>
      <c r="S387" t="str">
        <f>VLOOKUP(F387,Control!$B:$D,3,FALSE)</f>
        <v>WTI-Brent</v>
      </c>
      <c r="T387" s="38">
        <f t="shared" si="512"/>
        <v>2026</v>
      </c>
      <c r="U387" t="str">
        <f t="shared" si="513"/>
        <v>Sell</v>
      </c>
      <c r="V387" s="240" t="s">
        <v>96</v>
      </c>
      <c r="W387" t="str">
        <f>_xlfn.XLOOKUP(Table3[[#This Row],[Instrument]],Control!$B$2:$B$19,Control!$E$2:$E$19)</f>
        <v>WTI</v>
      </c>
      <c r="X387" s="14">
        <f>Table3[[#This Row],[Month1]]</f>
        <v>46173</v>
      </c>
      <c r="Y387" s="350"/>
      <c r="Z387" t="str">
        <f>_xlfn.XLOOKUP(Table3[[#This Row],[Instrument]],Control!$B$2:$B$19,Control!$F$2:$F$19)</f>
        <v>Brent</v>
      </c>
      <c r="AA387" s="14">
        <f>Table3[[#This Row],[Month2]]</f>
        <v>46173</v>
      </c>
      <c r="AB387" s="350"/>
    </row>
    <row r="388" spans="4:28" ht="15" hidden="1" thickBot="1" x14ac:dyDescent="0.4">
      <c r="D388" s="385" t="s">
        <v>1736</v>
      </c>
      <c r="E388" s="174">
        <v>46097</v>
      </c>
      <c r="F388" s="229" t="s">
        <v>19</v>
      </c>
      <c r="G388" s="380" t="s">
        <v>268</v>
      </c>
      <c r="H388" s="392">
        <v>0</v>
      </c>
      <c r="I388" s="231">
        <v>46142</v>
      </c>
      <c r="J388" s="231">
        <v>46142</v>
      </c>
      <c r="K388" s="232">
        <f>'Cargo Econs 2026'!$F$104</f>
        <v>3.63</v>
      </c>
      <c r="L388" s="315">
        <v>3.43</v>
      </c>
      <c r="M388" s="234">
        <f>IFERROR((L388-K388)*700,"")</f>
        <v>-139.9999999999998</v>
      </c>
      <c r="N388" s="227">
        <f t="shared" si="501"/>
        <v>0</v>
      </c>
      <c r="O388" s="235" t="str">
        <f t="shared" si="502"/>
        <v>Apr 26</v>
      </c>
      <c r="P388" s="236" t="str">
        <f t="shared" si="503"/>
        <v>Buy</v>
      </c>
      <c r="Q388" s="227">
        <f t="shared" si="504"/>
        <v>0</v>
      </c>
      <c r="R388" s="227" t="str">
        <f>VLOOKUP(F388,Control!$B:$C,2,FALSE)</f>
        <v>Physical</v>
      </c>
      <c r="S388" s="227" t="str">
        <f>VLOOKUP(F388,Control!$B:$D,3,FALSE)</f>
        <v>Physical</v>
      </c>
      <c r="T388" s="38">
        <f t="shared" si="505"/>
        <v>2026</v>
      </c>
      <c r="U388" s="227" t="str">
        <f t="shared" si="506"/>
        <v>Sell</v>
      </c>
      <c r="V388" s="238" t="s">
        <v>96</v>
      </c>
      <c r="W388">
        <f>_xlfn.XLOOKUP(Table3[[#This Row],[Instrument]],Control!$B$2:$B$19,Control!$E$2:$E$19)</f>
        <v>0</v>
      </c>
      <c r="X388" s="14">
        <f>Table3[[#This Row],[Month1]]</f>
        <v>46142</v>
      </c>
      <c r="Y388" s="350">
        <f>Table3[[#This Row],[Quantity]]</f>
        <v>0</v>
      </c>
      <c r="Z388">
        <f>_xlfn.XLOOKUP(Table3[[#This Row],[Instrument]],Control!$B$2:$B$19,Control!$F$2:$F$19)</f>
        <v>0</v>
      </c>
      <c r="AA388" s="14">
        <f>Table3[[#This Row],[Month2]]</f>
        <v>46142</v>
      </c>
      <c r="AB388" s="350">
        <f t="shared" si="378"/>
        <v>0</v>
      </c>
    </row>
    <row r="389" spans="4:28" ht="15" hidden="1" thickBot="1" x14ac:dyDescent="0.4">
      <c r="D389" s="239" t="s">
        <v>1736</v>
      </c>
      <c r="E389" s="174">
        <v>46097</v>
      </c>
      <c r="F389" s="10" t="s">
        <v>3</v>
      </c>
      <c r="G389" s="4" t="s">
        <v>268</v>
      </c>
      <c r="H389" s="253">
        <v>-700</v>
      </c>
      <c r="I389" s="172">
        <v>46142</v>
      </c>
      <c r="J389" s="172">
        <f>EOMONTH(Table3[[#This Row],[Month1]],1)</f>
        <v>46173</v>
      </c>
      <c r="K389" s="212">
        <v>1.1299999999999999</v>
      </c>
      <c r="L389" s="7">
        <f ca="1">IF(OR(S389="WTI Sprds",S389="Brent Sprds",S389="WTI-Brent",S389="DFL"),INDEX(INDIRECT("'" &amp; S389 &amp; "'!$A$6:$XFD$1048576"),MATCH('PnL26'!$P$1,INDIRECT("'" &amp; S389 &amp; "'!$A$6:$A$1048576"),0),MATCH(EOMONTH(I389,0),INDIRECT("'" &amp; S389 &amp; "'!$A$4:$XFD$4"),0)),INDEX(BBG!$A:$BA,MATCH('PnL26'!$P$1,BBG!$A:$A,0),MATCH($I389,BBG!$A$4:$BA$4,0))-INDEX(BBG!$A:$BA,MATCH('PnL26'!$P$1,BBG!$A:$A,0),MATCH($J389,BBG!$A$4:$BA$4,0)))</f>
        <v>0.59</v>
      </c>
      <c r="M389" s="9">
        <f t="shared" ca="1" si="500"/>
        <v>377.99999999999994</v>
      </c>
      <c r="N389">
        <f t="shared" si="501"/>
        <v>-790.99999999999989</v>
      </c>
      <c r="O389" s="14" t="str">
        <f t="shared" si="502"/>
        <v>Apr/May 26</v>
      </c>
      <c r="P389" s="8" t="str">
        <f t="shared" si="503"/>
        <v>Sell</v>
      </c>
      <c r="Q389">
        <f t="shared" ca="1" si="504"/>
        <v>-413</v>
      </c>
      <c r="R389" t="str">
        <f>VLOOKUP(F389,Control!$B:$C,2,FALSE)</f>
        <v>Futures</v>
      </c>
      <c r="S389" t="str">
        <f>VLOOKUP(F389,Control!$B:$D,3,FALSE)</f>
        <v>WTI Sprds</v>
      </c>
      <c r="T389" s="38">
        <f t="shared" si="505"/>
        <v>2026</v>
      </c>
      <c r="U389" t="str">
        <f t="shared" si="506"/>
        <v>Sell</v>
      </c>
      <c r="V389" s="240" t="s">
        <v>96</v>
      </c>
      <c r="W389" t="str">
        <f>_xlfn.XLOOKUP(Table3[[#This Row],[Instrument]],Control!$B$2:$B$19,Control!$E$2:$E$19)</f>
        <v>WTI</v>
      </c>
      <c r="X389" s="14">
        <f>Table3[[#This Row],[Month1]]</f>
        <v>46142</v>
      </c>
      <c r="Y389" s="350">
        <f>Table3[[#This Row],[Quantity]]</f>
        <v>-700</v>
      </c>
      <c r="Z389" t="str">
        <f>_xlfn.XLOOKUP(Table3[[#This Row],[Instrument]],Control!$B$2:$B$19,Control!$F$2:$F$19)</f>
        <v>WTI</v>
      </c>
      <c r="AA389" s="14">
        <f>Table3[[#This Row],[Month2]]</f>
        <v>46173</v>
      </c>
      <c r="AB389" s="350">
        <f t="shared" ref="AB389:AB396" si="514">-Y389</f>
        <v>700</v>
      </c>
    </row>
    <row r="390" spans="4:28" ht="15" hidden="1" thickBot="1" x14ac:dyDescent="0.4">
      <c r="D390" s="239" t="s">
        <v>1736</v>
      </c>
      <c r="E390" s="174">
        <v>46097</v>
      </c>
      <c r="F390" s="10" t="s">
        <v>10</v>
      </c>
      <c r="G390" s="4" t="s">
        <v>268</v>
      </c>
      <c r="H390" s="253">
        <f>-H388</f>
        <v>0</v>
      </c>
      <c r="I390" s="172">
        <v>46173</v>
      </c>
      <c r="J390" s="172">
        <v>46173</v>
      </c>
      <c r="K390" s="212">
        <v>-7.87</v>
      </c>
      <c r="L390" s="7">
        <f ca="1">IF(OR(S390="WTI Sprds",S390="Brent Sprds",S390="WTI-Brent",S390="DFL"),INDEX(INDIRECT("'" &amp; S390 &amp; "'!$A$6:$XFD$1048576"),MATCH('PnL26'!$P$1,INDIRECT("'" &amp; S390 &amp; "'!$A$6:$A$1048576"),0),MATCH(EOMONTH(I390,0),INDIRECT("'" &amp; S390 &amp; "'!$A$4:$XFD$4"),0)),INDEX(BBG!$A:$BA,MATCH('PnL26'!$P$1,BBG!$A:$A,0),MATCH($I390,BBG!$A$4:$BA$4,0))-INDEX(BBG!$A:$BA,MATCH('PnL26'!$P$1,BBG!$A:$A,0),MATCH($J390,BBG!$A$4:$BA$4,0)))</f>
        <v>-16.97</v>
      </c>
      <c r="M390" s="9">
        <f t="shared" ca="1" si="500"/>
        <v>0</v>
      </c>
      <c r="N390">
        <f t="shared" si="501"/>
        <v>0</v>
      </c>
      <c r="O390" s="14" t="str">
        <f t="shared" si="502"/>
        <v>May 26</v>
      </c>
      <c r="P390" s="8" t="str">
        <f t="shared" si="503"/>
        <v>Buy</v>
      </c>
      <c r="Q390">
        <f t="shared" ca="1" si="504"/>
        <v>0</v>
      </c>
      <c r="R390" t="str">
        <f>VLOOKUP(F390,Control!$B:$C,2,FALSE)</f>
        <v>Swaps</v>
      </c>
      <c r="S390" t="str">
        <f>VLOOKUP(F390,Control!$B:$D,3,FALSE)</f>
        <v>WTI-Brent</v>
      </c>
      <c r="T390" s="38">
        <f t="shared" si="505"/>
        <v>2026</v>
      </c>
      <c r="U390" t="str">
        <f t="shared" si="506"/>
        <v>Sell</v>
      </c>
      <c r="V390" s="240" t="s">
        <v>96</v>
      </c>
      <c r="W390" t="str">
        <f>_xlfn.XLOOKUP(Table3[[#This Row],[Instrument]],Control!$B$2:$B$19,Control!$E$2:$E$19)</f>
        <v>WTI</v>
      </c>
      <c r="X390" s="14">
        <f>Table3[[#This Row],[Month1]]</f>
        <v>46173</v>
      </c>
      <c r="Y390" s="350">
        <f>Table3[[#This Row],[Quantity]]</f>
        <v>0</v>
      </c>
      <c r="Z390" t="str">
        <f>_xlfn.XLOOKUP(Table3[[#This Row],[Instrument]],Control!$B$2:$B$19,Control!$F$2:$F$19)</f>
        <v>Brent</v>
      </c>
      <c r="AA390" s="14">
        <f>Table3[[#This Row],[Month2]]</f>
        <v>46173</v>
      </c>
      <c r="AB390" s="350">
        <f t="shared" si="514"/>
        <v>0</v>
      </c>
    </row>
    <row r="391" spans="4:28" ht="15" hidden="1" thickBot="1" x14ac:dyDescent="0.4">
      <c r="D391" s="239" t="s">
        <v>1736</v>
      </c>
      <c r="E391" s="174">
        <v>46097</v>
      </c>
      <c r="F391" s="10" t="s">
        <v>3</v>
      </c>
      <c r="G391" s="4" t="s">
        <v>128</v>
      </c>
      <c r="H391" s="253">
        <v>700</v>
      </c>
      <c r="I391" s="172">
        <v>46142</v>
      </c>
      <c r="J391" s="172">
        <f>EOMONTH(Table3[[#This Row],[Month1]],1)</f>
        <v>46173</v>
      </c>
      <c r="K391" s="212">
        <v>1.05</v>
      </c>
      <c r="L391" s="7">
        <f ca="1">IF(OR(S391="WTI Sprds",S391="Brent Sprds",S391="WTI-Brent",S391="DFL"),INDEX(INDIRECT("'" &amp; S391 &amp; "'!$A$6:$XFD$1048576"),MATCH('PnL26'!$P$1,INDIRECT("'" &amp; S391 &amp; "'!$A$6:$A$1048576"),0),MATCH(EOMONTH(I391,0),INDIRECT("'" &amp; S391 &amp; "'!$A$4:$XFD$4"),0)),INDEX(BBG!$A:$BA,MATCH('PnL26'!$P$1,BBG!$A:$A,0),MATCH($I391,BBG!$A$4:$BA$4,0))-INDEX(BBG!$A:$BA,MATCH('PnL26'!$P$1,BBG!$A:$A,0),MATCH($J391,BBG!$A$4:$BA$4,0)))</f>
        <v>0.59</v>
      </c>
      <c r="M391" s="9">
        <f t="shared" ref="M391" ca="1" si="515">IFERROR((L391-K391)*H391,"")</f>
        <v>-322.00000000000006</v>
      </c>
      <c r="N391">
        <f t="shared" ref="N391" si="516">H391*K391</f>
        <v>735</v>
      </c>
      <c r="O391" s="14" t="str">
        <f t="shared" ref="O391" si="517">IF(I391=J391,TEXT(I391,"MMM YY"),TEXT(I391,"MMM")&amp;"/"&amp;TEXT(J391,"MMM")&amp;" "&amp;RIGHT(T391,2))</f>
        <v>Apr/May 26</v>
      </c>
      <c r="P391" s="8" t="str">
        <f t="shared" ref="P391" si="518">IF(H391&lt;0,"Sell","Buy")</f>
        <v>Buy</v>
      </c>
      <c r="Q391">
        <f t="shared" ref="Q391" ca="1" si="519">H391*L391</f>
        <v>413</v>
      </c>
      <c r="R391" t="str">
        <f>VLOOKUP(F391,Control!$B:$C,2,FALSE)</f>
        <v>Futures</v>
      </c>
      <c r="S391" t="str">
        <f>VLOOKUP(F391,Control!$B:$D,3,FALSE)</f>
        <v>WTI Sprds</v>
      </c>
      <c r="T391" s="38">
        <f t="shared" ref="T391" si="520">YEAR(I391)</f>
        <v>2026</v>
      </c>
      <c r="U391" t="str">
        <f t="shared" ref="U391" si="521">IFERROR(IF(H391&gt;0,"Buy","Sell"),"")</f>
        <v>Buy</v>
      </c>
      <c r="V391" s="240" t="s">
        <v>96</v>
      </c>
      <c r="W391" t="str">
        <f>_xlfn.XLOOKUP(Table3[[#This Row],[Instrument]],Control!$B$2:$B$19,Control!$E$2:$E$19)</f>
        <v>WTI</v>
      </c>
      <c r="X391" s="14">
        <f>Table3[[#This Row],[Month1]]</f>
        <v>46142</v>
      </c>
      <c r="Y391" s="350">
        <f>Table3[[#This Row],[Quantity]]</f>
        <v>700</v>
      </c>
      <c r="Z391" t="str">
        <f>_xlfn.XLOOKUP(Table3[[#This Row],[Instrument]],Control!$B$2:$B$19,Control!$F$2:$F$19)</f>
        <v>WTI</v>
      </c>
      <c r="AA391" s="14">
        <f>Table3[[#This Row],[Month2]]</f>
        <v>46173</v>
      </c>
      <c r="AB391" s="350">
        <f t="shared" ref="AB391" si="522">-Y391</f>
        <v>-700</v>
      </c>
    </row>
    <row r="392" spans="4:28" ht="15" hidden="1" thickBot="1" x14ac:dyDescent="0.4">
      <c r="D392" s="239" t="s">
        <v>1736</v>
      </c>
      <c r="E392" s="174">
        <v>46097</v>
      </c>
      <c r="F392" s="10" t="s">
        <v>10</v>
      </c>
      <c r="G392" s="4" t="s">
        <v>128</v>
      </c>
      <c r="H392" s="253">
        <v>700</v>
      </c>
      <c r="I392" s="172">
        <v>46173</v>
      </c>
      <c r="J392" s="172">
        <v>46173</v>
      </c>
      <c r="K392" s="212">
        <v>-7.87</v>
      </c>
      <c r="L392" s="7">
        <f ca="1">IF(OR(S392="WTI Sprds",S392="Brent Sprds",S392="WTI-Brent",S392="DFL"),INDEX(INDIRECT("'" &amp; S392 &amp; "'!$A$6:$XFD$1048576"),MATCH('PnL26'!$P$1,INDIRECT("'" &amp; S392 &amp; "'!$A$6:$A$1048576"),0),MATCH(EOMONTH(I392,0),INDIRECT("'" &amp; S392 &amp; "'!$A$4:$XFD$4"),0)),INDEX(BBG!$A:$BA,MATCH('PnL26'!$P$1,BBG!$A:$A,0),MATCH($I392,BBG!$A$4:$BA$4,0))-INDEX(BBG!$A:$BA,MATCH('PnL26'!$P$1,BBG!$A:$A,0),MATCH($J392,BBG!$A$4:$BA$4,0)))</f>
        <v>-16.97</v>
      </c>
      <c r="M392" s="9">
        <f t="shared" ref="M392" ca="1" si="523">IFERROR((L392-K392)*H392,"")</f>
        <v>-6369.9999999999982</v>
      </c>
      <c r="N392">
        <f t="shared" ref="N392:N394" si="524">H392*K392</f>
        <v>-5509</v>
      </c>
      <c r="O392" s="14" t="str">
        <f t="shared" ref="O392" si="525">IF(I392=J392,TEXT(I392,"MMM YY"),TEXT(I392,"MMM")&amp;"/"&amp;TEXT(J392,"MMM")&amp;" "&amp;RIGHT(T392,2))</f>
        <v>May 26</v>
      </c>
      <c r="P392" s="8" t="str">
        <f t="shared" ref="P392:P394" si="526">IF(H392&lt;0,"Sell","Buy")</f>
        <v>Buy</v>
      </c>
      <c r="Q392">
        <f t="shared" ref="Q392:Q394" ca="1" si="527">H392*L392</f>
        <v>-11879</v>
      </c>
      <c r="R392" t="str">
        <f>VLOOKUP(F392,Control!$B:$C,2,FALSE)</f>
        <v>Swaps</v>
      </c>
      <c r="S392" t="str">
        <f>VLOOKUP(F392,Control!$B:$D,3,FALSE)</f>
        <v>WTI-Brent</v>
      </c>
      <c r="T392" s="38">
        <f t="shared" ref="T392:T394" si="528">YEAR(I392)</f>
        <v>2026</v>
      </c>
      <c r="U392" t="str">
        <f t="shared" ref="U392:U394" si="529">IFERROR(IF(H392&gt;0,"Buy","Sell"),"")</f>
        <v>Buy</v>
      </c>
      <c r="V392" s="240" t="s">
        <v>96</v>
      </c>
      <c r="W392" t="str">
        <f>_xlfn.XLOOKUP(Table3[[#This Row],[Instrument]],Control!$B$2:$B$19,Control!$E$2:$E$19)</f>
        <v>WTI</v>
      </c>
      <c r="X392" s="14">
        <f>Table3[[#This Row],[Month1]]</f>
        <v>46173</v>
      </c>
      <c r="Y392" s="350">
        <f>Table3[[#This Row],[Quantity]]</f>
        <v>700</v>
      </c>
      <c r="Z392" t="str">
        <f>_xlfn.XLOOKUP(Table3[[#This Row],[Instrument]],Control!$B$2:$B$19,Control!$F$2:$F$19)</f>
        <v>Brent</v>
      </c>
      <c r="AA392" s="14">
        <f>Table3[[#This Row],[Month2]]</f>
        <v>46173</v>
      </c>
      <c r="AB392" s="350">
        <f t="shared" ref="AB392:AB394" si="530">-Y392</f>
        <v>-700</v>
      </c>
    </row>
    <row r="393" spans="4:28" ht="15" hidden="1" thickBot="1" x14ac:dyDescent="0.4">
      <c r="D393" t="s">
        <v>1736</v>
      </c>
      <c r="E393" s="174">
        <v>46097</v>
      </c>
      <c r="F393" s="47" t="s">
        <v>36</v>
      </c>
      <c r="G393" s="4" t="s">
        <v>268</v>
      </c>
      <c r="H393" s="253">
        <f>-H388</f>
        <v>0</v>
      </c>
      <c r="I393" s="172">
        <v>46142</v>
      </c>
      <c r="J393" s="172">
        <v>46142</v>
      </c>
      <c r="K393" s="212">
        <v>265</v>
      </c>
      <c r="L393" s="314">
        <f>598.5+50.75</f>
        <v>649.25</v>
      </c>
      <c r="M393" s="396">
        <f>IF(Table3[[#This Row],[Quantity]]=0,0,21.47*70*(Table3[[#This Row],[Price]]-Table3[[#This Row],[Mtm]])/100)</f>
        <v>0</v>
      </c>
      <c r="N393">
        <f t="shared" si="524"/>
        <v>0</v>
      </c>
      <c r="O393" s="14" t="s">
        <v>103</v>
      </c>
      <c r="P393" s="8" t="str">
        <f t="shared" si="526"/>
        <v>Buy</v>
      </c>
      <c r="Q393">
        <f t="shared" si="527"/>
        <v>0</v>
      </c>
      <c r="R393" t="str">
        <f>VLOOKUP(F393,Control!$B:$C,2,FALSE)</f>
        <v>Freight</v>
      </c>
      <c r="S393" t="str">
        <f>VLOOKUP(F393,Control!$B:$D,3,FALSE)</f>
        <v>Freight</v>
      </c>
      <c r="T393" s="38">
        <f t="shared" si="528"/>
        <v>2026</v>
      </c>
      <c r="U393" s="240" t="str">
        <f t="shared" si="529"/>
        <v>Sell</v>
      </c>
      <c r="V393" t="s">
        <v>96</v>
      </c>
      <c r="W393" t="e">
        <f>_xlfn.XLOOKUP(Table3[[#This Row],[Instrument]],Control!$B$2:$B$19,Control!$E$2:$E$19)</f>
        <v>#N/A</v>
      </c>
      <c r="X393" s="14">
        <f>Table3[[#This Row],[Month1]]</f>
        <v>46142</v>
      </c>
      <c r="Y393" s="350">
        <f>Table3[[#This Row],[Quantity]]</f>
        <v>0</v>
      </c>
      <c r="Z393" t="e">
        <f>_xlfn.XLOOKUP(Table3[[#This Row],[Instrument]],Control!$B$2:$B$19,Control!$F$2:$F$19)</f>
        <v>#N/A</v>
      </c>
      <c r="AA393" s="14">
        <f>Table3[[#This Row],[Month2]]</f>
        <v>46142</v>
      </c>
      <c r="AB393" s="350">
        <f t="shared" si="530"/>
        <v>0</v>
      </c>
    </row>
    <row r="394" spans="4:28" ht="15" hidden="1" thickBot="1" x14ac:dyDescent="0.4">
      <c r="D394" t="s">
        <v>1736</v>
      </c>
      <c r="E394" s="174">
        <v>46097</v>
      </c>
      <c r="F394" s="490" t="s">
        <v>10</v>
      </c>
      <c r="G394" s="4" t="s">
        <v>128</v>
      </c>
      <c r="H394" s="253">
        <v>0</v>
      </c>
      <c r="I394" s="172">
        <v>46142</v>
      </c>
      <c r="J394" s="172">
        <v>46142</v>
      </c>
      <c r="K394" s="212">
        <f>L393</f>
        <v>649.25</v>
      </c>
      <c r="L394" s="314">
        <f>K393</f>
        <v>265</v>
      </c>
      <c r="M394" s="455">
        <f>5339+602.338</f>
        <v>5941.3379999999997</v>
      </c>
      <c r="N394">
        <f t="shared" si="524"/>
        <v>0</v>
      </c>
      <c r="O394" s="14" t="s">
        <v>103</v>
      </c>
      <c r="P394" s="8" t="str">
        <f t="shared" si="526"/>
        <v>Buy</v>
      </c>
      <c r="Q394">
        <f t="shared" si="527"/>
        <v>0</v>
      </c>
      <c r="R394" t="str">
        <f>VLOOKUP(F394,Control!$B:$C,2,FALSE)</f>
        <v>Swaps</v>
      </c>
      <c r="S394" t="str">
        <f>VLOOKUP(F394,Control!$B:$D,3,FALSE)</f>
        <v>WTI-Brent</v>
      </c>
      <c r="T394" s="38">
        <f t="shared" si="528"/>
        <v>2026</v>
      </c>
      <c r="U394" s="240" t="str">
        <f t="shared" si="529"/>
        <v>Sell</v>
      </c>
      <c r="V394" t="s">
        <v>96</v>
      </c>
      <c r="W394" t="str">
        <f>_xlfn.XLOOKUP(Table3[[#This Row],[Instrument]],Control!$B$2:$B$19,Control!$E$2:$E$19)</f>
        <v>WTI</v>
      </c>
      <c r="X394" s="14">
        <f>Table3[[#This Row],[Month1]]</f>
        <v>46142</v>
      </c>
      <c r="Y394" s="350">
        <f>Table3[[#This Row],[Quantity]]</f>
        <v>0</v>
      </c>
      <c r="Z394" t="str">
        <f>_xlfn.XLOOKUP(Table3[[#This Row],[Instrument]],Control!$B$2:$B$19,Control!$F$2:$F$19)</f>
        <v>Brent</v>
      </c>
      <c r="AA394" s="14">
        <f>Table3[[#This Row],[Month2]]</f>
        <v>46142</v>
      </c>
      <c r="AB394" s="350">
        <f t="shared" si="530"/>
        <v>0</v>
      </c>
    </row>
    <row r="395" spans="4:28" ht="15" hidden="1" thickBot="1" x14ac:dyDescent="0.4">
      <c r="D395" t="s">
        <v>1736</v>
      </c>
      <c r="E395" s="174">
        <v>46097</v>
      </c>
      <c r="F395" s="375" t="s">
        <v>39</v>
      </c>
      <c r="G395" s="4" t="s">
        <v>268</v>
      </c>
      <c r="H395" s="253">
        <f>H388</f>
        <v>0</v>
      </c>
      <c r="I395" s="172">
        <v>46173</v>
      </c>
      <c r="J395" s="172">
        <v>46173</v>
      </c>
      <c r="K395" s="212">
        <v>155</v>
      </c>
      <c r="L395" s="314">
        <f>VLOOKUP(I395,[2]USG!$O$45:$S$100,MATCH(F395,[2]USG!$O$46:$S$46,0),FALSE)</f>
        <v>188.5</v>
      </c>
      <c r="M395" s="9">
        <f>IF(Table3[[#This Row],[Quantity]]&gt;0,7.25*86.7*(Table3[[#This Row],[Mtm]]-Table3[[#This Row],[Price]])/100,0)</f>
        <v>0</v>
      </c>
      <c r="N395">
        <f t="shared" si="501"/>
        <v>0</v>
      </c>
      <c r="O395" s="14" t="str">
        <f t="shared" si="502"/>
        <v>May 26</v>
      </c>
      <c r="P395" s="8" t="str">
        <f t="shared" si="503"/>
        <v>Buy</v>
      </c>
      <c r="Q395">
        <f t="shared" si="504"/>
        <v>0</v>
      </c>
      <c r="R395" t="str">
        <f>VLOOKUP(F395,Control!$B:$C,2,FALSE)</f>
        <v>Freight</v>
      </c>
      <c r="S395" t="str">
        <f>VLOOKUP(F395,Control!$B:$D,3,FALSE)</f>
        <v>Freight</v>
      </c>
      <c r="T395" s="38">
        <f t="shared" si="505"/>
        <v>2026</v>
      </c>
      <c r="U395" s="240" t="str">
        <f t="shared" si="506"/>
        <v>Sell</v>
      </c>
      <c r="V395" t="s">
        <v>96</v>
      </c>
      <c r="W395" t="e">
        <f>_xlfn.XLOOKUP(Table3[[#This Row],[Instrument]],Control!$B$2:$B$19,Control!$E$2:$E$19)</f>
        <v>#N/A</v>
      </c>
      <c r="X395" s="14">
        <f>Table3[[#This Row],[Month1]]</f>
        <v>46173</v>
      </c>
      <c r="Y395" s="350">
        <f>Table3[[#This Row],[Quantity]]</f>
        <v>0</v>
      </c>
      <c r="Z395" t="e">
        <f>_xlfn.XLOOKUP(Table3[[#This Row],[Instrument]],Control!$B$2:$B$19,Control!$F$2:$F$19)</f>
        <v>#N/A</v>
      </c>
      <c r="AA395" s="14">
        <f>Table3[[#This Row],[Month2]]</f>
        <v>46173</v>
      </c>
      <c r="AB395" s="350">
        <f t="shared" si="514"/>
        <v>0</v>
      </c>
    </row>
    <row r="396" spans="4:28" ht="15" hidden="1" thickBot="1" x14ac:dyDescent="0.4">
      <c r="D396" s="385" t="s">
        <v>1737</v>
      </c>
      <c r="E396" s="174">
        <v>46097</v>
      </c>
      <c r="F396" s="229" t="s">
        <v>19</v>
      </c>
      <c r="G396" s="380" t="s">
        <v>268</v>
      </c>
      <c r="H396" s="392">
        <v>0</v>
      </c>
      <c r="I396" s="231">
        <v>46142</v>
      </c>
      <c r="J396" s="231">
        <v>46142</v>
      </c>
      <c r="K396" s="232">
        <f>'Cargo Econs 2026'!$C$145</f>
        <v>-411.82602928571424</v>
      </c>
      <c r="L396" s="315">
        <v>0</v>
      </c>
      <c r="M396" s="234">
        <f t="shared" ref="M396:M398" si="531">IFERROR((L396-K396)*H396,"")</f>
        <v>0</v>
      </c>
      <c r="N396" s="227">
        <f t="shared" ref="N396:N404" si="532">H396*K396</f>
        <v>0</v>
      </c>
      <c r="O396" s="235" t="str">
        <f t="shared" ref="O396:O399" si="533">IF(I396=J396,TEXT(I396,"MMM YY"),TEXT(I396,"MMM")&amp;"/"&amp;TEXT(J396,"MMM")&amp;" "&amp;RIGHT(T396,2))</f>
        <v>Apr 26</v>
      </c>
      <c r="P396" s="236" t="str">
        <f t="shared" ref="P396:P404" si="534">IF(H396&lt;0,"Sell","Buy")</f>
        <v>Buy</v>
      </c>
      <c r="Q396" s="227">
        <f t="shared" ref="Q396:Q404" si="535">H396*L396</f>
        <v>0</v>
      </c>
      <c r="R396" s="227" t="str">
        <f>VLOOKUP(F396,Control!$B:$C,2,FALSE)</f>
        <v>Physical</v>
      </c>
      <c r="S396" s="227" t="str">
        <f>VLOOKUP(F396,Control!$B:$D,3,FALSE)</f>
        <v>Physical</v>
      </c>
      <c r="T396" s="38">
        <f t="shared" ref="T396:T404" si="536">YEAR(I396)</f>
        <v>2026</v>
      </c>
      <c r="U396" s="227" t="str">
        <f t="shared" ref="U396:U404" si="537">IFERROR(IF(H396&gt;0,"Buy","Sell"),"")</f>
        <v>Sell</v>
      </c>
      <c r="V396" s="238" t="s">
        <v>96</v>
      </c>
      <c r="W396">
        <f>_xlfn.XLOOKUP(Table3[[#This Row],[Instrument]],Control!$B$2:$B$19,Control!$E$2:$E$19)</f>
        <v>0</v>
      </c>
      <c r="X396" s="14">
        <f>Table3[[#This Row],[Month1]]</f>
        <v>46142</v>
      </c>
      <c r="Y396" s="350">
        <f>Table3[[#This Row],[Quantity]]</f>
        <v>0</v>
      </c>
      <c r="Z396">
        <f>_xlfn.XLOOKUP(Table3[[#This Row],[Instrument]],Control!$B$2:$B$19,Control!$F$2:$F$19)</f>
        <v>0</v>
      </c>
      <c r="AA396" s="14">
        <f>Table3[[#This Row],[Month2]]</f>
        <v>46142</v>
      </c>
      <c r="AB396" s="350">
        <f t="shared" si="514"/>
        <v>0</v>
      </c>
    </row>
    <row r="397" spans="4:28" ht="15" hidden="1" thickBot="1" x14ac:dyDescent="0.4">
      <c r="D397" s="239" t="s">
        <v>1735</v>
      </c>
      <c r="E397" s="174">
        <v>46097</v>
      </c>
      <c r="F397" s="10" t="s">
        <v>10</v>
      </c>
      <c r="G397" s="4" t="s">
        <v>268</v>
      </c>
      <c r="H397" s="253">
        <f>-H396</f>
        <v>0</v>
      </c>
      <c r="I397" s="172">
        <v>46173</v>
      </c>
      <c r="J397" s="172">
        <v>46173</v>
      </c>
      <c r="K397" s="212">
        <v>-7.87</v>
      </c>
      <c r="L397" s="7">
        <f ca="1">IF(OR(S397="WTI Sprds",S397="Brent Sprds",S397="WTI-Brent",S397="DFL"),INDEX(INDIRECT("'" &amp; S397 &amp; "'!$A$6:$XFD$1048576"),MATCH('PnL26'!$P$1,INDIRECT("'" &amp; S397 &amp; "'!$A$6:$A$1048576"),0),MATCH(EOMONTH(I397,0),INDIRECT("'" &amp; S397 &amp; "'!$A$4:$XFD$4"),0)),INDEX(BBG!$A:$BA,MATCH('PnL26'!$P$1,BBG!$A:$A,0),MATCH($I397,BBG!$A$4:$BA$4,0))-INDEX(BBG!$A:$BA,MATCH('PnL26'!$P$1,BBG!$A:$A,0),MATCH($J397,BBG!$A$4:$BA$4,0)))</f>
        <v>-16.97</v>
      </c>
      <c r="M397" s="9">
        <f t="shared" ca="1" si="531"/>
        <v>0</v>
      </c>
      <c r="N397">
        <f t="shared" si="532"/>
        <v>0</v>
      </c>
      <c r="O397" s="14" t="str">
        <f t="shared" si="533"/>
        <v>May 26</v>
      </c>
      <c r="P397" s="8" t="str">
        <f t="shared" si="534"/>
        <v>Buy</v>
      </c>
      <c r="Q397">
        <f t="shared" ca="1" si="535"/>
        <v>0</v>
      </c>
      <c r="R397" t="str">
        <f>VLOOKUP(F397,Control!$B:$C,2,FALSE)</f>
        <v>Swaps</v>
      </c>
      <c r="S397" t="str">
        <f>VLOOKUP(F397,Control!$B:$D,3,FALSE)</f>
        <v>WTI-Brent</v>
      </c>
      <c r="T397" s="38">
        <f t="shared" si="536"/>
        <v>2026</v>
      </c>
      <c r="U397" t="str">
        <f t="shared" si="537"/>
        <v>Sell</v>
      </c>
      <c r="V397" s="240" t="s">
        <v>96</v>
      </c>
      <c r="W397" t="str">
        <f>_xlfn.XLOOKUP(Table3[[#This Row],[Instrument]],Control!$B$2:$B$19,Control!$E$2:$E$19)</f>
        <v>WTI</v>
      </c>
      <c r="X397" s="14">
        <f>Table3[[#This Row],[Month1]]</f>
        <v>46173</v>
      </c>
      <c r="Y397" s="350">
        <f>Table3[[#This Row],[Quantity]]</f>
        <v>0</v>
      </c>
      <c r="Z397" t="str">
        <f>_xlfn.XLOOKUP(Table3[[#This Row],[Instrument]],Control!$B$2:$B$19,Control!$F$2:$F$19)</f>
        <v>Brent</v>
      </c>
      <c r="AA397" s="14">
        <f>Table3[[#This Row],[Month2]]</f>
        <v>46173</v>
      </c>
      <c r="AB397" s="350">
        <f t="shared" ref="AB397:AB404" si="538">-Y397</f>
        <v>0</v>
      </c>
    </row>
    <row r="398" spans="4:28" ht="15" hidden="1" thickBot="1" x14ac:dyDescent="0.4">
      <c r="D398" s="239" t="s">
        <v>127</v>
      </c>
      <c r="E398" s="174">
        <v>46097</v>
      </c>
      <c r="F398" s="10" t="s">
        <v>10</v>
      </c>
      <c r="G398" s="4" t="s">
        <v>128</v>
      </c>
      <c r="H398" s="253">
        <f>1001-700</f>
        <v>301</v>
      </c>
      <c r="I398" s="172">
        <v>46173</v>
      </c>
      <c r="J398" s="172">
        <v>46173</v>
      </c>
      <c r="K398" s="212">
        <v>-7.87</v>
      </c>
      <c r="L398" s="7">
        <f ca="1">IF(OR(S398="WTI Sprds",S398="Brent Sprds",S398="WTI-Brent",S398="DFL"),INDEX(INDIRECT("'" &amp; S398 &amp; "'!$A$6:$XFD$1048576"),MATCH('PnL26'!$P$1,INDIRECT("'" &amp; S398 &amp; "'!$A$6:$A$1048576"),0),MATCH(EOMONTH(I398,0),INDIRECT("'" &amp; S398 &amp; "'!$A$4:$XFD$4"),0)),INDEX(BBG!$A:$BA,MATCH('PnL26'!$P$1,BBG!$A:$A,0),MATCH($I398,BBG!$A$4:$BA$4,0))-INDEX(BBG!$A:$BA,MATCH('PnL26'!$P$1,BBG!$A:$A,0),MATCH($J398,BBG!$A$4:$BA$4,0)))</f>
        <v>-16.97</v>
      </c>
      <c r="M398" s="9">
        <f t="shared" ca="1" si="531"/>
        <v>-2739.0999999999995</v>
      </c>
      <c r="N398">
        <f t="shared" si="532"/>
        <v>-2368.87</v>
      </c>
      <c r="O398" s="14" t="str">
        <f t="shared" si="533"/>
        <v>May 26</v>
      </c>
      <c r="P398" s="8" t="str">
        <f t="shared" si="534"/>
        <v>Buy</v>
      </c>
      <c r="Q398">
        <f t="shared" ca="1" si="535"/>
        <v>-5107.9699999999993</v>
      </c>
      <c r="R398" t="str">
        <f>VLOOKUP(F398,Control!$B:$C,2,FALSE)</f>
        <v>Swaps</v>
      </c>
      <c r="S398" t="str">
        <f>VLOOKUP(F398,Control!$B:$D,3,FALSE)</f>
        <v>WTI-Brent</v>
      </c>
      <c r="T398" s="38">
        <f t="shared" si="536"/>
        <v>2026</v>
      </c>
      <c r="U398" t="str">
        <f t="shared" si="537"/>
        <v>Buy</v>
      </c>
      <c r="V398" s="240" t="s">
        <v>96</v>
      </c>
      <c r="W398" t="str">
        <f>_xlfn.XLOOKUP(Table3[[#This Row],[Instrument]],Control!$B$2:$B$19,Control!$E$2:$E$19)</f>
        <v>WTI</v>
      </c>
      <c r="X398" s="14">
        <f>Table3[[#This Row],[Month1]]</f>
        <v>46173</v>
      </c>
      <c r="Y398" s="350">
        <f>Table3[[#This Row],[Quantity]]</f>
        <v>301</v>
      </c>
      <c r="Z398" t="str">
        <f>_xlfn.XLOOKUP(Table3[[#This Row],[Instrument]],Control!$B$2:$B$19,Control!$F$2:$F$19)</f>
        <v>Brent</v>
      </c>
      <c r="AA398" s="14">
        <f>Table3[[#This Row],[Month2]]</f>
        <v>46173</v>
      </c>
      <c r="AB398" s="350">
        <f t="shared" si="538"/>
        <v>-301</v>
      </c>
    </row>
    <row r="399" spans="4:28" ht="15" hidden="1" thickBot="1" x14ac:dyDescent="0.4">
      <c r="D399" t="s">
        <v>1735</v>
      </c>
      <c r="E399" s="174">
        <v>46097</v>
      </c>
      <c r="F399" s="375" t="s">
        <v>39</v>
      </c>
      <c r="G399" s="4" t="s">
        <v>268</v>
      </c>
      <c r="H399" s="253">
        <f>H396</f>
        <v>0</v>
      </c>
      <c r="I399" s="172">
        <v>46173</v>
      </c>
      <c r="J399" s="172">
        <v>46173</v>
      </c>
      <c r="K399" s="212">
        <v>155</v>
      </c>
      <c r="L399" s="314">
        <f>VLOOKUP(I399,[2]USG!$O$45:$S$100,MATCH(F399,[2]USG!$O$46:$S$46,0),FALSE)</f>
        <v>188.5</v>
      </c>
      <c r="M399" s="9">
        <f>IF(Table3[[#This Row],[Quantity]]&gt;0,7.25*86.7*(Table3[[#This Row],[Mtm]]-Table3[[#This Row],[Price]])/100,0)</f>
        <v>0</v>
      </c>
      <c r="N399">
        <f t="shared" si="532"/>
        <v>0</v>
      </c>
      <c r="O399" s="14" t="str">
        <f t="shared" si="533"/>
        <v>May 26</v>
      </c>
      <c r="P399" s="8" t="str">
        <f t="shared" si="534"/>
        <v>Buy</v>
      </c>
      <c r="Q399">
        <f t="shared" si="535"/>
        <v>0</v>
      </c>
      <c r="R399" t="str">
        <f>VLOOKUP(F399,Control!$B:$C,2,FALSE)</f>
        <v>Freight</v>
      </c>
      <c r="S399" t="str">
        <f>VLOOKUP(F399,Control!$B:$D,3,FALSE)</f>
        <v>Freight</v>
      </c>
      <c r="T399" s="38">
        <f t="shared" si="536"/>
        <v>2026</v>
      </c>
      <c r="U399" s="240" t="str">
        <f t="shared" si="537"/>
        <v>Sell</v>
      </c>
      <c r="V399" t="s">
        <v>96</v>
      </c>
      <c r="W399" t="e">
        <f>_xlfn.XLOOKUP(Table3[[#This Row],[Instrument]],Control!$B$2:$B$19,Control!$E$2:$E$19)</f>
        <v>#N/A</v>
      </c>
      <c r="X399" s="14">
        <f>Table3[[#This Row],[Month1]]</f>
        <v>46173</v>
      </c>
      <c r="Y399" s="350">
        <f>Table3[[#This Row],[Quantity]]</f>
        <v>0</v>
      </c>
      <c r="Z399" t="e">
        <f>_xlfn.XLOOKUP(Table3[[#This Row],[Instrument]],Control!$B$2:$B$19,Control!$F$2:$F$19)</f>
        <v>#N/A</v>
      </c>
      <c r="AA399" s="14">
        <f>Table3[[#This Row],[Month2]]</f>
        <v>46173</v>
      </c>
      <c r="AB399" s="350">
        <f t="shared" si="538"/>
        <v>0</v>
      </c>
    </row>
    <row r="400" spans="4:28" ht="15" hidden="1" thickBot="1" x14ac:dyDescent="0.4">
      <c r="D400" t="s">
        <v>1735</v>
      </c>
      <c r="E400" s="174">
        <v>46097</v>
      </c>
      <c r="F400" s="47" t="s">
        <v>36</v>
      </c>
      <c r="G400" s="4" t="s">
        <v>268</v>
      </c>
      <c r="H400" s="253">
        <f>-H396</f>
        <v>0</v>
      </c>
      <c r="I400" s="172">
        <v>46142</v>
      </c>
      <c r="J400" s="172">
        <v>46173</v>
      </c>
      <c r="K400" s="212">
        <v>255</v>
      </c>
      <c r="L400" s="314">
        <f>AVERAGE(VLOOKUP(I400,[2]USG!$O$45:$S$100,MATCH(F400,[2]USG!$O$46:$S$46,0),FALSE),VLOOKUP(J400,[2]USG!$O$45:$S$100,MATCH(F400,[2]USG!$O$46:$S$46,0),FALSE))</f>
        <v>371.5</v>
      </c>
      <c r="M400" s="396">
        <f>IF(Table3[[#This Row],[Quantity]]=0,0,21.47*70*(Table3[[#This Row],[Price]]-Table3[[#This Row],[Mtm]])/100)</f>
        <v>0</v>
      </c>
      <c r="N400">
        <f t="shared" si="532"/>
        <v>0</v>
      </c>
      <c r="O400" s="14" t="s">
        <v>103</v>
      </c>
      <c r="P400" s="8" t="str">
        <f t="shared" si="534"/>
        <v>Buy</v>
      </c>
      <c r="Q400">
        <f t="shared" si="535"/>
        <v>0</v>
      </c>
      <c r="R400" t="str">
        <f>VLOOKUP(F400,Control!$B:$C,2,FALSE)</f>
        <v>Freight</v>
      </c>
      <c r="S400" t="str">
        <f>VLOOKUP(F400,Control!$B:$D,3,FALSE)</f>
        <v>Freight</v>
      </c>
      <c r="T400" s="38">
        <f t="shared" si="536"/>
        <v>2026</v>
      </c>
      <c r="U400" s="240" t="str">
        <f t="shared" si="537"/>
        <v>Sell</v>
      </c>
      <c r="V400" t="s">
        <v>96</v>
      </c>
      <c r="W400" t="e">
        <f>_xlfn.XLOOKUP(Table3[[#This Row],[Instrument]],Control!$B$2:$B$19,Control!$E$2:$E$19)</f>
        <v>#N/A</v>
      </c>
      <c r="X400" s="14">
        <f>Table3[[#This Row],[Month1]]</f>
        <v>46142</v>
      </c>
      <c r="Y400" s="350">
        <f>Table3[[#This Row],[Quantity]]</f>
        <v>0</v>
      </c>
      <c r="Z400" t="e">
        <f>_xlfn.XLOOKUP(Table3[[#This Row],[Instrument]],Control!$B$2:$B$19,Control!$F$2:$F$19)</f>
        <v>#N/A</v>
      </c>
      <c r="AA400" s="14">
        <f>Table3[[#This Row],[Month2]]</f>
        <v>46173</v>
      </c>
      <c r="AB400" s="350">
        <f t="shared" si="538"/>
        <v>0</v>
      </c>
    </row>
    <row r="401" spans="4:28" ht="15" hidden="1" thickBot="1" x14ac:dyDescent="0.4">
      <c r="D401" s="239" t="s">
        <v>1735</v>
      </c>
      <c r="E401" s="174">
        <v>46098</v>
      </c>
      <c r="F401" s="10" t="s">
        <v>10</v>
      </c>
      <c r="G401" s="4" t="s">
        <v>128</v>
      </c>
      <c r="H401" s="253">
        <v>399</v>
      </c>
      <c r="I401" s="172">
        <v>46173</v>
      </c>
      <c r="J401" s="172">
        <v>46173</v>
      </c>
      <c r="K401" s="212">
        <v>-7.89</v>
      </c>
      <c r="L401" s="7">
        <f ca="1">IF(OR(S401="WTI Sprds",S401="Brent Sprds",S401="WTI-Brent",S401="DFL"),INDEX(INDIRECT("'" &amp; S401 &amp; "'!$A$6:$XFD$1048576"),MATCH('PnL26'!$P$1,INDIRECT("'" &amp; S401 &amp; "'!$A$6:$A$1048576"),0),MATCH(EOMONTH(I401,0),INDIRECT("'" &amp; S401 &amp; "'!$A$4:$XFD$4"),0)),INDEX(BBG!$A:$BA,MATCH('PnL26'!$P$1,BBG!$A:$A,0),MATCH($I401,BBG!$A$4:$BA$4,0))-INDEX(BBG!$A:$BA,MATCH('PnL26'!$P$1,BBG!$A:$A,0),MATCH($J401,BBG!$A$4:$BA$4,0)))</f>
        <v>-16.97</v>
      </c>
      <c r="M401" s="9">
        <f ca="1">IFERROR((L401-K401)*H401,"")</f>
        <v>-3622.9199999999992</v>
      </c>
      <c r="N401">
        <f t="shared" ref="N401" si="539">H401*K401</f>
        <v>-3148.1099999999997</v>
      </c>
      <c r="O401" s="14" t="str">
        <f>IF(I401=J401,TEXT(I401,"MMM YY"),TEXT(I401,"MMM")&amp;"/"&amp;TEXT(J401,"MMM")&amp;" "&amp;RIGHT(T401,2))</f>
        <v>May 26</v>
      </c>
      <c r="P401" s="8" t="str">
        <f t="shared" ref="P401" si="540">IF(H401&lt;0,"Sell","Buy")</f>
        <v>Buy</v>
      </c>
      <c r="Q401">
        <f t="shared" ref="Q401" ca="1" si="541">H401*L401</f>
        <v>-6771.03</v>
      </c>
      <c r="R401" t="str">
        <f>VLOOKUP(F401,Control!$B:$C,2,FALSE)</f>
        <v>Swaps</v>
      </c>
      <c r="S401" t="str">
        <f>VLOOKUP(F401,Control!$B:$D,3,FALSE)</f>
        <v>WTI-Brent</v>
      </c>
      <c r="T401" s="38">
        <f t="shared" ref="T401" si="542">YEAR(I401)</f>
        <v>2026</v>
      </c>
      <c r="U401" t="str">
        <f t="shared" ref="U401" si="543">IFERROR(IF(H401&gt;0,"Buy","Sell"),"")</f>
        <v>Buy</v>
      </c>
      <c r="V401" s="240" t="s">
        <v>96</v>
      </c>
      <c r="W401" t="str">
        <f>_xlfn.XLOOKUP(Table3[[#This Row],[Instrument]],Control!$B$2:$B$19,Control!$E$2:$E$19)</f>
        <v>WTI</v>
      </c>
      <c r="X401" s="14">
        <f>Table3[[#This Row],[Month1]]</f>
        <v>46173</v>
      </c>
      <c r="Y401" s="350">
        <f>Table3[[#This Row],[Quantity]]</f>
        <v>399</v>
      </c>
      <c r="Z401" t="str">
        <f>_xlfn.XLOOKUP(Table3[[#This Row],[Instrument]],Control!$B$2:$B$19,Control!$F$2:$F$19)</f>
        <v>Brent</v>
      </c>
      <c r="AA401" s="14">
        <f>Table3[[#This Row],[Month2]]</f>
        <v>46173</v>
      </c>
      <c r="AB401" s="350">
        <f t="shared" ref="AB401" si="544">-Y401</f>
        <v>-399</v>
      </c>
    </row>
    <row r="402" spans="4:28" ht="15" hidden="1" thickBot="1" x14ac:dyDescent="0.4">
      <c r="D402" s="239" t="s">
        <v>127</v>
      </c>
      <c r="E402" s="174">
        <v>46098</v>
      </c>
      <c r="F402" s="10" t="s">
        <v>10</v>
      </c>
      <c r="G402" s="4" t="s">
        <v>128</v>
      </c>
      <c r="H402" s="253">
        <v>395</v>
      </c>
      <c r="I402" s="172">
        <v>46173</v>
      </c>
      <c r="J402" s="172">
        <v>46173</v>
      </c>
      <c r="K402" s="212">
        <v>-7.8</v>
      </c>
      <c r="L402" s="7">
        <f ca="1">IF(OR(S402="WTI Sprds",S402="Brent Sprds",S402="WTI-Brent",S402="DFL"),INDEX(INDIRECT("'" &amp; S402 &amp; "'!$A$6:$XFD$1048576"),MATCH('PnL26'!$P$1,INDIRECT("'" &amp; S402 &amp; "'!$A$6:$A$1048576"),0),MATCH(EOMONTH(I402,0),INDIRECT("'" &amp; S402 &amp; "'!$A$4:$XFD$4"),0)),INDEX(BBG!$A:$BA,MATCH('PnL26'!$P$1,BBG!$A:$A,0),MATCH($I402,BBG!$A$4:$BA$4,0))-INDEX(BBG!$A:$BA,MATCH('PnL26'!$P$1,BBG!$A:$A,0),MATCH($J402,BBG!$A$4:$BA$4,0)))</f>
        <v>-16.97</v>
      </c>
      <c r="M402" s="9">
        <f ca="1">IFERROR((L402-K402)*H402,"")</f>
        <v>-3622.1499999999992</v>
      </c>
      <c r="N402">
        <f>H402*K402</f>
        <v>-3081</v>
      </c>
      <c r="O402" s="14" t="str">
        <f>IF(I402=J402,TEXT(I402,"MMM YY"),TEXT(I402,"MMM")&amp;"/"&amp;TEXT(J402,"MMM")&amp;" "&amp;RIGHT(T402,2))</f>
        <v>May 26</v>
      </c>
      <c r="P402" s="8" t="str">
        <f>IF(H402&lt;0,"Sell","Buy")</f>
        <v>Buy</v>
      </c>
      <c r="Q402">
        <f ca="1">H402*L402</f>
        <v>-6703.15</v>
      </c>
      <c r="R402" t="str">
        <f>VLOOKUP(F402,Control!$B:$C,2,FALSE)</f>
        <v>Swaps</v>
      </c>
      <c r="S402" t="str">
        <f>VLOOKUP(F402,Control!$B:$D,3,FALSE)</f>
        <v>WTI-Brent</v>
      </c>
      <c r="T402" s="38">
        <f>YEAR(I402)</f>
        <v>2026</v>
      </c>
      <c r="U402" t="str">
        <f>IFERROR(IF(H402&gt;0,"Buy","Sell"),"")</f>
        <v>Buy</v>
      </c>
      <c r="V402" s="240" t="s">
        <v>96</v>
      </c>
      <c r="W402" t="str">
        <f>_xlfn.XLOOKUP(Table3[[#This Row],[Instrument]],Control!$B$2:$B$19,Control!$E$2:$E$19)</f>
        <v>WTI</v>
      </c>
      <c r="X402" s="14">
        <f>Table3[[#This Row],[Month1]]</f>
        <v>46173</v>
      </c>
      <c r="Y402" s="350">
        <f>Table3[[#This Row],[Quantity]]</f>
        <v>395</v>
      </c>
      <c r="Z402" t="str">
        <f>_xlfn.XLOOKUP(Table3[[#This Row],[Instrument]],Control!$B$2:$B$19,Control!$F$2:$F$19)</f>
        <v>Brent</v>
      </c>
      <c r="AA402" s="14">
        <f>Table3[[#This Row],[Month2]]</f>
        <v>46173</v>
      </c>
      <c r="AB402" s="350">
        <f>-Y402</f>
        <v>-395</v>
      </c>
    </row>
    <row r="403" spans="4:28" ht="15" hidden="1" thickBot="1" x14ac:dyDescent="0.4">
      <c r="D403" s="239" t="s">
        <v>127</v>
      </c>
      <c r="E403" s="174">
        <v>46097</v>
      </c>
      <c r="F403" s="10" t="s">
        <v>3</v>
      </c>
      <c r="G403" s="4" t="s">
        <v>128</v>
      </c>
      <c r="H403" s="253">
        <v>108</v>
      </c>
      <c r="I403" s="172">
        <v>46142</v>
      </c>
      <c r="J403" s="172">
        <f>EOMONTH(Table3[[#This Row],[Month1]],1)</f>
        <v>46173</v>
      </c>
      <c r="K403" s="212">
        <v>1.04</v>
      </c>
      <c r="L403" s="7">
        <f ca="1">IF(OR(S403="WTI Sprds",S403="Brent Sprds",S403="WTI-Brent",S403="DFL"),INDEX(INDIRECT("'" &amp; S403 &amp; "'!$A$6:$XFD$1048576"),MATCH('PnL26'!$P$1,INDIRECT("'" &amp; S403 &amp; "'!$A$6:$A$1048576"),0),MATCH(EOMONTH(I403,0),INDIRECT("'" &amp; S403 &amp; "'!$A$4:$XFD$4"),0)),INDEX(BBG!$A:$BA,MATCH('PnL26'!$P$1,BBG!$A:$A,0),MATCH($I403,BBG!$A$4:$BA$4,0))-INDEX(BBG!$A:$BA,MATCH('PnL26'!$P$1,BBG!$A:$A,0),MATCH($J403,BBG!$A$4:$BA$4,0)))</f>
        <v>0.59</v>
      </c>
      <c r="M403" s="9">
        <f t="shared" ref="M403:M404" ca="1" si="545">IFERROR((L403-K403)*H403,"")</f>
        <v>-48.600000000000009</v>
      </c>
      <c r="N403">
        <f t="shared" si="532"/>
        <v>112.32000000000001</v>
      </c>
      <c r="O403" s="14" t="str">
        <f t="shared" ref="O403:O404" si="546">IF(I403=J403,TEXT(I403,"MMM YY"),TEXT(I403,"MMM")&amp;"/"&amp;TEXT(J403,"MMM")&amp;" "&amp;RIGHT(T403,2))</f>
        <v>Apr/May 26</v>
      </c>
      <c r="P403" s="8" t="str">
        <f t="shared" si="534"/>
        <v>Buy</v>
      </c>
      <c r="Q403">
        <f t="shared" ca="1" si="535"/>
        <v>63.72</v>
      </c>
      <c r="R403" t="str">
        <f>VLOOKUP(F403,Control!$B:$C,2,FALSE)</f>
        <v>Futures</v>
      </c>
      <c r="S403" t="str">
        <f>VLOOKUP(F403,Control!$B:$D,3,FALSE)</f>
        <v>WTI Sprds</v>
      </c>
      <c r="T403" s="38">
        <f t="shared" si="536"/>
        <v>2026</v>
      </c>
      <c r="U403" t="str">
        <f t="shared" si="537"/>
        <v>Buy</v>
      </c>
      <c r="V403" s="240" t="s">
        <v>96</v>
      </c>
      <c r="W403" t="str">
        <f>_xlfn.XLOOKUP(Table3[[#This Row],[Instrument]],Control!$B$2:$B$19,Control!$E$2:$E$19)</f>
        <v>WTI</v>
      </c>
      <c r="X403" s="14">
        <f>Table3[[#This Row],[Month1]]</f>
        <v>46142</v>
      </c>
      <c r="Y403" s="350">
        <f>Table3[[#This Row],[Quantity]]</f>
        <v>108</v>
      </c>
      <c r="Z403" t="str">
        <f>_xlfn.XLOOKUP(Table3[[#This Row],[Instrument]],Control!$B$2:$B$19,Control!$F$2:$F$19)</f>
        <v>WTI</v>
      </c>
      <c r="AA403" s="14">
        <f>Table3[[#This Row],[Month2]]</f>
        <v>46173</v>
      </c>
      <c r="AB403" s="350">
        <f t="shared" si="538"/>
        <v>-108</v>
      </c>
    </row>
    <row r="404" spans="4:28" ht="15" hidden="1" thickBot="1" x14ac:dyDescent="0.4">
      <c r="D404" s="239" t="s">
        <v>127</v>
      </c>
      <c r="E404" s="174">
        <v>46097</v>
      </c>
      <c r="F404" s="10" t="s">
        <v>3</v>
      </c>
      <c r="G404" s="4" t="s">
        <v>128</v>
      </c>
      <c r="H404" s="253">
        <v>36</v>
      </c>
      <c r="I404" s="172">
        <v>46173</v>
      </c>
      <c r="J404" s="172">
        <f>EOMONTH(Table3[[#This Row],[Month1]],1)</f>
        <v>46203</v>
      </c>
      <c r="K404" s="212">
        <v>3.92</v>
      </c>
      <c r="L404" s="7">
        <f ca="1">IF(OR(S404="WTI Sprds",S404="Brent Sprds",S404="WTI-Brent",S404="DFL"),INDEX(INDIRECT("'" &amp; S404 &amp; "'!$A$6:$XFD$1048576"),MATCH('PnL26'!$P$1,INDIRECT("'" &amp; S404 &amp; "'!$A$6:$A$1048576"),0),MATCH(EOMONTH(I404,0),INDIRECT("'" &amp; S404 &amp; "'!$A$4:$XFD$4"),0)),INDEX(BBG!$A:$BA,MATCH('PnL26'!$P$1,BBG!$A:$A,0),MATCH($I404,BBG!$A$4:$BA$4,0))-INDEX(BBG!$A:$BA,MATCH('PnL26'!$P$1,BBG!$A:$A,0),MATCH($J404,BBG!$A$4:$BA$4,0)))</f>
        <v>2.19</v>
      </c>
      <c r="M404" s="9">
        <f t="shared" ca="1" si="545"/>
        <v>-62.28</v>
      </c>
      <c r="N404">
        <f t="shared" si="532"/>
        <v>141.12</v>
      </c>
      <c r="O404" s="14" t="str">
        <f t="shared" si="546"/>
        <v>May/Jun 26</v>
      </c>
      <c r="P404" s="8" t="str">
        <f t="shared" si="534"/>
        <v>Buy</v>
      </c>
      <c r="Q404">
        <f t="shared" ca="1" si="535"/>
        <v>78.84</v>
      </c>
      <c r="R404" t="str">
        <f>VLOOKUP(F404,Control!$B:$C,2,FALSE)</f>
        <v>Futures</v>
      </c>
      <c r="S404" t="str">
        <f>VLOOKUP(F404,Control!$B:$D,3,FALSE)</f>
        <v>WTI Sprds</v>
      </c>
      <c r="T404" s="38">
        <f t="shared" si="536"/>
        <v>2026</v>
      </c>
      <c r="U404" t="str">
        <f t="shared" si="537"/>
        <v>Buy</v>
      </c>
      <c r="V404" s="240" t="s">
        <v>96</v>
      </c>
      <c r="W404" t="str">
        <f>_xlfn.XLOOKUP(Table3[[#This Row],[Instrument]],Control!$B$2:$B$19,Control!$E$2:$E$19)</f>
        <v>WTI</v>
      </c>
      <c r="X404" s="14">
        <f>Table3[[#This Row],[Month1]]</f>
        <v>46173</v>
      </c>
      <c r="Y404" s="350">
        <f>Table3[[#This Row],[Quantity]]</f>
        <v>36</v>
      </c>
      <c r="Z404" t="str">
        <f>_xlfn.XLOOKUP(Table3[[#This Row],[Instrument]],Control!$B$2:$B$19,Control!$F$2:$F$19)</f>
        <v>WTI</v>
      </c>
      <c r="AA404" s="14">
        <f>Table3[[#This Row],[Month2]]</f>
        <v>46203</v>
      </c>
      <c r="AB404" s="350">
        <f t="shared" si="538"/>
        <v>-36</v>
      </c>
    </row>
    <row r="405" spans="4:28" ht="15" hidden="1" thickBot="1" x14ac:dyDescent="0.4">
      <c r="D405" s="385" t="s">
        <v>1738</v>
      </c>
      <c r="E405" s="228">
        <v>46098</v>
      </c>
      <c r="F405" s="229" t="s">
        <v>19</v>
      </c>
      <c r="G405" s="380" t="s">
        <v>268</v>
      </c>
      <c r="H405" s="392">
        <v>2065</v>
      </c>
      <c r="I405" s="231">
        <v>46142</v>
      </c>
      <c r="J405" s="231">
        <v>46142</v>
      </c>
      <c r="K405" s="452">
        <f>'Cargo Econs 2026'!$I$104</f>
        <v>11.12704479418886</v>
      </c>
      <c r="L405" s="315">
        <f>'Cargo Econs 2026'!$I$105</f>
        <v>11.13</v>
      </c>
      <c r="M405" s="234">
        <f t="shared" ref="M405:M410" si="547">IFERROR((L405-K405)*H405,"")</f>
        <v>6.1025000000053709</v>
      </c>
      <c r="N405" s="227">
        <f t="shared" ref="N405:N410" si="548">H405*K405</f>
        <v>22977.347499999996</v>
      </c>
      <c r="O405" s="235" t="str">
        <f t="shared" ref="O405:O413" si="549">IF(I405=J405,TEXT(I405,"MMM YY"),TEXT(I405,"MMM")&amp;"/"&amp;TEXT(J405,"MMM")&amp;" "&amp;RIGHT(T405,2))</f>
        <v>Apr 26</v>
      </c>
      <c r="P405" s="236" t="str">
        <f t="shared" ref="P405:P413" si="550">IF(H405&lt;0,"Sell","Buy")</f>
        <v>Buy</v>
      </c>
      <c r="Q405" s="227">
        <f t="shared" ref="Q405:Q413" si="551">H405*L405</f>
        <v>22983.45</v>
      </c>
      <c r="R405" s="227" t="str">
        <f>VLOOKUP(F405,Control!$B:$C,2,FALSE)</f>
        <v>Physical</v>
      </c>
      <c r="S405" s="227" t="str">
        <f>VLOOKUP(F405,Control!$B:$D,3,FALSE)</f>
        <v>Physical</v>
      </c>
      <c r="T405" s="237">
        <f t="shared" ref="T405:T413" si="552">YEAR(I405)</f>
        <v>2026</v>
      </c>
      <c r="U405" s="227" t="str">
        <f t="shared" ref="U405:U413" si="553">IFERROR(IF(H405&gt;0,"Buy","Sell"),"")</f>
        <v>Buy</v>
      </c>
      <c r="V405" s="238" t="s">
        <v>96</v>
      </c>
      <c r="W405" s="227">
        <f>_xlfn.XLOOKUP(Table3[[#This Row],[Instrument]],Control!$B$2:$B$19,Control!$E$2:$E$19)</f>
        <v>0</v>
      </c>
      <c r="X405" s="235">
        <f>Table3[[#This Row],[Month1]]</f>
        <v>46142</v>
      </c>
      <c r="Y405" s="397">
        <f>Table3[[#This Row],[Quantity]]</f>
        <v>2065</v>
      </c>
      <c r="Z405" s="227">
        <f>_xlfn.XLOOKUP(Table3[[#This Row],[Instrument]],Control!$B$2:$B$19,Control!$F$2:$F$19)</f>
        <v>0</v>
      </c>
      <c r="AA405" s="235">
        <f>Table3[[#This Row],[Month2]]</f>
        <v>46142</v>
      </c>
      <c r="AB405" s="398">
        <f t="shared" ref="AB405:AB413" si="554">-Y405</f>
        <v>-2065</v>
      </c>
    </row>
    <row r="406" spans="4:28" ht="15" hidden="1" thickBot="1" x14ac:dyDescent="0.4">
      <c r="D406" s="239" t="s">
        <v>1738</v>
      </c>
      <c r="E406" s="174">
        <v>46098</v>
      </c>
      <c r="F406" s="10" t="s">
        <v>3</v>
      </c>
      <c r="G406" s="4" t="s">
        <v>268</v>
      </c>
      <c r="H406" s="253">
        <v>-2100</v>
      </c>
      <c r="I406" s="172">
        <v>46142</v>
      </c>
      <c r="J406" s="172">
        <v>46173</v>
      </c>
      <c r="K406" s="100">
        <v>1</v>
      </c>
      <c r="L406" s="7">
        <f ca="1">IF(OR(S406="WTI Sprds",S406="Brent Sprds",S406="WTI-Brent",S406="DFL"),INDEX(INDIRECT("'" &amp; S406 &amp; "'!$A$6:$XFD$1048576"),MATCH('PnL26'!$P$1,INDIRECT("'" &amp; S406 &amp; "'!$A$6:$A$1048576"),0),MATCH(EOMONTH(I406,0),INDIRECT("'" &amp; S406 &amp; "'!$A$4:$XFD$4"),0)),INDEX(BBG!$A:$BA,MATCH('PnL26'!$P$1,BBG!$A:$A,0),MATCH($I406,BBG!$A$4:$BA$4,0))-INDEX(BBG!$A:$BA,MATCH('PnL26'!$P$1,BBG!$A:$A,0),MATCH($J406,BBG!$A$4:$BA$4,0)))</f>
        <v>0.59</v>
      </c>
      <c r="M406" s="9">
        <f t="shared" ca="1" si="547"/>
        <v>861.00000000000011</v>
      </c>
      <c r="N406">
        <f t="shared" si="548"/>
        <v>-2100</v>
      </c>
      <c r="O406" s="14" t="str">
        <f t="shared" si="549"/>
        <v>Apr/May 26</v>
      </c>
      <c r="P406" s="8" t="str">
        <f t="shared" si="550"/>
        <v>Sell</v>
      </c>
      <c r="Q406">
        <f t="shared" ca="1" si="551"/>
        <v>-1239</v>
      </c>
      <c r="R406" t="str">
        <f>VLOOKUP(F406,Control!$B:$C,2,FALSE)</f>
        <v>Futures</v>
      </c>
      <c r="S406" t="str">
        <f>VLOOKUP(F406,Control!$B:$D,3,FALSE)</f>
        <v>WTI Sprds</v>
      </c>
      <c r="T406" s="38">
        <f t="shared" si="552"/>
        <v>2026</v>
      </c>
      <c r="U406" t="str">
        <f t="shared" si="553"/>
        <v>Sell</v>
      </c>
      <c r="V406" s="240" t="s">
        <v>96</v>
      </c>
      <c r="W406" t="str">
        <f>_xlfn.XLOOKUP(Table3[[#This Row],[Instrument]],Control!$B$2:$B$19,Control!$E$2:$E$19)</f>
        <v>WTI</v>
      </c>
      <c r="X406" s="14">
        <f>Table3[[#This Row],[Month1]]</f>
        <v>46142</v>
      </c>
      <c r="Y406" s="350">
        <f>Table3[[#This Row],[Quantity]]</f>
        <v>-2100</v>
      </c>
      <c r="Z406" t="str">
        <f>_xlfn.XLOOKUP(Table3[[#This Row],[Instrument]],Control!$B$2:$B$19,Control!$F$2:$F$19)</f>
        <v>WTI</v>
      </c>
      <c r="AA406" s="14">
        <f>Table3[[#This Row],[Month2]]</f>
        <v>46173</v>
      </c>
      <c r="AB406" s="399">
        <f t="shared" si="554"/>
        <v>2100</v>
      </c>
    </row>
    <row r="407" spans="4:28" ht="15" hidden="1" thickBot="1" x14ac:dyDescent="0.4">
      <c r="D407" s="239" t="s">
        <v>1738</v>
      </c>
      <c r="E407" s="174">
        <v>46098</v>
      </c>
      <c r="F407" s="10" t="s">
        <v>3</v>
      </c>
      <c r="G407" s="4" t="s">
        <v>268</v>
      </c>
      <c r="H407" s="253">
        <f>-H405</f>
        <v>-2065</v>
      </c>
      <c r="I407" s="172">
        <f>J406</f>
        <v>46173</v>
      </c>
      <c r="J407" s="172">
        <f>EOMONTH(Table3[[#This Row],[Month1]],1)</f>
        <v>46203</v>
      </c>
      <c r="K407" s="100">
        <v>3.75</v>
      </c>
      <c r="L407" s="7">
        <f ca="1">IF(OR(S407="WTI Sprds",S407="Brent Sprds",S407="WTI-Brent",S407="DFL"),INDEX(INDIRECT("'" &amp; S407 &amp; "'!$A$6:$XFD$1048576"),MATCH('PnL26'!$P$1,INDIRECT("'" &amp; S407 &amp; "'!$A$6:$A$1048576"),0),MATCH(EOMONTH(I407,0),INDIRECT("'" &amp; S407 &amp; "'!$A$4:$XFD$4"),0)),INDEX(BBG!$A:$BA,MATCH('PnL26'!$P$1,BBG!$A:$A,0),MATCH($I407,BBG!$A$4:$BA$4,0))-INDEX(BBG!$A:$BA,MATCH('PnL26'!$P$1,BBG!$A:$A,0),MATCH($J407,BBG!$A$4:$BA$4,0)))</f>
        <v>2.19</v>
      </c>
      <c r="M407" s="9">
        <f t="shared" ca="1" si="547"/>
        <v>3221.4</v>
      </c>
      <c r="N407">
        <f t="shared" si="548"/>
        <v>-7743.75</v>
      </c>
      <c r="O407" s="14" t="str">
        <f t="shared" si="549"/>
        <v>May/Jun 26</v>
      </c>
      <c r="P407" s="8" t="str">
        <f t="shared" si="550"/>
        <v>Sell</v>
      </c>
      <c r="Q407">
        <f t="shared" ca="1" si="551"/>
        <v>-4522.3499999999995</v>
      </c>
      <c r="R407" t="str">
        <f>VLOOKUP(F407,Control!$B:$C,2,FALSE)</f>
        <v>Futures</v>
      </c>
      <c r="S407" t="str">
        <f>VLOOKUP(F407,Control!$B:$D,3,FALSE)</f>
        <v>WTI Sprds</v>
      </c>
      <c r="T407" s="38">
        <f t="shared" si="552"/>
        <v>2026</v>
      </c>
      <c r="U407" t="str">
        <f t="shared" si="553"/>
        <v>Sell</v>
      </c>
      <c r="V407" s="240" t="s">
        <v>96</v>
      </c>
      <c r="W407" t="str">
        <f>_xlfn.XLOOKUP(Table3[[#This Row],[Instrument]],Control!$B$2:$B$19,Control!$E$2:$E$19)</f>
        <v>WTI</v>
      </c>
      <c r="X407" s="14">
        <f>Table3[[#This Row],[Month1]]</f>
        <v>46173</v>
      </c>
      <c r="Y407" s="350">
        <f>Table3[[#This Row],[Quantity]]</f>
        <v>-2065</v>
      </c>
      <c r="Z407" t="str">
        <f>_xlfn.XLOOKUP(Table3[[#This Row],[Instrument]],Control!$B$2:$B$19,Control!$F$2:$F$19)</f>
        <v>WTI</v>
      </c>
      <c r="AA407" s="14">
        <f>Table3[[#This Row],[Month2]]</f>
        <v>46203</v>
      </c>
      <c r="AB407" s="399">
        <f t="shared" si="554"/>
        <v>2065</v>
      </c>
    </row>
    <row r="408" spans="4:28" ht="15" hidden="1" thickBot="1" x14ac:dyDescent="0.4">
      <c r="D408" s="239" t="s">
        <v>1738</v>
      </c>
      <c r="E408" s="174">
        <v>46098</v>
      </c>
      <c r="F408" s="10" t="s">
        <v>10</v>
      </c>
      <c r="G408" s="4" t="s">
        <v>268</v>
      </c>
      <c r="H408" s="253">
        <f>H407</f>
        <v>-2065</v>
      </c>
      <c r="I408" s="172">
        <f>J407</f>
        <v>46203</v>
      </c>
      <c r="J408" s="172">
        <f>Table3[[#This Row],[Month1]]</f>
        <v>46203</v>
      </c>
      <c r="K408" s="100">
        <v>-7.25</v>
      </c>
      <c r="L408" s="7">
        <f ca="1">IF(OR(S408="WTI Sprds",S408="Brent Sprds",S408="WTI-Brent",S408="DFL"),INDEX(INDIRECT("'" &amp; S408 &amp; "'!$A$6:$XFD$1048576"),MATCH('PnL26'!$P$1,INDIRECT("'" &amp; S408 &amp; "'!$A$6:$A$1048576"),0),MATCH(EOMONTH(I408,0),INDIRECT("'" &amp; S408 &amp; "'!$A$4:$XFD$4"),0)),INDEX(BBG!$A:$BA,MATCH('PnL26'!$P$1,BBG!$A:$A,0),MATCH($I408,BBG!$A$4:$BA$4,0))-INDEX(BBG!$A:$BA,MATCH('PnL26'!$P$1,BBG!$A:$A,0),MATCH($J408,BBG!$A$4:$BA$4,0)))</f>
        <v>-8.94</v>
      </c>
      <c r="M408" s="9">
        <f t="shared" ca="1" si="547"/>
        <v>3489.849999999999</v>
      </c>
      <c r="N408">
        <f t="shared" si="548"/>
        <v>14971.25</v>
      </c>
      <c r="O408" s="14" t="str">
        <f t="shared" si="549"/>
        <v>Jun 26</v>
      </c>
      <c r="P408" s="8" t="str">
        <f t="shared" si="550"/>
        <v>Sell</v>
      </c>
      <c r="Q408">
        <f t="shared" ca="1" si="551"/>
        <v>18461.099999999999</v>
      </c>
      <c r="R408" t="str">
        <f>VLOOKUP(F408,Control!$B:$C,2,FALSE)</f>
        <v>Swaps</v>
      </c>
      <c r="S408" t="str">
        <f>VLOOKUP(F408,Control!$B:$D,3,FALSE)</f>
        <v>WTI-Brent</v>
      </c>
      <c r="T408" s="38">
        <f t="shared" si="552"/>
        <v>2026</v>
      </c>
      <c r="U408" t="str">
        <f t="shared" si="553"/>
        <v>Sell</v>
      </c>
      <c r="V408" s="240" t="s">
        <v>96</v>
      </c>
      <c r="W408" t="str">
        <f>_xlfn.XLOOKUP(Table3[[#This Row],[Instrument]],Control!$B$2:$B$19,Control!$E$2:$E$19)</f>
        <v>WTI</v>
      </c>
      <c r="X408" s="14">
        <f>Table3[[#This Row],[Month1]]</f>
        <v>46203</v>
      </c>
      <c r="Y408" s="350">
        <f>Table3[[#This Row],[Quantity]]</f>
        <v>-2065</v>
      </c>
      <c r="Z408" t="str">
        <f>_xlfn.XLOOKUP(Table3[[#This Row],[Instrument]],Control!$B$2:$B$19,Control!$F$2:$F$19)</f>
        <v>Brent</v>
      </c>
      <c r="AA408" s="14">
        <f>Table3[[#This Row],[Month2]]</f>
        <v>46203</v>
      </c>
      <c r="AB408" s="399">
        <f t="shared" si="554"/>
        <v>2065</v>
      </c>
    </row>
    <row r="409" spans="4:28" ht="15" hidden="1" thickBot="1" x14ac:dyDescent="0.4">
      <c r="D409" s="239" t="s">
        <v>1738</v>
      </c>
      <c r="E409" s="174">
        <v>46098</v>
      </c>
      <c r="F409" s="10" t="s">
        <v>7</v>
      </c>
      <c r="G409" s="4" t="s">
        <v>268</v>
      </c>
      <c r="H409" s="253">
        <v>-1956</v>
      </c>
      <c r="I409" s="172">
        <f>J408</f>
        <v>46203</v>
      </c>
      <c r="J409" s="172">
        <v>46234</v>
      </c>
      <c r="K409" s="100">
        <v>4.28</v>
      </c>
      <c r="L409" s="7">
        <f ca="1">IF(OR(S409="WTI Sprds",S409="Brent Sprds",S409="WTI-Brent",S409="DFL"),INDEX(INDIRECT("'" &amp; S409 &amp; "'!$A$6:$XFD$1048576"),MATCH('PnL26'!$P$1,INDIRECT("'" &amp; S409 &amp; "'!$A$6:$A$1048576"),0),MATCH(EOMONTH(I409,0),INDIRECT("'" &amp; S409 &amp; "'!$A$4:$XFD$4"),0)),INDEX(BBG!$A:$BA,MATCH('PnL26'!$P$1,BBG!$A:$A,0),MATCH($I409,BBG!$A$4:$BA$4,0))-INDEX(BBG!$A:$BA,MATCH('PnL26'!$P$1,BBG!$A:$A,0),MATCH($J409,BBG!$A$4:$BA$4,0)))</f>
        <v>3.61</v>
      </c>
      <c r="M409" s="9">
        <f t="shared" ca="1" si="547"/>
        <v>1310.5200000000007</v>
      </c>
      <c r="N409">
        <f t="shared" si="548"/>
        <v>-8371.68</v>
      </c>
      <c r="O409" s="14" t="str">
        <f t="shared" si="549"/>
        <v>Jun/Jul 26</v>
      </c>
      <c r="P409" s="8" t="str">
        <f t="shared" si="550"/>
        <v>Sell</v>
      </c>
      <c r="Q409">
        <f t="shared" ca="1" si="551"/>
        <v>-7061.16</v>
      </c>
      <c r="R409" t="str">
        <f>VLOOKUP(F409,Control!$B:$C,2,FALSE)</f>
        <v>Futures</v>
      </c>
      <c r="S409" t="str">
        <f>VLOOKUP(F409,Control!$B:$D,3,FALSE)</f>
        <v>Brent Sprds</v>
      </c>
      <c r="T409" s="38">
        <f t="shared" si="552"/>
        <v>2026</v>
      </c>
      <c r="U409" t="str">
        <f t="shared" si="553"/>
        <v>Sell</v>
      </c>
      <c r="V409" s="240" t="s">
        <v>96</v>
      </c>
      <c r="W409" t="str">
        <f>_xlfn.XLOOKUP(Table3[[#This Row],[Instrument]],Control!$B$2:$B$19,Control!$E$2:$E$19)</f>
        <v>Brent</v>
      </c>
      <c r="X409" s="14">
        <f>Table3[[#This Row],[Month1]]</f>
        <v>46203</v>
      </c>
      <c r="Y409" s="350">
        <f>Table3[[#This Row],[Quantity]]</f>
        <v>-1956</v>
      </c>
      <c r="Z409" t="str">
        <f>_xlfn.XLOOKUP(Table3[[#This Row],[Instrument]],Control!$B$2:$B$19,Control!$F$2:$F$19)</f>
        <v>Brent</v>
      </c>
      <c r="AA409" s="14">
        <f>Table3[[#This Row],[Month2]]</f>
        <v>46234</v>
      </c>
      <c r="AB409" s="399">
        <f t="shared" si="554"/>
        <v>1956</v>
      </c>
    </row>
    <row r="410" spans="4:28" ht="15" hidden="1" thickBot="1" x14ac:dyDescent="0.4">
      <c r="D410" s="239" t="s">
        <v>1738</v>
      </c>
      <c r="E410" s="174">
        <v>46098</v>
      </c>
      <c r="F410" s="10" t="s">
        <v>7</v>
      </c>
      <c r="G410" s="4" t="s">
        <v>268</v>
      </c>
      <c r="H410" s="253">
        <f>H405*-0.05275</f>
        <v>-108.92874999999999</v>
      </c>
      <c r="I410" s="172">
        <f>J409</f>
        <v>46234</v>
      </c>
      <c r="J410" s="172">
        <f>EOMONTH(Table3[[#This Row],[Month1]],1)</f>
        <v>46265</v>
      </c>
      <c r="K410" s="100">
        <f>K409-0.56</f>
        <v>3.72</v>
      </c>
      <c r="L410" s="7">
        <f ca="1">IF(OR(S410="WTI Sprds",S410="Brent Sprds",S410="WTI-Brent",S410="DFL"),INDEX(INDIRECT("'" &amp; S410 &amp; "'!$A$6:$XFD$1048576"),MATCH('PnL26'!$P$1,INDIRECT("'" &amp; S410 &amp; "'!$A$6:$A$1048576"),0),MATCH(EOMONTH(I410,0),INDIRECT("'" &amp; S410 &amp; "'!$A$4:$XFD$4"),0)),INDEX(BBG!$A:$BA,MATCH('PnL26'!$P$1,BBG!$A:$A,0),MATCH($I410,BBG!$A$4:$BA$4,0))-INDEX(BBG!$A:$BA,MATCH('PnL26'!$P$1,BBG!$A:$A,0),MATCH($J410,BBG!$A$4:$BA$4,0)))</f>
        <v>0.93</v>
      </c>
      <c r="M410" s="9">
        <f t="shared" ca="1" si="547"/>
        <v>303.91121249999998</v>
      </c>
      <c r="N410">
        <f t="shared" si="548"/>
        <v>-405.21494999999999</v>
      </c>
      <c r="O410" s="14" t="str">
        <f t="shared" si="549"/>
        <v>Jul/Aug 26</v>
      </c>
      <c r="P410" s="8" t="str">
        <f t="shared" si="550"/>
        <v>Sell</v>
      </c>
      <c r="Q410">
        <f t="shared" ca="1" si="551"/>
        <v>-101.3037375</v>
      </c>
      <c r="R410" t="str">
        <f>VLOOKUP(F410,Control!$B:$C,2,FALSE)</f>
        <v>Futures</v>
      </c>
      <c r="S410" t="str">
        <f>VLOOKUP(F410,Control!$B:$D,3,FALSE)</f>
        <v>Brent Sprds</v>
      </c>
      <c r="T410" s="38">
        <f t="shared" si="552"/>
        <v>2026</v>
      </c>
      <c r="U410" t="str">
        <f t="shared" si="553"/>
        <v>Sell</v>
      </c>
      <c r="V410" s="240" t="s">
        <v>96</v>
      </c>
      <c r="W410" t="str">
        <f>_xlfn.XLOOKUP(Table3[[#This Row],[Instrument]],Control!$B$2:$B$19,Control!$E$2:$E$19)</f>
        <v>Brent</v>
      </c>
      <c r="X410" s="14">
        <f>Table3[[#This Row],[Month1]]</f>
        <v>46234</v>
      </c>
      <c r="Y410" s="350">
        <f>Table3[[#This Row],[Quantity]]</f>
        <v>-108.92874999999999</v>
      </c>
      <c r="Z410" t="str">
        <f>_xlfn.XLOOKUP(Table3[[#This Row],[Instrument]],Control!$B$2:$B$19,Control!$F$2:$F$19)</f>
        <v>Brent</v>
      </c>
      <c r="AA410" s="14">
        <f>Table3[[#This Row],[Month2]]</f>
        <v>46265</v>
      </c>
      <c r="AB410" s="399">
        <f t="shared" si="554"/>
        <v>108.92874999999999</v>
      </c>
    </row>
    <row r="411" spans="4:28" ht="15" hidden="1" thickBot="1" x14ac:dyDescent="0.4">
      <c r="D411" s="383" t="s">
        <v>1738</v>
      </c>
      <c r="E411" s="300">
        <v>46098</v>
      </c>
      <c r="F411" s="242" t="s">
        <v>28</v>
      </c>
      <c r="G411" s="317" t="s">
        <v>268</v>
      </c>
      <c r="H411" s="277">
        <v>-2000</v>
      </c>
      <c r="I411" s="244">
        <v>46112</v>
      </c>
      <c r="J411" s="244">
        <v>46112</v>
      </c>
      <c r="K411" s="453">
        <v>20650</v>
      </c>
      <c r="L411" s="319">
        <f>K411</f>
        <v>20650</v>
      </c>
      <c r="M411" s="247">
        <f>L411-K411</f>
        <v>0</v>
      </c>
      <c r="N411" s="252">
        <f>L411-K411</f>
        <v>0</v>
      </c>
      <c r="O411" s="248" t="str">
        <f t="shared" si="549"/>
        <v>Mar 26</v>
      </c>
      <c r="P411" s="249" t="str">
        <f t="shared" si="550"/>
        <v>Sell</v>
      </c>
      <c r="Q411" s="160">
        <f t="shared" si="551"/>
        <v>-41300000</v>
      </c>
      <c r="R411" s="160" t="str">
        <f>VLOOKUP(F411,Control!$B:$C,2,FALSE)</f>
        <v>Freight</v>
      </c>
      <c r="S411" s="160" t="str">
        <f>VLOOKUP(F411,Control!$B:$D,3,FALSE)</f>
        <v>Freight</v>
      </c>
      <c r="T411" s="250">
        <f t="shared" si="552"/>
        <v>2026</v>
      </c>
      <c r="U411" s="160" t="str">
        <f t="shared" si="553"/>
        <v>Sell</v>
      </c>
      <c r="V411" s="251" t="s">
        <v>96</v>
      </c>
      <c r="W411" s="160" t="e">
        <f>_xlfn.XLOOKUP(Table3[[#This Row],[Instrument]],Control!$B$2:$B$19,Control!$E$2:$E$19)</f>
        <v>#N/A</v>
      </c>
      <c r="X411" s="248">
        <f>Table3[[#This Row],[Month1]]</f>
        <v>46112</v>
      </c>
      <c r="Y411" s="400">
        <f>Table3[[#This Row],[Quantity]]</f>
        <v>-2000</v>
      </c>
      <c r="Z411" s="160" t="e">
        <f>_xlfn.XLOOKUP(Table3[[#This Row],[Instrument]],Control!$B$2:$B$19,Control!$F$2:$F$19)</f>
        <v>#N/A</v>
      </c>
      <c r="AA411" s="248">
        <f>Table3[[#This Row],[Month2]]</f>
        <v>46112</v>
      </c>
      <c r="AB411" s="401">
        <f t="shared" si="554"/>
        <v>2000</v>
      </c>
    </row>
    <row r="412" spans="4:28" ht="15" hidden="1" thickBot="1" x14ac:dyDescent="0.4">
      <c r="D412" s="239" t="s">
        <v>1738</v>
      </c>
      <c r="E412" s="174">
        <v>46098</v>
      </c>
      <c r="F412" s="47" t="s">
        <v>28</v>
      </c>
      <c r="G412" s="4" t="s">
        <v>128</v>
      </c>
      <c r="H412" s="253">
        <v>2000</v>
      </c>
      <c r="I412" s="172">
        <v>46112</v>
      </c>
      <c r="J412" s="172">
        <v>46112</v>
      </c>
      <c r="K412" s="100">
        <v>18750</v>
      </c>
      <c r="L412" s="314">
        <f>L411</f>
        <v>20650</v>
      </c>
      <c r="M412" s="9">
        <f>L412-K412</f>
        <v>1900</v>
      </c>
      <c r="N412" s="91">
        <f>K411-K412</f>
        <v>1900</v>
      </c>
      <c r="O412" s="14" t="str">
        <f t="shared" si="549"/>
        <v>Mar 26</v>
      </c>
      <c r="P412" s="8" t="str">
        <f t="shared" si="550"/>
        <v>Buy</v>
      </c>
      <c r="Q412">
        <f t="shared" si="551"/>
        <v>41300000</v>
      </c>
      <c r="R412" t="str">
        <f>VLOOKUP(F412,Control!$B:$C,2,FALSE)</f>
        <v>Freight</v>
      </c>
      <c r="S412" t="str">
        <f>VLOOKUP(F412,Control!$B:$D,3,FALSE)</f>
        <v>Freight</v>
      </c>
      <c r="T412" s="38">
        <f t="shared" si="552"/>
        <v>2026</v>
      </c>
      <c r="U412" t="str">
        <f t="shared" si="553"/>
        <v>Buy</v>
      </c>
      <c r="V412" s="240" t="s">
        <v>96</v>
      </c>
      <c r="W412" t="e">
        <f>_xlfn.XLOOKUP(Table3[[#This Row],[Instrument]],Control!$B$2:$B$19,Control!$E$2:$E$19)</f>
        <v>#N/A</v>
      </c>
      <c r="X412" s="14">
        <f>Table3[[#This Row],[Month1]]</f>
        <v>46112</v>
      </c>
      <c r="Y412" s="350">
        <f>Table3[[#This Row],[Quantity]]</f>
        <v>2000</v>
      </c>
      <c r="Z412" t="e">
        <f>_xlfn.XLOOKUP(Table3[[#This Row],[Instrument]],Control!$B$2:$B$19,Control!$F$2:$F$19)</f>
        <v>#N/A</v>
      </c>
      <c r="AA412" s="14">
        <f>Table3[[#This Row],[Month2]]</f>
        <v>46112</v>
      </c>
      <c r="AB412" s="350">
        <f t="shared" si="554"/>
        <v>-2000</v>
      </c>
    </row>
    <row r="413" spans="4:28" ht="15" hidden="1" thickBot="1" x14ac:dyDescent="0.4">
      <c r="D413" t="s">
        <v>1738</v>
      </c>
      <c r="E413" s="174">
        <v>46098</v>
      </c>
      <c r="F413" s="10" t="s">
        <v>15</v>
      </c>
      <c r="G413" s="4" t="s">
        <v>268</v>
      </c>
      <c r="H413" s="253">
        <f>-H407</f>
        <v>2065</v>
      </c>
      <c r="I413" s="173">
        <v>46173</v>
      </c>
      <c r="J413" s="173">
        <v>46173</v>
      </c>
      <c r="K413" s="100">
        <v>4.1500000000000004</v>
      </c>
      <c r="L413" s="192">
        <f>VLOOKUP($I413,'PnL26'!$E$7:$F$59,2,FALSE)</f>
        <v>3.68</v>
      </c>
      <c r="M413" s="9">
        <f t="shared" ref="M413:M416" si="555">IFERROR((L413-K413)*H413,"")</f>
        <v>-970.55000000000041</v>
      </c>
      <c r="N413">
        <f t="shared" ref="N413:N416" si="556">H413*K413</f>
        <v>8569.75</v>
      </c>
      <c r="O413" s="14" t="str">
        <f t="shared" si="549"/>
        <v>May 26</v>
      </c>
      <c r="P413" s="8" t="str">
        <f t="shared" si="550"/>
        <v>Buy</v>
      </c>
      <c r="Q413">
        <f t="shared" si="551"/>
        <v>7599.2000000000007</v>
      </c>
      <c r="R413" s="38" t="str">
        <f>VLOOKUP(F413,Control!$B:$C,2,FALSE)</f>
        <v>Swaps</v>
      </c>
      <c r="S413" s="38" t="str">
        <f>VLOOKUP(F413,Control!$B:$D,3,FALSE)</f>
        <v>Dated</v>
      </c>
      <c r="T413" s="38">
        <f t="shared" si="552"/>
        <v>2026</v>
      </c>
      <c r="U413" t="str">
        <f t="shared" si="553"/>
        <v>Buy</v>
      </c>
      <c r="V413" t="s">
        <v>96</v>
      </c>
      <c r="W413" t="e">
        <f>_xlfn.XLOOKUP(Table3[[#This Row],[Instrument]],Control!$B$2:$B$19,Control!$E$2:$E$19)</f>
        <v>#N/A</v>
      </c>
      <c r="X413" s="14">
        <f>Table3[[#This Row],[Month1]]</f>
        <v>46173</v>
      </c>
      <c r="Y413" s="350">
        <f>Table3[[#This Row],[Quantity]]</f>
        <v>2065</v>
      </c>
      <c r="Z413" t="e">
        <f>_xlfn.XLOOKUP(Table3[[#This Row],[Instrument]],Control!$B$2:$B$19,Control!$F$2:$F$19)</f>
        <v>#N/A</v>
      </c>
      <c r="AA413" s="14">
        <f>Table3[[#This Row],[Month2]]</f>
        <v>46173</v>
      </c>
      <c r="AB413" s="350">
        <f t="shared" si="554"/>
        <v>-2065</v>
      </c>
    </row>
    <row r="414" spans="4:28" ht="15" hidden="1" thickBot="1" x14ac:dyDescent="0.4">
      <c r="D414" s="239" t="s">
        <v>1738</v>
      </c>
      <c r="E414" s="174">
        <v>46098</v>
      </c>
      <c r="F414" s="10" t="s">
        <v>3</v>
      </c>
      <c r="G414" s="4" t="s">
        <v>128</v>
      </c>
      <c r="H414" s="253">
        <v>1500</v>
      </c>
      <c r="I414" s="172">
        <v>46142</v>
      </c>
      <c r="J414" s="172">
        <v>46173</v>
      </c>
      <c r="K414" s="100">
        <v>0.65</v>
      </c>
      <c r="L414" s="7">
        <f ca="1">IF(OR(S414="WTI Sprds",S414="Brent Sprds",S414="WTI-Brent",S414="DFL"),INDEX(INDIRECT("'" &amp; S414 &amp; "'!$A$6:$XFD$1048576"),MATCH('PnL26'!$P$1,INDIRECT("'" &amp; S414 &amp; "'!$A$6:$A$1048576"),0),MATCH(EOMONTH(I414,0),INDIRECT("'" &amp; S414 &amp; "'!$A$4:$XFD$4"),0)),INDEX(BBG!$A:$BA,MATCH('PnL26'!$P$1,BBG!$A:$A,0),MATCH($I414,BBG!$A$4:$BA$4,0))-INDEX(BBG!$A:$BA,MATCH('PnL26'!$P$1,BBG!$A:$A,0),MATCH($J414,BBG!$A$4:$BA$4,0)))</f>
        <v>0.59</v>
      </c>
      <c r="M414" s="9">
        <f t="shared" ca="1" si="555"/>
        <v>-90.000000000000085</v>
      </c>
      <c r="N414">
        <f t="shared" si="556"/>
        <v>975</v>
      </c>
      <c r="O414" s="14" t="str">
        <f t="shared" ref="O414:O416" si="557">IF(I414=J414,TEXT(I414,"MMM YY"),TEXT(I414,"MMM")&amp;"/"&amp;TEXT(J414,"MMM")&amp;" "&amp;RIGHT(T414,2))</f>
        <v>Apr/May 26</v>
      </c>
      <c r="P414" s="8" t="str">
        <f t="shared" ref="P414:P416" si="558">IF(H414&lt;0,"Sell","Buy")</f>
        <v>Buy</v>
      </c>
      <c r="Q414">
        <f t="shared" ref="Q414:Q416" ca="1" si="559">H414*L414</f>
        <v>885</v>
      </c>
      <c r="R414" t="str">
        <f>VLOOKUP(F414,Control!$B:$C,2,FALSE)</f>
        <v>Futures</v>
      </c>
      <c r="S414" t="str">
        <f>VLOOKUP(F414,Control!$B:$D,3,FALSE)</f>
        <v>WTI Sprds</v>
      </c>
      <c r="T414" s="38">
        <f t="shared" ref="T414:T416" si="560">YEAR(I414)</f>
        <v>2026</v>
      </c>
      <c r="U414" t="str">
        <f t="shared" ref="U414:U416" si="561">IFERROR(IF(H414&gt;0,"Buy","Sell"),"")</f>
        <v>Buy</v>
      </c>
      <c r="V414" s="240" t="s">
        <v>96</v>
      </c>
      <c r="W414" t="str">
        <f>_xlfn.XLOOKUP(Table3[[#This Row],[Instrument]],Control!$B$2:$B$19,Control!$E$2:$E$19)</f>
        <v>WTI</v>
      </c>
      <c r="X414" s="14">
        <f>Table3[[#This Row],[Month1]]</f>
        <v>46142</v>
      </c>
      <c r="Y414" s="350">
        <f>Table3[[#This Row],[Quantity]]</f>
        <v>1500</v>
      </c>
      <c r="Z414" t="str">
        <f>_xlfn.XLOOKUP(Table3[[#This Row],[Instrument]],Control!$B$2:$B$19,Control!$F$2:$F$19)</f>
        <v>WTI</v>
      </c>
      <c r="AA414" s="14">
        <f>Table3[[#This Row],[Month2]]</f>
        <v>46173</v>
      </c>
      <c r="AB414" s="350">
        <f t="shared" ref="AB414:AB416" si="562">-Y414</f>
        <v>-1500</v>
      </c>
    </row>
    <row r="415" spans="4:28" ht="15" hidden="1" thickBot="1" x14ac:dyDescent="0.4">
      <c r="D415" s="239" t="s">
        <v>1738</v>
      </c>
      <c r="E415" s="174">
        <v>46098</v>
      </c>
      <c r="F415" s="10" t="s">
        <v>3</v>
      </c>
      <c r="G415" s="4" t="s">
        <v>128</v>
      </c>
      <c r="H415" s="253">
        <v>1500</v>
      </c>
      <c r="I415" s="172">
        <f>J414</f>
        <v>46173</v>
      </c>
      <c r="J415" s="172">
        <f>EOMONTH(Table3[[#This Row],[Month1]],1)</f>
        <v>46203</v>
      </c>
      <c r="K415" s="212">
        <v>3.89</v>
      </c>
      <c r="L415" s="7">
        <f ca="1">IF(OR(S415="WTI Sprds",S415="Brent Sprds",S415="WTI-Brent",S415="DFL"),INDEX(INDIRECT("'" &amp; S415 &amp; "'!$A$6:$XFD$1048576"),MATCH('PnL26'!$P$1,INDIRECT("'" &amp; S415 &amp; "'!$A$6:$A$1048576"),0),MATCH(EOMONTH(I415,0),INDIRECT("'" &amp; S415 &amp; "'!$A$4:$XFD$4"),0)),INDEX(BBG!$A:$BA,MATCH('PnL26'!$P$1,BBG!$A:$A,0),MATCH($I415,BBG!$A$4:$BA$4,0))-INDEX(BBG!$A:$BA,MATCH('PnL26'!$P$1,BBG!$A:$A,0),MATCH($J415,BBG!$A$4:$BA$4,0)))</f>
        <v>2.19</v>
      </c>
      <c r="M415" s="9">
        <f t="shared" ca="1" si="555"/>
        <v>-2550.0000000000005</v>
      </c>
      <c r="N415">
        <f t="shared" si="556"/>
        <v>5835</v>
      </c>
      <c r="O415" s="14" t="str">
        <f t="shared" si="557"/>
        <v>May/Jun 26</v>
      </c>
      <c r="P415" s="8" t="str">
        <f t="shared" si="558"/>
        <v>Buy</v>
      </c>
      <c r="Q415">
        <f t="shared" ca="1" si="559"/>
        <v>3285</v>
      </c>
      <c r="R415" t="str">
        <f>VLOOKUP(F415,Control!$B:$C,2,FALSE)</f>
        <v>Futures</v>
      </c>
      <c r="S415" t="str">
        <f>VLOOKUP(F415,Control!$B:$D,3,FALSE)</f>
        <v>WTI Sprds</v>
      </c>
      <c r="T415" s="38">
        <f t="shared" si="560"/>
        <v>2026</v>
      </c>
      <c r="U415" t="str">
        <f t="shared" si="561"/>
        <v>Buy</v>
      </c>
      <c r="V415" s="240" t="s">
        <v>96</v>
      </c>
      <c r="W415" t="str">
        <f>_xlfn.XLOOKUP(Table3[[#This Row],[Instrument]],Control!$B$2:$B$19,Control!$E$2:$E$19)</f>
        <v>WTI</v>
      </c>
      <c r="X415" s="14">
        <f>Table3[[#This Row],[Month1]]</f>
        <v>46173</v>
      </c>
      <c r="Y415" s="350">
        <f>Table3[[#This Row],[Quantity]]</f>
        <v>1500</v>
      </c>
      <c r="Z415" t="str">
        <f>_xlfn.XLOOKUP(Table3[[#This Row],[Instrument]],Control!$B$2:$B$19,Control!$F$2:$F$19)</f>
        <v>WTI</v>
      </c>
      <c r="AA415" s="14">
        <f>Table3[[#This Row],[Month2]]</f>
        <v>46203</v>
      </c>
      <c r="AB415" s="350">
        <f t="shared" si="562"/>
        <v>-1500</v>
      </c>
    </row>
    <row r="416" spans="4:28" ht="15" hidden="1" thickBot="1" x14ac:dyDescent="0.4">
      <c r="D416" s="239" t="s">
        <v>1738</v>
      </c>
      <c r="E416" s="174">
        <v>46098</v>
      </c>
      <c r="F416" s="10" t="s">
        <v>10</v>
      </c>
      <c r="G416" s="4" t="s">
        <v>128</v>
      </c>
      <c r="H416" s="253">
        <v>1500</v>
      </c>
      <c r="I416" s="172">
        <f>J415</f>
        <v>46203</v>
      </c>
      <c r="J416" s="172">
        <f>Table3[[#This Row],[Month1]]</f>
        <v>46203</v>
      </c>
      <c r="K416" s="212">
        <v>-7.8</v>
      </c>
      <c r="L416" s="7">
        <f ca="1">IF(OR(S416="WTI Sprds",S416="Brent Sprds",S416="WTI-Brent",S416="DFL"),INDEX(INDIRECT("'" &amp; S416 &amp; "'!$A$6:$XFD$1048576"),MATCH('PnL26'!$P$1,INDIRECT("'" &amp; S416 &amp; "'!$A$6:$A$1048576"),0),MATCH(EOMONTH(I416,0),INDIRECT("'" &amp; S416 &amp; "'!$A$4:$XFD$4"),0)),INDEX(BBG!$A:$BA,MATCH('PnL26'!$P$1,BBG!$A:$A,0),MATCH($I416,BBG!$A$4:$BA$4,0))-INDEX(BBG!$A:$BA,MATCH('PnL26'!$P$1,BBG!$A:$A,0),MATCH($J416,BBG!$A$4:$BA$4,0)))</f>
        <v>-8.94</v>
      </c>
      <c r="M416" s="9">
        <f t="shared" ca="1" si="555"/>
        <v>-1709.9999999999995</v>
      </c>
      <c r="N416">
        <f t="shared" si="556"/>
        <v>-11700</v>
      </c>
      <c r="O416" s="14" t="str">
        <f t="shared" si="557"/>
        <v>Jun 26</v>
      </c>
      <c r="P416" s="8" t="str">
        <f t="shared" si="558"/>
        <v>Buy</v>
      </c>
      <c r="Q416">
        <f t="shared" ca="1" si="559"/>
        <v>-13410</v>
      </c>
      <c r="R416" t="str">
        <f>VLOOKUP(F416,Control!$B:$C,2,FALSE)</f>
        <v>Swaps</v>
      </c>
      <c r="S416" t="str">
        <f>VLOOKUP(F416,Control!$B:$D,3,FALSE)</f>
        <v>WTI-Brent</v>
      </c>
      <c r="T416" s="38">
        <f t="shared" si="560"/>
        <v>2026</v>
      </c>
      <c r="U416" t="str">
        <f t="shared" si="561"/>
        <v>Buy</v>
      </c>
      <c r="V416" s="240" t="s">
        <v>96</v>
      </c>
      <c r="W416" t="str">
        <f>_xlfn.XLOOKUP(Table3[[#This Row],[Instrument]],Control!$B$2:$B$19,Control!$E$2:$E$19)</f>
        <v>WTI</v>
      </c>
      <c r="X416" s="14">
        <f>Table3[[#This Row],[Month1]]</f>
        <v>46203</v>
      </c>
      <c r="Y416" s="350">
        <f>Table3[[#This Row],[Quantity]]</f>
        <v>1500</v>
      </c>
      <c r="Z416" t="str">
        <f>_xlfn.XLOOKUP(Table3[[#This Row],[Instrument]],Control!$B$2:$B$19,Control!$F$2:$F$19)</f>
        <v>Brent</v>
      </c>
      <c r="AA416" s="14">
        <f>Table3[[#This Row],[Month2]]</f>
        <v>46203</v>
      </c>
      <c r="AB416" s="350">
        <f t="shared" si="562"/>
        <v>-1500</v>
      </c>
    </row>
    <row r="417" spans="4:28" ht="15" hidden="1" thickBot="1" x14ac:dyDescent="0.4">
      <c r="D417" s="239" t="s">
        <v>1738</v>
      </c>
      <c r="E417" s="174">
        <v>46098</v>
      </c>
      <c r="F417" s="10" t="s">
        <v>3</v>
      </c>
      <c r="G417" s="4" t="s">
        <v>128</v>
      </c>
      <c r="H417" s="253">
        <v>600</v>
      </c>
      <c r="I417" s="172">
        <v>46142</v>
      </c>
      <c r="J417" s="172">
        <v>46173</v>
      </c>
      <c r="K417" s="212">
        <v>0.68</v>
      </c>
      <c r="L417" s="7">
        <f ca="1">IF(OR(S417="WTI Sprds",S417="Brent Sprds",S417="WTI-Brent",S417="DFL"),INDEX(INDIRECT("'" &amp; S417 &amp; "'!$A$6:$XFD$1048576"),MATCH('PnL26'!$P$1,INDIRECT("'" &amp; S417 &amp; "'!$A$6:$A$1048576"),0),MATCH(EOMONTH(I417,0),INDIRECT("'" &amp; S417 &amp; "'!$A$4:$XFD$4"),0)),INDEX(BBG!$A:$BA,MATCH('PnL26'!$P$1,BBG!$A:$A,0),MATCH($I417,BBG!$A$4:$BA$4,0))-INDEX(BBG!$A:$BA,MATCH('PnL26'!$P$1,BBG!$A:$A,0),MATCH($J417,BBG!$A$4:$BA$4,0)))</f>
        <v>0.59</v>
      </c>
      <c r="M417" s="9">
        <f t="shared" ref="M417:M421" ca="1" si="563">IFERROR((L417-K417)*H417,"")</f>
        <v>-54.00000000000005</v>
      </c>
      <c r="N417">
        <f t="shared" ref="N417:N421" si="564">H417*K417</f>
        <v>408.00000000000006</v>
      </c>
      <c r="O417" s="14" t="str">
        <f t="shared" ref="O417:O421" si="565">IF(I417=J417,TEXT(I417,"MMM YY"),TEXT(I417,"MMM")&amp;"/"&amp;TEXT(J417,"MMM")&amp;" "&amp;RIGHT(T417,2))</f>
        <v>Apr/May 26</v>
      </c>
      <c r="P417" s="8" t="str">
        <f t="shared" ref="P417:P421" si="566">IF(H417&lt;0,"Sell","Buy")</f>
        <v>Buy</v>
      </c>
      <c r="Q417">
        <f t="shared" ref="Q417:Q421" ca="1" si="567">H417*L417</f>
        <v>354</v>
      </c>
      <c r="R417" t="str">
        <f>VLOOKUP(F417,Control!$B:$C,2,FALSE)</f>
        <v>Futures</v>
      </c>
      <c r="S417" t="str">
        <f>VLOOKUP(F417,Control!$B:$D,3,FALSE)</f>
        <v>WTI Sprds</v>
      </c>
      <c r="T417" s="38">
        <f t="shared" ref="T417:T421" si="568">YEAR(I417)</f>
        <v>2026</v>
      </c>
      <c r="U417" t="str">
        <f t="shared" ref="U417:U421" si="569">IFERROR(IF(H417&gt;0,"Buy","Sell"),"")</f>
        <v>Buy</v>
      </c>
      <c r="V417" s="240" t="s">
        <v>96</v>
      </c>
      <c r="W417" t="str">
        <f>_xlfn.XLOOKUP(Table3[[#This Row],[Instrument]],Control!$B$2:$B$19,Control!$E$2:$E$19)</f>
        <v>WTI</v>
      </c>
      <c r="X417" s="14">
        <f>Table3[[#This Row],[Month1]]</f>
        <v>46142</v>
      </c>
      <c r="Y417" s="350">
        <f>Table3[[#This Row],[Quantity]]</f>
        <v>600</v>
      </c>
      <c r="Z417" t="str">
        <f>_xlfn.XLOOKUP(Table3[[#This Row],[Instrument]],Control!$B$2:$B$19,Control!$F$2:$F$19)</f>
        <v>WTI</v>
      </c>
      <c r="AA417" s="14">
        <f>Table3[[#This Row],[Month2]]</f>
        <v>46173</v>
      </c>
      <c r="AB417" s="350">
        <f t="shared" ref="AB417:AB421" si="570">-Y417</f>
        <v>-600</v>
      </c>
    </row>
    <row r="418" spans="4:28" ht="15" hidden="1" thickBot="1" x14ac:dyDescent="0.4">
      <c r="D418" s="239" t="s">
        <v>1738</v>
      </c>
      <c r="E418" s="174">
        <v>46098</v>
      </c>
      <c r="F418" s="10" t="s">
        <v>3</v>
      </c>
      <c r="G418" s="4" t="s">
        <v>128</v>
      </c>
      <c r="H418" s="253">
        <v>600</v>
      </c>
      <c r="I418" s="172">
        <f>J417</f>
        <v>46173</v>
      </c>
      <c r="J418" s="172">
        <f>EOMONTH(Table3[[#This Row],[Month1]],1)</f>
        <v>46203</v>
      </c>
      <c r="K418" s="212">
        <v>3.89</v>
      </c>
      <c r="L418" s="7">
        <f ca="1">IF(OR(S418="WTI Sprds",S418="Brent Sprds",S418="WTI-Brent",S418="DFL"),INDEX(INDIRECT("'" &amp; S418 &amp; "'!$A$6:$XFD$1048576"),MATCH('PnL26'!$P$1,INDIRECT("'" &amp; S418 &amp; "'!$A$6:$A$1048576"),0),MATCH(EOMONTH(I418,0),INDIRECT("'" &amp; S418 &amp; "'!$A$4:$XFD$4"),0)),INDEX(BBG!$A:$BA,MATCH('PnL26'!$P$1,BBG!$A:$A,0),MATCH($I418,BBG!$A$4:$BA$4,0))-INDEX(BBG!$A:$BA,MATCH('PnL26'!$P$1,BBG!$A:$A,0),MATCH($J418,BBG!$A$4:$BA$4,0)))</f>
        <v>2.19</v>
      </c>
      <c r="M418" s="9">
        <f t="shared" ca="1" si="563"/>
        <v>-1020.0000000000001</v>
      </c>
      <c r="N418">
        <f t="shared" si="564"/>
        <v>2334</v>
      </c>
      <c r="O418" s="14" t="str">
        <f t="shared" si="565"/>
        <v>May/Jun 26</v>
      </c>
      <c r="P418" s="8" t="str">
        <f t="shared" si="566"/>
        <v>Buy</v>
      </c>
      <c r="Q418">
        <f t="shared" ca="1" si="567"/>
        <v>1314</v>
      </c>
      <c r="R418" t="str">
        <f>VLOOKUP(F418,Control!$B:$C,2,FALSE)</f>
        <v>Futures</v>
      </c>
      <c r="S418" t="str">
        <f>VLOOKUP(F418,Control!$B:$D,3,FALSE)</f>
        <v>WTI Sprds</v>
      </c>
      <c r="T418" s="38">
        <f t="shared" si="568"/>
        <v>2026</v>
      </c>
      <c r="U418" t="str">
        <f t="shared" si="569"/>
        <v>Buy</v>
      </c>
      <c r="V418" s="240" t="s">
        <v>96</v>
      </c>
      <c r="W418" t="str">
        <f>_xlfn.XLOOKUP(Table3[[#This Row],[Instrument]],Control!$B$2:$B$19,Control!$E$2:$E$19)</f>
        <v>WTI</v>
      </c>
      <c r="X418" s="14">
        <f>Table3[[#This Row],[Month1]]</f>
        <v>46173</v>
      </c>
      <c r="Y418" s="350">
        <f>Table3[[#This Row],[Quantity]]</f>
        <v>600</v>
      </c>
      <c r="Z418" t="str">
        <f>_xlfn.XLOOKUP(Table3[[#This Row],[Instrument]],Control!$B$2:$B$19,Control!$F$2:$F$19)</f>
        <v>WTI</v>
      </c>
      <c r="AA418" s="14">
        <f>Table3[[#This Row],[Month2]]</f>
        <v>46203</v>
      </c>
      <c r="AB418" s="350">
        <f t="shared" si="570"/>
        <v>-600</v>
      </c>
    </row>
    <row r="419" spans="4:28" ht="15" hidden="1" thickBot="1" x14ac:dyDescent="0.4">
      <c r="D419" s="239" t="s">
        <v>1738</v>
      </c>
      <c r="E419" s="174">
        <v>46098</v>
      </c>
      <c r="F419" s="10" t="s">
        <v>10</v>
      </c>
      <c r="G419" s="4" t="s">
        <v>128</v>
      </c>
      <c r="H419" s="253">
        <v>600</v>
      </c>
      <c r="I419" s="172">
        <f>J418</f>
        <v>46203</v>
      </c>
      <c r="J419" s="172">
        <f>Table3[[#This Row],[Month1]]</f>
        <v>46203</v>
      </c>
      <c r="K419" s="212">
        <v>-7.75</v>
      </c>
      <c r="L419" s="7">
        <f ca="1">IF(OR(S419="WTI Sprds",S419="Brent Sprds",S419="WTI-Brent",S419="DFL"),INDEX(INDIRECT("'" &amp; S419 &amp; "'!$A$6:$XFD$1048576"),MATCH('PnL26'!$P$1,INDIRECT("'" &amp; S419 &amp; "'!$A$6:$A$1048576"),0),MATCH(EOMONTH(I419,0),INDIRECT("'" &amp; S419 &amp; "'!$A$4:$XFD$4"),0)),INDEX(BBG!$A:$BA,MATCH('PnL26'!$P$1,BBG!$A:$A,0),MATCH($I419,BBG!$A$4:$BA$4,0))-INDEX(BBG!$A:$BA,MATCH('PnL26'!$P$1,BBG!$A:$A,0),MATCH($J419,BBG!$A$4:$BA$4,0)))</f>
        <v>-8.94</v>
      </c>
      <c r="M419" s="9">
        <f t="shared" ca="1" si="563"/>
        <v>-713.99999999999966</v>
      </c>
      <c r="N419">
        <f t="shared" si="564"/>
        <v>-4650</v>
      </c>
      <c r="O419" s="14" t="str">
        <f t="shared" si="565"/>
        <v>Jun 26</v>
      </c>
      <c r="P419" s="8" t="str">
        <f t="shared" si="566"/>
        <v>Buy</v>
      </c>
      <c r="Q419">
        <f t="shared" ca="1" si="567"/>
        <v>-5364</v>
      </c>
      <c r="R419" t="str">
        <f>VLOOKUP(F419,Control!$B:$C,2,FALSE)</f>
        <v>Swaps</v>
      </c>
      <c r="S419" t="str">
        <f>VLOOKUP(F419,Control!$B:$D,3,FALSE)</f>
        <v>WTI-Brent</v>
      </c>
      <c r="T419" s="38">
        <f t="shared" si="568"/>
        <v>2026</v>
      </c>
      <c r="U419" t="str">
        <f t="shared" si="569"/>
        <v>Buy</v>
      </c>
      <c r="V419" s="240" t="s">
        <v>96</v>
      </c>
      <c r="W419" t="str">
        <f>_xlfn.XLOOKUP(Table3[[#This Row],[Instrument]],Control!$B$2:$B$19,Control!$E$2:$E$19)</f>
        <v>WTI</v>
      </c>
      <c r="X419" s="14">
        <f>Table3[[#This Row],[Month1]]</f>
        <v>46203</v>
      </c>
      <c r="Y419" s="350">
        <f>Table3[[#This Row],[Quantity]]</f>
        <v>600</v>
      </c>
      <c r="Z419" t="str">
        <f>_xlfn.XLOOKUP(Table3[[#This Row],[Instrument]],Control!$B$2:$B$19,Control!$F$2:$F$19)</f>
        <v>Brent</v>
      </c>
      <c r="AA419" s="14">
        <f>Table3[[#This Row],[Month2]]</f>
        <v>46203</v>
      </c>
      <c r="AB419" s="350">
        <f t="shared" si="570"/>
        <v>-600</v>
      </c>
    </row>
    <row r="420" spans="4:28" ht="15" hidden="1" thickBot="1" x14ac:dyDescent="0.4">
      <c r="D420" s="239" t="s">
        <v>1738</v>
      </c>
      <c r="E420" s="174">
        <v>46098</v>
      </c>
      <c r="F420" s="10" t="s">
        <v>7</v>
      </c>
      <c r="G420" s="4" t="s">
        <v>128</v>
      </c>
      <c r="H420" s="253">
        <v>1000</v>
      </c>
      <c r="I420" s="172">
        <f>J419</f>
        <v>46203</v>
      </c>
      <c r="J420" s="172">
        <v>46234</v>
      </c>
      <c r="K420" s="212">
        <v>4.25</v>
      </c>
      <c r="L420" s="7">
        <f ca="1">IF(OR(S420="WTI Sprds",S420="Brent Sprds",S420="WTI-Brent",S420="DFL"),INDEX(INDIRECT("'" &amp; S420 &amp; "'!$A$6:$XFD$1048576"),MATCH('PnL26'!$P$1,INDIRECT("'" &amp; S420 &amp; "'!$A$6:$A$1048576"),0),MATCH(EOMONTH(I420,0),INDIRECT("'" &amp; S420 &amp; "'!$A$4:$XFD$4"),0)),INDEX(BBG!$A:$BA,MATCH('PnL26'!$P$1,BBG!$A:$A,0),MATCH($I420,BBG!$A$4:$BA$4,0))-INDEX(BBG!$A:$BA,MATCH('PnL26'!$P$1,BBG!$A:$A,0),MATCH($J420,BBG!$A$4:$BA$4,0)))</f>
        <v>3.61</v>
      </c>
      <c r="M420" s="9">
        <f t="shared" ca="1" si="563"/>
        <v>-640.00000000000011</v>
      </c>
      <c r="N420">
        <f t="shared" si="564"/>
        <v>4250</v>
      </c>
      <c r="O420" s="14" t="str">
        <f t="shared" si="565"/>
        <v>Jun/Jul 26</v>
      </c>
      <c r="P420" s="8" t="str">
        <f t="shared" si="566"/>
        <v>Buy</v>
      </c>
      <c r="Q420">
        <f t="shared" ca="1" si="567"/>
        <v>3610</v>
      </c>
      <c r="R420" t="str">
        <f>VLOOKUP(F420,Control!$B:$C,2,FALSE)</f>
        <v>Futures</v>
      </c>
      <c r="S420" t="str">
        <f>VLOOKUP(F420,Control!$B:$D,3,FALSE)</f>
        <v>Brent Sprds</v>
      </c>
      <c r="T420" s="38">
        <f t="shared" si="568"/>
        <v>2026</v>
      </c>
      <c r="U420" t="str">
        <f t="shared" si="569"/>
        <v>Buy</v>
      </c>
      <c r="V420" s="240" t="s">
        <v>96</v>
      </c>
      <c r="W420" t="str">
        <f>_xlfn.XLOOKUP(Table3[[#This Row],[Instrument]],Control!$B$2:$B$19,Control!$E$2:$E$19)</f>
        <v>Brent</v>
      </c>
      <c r="X420" s="14">
        <f>Table3[[#This Row],[Month1]]</f>
        <v>46203</v>
      </c>
      <c r="Y420" s="350">
        <f>Table3[[#This Row],[Quantity]]</f>
        <v>1000</v>
      </c>
      <c r="Z420" t="str">
        <f>_xlfn.XLOOKUP(Table3[[#This Row],[Instrument]],Control!$B$2:$B$19,Control!$F$2:$F$19)</f>
        <v>Brent</v>
      </c>
      <c r="AA420" s="14">
        <f>Table3[[#This Row],[Month2]]</f>
        <v>46234</v>
      </c>
      <c r="AB420" s="350">
        <f t="shared" si="570"/>
        <v>-1000</v>
      </c>
    </row>
    <row r="421" spans="4:28" ht="15" hidden="1" thickBot="1" x14ac:dyDescent="0.4">
      <c r="D421" t="s">
        <v>1738</v>
      </c>
      <c r="E421" s="174">
        <v>46098</v>
      </c>
      <c r="F421" s="10" t="s">
        <v>15</v>
      </c>
      <c r="G421" s="4" t="s">
        <v>128</v>
      </c>
      <c r="H421" s="253">
        <v>-1000</v>
      </c>
      <c r="I421" s="173">
        <v>46173</v>
      </c>
      <c r="J421" s="173">
        <v>46173</v>
      </c>
      <c r="K421" s="100">
        <v>4.0999999999999996</v>
      </c>
      <c r="L421" s="192">
        <f>VLOOKUP($I421,'PnL26'!$E$7:$F$59,2,FALSE)</f>
        <v>3.68</v>
      </c>
      <c r="M421" s="9">
        <f t="shared" si="563"/>
        <v>419.99999999999949</v>
      </c>
      <c r="N421">
        <f t="shared" si="564"/>
        <v>-4100</v>
      </c>
      <c r="O421" s="14" t="str">
        <f t="shared" si="565"/>
        <v>May 26</v>
      </c>
      <c r="P421" s="8" t="str">
        <f t="shared" si="566"/>
        <v>Sell</v>
      </c>
      <c r="Q421">
        <f t="shared" si="567"/>
        <v>-3680</v>
      </c>
      <c r="R421" s="38" t="str">
        <f>VLOOKUP(F421,Control!$B:$C,2,FALSE)</f>
        <v>Swaps</v>
      </c>
      <c r="S421" s="38" t="str">
        <f>VLOOKUP(F421,Control!$B:$D,3,FALSE)</f>
        <v>Dated</v>
      </c>
      <c r="T421" s="38">
        <f t="shared" si="568"/>
        <v>2026</v>
      </c>
      <c r="U421" t="str">
        <f t="shared" si="569"/>
        <v>Sell</v>
      </c>
      <c r="V421" t="s">
        <v>96</v>
      </c>
      <c r="W421" t="e">
        <f>_xlfn.XLOOKUP(Table3[[#This Row],[Instrument]],Control!$B$2:$B$19,Control!$E$2:$E$19)</f>
        <v>#N/A</v>
      </c>
      <c r="X421" s="14">
        <f>Table3[[#This Row],[Month1]]</f>
        <v>46173</v>
      </c>
      <c r="Y421" s="350">
        <f>Table3[[#This Row],[Quantity]]</f>
        <v>-1000</v>
      </c>
      <c r="Z421" t="e">
        <f>_xlfn.XLOOKUP(Table3[[#This Row],[Instrument]],Control!$B$2:$B$19,Control!$F$2:$F$19)</f>
        <v>#N/A</v>
      </c>
      <c r="AA421" s="14">
        <f>Table3[[#This Row],[Month2]]</f>
        <v>46173</v>
      </c>
      <c r="AB421" s="350">
        <f t="shared" si="570"/>
        <v>1000</v>
      </c>
    </row>
    <row r="422" spans="4:28" ht="15" hidden="1" thickBot="1" x14ac:dyDescent="0.4">
      <c r="D422" s="239" t="s">
        <v>127</v>
      </c>
      <c r="E422" s="174">
        <v>46098</v>
      </c>
      <c r="F422" s="10" t="s">
        <v>3</v>
      </c>
      <c r="G422" s="4" t="s">
        <v>128</v>
      </c>
      <c r="H422" s="253">
        <v>108</v>
      </c>
      <c r="I422" s="172">
        <v>46142</v>
      </c>
      <c r="J422" s="172">
        <v>46173</v>
      </c>
      <c r="K422" s="212">
        <v>0.68</v>
      </c>
      <c r="L422" s="7">
        <f ca="1">IF(OR(S422="WTI Sprds",S422="Brent Sprds",S422="WTI-Brent",S422="DFL"),INDEX(INDIRECT("'" &amp; S422 &amp; "'!$A$6:$XFD$1048576"),MATCH('PnL26'!$P$1,INDIRECT("'" &amp; S422 &amp; "'!$A$6:$A$1048576"),0),MATCH(EOMONTH(I422,0),INDIRECT("'" &amp; S422 &amp; "'!$A$4:$XFD$4"),0)),INDEX(BBG!$A:$BA,MATCH('PnL26'!$P$1,BBG!$A:$A,0),MATCH($I422,BBG!$A$4:$BA$4,0))-INDEX(BBG!$A:$BA,MATCH('PnL26'!$P$1,BBG!$A:$A,0),MATCH($J422,BBG!$A$4:$BA$4,0)))</f>
        <v>0.59</v>
      </c>
      <c r="M422" s="9">
        <f t="shared" ref="M422:M423" ca="1" si="571">IFERROR((L422-K422)*H422,"")</f>
        <v>-9.7200000000000095</v>
      </c>
      <c r="N422">
        <f t="shared" ref="N422:N423" si="572">H422*K422</f>
        <v>73.440000000000012</v>
      </c>
      <c r="O422" s="14" t="str">
        <f t="shared" ref="O422:O423" si="573">IF(I422=J422,TEXT(I422,"MMM YY"),TEXT(I422,"MMM")&amp;"/"&amp;TEXT(J422,"MMM")&amp;" "&amp;RIGHT(T422,2))</f>
        <v>Apr/May 26</v>
      </c>
      <c r="P422" s="8" t="str">
        <f t="shared" ref="P422:P423" si="574">IF(H422&lt;0,"Sell","Buy")</f>
        <v>Buy</v>
      </c>
      <c r="Q422">
        <f t="shared" ref="Q422:Q423" ca="1" si="575">H422*L422</f>
        <v>63.72</v>
      </c>
      <c r="R422" t="str">
        <f>VLOOKUP(F422,Control!$B:$C,2,FALSE)</f>
        <v>Futures</v>
      </c>
      <c r="S422" t="str">
        <f>VLOOKUP(F422,Control!$B:$D,3,FALSE)</f>
        <v>WTI Sprds</v>
      </c>
      <c r="T422" s="38">
        <f t="shared" ref="T422:T423" si="576">YEAR(I422)</f>
        <v>2026</v>
      </c>
      <c r="U422" t="str">
        <f t="shared" ref="U422:U423" si="577">IFERROR(IF(H422&gt;0,"Buy","Sell"),"")</f>
        <v>Buy</v>
      </c>
      <c r="V422" s="240" t="s">
        <v>96</v>
      </c>
      <c r="W422" t="str">
        <f>_xlfn.XLOOKUP(Table3[[#This Row],[Instrument]],Control!$B$2:$B$19,Control!$E$2:$E$19)</f>
        <v>WTI</v>
      </c>
      <c r="X422" s="14">
        <f>Table3[[#This Row],[Month1]]</f>
        <v>46142</v>
      </c>
      <c r="Y422" s="350">
        <f>Table3[[#This Row],[Quantity]]</f>
        <v>108</v>
      </c>
      <c r="Z422" t="str">
        <f>_xlfn.XLOOKUP(Table3[[#This Row],[Instrument]],Control!$B$2:$B$19,Control!$F$2:$F$19)</f>
        <v>WTI</v>
      </c>
      <c r="AA422" s="14">
        <f>Table3[[#This Row],[Month2]]</f>
        <v>46173</v>
      </c>
      <c r="AB422" s="350">
        <f t="shared" ref="AB422:AB423" si="578">-Y422</f>
        <v>-108</v>
      </c>
    </row>
    <row r="423" spans="4:28" ht="15" hidden="1" thickBot="1" x14ac:dyDescent="0.4">
      <c r="D423" s="239" t="s">
        <v>127</v>
      </c>
      <c r="E423" s="174">
        <v>46098</v>
      </c>
      <c r="F423" s="10" t="s">
        <v>3</v>
      </c>
      <c r="G423" s="4" t="s">
        <v>128</v>
      </c>
      <c r="H423" s="253">
        <v>36</v>
      </c>
      <c r="I423" s="172">
        <f>J422</f>
        <v>46173</v>
      </c>
      <c r="J423" s="172">
        <f>EOMONTH(Table3[[#This Row],[Month1]],1)</f>
        <v>46203</v>
      </c>
      <c r="K423" s="212">
        <v>3.89</v>
      </c>
      <c r="L423" s="7">
        <f ca="1">IF(OR(S423="WTI Sprds",S423="Brent Sprds",S423="WTI-Brent",S423="DFL"),INDEX(INDIRECT("'" &amp; S423 &amp; "'!$A$6:$XFD$1048576"),MATCH('PnL26'!$P$1,INDIRECT("'" &amp; S423 &amp; "'!$A$6:$A$1048576"),0),MATCH(EOMONTH(I423,0),INDIRECT("'" &amp; S423 &amp; "'!$A$4:$XFD$4"),0)),INDEX(BBG!$A:$BA,MATCH('PnL26'!$P$1,BBG!$A:$A,0),MATCH($I423,BBG!$A$4:$BA$4,0))-INDEX(BBG!$A:$BA,MATCH('PnL26'!$P$1,BBG!$A:$A,0),MATCH($J423,BBG!$A$4:$BA$4,0)))</f>
        <v>2.19</v>
      </c>
      <c r="M423" s="9">
        <f t="shared" ca="1" si="571"/>
        <v>-61.2</v>
      </c>
      <c r="N423">
        <f t="shared" si="572"/>
        <v>140.04</v>
      </c>
      <c r="O423" s="14" t="str">
        <f t="shared" si="573"/>
        <v>May/Jun 26</v>
      </c>
      <c r="P423" s="8" t="str">
        <f t="shared" si="574"/>
        <v>Buy</v>
      </c>
      <c r="Q423">
        <f t="shared" ca="1" si="575"/>
        <v>78.84</v>
      </c>
      <c r="R423" t="str">
        <f>VLOOKUP(F423,Control!$B:$C,2,FALSE)</f>
        <v>Futures</v>
      </c>
      <c r="S423" t="str">
        <f>VLOOKUP(F423,Control!$B:$D,3,FALSE)</f>
        <v>WTI Sprds</v>
      </c>
      <c r="T423" s="38">
        <f t="shared" si="576"/>
        <v>2026</v>
      </c>
      <c r="U423" t="str">
        <f t="shared" si="577"/>
        <v>Buy</v>
      </c>
      <c r="V423" s="240" t="s">
        <v>96</v>
      </c>
      <c r="W423" t="str">
        <f>_xlfn.XLOOKUP(Table3[[#This Row],[Instrument]],Control!$B$2:$B$19,Control!$E$2:$E$19)</f>
        <v>WTI</v>
      </c>
      <c r="X423" s="14">
        <f>Table3[[#This Row],[Month1]]</f>
        <v>46173</v>
      </c>
      <c r="Y423" s="350">
        <f>Table3[[#This Row],[Quantity]]</f>
        <v>36</v>
      </c>
      <c r="Z423" t="str">
        <f>_xlfn.XLOOKUP(Table3[[#This Row],[Instrument]],Control!$B$2:$B$19,Control!$F$2:$F$19)</f>
        <v>WTI</v>
      </c>
      <c r="AA423" s="14">
        <f>Table3[[#This Row],[Month2]]</f>
        <v>46203</v>
      </c>
      <c r="AB423" s="350">
        <f t="shared" si="578"/>
        <v>-36</v>
      </c>
    </row>
    <row r="424" spans="4:28" ht="15" hidden="1" thickBot="1" x14ac:dyDescent="0.4">
      <c r="D424" s="239" t="s">
        <v>127</v>
      </c>
      <c r="E424" s="174">
        <v>46098</v>
      </c>
      <c r="F424" s="10" t="s">
        <v>3</v>
      </c>
      <c r="G424" s="4" t="s">
        <v>128</v>
      </c>
      <c r="H424" s="253">
        <v>81</v>
      </c>
      <c r="I424" s="172">
        <v>46142</v>
      </c>
      <c r="J424" s="172">
        <v>46173</v>
      </c>
      <c r="K424" s="212">
        <v>0.68</v>
      </c>
      <c r="L424" s="7">
        <f ca="1">IF(OR(S424="WTI Sprds",S424="Brent Sprds",S424="WTI-Brent",S424="DFL"),INDEX(INDIRECT("'" &amp; S424 &amp; "'!$A$6:$XFD$1048576"),MATCH('PnL26'!$P$1,INDIRECT("'" &amp; S424 &amp; "'!$A$6:$A$1048576"),0),MATCH(EOMONTH(I424,0),INDIRECT("'" &amp; S424 &amp; "'!$A$4:$XFD$4"),0)),INDEX(BBG!$A:$BA,MATCH('PnL26'!$P$1,BBG!$A:$A,0),MATCH($I424,BBG!$A$4:$BA$4,0))-INDEX(BBG!$A:$BA,MATCH('PnL26'!$P$1,BBG!$A:$A,0),MATCH($J424,BBG!$A$4:$BA$4,0)))</f>
        <v>0.59</v>
      </c>
      <c r="M424" s="9">
        <f t="shared" ref="M424:M426" ca="1" si="579">IFERROR((L424-K424)*H424,"")</f>
        <v>-7.2900000000000063</v>
      </c>
      <c r="N424">
        <f t="shared" ref="N424:N426" si="580">H424*K424</f>
        <v>55.080000000000005</v>
      </c>
      <c r="O424" s="14" t="str">
        <f t="shared" ref="O424:O426" si="581">IF(I424=J424,TEXT(I424,"MMM YY"),TEXT(I424,"MMM")&amp;"/"&amp;TEXT(J424,"MMM")&amp;" "&amp;RIGHT(T424,2))</f>
        <v>Apr/May 26</v>
      </c>
      <c r="P424" s="8" t="str">
        <f t="shared" ref="P424:P426" si="582">IF(H424&lt;0,"Sell","Buy")</f>
        <v>Buy</v>
      </c>
      <c r="Q424">
        <f t="shared" ref="Q424:Q426" ca="1" si="583">H424*L424</f>
        <v>47.79</v>
      </c>
      <c r="R424" t="str">
        <f>VLOOKUP(F424,Control!$B:$C,2,FALSE)</f>
        <v>Futures</v>
      </c>
      <c r="S424" t="str">
        <f>VLOOKUP(F424,Control!$B:$D,3,FALSE)</f>
        <v>WTI Sprds</v>
      </c>
      <c r="T424" s="38">
        <f t="shared" ref="T424:T426" si="584">YEAR(I424)</f>
        <v>2026</v>
      </c>
      <c r="U424" t="str">
        <f t="shared" ref="U424:U426" si="585">IFERROR(IF(H424&gt;0,"Buy","Sell"),"")</f>
        <v>Buy</v>
      </c>
      <c r="V424" s="240" t="s">
        <v>96</v>
      </c>
      <c r="W424" t="str">
        <f>_xlfn.XLOOKUP(Table3[[#This Row],[Instrument]],Control!$B$2:$B$19,Control!$E$2:$E$19)</f>
        <v>WTI</v>
      </c>
      <c r="X424" s="14">
        <f>Table3[[#This Row],[Month1]]</f>
        <v>46142</v>
      </c>
      <c r="Y424" s="350">
        <f>Table3[[#This Row],[Quantity]]</f>
        <v>81</v>
      </c>
      <c r="Z424" t="str">
        <f>_xlfn.XLOOKUP(Table3[[#This Row],[Instrument]],Control!$B$2:$B$19,Control!$F$2:$F$19)</f>
        <v>WTI</v>
      </c>
      <c r="AA424" s="14">
        <f>Table3[[#This Row],[Month2]]</f>
        <v>46173</v>
      </c>
      <c r="AB424" s="350">
        <f t="shared" ref="AB424:AB426" si="586">-Y424</f>
        <v>-81</v>
      </c>
    </row>
    <row r="425" spans="4:28" ht="15" hidden="1" thickBot="1" x14ac:dyDescent="0.4">
      <c r="D425" s="239" t="s">
        <v>127</v>
      </c>
      <c r="E425" s="174">
        <v>46098</v>
      </c>
      <c r="F425" s="10" t="s">
        <v>3</v>
      </c>
      <c r="G425" s="4" t="s">
        <v>128</v>
      </c>
      <c r="H425" s="253">
        <v>81</v>
      </c>
      <c r="I425" s="172">
        <f>J424</f>
        <v>46173</v>
      </c>
      <c r="J425" s="172">
        <f>EOMONTH(Table3[[#This Row],[Month1]],1)</f>
        <v>46203</v>
      </c>
      <c r="K425" s="212">
        <f>4.2-0.68</f>
        <v>3.52</v>
      </c>
      <c r="L425" s="7">
        <f ca="1">IF(OR(S425="WTI Sprds",S425="Brent Sprds",S425="WTI-Brent",S425="DFL"),INDEX(INDIRECT("'" &amp; S425 &amp; "'!$A$6:$XFD$1048576"),MATCH('PnL26'!$P$1,INDIRECT("'" &amp; S425 &amp; "'!$A$6:$A$1048576"),0),MATCH(EOMONTH(I425,0),INDIRECT("'" &amp; S425 &amp; "'!$A$4:$XFD$4"),0)),INDEX(BBG!$A:$BA,MATCH('PnL26'!$P$1,BBG!$A:$A,0),MATCH($I425,BBG!$A$4:$BA$4,0))-INDEX(BBG!$A:$BA,MATCH('PnL26'!$P$1,BBG!$A:$A,0),MATCH($J425,BBG!$A$4:$BA$4,0)))</f>
        <v>2.19</v>
      </c>
      <c r="M425" s="9">
        <f t="shared" ca="1" si="579"/>
        <v>-107.73</v>
      </c>
      <c r="N425">
        <f t="shared" si="580"/>
        <v>285.12</v>
      </c>
      <c r="O425" s="14" t="str">
        <f t="shared" si="581"/>
        <v>May/Jun 26</v>
      </c>
      <c r="P425" s="8" t="str">
        <f t="shared" si="582"/>
        <v>Buy</v>
      </c>
      <c r="Q425">
        <f t="shared" ca="1" si="583"/>
        <v>177.39</v>
      </c>
      <c r="R425" t="str">
        <f>VLOOKUP(F425,Control!$B:$C,2,FALSE)</f>
        <v>Futures</v>
      </c>
      <c r="S425" t="str">
        <f>VLOOKUP(F425,Control!$B:$D,3,FALSE)</f>
        <v>WTI Sprds</v>
      </c>
      <c r="T425" s="38">
        <f t="shared" si="584"/>
        <v>2026</v>
      </c>
      <c r="U425" t="str">
        <f t="shared" si="585"/>
        <v>Buy</v>
      </c>
      <c r="V425" s="240" t="s">
        <v>96</v>
      </c>
      <c r="W425" t="str">
        <f>_xlfn.XLOOKUP(Table3[[#This Row],[Instrument]],Control!$B$2:$B$19,Control!$E$2:$E$19)</f>
        <v>WTI</v>
      </c>
      <c r="X425" s="14">
        <f>Table3[[#This Row],[Month1]]</f>
        <v>46173</v>
      </c>
      <c r="Y425" s="350">
        <f>Table3[[#This Row],[Quantity]]</f>
        <v>81</v>
      </c>
      <c r="Z425" t="str">
        <f>_xlfn.XLOOKUP(Table3[[#This Row],[Instrument]],Control!$B$2:$B$19,Control!$F$2:$F$19)</f>
        <v>WTI</v>
      </c>
      <c r="AA425" s="14">
        <f>Table3[[#This Row],[Month2]]</f>
        <v>46203</v>
      </c>
      <c r="AB425" s="350">
        <f t="shared" si="586"/>
        <v>-81</v>
      </c>
    </row>
    <row r="426" spans="4:28" ht="15" hidden="1" thickBot="1" x14ac:dyDescent="0.4">
      <c r="D426" s="239" t="s">
        <v>127</v>
      </c>
      <c r="E426" s="174">
        <v>46099</v>
      </c>
      <c r="F426" s="10" t="s">
        <v>10</v>
      </c>
      <c r="G426" s="4" t="s">
        <v>128</v>
      </c>
      <c r="H426" s="253">
        <v>300</v>
      </c>
      <c r="I426" s="172">
        <v>46173</v>
      </c>
      <c r="J426" s="172">
        <v>46173</v>
      </c>
      <c r="K426" s="212">
        <v>-11.92</v>
      </c>
      <c r="L426" s="7">
        <f ca="1">IF(OR(S426="WTI Sprds",S426="Brent Sprds",S426="WTI-Brent",S426="DFL"),INDEX(INDIRECT("'" &amp; S426 &amp; "'!$A$6:$XFD$1048576"),MATCH('PnL26'!$P$1,INDIRECT("'" &amp; S426 &amp; "'!$A$6:$A$1048576"),0),MATCH(EOMONTH(I426,0),INDIRECT("'" &amp; S426 &amp; "'!$A$4:$XFD$4"),0)),INDEX(BBG!$A:$BA,MATCH('PnL26'!$P$1,BBG!$A:$A,0),MATCH($I426,BBG!$A$4:$BA$4,0))-INDEX(BBG!$A:$BA,MATCH('PnL26'!$P$1,BBG!$A:$A,0),MATCH($J426,BBG!$A$4:$BA$4,0)))</f>
        <v>-16.97</v>
      </c>
      <c r="M426" s="9">
        <f t="shared" ca="1" si="579"/>
        <v>-1514.9999999999998</v>
      </c>
      <c r="N426">
        <f t="shared" si="580"/>
        <v>-3576</v>
      </c>
      <c r="O426" s="14" t="str">
        <f t="shared" si="581"/>
        <v>May 26</v>
      </c>
      <c r="P426" s="8" t="str">
        <f t="shared" si="582"/>
        <v>Buy</v>
      </c>
      <c r="Q426">
        <f t="shared" ca="1" si="583"/>
        <v>-5091</v>
      </c>
      <c r="R426" t="str">
        <f>VLOOKUP(F426,Control!$B:$C,2,FALSE)</f>
        <v>Swaps</v>
      </c>
      <c r="S426" t="str">
        <f>VLOOKUP(F426,Control!$B:$D,3,FALSE)</f>
        <v>WTI-Brent</v>
      </c>
      <c r="T426" s="38">
        <f t="shared" si="584"/>
        <v>2026</v>
      </c>
      <c r="U426" t="str">
        <f t="shared" si="585"/>
        <v>Buy</v>
      </c>
      <c r="V426" s="240" t="s">
        <v>96</v>
      </c>
      <c r="W426" t="str">
        <f>_xlfn.XLOOKUP(Table3[[#This Row],[Instrument]],Control!$B$2:$B$19,Control!$E$2:$E$19)</f>
        <v>WTI</v>
      </c>
      <c r="X426" s="14">
        <f>Table3[[#This Row],[Month1]]</f>
        <v>46173</v>
      </c>
      <c r="Y426" s="350">
        <f>Table3[[#This Row],[Quantity]]</f>
        <v>300</v>
      </c>
      <c r="Z426" t="str">
        <f>_xlfn.XLOOKUP(Table3[[#This Row],[Instrument]],Control!$B$2:$B$19,Control!$F$2:$F$19)</f>
        <v>Brent</v>
      </c>
      <c r="AA426" s="14">
        <f>Table3[[#This Row],[Month2]]</f>
        <v>46173</v>
      </c>
      <c r="AB426" s="350">
        <f t="shared" si="586"/>
        <v>-300</v>
      </c>
    </row>
    <row r="427" spans="4:28" ht="15" hidden="1" thickBot="1" x14ac:dyDescent="0.4">
      <c r="D427" s="239" t="s">
        <v>127</v>
      </c>
      <c r="E427" s="174">
        <v>46099</v>
      </c>
      <c r="F427" s="10" t="s">
        <v>10</v>
      </c>
      <c r="G427" s="4" t="s">
        <v>128</v>
      </c>
      <c r="H427" s="253">
        <v>-300</v>
      </c>
      <c r="I427" s="172">
        <v>46203</v>
      </c>
      <c r="J427" s="172">
        <v>46203</v>
      </c>
      <c r="K427" s="212">
        <v>-10.49</v>
      </c>
      <c r="L427" s="7">
        <f ca="1">IF(OR(S427="WTI Sprds",S427="Brent Sprds",S427="WTI-Brent",S427="DFL"),INDEX(INDIRECT("'" &amp; S427 &amp; "'!$A$6:$XFD$1048576"),MATCH('PnL26'!$P$1,INDIRECT("'" &amp; S427 &amp; "'!$A$6:$A$1048576"),0),MATCH(EOMONTH(I427,0),INDIRECT("'" &amp; S427 &amp; "'!$A$4:$XFD$4"),0)),INDEX(BBG!$A:$BA,MATCH('PnL26'!$P$1,BBG!$A:$A,0),MATCH($I427,BBG!$A$4:$BA$4,0))-INDEX(BBG!$A:$BA,MATCH('PnL26'!$P$1,BBG!$A:$A,0),MATCH($J427,BBG!$A$4:$BA$4,0)))</f>
        <v>-8.94</v>
      </c>
      <c r="M427" s="9">
        <f t="shared" ref="M427" ca="1" si="587">IFERROR((L427-K427)*H427,"")</f>
        <v>-465.00000000000023</v>
      </c>
      <c r="N427">
        <f t="shared" ref="N427:N432" si="588">H427*K427</f>
        <v>3147</v>
      </c>
      <c r="O427" s="14" t="str">
        <f t="shared" ref="O427:O432" si="589">IF(I427=J427,TEXT(I427,"MMM YY"),TEXT(I427,"MMM")&amp;"/"&amp;TEXT(J427,"MMM")&amp;" "&amp;RIGHT(T427,2))</f>
        <v>Jun 26</v>
      </c>
      <c r="P427" s="8" t="str">
        <f t="shared" ref="P427:P432" si="590">IF(H427&lt;0,"Sell","Buy")</f>
        <v>Sell</v>
      </c>
      <c r="Q427">
        <f t="shared" ref="Q427:Q432" ca="1" si="591">H427*L427</f>
        <v>2682</v>
      </c>
      <c r="R427" t="str">
        <f>VLOOKUP(F427,Control!$B:$C,2,FALSE)</f>
        <v>Swaps</v>
      </c>
      <c r="S427" t="str">
        <f>VLOOKUP(F427,Control!$B:$D,3,FALSE)</f>
        <v>WTI-Brent</v>
      </c>
      <c r="T427" s="38">
        <f t="shared" ref="T427:T432" si="592">YEAR(I427)</f>
        <v>2026</v>
      </c>
      <c r="U427" t="str">
        <f t="shared" ref="U427:U432" si="593">IFERROR(IF(H427&gt;0,"Buy","Sell"),"")</f>
        <v>Sell</v>
      </c>
      <c r="V427" s="240" t="s">
        <v>96</v>
      </c>
      <c r="W427" t="str">
        <f>_xlfn.XLOOKUP(Table3[[#This Row],[Instrument]],Control!$B$2:$B$19,Control!$E$2:$E$19)</f>
        <v>WTI</v>
      </c>
      <c r="X427" s="14">
        <f>Table3[[#This Row],[Month1]]</f>
        <v>46203</v>
      </c>
      <c r="Y427" s="350">
        <f>Table3[[#This Row],[Quantity]]</f>
        <v>-300</v>
      </c>
      <c r="Z427" t="str">
        <f>_xlfn.XLOOKUP(Table3[[#This Row],[Instrument]],Control!$B$2:$B$19,Control!$F$2:$F$19)</f>
        <v>Brent</v>
      </c>
      <c r="AA427" s="14">
        <f>Table3[[#This Row],[Month2]]</f>
        <v>46203</v>
      </c>
      <c r="AB427" s="350">
        <f t="shared" ref="AB427:AB432" si="594">-Y427</f>
        <v>300</v>
      </c>
    </row>
    <row r="428" spans="4:28" ht="15" hidden="1" thickBot="1" x14ac:dyDescent="0.4">
      <c r="D428" t="s">
        <v>1735</v>
      </c>
      <c r="E428" s="174">
        <v>46099</v>
      </c>
      <c r="F428" s="375" t="s">
        <v>36</v>
      </c>
      <c r="G428" s="4" t="s">
        <v>128</v>
      </c>
      <c r="H428" s="253">
        <v>25</v>
      </c>
      <c r="I428" s="172">
        <v>46173</v>
      </c>
      <c r="J428" s="172">
        <v>46173</v>
      </c>
      <c r="K428" s="212">
        <v>58.828000000000003</v>
      </c>
      <c r="L428" s="314">
        <f>VLOOKUP(I428,[2]USG!$O$45:$S100,MATCH("Freight-TD25 $/MT",[2]USG!$O$46:$S$46,0),FALSE)</f>
        <v>55.781550000000003</v>
      </c>
      <c r="M428" s="9">
        <f>-(K428-L428)*Table3[[#This Row],[Quantity]]</f>
        <v>-76.161249999999995</v>
      </c>
      <c r="N428">
        <f t="shared" si="588"/>
        <v>1470.7</v>
      </c>
      <c r="O428" s="14" t="str">
        <f t="shared" si="589"/>
        <v>May 26</v>
      </c>
      <c r="P428" s="8" t="str">
        <f t="shared" si="590"/>
        <v>Buy</v>
      </c>
      <c r="Q428">
        <f t="shared" si="591"/>
        <v>1394.5387500000002</v>
      </c>
      <c r="R428" t="str">
        <f>VLOOKUP(F428,Control!$B:$C,2,FALSE)</f>
        <v>Freight</v>
      </c>
      <c r="S428" t="str">
        <f>VLOOKUP(F428,Control!$B:$D,3,FALSE)</f>
        <v>Freight</v>
      </c>
      <c r="T428" s="38">
        <f t="shared" si="592"/>
        <v>2026</v>
      </c>
      <c r="U428" t="str">
        <f t="shared" si="593"/>
        <v>Buy</v>
      </c>
      <c r="V428" t="s">
        <v>96</v>
      </c>
      <c r="W428" t="e">
        <f>_xlfn.XLOOKUP(Table3[[#This Row],[Instrument]],Control!$B$2:$B$19,Control!$E$2:$E$19)</f>
        <v>#N/A</v>
      </c>
      <c r="X428" s="14">
        <f>Table3[[#This Row],[Month1]]</f>
        <v>46173</v>
      </c>
      <c r="Y428" s="350">
        <f>Table3[[#This Row],[Quantity]]</f>
        <v>25</v>
      </c>
      <c r="Z428" t="e">
        <f>_xlfn.XLOOKUP(Table3[[#This Row],[Instrument]],Control!$B$2:$B$19,Control!$F$2:$F$19)</f>
        <v>#N/A</v>
      </c>
      <c r="AA428" s="14">
        <f>Table3[[#This Row],[Month2]]</f>
        <v>46173</v>
      </c>
      <c r="AB428" s="350">
        <f t="shared" si="594"/>
        <v>-25</v>
      </c>
    </row>
    <row r="429" spans="4:28" ht="15" hidden="1" thickBot="1" x14ac:dyDescent="0.4">
      <c r="D429" t="s">
        <v>1738</v>
      </c>
      <c r="E429" s="174">
        <v>46099</v>
      </c>
      <c r="F429" s="10" t="s">
        <v>15</v>
      </c>
      <c r="G429" s="4" t="s">
        <v>128</v>
      </c>
      <c r="H429" s="253">
        <v>400</v>
      </c>
      <c r="I429" s="173">
        <v>46142</v>
      </c>
      <c r="J429" s="173">
        <v>46142</v>
      </c>
      <c r="K429" s="100">
        <v>5.88</v>
      </c>
      <c r="L429" s="192">
        <f>VLOOKUP($I429,'PnL26'!$E$7:$F$59,2,FALSE)</f>
        <v>17.678750000000008</v>
      </c>
      <c r="M429" s="9">
        <f t="shared" ref="M429:M432" si="595">IFERROR((L429-K429)*H429,"")</f>
        <v>4719.5000000000036</v>
      </c>
      <c r="N429">
        <f t="shared" si="588"/>
        <v>2352</v>
      </c>
      <c r="O429" s="14" t="str">
        <f t="shared" si="589"/>
        <v>Apr 26</v>
      </c>
      <c r="P429" s="8" t="str">
        <f t="shared" si="590"/>
        <v>Buy</v>
      </c>
      <c r="Q429">
        <f t="shared" si="591"/>
        <v>7071.5000000000036</v>
      </c>
      <c r="R429" s="38" t="str">
        <f>VLOOKUP(F429,Control!$B:$C,2,FALSE)</f>
        <v>Swaps</v>
      </c>
      <c r="S429" s="38" t="str">
        <f>VLOOKUP(F429,Control!$B:$D,3,FALSE)</f>
        <v>Dated</v>
      </c>
      <c r="T429" s="38">
        <f t="shared" si="592"/>
        <v>2026</v>
      </c>
      <c r="U429" t="str">
        <f t="shared" si="593"/>
        <v>Buy</v>
      </c>
      <c r="V429" t="s">
        <v>96</v>
      </c>
      <c r="W429" t="e">
        <f>_xlfn.XLOOKUP(Table3[[#This Row],[Instrument]],Control!$B$2:$B$19,Control!$E$2:$E$19)</f>
        <v>#N/A</v>
      </c>
      <c r="X429" s="14">
        <f>Table3[[#This Row],[Month1]]</f>
        <v>46142</v>
      </c>
      <c r="Y429" s="350">
        <f>Table3[[#This Row],[Quantity]]</f>
        <v>400</v>
      </c>
      <c r="Z429" t="e">
        <f>_xlfn.XLOOKUP(Table3[[#This Row],[Instrument]],Control!$B$2:$B$19,Control!$F$2:$F$19)</f>
        <v>#N/A</v>
      </c>
      <c r="AA429" s="14">
        <f>Table3[[#This Row],[Month2]]</f>
        <v>46142</v>
      </c>
      <c r="AB429" s="350">
        <f t="shared" si="594"/>
        <v>-400</v>
      </c>
    </row>
    <row r="430" spans="4:28" ht="15" hidden="1" thickBot="1" x14ac:dyDescent="0.4">
      <c r="D430" s="239" t="s">
        <v>1738</v>
      </c>
      <c r="E430" s="174">
        <v>46099</v>
      </c>
      <c r="F430" s="10" t="s">
        <v>7</v>
      </c>
      <c r="G430" s="4" t="s">
        <v>128</v>
      </c>
      <c r="H430" s="253">
        <v>400</v>
      </c>
      <c r="I430" s="172">
        <v>46203</v>
      </c>
      <c r="J430" s="172">
        <v>46234</v>
      </c>
      <c r="K430" s="212">
        <v>4.87</v>
      </c>
      <c r="L430" s="7">
        <f ca="1">IF(OR(S430="WTI Sprds",S430="Brent Sprds",S430="WTI-Brent",S430="DFL"),INDEX(INDIRECT("'" &amp; S430 &amp; "'!$A$6:$XFD$1048576"),MATCH('PnL26'!$P$1,INDIRECT("'" &amp; S430 &amp; "'!$A$6:$A$1048576"),0),MATCH(EOMONTH(I430,0),INDIRECT("'" &amp; S430 &amp; "'!$A$4:$XFD$4"),0)),INDEX(BBG!$A:$BA,MATCH('PnL26'!$P$1,BBG!$A:$A,0),MATCH($I430,BBG!$A$4:$BA$4,0))-INDEX(BBG!$A:$BA,MATCH('PnL26'!$P$1,BBG!$A:$A,0),MATCH($J430,BBG!$A$4:$BA$4,0)))</f>
        <v>3.61</v>
      </c>
      <c r="M430" s="9">
        <f t="shared" ca="1" si="595"/>
        <v>-504.00000000000011</v>
      </c>
      <c r="N430">
        <f t="shared" si="588"/>
        <v>1948</v>
      </c>
      <c r="O430" s="14" t="str">
        <f t="shared" si="589"/>
        <v>Jun/Jul 26</v>
      </c>
      <c r="P430" s="8" t="str">
        <f t="shared" si="590"/>
        <v>Buy</v>
      </c>
      <c r="Q430">
        <f t="shared" ca="1" si="591"/>
        <v>1444</v>
      </c>
      <c r="R430" t="str">
        <f>VLOOKUP(F430,Control!$B:$C,2,FALSE)</f>
        <v>Futures</v>
      </c>
      <c r="S430" t="str">
        <f>VLOOKUP(F430,Control!$B:$D,3,FALSE)</f>
        <v>Brent Sprds</v>
      </c>
      <c r="T430" s="38">
        <f t="shared" si="592"/>
        <v>2026</v>
      </c>
      <c r="U430" t="str">
        <f t="shared" si="593"/>
        <v>Buy</v>
      </c>
      <c r="V430" s="240" t="s">
        <v>96</v>
      </c>
      <c r="W430" t="str">
        <f>_xlfn.XLOOKUP(Table3[[#This Row],[Instrument]],Control!$B$2:$B$19,Control!$E$2:$E$19)</f>
        <v>Brent</v>
      </c>
      <c r="X430" s="14">
        <f>Table3[[#This Row],[Month1]]</f>
        <v>46203</v>
      </c>
      <c r="Y430" s="350">
        <f>Table3[[#This Row],[Quantity]]</f>
        <v>400</v>
      </c>
      <c r="Z430" t="str">
        <f>_xlfn.XLOOKUP(Table3[[#This Row],[Instrument]],Control!$B$2:$B$19,Control!$F$2:$F$19)</f>
        <v>Brent</v>
      </c>
      <c r="AA430" s="14">
        <f>Table3[[#This Row],[Month2]]</f>
        <v>46234</v>
      </c>
      <c r="AB430" s="350">
        <f t="shared" si="594"/>
        <v>-400</v>
      </c>
    </row>
    <row r="431" spans="4:28" ht="15" hidden="1" thickBot="1" x14ac:dyDescent="0.4">
      <c r="D431" s="239" t="s">
        <v>127</v>
      </c>
      <c r="E431" s="174">
        <v>46098</v>
      </c>
      <c r="F431" s="10" t="s">
        <v>7</v>
      </c>
      <c r="G431" s="4" t="s">
        <v>128</v>
      </c>
      <c r="H431" s="253">
        <v>-179</v>
      </c>
      <c r="I431" s="172">
        <v>46203</v>
      </c>
      <c r="J431" s="172">
        <f>EOMONTH(Table3[[#This Row],[Month1]],1)</f>
        <v>46234</v>
      </c>
      <c r="K431" s="212">
        <v>4.76</v>
      </c>
      <c r="L431" s="7">
        <f ca="1">IF(OR(S431="WTI Sprds",S431="Brent Sprds",S431="WTI-Brent",S431="DFL"),INDEX(INDIRECT("'" &amp; S431 &amp; "'!$A$6:$XFD$1048576"),MATCH('PnL26'!$P$1,INDIRECT("'" &amp; S431 &amp; "'!$A$6:$A$1048576"),0),MATCH(EOMONTH(I431,0),INDIRECT("'" &amp; S431 &amp; "'!$A$4:$XFD$4"),0)),INDEX(BBG!$A:$BA,MATCH('PnL26'!$P$1,BBG!$A:$A,0),MATCH($I431,BBG!$A$4:$BA$4,0))-INDEX(BBG!$A:$BA,MATCH('PnL26'!$P$1,BBG!$A:$A,0),MATCH($J431,BBG!$A$4:$BA$4,0)))</f>
        <v>3.61</v>
      </c>
      <c r="M431" s="9">
        <f t="shared" ca="1" si="595"/>
        <v>205.85</v>
      </c>
      <c r="N431">
        <f t="shared" si="588"/>
        <v>-852.04</v>
      </c>
      <c r="O431" s="14" t="str">
        <f t="shared" si="589"/>
        <v>Jun/Jul 26</v>
      </c>
      <c r="P431" s="8" t="str">
        <f t="shared" si="590"/>
        <v>Sell</v>
      </c>
      <c r="Q431">
        <f t="shared" ca="1" si="591"/>
        <v>-646.18999999999994</v>
      </c>
      <c r="R431" t="str">
        <f>VLOOKUP(F431,Control!$B:$C,2,FALSE)</f>
        <v>Futures</v>
      </c>
      <c r="S431" t="str">
        <f>VLOOKUP(F431,Control!$B:$D,3,FALSE)</f>
        <v>Brent Sprds</v>
      </c>
      <c r="T431" s="38">
        <f t="shared" si="592"/>
        <v>2026</v>
      </c>
      <c r="U431" t="str">
        <f t="shared" si="593"/>
        <v>Sell</v>
      </c>
      <c r="V431" s="240" t="s">
        <v>96</v>
      </c>
      <c r="W431" t="str">
        <f>_xlfn.XLOOKUP(Table3[[#This Row],[Instrument]],Control!$B$2:$B$19,Control!$E$2:$E$19)</f>
        <v>Brent</v>
      </c>
      <c r="X431" s="14">
        <f>Table3[[#This Row],[Month1]]</f>
        <v>46203</v>
      </c>
      <c r="Y431" s="350">
        <f>Table3[[#This Row],[Quantity]]</f>
        <v>-179</v>
      </c>
      <c r="Z431" t="str">
        <f>_xlfn.XLOOKUP(Table3[[#This Row],[Instrument]],Control!$B$2:$B$19,Control!$F$2:$F$19)</f>
        <v>Brent</v>
      </c>
      <c r="AA431" s="14">
        <f>Table3[[#This Row],[Month2]]</f>
        <v>46234</v>
      </c>
      <c r="AB431" s="350">
        <f t="shared" si="594"/>
        <v>179</v>
      </c>
    </row>
    <row r="432" spans="4:28" ht="15" hidden="1" thickBot="1" x14ac:dyDescent="0.4">
      <c r="D432" s="239" t="s">
        <v>127</v>
      </c>
      <c r="E432" s="174">
        <v>46099</v>
      </c>
      <c r="F432" s="10" t="s">
        <v>10</v>
      </c>
      <c r="G432" s="4" t="s">
        <v>128</v>
      </c>
      <c r="H432" s="253">
        <v>-300</v>
      </c>
      <c r="I432" s="172">
        <v>46173</v>
      </c>
      <c r="J432" s="172">
        <v>46173</v>
      </c>
      <c r="K432" s="212">
        <v>-15.53</v>
      </c>
      <c r="L432" s="7">
        <f ca="1">IF(OR(S432="WTI Sprds",S432="Brent Sprds",S432="WTI-Brent",S432="DFL"),INDEX(INDIRECT("'" &amp; S432 &amp; "'!$A$6:$XFD$1048576"),MATCH('PnL26'!$P$1,INDIRECT("'" &amp; S432 &amp; "'!$A$6:$A$1048576"),0),MATCH(EOMONTH(I432,0),INDIRECT("'" &amp; S432 &amp; "'!$A$4:$XFD$4"),0)),INDEX(BBG!$A:$BA,MATCH('PnL26'!$P$1,BBG!$A:$A,0),MATCH($I432,BBG!$A$4:$BA$4,0))-INDEX(BBG!$A:$BA,MATCH('PnL26'!$P$1,BBG!$A:$A,0),MATCH($J432,BBG!$A$4:$BA$4,0)))</f>
        <v>-16.97</v>
      </c>
      <c r="M432" s="9">
        <f t="shared" ca="1" si="595"/>
        <v>431.99999999999983</v>
      </c>
      <c r="N432">
        <f t="shared" si="588"/>
        <v>4659</v>
      </c>
      <c r="O432" s="14" t="str">
        <f t="shared" si="589"/>
        <v>May 26</v>
      </c>
      <c r="P432" s="8" t="str">
        <f t="shared" si="590"/>
        <v>Sell</v>
      </c>
      <c r="Q432">
        <f t="shared" ca="1" si="591"/>
        <v>5091</v>
      </c>
      <c r="R432" t="str">
        <f>VLOOKUP(F432,Control!$B:$C,2,FALSE)</f>
        <v>Swaps</v>
      </c>
      <c r="S432" t="str">
        <f>VLOOKUP(F432,Control!$B:$D,3,FALSE)</f>
        <v>WTI-Brent</v>
      </c>
      <c r="T432" s="38">
        <f t="shared" si="592"/>
        <v>2026</v>
      </c>
      <c r="U432" t="str">
        <f t="shared" si="593"/>
        <v>Sell</v>
      </c>
      <c r="V432" s="240" t="s">
        <v>96</v>
      </c>
      <c r="W432" t="str">
        <f>_xlfn.XLOOKUP(Table3[[#This Row],[Instrument]],Control!$B$2:$B$19,Control!$E$2:$E$19)</f>
        <v>WTI</v>
      </c>
      <c r="X432" s="14">
        <f>Table3[[#This Row],[Month1]]</f>
        <v>46173</v>
      </c>
      <c r="Y432" s="350">
        <f>Table3[[#This Row],[Quantity]]</f>
        <v>-300</v>
      </c>
      <c r="Z432" t="str">
        <f>_xlfn.XLOOKUP(Table3[[#This Row],[Instrument]],Control!$B$2:$B$19,Control!$F$2:$F$19)</f>
        <v>Brent</v>
      </c>
      <c r="AA432" s="14">
        <f>Table3[[#This Row],[Month2]]</f>
        <v>46173</v>
      </c>
      <c r="AB432" s="350">
        <f t="shared" si="594"/>
        <v>300</v>
      </c>
    </row>
    <row r="433" spans="4:28" ht="15" hidden="1" thickBot="1" x14ac:dyDescent="0.4">
      <c r="D433" s="239" t="s">
        <v>127</v>
      </c>
      <c r="E433" s="174">
        <v>46099</v>
      </c>
      <c r="F433" s="10" t="s">
        <v>10</v>
      </c>
      <c r="G433" s="4" t="s">
        <v>128</v>
      </c>
      <c r="H433" s="253">
        <v>-242</v>
      </c>
      <c r="I433" s="172">
        <v>46173</v>
      </c>
      <c r="J433" s="172">
        <v>46173</v>
      </c>
      <c r="K433" s="212">
        <v>-12.81</v>
      </c>
      <c r="L433" s="7">
        <f ca="1">IF(OR(S433="WTI Sprds",S433="Brent Sprds",S433="WTI-Brent",S433="DFL"),INDEX(INDIRECT("'" &amp; S433 &amp; "'!$A$6:$XFD$1048576"),MATCH('PnL26'!$P$1,INDIRECT("'" &amp; S433 &amp; "'!$A$6:$A$1048576"),0),MATCH(EOMONTH(I433,0),INDIRECT("'" &amp; S433 &amp; "'!$A$4:$XFD$4"),0)),INDEX(BBG!$A:$BA,MATCH('PnL26'!$P$1,BBG!$A:$A,0),MATCH($I433,BBG!$A$4:$BA$4,0))-INDEX(BBG!$A:$BA,MATCH('PnL26'!$P$1,BBG!$A:$A,0),MATCH($J433,BBG!$A$4:$BA$4,0)))</f>
        <v>-16.97</v>
      </c>
      <c r="M433" s="9">
        <f t="shared" ref="M433:M436" ca="1" si="596">IFERROR((L433-K433)*H433,"")</f>
        <v>1006.7199999999996</v>
      </c>
      <c r="N433">
        <f t="shared" ref="N433:N436" si="597">H433*K433</f>
        <v>3100.02</v>
      </c>
      <c r="O433" s="14" t="str">
        <f t="shared" ref="O433:O436" si="598">IF(I433=J433,TEXT(I433,"MMM YY"),TEXT(I433,"MMM")&amp;"/"&amp;TEXT(J433,"MMM")&amp;" "&amp;RIGHT(T433,2))</f>
        <v>May 26</v>
      </c>
      <c r="P433" s="8" t="str">
        <f t="shared" ref="P433:P436" si="599">IF(H433&lt;0,"Sell","Buy")</f>
        <v>Sell</v>
      </c>
      <c r="Q433">
        <f t="shared" ref="Q433:Q436" ca="1" si="600">H433*L433</f>
        <v>4106.74</v>
      </c>
      <c r="R433" t="str">
        <f>VLOOKUP(F433,Control!$B:$C,2,FALSE)</f>
        <v>Swaps</v>
      </c>
      <c r="S433" t="str">
        <f>VLOOKUP(F433,Control!$B:$D,3,FALSE)</f>
        <v>WTI-Brent</v>
      </c>
      <c r="T433" s="38">
        <f t="shared" ref="T433:T436" si="601">YEAR(I433)</f>
        <v>2026</v>
      </c>
      <c r="U433" t="str">
        <f t="shared" ref="U433:U436" si="602">IFERROR(IF(H433&gt;0,"Buy","Sell"),"")</f>
        <v>Sell</v>
      </c>
      <c r="V433" s="240" t="s">
        <v>96</v>
      </c>
      <c r="W433" t="str">
        <f>_xlfn.XLOOKUP(Table3[[#This Row],[Instrument]],Control!$B$2:$B$19,Control!$E$2:$E$19)</f>
        <v>WTI</v>
      </c>
      <c r="X433" s="14">
        <f>Table3[[#This Row],[Month1]]</f>
        <v>46173</v>
      </c>
      <c r="Y433" s="350">
        <f>Table3[[#This Row],[Quantity]]</f>
        <v>-242</v>
      </c>
      <c r="Z433" t="str">
        <f>_xlfn.XLOOKUP(Table3[[#This Row],[Instrument]],Control!$B$2:$B$19,Control!$F$2:$F$19)</f>
        <v>Brent</v>
      </c>
      <c r="AA433" s="14">
        <f>Table3[[#This Row],[Month2]]</f>
        <v>46173</v>
      </c>
      <c r="AB433" s="350">
        <f t="shared" ref="AB433:AB436" si="603">-Y433</f>
        <v>242</v>
      </c>
    </row>
    <row r="434" spans="4:28" ht="15" hidden="1" thickBot="1" x14ac:dyDescent="0.4">
      <c r="D434" s="239" t="s">
        <v>127</v>
      </c>
      <c r="E434" s="174">
        <v>46098</v>
      </c>
      <c r="F434" s="10" t="s">
        <v>3</v>
      </c>
      <c r="G434" s="4" t="s">
        <v>128</v>
      </c>
      <c r="H434" s="253">
        <v>-418</v>
      </c>
      <c r="I434" s="172">
        <v>46142</v>
      </c>
      <c r="J434" s="172">
        <f>EOMONTH(Table3[[#This Row],[Month1]],1)</f>
        <v>46173</v>
      </c>
      <c r="K434" s="212">
        <v>0.97</v>
      </c>
      <c r="L434" s="7">
        <f ca="1">IF(OR(S434="WTI Sprds",S434="Brent Sprds",S434="WTI-Brent",S434="DFL"),INDEX(INDIRECT("'" &amp; S434 &amp; "'!$A$6:$XFD$1048576"),MATCH('PnL26'!$P$1,INDIRECT("'" &amp; S434 &amp; "'!$A$6:$A$1048576"),0),MATCH(EOMONTH(I434,0),INDIRECT("'" &amp; S434 &amp; "'!$A$4:$XFD$4"),0)),INDEX(BBG!$A:$BA,MATCH('PnL26'!$P$1,BBG!$A:$A,0),MATCH($I434,BBG!$A$4:$BA$4,0))-INDEX(BBG!$A:$BA,MATCH('PnL26'!$P$1,BBG!$A:$A,0),MATCH($J434,BBG!$A$4:$BA$4,0)))</f>
        <v>0.59</v>
      </c>
      <c r="M434" s="9">
        <f t="shared" ca="1" si="596"/>
        <v>158.84</v>
      </c>
      <c r="N434">
        <f t="shared" si="597"/>
        <v>-405.46</v>
      </c>
      <c r="O434" s="14" t="str">
        <f t="shared" si="598"/>
        <v>Apr/May 26</v>
      </c>
      <c r="P434" s="8" t="str">
        <f t="shared" si="599"/>
        <v>Sell</v>
      </c>
      <c r="Q434">
        <f t="shared" ca="1" si="600"/>
        <v>-246.61999999999998</v>
      </c>
      <c r="R434" t="str">
        <f>VLOOKUP(F434,Control!$B:$C,2,FALSE)</f>
        <v>Futures</v>
      </c>
      <c r="S434" t="str">
        <f>VLOOKUP(F434,Control!$B:$D,3,FALSE)</f>
        <v>WTI Sprds</v>
      </c>
      <c r="T434" s="38">
        <f t="shared" si="601"/>
        <v>2026</v>
      </c>
      <c r="U434" t="str">
        <f t="shared" si="602"/>
        <v>Sell</v>
      </c>
      <c r="V434" s="240" t="s">
        <v>96</v>
      </c>
      <c r="W434" t="str">
        <f>_xlfn.XLOOKUP(Table3[[#This Row],[Instrument]],Control!$B$2:$B$19,Control!$E$2:$E$19)</f>
        <v>WTI</v>
      </c>
      <c r="X434" s="14">
        <f>Table3[[#This Row],[Month1]]</f>
        <v>46142</v>
      </c>
      <c r="Y434" s="350">
        <f>Table3[[#This Row],[Quantity]]</f>
        <v>-418</v>
      </c>
      <c r="Z434" t="str">
        <f>_xlfn.XLOOKUP(Table3[[#This Row],[Instrument]],Control!$B$2:$B$19,Control!$F$2:$F$19)</f>
        <v>WTI</v>
      </c>
      <c r="AA434" s="14">
        <f>Table3[[#This Row],[Month2]]</f>
        <v>46173</v>
      </c>
      <c r="AB434" s="350">
        <f t="shared" si="603"/>
        <v>418</v>
      </c>
    </row>
    <row r="435" spans="4:28" ht="15" hidden="1" thickBot="1" x14ac:dyDescent="0.4">
      <c r="D435" s="239" t="s">
        <v>1738</v>
      </c>
      <c r="E435" s="174">
        <v>46101</v>
      </c>
      <c r="F435" s="10" t="s">
        <v>7</v>
      </c>
      <c r="G435" s="4" t="s">
        <v>128</v>
      </c>
      <c r="H435" s="253">
        <v>1000</v>
      </c>
      <c r="I435" s="172">
        <v>46203</v>
      </c>
      <c r="J435" s="172">
        <v>46234</v>
      </c>
      <c r="K435" s="212">
        <v>5.69</v>
      </c>
      <c r="L435" s="7">
        <f ca="1">IF(OR(S435="WTI Sprds",S435="Brent Sprds",S435="WTI-Brent",S435="DFL"),INDEX(INDIRECT("'" &amp; S435 &amp; "'!$A$6:$XFD$1048576"),MATCH('PnL26'!$P$1,INDIRECT("'" &amp; S435 &amp; "'!$A$6:$A$1048576"),0),MATCH(EOMONTH(I435,0),INDIRECT("'" &amp; S435 &amp; "'!$A$4:$XFD$4"),0)),INDEX(BBG!$A:$BA,MATCH('PnL26'!$P$1,BBG!$A:$A,0),MATCH($I435,BBG!$A$4:$BA$4,0))-INDEX(BBG!$A:$BA,MATCH('PnL26'!$P$1,BBG!$A:$A,0),MATCH($J435,BBG!$A$4:$BA$4,0)))</f>
        <v>3.61</v>
      </c>
      <c r="M435" s="9">
        <f t="shared" ca="1" si="596"/>
        <v>-2080.0000000000005</v>
      </c>
      <c r="N435">
        <f t="shared" si="597"/>
        <v>5690</v>
      </c>
      <c r="O435" s="14" t="str">
        <f t="shared" si="598"/>
        <v>Jun/Jul 26</v>
      </c>
      <c r="P435" s="8" t="str">
        <f t="shared" si="599"/>
        <v>Buy</v>
      </c>
      <c r="Q435">
        <f t="shared" ca="1" si="600"/>
        <v>3610</v>
      </c>
      <c r="R435" t="str">
        <f>VLOOKUP(F435,Control!$B:$C,2,FALSE)</f>
        <v>Futures</v>
      </c>
      <c r="S435" t="str">
        <f>VLOOKUP(F435,Control!$B:$D,3,FALSE)</f>
        <v>Brent Sprds</v>
      </c>
      <c r="T435" s="38">
        <f t="shared" si="601"/>
        <v>2026</v>
      </c>
      <c r="U435" t="str">
        <f t="shared" si="602"/>
        <v>Buy</v>
      </c>
      <c r="V435" s="240" t="s">
        <v>96</v>
      </c>
      <c r="W435" t="str">
        <f>_xlfn.XLOOKUP(Table3[[#This Row],[Instrument]],Control!$B$2:$B$19,Control!$E$2:$E$19)</f>
        <v>Brent</v>
      </c>
      <c r="X435" s="14">
        <f>Table3[[#This Row],[Month1]]</f>
        <v>46203</v>
      </c>
      <c r="Y435" s="350">
        <f>Table3[[#This Row],[Quantity]]</f>
        <v>1000</v>
      </c>
      <c r="Z435" t="str">
        <f>_xlfn.XLOOKUP(Table3[[#This Row],[Instrument]],Control!$B$2:$B$19,Control!$F$2:$F$19)</f>
        <v>Brent</v>
      </c>
      <c r="AA435" s="14">
        <f>Table3[[#This Row],[Month2]]</f>
        <v>46234</v>
      </c>
      <c r="AB435" s="350">
        <f t="shared" si="603"/>
        <v>-1000</v>
      </c>
    </row>
    <row r="436" spans="4:28" ht="15" hidden="1" thickBot="1" x14ac:dyDescent="0.4">
      <c r="D436" s="385" t="s">
        <v>1739</v>
      </c>
      <c r="E436" s="174">
        <v>46099</v>
      </c>
      <c r="F436" s="229" t="s">
        <v>19</v>
      </c>
      <c r="G436" s="380" t="s">
        <v>268</v>
      </c>
      <c r="H436" s="392">
        <v>2000</v>
      </c>
      <c r="I436" s="231">
        <v>46142</v>
      </c>
      <c r="J436" s="231">
        <v>46142</v>
      </c>
      <c r="K436" s="232">
        <v>16.45</v>
      </c>
      <c r="L436" s="315">
        <f>K437</f>
        <v>16.675000000000001</v>
      </c>
      <c r="M436" s="234">
        <f t="shared" si="596"/>
        <v>450.00000000000284</v>
      </c>
      <c r="N436" s="227">
        <f t="shared" si="597"/>
        <v>32900</v>
      </c>
      <c r="O436" s="235" t="str">
        <f t="shared" si="598"/>
        <v>Apr 26</v>
      </c>
      <c r="P436" s="236" t="str">
        <f t="shared" si="599"/>
        <v>Buy</v>
      </c>
      <c r="Q436" s="227">
        <f t="shared" si="600"/>
        <v>33350</v>
      </c>
      <c r="R436" s="227" t="str">
        <f>VLOOKUP(F436,Control!$B:$C,2,FALSE)</f>
        <v>Physical</v>
      </c>
      <c r="S436" s="227" t="str">
        <f>VLOOKUP(F436,Control!$B:$D,3,FALSE)</f>
        <v>Physical</v>
      </c>
      <c r="T436" s="38">
        <f t="shared" si="601"/>
        <v>2026</v>
      </c>
      <c r="U436" s="227" t="str">
        <f t="shared" si="602"/>
        <v>Buy</v>
      </c>
      <c r="V436" s="238" t="s">
        <v>96</v>
      </c>
      <c r="W436" s="227">
        <f>_xlfn.XLOOKUP(Table3[[#This Row],[Instrument]],Control!$B$2:$B$19,Control!$E$2:$E$19)</f>
        <v>0</v>
      </c>
      <c r="X436" s="235">
        <f>Table3[[#This Row],[Month1]]</f>
        <v>46142</v>
      </c>
      <c r="Y436" s="397">
        <f>Table3[[#This Row],[Quantity]]</f>
        <v>2000</v>
      </c>
      <c r="Z436" s="227">
        <f>_xlfn.XLOOKUP(Table3[[#This Row],[Instrument]],Control!$B$2:$B$19,Control!$F$2:$F$19)</f>
        <v>0</v>
      </c>
      <c r="AA436" s="235">
        <f>Table3[[#This Row],[Month2]]</f>
        <v>46142</v>
      </c>
      <c r="AB436" s="398">
        <f t="shared" si="603"/>
        <v>-2000</v>
      </c>
    </row>
    <row r="437" spans="4:28" ht="15" hidden="1" thickBot="1" x14ac:dyDescent="0.4">
      <c r="D437" s="385" t="str">
        <f>D436</f>
        <v>ATS/Vitol June 12-22 b2b</v>
      </c>
      <c r="E437" s="174">
        <v>46099</v>
      </c>
      <c r="F437" s="229" t="s">
        <v>19</v>
      </c>
      <c r="G437" s="380" t="s">
        <v>128</v>
      </c>
      <c r="H437" s="392">
        <f>-H436</f>
        <v>-2000</v>
      </c>
      <c r="I437" s="231">
        <v>46142</v>
      </c>
      <c r="J437" s="231">
        <v>46142</v>
      </c>
      <c r="K437" s="232">
        <v>16.675000000000001</v>
      </c>
      <c r="L437" s="315">
        <f>L436</f>
        <v>16.675000000000001</v>
      </c>
      <c r="M437" s="234">
        <f t="shared" ref="M437" si="604">IFERROR((L437-K437)*H437,"")</f>
        <v>0</v>
      </c>
      <c r="N437" s="227">
        <f t="shared" ref="N437" si="605">H437*K437</f>
        <v>-33350</v>
      </c>
      <c r="O437" s="235" t="str">
        <f t="shared" ref="O437" si="606">IF(I437=J437,TEXT(I437,"MMM YY"),TEXT(I437,"MMM")&amp;"/"&amp;TEXT(J437,"MMM")&amp;" "&amp;RIGHT(T437,2))</f>
        <v>Apr 26</v>
      </c>
      <c r="P437" s="236" t="str">
        <f t="shared" ref="P437" si="607">IF(H437&lt;0,"Sell","Buy")</f>
        <v>Sell</v>
      </c>
      <c r="Q437" s="227">
        <f t="shared" ref="Q437" si="608">H437*L437</f>
        <v>-33350</v>
      </c>
      <c r="R437" s="227" t="str">
        <f>VLOOKUP(F437,Control!$B:$C,2,FALSE)</f>
        <v>Physical</v>
      </c>
      <c r="S437" s="227" t="str">
        <f>VLOOKUP(F437,Control!$B:$D,3,FALSE)</f>
        <v>Physical</v>
      </c>
      <c r="T437" s="38">
        <f t="shared" ref="T437" si="609">YEAR(I437)</f>
        <v>2026</v>
      </c>
      <c r="U437" s="227" t="str">
        <f t="shared" ref="U437" si="610">IFERROR(IF(H437&gt;0,"Buy","Sell"),"")</f>
        <v>Sell</v>
      </c>
      <c r="V437" s="238" t="s">
        <v>96</v>
      </c>
      <c r="W437" s="227">
        <f>_xlfn.XLOOKUP(Table3[[#This Row],[Instrument]],Control!$B$2:$B$19,Control!$E$2:$E$19)</f>
        <v>0</v>
      </c>
      <c r="X437" s="235">
        <f>Table3[[#This Row],[Month1]]</f>
        <v>46142</v>
      </c>
      <c r="Y437" s="397">
        <f>Table3[[#This Row],[Quantity]]</f>
        <v>-2000</v>
      </c>
      <c r="Z437" s="227">
        <f>_xlfn.XLOOKUP(Table3[[#This Row],[Instrument]],Control!$B$2:$B$19,Control!$F$2:$F$19)</f>
        <v>0</v>
      </c>
      <c r="AA437" s="235">
        <f>Table3[[#This Row],[Month2]]</f>
        <v>46142</v>
      </c>
      <c r="AB437" s="398">
        <f t="shared" ref="AB437" si="611">-Y437</f>
        <v>2000</v>
      </c>
    </row>
    <row r="438" spans="4:28" ht="15" hidden="1" thickBot="1" x14ac:dyDescent="0.4">
      <c r="D438" t="s">
        <v>127</v>
      </c>
      <c r="E438" s="174">
        <v>46104</v>
      </c>
      <c r="F438" s="10" t="s">
        <v>15</v>
      </c>
      <c r="G438" s="4" t="s">
        <v>128</v>
      </c>
      <c r="H438" s="253">
        <v>500</v>
      </c>
      <c r="I438" s="173">
        <v>46142</v>
      </c>
      <c r="J438" s="173">
        <v>46142</v>
      </c>
      <c r="K438" s="100">
        <v>5.65</v>
      </c>
      <c r="L438" s="192">
        <f>VLOOKUP($I438,'PnL26'!$E$7:$F$59,2,FALSE)</f>
        <v>17.678750000000008</v>
      </c>
      <c r="M438" s="9">
        <f>IFERROR((L438-K438)*H438,"")</f>
        <v>6014.3750000000036</v>
      </c>
      <c r="N438">
        <f>H438*K438</f>
        <v>2825</v>
      </c>
      <c r="O438" s="14" t="str">
        <f>IF(I438=J438,TEXT(I438,"MMM YY"),TEXT(I438,"MMM")&amp;"/"&amp;TEXT(J438,"MMM")&amp;" "&amp;RIGHT(T438,2))</f>
        <v>Apr 26</v>
      </c>
      <c r="P438" s="8" t="str">
        <f>IF(H438&lt;0,"Sell","Buy")</f>
        <v>Buy</v>
      </c>
      <c r="Q438">
        <f>H438*L438</f>
        <v>8839.3750000000036</v>
      </c>
      <c r="R438" s="38" t="str">
        <f>VLOOKUP(F438,Control!$B:$C,2,FALSE)</f>
        <v>Swaps</v>
      </c>
      <c r="S438" s="38" t="str">
        <f>VLOOKUP(F438,Control!$B:$D,3,FALSE)</f>
        <v>Dated</v>
      </c>
      <c r="T438" s="38">
        <f>YEAR(I438)</f>
        <v>2026</v>
      </c>
      <c r="U438" t="str">
        <f>IFERROR(IF(H438&gt;0,"Buy","Sell"),"")</f>
        <v>Buy</v>
      </c>
      <c r="V438" t="s">
        <v>96</v>
      </c>
      <c r="W438" t="e">
        <f>_xlfn.XLOOKUP(Table3[[#This Row],[Instrument]],Control!$B$2:$B$19,Control!$E$2:$E$19)</f>
        <v>#N/A</v>
      </c>
      <c r="X438" s="14">
        <f>Table3[[#This Row],[Month1]]</f>
        <v>46142</v>
      </c>
      <c r="Y438" s="350">
        <f>Table3[[#This Row],[Quantity]]</f>
        <v>500</v>
      </c>
      <c r="Z438" t="e">
        <f>_xlfn.XLOOKUP(Table3[[#This Row],[Instrument]],Control!$B$2:$B$19,Control!$F$2:$F$19)</f>
        <v>#N/A</v>
      </c>
      <c r="AA438" s="14">
        <f>Table3[[#This Row],[Month2]]</f>
        <v>46142</v>
      </c>
      <c r="AB438" s="350">
        <f>-Y438</f>
        <v>-500</v>
      </c>
    </row>
    <row r="439" spans="4:28" ht="15" hidden="1" thickBot="1" x14ac:dyDescent="0.4">
      <c r="D439" t="s">
        <v>127</v>
      </c>
      <c r="E439" s="174">
        <v>46104</v>
      </c>
      <c r="F439" s="10" t="s">
        <v>15</v>
      </c>
      <c r="G439" s="4" t="s">
        <v>128</v>
      </c>
      <c r="H439" s="253">
        <v>-1000</v>
      </c>
      <c r="I439" s="173">
        <v>46173</v>
      </c>
      <c r="J439" s="173">
        <v>46173</v>
      </c>
      <c r="K439" s="100">
        <v>4.3</v>
      </c>
      <c r="L439" s="192">
        <f>VLOOKUP($I439,'PnL26'!$E$7:$F$59,2,FALSE)</f>
        <v>3.68</v>
      </c>
      <c r="M439" s="9">
        <f>IFERROR((L439-K439)*H439,"")</f>
        <v>619.99999999999966</v>
      </c>
      <c r="N439">
        <f>H439*K439</f>
        <v>-4300</v>
      </c>
      <c r="O439" s="14" t="str">
        <f>IF(I439=J439,TEXT(I439,"MMM YY"),TEXT(I439,"MMM")&amp;"/"&amp;TEXT(J439,"MMM")&amp;" "&amp;RIGHT(T439,2))</f>
        <v>May 26</v>
      </c>
      <c r="P439" s="8" t="str">
        <f>IF(H439&lt;0,"Sell","Buy")</f>
        <v>Sell</v>
      </c>
      <c r="Q439">
        <f>H439*L439</f>
        <v>-3680</v>
      </c>
      <c r="R439" s="38" t="str">
        <f>VLOOKUP(F439,Control!$B:$C,2,FALSE)</f>
        <v>Swaps</v>
      </c>
      <c r="S439" s="38" t="str">
        <f>VLOOKUP(F439,Control!$B:$D,3,FALSE)</f>
        <v>Dated</v>
      </c>
      <c r="T439" s="38">
        <f>YEAR(I439)</f>
        <v>2026</v>
      </c>
      <c r="U439" t="str">
        <f>IFERROR(IF(H439&gt;0,"Buy","Sell"),"")</f>
        <v>Sell</v>
      </c>
      <c r="V439" t="s">
        <v>96</v>
      </c>
      <c r="W439" t="e">
        <f>_xlfn.XLOOKUP(Table3[[#This Row],[Instrument]],Control!$B$2:$B$19,Control!$E$2:$E$19)</f>
        <v>#N/A</v>
      </c>
      <c r="X439" s="14">
        <f>Table3[[#This Row],[Month1]]</f>
        <v>46173</v>
      </c>
      <c r="Y439" s="350">
        <f>Table3[[#This Row],[Quantity]]</f>
        <v>-1000</v>
      </c>
      <c r="Z439" t="e">
        <f>_xlfn.XLOOKUP(Table3[[#This Row],[Instrument]],Control!$B$2:$B$19,Control!$F$2:$F$19)</f>
        <v>#N/A</v>
      </c>
      <c r="AA439" s="14">
        <f>Table3[[#This Row],[Month2]]</f>
        <v>46173</v>
      </c>
      <c r="AB439" s="350">
        <f>-Y439</f>
        <v>1000</v>
      </c>
    </row>
    <row r="440" spans="4:28" ht="15" hidden="1" thickBot="1" x14ac:dyDescent="0.4">
      <c r="D440" s="239" t="s">
        <v>127</v>
      </c>
      <c r="E440" s="174">
        <v>46104</v>
      </c>
      <c r="F440" s="10" t="s">
        <v>7</v>
      </c>
      <c r="G440" s="4" t="s">
        <v>128</v>
      </c>
      <c r="H440" s="253">
        <v>-460</v>
      </c>
      <c r="I440" s="172">
        <v>46203</v>
      </c>
      <c r="J440" s="172">
        <v>46234</v>
      </c>
      <c r="K440" s="212">
        <v>4.51</v>
      </c>
      <c r="L440" s="7">
        <f ca="1">IF(OR(S440="WTI Sprds",S440="Brent Sprds",S440="WTI-Brent",S440="DFL"),INDEX(INDIRECT("'" &amp; S440 &amp; "'!$A$6:$XFD$1048576"),MATCH('PnL26'!$P$1,INDIRECT("'" &amp; S440 &amp; "'!$A$6:$A$1048576"),0),MATCH(EOMONTH(I440,0),INDIRECT("'" &amp; S440 &amp; "'!$A$4:$XFD$4"),0)),INDEX(BBG!$A:$BA,MATCH('PnL26'!$P$1,BBG!$A:$A,0),MATCH($I440,BBG!$A$4:$BA$4,0))-INDEX(BBG!$A:$BA,MATCH('PnL26'!$P$1,BBG!$A:$A,0),MATCH($J440,BBG!$A$4:$BA$4,0)))</f>
        <v>3.61</v>
      </c>
      <c r="M440" s="9">
        <f t="shared" ref="M440" ca="1" si="612">IFERROR((L440-K440)*H440,"")</f>
        <v>413.99999999999994</v>
      </c>
      <c r="N440">
        <f t="shared" ref="N440" si="613">H440*K440</f>
        <v>-2074.6</v>
      </c>
      <c r="O440" s="14" t="str">
        <f t="shared" ref="O440" si="614">IF(I440=J440,TEXT(I440,"MMM YY"),TEXT(I440,"MMM")&amp;"/"&amp;TEXT(J440,"MMM")&amp;" "&amp;RIGHT(T440,2))</f>
        <v>Jun/Jul 26</v>
      </c>
      <c r="P440" s="8" t="str">
        <f t="shared" ref="P440" si="615">IF(H440&lt;0,"Sell","Buy")</f>
        <v>Sell</v>
      </c>
      <c r="Q440">
        <f t="shared" ref="Q440" ca="1" si="616">H440*L440</f>
        <v>-1660.6</v>
      </c>
      <c r="R440" t="str">
        <f>VLOOKUP(F440,Control!$B:$C,2,FALSE)</f>
        <v>Futures</v>
      </c>
      <c r="S440" t="str">
        <f>VLOOKUP(F440,Control!$B:$D,3,FALSE)</f>
        <v>Brent Sprds</v>
      </c>
      <c r="T440" s="38">
        <f t="shared" ref="T440" si="617">YEAR(I440)</f>
        <v>2026</v>
      </c>
      <c r="U440" t="str">
        <f t="shared" ref="U440" si="618">IFERROR(IF(H440&gt;0,"Buy","Sell"),"")</f>
        <v>Sell</v>
      </c>
      <c r="V440" s="240" t="s">
        <v>96</v>
      </c>
      <c r="W440" t="str">
        <f>_xlfn.XLOOKUP(Table3[[#This Row],[Instrument]],Control!$B$2:$B$19,Control!$E$2:$E$19)</f>
        <v>Brent</v>
      </c>
      <c r="X440" s="14">
        <f>Table3[[#This Row],[Month1]]</f>
        <v>46203</v>
      </c>
      <c r="Y440" s="350">
        <f>Table3[[#This Row],[Quantity]]</f>
        <v>-460</v>
      </c>
      <c r="Z440" t="str">
        <f>_xlfn.XLOOKUP(Table3[[#This Row],[Instrument]],Control!$B$2:$B$19,Control!$F$2:$F$19)</f>
        <v>Brent</v>
      </c>
      <c r="AA440" s="14">
        <f>Table3[[#This Row],[Month2]]</f>
        <v>46234</v>
      </c>
      <c r="AB440" s="350">
        <f t="shared" ref="AB440" si="619">-Y440</f>
        <v>460</v>
      </c>
    </row>
    <row r="441" spans="4:28" ht="15" hidden="1" thickBot="1" x14ac:dyDescent="0.4">
      <c r="D441" s="239" t="s">
        <v>127</v>
      </c>
      <c r="E441" s="174">
        <v>46104</v>
      </c>
      <c r="F441" s="10" t="s">
        <v>7</v>
      </c>
      <c r="G441" s="4" t="s">
        <v>128</v>
      </c>
      <c r="H441" s="253">
        <v>-20</v>
      </c>
      <c r="I441" s="172">
        <v>46203</v>
      </c>
      <c r="J441" s="172">
        <v>46234</v>
      </c>
      <c r="K441" s="212">
        <v>4.5</v>
      </c>
      <c r="L441" s="7">
        <f ca="1">IF(OR(S441="WTI Sprds",S441="Brent Sprds",S441="WTI-Brent",S441="DFL"),INDEX(INDIRECT("'" &amp; S441 &amp; "'!$A$6:$XFD$1048576"),MATCH('PnL26'!$P$1,INDIRECT("'" &amp; S441 &amp; "'!$A$6:$A$1048576"),0),MATCH(EOMONTH(I441,0),INDIRECT("'" &amp; S441 &amp; "'!$A$4:$XFD$4"),0)),INDEX(BBG!$A:$BA,MATCH('PnL26'!$P$1,BBG!$A:$A,0),MATCH($I441,BBG!$A$4:$BA$4,0))-INDEX(BBG!$A:$BA,MATCH('PnL26'!$P$1,BBG!$A:$A,0),MATCH($J441,BBG!$A$4:$BA$4,0)))</f>
        <v>3.61</v>
      </c>
      <c r="M441" s="9">
        <f t="shared" ref="M441" ca="1" si="620">IFERROR((L441-K441)*H441,"")</f>
        <v>17.800000000000004</v>
      </c>
      <c r="N441">
        <f t="shared" ref="N441" si="621">H441*K441</f>
        <v>-90</v>
      </c>
      <c r="O441" s="14" t="str">
        <f t="shared" ref="O441" si="622">IF(I441=J441,TEXT(I441,"MMM YY"),TEXT(I441,"MMM")&amp;"/"&amp;TEXT(J441,"MMM")&amp;" "&amp;RIGHT(T441,2))</f>
        <v>Jun/Jul 26</v>
      </c>
      <c r="P441" s="8" t="str">
        <f t="shared" ref="P441" si="623">IF(H441&lt;0,"Sell","Buy")</f>
        <v>Sell</v>
      </c>
      <c r="Q441">
        <f t="shared" ref="Q441" ca="1" si="624">H441*L441</f>
        <v>-72.2</v>
      </c>
      <c r="R441" t="str">
        <f>VLOOKUP(F441,Control!$B:$C,2,FALSE)</f>
        <v>Futures</v>
      </c>
      <c r="S441" t="str">
        <f>VLOOKUP(F441,Control!$B:$D,3,FALSE)</f>
        <v>Brent Sprds</v>
      </c>
      <c r="T441" s="38">
        <f t="shared" ref="T441" si="625">YEAR(I441)</f>
        <v>2026</v>
      </c>
      <c r="U441" t="str">
        <f t="shared" ref="U441" si="626">IFERROR(IF(H441&gt;0,"Buy","Sell"),"")</f>
        <v>Sell</v>
      </c>
      <c r="V441" s="240" t="s">
        <v>96</v>
      </c>
      <c r="W441" t="str">
        <f>_xlfn.XLOOKUP(Table3[[#This Row],[Instrument]],Control!$B$2:$B$19,Control!$E$2:$E$19)</f>
        <v>Brent</v>
      </c>
      <c r="X441" s="14">
        <f>Table3[[#This Row],[Month1]]</f>
        <v>46203</v>
      </c>
      <c r="Y441" s="350">
        <f>Table3[[#This Row],[Quantity]]</f>
        <v>-20</v>
      </c>
      <c r="Z441" t="str">
        <f>_xlfn.XLOOKUP(Table3[[#This Row],[Instrument]],Control!$B$2:$B$19,Control!$F$2:$F$19)</f>
        <v>Brent</v>
      </c>
      <c r="AA441" s="14">
        <f>Table3[[#This Row],[Month2]]</f>
        <v>46234</v>
      </c>
      <c r="AB441" s="350">
        <f t="shared" ref="AB441" si="627">-Y441</f>
        <v>20</v>
      </c>
    </row>
    <row r="442" spans="4:28" ht="15" hidden="1" thickBot="1" x14ac:dyDescent="0.4">
      <c r="D442" s="239" t="s">
        <v>127</v>
      </c>
      <c r="E442" s="174">
        <v>46104</v>
      </c>
      <c r="F442" s="10" t="s">
        <v>3</v>
      </c>
      <c r="G442" s="4" t="s">
        <v>128</v>
      </c>
      <c r="H442" s="253">
        <v>-174</v>
      </c>
      <c r="I442" s="172">
        <v>46203</v>
      </c>
      <c r="J442" s="172">
        <v>46234</v>
      </c>
      <c r="K442" s="212">
        <v>3.17</v>
      </c>
      <c r="L442" s="7">
        <f ca="1">IF(OR(S442="WTI Sprds",S442="Brent Sprds",S442="WTI-Brent",S442="DFL"),INDEX(INDIRECT("'" &amp; S442 &amp; "'!$A$6:$XFD$1048576"),MATCH('PnL26'!$P$1,INDIRECT("'" &amp; S442 &amp; "'!$A$6:$A$1048576"),0),MATCH(EOMONTH(I442,0),INDIRECT("'" &amp; S442 &amp; "'!$A$4:$XFD$4"),0)),INDEX(BBG!$A:$BA,MATCH('PnL26'!$P$1,BBG!$A:$A,0),MATCH($I442,BBG!$A$4:$BA$4,0))-INDEX(BBG!$A:$BA,MATCH('PnL26'!$P$1,BBG!$A:$A,0),MATCH($J442,BBG!$A$4:$BA$4,0)))</f>
        <v>4.28</v>
      </c>
      <c r="M442" s="9">
        <f t="shared" ref="M442:M443" ca="1" si="628">IFERROR((L442-K442)*H442,"")</f>
        <v>-193.14000000000004</v>
      </c>
      <c r="N442">
        <f t="shared" ref="N442:N443" si="629">H442*K442</f>
        <v>-551.58000000000004</v>
      </c>
      <c r="O442" s="14" t="str">
        <f t="shared" ref="O442:O443" si="630">IF(I442=J442,TEXT(I442,"MMM YY"),TEXT(I442,"MMM")&amp;"/"&amp;TEXT(J442,"MMM")&amp;" "&amp;RIGHT(T442,2))</f>
        <v>Jun/Jul 26</v>
      </c>
      <c r="P442" s="8" t="str">
        <f t="shared" ref="P442:P443" si="631">IF(H442&lt;0,"Sell","Buy")</f>
        <v>Sell</v>
      </c>
      <c r="Q442">
        <f t="shared" ref="Q442:Q443" ca="1" si="632">H442*L442</f>
        <v>-744.72</v>
      </c>
      <c r="R442" t="str">
        <f>VLOOKUP(F442,Control!$B:$C,2,FALSE)</f>
        <v>Futures</v>
      </c>
      <c r="S442" t="str">
        <f>VLOOKUP(F442,Control!$B:$D,3,FALSE)</f>
        <v>WTI Sprds</v>
      </c>
      <c r="T442" s="38">
        <f t="shared" ref="T442:T443" si="633">YEAR(I442)</f>
        <v>2026</v>
      </c>
      <c r="U442" t="str">
        <f t="shared" ref="U442:U443" si="634">IFERROR(IF(H442&gt;0,"Buy","Sell"),"")</f>
        <v>Sell</v>
      </c>
      <c r="V442" s="240" t="s">
        <v>96</v>
      </c>
      <c r="W442" t="str">
        <f>_xlfn.XLOOKUP(Table3[[#This Row],[Instrument]],Control!$B$2:$B$19,Control!$E$2:$E$19)</f>
        <v>WTI</v>
      </c>
      <c r="X442" s="14">
        <f>Table3[[#This Row],[Month1]]</f>
        <v>46203</v>
      </c>
      <c r="Y442" s="350">
        <f>Table3[[#This Row],[Quantity]]</f>
        <v>-174</v>
      </c>
      <c r="Z442" t="str">
        <f>_xlfn.XLOOKUP(Table3[[#This Row],[Instrument]],Control!$B$2:$B$19,Control!$F$2:$F$19)</f>
        <v>WTI</v>
      </c>
      <c r="AA442" s="14">
        <f>Table3[[#This Row],[Month2]]</f>
        <v>46234</v>
      </c>
      <c r="AB442" s="350">
        <f t="shared" ref="AB442:AB443" si="635">-Y442</f>
        <v>174</v>
      </c>
    </row>
    <row r="443" spans="4:28" ht="15" hidden="1" thickBot="1" x14ac:dyDescent="0.4">
      <c r="D443" s="239" t="s">
        <v>127</v>
      </c>
      <c r="E443" s="174">
        <v>46104</v>
      </c>
      <c r="F443" s="10" t="s">
        <v>7</v>
      </c>
      <c r="G443" s="4" t="s">
        <v>128</v>
      </c>
      <c r="H443" s="253">
        <v>221</v>
      </c>
      <c r="I443" s="172">
        <v>46234</v>
      </c>
      <c r="J443" s="172">
        <v>46265</v>
      </c>
      <c r="K443" s="212">
        <v>4.09</v>
      </c>
      <c r="L443" s="7">
        <f ca="1">IF(OR(S443="WTI Sprds",S443="Brent Sprds",S443="WTI-Brent",S443="DFL"),INDEX(INDIRECT("'" &amp; S443 &amp; "'!$A$6:$XFD$1048576"),MATCH('PnL26'!$P$1,INDIRECT("'" &amp; S443 &amp; "'!$A$6:$A$1048576"),0),MATCH(EOMONTH(I443,0),INDIRECT("'" &amp; S443 &amp; "'!$A$4:$XFD$4"),0)),INDEX(BBG!$A:$BA,MATCH('PnL26'!$P$1,BBG!$A:$A,0),MATCH($I443,BBG!$A$4:$BA$4,0))-INDEX(BBG!$A:$BA,MATCH('PnL26'!$P$1,BBG!$A:$A,0),MATCH($J443,BBG!$A$4:$BA$4,0)))</f>
        <v>0.93</v>
      </c>
      <c r="M443" s="9">
        <f t="shared" ca="1" si="628"/>
        <v>-698.3599999999999</v>
      </c>
      <c r="N443">
        <f t="shared" si="629"/>
        <v>903.89</v>
      </c>
      <c r="O443" s="14" t="str">
        <f t="shared" si="630"/>
        <v>Jul/Aug 26</v>
      </c>
      <c r="P443" s="8" t="str">
        <f t="shared" si="631"/>
        <v>Buy</v>
      </c>
      <c r="Q443">
        <f t="shared" ca="1" si="632"/>
        <v>205.53</v>
      </c>
      <c r="R443" t="str">
        <f>VLOOKUP(F443,Control!$B:$C,2,FALSE)</f>
        <v>Futures</v>
      </c>
      <c r="S443" t="str">
        <f>VLOOKUP(F443,Control!$B:$D,3,FALSE)</f>
        <v>Brent Sprds</v>
      </c>
      <c r="T443" s="38">
        <f t="shared" si="633"/>
        <v>2026</v>
      </c>
      <c r="U443" t="str">
        <f t="shared" si="634"/>
        <v>Buy</v>
      </c>
      <c r="V443" s="240" t="s">
        <v>96</v>
      </c>
      <c r="W443" t="str">
        <f>_xlfn.XLOOKUP(Table3[[#This Row],[Instrument]],Control!$B$2:$B$19,Control!$E$2:$E$19)</f>
        <v>Brent</v>
      </c>
      <c r="X443" s="14">
        <f>Table3[[#This Row],[Month1]]</f>
        <v>46234</v>
      </c>
      <c r="Y443" s="350">
        <f>Table3[[#This Row],[Quantity]]</f>
        <v>221</v>
      </c>
      <c r="Z443" t="str">
        <f>_xlfn.XLOOKUP(Table3[[#This Row],[Instrument]],Control!$B$2:$B$19,Control!$F$2:$F$19)</f>
        <v>Brent</v>
      </c>
      <c r="AA443" s="14">
        <f>Table3[[#This Row],[Month2]]</f>
        <v>46265</v>
      </c>
      <c r="AB443" s="350">
        <f t="shared" si="635"/>
        <v>-221</v>
      </c>
    </row>
    <row r="444" spans="4:28" ht="15" hidden="1" thickBot="1" x14ac:dyDescent="0.4">
      <c r="D444" s="239" t="s">
        <v>127</v>
      </c>
      <c r="E444" s="174">
        <v>46104</v>
      </c>
      <c r="F444" s="10" t="s">
        <v>10</v>
      </c>
      <c r="G444" s="4" t="s">
        <v>128</v>
      </c>
      <c r="H444" s="253">
        <v>479</v>
      </c>
      <c r="I444" s="172">
        <v>46203</v>
      </c>
      <c r="J444" s="172">
        <v>46203</v>
      </c>
      <c r="K444" s="212">
        <v>-10.55</v>
      </c>
      <c r="L444" s="7">
        <f ca="1">IF(OR(S444="WTI Sprds",S444="Brent Sprds",S444="WTI-Brent",S444="DFL"),INDEX(INDIRECT("'" &amp; S444 &amp; "'!$A$6:$XFD$1048576"),MATCH('PnL26'!$P$1,INDIRECT("'" &amp; S444 &amp; "'!$A$6:$A$1048576"),0),MATCH(EOMONTH(I444,0),INDIRECT("'" &amp; S444 &amp; "'!$A$4:$XFD$4"),0)),INDEX(BBG!$A:$BA,MATCH('PnL26'!$P$1,BBG!$A:$A,0),MATCH($I444,BBG!$A$4:$BA$4,0))-INDEX(BBG!$A:$BA,MATCH('PnL26'!$P$1,BBG!$A:$A,0),MATCH($J444,BBG!$A$4:$BA$4,0)))</f>
        <v>-8.94</v>
      </c>
      <c r="M444" s="9">
        <f t="shared" ref="M444" ca="1" si="636">IFERROR((L444-K444)*H444,"")</f>
        <v>771.19000000000062</v>
      </c>
      <c r="N444">
        <f t="shared" ref="N444" si="637">H444*K444</f>
        <v>-5053.4500000000007</v>
      </c>
      <c r="O444" s="14" t="str">
        <f t="shared" ref="O444" si="638">IF(I444=J444,TEXT(I444,"MMM YY"),TEXT(I444,"MMM")&amp;"/"&amp;TEXT(J444,"MMM")&amp;" "&amp;RIGHT(T444,2))</f>
        <v>Jun 26</v>
      </c>
      <c r="P444" s="8" t="str">
        <f t="shared" ref="P444" si="639">IF(H444&lt;0,"Sell","Buy")</f>
        <v>Buy</v>
      </c>
      <c r="Q444">
        <f t="shared" ref="Q444" ca="1" si="640">H444*L444</f>
        <v>-4282.2599999999993</v>
      </c>
      <c r="R444" t="str">
        <f>VLOOKUP(F444,Control!$B:$C,2,FALSE)</f>
        <v>Swaps</v>
      </c>
      <c r="S444" t="str">
        <f>VLOOKUP(F444,Control!$B:$D,3,FALSE)</f>
        <v>WTI-Brent</v>
      </c>
      <c r="T444" s="38">
        <f t="shared" ref="T444" si="641">YEAR(I444)</f>
        <v>2026</v>
      </c>
      <c r="U444" t="str">
        <f t="shared" ref="U444" si="642">IFERROR(IF(H444&gt;0,"Buy","Sell"),"")</f>
        <v>Buy</v>
      </c>
      <c r="V444" s="240" t="s">
        <v>96</v>
      </c>
      <c r="W444" t="str">
        <f>_xlfn.XLOOKUP(Table3[[#This Row],[Instrument]],Control!$B$2:$B$19,Control!$E$2:$E$19)</f>
        <v>WTI</v>
      </c>
      <c r="X444" s="14">
        <f>Table3[[#This Row],[Month1]]</f>
        <v>46203</v>
      </c>
      <c r="Y444" s="350">
        <f>Table3[[#This Row],[Quantity]]</f>
        <v>479</v>
      </c>
      <c r="Z444" t="str">
        <f>_xlfn.XLOOKUP(Table3[[#This Row],[Instrument]],Control!$B$2:$B$19,Control!$F$2:$F$19)</f>
        <v>Brent</v>
      </c>
      <c r="AA444" s="14">
        <f>Table3[[#This Row],[Month2]]</f>
        <v>46203</v>
      </c>
      <c r="AB444" s="350">
        <f t="shared" ref="AB444" si="643">-Y444</f>
        <v>-479</v>
      </c>
    </row>
    <row r="445" spans="4:28" ht="15" hidden="1" thickBot="1" x14ac:dyDescent="0.4">
      <c r="D445" s="239" t="s">
        <v>127</v>
      </c>
      <c r="E445" s="174">
        <v>46104</v>
      </c>
      <c r="F445" s="10" t="s">
        <v>10</v>
      </c>
      <c r="G445" s="4" t="s">
        <v>128</v>
      </c>
      <c r="H445" s="253">
        <v>-200</v>
      </c>
      <c r="I445" s="172">
        <v>46234</v>
      </c>
      <c r="J445" s="172">
        <v>46234</v>
      </c>
      <c r="K445" s="212">
        <v>-9.19</v>
      </c>
      <c r="L445" s="7">
        <f ca="1">IF(OR(S445="WTI Sprds",S445="Brent Sprds",S445="WTI-Brent",S445="DFL"),INDEX(INDIRECT("'" &amp; S445 &amp; "'!$A$6:$XFD$1048576"),MATCH('PnL26'!$P$1,INDIRECT("'" &amp; S445 &amp; "'!$A$6:$A$1048576"),0),MATCH(EOMONTH(I445,0),INDIRECT("'" &amp; S445 &amp; "'!$A$4:$XFD$4"),0)),INDEX(BBG!$A:$BA,MATCH('PnL26'!$P$1,BBG!$A:$A,0),MATCH($I445,BBG!$A$4:$BA$4,0))-INDEX(BBG!$A:$BA,MATCH('PnL26'!$P$1,BBG!$A:$A,0),MATCH($J445,BBG!$A$4:$BA$4,0)))</f>
        <v>-4.6900000000000004</v>
      </c>
      <c r="M445" s="9">
        <f t="shared" ref="M445" ca="1" si="644">IFERROR((L445-K445)*H445,"")</f>
        <v>-899.99999999999977</v>
      </c>
      <c r="N445">
        <f t="shared" ref="N445" si="645">H445*K445</f>
        <v>1838</v>
      </c>
      <c r="O445" s="14" t="str">
        <f t="shared" ref="O445" si="646">IF(I445=J445,TEXT(I445,"MMM YY"),TEXT(I445,"MMM")&amp;"/"&amp;TEXT(J445,"MMM")&amp;" "&amp;RIGHT(T445,2))</f>
        <v>Jul 26</v>
      </c>
      <c r="P445" s="8" t="str">
        <f t="shared" ref="P445" si="647">IF(H445&lt;0,"Sell","Buy")</f>
        <v>Sell</v>
      </c>
      <c r="Q445">
        <f t="shared" ref="Q445" ca="1" si="648">H445*L445</f>
        <v>938.00000000000011</v>
      </c>
      <c r="R445" t="str">
        <f>VLOOKUP(F445,Control!$B:$C,2,FALSE)</f>
        <v>Swaps</v>
      </c>
      <c r="S445" t="str">
        <f>VLOOKUP(F445,Control!$B:$D,3,FALSE)</f>
        <v>WTI-Brent</v>
      </c>
      <c r="T445" s="38">
        <f t="shared" ref="T445" si="649">YEAR(I445)</f>
        <v>2026</v>
      </c>
      <c r="U445" t="str">
        <f t="shared" ref="U445" si="650">IFERROR(IF(H445&gt;0,"Buy","Sell"),"")</f>
        <v>Sell</v>
      </c>
      <c r="V445" s="240" t="s">
        <v>96</v>
      </c>
      <c r="W445" t="str">
        <f>_xlfn.XLOOKUP(Table3[[#This Row],[Instrument]],Control!$B$2:$B$19,Control!$E$2:$E$19)</f>
        <v>WTI</v>
      </c>
      <c r="X445" s="14">
        <f>Table3[[#This Row],[Month1]]</f>
        <v>46234</v>
      </c>
      <c r="Y445" s="350">
        <f>Table3[[#This Row],[Quantity]]</f>
        <v>-200</v>
      </c>
      <c r="Z445" t="str">
        <f>_xlfn.XLOOKUP(Table3[[#This Row],[Instrument]],Control!$B$2:$B$19,Control!$F$2:$F$19)</f>
        <v>Brent</v>
      </c>
      <c r="AA445" s="14">
        <f>Table3[[#This Row],[Month2]]</f>
        <v>46234</v>
      </c>
      <c r="AB445" s="350">
        <f t="shared" ref="AB445" si="651">-Y445</f>
        <v>200</v>
      </c>
    </row>
    <row r="446" spans="4:28" ht="15" hidden="1" thickBot="1" x14ac:dyDescent="0.4">
      <c r="D446" s="239" t="s">
        <v>1735</v>
      </c>
      <c r="E446" s="174">
        <v>46105</v>
      </c>
      <c r="F446" s="10" t="s">
        <v>10</v>
      </c>
      <c r="G446" s="4" t="s">
        <v>128</v>
      </c>
      <c r="H446" s="253">
        <v>-700</v>
      </c>
      <c r="I446" s="172">
        <v>46173</v>
      </c>
      <c r="J446" s="172">
        <v>46173</v>
      </c>
      <c r="K446" s="212">
        <v>-11.81</v>
      </c>
      <c r="L446" s="7">
        <f ca="1">IF(OR(S446="WTI Sprds",S446="Brent Sprds",S446="WTI-Brent",S446="DFL"),INDEX(INDIRECT("'" &amp; S446 &amp; "'!$A$6:$XFD$1048576"),MATCH('PnL26'!$P$1,INDIRECT("'" &amp; S446 &amp; "'!$A$6:$A$1048576"),0),MATCH(EOMONTH(I446,0),INDIRECT("'" &amp; S446 &amp; "'!$A$4:$XFD$4"),0)),INDEX(BBG!$A:$BA,MATCH('PnL26'!$P$1,BBG!$A:$A,0),MATCH($I446,BBG!$A$4:$BA$4,0))-INDEX(BBG!$A:$BA,MATCH('PnL26'!$P$1,BBG!$A:$A,0),MATCH($J446,BBG!$A$4:$BA$4,0)))</f>
        <v>-16.97</v>
      </c>
      <c r="M446" s="9">
        <f t="shared" ref="M446:M447" ca="1" si="652">IFERROR((L446-K446)*H446,"")</f>
        <v>3611.9999999999986</v>
      </c>
      <c r="N446">
        <f t="shared" ref="N446:N447" si="653">H446*K446</f>
        <v>8267</v>
      </c>
      <c r="O446" s="14" t="str">
        <f t="shared" ref="O446:O447" si="654">IF(I446=J446,TEXT(I446,"MMM YY"),TEXT(I446,"MMM")&amp;"/"&amp;TEXT(J446,"MMM")&amp;" "&amp;RIGHT(T446,2))</f>
        <v>May 26</v>
      </c>
      <c r="P446" s="8" t="str">
        <f t="shared" ref="P446:P447" si="655">IF(H446&lt;0,"Sell","Buy")</f>
        <v>Sell</v>
      </c>
      <c r="Q446">
        <f t="shared" ref="Q446:Q447" ca="1" si="656">H446*L446</f>
        <v>11879</v>
      </c>
      <c r="R446" t="str">
        <f>VLOOKUP(F446,Control!$B:$C,2,FALSE)</f>
        <v>Swaps</v>
      </c>
      <c r="S446" t="str">
        <f>VLOOKUP(F446,Control!$B:$D,3,FALSE)</f>
        <v>WTI-Brent</v>
      </c>
      <c r="T446" s="38">
        <f t="shared" ref="T446:T447" si="657">YEAR(I446)</f>
        <v>2026</v>
      </c>
      <c r="U446" t="str">
        <f t="shared" ref="U446:U447" si="658">IFERROR(IF(H446&gt;0,"Buy","Sell"),"")</f>
        <v>Sell</v>
      </c>
      <c r="V446" s="240" t="s">
        <v>96</v>
      </c>
      <c r="W446" t="str">
        <f>_xlfn.XLOOKUP(Table3[[#This Row],[Instrument]],Control!$B$2:$B$19,Control!$E$2:$E$19)</f>
        <v>WTI</v>
      </c>
      <c r="X446" s="14">
        <f>Table3[[#This Row],[Month1]]</f>
        <v>46173</v>
      </c>
      <c r="Y446" s="350">
        <f>Table3[[#This Row],[Quantity]]</f>
        <v>-700</v>
      </c>
      <c r="Z446" t="str">
        <f>_xlfn.XLOOKUP(Table3[[#This Row],[Instrument]],Control!$B$2:$B$19,Control!$F$2:$F$19)</f>
        <v>Brent</v>
      </c>
      <c r="AA446" s="14">
        <f>Table3[[#This Row],[Month2]]</f>
        <v>46173</v>
      </c>
      <c r="AB446" s="350">
        <f t="shared" ref="AB446:AB447" si="659">-Y446</f>
        <v>700</v>
      </c>
    </row>
    <row r="447" spans="4:28" ht="15" hidden="1" thickBot="1" x14ac:dyDescent="0.4">
      <c r="D447" s="239" t="s">
        <v>127</v>
      </c>
      <c r="E447" s="174">
        <v>46105</v>
      </c>
      <c r="F447" s="10" t="s">
        <v>7</v>
      </c>
      <c r="G447" s="4" t="s">
        <v>128</v>
      </c>
      <c r="H447" s="253">
        <v>200</v>
      </c>
      <c r="I447" s="172">
        <v>46203</v>
      </c>
      <c r="J447" s="172">
        <v>46234</v>
      </c>
      <c r="K447" s="212">
        <v>4.45</v>
      </c>
      <c r="L447" s="7">
        <f ca="1">IF(OR(S447="WTI Sprds",S447="Brent Sprds",S447="WTI-Brent",S447="DFL"),INDEX(INDIRECT("'" &amp; S447 &amp; "'!$A$6:$XFD$1048576"),MATCH('PnL26'!$P$1,INDIRECT("'" &amp; S447 &amp; "'!$A$6:$A$1048576"),0),MATCH(EOMONTH(I447,0),INDIRECT("'" &amp; S447 &amp; "'!$A$4:$XFD$4"),0)),INDEX(BBG!$A:$BA,MATCH('PnL26'!$P$1,BBG!$A:$A,0),MATCH($I447,BBG!$A$4:$BA$4,0))-INDEX(BBG!$A:$BA,MATCH('PnL26'!$P$1,BBG!$A:$A,0),MATCH($J447,BBG!$A$4:$BA$4,0)))</f>
        <v>3.61</v>
      </c>
      <c r="M447" s="9">
        <f t="shared" ca="1" si="652"/>
        <v>-168.00000000000006</v>
      </c>
      <c r="N447">
        <f t="shared" si="653"/>
        <v>890</v>
      </c>
      <c r="O447" s="14" t="str">
        <f t="shared" si="654"/>
        <v>Jun/Jul 26</v>
      </c>
      <c r="P447" s="8" t="str">
        <f t="shared" si="655"/>
        <v>Buy</v>
      </c>
      <c r="Q447">
        <f t="shared" ca="1" si="656"/>
        <v>722</v>
      </c>
      <c r="R447" t="str">
        <f>VLOOKUP(F447,Control!$B:$C,2,FALSE)</f>
        <v>Futures</v>
      </c>
      <c r="S447" t="str">
        <f>VLOOKUP(F447,Control!$B:$D,3,FALSE)</f>
        <v>Brent Sprds</v>
      </c>
      <c r="T447" s="38">
        <f t="shared" si="657"/>
        <v>2026</v>
      </c>
      <c r="U447" t="str">
        <f t="shared" si="658"/>
        <v>Buy</v>
      </c>
      <c r="V447" s="240" t="s">
        <v>96</v>
      </c>
      <c r="W447" t="str">
        <f>_xlfn.XLOOKUP(Table3[[#This Row],[Instrument]],Control!$B$2:$B$19,Control!$E$2:$E$19)</f>
        <v>Brent</v>
      </c>
      <c r="X447" s="14">
        <f>Table3[[#This Row],[Month1]]</f>
        <v>46203</v>
      </c>
      <c r="Y447" s="350">
        <f>Table3[[#This Row],[Quantity]]</f>
        <v>200</v>
      </c>
      <c r="Z447" t="str">
        <f>_xlfn.XLOOKUP(Table3[[#This Row],[Instrument]],Control!$B$2:$B$19,Control!$F$2:$F$19)</f>
        <v>Brent</v>
      </c>
      <c r="AA447" s="14">
        <f>Table3[[#This Row],[Month2]]</f>
        <v>46234</v>
      </c>
      <c r="AB447" s="350">
        <f t="shared" si="659"/>
        <v>-200</v>
      </c>
    </row>
    <row r="448" spans="4:28" ht="15" hidden="1" thickBot="1" x14ac:dyDescent="0.4">
      <c r="D448" t="s">
        <v>127</v>
      </c>
      <c r="E448" s="174">
        <v>46105</v>
      </c>
      <c r="F448" s="10" t="s">
        <v>15</v>
      </c>
      <c r="G448" s="4" t="s">
        <v>128</v>
      </c>
      <c r="H448" s="253">
        <v>150</v>
      </c>
      <c r="I448" s="173">
        <v>46203</v>
      </c>
      <c r="J448" s="173">
        <v>46203</v>
      </c>
      <c r="K448" s="100">
        <v>4.05</v>
      </c>
      <c r="L448" s="192">
        <f>VLOOKUP($I448,'PnL26'!$E$7:$F$59,2,FALSE)</f>
        <v>2.23</v>
      </c>
      <c r="M448" s="9">
        <f>IFERROR((L448-K448)*H448,"")</f>
        <v>-273</v>
      </c>
      <c r="N448">
        <f>H448*K448</f>
        <v>607.5</v>
      </c>
      <c r="O448" s="14" t="str">
        <f>IF(I448=J448,TEXT(I448,"MMM YY"),TEXT(I448,"MMM")&amp;"/"&amp;TEXT(J448,"MMM")&amp;" "&amp;RIGHT(T448,2))</f>
        <v>Jun 26</v>
      </c>
      <c r="P448" s="8" t="str">
        <f>IF(H448&lt;0,"Sell","Buy")</f>
        <v>Buy</v>
      </c>
      <c r="Q448">
        <f>H448*L448</f>
        <v>334.5</v>
      </c>
      <c r="R448" s="38" t="str">
        <f>VLOOKUP(F448,Control!$B:$C,2,FALSE)</f>
        <v>Swaps</v>
      </c>
      <c r="S448" s="38" t="str">
        <f>VLOOKUP(F448,Control!$B:$D,3,FALSE)</f>
        <v>Dated</v>
      </c>
      <c r="T448" s="38">
        <f>YEAR(I448)</f>
        <v>2026</v>
      </c>
      <c r="U448" t="str">
        <f>IFERROR(IF(H448&gt;0,"Buy","Sell"),"")</f>
        <v>Buy</v>
      </c>
      <c r="V448" t="s">
        <v>96</v>
      </c>
      <c r="W448" t="e">
        <f>_xlfn.XLOOKUP(Table3[[#This Row],[Instrument]],Control!$B$2:$B$19,Control!$E$2:$E$19)</f>
        <v>#N/A</v>
      </c>
      <c r="X448" s="14">
        <f>Table3[[#This Row],[Month1]]</f>
        <v>46203</v>
      </c>
      <c r="Y448" s="350">
        <f>Table3[[#This Row],[Quantity]]</f>
        <v>150</v>
      </c>
      <c r="Z448" t="e">
        <f>_xlfn.XLOOKUP(Table3[[#This Row],[Instrument]],Control!$B$2:$B$19,Control!$F$2:$F$19)</f>
        <v>#N/A</v>
      </c>
      <c r="AA448" s="14">
        <f>Table3[[#This Row],[Month2]]</f>
        <v>46203</v>
      </c>
      <c r="AB448" s="350">
        <f>-Y448</f>
        <v>-150</v>
      </c>
    </row>
    <row r="449" spans="4:28" ht="15" hidden="1" thickBot="1" x14ac:dyDescent="0.4">
      <c r="D449" s="37" t="s">
        <v>1735</v>
      </c>
      <c r="E449" s="174">
        <v>46105</v>
      </c>
      <c r="F449" s="10" t="s">
        <v>44</v>
      </c>
      <c r="G449" s="4" t="s">
        <v>128</v>
      </c>
      <c r="H449" s="253">
        <v>700</v>
      </c>
      <c r="I449" s="172">
        <v>46173</v>
      </c>
      <c r="J449" s="172">
        <v>46173</v>
      </c>
      <c r="K449" s="15">
        <v>2.8</v>
      </c>
      <c r="L449" s="192">
        <f>VLOOKUP(I449,'PnL26'!$E$6:$G$54,3,FALSE)</f>
        <v>7.1</v>
      </c>
      <c r="M449" s="9">
        <f>IFERROR((L449-K449)*H449,"")</f>
        <v>3010</v>
      </c>
      <c r="N449">
        <f t="shared" ref="N449:N451" si="660">H449*K449</f>
        <v>1959.9999999999998</v>
      </c>
      <c r="O449" s="14" t="str">
        <f t="shared" ref="O449:O451" si="661">IF(I449=J449,TEXT(I449,"MMM YY"),TEXT(I449,"MMM")&amp;"/"&amp;TEXT(J449,"MMM")&amp;" "&amp;RIGHT(T449,2))</f>
        <v>May 26</v>
      </c>
      <c r="P449" s="8" t="str">
        <f t="shared" ref="P449:P451" si="662">IF(H449&lt;0,"Sell","Buy")</f>
        <v>Buy</v>
      </c>
      <c r="Q449">
        <f t="shared" ref="Q449:Q451" si="663">H449*L449</f>
        <v>4970</v>
      </c>
      <c r="R449" s="38" t="str">
        <f>VLOOKUP(F449,Control!$B:$C,2,FALSE)</f>
        <v>Swaps</v>
      </c>
      <c r="S449" s="38" t="str">
        <f>VLOOKUP(F449,Control!$B:$D,3,FALSE)</f>
        <v>MEH</v>
      </c>
      <c r="T449" s="38">
        <f t="shared" ref="T449:T451" si="664">YEAR(I449)</f>
        <v>2026</v>
      </c>
      <c r="U449" t="str">
        <f t="shared" ref="U449:U451" si="665">IFERROR(IF(H449&gt;0,"Buy","Sell"),"")</f>
        <v>Buy</v>
      </c>
      <c r="V449" t="s">
        <v>96</v>
      </c>
      <c r="W449">
        <f>_xlfn.XLOOKUP(Table3[[#This Row],[Instrument]],Control!$B$2:$B$19,Control!$E$2:$E$19)</f>
        <v>0</v>
      </c>
      <c r="X449" s="14">
        <f>Table3[[#This Row],[Month1]]</f>
        <v>46173</v>
      </c>
      <c r="Y449" s="350">
        <f>Table3[[#This Row],[Quantity]]</f>
        <v>700</v>
      </c>
      <c r="Z449">
        <f>_xlfn.XLOOKUP(Table3[[#This Row],[Instrument]],Control!$B$2:$B$19,Control!$F$2:$F$19)</f>
        <v>0</v>
      </c>
      <c r="AA449" s="14">
        <f>Table3[[#This Row],[Month2]]</f>
        <v>46173</v>
      </c>
      <c r="AB449" s="350">
        <f t="shared" ref="AB449:AB451" si="666">-Y449</f>
        <v>-700</v>
      </c>
    </row>
    <row r="450" spans="4:28" ht="15" hidden="1" thickBot="1" x14ac:dyDescent="0.4">
      <c r="D450" s="239" t="s">
        <v>1736</v>
      </c>
      <c r="E450" s="174">
        <v>46106</v>
      </c>
      <c r="F450" s="10" t="s">
        <v>10</v>
      </c>
      <c r="G450" s="4" t="s">
        <v>128</v>
      </c>
      <c r="H450" s="253">
        <v>-700</v>
      </c>
      <c r="I450" s="172">
        <v>46173</v>
      </c>
      <c r="J450" s="172">
        <v>46173</v>
      </c>
      <c r="K450" s="212">
        <v>-11.9</v>
      </c>
      <c r="L450" s="7">
        <f ca="1">IF(OR(S450="WTI Sprds",S450="Brent Sprds",S450="WTI-Brent",S450="DFL"),INDEX(INDIRECT("'" &amp; S450 &amp; "'!$A$6:$XFD$1048576"),MATCH('PnL26'!$P$1,INDIRECT("'" &amp; S450 &amp; "'!$A$6:$A$1048576"),0),MATCH(EOMONTH(I450,0),INDIRECT("'" &amp; S450 &amp; "'!$A$4:$XFD$4"),0)),INDEX(BBG!$A:$BA,MATCH('PnL26'!$P$1,BBG!$A:$A,0),MATCH($I450,BBG!$A$4:$BA$4,0))-INDEX(BBG!$A:$BA,MATCH('PnL26'!$P$1,BBG!$A:$A,0),MATCH($J450,BBG!$A$4:$BA$4,0)))</f>
        <v>-16.97</v>
      </c>
      <c r="M450" s="9">
        <f t="shared" ref="M450:M451" ca="1" si="667">IFERROR((L450-K450)*H450,"")</f>
        <v>3548.9999999999991</v>
      </c>
      <c r="N450">
        <f t="shared" si="660"/>
        <v>8330</v>
      </c>
      <c r="O450" s="14" t="str">
        <f t="shared" si="661"/>
        <v>May 26</v>
      </c>
      <c r="P450" s="8" t="str">
        <f t="shared" si="662"/>
        <v>Sell</v>
      </c>
      <c r="Q450">
        <f t="shared" ca="1" si="663"/>
        <v>11879</v>
      </c>
      <c r="R450" t="str">
        <f>VLOOKUP(F450,Control!$B:$C,2,FALSE)</f>
        <v>Swaps</v>
      </c>
      <c r="S450" t="str">
        <f>VLOOKUP(F450,Control!$B:$D,3,FALSE)</f>
        <v>WTI-Brent</v>
      </c>
      <c r="T450" s="38">
        <f t="shared" si="664"/>
        <v>2026</v>
      </c>
      <c r="U450" t="str">
        <f t="shared" si="665"/>
        <v>Sell</v>
      </c>
      <c r="V450" s="240" t="s">
        <v>96</v>
      </c>
      <c r="W450" t="str">
        <f>_xlfn.XLOOKUP(Table3[[#This Row],[Instrument]],Control!$B$2:$B$19,Control!$E$2:$E$19)</f>
        <v>WTI</v>
      </c>
      <c r="X450" s="14">
        <f>Table3[[#This Row],[Month1]]</f>
        <v>46173</v>
      </c>
      <c r="Y450" s="350">
        <f>Table3[[#This Row],[Quantity]]</f>
        <v>-700</v>
      </c>
      <c r="Z450" t="str">
        <f>_xlfn.XLOOKUP(Table3[[#This Row],[Instrument]],Control!$B$2:$B$19,Control!$F$2:$F$19)</f>
        <v>Brent</v>
      </c>
      <c r="AA450" s="14">
        <f>Table3[[#This Row],[Month2]]</f>
        <v>46173</v>
      </c>
      <c r="AB450" s="350">
        <f t="shared" si="666"/>
        <v>700</v>
      </c>
    </row>
    <row r="451" spans="4:28" ht="15" hidden="1" thickBot="1" x14ac:dyDescent="0.4">
      <c r="D451" s="239" t="s">
        <v>127</v>
      </c>
      <c r="E451" s="174">
        <v>46106</v>
      </c>
      <c r="F451" s="10" t="s">
        <v>3</v>
      </c>
      <c r="G451" s="4" t="s">
        <v>128</v>
      </c>
      <c r="H451" s="253">
        <v>86</v>
      </c>
      <c r="I451" s="172">
        <v>46173</v>
      </c>
      <c r="J451" s="172">
        <v>46203</v>
      </c>
      <c r="K451" s="212">
        <v>2.54</v>
      </c>
      <c r="L451" s="7">
        <f ca="1">IF(OR(S451="WTI Sprds",S451="Brent Sprds",S451="WTI-Brent",S451="DFL"),INDEX(INDIRECT("'" &amp; S451 &amp; "'!$A$6:$XFD$1048576"),MATCH('PnL26'!$P$1,INDIRECT("'" &amp; S451 &amp; "'!$A$6:$A$1048576"),0),MATCH(EOMONTH(I451,0),INDIRECT("'" &amp; S451 &amp; "'!$A$4:$XFD$4"),0)),INDEX(BBG!$A:$BA,MATCH('PnL26'!$P$1,BBG!$A:$A,0),MATCH($I451,BBG!$A$4:$BA$4,0))-INDEX(BBG!$A:$BA,MATCH('PnL26'!$P$1,BBG!$A:$A,0),MATCH($J451,BBG!$A$4:$BA$4,0)))</f>
        <v>2.19</v>
      </c>
      <c r="M451" s="9">
        <f t="shared" ca="1" si="667"/>
        <v>-30.100000000000009</v>
      </c>
      <c r="N451">
        <f t="shared" si="660"/>
        <v>218.44</v>
      </c>
      <c r="O451" s="14" t="str">
        <f t="shared" si="661"/>
        <v>May/Jun 26</v>
      </c>
      <c r="P451" s="8" t="str">
        <f t="shared" si="662"/>
        <v>Buy</v>
      </c>
      <c r="Q451">
        <f t="shared" ca="1" si="663"/>
        <v>188.34</v>
      </c>
      <c r="R451" t="str">
        <f>VLOOKUP(F451,Control!$B:$C,2,FALSE)</f>
        <v>Futures</v>
      </c>
      <c r="S451" t="str">
        <f>VLOOKUP(F451,Control!$B:$D,3,FALSE)</f>
        <v>WTI Sprds</v>
      </c>
      <c r="T451" s="38">
        <f t="shared" si="664"/>
        <v>2026</v>
      </c>
      <c r="U451" t="str">
        <f t="shared" si="665"/>
        <v>Buy</v>
      </c>
      <c r="V451" s="240" t="s">
        <v>96</v>
      </c>
      <c r="W451" t="str">
        <f>_xlfn.XLOOKUP(Table3[[#This Row],[Instrument]],Control!$B$2:$B$19,Control!$E$2:$E$19)</f>
        <v>WTI</v>
      </c>
      <c r="X451" s="14">
        <f>Table3[[#This Row],[Month1]]</f>
        <v>46173</v>
      </c>
      <c r="Y451" s="350">
        <f>Table3[[#This Row],[Quantity]]</f>
        <v>86</v>
      </c>
      <c r="Z451" t="str">
        <f>_xlfn.XLOOKUP(Table3[[#This Row],[Instrument]],Control!$B$2:$B$19,Control!$F$2:$F$19)</f>
        <v>WTI</v>
      </c>
      <c r="AA451" s="14">
        <f>Table3[[#This Row],[Month2]]</f>
        <v>46203</v>
      </c>
      <c r="AB451" s="350">
        <f t="shared" si="666"/>
        <v>-86</v>
      </c>
    </row>
    <row r="452" spans="4:28" ht="15" hidden="1" thickBot="1" x14ac:dyDescent="0.4">
      <c r="D452" t="s">
        <v>127</v>
      </c>
      <c r="E452" s="174">
        <v>46106</v>
      </c>
      <c r="F452" s="10" t="s">
        <v>15</v>
      </c>
      <c r="G452" s="4" t="s">
        <v>128</v>
      </c>
      <c r="H452" s="253">
        <v>-100</v>
      </c>
      <c r="I452" s="173">
        <v>46173</v>
      </c>
      <c r="J452" s="173">
        <v>46173</v>
      </c>
      <c r="K452" s="100">
        <v>4.1500000000000004</v>
      </c>
      <c r="L452" s="192">
        <f>VLOOKUP($I452,'PnL26'!$E$7:$F$59,2,FALSE)</f>
        <v>3.68</v>
      </c>
      <c r="M452" s="9">
        <f>IFERROR((L452-K452)*H452,"")</f>
        <v>47.000000000000021</v>
      </c>
      <c r="N452">
        <f>H452*K452</f>
        <v>-415.00000000000006</v>
      </c>
      <c r="O452" s="14" t="str">
        <f>IF(I452=J452,TEXT(I452,"MMM YY"),TEXT(I452,"MMM")&amp;"/"&amp;TEXT(J452,"MMM")&amp;" "&amp;RIGHT(T452,2))</f>
        <v>May 26</v>
      </c>
      <c r="P452" s="8" t="str">
        <f>IF(H452&lt;0,"Sell","Buy")</f>
        <v>Sell</v>
      </c>
      <c r="Q452">
        <f>H452*L452</f>
        <v>-368</v>
      </c>
      <c r="R452" s="38" t="str">
        <f>VLOOKUP(F452,Control!$B:$C,2,FALSE)</f>
        <v>Swaps</v>
      </c>
      <c r="S452" s="38" t="str">
        <f>VLOOKUP(F452,Control!$B:$D,3,FALSE)</f>
        <v>Dated</v>
      </c>
      <c r="T452" s="38">
        <f>YEAR(I452)</f>
        <v>2026</v>
      </c>
      <c r="U452" t="str">
        <f>IFERROR(IF(H452&gt;0,"Buy","Sell"),"")</f>
        <v>Sell</v>
      </c>
      <c r="V452" t="s">
        <v>96</v>
      </c>
      <c r="W452" t="e">
        <f>_xlfn.XLOOKUP(Table3[[#This Row],[Instrument]],Control!$B$2:$B$19,Control!$E$2:$E$19)</f>
        <v>#N/A</v>
      </c>
      <c r="X452" s="14">
        <f>Table3[[#This Row],[Month1]]</f>
        <v>46173</v>
      </c>
      <c r="Y452" s="350">
        <f>Table3[[#This Row],[Quantity]]</f>
        <v>-100</v>
      </c>
      <c r="Z452" t="e">
        <f>_xlfn.XLOOKUP(Table3[[#This Row],[Instrument]],Control!$B$2:$B$19,Control!$F$2:$F$19)</f>
        <v>#N/A</v>
      </c>
      <c r="AA452" s="14">
        <f>Table3[[#This Row],[Month2]]</f>
        <v>46173</v>
      </c>
      <c r="AB452" s="350">
        <f>-Y452</f>
        <v>100</v>
      </c>
    </row>
    <row r="453" spans="4:28" ht="15" hidden="1" thickBot="1" x14ac:dyDescent="0.4">
      <c r="D453" s="239" t="s">
        <v>127</v>
      </c>
      <c r="E453" s="174">
        <v>46107</v>
      </c>
      <c r="F453" s="10" t="s">
        <v>3</v>
      </c>
      <c r="G453" s="4" t="s">
        <v>128</v>
      </c>
      <c r="H453" s="456">
        <v>214</v>
      </c>
      <c r="I453" s="172">
        <v>46173</v>
      </c>
      <c r="J453" s="172">
        <v>46203</v>
      </c>
      <c r="K453" s="212">
        <v>3.33</v>
      </c>
      <c r="L453" s="7">
        <f ca="1">IF(OR(S453="WTI Sprds",S453="Brent Sprds",S453="WTI-Brent",S453="DFL"),INDEX(INDIRECT("'" &amp; S453 &amp; "'!$A$6:$XFD$1048576"),MATCH('PnL26'!$P$1,INDIRECT("'" &amp; S453 &amp; "'!$A$6:$A$1048576"),0),MATCH(EOMONTH(I453,0),INDIRECT("'" &amp; S453 &amp; "'!$A$4:$XFD$4"),0)),INDEX(BBG!$A:$BA,MATCH('PnL26'!$P$1,BBG!$A:$A,0),MATCH($I453,BBG!$A$4:$BA$4,0))-INDEX(BBG!$A:$BA,MATCH('PnL26'!$P$1,BBG!$A:$A,0),MATCH($J453,BBG!$A$4:$BA$4,0)))</f>
        <v>2.19</v>
      </c>
      <c r="M453" s="9">
        <f t="shared" ref="M453" ca="1" si="668">IFERROR((L453-K453)*H453,"")</f>
        <v>-243.96000000000004</v>
      </c>
      <c r="N453">
        <f t="shared" ref="N453" si="669">H453*K453</f>
        <v>712.62</v>
      </c>
      <c r="O453" s="14" t="str">
        <f t="shared" ref="O453" si="670">IF(I453=J453,TEXT(I453,"MMM YY"),TEXT(I453,"MMM")&amp;"/"&amp;TEXT(J453,"MMM")&amp;" "&amp;RIGHT(T453,2))</f>
        <v>May/Jun 26</v>
      </c>
      <c r="P453" s="8" t="str">
        <f t="shared" ref="P453" si="671">IF(H453&lt;0,"Sell","Buy")</f>
        <v>Buy</v>
      </c>
      <c r="Q453">
        <f t="shared" ref="Q453" ca="1" si="672">H453*L453</f>
        <v>468.65999999999997</v>
      </c>
      <c r="R453" t="str">
        <f>VLOOKUP(F453,Control!$B:$C,2,FALSE)</f>
        <v>Futures</v>
      </c>
      <c r="S453" t="str">
        <f>VLOOKUP(F453,Control!$B:$D,3,FALSE)</f>
        <v>WTI Sprds</v>
      </c>
      <c r="T453" s="38">
        <f t="shared" ref="T453" si="673">YEAR(I453)</f>
        <v>2026</v>
      </c>
      <c r="U453" t="str">
        <f t="shared" ref="U453" si="674">IFERROR(IF(H453&gt;0,"Buy","Sell"),"")</f>
        <v>Buy</v>
      </c>
      <c r="V453" s="240" t="s">
        <v>96</v>
      </c>
      <c r="W453" t="str">
        <f>_xlfn.XLOOKUP(Table3[[#This Row],[Instrument]],Control!$B$2:$B$19,Control!$E$2:$E$19)</f>
        <v>WTI</v>
      </c>
      <c r="X453" s="14">
        <f>Table3[[#This Row],[Month1]]</f>
        <v>46173</v>
      </c>
      <c r="Y453" s="350">
        <f>Table3[[#This Row],[Quantity]]</f>
        <v>214</v>
      </c>
      <c r="Z453" t="str">
        <f>_xlfn.XLOOKUP(Table3[[#This Row],[Instrument]],Control!$B$2:$B$19,Control!$F$2:$F$19)</f>
        <v>WTI</v>
      </c>
      <c r="AA453" s="14">
        <f>Table3[[#This Row],[Month2]]</f>
        <v>46203</v>
      </c>
      <c r="AB453" s="350">
        <f t="shared" ref="AB453" si="675">-Y453</f>
        <v>-214</v>
      </c>
    </row>
    <row r="454" spans="4:28" ht="15" hidden="1" thickBot="1" x14ac:dyDescent="0.4">
      <c r="D454" s="239" t="s">
        <v>127</v>
      </c>
      <c r="E454" s="174">
        <v>46107</v>
      </c>
      <c r="F454" s="10" t="s">
        <v>3</v>
      </c>
      <c r="G454" s="4" t="s">
        <v>128</v>
      </c>
      <c r="H454" s="456">
        <v>75</v>
      </c>
      <c r="I454" s="172">
        <f>J453</f>
        <v>46203</v>
      </c>
      <c r="J454" s="172">
        <f>EOMONTH(Table3[[#This Row],[Month1]],1)</f>
        <v>46234</v>
      </c>
      <c r="K454" s="212">
        <v>3.15</v>
      </c>
      <c r="L454" s="7">
        <f ca="1">IF(OR(S454="WTI Sprds",S454="Brent Sprds",S454="WTI-Brent",S454="DFL"),INDEX(INDIRECT("'" &amp; S454 &amp; "'!$A$6:$XFD$1048576"),MATCH('PnL26'!$P$1,INDIRECT("'" &amp; S454 &amp; "'!$A$6:$A$1048576"),0),MATCH(EOMONTH(I454,0),INDIRECT("'" &amp; S454 &amp; "'!$A$4:$XFD$4"),0)),INDEX(BBG!$A:$BA,MATCH('PnL26'!$P$1,BBG!$A:$A,0),MATCH($I454,BBG!$A$4:$BA$4,0))-INDEX(BBG!$A:$BA,MATCH('PnL26'!$P$1,BBG!$A:$A,0),MATCH($J454,BBG!$A$4:$BA$4,0)))</f>
        <v>4.28</v>
      </c>
      <c r="M454" s="9">
        <f t="shared" ref="M454" ca="1" si="676">IFERROR((L454-K454)*H454,"")</f>
        <v>84.750000000000028</v>
      </c>
      <c r="N454">
        <f t="shared" ref="N454:N462" si="677">H454*K454</f>
        <v>236.25</v>
      </c>
      <c r="O454" s="14" t="str">
        <f t="shared" ref="O454:O464" si="678">IF(I454=J454,TEXT(I454,"MMM YY"),TEXT(I454,"MMM")&amp;"/"&amp;TEXT(J454,"MMM")&amp;" "&amp;RIGHT(T454,2))</f>
        <v>Jun/Jul 26</v>
      </c>
      <c r="P454" s="8" t="str">
        <f t="shared" ref="P454:P464" si="679">IF(H454&lt;0,"Sell","Buy")</f>
        <v>Buy</v>
      </c>
      <c r="Q454">
        <f t="shared" ref="Q454:Q464" ca="1" si="680">H454*L454</f>
        <v>321</v>
      </c>
      <c r="R454" t="str">
        <f>VLOOKUP(F454,Control!$B:$C,2,FALSE)</f>
        <v>Futures</v>
      </c>
      <c r="S454" t="str">
        <f>VLOOKUP(F454,Control!$B:$D,3,FALSE)</f>
        <v>WTI Sprds</v>
      </c>
      <c r="T454" s="38">
        <f t="shared" ref="T454:T464" si="681">YEAR(I454)</f>
        <v>2026</v>
      </c>
      <c r="U454" t="str">
        <f t="shared" ref="U454:U464" si="682">IFERROR(IF(H454&gt;0,"Buy","Sell"),"")</f>
        <v>Buy</v>
      </c>
      <c r="V454" s="240" t="s">
        <v>96</v>
      </c>
      <c r="W454" t="str">
        <f>_xlfn.XLOOKUP(Table3[[#This Row],[Instrument]],Control!$B$2:$B$19,Control!$E$2:$E$19)</f>
        <v>WTI</v>
      </c>
      <c r="X454" s="14">
        <f>Table3[[#This Row],[Month1]]</f>
        <v>46203</v>
      </c>
      <c r="Y454" s="350">
        <f>Table3[[#This Row],[Quantity]]</f>
        <v>75</v>
      </c>
      <c r="Z454" t="str">
        <f>_xlfn.XLOOKUP(Table3[[#This Row],[Instrument]],Control!$B$2:$B$19,Control!$F$2:$F$19)</f>
        <v>WTI</v>
      </c>
      <c r="AA454" s="14">
        <f>Table3[[#This Row],[Month2]]</f>
        <v>46234</v>
      </c>
      <c r="AB454" s="350">
        <f t="shared" ref="AB454:AB464" si="683">-Y454</f>
        <v>-75</v>
      </c>
    </row>
    <row r="455" spans="4:28" ht="15" hidden="1" thickBot="1" x14ac:dyDescent="0.4">
      <c r="D455" t="s">
        <v>1735</v>
      </c>
      <c r="E455" s="174">
        <v>46107</v>
      </c>
      <c r="F455" s="375" t="s">
        <v>36</v>
      </c>
      <c r="G455" s="4" t="s">
        <v>128</v>
      </c>
      <c r="H455" s="253">
        <v>-15</v>
      </c>
      <c r="I455" s="172">
        <v>46142</v>
      </c>
      <c r="J455" s="172">
        <v>46142</v>
      </c>
      <c r="K455" s="212">
        <v>150.22149999999999</v>
      </c>
      <c r="L455" s="314">
        <f>VLOOKUP(I455,[2]USG!$O$45:$S100,MATCH("Freight-TD25 $/MT",[2]USG!$O$46:$S$46,0),FALSE)</f>
        <v>100.32275000000001</v>
      </c>
      <c r="M455" s="9">
        <f>-(K455-L455)*Table3[[#This Row],[Quantity]]</f>
        <v>748.4812499999997</v>
      </c>
      <c r="N455">
        <f t="shared" si="677"/>
        <v>-2253.3224999999998</v>
      </c>
      <c r="O455" s="14" t="str">
        <f t="shared" si="678"/>
        <v>Apr 26</v>
      </c>
      <c r="P455" s="8" t="str">
        <f t="shared" si="679"/>
        <v>Sell</v>
      </c>
      <c r="Q455">
        <f t="shared" si="680"/>
        <v>-1504.8412500000002</v>
      </c>
      <c r="R455" t="str">
        <f>VLOOKUP(F455,Control!$B:$C,2,FALSE)</f>
        <v>Freight</v>
      </c>
      <c r="S455" t="str">
        <f>VLOOKUP(F455,Control!$B:$D,3,FALSE)</f>
        <v>Freight</v>
      </c>
      <c r="T455" s="38">
        <f t="shared" si="681"/>
        <v>2026</v>
      </c>
      <c r="U455" t="str">
        <f t="shared" si="682"/>
        <v>Sell</v>
      </c>
      <c r="V455" t="s">
        <v>96</v>
      </c>
      <c r="W455" t="e">
        <f>_xlfn.XLOOKUP(Table3[[#This Row],[Instrument]],Control!$B$2:$B$19,Control!$E$2:$E$19)</f>
        <v>#N/A</v>
      </c>
      <c r="X455" s="14">
        <f>Table3[[#This Row],[Month1]]</f>
        <v>46142</v>
      </c>
      <c r="Y455" s="350">
        <f>Table3[[#This Row],[Quantity]]</f>
        <v>-15</v>
      </c>
      <c r="Z455" t="e">
        <f>_xlfn.XLOOKUP(Table3[[#This Row],[Instrument]],Control!$B$2:$B$19,Control!$F$2:$F$19)</f>
        <v>#N/A</v>
      </c>
      <c r="AA455" s="14">
        <f>Table3[[#This Row],[Month2]]</f>
        <v>46142</v>
      </c>
      <c r="AB455" s="350">
        <f t="shared" si="683"/>
        <v>15</v>
      </c>
    </row>
    <row r="456" spans="4:28" ht="15" hidden="1" thickBot="1" x14ac:dyDescent="0.4">
      <c r="D456" t="s">
        <v>1735</v>
      </c>
      <c r="E456" s="174">
        <v>46107</v>
      </c>
      <c r="F456" s="375" t="s">
        <v>36</v>
      </c>
      <c r="G456" s="4" t="s">
        <v>128</v>
      </c>
      <c r="H456" s="253">
        <v>-15</v>
      </c>
      <c r="I456" s="172">
        <v>46173</v>
      </c>
      <c r="J456" s="172">
        <v>46173</v>
      </c>
      <c r="K456" s="212">
        <v>100.848</v>
      </c>
      <c r="L456" s="314">
        <f>VLOOKUP(I456,[2]USG!$O$45:$S100,MATCH("Freight-TD25 $/MT",[2]USG!$O$46:$S$46,0),FALSE)</f>
        <v>55.781550000000003</v>
      </c>
      <c r="M456" s="9">
        <f>-(K456-L456)*Table3[[#This Row],[Quantity]]</f>
        <v>675.99674999999991</v>
      </c>
      <c r="N456">
        <f t="shared" si="677"/>
        <v>-1512.72</v>
      </c>
      <c r="O456" s="14" t="str">
        <f t="shared" si="678"/>
        <v>May 26</v>
      </c>
      <c r="P456" s="8" t="str">
        <f t="shared" si="679"/>
        <v>Sell</v>
      </c>
      <c r="Q456">
        <f t="shared" si="680"/>
        <v>-836.72325000000001</v>
      </c>
      <c r="R456" t="str">
        <f>VLOOKUP(F456,Control!$B:$C,2,FALSE)</f>
        <v>Freight</v>
      </c>
      <c r="S456" t="str">
        <f>VLOOKUP(F456,Control!$B:$D,3,FALSE)</f>
        <v>Freight</v>
      </c>
      <c r="T456" s="38">
        <f t="shared" si="681"/>
        <v>2026</v>
      </c>
      <c r="U456" t="str">
        <f t="shared" si="682"/>
        <v>Sell</v>
      </c>
      <c r="V456" t="s">
        <v>96</v>
      </c>
      <c r="W456" t="e">
        <f>_xlfn.XLOOKUP(Table3[[#This Row],[Instrument]],Control!$B$2:$B$19,Control!$E$2:$E$19)</f>
        <v>#N/A</v>
      </c>
      <c r="X456" s="14">
        <f>Table3[[#This Row],[Month1]]</f>
        <v>46173</v>
      </c>
      <c r="Y456" s="350">
        <f>Table3[[#This Row],[Quantity]]</f>
        <v>-15</v>
      </c>
      <c r="Z456" t="e">
        <f>_xlfn.XLOOKUP(Table3[[#This Row],[Instrument]],Control!$B$2:$B$19,Control!$F$2:$F$19)</f>
        <v>#N/A</v>
      </c>
      <c r="AA456" s="14">
        <f>Table3[[#This Row],[Month2]]</f>
        <v>46173</v>
      </c>
      <c r="AB456" s="350">
        <f t="shared" si="683"/>
        <v>15</v>
      </c>
    </row>
    <row r="457" spans="4:28" ht="15" hidden="1" thickBot="1" x14ac:dyDescent="0.4">
      <c r="D457" s="385" t="s">
        <v>1740</v>
      </c>
      <c r="E457" s="228">
        <v>46108</v>
      </c>
      <c r="F457" s="229" t="s">
        <v>19</v>
      </c>
      <c r="G457" s="380" t="s">
        <v>268</v>
      </c>
      <c r="H457" s="392">
        <v>2065</v>
      </c>
      <c r="I457" s="231">
        <v>46142</v>
      </c>
      <c r="J457" s="231">
        <v>46142</v>
      </c>
      <c r="K457" s="232">
        <f>'Cargo Econs 2026'!$F$145</f>
        <v>22.373438256658595</v>
      </c>
      <c r="L457" s="315">
        <f>'Cargo Econs 2026'!F146</f>
        <v>23.979999999999997</v>
      </c>
      <c r="M457" s="234">
        <f>-(K457-L457)*Table3[[#This Row],[Quantity]]</f>
        <v>3317.5499999999947</v>
      </c>
      <c r="N457" s="227">
        <f t="shared" si="677"/>
        <v>46201.15</v>
      </c>
      <c r="O457" s="235" t="str">
        <f t="shared" si="678"/>
        <v>Apr 26</v>
      </c>
      <c r="P457" s="236" t="str">
        <f t="shared" si="679"/>
        <v>Buy</v>
      </c>
      <c r="Q457" s="227">
        <f t="shared" si="680"/>
        <v>49518.7</v>
      </c>
      <c r="R457" s="227" t="str">
        <f>VLOOKUP(F457,Control!$B:$C,2,FALSE)</f>
        <v>Physical</v>
      </c>
      <c r="S457" s="227" t="str">
        <f>VLOOKUP(F457,Control!$B:$D,3,FALSE)</f>
        <v>Physical</v>
      </c>
      <c r="T457" s="237">
        <f t="shared" si="681"/>
        <v>2026</v>
      </c>
      <c r="U457" s="227" t="str">
        <f t="shared" si="682"/>
        <v>Buy</v>
      </c>
      <c r="V457" s="238" t="s">
        <v>96</v>
      </c>
      <c r="W457" s="227">
        <f>_xlfn.XLOOKUP(Table3[[#This Row],[Instrument]],Control!$B$2:$B$19,Control!$E$2:$E$19)</f>
        <v>0</v>
      </c>
      <c r="X457" s="235">
        <f>Table3[[#This Row],[Month1]]</f>
        <v>46142</v>
      </c>
      <c r="Y457" s="397">
        <f>Table3[[#This Row],[Quantity]]</f>
        <v>2065</v>
      </c>
      <c r="Z457" s="227">
        <f>_xlfn.XLOOKUP(Table3[[#This Row],[Instrument]],Control!$B$2:$B$19,Control!$F$2:$F$19)</f>
        <v>0</v>
      </c>
      <c r="AA457" s="235">
        <f>Table3[[#This Row],[Month2]]</f>
        <v>46142</v>
      </c>
      <c r="AB457" s="398">
        <f t="shared" si="683"/>
        <v>-2065</v>
      </c>
    </row>
    <row r="458" spans="4:28" ht="15" hidden="1" thickBot="1" x14ac:dyDescent="0.4">
      <c r="D458" s="239" t="s">
        <v>1740</v>
      </c>
      <c r="E458" s="174">
        <v>46108</v>
      </c>
      <c r="F458" s="10" t="s">
        <v>3</v>
      </c>
      <c r="G458" s="4" t="s">
        <v>268</v>
      </c>
      <c r="H458" s="253">
        <f t="shared" ref="H458:H460" si="684">-$H$457</f>
        <v>-2065</v>
      </c>
      <c r="I458" s="172">
        <v>46173</v>
      </c>
      <c r="J458" s="172">
        <f>EOMONTH(Table3[[#This Row],[Month1]],1)</f>
        <v>46203</v>
      </c>
      <c r="K458" s="212">
        <v>4.78</v>
      </c>
      <c r="L458" s="7">
        <f ca="1">IF(OR(S458="WTI Sprds",S458="Brent Sprds",S458="WTI-Brent",S458="DFL"),INDEX(INDIRECT("'" &amp; S458 &amp; "'!$A$6:$XFD$1048576"),MATCH('PnL26'!$P$1,INDIRECT("'" &amp; S458 &amp; "'!$A$6:$A$1048576"),0),MATCH(EOMONTH(I458,0),INDIRECT("'" &amp; S458 &amp; "'!$A$4:$XFD$4"),0)),INDEX(BBG!$A:$BA,MATCH('PnL26'!$P$1,BBG!$A:$A,0),MATCH($I458,BBG!$A$4:$BA$4,0))-INDEX(BBG!$A:$BA,MATCH('PnL26'!$P$1,BBG!$A:$A,0),MATCH($J458,BBG!$A$4:$BA$4,0)))</f>
        <v>2.19</v>
      </c>
      <c r="M458" s="9">
        <f ca="1">-(K458-L458)*Table3[[#This Row],[Quantity]]</f>
        <v>5348.35</v>
      </c>
      <c r="N458">
        <f t="shared" si="677"/>
        <v>-9870.7000000000007</v>
      </c>
      <c r="O458" s="14" t="str">
        <f t="shared" si="678"/>
        <v>May/Jun 26</v>
      </c>
      <c r="P458" s="8" t="str">
        <f t="shared" si="679"/>
        <v>Sell</v>
      </c>
      <c r="Q458">
        <f t="shared" ca="1" si="680"/>
        <v>-4522.3499999999995</v>
      </c>
      <c r="R458" t="str">
        <f>VLOOKUP(F458,Control!$B:$C,2,FALSE)</f>
        <v>Futures</v>
      </c>
      <c r="S458" t="str">
        <f>VLOOKUP(F458,Control!$B:$D,3,FALSE)</f>
        <v>WTI Sprds</v>
      </c>
      <c r="T458" s="38">
        <f t="shared" si="681"/>
        <v>2026</v>
      </c>
      <c r="U458" t="str">
        <f t="shared" si="682"/>
        <v>Sell</v>
      </c>
      <c r="V458" s="240" t="s">
        <v>96</v>
      </c>
      <c r="W458" t="str">
        <f>_xlfn.XLOOKUP(Table3[[#This Row],[Instrument]],Control!$B$2:$B$19,Control!$E$2:$E$19)</f>
        <v>WTI</v>
      </c>
      <c r="X458" s="14">
        <f>Table3[[#This Row],[Month1]]</f>
        <v>46173</v>
      </c>
      <c r="Y458" s="350">
        <f>Table3[[#This Row],[Quantity]]</f>
        <v>-2065</v>
      </c>
      <c r="Z458" t="str">
        <f>_xlfn.XLOOKUP(Table3[[#This Row],[Instrument]],Control!$B$2:$B$19,Control!$F$2:$F$19)</f>
        <v>WTI</v>
      </c>
      <c r="AA458" s="14">
        <f>Table3[[#This Row],[Month2]]</f>
        <v>46203</v>
      </c>
      <c r="AB458" s="399">
        <f t="shared" si="683"/>
        <v>2065</v>
      </c>
    </row>
    <row r="459" spans="4:28" ht="15" hidden="1" thickBot="1" x14ac:dyDescent="0.4">
      <c r="D459" s="239" t="s">
        <v>1740</v>
      </c>
      <c r="E459" s="174">
        <v>46108</v>
      </c>
      <c r="F459" s="10" t="s">
        <v>3</v>
      </c>
      <c r="G459" s="4" t="s">
        <v>268</v>
      </c>
      <c r="H459" s="253">
        <f t="shared" si="684"/>
        <v>-2065</v>
      </c>
      <c r="I459" s="172">
        <f>J458</f>
        <v>46203</v>
      </c>
      <c r="J459" s="172">
        <f>EOMONTH(Table3[[#This Row],[Month1]],1)</f>
        <v>46234</v>
      </c>
      <c r="K459" s="212">
        <v>3.589999999999999</v>
      </c>
      <c r="L459" s="7">
        <f ca="1">IF(OR(S459="WTI Sprds",S459="Brent Sprds",S459="WTI-Brent",S459="DFL"),INDEX(INDIRECT("'" &amp; S459 &amp; "'!$A$6:$XFD$1048576"),MATCH('PnL26'!$P$1,INDIRECT("'" &amp; S459 &amp; "'!$A$6:$A$1048576"),0),MATCH(EOMONTH(I459,0),INDIRECT("'" &amp; S459 &amp; "'!$A$4:$XFD$4"),0)),INDEX(BBG!$A:$BA,MATCH('PnL26'!$P$1,BBG!$A:$A,0),MATCH($I459,BBG!$A$4:$BA$4,0))-INDEX(BBG!$A:$BA,MATCH('PnL26'!$P$1,BBG!$A:$A,0),MATCH($J459,BBG!$A$4:$BA$4,0)))</f>
        <v>4.28</v>
      </c>
      <c r="M459" s="9">
        <f ca="1">-(K459-L459)*Table3[[#This Row],[Quantity]]</f>
        <v>-1424.8500000000026</v>
      </c>
      <c r="N459">
        <f t="shared" si="677"/>
        <v>-7413.3499999999976</v>
      </c>
      <c r="O459" s="14" t="str">
        <f t="shared" si="678"/>
        <v>Jun/Jul 26</v>
      </c>
      <c r="P459" s="8" t="str">
        <f t="shared" si="679"/>
        <v>Sell</v>
      </c>
      <c r="Q459">
        <f t="shared" ca="1" si="680"/>
        <v>-8838.2000000000007</v>
      </c>
      <c r="R459" t="str">
        <f>VLOOKUP(F459,Control!$B:$C,2,FALSE)</f>
        <v>Futures</v>
      </c>
      <c r="S459" t="str">
        <f>VLOOKUP(F459,Control!$B:$D,3,FALSE)</f>
        <v>WTI Sprds</v>
      </c>
      <c r="T459" s="38">
        <f t="shared" si="681"/>
        <v>2026</v>
      </c>
      <c r="U459" t="str">
        <f t="shared" si="682"/>
        <v>Sell</v>
      </c>
      <c r="V459" s="240" t="s">
        <v>96</v>
      </c>
      <c r="W459" t="str">
        <f>_xlfn.XLOOKUP(Table3[[#This Row],[Instrument]],Control!$B$2:$B$19,Control!$E$2:$E$19)</f>
        <v>WTI</v>
      </c>
      <c r="X459" s="14">
        <f>Table3[[#This Row],[Month1]]</f>
        <v>46203</v>
      </c>
      <c r="Y459" s="350">
        <f>Table3[[#This Row],[Quantity]]</f>
        <v>-2065</v>
      </c>
      <c r="Z459" t="str">
        <f>_xlfn.XLOOKUP(Table3[[#This Row],[Instrument]],Control!$B$2:$B$19,Control!$F$2:$F$19)</f>
        <v>WTI</v>
      </c>
      <c r="AA459" s="14">
        <f>Table3[[#This Row],[Month2]]</f>
        <v>46234</v>
      </c>
      <c r="AB459" s="399">
        <f t="shared" si="683"/>
        <v>2065</v>
      </c>
    </row>
    <row r="460" spans="4:28" ht="15" hidden="1" thickBot="1" x14ac:dyDescent="0.4">
      <c r="D460" s="239" t="s">
        <v>1740</v>
      </c>
      <c r="E460" s="174">
        <v>46108</v>
      </c>
      <c r="F460" s="10" t="s">
        <v>10</v>
      </c>
      <c r="G460" s="4" t="s">
        <v>268</v>
      </c>
      <c r="H460" s="253">
        <f t="shared" si="684"/>
        <v>-2065</v>
      </c>
      <c r="I460" s="172">
        <f>J459</f>
        <v>46234</v>
      </c>
      <c r="J460" s="172">
        <f>Table3[[#This Row],[Month1]]</f>
        <v>46234</v>
      </c>
      <c r="K460" s="212">
        <v>-8.25</v>
      </c>
      <c r="L460" s="7">
        <f ca="1">IF(OR(S460="WTI Sprds",S460="Brent Sprds",S460="WTI-Brent",S460="DFL"),INDEX(INDIRECT("'" &amp; S460 &amp; "'!$A$6:$XFD$1048576"),MATCH('PnL26'!$P$1,INDIRECT("'" &amp; S460 &amp; "'!$A$6:$A$1048576"),0),MATCH(EOMONTH(I460,0),INDIRECT("'" &amp; S460 &amp; "'!$A$4:$XFD$4"),0)),INDEX(BBG!$A:$BA,MATCH('PnL26'!$P$1,BBG!$A:$A,0),MATCH($I460,BBG!$A$4:$BA$4,0))-INDEX(BBG!$A:$BA,MATCH('PnL26'!$P$1,BBG!$A:$A,0),MATCH($J460,BBG!$A$4:$BA$4,0)))</f>
        <v>-4.6900000000000004</v>
      </c>
      <c r="M460" s="9">
        <f ca="1">-(K460-L460)*Table3[[#This Row],[Quantity]]</f>
        <v>-7351.4</v>
      </c>
      <c r="N460">
        <f t="shared" si="677"/>
        <v>17036.25</v>
      </c>
      <c r="O460" s="14" t="str">
        <f t="shared" si="678"/>
        <v>Jul 26</v>
      </c>
      <c r="P460" s="8" t="str">
        <f t="shared" si="679"/>
        <v>Sell</v>
      </c>
      <c r="Q460">
        <f t="shared" ca="1" si="680"/>
        <v>9684.85</v>
      </c>
      <c r="R460" t="str">
        <f>VLOOKUP(F460,Control!$B:$C,2,FALSE)</f>
        <v>Swaps</v>
      </c>
      <c r="S460" t="str">
        <f>VLOOKUP(F460,Control!$B:$D,3,FALSE)</f>
        <v>WTI-Brent</v>
      </c>
      <c r="T460" s="38">
        <f t="shared" si="681"/>
        <v>2026</v>
      </c>
      <c r="U460" t="str">
        <f t="shared" si="682"/>
        <v>Sell</v>
      </c>
      <c r="V460" s="240" t="s">
        <v>96</v>
      </c>
      <c r="W460" t="str">
        <f>_xlfn.XLOOKUP(Table3[[#This Row],[Instrument]],Control!$B$2:$B$19,Control!$E$2:$E$19)</f>
        <v>WTI</v>
      </c>
      <c r="X460" s="14">
        <f>Table3[[#This Row],[Month1]]</f>
        <v>46234</v>
      </c>
      <c r="Y460" s="350">
        <f>Table3[[#This Row],[Quantity]]</f>
        <v>-2065</v>
      </c>
      <c r="Z460" t="str">
        <f>_xlfn.XLOOKUP(Table3[[#This Row],[Instrument]],Control!$B$2:$B$19,Control!$F$2:$F$19)</f>
        <v>Brent</v>
      </c>
      <c r="AA460" s="14">
        <f>Table3[[#This Row],[Month2]]</f>
        <v>46234</v>
      </c>
      <c r="AB460" s="399">
        <f t="shared" si="683"/>
        <v>2065</v>
      </c>
    </row>
    <row r="461" spans="4:28" ht="15" hidden="1" thickBot="1" x14ac:dyDescent="0.4">
      <c r="D461" s="239" t="s">
        <v>1740</v>
      </c>
      <c r="E461" s="174">
        <v>46108</v>
      </c>
      <c r="F461" s="10" t="s">
        <v>7</v>
      </c>
      <c r="G461" s="4" t="s">
        <v>268</v>
      </c>
      <c r="H461" s="253">
        <v>-1971</v>
      </c>
      <c r="I461" s="172">
        <f>J460</f>
        <v>46234</v>
      </c>
      <c r="J461" s="172">
        <v>46265</v>
      </c>
      <c r="K461" s="212">
        <v>4.6500000000000004</v>
      </c>
      <c r="L461" s="7">
        <f ca="1">IF(OR(S461="WTI Sprds",S461="Brent Sprds",S461="WTI-Brent",S461="DFL"),INDEX(INDIRECT("'" &amp; S461 &amp; "'!$A$6:$XFD$1048576"),MATCH('PnL26'!$P$1,INDIRECT("'" &amp; S461 &amp; "'!$A$6:$A$1048576"),0),MATCH(EOMONTH(I461,0),INDIRECT("'" &amp; S461 &amp; "'!$A$4:$XFD$4"),0)),INDEX(BBG!$A:$BA,MATCH('PnL26'!$P$1,BBG!$A:$A,0),MATCH($I461,BBG!$A$4:$BA$4,0))-INDEX(BBG!$A:$BA,MATCH('PnL26'!$P$1,BBG!$A:$A,0),MATCH($J461,BBG!$A$4:$BA$4,0)))</f>
        <v>0.93</v>
      </c>
      <c r="M461" s="9">
        <f ca="1">-(K461-L461)*Table3[[#This Row],[Quantity]]</f>
        <v>7332.1200000000008</v>
      </c>
      <c r="N461">
        <f t="shared" si="677"/>
        <v>-9165.1500000000015</v>
      </c>
      <c r="O461" s="14" t="str">
        <f t="shared" si="678"/>
        <v>Jul/Aug 26</v>
      </c>
      <c r="P461" s="8" t="str">
        <f t="shared" si="679"/>
        <v>Sell</v>
      </c>
      <c r="Q461">
        <f t="shared" ca="1" si="680"/>
        <v>-1833.0300000000002</v>
      </c>
      <c r="R461" t="str">
        <f>VLOOKUP(F461,Control!$B:$C,2,FALSE)</f>
        <v>Futures</v>
      </c>
      <c r="S461" t="str">
        <f>VLOOKUP(F461,Control!$B:$D,3,FALSE)</f>
        <v>Brent Sprds</v>
      </c>
      <c r="T461" s="38">
        <f t="shared" si="681"/>
        <v>2026</v>
      </c>
      <c r="U461" t="str">
        <f t="shared" si="682"/>
        <v>Sell</v>
      </c>
      <c r="V461" s="240" t="s">
        <v>96</v>
      </c>
      <c r="W461" t="str">
        <f>_xlfn.XLOOKUP(Table3[[#This Row],[Instrument]],Control!$B$2:$B$19,Control!$E$2:$E$19)</f>
        <v>Brent</v>
      </c>
      <c r="X461" s="14">
        <f>Table3[[#This Row],[Month1]]</f>
        <v>46234</v>
      </c>
      <c r="Y461" s="350">
        <f>Table3[[#This Row],[Quantity]]</f>
        <v>-1971</v>
      </c>
      <c r="Z461" t="str">
        <f>_xlfn.XLOOKUP(Table3[[#This Row],[Instrument]],Control!$B$2:$B$19,Control!$F$2:$F$19)</f>
        <v>Brent</v>
      </c>
      <c r="AA461" s="14">
        <f>Table3[[#This Row],[Month2]]</f>
        <v>46265</v>
      </c>
      <c r="AB461" s="399">
        <f t="shared" si="683"/>
        <v>1971</v>
      </c>
    </row>
    <row r="462" spans="4:28" ht="15" hidden="1" thickBot="1" x14ac:dyDescent="0.4">
      <c r="D462" s="239" t="s">
        <v>1740</v>
      </c>
      <c r="E462" s="174">
        <v>46108</v>
      </c>
      <c r="F462" s="10" t="s">
        <v>7</v>
      </c>
      <c r="G462" s="4" t="s">
        <v>268</v>
      </c>
      <c r="H462" s="253">
        <v>-94</v>
      </c>
      <c r="I462" s="172">
        <f>J461</f>
        <v>46265</v>
      </c>
      <c r="J462" s="172">
        <f>EOMONTH(Table3[[#This Row],[Month1]],1)</f>
        <v>46295</v>
      </c>
      <c r="K462" s="212">
        <v>2.85</v>
      </c>
      <c r="L462" s="7">
        <f ca="1">IF(OR(S462="WTI Sprds",S462="Brent Sprds",S462="WTI-Brent",S462="DFL"),INDEX(INDIRECT("'" &amp; S462 &amp; "'!$A$6:$XFD$1048576"),MATCH('PnL26'!$P$1,INDIRECT("'" &amp; S462 &amp; "'!$A$6:$A$1048576"),0),MATCH(EOMONTH(I462,0),INDIRECT("'" &amp; S462 &amp; "'!$A$4:$XFD$4"),0)),INDEX(BBG!$A:$BA,MATCH('PnL26'!$P$1,BBG!$A:$A,0),MATCH($I462,BBG!$A$4:$BA$4,0))-INDEX(BBG!$A:$BA,MATCH('PnL26'!$P$1,BBG!$A:$A,0),MATCH($J462,BBG!$A$4:$BA$4,0)))</f>
        <v>-0.03</v>
      </c>
      <c r="M462" s="9">
        <f ca="1">-(K462-L462)*Table3[[#This Row],[Quantity]]</f>
        <v>270.71999999999997</v>
      </c>
      <c r="N462">
        <f t="shared" si="677"/>
        <v>-267.90000000000003</v>
      </c>
      <c r="O462" s="14" t="str">
        <f t="shared" si="678"/>
        <v>Aug/Sep 26</v>
      </c>
      <c r="P462" s="8" t="str">
        <f t="shared" si="679"/>
        <v>Sell</v>
      </c>
      <c r="Q462">
        <f t="shared" ca="1" si="680"/>
        <v>2.82</v>
      </c>
      <c r="R462" t="str">
        <f>VLOOKUP(F462,Control!$B:$C,2,FALSE)</f>
        <v>Futures</v>
      </c>
      <c r="S462" t="str">
        <f>VLOOKUP(F462,Control!$B:$D,3,FALSE)</f>
        <v>Brent Sprds</v>
      </c>
      <c r="T462" s="38">
        <f t="shared" si="681"/>
        <v>2026</v>
      </c>
      <c r="U462" t="str">
        <f t="shared" si="682"/>
        <v>Sell</v>
      </c>
      <c r="V462" s="240" t="s">
        <v>96</v>
      </c>
      <c r="W462" t="str">
        <f>_xlfn.XLOOKUP(Table3[[#This Row],[Instrument]],Control!$B$2:$B$19,Control!$E$2:$E$19)</f>
        <v>Brent</v>
      </c>
      <c r="X462" s="14">
        <f>Table3[[#This Row],[Month1]]</f>
        <v>46265</v>
      </c>
      <c r="Y462" s="350">
        <f>Table3[[#This Row],[Quantity]]</f>
        <v>-94</v>
      </c>
      <c r="Z462" t="str">
        <f>_xlfn.XLOOKUP(Table3[[#This Row],[Instrument]],Control!$B$2:$B$19,Control!$F$2:$F$19)</f>
        <v>Brent</v>
      </c>
      <c r="AA462" s="14">
        <f>Table3[[#This Row],[Month2]]</f>
        <v>46295</v>
      </c>
      <c r="AB462" s="399">
        <f t="shared" si="683"/>
        <v>94</v>
      </c>
    </row>
    <row r="463" spans="4:28" ht="15" hidden="1" thickBot="1" x14ac:dyDescent="0.4">
      <c r="D463" s="239" t="s">
        <v>1740</v>
      </c>
      <c r="E463" s="174">
        <v>46108</v>
      </c>
      <c r="F463" s="47" t="s">
        <v>28</v>
      </c>
      <c r="G463" s="4" t="s">
        <v>268</v>
      </c>
      <c r="H463" s="253">
        <v>-2000</v>
      </c>
      <c r="I463" s="172">
        <v>46173</v>
      </c>
      <c r="J463" s="172">
        <v>46173</v>
      </c>
      <c r="K463" s="212">
        <v>25000</v>
      </c>
      <c r="L463" s="314">
        <f>K463</f>
        <v>25000</v>
      </c>
      <c r="M463" s="9">
        <f>-(K463-L463)*Table3[[#This Row],[Quantity]]</f>
        <v>0</v>
      </c>
      <c r="N463" s="91">
        <f>L463-K463</f>
        <v>0</v>
      </c>
      <c r="O463" s="14" t="str">
        <f t="shared" si="678"/>
        <v>May 26</v>
      </c>
      <c r="P463" s="8" t="str">
        <f t="shared" si="679"/>
        <v>Sell</v>
      </c>
      <c r="Q463">
        <f t="shared" si="680"/>
        <v>-50000000</v>
      </c>
      <c r="R463" t="str">
        <f>VLOOKUP(F463,Control!$B:$C,2,FALSE)</f>
        <v>Freight</v>
      </c>
      <c r="S463" t="str">
        <f>VLOOKUP(F463,Control!$B:$D,3,FALSE)</f>
        <v>Freight</v>
      </c>
      <c r="T463" s="38">
        <f t="shared" si="681"/>
        <v>2026</v>
      </c>
      <c r="U463" t="str">
        <f t="shared" si="682"/>
        <v>Sell</v>
      </c>
      <c r="V463" s="240" t="s">
        <v>96</v>
      </c>
      <c r="W463" t="e">
        <f>_xlfn.XLOOKUP(Table3[[#This Row],[Instrument]],Control!$B$2:$B$19,Control!$E$2:$E$19)</f>
        <v>#N/A</v>
      </c>
      <c r="X463" s="14">
        <f>Table3[[#This Row],[Month1]]</f>
        <v>46173</v>
      </c>
      <c r="Y463" s="350">
        <f>Table3[[#This Row],[Quantity]]</f>
        <v>-2000</v>
      </c>
      <c r="Z463" t="e">
        <f>_xlfn.XLOOKUP(Table3[[#This Row],[Instrument]],Control!$B$2:$B$19,Control!$F$2:$F$19)</f>
        <v>#N/A</v>
      </c>
      <c r="AA463" s="14">
        <f>Table3[[#This Row],[Month2]]</f>
        <v>46173</v>
      </c>
      <c r="AB463" s="399">
        <f t="shared" si="683"/>
        <v>2000</v>
      </c>
    </row>
    <row r="464" spans="4:28" ht="15" hidden="1" thickBot="1" x14ac:dyDescent="0.4">
      <c r="D464" s="383" t="s">
        <v>1740</v>
      </c>
      <c r="E464" s="300">
        <v>46108</v>
      </c>
      <c r="F464" s="242" t="s">
        <v>28</v>
      </c>
      <c r="G464" s="317" t="s">
        <v>128</v>
      </c>
      <c r="H464" s="277">
        <v>2000</v>
      </c>
      <c r="I464" s="244">
        <v>46173</v>
      </c>
      <c r="J464" s="244">
        <v>46173</v>
      </c>
      <c r="K464" s="384">
        <v>21000</v>
      </c>
      <c r="L464" s="319">
        <f>L463</f>
        <v>25000</v>
      </c>
      <c r="M464" s="247">
        <f>K463-Table3[[#This Row],[Price]]</f>
        <v>4000</v>
      </c>
      <c r="N464" s="252">
        <f>K463-K464</f>
        <v>4000</v>
      </c>
      <c r="O464" s="248" t="str">
        <f t="shared" si="678"/>
        <v>May 26</v>
      </c>
      <c r="P464" s="249" t="str">
        <f t="shared" si="679"/>
        <v>Buy</v>
      </c>
      <c r="Q464" s="160">
        <f t="shared" si="680"/>
        <v>50000000</v>
      </c>
      <c r="R464" s="160" t="str">
        <f>VLOOKUP(F464,Control!$B:$C,2,FALSE)</f>
        <v>Freight</v>
      </c>
      <c r="S464" s="160" t="str">
        <f>VLOOKUP(F464,Control!$B:$D,3,FALSE)</f>
        <v>Freight</v>
      </c>
      <c r="T464" s="250">
        <f t="shared" si="681"/>
        <v>2026</v>
      </c>
      <c r="U464" s="160" t="str">
        <f t="shared" si="682"/>
        <v>Buy</v>
      </c>
      <c r="V464" s="251" t="s">
        <v>96</v>
      </c>
      <c r="W464" s="160" t="e">
        <f>_xlfn.XLOOKUP(Table3[[#This Row],[Instrument]],Control!$B$2:$B$19,Control!$E$2:$E$19)</f>
        <v>#N/A</v>
      </c>
      <c r="X464" s="248">
        <f>Table3[[#This Row],[Month1]]</f>
        <v>46173</v>
      </c>
      <c r="Y464" s="400">
        <f>Table3[[#This Row],[Quantity]]</f>
        <v>2000</v>
      </c>
      <c r="Z464" s="160" t="e">
        <f>_xlfn.XLOOKUP(Table3[[#This Row],[Instrument]],Control!$B$2:$B$19,Control!$F$2:$F$19)</f>
        <v>#N/A</v>
      </c>
      <c r="AA464" s="248">
        <f>Table3[[#This Row],[Month2]]</f>
        <v>46173</v>
      </c>
      <c r="AB464" s="401">
        <f t="shared" si="683"/>
        <v>-2000</v>
      </c>
    </row>
    <row r="465" spans="4:28" ht="15" hidden="1" thickBot="1" x14ac:dyDescent="0.4">
      <c r="D465" s="239" t="s">
        <v>1740</v>
      </c>
      <c r="E465" s="174">
        <v>46108</v>
      </c>
      <c r="F465" s="10" t="s">
        <v>3</v>
      </c>
      <c r="G465" s="4" t="s">
        <v>128</v>
      </c>
      <c r="H465" s="253">
        <v>2100</v>
      </c>
      <c r="I465" s="172">
        <v>46173</v>
      </c>
      <c r="J465" s="172">
        <f>EOMONTH(Table3[[#This Row],[Month1]],1)</f>
        <v>46203</v>
      </c>
      <c r="K465" s="212">
        <v>5.56</v>
      </c>
      <c r="L465" s="7">
        <f ca="1">IF(OR(S465="WTI Sprds",S465="Brent Sprds",S465="WTI-Brent",S465="DFL"),INDEX(INDIRECT("'" &amp; S465 &amp; "'!$A$6:$XFD$1048576"),MATCH('PnL26'!$P$1,INDIRECT("'" &amp; S465 &amp; "'!$A$6:$A$1048576"),0),MATCH(EOMONTH(I465,0),INDIRECT("'" &amp; S465 &amp; "'!$A$4:$XFD$4"),0)),INDEX(BBG!$A:$BA,MATCH('PnL26'!$P$1,BBG!$A:$A,0),MATCH($I465,BBG!$A$4:$BA$4,0))-INDEX(BBG!$A:$BA,MATCH('PnL26'!$P$1,BBG!$A:$A,0),MATCH($J465,BBG!$A$4:$BA$4,0)))</f>
        <v>2.19</v>
      </c>
      <c r="M465" s="9">
        <f ca="1">-(K465-L465)*Table3[[#This Row],[Quantity]]</f>
        <v>-7076.9999999999991</v>
      </c>
      <c r="N465">
        <f t="shared" ref="N465:N467" si="685">H465*K465</f>
        <v>11676</v>
      </c>
      <c r="O465" s="14" t="str">
        <f t="shared" ref="O465:O467" si="686">IF(I465=J465,TEXT(I465,"MMM YY"),TEXT(I465,"MMM")&amp;"/"&amp;TEXT(J465,"MMM")&amp;" "&amp;RIGHT(T465,2))</f>
        <v>May/Jun 26</v>
      </c>
      <c r="P465" s="8" t="str">
        <f t="shared" ref="P465:P467" si="687">IF(H465&lt;0,"Sell","Buy")</f>
        <v>Buy</v>
      </c>
      <c r="Q465">
        <f t="shared" ref="Q465:Q467" ca="1" si="688">H465*L465</f>
        <v>4599</v>
      </c>
      <c r="R465" t="str">
        <f>VLOOKUP(F465,Control!$B:$C,2,FALSE)</f>
        <v>Futures</v>
      </c>
      <c r="S465" t="str">
        <f>VLOOKUP(F465,Control!$B:$D,3,FALSE)</f>
        <v>WTI Sprds</v>
      </c>
      <c r="T465" s="38">
        <f t="shared" ref="T465:T467" si="689">YEAR(I465)</f>
        <v>2026</v>
      </c>
      <c r="U465" t="str">
        <f t="shared" ref="U465:U467" si="690">IFERROR(IF(H465&gt;0,"Buy","Sell"),"")</f>
        <v>Buy</v>
      </c>
      <c r="V465" s="240" t="s">
        <v>96</v>
      </c>
      <c r="W465" t="str">
        <f>_xlfn.XLOOKUP(Table3[[#This Row],[Instrument]],Control!$B$2:$B$19,Control!$E$2:$E$19)</f>
        <v>WTI</v>
      </c>
      <c r="X465" s="14">
        <f>Table3[[#This Row],[Month1]]</f>
        <v>46173</v>
      </c>
      <c r="Y465" s="350">
        <f>Table3[[#This Row],[Quantity]]</f>
        <v>2100</v>
      </c>
      <c r="Z465" t="str">
        <f>_xlfn.XLOOKUP(Table3[[#This Row],[Instrument]],Control!$B$2:$B$19,Control!$F$2:$F$19)</f>
        <v>WTI</v>
      </c>
      <c r="AA465" s="14">
        <f>Table3[[#This Row],[Month2]]</f>
        <v>46203</v>
      </c>
      <c r="AB465" s="350">
        <f t="shared" ref="AB465:AB467" si="691">-Y465</f>
        <v>-2100</v>
      </c>
    </row>
    <row r="466" spans="4:28" ht="15" hidden="1" thickBot="1" x14ac:dyDescent="0.4">
      <c r="D466" s="239" t="s">
        <v>1740</v>
      </c>
      <c r="E466" s="174">
        <v>46108</v>
      </c>
      <c r="F466" s="10" t="s">
        <v>3</v>
      </c>
      <c r="G466" s="4" t="s">
        <v>128</v>
      </c>
      <c r="H466" s="253">
        <f>H465</f>
        <v>2100</v>
      </c>
      <c r="I466" s="172">
        <f>J465</f>
        <v>46203</v>
      </c>
      <c r="J466" s="172">
        <f>EOMONTH(Table3[[#This Row],[Month1]],1)</f>
        <v>46234</v>
      </c>
      <c r="K466" s="212">
        <v>4.2400000000000011</v>
      </c>
      <c r="L466" s="7">
        <f ca="1">IF(OR(S466="WTI Sprds",S466="Brent Sprds",S466="WTI-Brent",S466="DFL"),INDEX(INDIRECT("'" &amp; S466 &amp; "'!$A$6:$XFD$1048576"),MATCH('PnL26'!$P$1,INDIRECT("'" &amp; S466 &amp; "'!$A$6:$A$1048576"),0),MATCH(EOMONTH(I466,0),INDIRECT("'" &amp; S466 &amp; "'!$A$4:$XFD$4"),0)),INDEX(BBG!$A:$BA,MATCH('PnL26'!$P$1,BBG!$A:$A,0),MATCH($I466,BBG!$A$4:$BA$4,0))-INDEX(BBG!$A:$BA,MATCH('PnL26'!$P$1,BBG!$A:$A,0),MATCH($J466,BBG!$A$4:$BA$4,0)))</f>
        <v>4.28</v>
      </c>
      <c r="M466" s="9">
        <f ca="1">-(K466-L466)*Table3[[#This Row],[Quantity]]</f>
        <v>83.999999999998209</v>
      </c>
      <c r="N466">
        <f t="shared" si="685"/>
        <v>8904.0000000000018</v>
      </c>
      <c r="O466" s="14" t="str">
        <f t="shared" si="686"/>
        <v>Jun/Jul 26</v>
      </c>
      <c r="P466" s="8" t="str">
        <f t="shared" si="687"/>
        <v>Buy</v>
      </c>
      <c r="Q466">
        <f t="shared" ca="1" si="688"/>
        <v>8988</v>
      </c>
      <c r="R466" t="str">
        <f>VLOOKUP(F466,Control!$B:$C,2,FALSE)</f>
        <v>Futures</v>
      </c>
      <c r="S466" t="str">
        <f>VLOOKUP(F466,Control!$B:$D,3,FALSE)</f>
        <v>WTI Sprds</v>
      </c>
      <c r="T466" s="38">
        <f t="shared" si="689"/>
        <v>2026</v>
      </c>
      <c r="U466" t="str">
        <f t="shared" si="690"/>
        <v>Buy</v>
      </c>
      <c r="V466" s="240" t="s">
        <v>96</v>
      </c>
      <c r="W466" t="str">
        <f>_xlfn.XLOOKUP(Table3[[#This Row],[Instrument]],Control!$B$2:$B$19,Control!$E$2:$E$19)</f>
        <v>WTI</v>
      </c>
      <c r="X466" s="14">
        <f>Table3[[#This Row],[Month1]]</f>
        <v>46203</v>
      </c>
      <c r="Y466" s="350">
        <f>Table3[[#This Row],[Quantity]]</f>
        <v>2100</v>
      </c>
      <c r="Z466" t="str">
        <f>_xlfn.XLOOKUP(Table3[[#This Row],[Instrument]],Control!$B$2:$B$19,Control!$F$2:$F$19)</f>
        <v>WTI</v>
      </c>
      <c r="AA466" s="14">
        <f>Table3[[#This Row],[Month2]]</f>
        <v>46234</v>
      </c>
      <c r="AB466" s="350">
        <f t="shared" si="691"/>
        <v>-2100</v>
      </c>
    </row>
    <row r="467" spans="4:28" ht="15" hidden="1" thickBot="1" x14ac:dyDescent="0.4">
      <c r="D467" s="239" t="s">
        <v>1740</v>
      </c>
      <c r="E467" s="174">
        <v>46108</v>
      </c>
      <c r="F467" s="10" t="s">
        <v>7</v>
      </c>
      <c r="G467" s="4" t="s">
        <v>128</v>
      </c>
      <c r="H467" s="253">
        <v>300</v>
      </c>
      <c r="I467" s="172">
        <v>46234</v>
      </c>
      <c r="J467" s="172">
        <v>46265</v>
      </c>
      <c r="K467" s="212">
        <v>4.5999999999999996</v>
      </c>
      <c r="L467" s="7">
        <f ca="1">IF(OR(S467="WTI Sprds",S467="Brent Sprds",S467="WTI-Brent",S467="DFL"),INDEX(INDIRECT("'" &amp; S467 &amp; "'!$A$6:$XFD$1048576"),MATCH('PnL26'!$P$1,INDIRECT("'" &amp; S467 &amp; "'!$A$6:$A$1048576"),0),MATCH(EOMONTH(I467,0),INDIRECT("'" &amp; S467 &amp; "'!$A$4:$XFD$4"),0)),INDEX(BBG!$A:$BA,MATCH('PnL26'!$P$1,BBG!$A:$A,0),MATCH($I467,BBG!$A$4:$BA$4,0))-INDEX(BBG!$A:$BA,MATCH('PnL26'!$P$1,BBG!$A:$A,0),MATCH($J467,BBG!$A$4:$BA$4,0)))</f>
        <v>0.93</v>
      </c>
      <c r="M467" s="9">
        <f ca="1">-(K467-L467)*Table3[[#This Row],[Quantity]]</f>
        <v>-1100.9999999999998</v>
      </c>
      <c r="N467">
        <f t="shared" si="685"/>
        <v>1380</v>
      </c>
      <c r="O467" s="14" t="str">
        <f t="shared" si="686"/>
        <v>Jul/Aug 26</v>
      </c>
      <c r="P467" s="8" t="str">
        <f t="shared" si="687"/>
        <v>Buy</v>
      </c>
      <c r="Q467">
        <f t="shared" ca="1" si="688"/>
        <v>279</v>
      </c>
      <c r="R467" t="str">
        <f>VLOOKUP(F467,Control!$B:$C,2,FALSE)</f>
        <v>Futures</v>
      </c>
      <c r="S467" t="str">
        <f>VLOOKUP(F467,Control!$B:$D,3,FALSE)</f>
        <v>Brent Sprds</v>
      </c>
      <c r="T467" s="38">
        <f t="shared" si="689"/>
        <v>2026</v>
      </c>
      <c r="U467" t="str">
        <f t="shared" si="690"/>
        <v>Buy</v>
      </c>
      <c r="V467" s="240" t="s">
        <v>96</v>
      </c>
      <c r="W467" t="str">
        <f>_xlfn.XLOOKUP(Table3[[#This Row],[Instrument]],Control!$B$2:$B$19,Control!$E$2:$E$19)</f>
        <v>Brent</v>
      </c>
      <c r="X467" s="14">
        <f>Table3[[#This Row],[Month1]]</f>
        <v>46234</v>
      </c>
      <c r="Y467" s="350">
        <f>Table3[[#This Row],[Quantity]]</f>
        <v>300</v>
      </c>
      <c r="Z467" t="str">
        <f>_xlfn.XLOOKUP(Table3[[#This Row],[Instrument]],Control!$B$2:$B$19,Control!$F$2:$F$19)</f>
        <v>Brent</v>
      </c>
      <c r="AA467" s="14">
        <f>Table3[[#This Row],[Month2]]</f>
        <v>46265</v>
      </c>
      <c r="AB467" s="350">
        <f t="shared" si="691"/>
        <v>-300</v>
      </c>
    </row>
    <row r="468" spans="4:28" ht="15" hidden="1" thickBot="1" x14ac:dyDescent="0.4">
      <c r="D468" s="239" t="s">
        <v>1740</v>
      </c>
      <c r="E468" s="174">
        <v>46108</v>
      </c>
      <c r="F468" s="10" t="s">
        <v>7</v>
      </c>
      <c r="G468" s="4" t="s">
        <v>128</v>
      </c>
      <c r="H468" s="253">
        <v>700</v>
      </c>
      <c r="I468" s="172">
        <v>46234</v>
      </c>
      <c r="J468" s="172">
        <v>46265</v>
      </c>
      <c r="K468" s="212">
        <v>4.7</v>
      </c>
      <c r="L468" s="7">
        <f ca="1">IF(OR(S468="WTI Sprds",S468="Brent Sprds",S468="WTI-Brent",S468="DFL"),INDEX(INDIRECT("'" &amp; S468 &amp; "'!$A$6:$XFD$1048576"),MATCH('PnL26'!$P$1,INDIRECT("'" &amp; S468 &amp; "'!$A$6:$A$1048576"),0),MATCH(EOMONTH(I468,0),INDIRECT("'" &amp; S468 &amp; "'!$A$4:$XFD$4"),0)),INDEX(BBG!$A:$BA,MATCH('PnL26'!$P$1,BBG!$A:$A,0),MATCH($I468,BBG!$A$4:$BA$4,0))-INDEX(BBG!$A:$BA,MATCH('PnL26'!$P$1,BBG!$A:$A,0),MATCH($J468,BBG!$A$4:$BA$4,0)))</f>
        <v>0.93</v>
      </c>
      <c r="M468" s="9">
        <f ca="1">-(K468-L468)*Table3[[#This Row],[Quantity]]</f>
        <v>-2639</v>
      </c>
      <c r="N468">
        <f t="shared" ref="N468:N473" si="692">H468*K468</f>
        <v>3290</v>
      </c>
      <c r="O468" s="14" t="str">
        <f t="shared" ref="O468:O473" si="693">IF(I468=J468,TEXT(I468,"MMM YY"),TEXT(I468,"MMM")&amp;"/"&amp;TEXT(J468,"MMM")&amp;" "&amp;RIGHT(T468,2))</f>
        <v>Jul/Aug 26</v>
      </c>
      <c r="P468" s="8" t="str">
        <f t="shared" ref="P468:P473" si="694">IF(H468&lt;0,"Sell","Buy")</f>
        <v>Buy</v>
      </c>
      <c r="Q468">
        <f t="shared" ref="Q468:Q473" ca="1" si="695">H468*L468</f>
        <v>651</v>
      </c>
      <c r="R468" t="str">
        <f>VLOOKUP(F468,Control!$B:$C,2,FALSE)</f>
        <v>Futures</v>
      </c>
      <c r="S468" t="str">
        <f>VLOOKUP(F468,Control!$B:$D,3,FALSE)</f>
        <v>Brent Sprds</v>
      </c>
      <c r="T468" s="38">
        <f t="shared" ref="T468:T473" si="696">YEAR(I468)</f>
        <v>2026</v>
      </c>
      <c r="U468" t="str">
        <f t="shared" ref="U468:U473" si="697">IFERROR(IF(H468&gt;0,"Buy","Sell"),"")</f>
        <v>Buy</v>
      </c>
      <c r="V468" s="240" t="s">
        <v>96</v>
      </c>
      <c r="W468" t="str">
        <f>_xlfn.XLOOKUP(Table3[[#This Row],[Instrument]],Control!$B$2:$B$19,Control!$E$2:$E$19)</f>
        <v>Brent</v>
      </c>
      <c r="X468" s="14">
        <f>Table3[[#This Row],[Month1]]</f>
        <v>46234</v>
      </c>
      <c r="Y468" s="350">
        <f>Table3[[#This Row],[Quantity]]</f>
        <v>700</v>
      </c>
      <c r="Z468" t="str">
        <f>_xlfn.XLOOKUP(Table3[[#This Row],[Instrument]],Control!$B$2:$B$19,Control!$F$2:$F$19)</f>
        <v>Brent</v>
      </c>
      <c r="AA468" s="14">
        <f>Table3[[#This Row],[Month2]]</f>
        <v>46265</v>
      </c>
      <c r="AB468" s="350">
        <f t="shared" ref="AB468:AB473" si="698">-Y468</f>
        <v>-700</v>
      </c>
    </row>
    <row r="469" spans="4:28" ht="15" hidden="1" thickBot="1" x14ac:dyDescent="0.4">
      <c r="D469" s="239" t="s">
        <v>1740</v>
      </c>
      <c r="E469" s="174">
        <v>46108</v>
      </c>
      <c r="F469" s="10" t="s">
        <v>7</v>
      </c>
      <c r="G469" s="4" t="s">
        <v>128</v>
      </c>
      <c r="H469" s="253">
        <v>1100</v>
      </c>
      <c r="I469" s="172">
        <v>46234</v>
      </c>
      <c r="J469" s="172">
        <v>46265</v>
      </c>
      <c r="K469" s="212">
        <v>4.92</v>
      </c>
      <c r="L469" s="7">
        <f ca="1">IF(OR(S469="WTI Sprds",S469="Brent Sprds",S469="WTI-Brent",S469="DFL"),INDEX(INDIRECT("'" &amp; S469 &amp; "'!$A$6:$XFD$1048576"),MATCH('PnL26'!$P$1,INDIRECT("'" &amp; S469 &amp; "'!$A$6:$A$1048576"),0),MATCH(EOMONTH(I469,0),INDIRECT("'" &amp; S469 &amp; "'!$A$4:$XFD$4"),0)),INDEX(BBG!$A:$BA,MATCH('PnL26'!$P$1,BBG!$A:$A,0),MATCH($I469,BBG!$A$4:$BA$4,0))-INDEX(BBG!$A:$BA,MATCH('PnL26'!$P$1,BBG!$A:$A,0),MATCH($J469,BBG!$A$4:$BA$4,0)))</f>
        <v>0.93</v>
      </c>
      <c r="M469" s="9">
        <f ca="1">-(K469-L469)*Table3[[#This Row],[Quantity]]</f>
        <v>-4389</v>
      </c>
      <c r="N469">
        <f t="shared" si="692"/>
        <v>5412</v>
      </c>
      <c r="O469" s="14" t="str">
        <f t="shared" si="693"/>
        <v>Jul/Aug 26</v>
      </c>
      <c r="P469" s="8" t="str">
        <f t="shared" si="694"/>
        <v>Buy</v>
      </c>
      <c r="Q469">
        <f t="shared" ca="1" si="695"/>
        <v>1023</v>
      </c>
      <c r="R469" t="str">
        <f>VLOOKUP(F469,Control!$B:$C,2,FALSE)</f>
        <v>Futures</v>
      </c>
      <c r="S469" t="str">
        <f>VLOOKUP(F469,Control!$B:$D,3,FALSE)</f>
        <v>Brent Sprds</v>
      </c>
      <c r="T469" s="38">
        <f t="shared" si="696"/>
        <v>2026</v>
      </c>
      <c r="U469" t="str">
        <f t="shared" si="697"/>
        <v>Buy</v>
      </c>
      <c r="V469" s="240" t="s">
        <v>96</v>
      </c>
      <c r="W469" t="str">
        <f>_xlfn.XLOOKUP(Table3[[#This Row],[Instrument]],Control!$B$2:$B$19,Control!$E$2:$E$19)</f>
        <v>Brent</v>
      </c>
      <c r="X469" s="14">
        <f>Table3[[#This Row],[Month1]]</f>
        <v>46234</v>
      </c>
      <c r="Y469" s="350">
        <f>Table3[[#This Row],[Quantity]]</f>
        <v>1100</v>
      </c>
      <c r="Z469" t="str">
        <f>_xlfn.XLOOKUP(Table3[[#This Row],[Instrument]],Control!$B$2:$B$19,Control!$F$2:$F$19)</f>
        <v>Brent</v>
      </c>
      <c r="AA469" s="14">
        <f>Table3[[#This Row],[Month2]]</f>
        <v>46265</v>
      </c>
      <c r="AB469" s="350">
        <f t="shared" si="698"/>
        <v>-1100</v>
      </c>
    </row>
    <row r="470" spans="4:28" ht="15" hidden="1" thickBot="1" x14ac:dyDescent="0.4">
      <c r="D470" s="239" t="s">
        <v>1740</v>
      </c>
      <c r="E470" s="174">
        <v>46108</v>
      </c>
      <c r="F470" s="10" t="s">
        <v>10</v>
      </c>
      <c r="G470" s="4" t="s">
        <v>128</v>
      </c>
      <c r="H470" s="253">
        <v>-57</v>
      </c>
      <c r="I470" s="172">
        <v>46173</v>
      </c>
      <c r="J470" s="172">
        <v>46173</v>
      </c>
      <c r="K470" s="212">
        <v>-12.93</v>
      </c>
      <c r="L470" s="7">
        <f ca="1">IF(OR(S470="WTI Sprds",S470="Brent Sprds",S470="WTI-Brent",S470="DFL"),INDEX(INDIRECT("'" &amp; S470 &amp; "'!$A$6:$XFD$1048576"),MATCH('PnL26'!$P$1,INDIRECT("'" &amp; S470 &amp; "'!$A$6:$A$1048576"),0),MATCH(EOMONTH(I470,0),INDIRECT("'" &amp; S470 &amp; "'!$A$4:$XFD$4"),0)),INDEX(BBG!$A:$BA,MATCH('PnL26'!$P$1,BBG!$A:$A,0),MATCH($I470,BBG!$A$4:$BA$4,0))-INDEX(BBG!$A:$BA,MATCH('PnL26'!$P$1,BBG!$A:$A,0),MATCH($J470,BBG!$A$4:$BA$4,0)))</f>
        <v>-16.97</v>
      </c>
      <c r="M470" s="9">
        <f ca="1">-(K470-L470)*Table3[[#This Row],[Quantity]]</f>
        <v>230.27999999999994</v>
      </c>
      <c r="N470">
        <f t="shared" si="692"/>
        <v>737.01</v>
      </c>
      <c r="O470" s="14" t="str">
        <f t="shared" si="693"/>
        <v>May 26</v>
      </c>
      <c r="P470" s="8" t="str">
        <f t="shared" si="694"/>
        <v>Sell</v>
      </c>
      <c r="Q470">
        <f t="shared" ca="1" si="695"/>
        <v>967.29</v>
      </c>
      <c r="R470" t="str">
        <f>VLOOKUP(F470,Control!$B:$C,2,FALSE)</f>
        <v>Swaps</v>
      </c>
      <c r="S470" t="str">
        <f>VLOOKUP(F470,Control!$B:$D,3,FALSE)</f>
        <v>WTI-Brent</v>
      </c>
      <c r="T470" s="38">
        <f t="shared" si="696"/>
        <v>2026</v>
      </c>
      <c r="U470" t="str">
        <f t="shared" si="697"/>
        <v>Sell</v>
      </c>
      <c r="V470" s="240" t="s">
        <v>96</v>
      </c>
      <c r="W470" t="str">
        <f>_xlfn.XLOOKUP(Table3[[#This Row],[Instrument]],Control!$B$2:$B$19,Control!$E$2:$E$19)</f>
        <v>WTI</v>
      </c>
      <c r="X470" s="14">
        <f>Table3[[#This Row],[Month1]]</f>
        <v>46173</v>
      </c>
      <c r="Y470" s="350">
        <f>Table3[[#This Row],[Quantity]]</f>
        <v>-57</v>
      </c>
      <c r="Z470" t="str">
        <f>_xlfn.XLOOKUP(Table3[[#This Row],[Instrument]],Control!$B$2:$B$19,Control!$F$2:$F$19)</f>
        <v>Brent</v>
      </c>
      <c r="AA470" s="14">
        <f>Table3[[#This Row],[Month2]]</f>
        <v>46173</v>
      </c>
      <c r="AB470" s="350">
        <f t="shared" si="698"/>
        <v>57</v>
      </c>
    </row>
    <row r="471" spans="4:28" ht="15" hidden="1" thickBot="1" x14ac:dyDescent="0.4">
      <c r="D471" s="239" t="s">
        <v>1740</v>
      </c>
      <c r="E471" s="174">
        <v>46108</v>
      </c>
      <c r="F471" s="10" t="s">
        <v>7</v>
      </c>
      <c r="G471" s="4" t="s">
        <v>128</v>
      </c>
      <c r="H471" s="253">
        <v>-5</v>
      </c>
      <c r="I471" s="172">
        <f>J470</f>
        <v>46173</v>
      </c>
      <c r="J471" s="172">
        <f>EOMONTH(Table3[[#This Row],[Month1]],1)</f>
        <v>46203</v>
      </c>
      <c r="K471" s="212">
        <v>7.25</v>
      </c>
      <c r="L471" s="7">
        <f ca="1">IF(OR(S471="WTI Sprds",S471="Brent Sprds",S471="WTI-Brent",S471="DFL"),INDEX(INDIRECT("'" &amp; S471 &amp; "'!$A$6:$XFD$1048576"),MATCH('PnL26'!$P$1,INDIRECT("'" &amp; S471 &amp; "'!$A$6:$A$1048576"),0),MATCH(EOMONTH(I471,0),INDIRECT("'" &amp; S471 &amp; "'!$A$4:$XFD$4"),0)),INDEX(BBG!$A:$BA,MATCH('PnL26'!$P$1,BBG!$A:$A,0),MATCH($I471,BBG!$A$4:$BA$4,0))-INDEX(BBG!$A:$BA,MATCH('PnL26'!$P$1,BBG!$A:$A,0),MATCH($J471,BBG!$A$4:$BA$4,0)))</f>
        <v>14.38</v>
      </c>
      <c r="M471" s="9">
        <f ca="1">-(K471-L471)*Table3[[#This Row],[Quantity]]</f>
        <v>-35.650000000000006</v>
      </c>
      <c r="N471">
        <f t="shared" si="692"/>
        <v>-36.25</v>
      </c>
      <c r="O471" s="14" t="str">
        <f t="shared" si="693"/>
        <v>May/Jun 26</v>
      </c>
      <c r="P471" s="8" t="str">
        <f t="shared" si="694"/>
        <v>Sell</v>
      </c>
      <c r="Q471">
        <f t="shared" ca="1" si="695"/>
        <v>-71.900000000000006</v>
      </c>
      <c r="R471" t="str">
        <f>VLOOKUP(F471,Control!$B:$C,2,FALSE)</f>
        <v>Futures</v>
      </c>
      <c r="S471" t="str">
        <f>VLOOKUP(F471,Control!$B:$D,3,FALSE)</f>
        <v>Brent Sprds</v>
      </c>
      <c r="T471" s="38">
        <f t="shared" si="696"/>
        <v>2026</v>
      </c>
      <c r="U471" t="str">
        <f t="shared" si="697"/>
        <v>Sell</v>
      </c>
      <c r="V471" s="240" t="s">
        <v>96</v>
      </c>
      <c r="W471" t="str">
        <f>_xlfn.XLOOKUP(Table3[[#This Row],[Instrument]],Control!$B$2:$B$19,Control!$E$2:$E$19)</f>
        <v>Brent</v>
      </c>
      <c r="X471" s="14">
        <f>Table3[[#This Row],[Month1]]</f>
        <v>46173</v>
      </c>
      <c r="Y471" s="350">
        <f>Table3[[#This Row],[Quantity]]</f>
        <v>-5</v>
      </c>
      <c r="Z471" t="str">
        <f>_xlfn.XLOOKUP(Table3[[#This Row],[Instrument]],Control!$B$2:$B$19,Control!$F$2:$F$19)</f>
        <v>Brent</v>
      </c>
      <c r="AA471" s="14">
        <f>Table3[[#This Row],[Month2]]</f>
        <v>46203</v>
      </c>
      <c r="AB471" s="350">
        <f t="shared" si="698"/>
        <v>5</v>
      </c>
    </row>
    <row r="472" spans="4:28" ht="15" hidden="1" thickBot="1" x14ac:dyDescent="0.4">
      <c r="D472" s="239" t="s">
        <v>1740</v>
      </c>
      <c r="E472" s="174">
        <v>46108</v>
      </c>
      <c r="F472" s="10" t="s">
        <v>3</v>
      </c>
      <c r="G472" s="4" t="s">
        <v>128</v>
      </c>
      <c r="H472" s="456">
        <v>214</v>
      </c>
      <c r="I472" s="172">
        <v>46173</v>
      </c>
      <c r="J472" s="172">
        <f>EOMONTH(Table3[[#This Row],[Month1]],1)</f>
        <v>46203</v>
      </c>
      <c r="K472" s="212">
        <v>5.45</v>
      </c>
      <c r="L472" s="7">
        <f ca="1">IF(OR(S472="WTI Sprds",S472="Brent Sprds",S472="WTI-Brent",S472="DFL"),INDEX(INDIRECT("'" &amp; S472 &amp; "'!$A$6:$XFD$1048576"),MATCH('PnL26'!$P$1,INDIRECT("'" &amp; S472 &amp; "'!$A$6:$A$1048576"),0),MATCH(EOMONTH(I472,0),INDIRECT("'" &amp; S472 &amp; "'!$A$4:$XFD$4"),0)),INDEX(BBG!$A:$BA,MATCH('PnL26'!$P$1,BBG!$A:$A,0),MATCH($I472,BBG!$A$4:$BA$4,0))-INDEX(BBG!$A:$BA,MATCH('PnL26'!$P$1,BBG!$A:$A,0),MATCH($J472,BBG!$A$4:$BA$4,0)))</f>
        <v>2.19</v>
      </c>
      <c r="M472" s="9">
        <f ca="1">-(K472-L472)*Table3[[#This Row],[Quantity]]</f>
        <v>-697.6400000000001</v>
      </c>
      <c r="N472">
        <f t="shared" si="692"/>
        <v>1166.3</v>
      </c>
      <c r="O472" s="14" t="str">
        <f t="shared" si="693"/>
        <v>May/Jun 26</v>
      </c>
      <c r="P472" s="8" t="str">
        <f t="shared" si="694"/>
        <v>Buy</v>
      </c>
      <c r="Q472">
        <f t="shared" ca="1" si="695"/>
        <v>468.65999999999997</v>
      </c>
      <c r="R472" t="str">
        <f>VLOOKUP(F472,Control!$B:$C,2,FALSE)</f>
        <v>Futures</v>
      </c>
      <c r="S472" t="str">
        <f>VLOOKUP(F472,Control!$B:$D,3,FALSE)</f>
        <v>WTI Sprds</v>
      </c>
      <c r="T472" s="38">
        <f t="shared" si="696"/>
        <v>2026</v>
      </c>
      <c r="U472" t="str">
        <f t="shared" si="697"/>
        <v>Buy</v>
      </c>
      <c r="V472" s="240" t="s">
        <v>96</v>
      </c>
      <c r="W472" t="str">
        <f>_xlfn.XLOOKUP(Table3[[#This Row],[Instrument]],Control!$B$2:$B$19,Control!$E$2:$E$19)</f>
        <v>WTI</v>
      </c>
      <c r="X472" s="14">
        <f>Table3[[#This Row],[Month1]]</f>
        <v>46173</v>
      </c>
      <c r="Y472" s="350">
        <f>Table3[[#This Row],[Quantity]]</f>
        <v>214</v>
      </c>
      <c r="Z472" t="str">
        <f>_xlfn.XLOOKUP(Table3[[#This Row],[Instrument]],Control!$B$2:$B$19,Control!$F$2:$F$19)</f>
        <v>WTI</v>
      </c>
      <c r="AA472" s="14">
        <f>Table3[[#This Row],[Month2]]</f>
        <v>46203</v>
      </c>
      <c r="AB472" s="350">
        <f t="shared" si="698"/>
        <v>-214</v>
      </c>
    </row>
    <row r="473" spans="4:28" ht="15" hidden="1" thickBot="1" x14ac:dyDescent="0.4">
      <c r="D473" s="239" t="s">
        <v>1740</v>
      </c>
      <c r="E473" s="174">
        <v>46108</v>
      </c>
      <c r="F473" s="10" t="s">
        <v>3</v>
      </c>
      <c r="G473" s="4" t="s">
        <v>128</v>
      </c>
      <c r="H473" s="456">
        <v>75</v>
      </c>
      <c r="I473" s="172">
        <f>J472</f>
        <v>46203</v>
      </c>
      <c r="J473" s="172">
        <f>EOMONTH(Table3[[#This Row],[Month1]],1)</f>
        <v>46234</v>
      </c>
      <c r="K473" s="212">
        <v>4.66</v>
      </c>
      <c r="L473" s="7">
        <f ca="1">IF(OR(S473="WTI Sprds",S473="Brent Sprds",S473="WTI-Brent",S473="DFL"),INDEX(INDIRECT("'" &amp; S473 &amp; "'!$A$6:$XFD$1048576"),MATCH('PnL26'!$P$1,INDIRECT("'" &amp; S473 &amp; "'!$A$6:$A$1048576"),0),MATCH(EOMONTH(I473,0),INDIRECT("'" &amp; S473 &amp; "'!$A$4:$XFD$4"),0)),INDEX(BBG!$A:$BA,MATCH('PnL26'!$P$1,BBG!$A:$A,0),MATCH($I473,BBG!$A$4:$BA$4,0))-INDEX(BBG!$A:$BA,MATCH('PnL26'!$P$1,BBG!$A:$A,0),MATCH($J473,BBG!$A$4:$BA$4,0)))</f>
        <v>4.28</v>
      </c>
      <c r="M473" s="9">
        <f ca="1">-(K473-L473)*Table3[[#This Row],[Quantity]]</f>
        <v>-28.499999999999993</v>
      </c>
      <c r="N473">
        <f t="shared" si="692"/>
        <v>349.5</v>
      </c>
      <c r="O473" s="14" t="str">
        <f t="shared" si="693"/>
        <v>Jun/Jul 26</v>
      </c>
      <c r="P473" s="8" t="str">
        <f t="shared" si="694"/>
        <v>Buy</v>
      </c>
      <c r="Q473">
        <f t="shared" ca="1" si="695"/>
        <v>321</v>
      </c>
      <c r="R473" t="str">
        <f>VLOOKUP(F473,Control!$B:$C,2,FALSE)</f>
        <v>Futures</v>
      </c>
      <c r="S473" t="str">
        <f>VLOOKUP(F473,Control!$B:$D,3,FALSE)</f>
        <v>WTI Sprds</v>
      </c>
      <c r="T473" s="38">
        <f t="shared" si="696"/>
        <v>2026</v>
      </c>
      <c r="U473" t="str">
        <f t="shared" si="697"/>
        <v>Buy</v>
      </c>
      <c r="V473" s="240" t="s">
        <v>96</v>
      </c>
      <c r="W473" t="str">
        <f>_xlfn.XLOOKUP(Table3[[#This Row],[Instrument]],Control!$B$2:$B$19,Control!$E$2:$E$19)</f>
        <v>WTI</v>
      </c>
      <c r="X473" s="14">
        <f>Table3[[#This Row],[Month1]]</f>
        <v>46203</v>
      </c>
      <c r="Y473" s="350">
        <f>Table3[[#This Row],[Quantity]]</f>
        <v>75</v>
      </c>
      <c r="Z473" t="str">
        <f>_xlfn.XLOOKUP(Table3[[#This Row],[Instrument]],Control!$B$2:$B$19,Control!$F$2:$F$19)</f>
        <v>WTI</v>
      </c>
      <c r="AA473" s="14">
        <f>Table3[[#This Row],[Month2]]</f>
        <v>46234</v>
      </c>
      <c r="AB473" s="350">
        <f t="shared" si="698"/>
        <v>-75</v>
      </c>
    </row>
    <row r="474" spans="4:28" ht="15" hidden="1" thickBot="1" x14ac:dyDescent="0.4">
      <c r="D474" s="239" t="s">
        <v>127</v>
      </c>
      <c r="E474" s="174">
        <v>46108</v>
      </c>
      <c r="F474" s="10" t="s">
        <v>7</v>
      </c>
      <c r="G474" s="4" t="s">
        <v>268</v>
      </c>
      <c r="H474" s="253">
        <f>-141+24</f>
        <v>-117</v>
      </c>
      <c r="I474" s="172">
        <v>46203</v>
      </c>
      <c r="J474" s="172">
        <f>EOMONTH(Table3[[#This Row],[Month1]],1)</f>
        <v>46234</v>
      </c>
      <c r="K474" s="212">
        <v>4.18</v>
      </c>
      <c r="L474" s="7">
        <f ca="1">IF(OR(S474="WTI Sprds",S474="Brent Sprds",S474="WTI-Brent",S474="DFL"),INDEX(INDIRECT("'" &amp; S474 &amp; "'!$A$6:$XFD$1048576"),MATCH('PnL26'!$P$1,INDIRECT("'" &amp; S474 &amp; "'!$A$6:$A$1048576"),0),MATCH(EOMONTH(I474,0),INDIRECT("'" &amp; S474 &amp; "'!$A$4:$XFD$4"),0)),INDEX(BBG!$A:$BA,MATCH('PnL26'!$P$1,BBG!$A:$A,0),MATCH($I474,BBG!$A$4:$BA$4,0))-INDEX(BBG!$A:$BA,MATCH('PnL26'!$P$1,BBG!$A:$A,0),MATCH($J474,BBG!$A$4:$BA$4,0)))</f>
        <v>3.61</v>
      </c>
      <c r="M474" s="9">
        <f ca="1">-(K474-L474)*Table3[[#This Row],[Quantity]]</f>
        <v>66.689999999999984</v>
      </c>
      <c r="N474">
        <f t="shared" ref="N474" si="699">H474*K474</f>
        <v>-489.05999999999995</v>
      </c>
      <c r="O474" s="14" t="str">
        <f t="shared" ref="O474" si="700">IF(I474=J474,TEXT(I474,"MMM YY"),TEXT(I474,"MMM")&amp;"/"&amp;TEXT(J474,"MMM")&amp;" "&amp;RIGHT(T474,2))</f>
        <v>Jun/Jul 26</v>
      </c>
      <c r="P474" s="8" t="str">
        <f t="shared" ref="P474" si="701">IF(H474&lt;0,"Sell","Buy")</f>
        <v>Sell</v>
      </c>
      <c r="Q474">
        <f t="shared" ref="Q474" ca="1" si="702">H474*L474</f>
        <v>-422.37</v>
      </c>
      <c r="R474" t="str">
        <f>VLOOKUP(F474,Control!$B:$C,2,FALSE)</f>
        <v>Futures</v>
      </c>
      <c r="S474" t="str">
        <f>VLOOKUP(F474,Control!$B:$D,3,FALSE)</f>
        <v>Brent Sprds</v>
      </c>
      <c r="T474" s="38">
        <f t="shared" ref="T474" si="703">YEAR(I474)</f>
        <v>2026</v>
      </c>
      <c r="U474" t="str">
        <f t="shared" ref="U474" si="704">IFERROR(IF(H474&gt;0,"Buy","Sell"),"")</f>
        <v>Sell</v>
      </c>
      <c r="V474" s="240" t="s">
        <v>96</v>
      </c>
      <c r="W474" t="str">
        <f>_xlfn.XLOOKUP(Table3[[#This Row],[Instrument]],Control!$B$2:$B$19,Control!$E$2:$E$19)</f>
        <v>Brent</v>
      </c>
      <c r="X474" s="14">
        <f>Table3[[#This Row],[Month1]]</f>
        <v>46203</v>
      </c>
      <c r="Y474" s="350">
        <f>Table3[[#This Row],[Quantity]]</f>
        <v>-117</v>
      </c>
      <c r="Z474" t="str">
        <f>_xlfn.XLOOKUP(Table3[[#This Row],[Instrument]],Control!$B$2:$B$19,Control!$F$2:$F$19)</f>
        <v>Brent</v>
      </c>
      <c r="AA474" s="14">
        <f>Table3[[#This Row],[Month2]]</f>
        <v>46234</v>
      </c>
      <c r="AB474" s="350">
        <f t="shared" ref="AB474" si="705">-Y474</f>
        <v>117</v>
      </c>
    </row>
    <row r="475" spans="4:28" ht="15" hidden="1" thickBot="1" x14ac:dyDescent="0.4">
      <c r="D475" t="s">
        <v>127</v>
      </c>
      <c r="E475" s="174">
        <v>46111</v>
      </c>
      <c r="F475" s="10" t="s">
        <v>15</v>
      </c>
      <c r="G475" s="4" t="s">
        <v>128</v>
      </c>
      <c r="H475" s="253">
        <v>-200</v>
      </c>
      <c r="I475" s="173">
        <v>46142</v>
      </c>
      <c r="J475" s="173">
        <v>46142</v>
      </c>
      <c r="K475" s="100">
        <v>10.4</v>
      </c>
      <c r="L475" s="192">
        <f>VLOOKUP($I475,'PnL26'!$E$7:$F$59,2,FALSE)</f>
        <v>17.678750000000008</v>
      </c>
      <c r="M475" s="9">
        <f>IFERROR((L475-K475)*H475,"")</f>
        <v>-1455.7500000000016</v>
      </c>
      <c r="N475">
        <f>H475*K475</f>
        <v>-2080</v>
      </c>
      <c r="O475" s="14" t="str">
        <f>IF(I475=J475,TEXT(I475,"MMM YY"),TEXT(I475,"MMM")&amp;"/"&amp;TEXT(J475,"MMM")&amp;" "&amp;RIGHT(T475,2))</f>
        <v>Apr 26</v>
      </c>
      <c r="P475" s="8" t="str">
        <f>IF(H475&lt;0,"Sell","Buy")</f>
        <v>Sell</v>
      </c>
      <c r="Q475">
        <f>H475*L475</f>
        <v>-3535.7500000000018</v>
      </c>
      <c r="R475" s="38" t="str">
        <f>VLOOKUP(F475,Control!$B:$C,2,FALSE)</f>
        <v>Swaps</v>
      </c>
      <c r="S475" s="38" t="str">
        <f>VLOOKUP(F475,Control!$B:$D,3,FALSE)</f>
        <v>Dated</v>
      </c>
      <c r="T475" s="38">
        <f>YEAR(I475)</f>
        <v>2026</v>
      </c>
      <c r="U475" t="str">
        <f>IFERROR(IF(H475&gt;0,"Buy","Sell"),"")</f>
        <v>Sell</v>
      </c>
      <c r="V475" t="s">
        <v>96</v>
      </c>
      <c r="W475" t="e">
        <f>_xlfn.XLOOKUP(Table3[[#This Row],[Instrument]],Control!$B$2:$B$19,Control!$E$2:$E$19)</f>
        <v>#N/A</v>
      </c>
      <c r="X475" s="14">
        <f>Table3[[#This Row],[Month1]]</f>
        <v>46142</v>
      </c>
      <c r="Y475" s="350">
        <f>Table3[[#This Row],[Quantity]]</f>
        <v>-200</v>
      </c>
      <c r="Z475" t="e">
        <f>_xlfn.XLOOKUP(Table3[[#This Row],[Instrument]],Control!$B$2:$B$19,Control!$F$2:$F$19)</f>
        <v>#N/A</v>
      </c>
      <c r="AA475" s="14">
        <f>Table3[[#This Row],[Month2]]</f>
        <v>46142</v>
      </c>
      <c r="AB475" s="350">
        <f>-Y475</f>
        <v>200</v>
      </c>
    </row>
    <row r="476" spans="4:28" ht="15" hidden="1" thickBot="1" x14ac:dyDescent="0.4">
      <c r="D476" t="s">
        <v>127</v>
      </c>
      <c r="E476" s="174">
        <v>46111</v>
      </c>
      <c r="F476" s="10" t="s">
        <v>15</v>
      </c>
      <c r="G476" s="4" t="s">
        <v>128</v>
      </c>
      <c r="H476" s="253">
        <v>-100</v>
      </c>
      <c r="I476" s="173">
        <v>46142</v>
      </c>
      <c r="J476" s="173">
        <v>46142</v>
      </c>
      <c r="K476" s="100">
        <v>10.75</v>
      </c>
      <c r="L476" s="192">
        <f>VLOOKUP($I476,'PnL26'!$E$7:$F$59,2,FALSE)</f>
        <v>17.678750000000008</v>
      </c>
      <c r="M476" s="9">
        <f>IFERROR((L476-K476)*H476,"")</f>
        <v>-692.8750000000008</v>
      </c>
      <c r="N476">
        <f>H476*K476</f>
        <v>-1075</v>
      </c>
      <c r="O476" s="14" t="str">
        <f>IF(I476=J476,TEXT(I476,"MMM YY"),TEXT(I476,"MMM")&amp;"/"&amp;TEXT(J476,"MMM")&amp;" "&amp;RIGHT(T476,2))</f>
        <v>Apr 26</v>
      </c>
      <c r="P476" s="8" t="str">
        <f>IF(H476&lt;0,"Sell","Buy")</f>
        <v>Sell</v>
      </c>
      <c r="Q476">
        <f>H476*L476</f>
        <v>-1767.8750000000009</v>
      </c>
      <c r="R476" s="38" t="str">
        <f>VLOOKUP(F476,Control!$B:$C,2,FALSE)</f>
        <v>Swaps</v>
      </c>
      <c r="S476" s="38" t="str">
        <f>VLOOKUP(F476,Control!$B:$D,3,FALSE)</f>
        <v>Dated</v>
      </c>
      <c r="T476" s="38">
        <f>YEAR(I476)</f>
        <v>2026</v>
      </c>
      <c r="U476" t="str">
        <f>IFERROR(IF(H476&gt;0,"Buy","Sell"),"")</f>
        <v>Sell</v>
      </c>
      <c r="V476" t="s">
        <v>96</v>
      </c>
      <c r="W476" t="e">
        <f>_xlfn.XLOOKUP(Table3[[#This Row],[Instrument]],Control!$B$2:$B$19,Control!$E$2:$E$19)</f>
        <v>#N/A</v>
      </c>
      <c r="X476" s="14">
        <f>Table3[[#This Row],[Month1]]</f>
        <v>46142</v>
      </c>
      <c r="Y476" s="350">
        <f>Table3[[#This Row],[Quantity]]</f>
        <v>-100</v>
      </c>
      <c r="Z476" t="e">
        <f>_xlfn.XLOOKUP(Table3[[#This Row],[Instrument]],Control!$B$2:$B$19,Control!$F$2:$F$19)</f>
        <v>#N/A</v>
      </c>
      <c r="AA476" s="14">
        <f>Table3[[#This Row],[Month2]]</f>
        <v>46142</v>
      </c>
      <c r="AB476" s="350">
        <f>-Y476</f>
        <v>100</v>
      </c>
    </row>
    <row r="477" spans="4:28" ht="15" hidden="1" thickBot="1" x14ac:dyDescent="0.4">
      <c r="D477" s="239" t="s">
        <v>1740</v>
      </c>
      <c r="E477" s="174">
        <v>46112</v>
      </c>
      <c r="F477" s="10" t="s">
        <v>3</v>
      </c>
      <c r="G477" s="4" t="s">
        <v>128</v>
      </c>
      <c r="H477" s="456">
        <v>177</v>
      </c>
      <c r="I477" s="172">
        <v>46173</v>
      </c>
      <c r="J477" s="172">
        <f>EOMONTH(Table3[[#This Row],[Month1]],1)</f>
        <v>46203</v>
      </c>
      <c r="K477" s="212">
        <v>8.2200000000000006</v>
      </c>
      <c r="L477" s="7">
        <f ca="1">IF(OR(S477="WTI Sprds",S477="Brent Sprds",S477="WTI-Brent",S477="DFL"),INDEX(INDIRECT("'" &amp; S477 &amp; "'!$A$6:$XFD$1048576"),MATCH('PnL26'!$P$1,INDIRECT("'" &amp; S477 &amp; "'!$A$6:$A$1048576"),0),MATCH(EOMONTH(I477,0),INDIRECT("'" &amp; S477 &amp; "'!$A$4:$XFD$4"),0)),INDEX(BBG!$A:$BA,MATCH('PnL26'!$P$1,BBG!$A:$A,0),MATCH($I477,BBG!$A$4:$BA$4,0))-INDEX(BBG!$A:$BA,MATCH('PnL26'!$P$1,BBG!$A:$A,0),MATCH($J477,BBG!$A$4:$BA$4,0)))</f>
        <v>2.19</v>
      </c>
      <c r="M477" s="9">
        <f ca="1">-(K477-L477)*Table3[[#This Row],[Quantity]]</f>
        <v>-1067.3100000000002</v>
      </c>
      <c r="N477">
        <f t="shared" ref="N477:N478" si="706">H477*K477</f>
        <v>1454.94</v>
      </c>
      <c r="O477" s="14" t="str">
        <f t="shared" ref="O477:O478" si="707">IF(I477=J477,TEXT(I477,"MMM YY"),TEXT(I477,"MMM")&amp;"/"&amp;TEXT(J477,"MMM")&amp;" "&amp;RIGHT(T477,2))</f>
        <v>May/Jun 26</v>
      </c>
      <c r="P477" s="8" t="str">
        <f t="shared" ref="P477:P478" si="708">IF(H477&lt;0,"Sell","Buy")</f>
        <v>Buy</v>
      </c>
      <c r="Q477">
        <f t="shared" ref="Q477:Q478" ca="1" si="709">H477*L477</f>
        <v>387.63</v>
      </c>
      <c r="R477" t="str">
        <f>VLOOKUP(F477,Control!$B:$C,2,FALSE)</f>
        <v>Futures</v>
      </c>
      <c r="S477" t="str">
        <f>VLOOKUP(F477,Control!$B:$D,3,FALSE)</f>
        <v>WTI Sprds</v>
      </c>
      <c r="T477" s="38">
        <f t="shared" ref="T477:T478" si="710">YEAR(I477)</f>
        <v>2026</v>
      </c>
      <c r="U477" t="str">
        <f t="shared" ref="U477:U478" si="711">IFERROR(IF(H477&gt;0,"Buy","Sell"),"")</f>
        <v>Buy</v>
      </c>
      <c r="V477" s="240" t="s">
        <v>96</v>
      </c>
      <c r="W477" t="str">
        <f>_xlfn.XLOOKUP(Table3[[#This Row],[Instrument]],Control!$B$2:$B$19,Control!$E$2:$E$19)</f>
        <v>WTI</v>
      </c>
      <c r="X477" s="14">
        <f>Table3[[#This Row],[Month1]]</f>
        <v>46173</v>
      </c>
      <c r="Y477" s="350">
        <f>Table3[[#This Row],[Quantity]]</f>
        <v>177</v>
      </c>
      <c r="Z477" t="str">
        <f>_xlfn.XLOOKUP(Table3[[#This Row],[Instrument]],Control!$B$2:$B$19,Control!$F$2:$F$19)</f>
        <v>WTI</v>
      </c>
      <c r="AA477" s="14">
        <f>Table3[[#This Row],[Month2]]</f>
        <v>46203</v>
      </c>
      <c r="AB477" s="350">
        <f t="shared" ref="AB477:AB478" si="712">-Y477</f>
        <v>-177</v>
      </c>
    </row>
    <row r="478" spans="4:28" ht="15" hidden="1" thickBot="1" x14ac:dyDescent="0.4">
      <c r="D478" s="239" t="s">
        <v>1740</v>
      </c>
      <c r="E478" s="174">
        <v>46112</v>
      </c>
      <c r="F478" s="10" t="s">
        <v>3</v>
      </c>
      <c r="G478" s="4" t="s">
        <v>128</v>
      </c>
      <c r="H478" s="456">
        <v>62</v>
      </c>
      <c r="I478" s="172">
        <f>J477</f>
        <v>46203</v>
      </c>
      <c r="J478" s="172">
        <f>EOMONTH(Table3[[#This Row],[Month1]],1)</f>
        <v>46234</v>
      </c>
      <c r="K478" s="212">
        <v>6.63</v>
      </c>
      <c r="L478" s="7">
        <f ca="1">IF(OR(S478="WTI Sprds",S478="Brent Sprds",S478="WTI-Brent",S478="DFL"),INDEX(INDIRECT("'" &amp; S478 &amp; "'!$A$6:$XFD$1048576"),MATCH('PnL26'!$P$1,INDIRECT("'" &amp; S478 &amp; "'!$A$6:$A$1048576"),0),MATCH(EOMONTH(I478,0),INDIRECT("'" &amp; S478 &amp; "'!$A$4:$XFD$4"),0)),INDEX(BBG!$A:$BA,MATCH('PnL26'!$P$1,BBG!$A:$A,0),MATCH($I478,BBG!$A$4:$BA$4,0))-INDEX(BBG!$A:$BA,MATCH('PnL26'!$P$1,BBG!$A:$A,0),MATCH($J478,BBG!$A$4:$BA$4,0)))</f>
        <v>4.28</v>
      </c>
      <c r="M478" s="9">
        <f ca="1">-(K478-L478)*Table3[[#This Row],[Quantity]]</f>
        <v>-145.69999999999999</v>
      </c>
      <c r="N478">
        <f t="shared" si="706"/>
        <v>411.06</v>
      </c>
      <c r="O478" s="14" t="str">
        <f t="shared" si="707"/>
        <v>Jun/Jul 26</v>
      </c>
      <c r="P478" s="8" t="str">
        <f t="shared" si="708"/>
        <v>Buy</v>
      </c>
      <c r="Q478">
        <f t="shared" ca="1" si="709"/>
        <v>265.36</v>
      </c>
      <c r="R478" t="str">
        <f>VLOOKUP(F478,Control!$B:$C,2,FALSE)</f>
        <v>Futures</v>
      </c>
      <c r="S478" t="str">
        <f>VLOOKUP(F478,Control!$B:$D,3,FALSE)</f>
        <v>WTI Sprds</v>
      </c>
      <c r="T478" s="38">
        <f t="shared" si="710"/>
        <v>2026</v>
      </c>
      <c r="U478" t="str">
        <f t="shared" si="711"/>
        <v>Buy</v>
      </c>
      <c r="V478" s="240" t="s">
        <v>96</v>
      </c>
      <c r="W478" t="str">
        <f>_xlfn.XLOOKUP(Table3[[#This Row],[Instrument]],Control!$B$2:$B$19,Control!$E$2:$E$19)</f>
        <v>WTI</v>
      </c>
      <c r="X478" s="14">
        <f>Table3[[#This Row],[Month1]]</f>
        <v>46203</v>
      </c>
      <c r="Y478" s="350">
        <f>Table3[[#This Row],[Quantity]]</f>
        <v>62</v>
      </c>
      <c r="Z478" t="str">
        <f>_xlfn.XLOOKUP(Table3[[#This Row],[Instrument]],Control!$B$2:$B$19,Control!$F$2:$F$19)</f>
        <v>WTI</v>
      </c>
      <c r="AA478" s="14">
        <f>Table3[[#This Row],[Month2]]</f>
        <v>46234</v>
      </c>
      <c r="AB478" s="350">
        <f t="shared" si="712"/>
        <v>-62</v>
      </c>
    </row>
    <row r="479" spans="4:28" ht="15" hidden="1" thickBot="1" x14ac:dyDescent="0.4">
      <c r="D479" t="s">
        <v>127</v>
      </c>
      <c r="E479" s="174">
        <v>46112</v>
      </c>
      <c r="F479" s="10" t="s">
        <v>15</v>
      </c>
      <c r="G479" s="4" t="s">
        <v>128</v>
      </c>
      <c r="H479" s="253">
        <v>-318</v>
      </c>
      <c r="I479" s="173">
        <v>46112</v>
      </c>
      <c r="J479" s="173">
        <v>46112</v>
      </c>
      <c r="K479" s="100">
        <f>Table3[[#This Row],[Mtm]]</f>
        <v>11.45</v>
      </c>
      <c r="L479" s="192">
        <f>VLOOKUP($I479,'PnL26'!$E$7:$F$59,2,FALSE)</f>
        <v>11.45</v>
      </c>
      <c r="M479" s="9">
        <f>IFERROR((L479-K479)*H479,"")</f>
        <v>0</v>
      </c>
      <c r="N479">
        <f>H479*K479</f>
        <v>-3641.1</v>
      </c>
      <c r="O479" s="14" t="str">
        <f>IF(I479=J479,TEXT(I479,"MMM YY"),TEXT(I479,"MMM")&amp;"/"&amp;TEXT(J479,"MMM")&amp;" "&amp;RIGHT(T479,2))</f>
        <v>Mar 26</v>
      </c>
      <c r="P479" s="8" t="str">
        <f>IF(H479&lt;0,"Sell","Buy")</f>
        <v>Sell</v>
      </c>
      <c r="Q479">
        <f>H479*L479</f>
        <v>-3641.1</v>
      </c>
      <c r="R479" s="38" t="str">
        <f>VLOOKUP(F479,Control!$B:$C,2,FALSE)</f>
        <v>Swaps</v>
      </c>
      <c r="S479" s="38" t="str">
        <f>VLOOKUP(F479,Control!$B:$D,3,FALSE)</f>
        <v>Dated</v>
      </c>
      <c r="T479" s="38">
        <f>YEAR(I479)</f>
        <v>2026</v>
      </c>
      <c r="U479" t="str">
        <f>IFERROR(IF(H479&gt;0,"Buy","Sell"),"")</f>
        <v>Sell</v>
      </c>
      <c r="V479" t="s">
        <v>96</v>
      </c>
      <c r="W479" t="e">
        <f>_xlfn.XLOOKUP(Table3[[#This Row],[Instrument]],Control!$B$2:$B$19,Control!$E$2:$E$19)</f>
        <v>#N/A</v>
      </c>
      <c r="X479" s="14">
        <f>Table3[[#This Row],[Month1]]</f>
        <v>46112</v>
      </c>
      <c r="Y479" s="350">
        <f>Table3[[#This Row],[Quantity]]</f>
        <v>-318</v>
      </c>
      <c r="Z479" t="e">
        <f>_xlfn.XLOOKUP(Table3[[#This Row],[Instrument]],Control!$B$2:$B$19,Control!$F$2:$F$19)</f>
        <v>#N/A</v>
      </c>
      <c r="AA479" s="14">
        <f>Table3[[#This Row],[Month2]]</f>
        <v>46112</v>
      </c>
      <c r="AB479" s="350">
        <f>-Y479</f>
        <v>318</v>
      </c>
    </row>
    <row r="480" spans="4:28" ht="15" hidden="1" thickBot="1" x14ac:dyDescent="0.4">
      <c r="D480" t="s">
        <v>1735</v>
      </c>
      <c r="E480" s="174">
        <v>46112</v>
      </c>
      <c r="F480" s="375" t="s">
        <v>36</v>
      </c>
      <c r="G480" s="4" t="s">
        <v>128</v>
      </c>
      <c r="H480" s="253">
        <v>-25</v>
      </c>
      <c r="I480" s="172">
        <v>46112</v>
      </c>
      <c r="J480" s="172">
        <v>46112</v>
      </c>
      <c r="K480" s="212">
        <v>97.7</v>
      </c>
      <c r="L480" s="314">
        <f>VLOOKUP(I480,[2]USG!$O$45:$S100,MATCH("Freight-TD25 $/MT",[2]USG!$O$46:$S$46,0),FALSE)</f>
        <v>97.696500000000015</v>
      </c>
      <c r="M480" s="9">
        <f>-(K480-L480)*Table3[[#This Row],[Quantity]]</f>
        <v>8.7499999999707256E-2</v>
      </c>
      <c r="N480">
        <f t="shared" ref="N480:N482" si="713">H480*K480</f>
        <v>-2442.5</v>
      </c>
      <c r="O480" s="14" t="str">
        <f t="shared" ref="O480:O482" si="714">IF(I480=J480,TEXT(I480,"MMM YY"),TEXT(I480,"MMM")&amp;"/"&amp;TEXT(J480,"MMM")&amp;" "&amp;RIGHT(T480,2))</f>
        <v>Mar 26</v>
      </c>
      <c r="P480" s="8" t="str">
        <f t="shared" ref="P480:P482" si="715">IF(H480&lt;0,"Sell","Buy")</f>
        <v>Sell</v>
      </c>
      <c r="Q480">
        <f t="shared" ref="Q480:Q482" si="716">H480*L480</f>
        <v>-2442.4125000000004</v>
      </c>
      <c r="R480" t="str">
        <f>VLOOKUP(F480,Control!$B:$C,2,FALSE)</f>
        <v>Freight</v>
      </c>
      <c r="S480" t="str">
        <f>VLOOKUP(F480,Control!$B:$D,3,FALSE)</f>
        <v>Freight</v>
      </c>
      <c r="T480" s="38">
        <f t="shared" ref="T480:T482" si="717">YEAR(I480)</f>
        <v>2026</v>
      </c>
      <c r="U480" t="str">
        <f t="shared" ref="U480:U482" si="718">IFERROR(IF(H480&gt;0,"Buy","Sell"),"")</f>
        <v>Sell</v>
      </c>
      <c r="V480" t="s">
        <v>96</v>
      </c>
      <c r="W480" t="e">
        <f>_xlfn.XLOOKUP(Table3[[#This Row],[Instrument]],Control!$B$2:$B$19,Control!$E$2:$E$19)</f>
        <v>#N/A</v>
      </c>
      <c r="X480" s="14">
        <f>Table3[[#This Row],[Month1]]</f>
        <v>46112</v>
      </c>
      <c r="Y480" s="350">
        <f>Table3[[#This Row],[Quantity]]</f>
        <v>-25</v>
      </c>
      <c r="Z480" t="e">
        <f>_xlfn.XLOOKUP(Table3[[#This Row],[Instrument]],Control!$B$2:$B$19,Control!$F$2:$F$19)</f>
        <v>#N/A</v>
      </c>
      <c r="AA480" s="14">
        <f>Table3[[#This Row],[Month2]]</f>
        <v>46112</v>
      </c>
      <c r="AB480" s="350">
        <f t="shared" ref="AB480:AB482" si="719">-Y480</f>
        <v>25</v>
      </c>
    </row>
    <row r="481" spans="4:28" ht="15" hidden="1" thickBot="1" x14ac:dyDescent="0.4">
      <c r="D481" s="239" t="s">
        <v>1740</v>
      </c>
      <c r="E481" s="174">
        <v>46113</v>
      </c>
      <c r="F481" s="10" t="s">
        <v>10</v>
      </c>
      <c r="G481" s="4" t="s">
        <v>128</v>
      </c>
      <c r="H481" s="253">
        <v>115</v>
      </c>
      <c r="I481" s="172">
        <v>46234</v>
      </c>
      <c r="J481" s="172">
        <v>46234</v>
      </c>
      <c r="K481" s="212">
        <v>-9.4</v>
      </c>
      <c r="L481" s="7">
        <f ca="1">IF(OR(S481="WTI Sprds",S481="Brent Sprds",S481="WTI-Brent",S481="DFL"),INDEX(INDIRECT("'" &amp; S481 &amp; "'!$A$6:$XFD$1048576"),MATCH('PnL26'!$P$1,INDIRECT("'" &amp; S481 &amp; "'!$A$6:$A$1048576"),0),MATCH(EOMONTH(I481,0),INDIRECT("'" &amp; S481 &amp; "'!$A$4:$XFD$4"),0)),INDEX(BBG!$A:$BA,MATCH('PnL26'!$P$1,BBG!$A:$A,0),MATCH($I481,BBG!$A$4:$BA$4,0))-INDEX(BBG!$A:$BA,MATCH('PnL26'!$P$1,BBG!$A:$A,0),MATCH($J481,BBG!$A$4:$BA$4,0)))</f>
        <v>-4.6900000000000004</v>
      </c>
      <c r="M481" s="9">
        <f ca="1">-(K481-L481)*Table3[[#This Row],[Quantity]]</f>
        <v>541.65</v>
      </c>
      <c r="N481">
        <f t="shared" si="713"/>
        <v>-1081</v>
      </c>
      <c r="O481" s="14" t="str">
        <f t="shared" si="714"/>
        <v>Jul 26</v>
      </c>
      <c r="P481" s="8" t="str">
        <f t="shared" si="715"/>
        <v>Buy</v>
      </c>
      <c r="Q481">
        <f t="shared" ca="1" si="716"/>
        <v>-539.35</v>
      </c>
      <c r="R481" t="str">
        <f>VLOOKUP(F481,Control!$B:$C,2,FALSE)</f>
        <v>Swaps</v>
      </c>
      <c r="S481" t="str">
        <f>VLOOKUP(F481,Control!$B:$D,3,FALSE)</f>
        <v>WTI-Brent</v>
      </c>
      <c r="T481" s="38">
        <f t="shared" si="717"/>
        <v>2026</v>
      </c>
      <c r="U481" t="str">
        <f t="shared" si="718"/>
        <v>Buy</v>
      </c>
      <c r="V481" s="240" t="s">
        <v>96</v>
      </c>
      <c r="W481" t="str">
        <f>_xlfn.XLOOKUP(Table3[[#This Row],[Instrument]],Control!$B$2:$B$19,Control!$E$2:$E$19)</f>
        <v>WTI</v>
      </c>
      <c r="X481" s="14">
        <f>Table3[[#This Row],[Month1]]</f>
        <v>46234</v>
      </c>
      <c r="Y481" s="350">
        <f>Table3[[#This Row],[Quantity]]</f>
        <v>115</v>
      </c>
      <c r="Z481" t="str">
        <f>_xlfn.XLOOKUP(Table3[[#This Row],[Instrument]],Control!$B$2:$B$19,Control!$F$2:$F$19)</f>
        <v>Brent</v>
      </c>
      <c r="AA481" s="14">
        <f>Table3[[#This Row],[Month2]]</f>
        <v>46234</v>
      </c>
      <c r="AB481" s="399">
        <f t="shared" si="719"/>
        <v>-115</v>
      </c>
    </row>
    <row r="482" spans="4:28" ht="15" hidden="1" thickBot="1" x14ac:dyDescent="0.4">
      <c r="D482" s="239" t="s">
        <v>127</v>
      </c>
      <c r="E482" s="174">
        <v>46114</v>
      </c>
      <c r="F482" s="10" t="s">
        <v>3</v>
      </c>
      <c r="G482" s="4" t="s">
        <v>128</v>
      </c>
      <c r="H482" s="271">
        <v>-500</v>
      </c>
      <c r="I482" s="172">
        <v>46173</v>
      </c>
      <c r="J482" s="172">
        <f>EOMONTH(Table3[[#This Row],[Month1]],1)</f>
        <v>46203</v>
      </c>
      <c r="K482" s="212">
        <v>14.45</v>
      </c>
      <c r="L482" s="7">
        <f ca="1">IF(OR(S482="WTI Sprds",S482="Brent Sprds",S482="WTI-Brent",S482="DFL"),INDEX(INDIRECT("'" &amp; S482 &amp; "'!$A$6:$XFD$1048576"),MATCH('PnL26'!$P$1,INDIRECT("'" &amp; S482 &amp; "'!$A$6:$A$1048576"),0),MATCH(EOMONTH(I482,0),INDIRECT("'" &amp; S482 &amp; "'!$A$4:$XFD$4"),0)),INDEX(BBG!$A:$BA,MATCH('PnL26'!$P$1,BBG!$A:$A,0),MATCH($I482,BBG!$A$4:$BA$4,0))-INDEX(BBG!$A:$BA,MATCH('PnL26'!$P$1,BBG!$A:$A,0),MATCH($J482,BBG!$A$4:$BA$4,0)))</f>
        <v>2.19</v>
      </c>
      <c r="M482" s="9">
        <f ca="1">-(K482-L482)*Table3[[#This Row],[Quantity]]</f>
        <v>6130</v>
      </c>
      <c r="N482">
        <f t="shared" si="713"/>
        <v>-7225</v>
      </c>
      <c r="O482" s="14" t="str">
        <f t="shared" si="714"/>
        <v>May/Jun 26</v>
      </c>
      <c r="P482" s="8" t="str">
        <f t="shared" si="715"/>
        <v>Sell</v>
      </c>
      <c r="Q482">
        <f t="shared" ca="1" si="716"/>
        <v>-1095</v>
      </c>
      <c r="R482" t="str">
        <f>VLOOKUP(F482,Control!$B:$C,2,FALSE)</f>
        <v>Futures</v>
      </c>
      <c r="S482" t="str">
        <f>VLOOKUP(F482,Control!$B:$D,3,FALSE)</f>
        <v>WTI Sprds</v>
      </c>
      <c r="T482" s="38">
        <f t="shared" si="717"/>
        <v>2026</v>
      </c>
      <c r="U482" t="str">
        <f t="shared" si="718"/>
        <v>Sell</v>
      </c>
      <c r="V482" s="240" t="s">
        <v>96</v>
      </c>
      <c r="W482" t="str">
        <f>_xlfn.XLOOKUP(Table3[[#This Row],[Instrument]],Control!$B$2:$B$19,Control!$E$2:$E$19)</f>
        <v>WTI</v>
      </c>
      <c r="X482" s="14">
        <f>Table3[[#This Row],[Month1]]</f>
        <v>46173</v>
      </c>
      <c r="Y482" s="350">
        <f>Table3[[#This Row],[Quantity]]</f>
        <v>-500</v>
      </c>
      <c r="Z482" t="str">
        <f>_xlfn.XLOOKUP(Table3[[#This Row],[Instrument]],Control!$B$2:$B$19,Control!$F$2:$F$19)</f>
        <v>WTI</v>
      </c>
      <c r="AA482" s="14">
        <f>Table3[[#This Row],[Month2]]</f>
        <v>46203</v>
      </c>
      <c r="AB482" s="350">
        <f t="shared" si="719"/>
        <v>500</v>
      </c>
    </row>
    <row r="483" spans="4:28" ht="15" hidden="1" thickBot="1" x14ac:dyDescent="0.4">
      <c r="D483" s="239" t="s">
        <v>127</v>
      </c>
      <c r="E483" s="174">
        <v>46114</v>
      </c>
      <c r="F483" s="10" t="s">
        <v>3</v>
      </c>
      <c r="G483" s="4" t="s">
        <v>128</v>
      </c>
      <c r="H483" s="271">
        <v>-400</v>
      </c>
      <c r="I483" s="172">
        <v>46173</v>
      </c>
      <c r="J483" s="172">
        <f>EOMONTH(Table3[[#This Row],[Month1]],1)</f>
        <v>46203</v>
      </c>
      <c r="K483" s="212">
        <v>13.5</v>
      </c>
      <c r="L483" s="7">
        <f ca="1">IF(OR(S483="WTI Sprds",S483="Brent Sprds",S483="WTI-Brent",S483="DFL"),INDEX(INDIRECT("'" &amp; S483 &amp; "'!$A$6:$XFD$1048576"),MATCH('PnL26'!$P$1,INDIRECT("'" &amp; S483 &amp; "'!$A$6:$A$1048576"),0),MATCH(EOMONTH(I483,0),INDIRECT("'" &amp; S483 &amp; "'!$A$4:$XFD$4"),0)),INDEX(BBG!$A:$BA,MATCH('PnL26'!$P$1,BBG!$A:$A,0),MATCH($I483,BBG!$A$4:$BA$4,0))-INDEX(BBG!$A:$BA,MATCH('PnL26'!$P$1,BBG!$A:$A,0),MATCH($J483,BBG!$A$4:$BA$4,0)))</f>
        <v>2.19</v>
      </c>
      <c r="M483" s="9">
        <f ca="1">-(K483-L483)*Table3[[#This Row],[Quantity]]</f>
        <v>4524</v>
      </c>
      <c r="N483">
        <f t="shared" ref="N483" si="720">H483*K483</f>
        <v>-5400</v>
      </c>
      <c r="O483" s="14" t="str">
        <f t="shared" ref="O483" si="721">IF(I483=J483,TEXT(I483,"MMM YY"),TEXT(I483,"MMM")&amp;"/"&amp;TEXT(J483,"MMM")&amp;" "&amp;RIGHT(T483,2))</f>
        <v>May/Jun 26</v>
      </c>
      <c r="P483" s="8" t="str">
        <f t="shared" ref="P483" si="722">IF(H483&lt;0,"Sell","Buy")</f>
        <v>Sell</v>
      </c>
      <c r="Q483">
        <f t="shared" ref="Q483" ca="1" si="723">H483*L483</f>
        <v>-876</v>
      </c>
      <c r="R483" t="str">
        <f>VLOOKUP(F483,Control!$B:$C,2,FALSE)</f>
        <v>Futures</v>
      </c>
      <c r="S483" t="str">
        <f>VLOOKUP(F483,Control!$B:$D,3,FALSE)</f>
        <v>WTI Sprds</v>
      </c>
      <c r="T483" s="38">
        <f t="shared" ref="T483" si="724">YEAR(I483)</f>
        <v>2026</v>
      </c>
      <c r="U483" t="str">
        <f t="shared" ref="U483" si="725">IFERROR(IF(H483&gt;0,"Buy","Sell"),"")</f>
        <v>Sell</v>
      </c>
      <c r="V483" s="240" t="s">
        <v>96</v>
      </c>
      <c r="W483" t="str">
        <f>_xlfn.XLOOKUP(Table3[[#This Row],[Instrument]],Control!$B$2:$B$19,Control!$E$2:$E$19)</f>
        <v>WTI</v>
      </c>
      <c r="X483" s="14">
        <f>Table3[[#This Row],[Month1]]</f>
        <v>46173</v>
      </c>
      <c r="Y483" s="350">
        <f>Table3[[#This Row],[Quantity]]</f>
        <v>-400</v>
      </c>
      <c r="Z483" t="str">
        <f>_xlfn.XLOOKUP(Table3[[#This Row],[Instrument]],Control!$B$2:$B$19,Control!$F$2:$F$19)</f>
        <v>WTI</v>
      </c>
      <c r="AA483" s="14">
        <f>Table3[[#This Row],[Month2]]</f>
        <v>46203</v>
      </c>
      <c r="AB483" s="350">
        <f t="shared" ref="AB483" si="726">-Y483</f>
        <v>400</v>
      </c>
    </row>
    <row r="484" spans="4:28" ht="15" hidden="1" thickBot="1" x14ac:dyDescent="0.4">
      <c r="D484" s="239" t="s">
        <v>1740</v>
      </c>
      <c r="E484" s="174">
        <v>46114</v>
      </c>
      <c r="F484" s="10" t="s">
        <v>10</v>
      </c>
      <c r="G484" s="4" t="s">
        <v>128</v>
      </c>
      <c r="H484" s="253">
        <v>1950</v>
      </c>
      <c r="I484" s="172">
        <v>46234</v>
      </c>
      <c r="J484" s="172">
        <v>46234</v>
      </c>
      <c r="K484" s="212">
        <v>-10.050000000000001</v>
      </c>
      <c r="L484" s="7">
        <f ca="1">IF(OR(S484="WTI Sprds",S484="Brent Sprds",S484="WTI-Brent",S484="DFL"),INDEX(INDIRECT("'" &amp; S484 &amp; "'!$A$6:$XFD$1048576"),MATCH('PnL26'!$P$1,INDIRECT("'" &amp; S484 &amp; "'!$A$6:$A$1048576"),0),MATCH(EOMONTH(I484,0),INDIRECT("'" &amp; S484 &amp; "'!$A$4:$XFD$4"),0)),INDEX(BBG!$A:$BA,MATCH('PnL26'!$P$1,BBG!$A:$A,0),MATCH($I484,BBG!$A$4:$BA$4,0))-INDEX(BBG!$A:$BA,MATCH('PnL26'!$P$1,BBG!$A:$A,0),MATCH($J484,BBG!$A$4:$BA$4,0)))</f>
        <v>-4.6900000000000004</v>
      </c>
      <c r="M484" s="9">
        <f ca="1">-(K484-L484)*Table3[[#This Row],[Quantity]]</f>
        <v>10452</v>
      </c>
      <c r="N484">
        <f t="shared" ref="N484:N486" si="727">H484*K484</f>
        <v>-19597.5</v>
      </c>
      <c r="O484" s="14" t="str">
        <f t="shared" ref="O484:O486" si="728">IF(I484=J484,TEXT(I484,"MMM YY"),TEXT(I484,"MMM")&amp;"/"&amp;TEXT(J484,"MMM")&amp;" "&amp;RIGHT(T484,2))</f>
        <v>Jul 26</v>
      </c>
      <c r="P484" s="8" t="str">
        <f t="shared" ref="P484:P486" si="729">IF(H484&lt;0,"Sell","Buy")</f>
        <v>Buy</v>
      </c>
      <c r="Q484">
        <f t="shared" ref="Q484:Q486" ca="1" si="730">H484*L484</f>
        <v>-9145.5</v>
      </c>
      <c r="R484" t="str">
        <f>VLOOKUP(F484,Control!$B:$C,2,FALSE)</f>
        <v>Swaps</v>
      </c>
      <c r="S484" t="str">
        <f>VLOOKUP(F484,Control!$B:$D,3,FALSE)</f>
        <v>WTI-Brent</v>
      </c>
      <c r="T484" s="38">
        <f t="shared" ref="T484:T486" si="731">YEAR(I484)</f>
        <v>2026</v>
      </c>
      <c r="U484" t="str">
        <f t="shared" ref="U484:U486" si="732">IFERROR(IF(H484&gt;0,"Buy","Sell"),"")</f>
        <v>Buy</v>
      </c>
      <c r="V484" s="240" t="s">
        <v>96</v>
      </c>
      <c r="W484" t="str">
        <f>_xlfn.XLOOKUP(Table3[[#This Row],[Instrument]],Control!$B$2:$B$19,Control!$E$2:$E$19)</f>
        <v>WTI</v>
      </c>
      <c r="X484" s="14">
        <f>Table3[[#This Row],[Month1]]</f>
        <v>46234</v>
      </c>
      <c r="Y484" s="350">
        <f>Table3[[#This Row],[Quantity]]</f>
        <v>1950</v>
      </c>
      <c r="Z484" t="str">
        <f>_xlfn.XLOOKUP(Table3[[#This Row],[Instrument]],Control!$B$2:$B$19,Control!$F$2:$F$19)</f>
        <v>Brent</v>
      </c>
      <c r="AA484" s="14">
        <f>Table3[[#This Row],[Month2]]</f>
        <v>46234</v>
      </c>
      <c r="AB484" s="399">
        <f t="shared" ref="AB484:AB486" si="733">-Y484</f>
        <v>-1950</v>
      </c>
    </row>
    <row r="485" spans="4:28" ht="15" hidden="1" thickBot="1" x14ac:dyDescent="0.4">
      <c r="D485" s="37" t="s">
        <v>1735</v>
      </c>
      <c r="E485" s="174">
        <v>46118</v>
      </c>
      <c r="F485" s="10" t="s">
        <v>44</v>
      </c>
      <c r="G485" s="4" t="s">
        <v>128</v>
      </c>
      <c r="H485" s="253">
        <v>-700</v>
      </c>
      <c r="I485" s="172">
        <v>46173</v>
      </c>
      <c r="J485" s="172">
        <v>46173</v>
      </c>
      <c r="K485" s="15">
        <v>7.1</v>
      </c>
      <c r="L485" s="192">
        <f>VLOOKUP(I485,'PnL26'!$E$6:$G$54,3,FALSE)</f>
        <v>7.1</v>
      </c>
      <c r="M485" s="9">
        <f>IFERROR((L485-K485)*H485,"")</f>
        <v>0</v>
      </c>
      <c r="N485">
        <f t="shared" si="727"/>
        <v>-4970</v>
      </c>
      <c r="O485" s="14" t="str">
        <f t="shared" si="728"/>
        <v>May 26</v>
      </c>
      <c r="P485" s="8" t="str">
        <f t="shared" si="729"/>
        <v>Sell</v>
      </c>
      <c r="Q485">
        <f t="shared" si="730"/>
        <v>-4970</v>
      </c>
      <c r="R485" s="38" t="str">
        <f>VLOOKUP(F485,Control!$B:$C,2,FALSE)</f>
        <v>Swaps</v>
      </c>
      <c r="S485" s="38" t="str">
        <f>VLOOKUP(F485,Control!$B:$D,3,FALSE)</f>
        <v>MEH</v>
      </c>
      <c r="T485" s="38">
        <f t="shared" si="731"/>
        <v>2026</v>
      </c>
      <c r="U485" t="str">
        <f t="shared" si="732"/>
        <v>Sell</v>
      </c>
      <c r="V485" t="s">
        <v>96</v>
      </c>
      <c r="W485">
        <f>_xlfn.XLOOKUP(Table3[[#This Row],[Instrument]],Control!$B$2:$B$19,Control!$E$2:$E$19)</f>
        <v>0</v>
      </c>
      <c r="X485" s="14">
        <f>Table3[[#This Row],[Month1]]</f>
        <v>46173</v>
      </c>
      <c r="Y485" s="350">
        <f>Table3[[#This Row],[Quantity]]</f>
        <v>-700</v>
      </c>
      <c r="Z485">
        <f>_xlfn.XLOOKUP(Table3[[#This Row],[Instrument]],Control!$B$2:$B$19,Control!$F$2:$F$19)</f>
        <v>0</v>
      </c>
      <c r="AA485" s="14">
        <f>Table3[[#This Row],[Month2]]</f>
        <v>46173</v>
      </c>
      <c r="AB485" s="350">
        <f t="shared" si="733"/>
        <v>700</v>
      </c>
    </row>
    <row r="486" spans="4:28" ht="15" hidden="1" thickBot="1" x14ac:dyDescent="0.4">
      <c r="D486" s="239" t="s">
        <v>127</v>
      </c>
      <c r="E486" s="174">
        <v>46119</v>
      </c>
      <c r="F486" s="10" t="s">
        <v>3</v>
      </c>
      <c r="G486" s="4" t="s">
        <v>128</v>
      </c>
      <c r="H486" s="271">
        <v>200</v>
      </c>
      <c r="I486" s="172">
        <v>46173</v>
      </c>
      <c r="J486" s="172">
        <f>EOMONTH(Table3[[#This Row],[Month1]],1)</f>
        <v>46203</v>
      </c>
      <c r="K486" s="212">
        <v>13.7</v>
      </c>
      <c r="L486" s="7">
        <f ca="1">IF(OR(S486="WTI Sprds",S486="Brent Sprds",S486="WTI-Brent",S486="DFL"),INDEX(INDIRECT("'" &amp; S486 &amp; "'!$A$6:$XFD$1048576"),MATCH('PnL26'!$P$1,INDIRECT("'" &amp; S486 &amp; "'!$A$6:$A$1048576"),0),MATCH(EOMONTH(I486,0),INDIRECT("'" &amp; S486 &amp; "'!$A$4:$XFD$4"),0)),INDEX(BBG!$A:$BA,MATCH('PnL26'!$P$1,BBG!$A:$A,0),MATCH($I486,BBG!$A$4:$BA$4,0))-INDEX(BBG!$A:$BA,MATCH('PnL26'!$P$1,BBG!$A:$A,0),MATCH($J486,BBG!$A$4:$BA$4,0)))</f>
        <v>2.19</v>
      </c>
      <c r="M486" s="9">
        <f ca="1">-(K486-L486)*Table3[[#This Row],[Quantity]]</f>
        <v>-2302</v>
      </c>
      <c r="N486">
        <f t="shared" si="727"/>
        <v>2740</v>
      </c>
      <c r="O486" s="14" t="str">
        <f t="shared" si="728"/>
        <v>May/Jun 26</v>
      </c>
      <c r="P486" s="8" t="str">
        <f t="shared" si="729"/>
        <v>Buy</v>
      </c>
      <c r="Q486">
        <f t="shared" ca="1" si="730"/>
        <v>438</v>
      </c>
      <c r="R486" t="str">
        <f>VLOOKUP(F486,Control!$B:$C,2,FALSE)</f>
        <v>Futures</v>
      </c>
      <c r="S486" t="str">
        <f>VLOOKUP(F486,Control!$B:$D,3,FALSE)</f>
        <v>WTI Sprds</v>
      </c>
      <c r="T486" s="38">
        <f t="shared" si="731"/>
        <v>2026</v>
      </c>
      <c r="U486" t="str">
        <f t="shared" si="732"/>
        <v>Buy</v>
      </c>
      <c r="V486" s="240" t="s">
        <v>96</v>
      </c>
      <c r="W486" t="str">
        <f>_xlfn.XLOOKUP(Table3[[#This Row],[Instrument]],Control!$B$2:$B$19,Control!$E$2:$E$19)</f>
        <v>WTI</v>
      </c>
      <c r="X486" s="14">
        <f>Table3[[#This Row],[Month1]]</f>
        <v>46173</v>
      </c>
      <c r="Y486" s="350">
        <f>Table3[[#This Row],[Quantity]]</f>
        <v>200</v>
      </c>
      <c r="Z486" t="str">
        <f>_xlfn.XLOOKUP(Table3[[#This Row],[Instrument]],Control!$B$2:$B$19,Control!$F$2:$F$19)</f>
        <v>WTI</v>
      </c>
      <c r="AA486" s="14">
        <f>Table3[[#This Row],[Month2]]</f>
        <v>46203</v>
      </c>
      <c r="AB486" s="350">
        <f t="shared" si="733"/>
        <v>-200</v>
      </c>
    </row>
    <row r="487" spans="4:28" ht="15" hidden="1" thickBot="1" x14ac:dyDescent="0.4">
      <c r="D487" s="239" t="s">
        <v>127</v>
      </c>
      <c r="E487" s="174">
        <v>46119</v>
      </c>
      <c r="F487" s="10" t="s">
        <v>3</v>
      </c>
      <c r="G487" s="4" t="s">
        <v>128</v>
      </c>
      <c r="H487" s="271">
        <v>103</v>
      </c>
      <c r="I487" s="172">
        <v>46173</v>
      </c>
      <c r="J487" s="172">
        <f>EOMONTH(Table3[[#This Row],[Month1]],1)</f>
        <v>46203</v>
      </c>
      <c r="K487" s="212">
        <v>13.57</v>
      </c>
      <c r="L487" s="7">
        <f ca="1">IF(OR(S487="WTI Sprds",S487="Brent Sprds",S487="WTI-Brent",S487="DFL"),INDEX(INDIRECT("'" &amp; S487 &amp; "'!$A$6:$XFD$1048576"),MATCH('PnL26'!$P$1,INDIRECT("'" &amp; S487 &amp; "'!$A$6:$A$1048576"),0),MATCH(EOMONTH(I487,0),INDIRECT("'" &amp; S487 &amp; "'!$A$4:$XFD$4"),0)),INDEX(BBG!$A:$BA,MATCH('PnL26'!$P$1,BBG!$A:$A,0),MATCH($I487,BBG!$A$4:$BA$4,0))-INDEX(BBG!$A:$BA,MATCH('PnL26'!$P$1,BBG!$A:$A,0),MATCH($J487,BBG!$A$4:$BA$4,0)))</f>
        <v>2.19</v>
      </c>
      <c r="M487" s="9">
        <f ca="1">-(K487-L487)*Table3[[#This Row],[Quantity]]</f>
        <v>-1172.1400000000001</v>
      </c>
      <c r="N487">
        <f t="shared" ref="N487:N488" si="734">H487*K487</f>
        <v>1397.71</v>
      </c>
      <c r="O487" s="14" t="str">
        <f t="shared" ref="O487:O488" si="735">IF(I487=J487,TEXT(I487,"MMM YY"),TEXT(I487,"MMM")&amp;"/"&amp;TEXT(J487,"MMM")&amp;" "&amp;RIGHT(T487,2))</f>
        <v>May/Jun 26</v>
      </c>
      <c r="P487" s="8" t="str">
        <f t="shared" ref="P487:P488" si="736">IF(H487&lt;0,"Sell","Buy")</f>
        <v>Buy</v>
      </c>
      <c r="Q487">
        <f t="shared" ref="Q487:Q488" ca="1" si="737">H487*L487</f>
        <v>225.57</v>
      </c>
      <c r="R487" t="str">
        <f>VLOOKUP(F487,Control!$B:$C,2,FALSE)</f>
        <v>Futures</v>
      </c>
      <c r="S487" t="str">
        <f>VLOOKUP(F487,Control!$B:$D,3,FALSE)</f>
        <v>WTI Sprds</v>
      </c>
      <c r="T487" s="38">
        <f t="shared" ref="T487:T488" si="738">YEAR(I487)</f>
        <v>2026</v>
      </c>
      <c r="U487" t="str">
        <f t="shared" ref="U487:U488" si="739">IFERROR(IF(H487&gt;0,"Buy","Sell"),"")</f>
        <v>Buy</v>
      </c>
      <c r="V487" s="240" t="s">
        <v>96</v>
      </c>
      <c r="W487" t="str">
        <f>_xlfn.XLOOKUP(Table3[[#This Row],[Instrument]],Control!$B$2:$B$19,Control!$E$2:$E$19)</f>
        <v>WTI</v>
      </c>
      <c r="X487" s="14">
        <f>Table3[[#This Row],[Month1]]</f>
        <v>46173</v>
      </c>
      <c r="Y487" s="350">
        <f>Table3[[#This Row],[Quantity]]</f>
        <v>103</v>
      </c>
      <c r="Z487" t="str">
        <f>_xlfn.XLOOKUP(Table3[[#This Row],[Instrument]],Control!$B$2:$B$19,Control!$F$2:$F$19)</f>
        <v>WTI</v>
      </c>
      <c r="AA487" s="14">
        <f>Table3[[#This Row],[Month2]]</f>
        <v>46203</v>
      </c>
      <c r="AB487" s="350">
        <f t="shared" ref="AB487:AB488" si="740">-Y487</f>
        <v>-103</v>
      </c>
    </row>
    <row r="488" spans="4:28" ht="15" hidden="1" thickBot="1" x14ac:dyDescent="0.4">
      <c r="D488" s="239" t="s">
        <v>127</v>
      </c>
      <c r="E488" s="174">
        <v>46119</v>
      </c>
      <c r="F488" s="10" t="s">
        <v>3</v>
      </c>
      <c r="G488" s="4" t="s">
        <v>128</v>
      </c>
      <c r="H488" s="271">
        <v>36</v>
      </c>
      <c r="I488" s="172">
        <v>46203</v>
      </c>
      <c r="J488" s="172">
        <f>EOMONTH(Table3[[#This Row],[Month1]],1)</f>
        <v>46234</v>
      </c>
      <c r="K488" s="212">
        <v>8.5299999999999994</v>
      </c>
      <c r="L488" s="7">
        <f ca="1">IF(OR(S488="WTI Sprds",S488="Brent Sprds",S488="WTI-Brent",S488="DFL"),INDEX(INDIRECT("'" &amp; S488 &amp; "'!$A$6:$XFD$1048576"),MATCH('PnL26'!$P$1,INDIRECT("'" &amp; S488 &amp; "'!$A$6:$A$1048576"),0),MATCH(EOMONTH(I488,0),INDIRECT("'" &amp; S488 &amp; "'!$A$4:$XFD$4"),0)),INDEX(BBG!$A:$BA,MATCH('PnL26'!$P$1,BBG!$A:$A,0),MATCH($I488,BBG!$A$4:$BA$4,0))-INDEX(BBG!$A:$BA,MATCH('PnL26'!$P$1,BBG!$A:$A,0),MATCH($J488,BBG!$A$4:$BA$4,0)))</f>
        <v>4.28</v>
      </c>
      <c r="M488" s="9">
        <f ca="1">-(K488-L488)*Table3[[#This Row],[Quantity]]</f>
        <v>-152.99999999999997</v>
      </c>
      <c r="N488">
        <f t="shared" si="734"/>
        <v>307.08</v>
      </c>
      <c r="O488" s="14" t="str">
        <f t="shared" si="735"/>
        <v>Jun/Jul 26</v>
      </c>
      <c r="P488" s="8" t="str">
        <f t="shared" si="736"/>
        <v>Buy</v>
      </c>
      <c r="Q488">
        <f t="shared" ca="1" si="737"/>
        <v>154.08000000000001</v>
      </c>
      <c r="R488" t="str">
        <f>VLOOKUP(F488,Control!$B:$C,2,FALSE)</f>
        <v>Futures</v>
      </c>
      <c r="S488" t="str">
        <f>VLOOKUP(F488,Control!$B:$D,3,FALSE)</f>
        <v>WTI Sprds</v>
      </c>
      <c r="T488" s="38">
        <f t="shared" si="738"/>
        <v>2026</v>
      </c>
      <c r="U488" t="str">
        <f t="shared" si="739"/>
        <v>Buy</v>
      </c>
      <c r="V488" s="240" t="s">
        <v>96</v>
      </c>
      <c r="W488" t="str">
        <f>_xlfn.XLOOKUP(Table3[[#This Row],[Instrument]],Control!$B$2:$B$19,Control!$E$2:$E$19)</f>
        <v>WTI</v>
      </c>
      <c r="X488" s="14">
        <f>Table3[[#This Row],[Month1]]</f>
        <v>46203</v>
      </c>
      <c r="Y488" s="350">
        <f>Table3[[#This Row],[Quantity]]</f>
        <v>36</v>
      </c>
      <c r="Z488" t="str">
        <f>_xlfn.XLOOKUP(Table3[[#This Row],[Instrument]],Control!$B$2:$B$19,Control!$F$2:$F$19)</f>
        <v>WTI</v>
      </c>
      <c r="AA488" s="14">
        <f>Table3[[#This Row],[Month2]]</f>
        <v>46234</v>
      </c>
      <c r="AB488" s="350">
        <f t="shared" si="740"/>
        <v>-36</v>
      </c>
    </row>
    <row r="489" spans="4:28" ht="15" hidden="1" thickBot="1" x14ac:dyDescent="0.4">
      <c r="D489" s="239" t="s">
        <v>127</v>
      </c>
      <c r="E489" s="174">
        <v>46120</v>
      </c>
      <c r="F489" s="10" t="s">
        <v>3</v>
      </c>
      <c r="G489" s="4" t="s">
        <v>128</v>
      </c>
      <c r="H489" s="271">
        <v>284</v>
      </c>
      <c r="I489" s="172">
        <v>46173</v>
      </c>
      <c r="J489" s="172">
        <f>EOMONTH(Table3[[#This Row],[Month1]],1)</f>
        <v>46203</v>
      </c>
      <c r="K489" s="212">
        <v>6.66</v>
      </c>
      <c r="L489" s="7">
        <f ca="1">IF(OR(S489="WTI Sprds",S489="Brent Sprds",S489="WTI-Brent",S489="DFL"),INDEX(INDIRECT("'" &amp; S489 &amp; "'!$A$6:$XFD$1048576"),MATCH('PnL26'!$P$1,INDIRECT("'" &amp; S489 &amp; "'!$A$6:$A$1048576"),0),MATCH(EOMONTH(I489,0),INDIRECT("'" &amp; S489 &amp; "'!$A$4:$XFD$4"),0)),INDEX(BBG!$A:$BA,MATCH('PnL26'!$P$1,BBG!$A:$A,0),MATCH($I489,BBG!$A$4:$BA$4,0))-INDEX(BBG!$A:$BA,MATCH('PnL26'!$P$1,BBG!$A:$A,0),MATCH($J489,BBG!$A$4:$BA$4,0)))</f>
        <v>2.19</v>
      </c>
      <c r="M489" s="9">
        <f ca="1">-(K489-L489)*Table3[[#This Row],[Quantity]]</f>
        <v>-1269.4800000000002</v>
      </c>
      <c r="N489">
        <f t="shared" ref="N489:N491" si="741">H489*K489</f>
        <v>1891.44</v>
      </c>
      <c r="O489" s="14" t="str">
        <f t="shared" ref="O489:O491" si="742">IF(I489=J489,TEXT(I489,"MMM YY"),TEXT(I489,"MMM")&amp;"/"&amp;TEXT(J489,"MMM")&amp;" "&amp;RIGHT(T489,2))</f>
        <v>May/Jun 26</v>
      </c>
      <c r="P489" s="8" t="str">
        <f t="shared" ref="P489:P491" si="743">IF(H489&lt;0,"Sell","Buy")</f>
        <v>Buy</v>
      </c>
      <c r="Q489">
        <f t="shared" ref="Q489:Q491" ca="1" si="744">H489*L489</f>
        <v>621.96</v>
      </c>
      <c r="R489" t="str">
        <f>VLOOKUP(F489,Control!$B:$C,2,FALSE)</f>
        <v>Futures</v>
      </c>
      <c r="S489" t="str">
        <f>VLOOKUP(F489,Control!$B:$D,3,FALSE)</f>
        <v>WTI Sprds</v>
      </c>
      <c r="T489" s="38">
        <f t="shared" ref="T489:T491" si="745">YEAR(I489)</f>
        <v>2026</v>
      </c>
      <c r="U489" t="str">
        <f t="shared" ref="U489:U491" si="746">IFERROR(IF(H489&gt;0,"Buy","Sell"),"")</f>
        <v>Buy</v>
      </c>
      <c r="V489" s="240" t="s">
        <v>96</v>
      </c>
      <c r="W489" t="str">
        <f>_xlfn.XLOOKUP(Table3[[#This Row],[Instrument]],Control!$B$2:$B$19,Control!$E$2:$E$19)</f>
        <v>WTI</v>
      </c>
      <c r="X489" s="14">
        <f>Table3[[#This Row],[Month1]]</f>
        <v>46173</v>
      </c>
      <c r="Y489" s="350">
        <f>Table3[[#This Row],[Quantity]]</f>
        <v>284</v>
      </c>
      <c r="Z489" t="str">
        <f>_xlfn.XLOOKUP(Table3[[#This Row],[Instrument]],Control!$B$2:$B$19,Control!$F$2:$F$19)</f>
        <v>WTI</v>
      </c>
      <c r="AA489" s="14">
        <f>Table3[[#This Row],[Month2]]</f>
        <v>46203</v>
      </c>
      <c r="AB489" s="350">
        <f t="shared" ref="AB489:AB491" si="747">-Y489</f>
        <v>-284</v>
      </c>
    </row>
    <row r="490" spans="4:28" ht="15" hidden="1" thickBot="1" x14ac:dyDescent="0.4">
      <c r="D490" s="239" t="s">
        <v>127</v>
      </c>
      <c r="E490" s="174">
        <v>46120</v>
      </c>
      <c r="F490" s="10" t="s">
        <v>3</v>
      </c>
      <c r="G490" s="4" t="s">
        <v>128</v>
      </c>
      <c r="H490" s="271">
        <v>29</v>
      </c>
      <c r="I490" s="172">
        <v>46203</v>
      </c>
      <c r="J490" s="172">
        <f>EOMONTH(Table3[[#This Row],[Month1]],1)</f>
        <v>46234</v>
      </c>
      <c r="K490" s="212">
        <v>3.86</v>
      </c>
      <c r="L490" s="7">
        <f ca="1">IF(OR(S490="WTI Sprds",S490="Brent Sprds",S490="WTI-Brent",S490="DFL"),INDEX(INDIRECT("'" &amp; S490 &amp; "'!$A$6:$XFD$1048576"),MATCH('PnL26'!$P$1,INDIRECT("'" &amp; S490 &amp; "'!$A$6:$A$1048576"),0),MATCH(EOMONTH(I490,0),INDIRECT("'" &amp; S490 &amp; "'!$A$4:$XFD$4"),0)),INDEX(BBG!$A:$BA,MATCH('PnL26'!$P$1,BBG!$A:$A,0),MATCH($I490,BBG!$A$4:$BA$4,0))-INDEX(BBG!$A:$BA,MATCH('PnL26'!$P$1,BBG!$A:$A,0),MATCH($J490,BBG!$A$4:$BA$4,0)))</f>
        <v>4.28</v>
      </c>
      <c r="M490" s="9">
        <f ca="1">-(K490-L490)*Table3[[#This Row],[Quantity]]</f>
        <v>12.18000000000001</v>
      </c>
      <c r="N490">
        <f t="shared" si="741"/>
        <v>111.94</v>
      </c>
      <c r="O490" s="14" t="str">
        <f t="shared" si="742"/>
        <v>Jun/Jul 26</v>
      </c>
      <c r="P490" s="8" t="str">
        <f t="shared" si="743"/>
        <v>Buy</v>
      </c>
      <c r="Q490">
        <f t="shared" ca="1" si="744"/>
        <v>124.12</v>
      </c>
      <c r="R490" t="str">
        <f>VLOOKUP(F490,Control!$B:$C,2,FALSE)</f>
        <v>Futures</v>
      </c>
      <c r="S490" t="str">
        <f>VLOOKUP(F490,Control!$B:$D,3,FALSE)</f>
        <v>WTI Sprds</v>
      </c>
      <c r="T490" s="38">
        <f t="shared" si="745"/>
        <v>2026</v>
      </c>
      <c r="U490" t="str">
        <f t="shared" si="746"/>
        <v>Buy</v>
      </c>
      <c r="V490" s="240" t="s">
        <v>96</v>
      </c>
      <c r="W490" t="str">
        <f>_xlfn.XLOOKUP(Table3[[#This Row],[Instrument]],Control!$B$2:$B$19,Control!$E$2:$E$19)</f>
        <v>WTI</v>
      </c>
      <c r="X490" s="14">
        <f>Table3[[#This Row],[Month1]]</f>
        <v>46203</v>
      </c>
      <c r="Y490" s="350">
        <f>Table3[[#This Row],[Quantity]]</f>
        <v>29</v>
      </c>
      <c r="Z490" t="str">
        <f>_xlfn.XLOOKUP(Table3[[#This Row],[Instrument]],Control!$B$2:$B$19,Control!$F$2:$F$19)</f>
        <v>WTI</v>
      </c>
      <c r="AA490" s="14">
        <f>Table3[[#This Row],[Month2]]</f>
        <v>46234</v>
      </c>
      <c r="AB490" s="350">
        <f t="shared" si="747"/>
        <v>-29</v>
      </c>
    </row>
    <row r="491" spans="4:28" ht="15" hidden="1" thickBot="1" x14ac:dyDescent="0.4">
      <c r="D491" s="239" t="s">
        <v>1740</v>
      </c>
      <c r="E491" s="174">
        <v>46121</v>
      </c>
      <c r="F491" s="10" t="s">
        <v>10</v>
      </c>
      <c r="G491" s="4" t="s">
        <v>128</v>
      </c>
      <c r="H491" s="253">
        <v>-200</v>
      </c>
      <c r="I491" s="172">
        <v>46234</v>
      </c>
      <c r="J491" s="172">
        <v>46234</v>
      </c>
      <c r="K491" s="212">
        <v>-6.39</v>
      </c>
      <c r="L491" s="7">
        <f ca="1">IF(OR(S491="WTI Sprds",S491="Brent Sprds",S491="WTI-Brent",S491="DFL"),INDEX(INDIRECT("'" &amp; S491 &amp; "'!$A$6:$XFD$1048576"),MATCH('PnL26'!$P$1,INDIRECT("'" &amp; S491 &amp; "'!$A$6:$A$1048576"),0),MATCH(EOMONTH(I491,0),INDIRECT("'" &amp; S491 &amp; "'!$A$4:$XFD$4"),0)),INDEX(BBG!$A:$BA,MATCH('PnL26'!$P$1,BBG!$A:$A,0),MATCH($I491,BBG!$A$4:$BA$4,0))-INDEX(BBG!$A:$BA,MATCH('PnL26'!$P$1,BBG!$A:$A,0),MATCH($J491,BBG!$A$4:$BA$4,0)))</f>
        <v>-4.6900000000000004</v>
      </c>
      <c r="M491" s="9">
        <f ca="1">-(K491-L491)*Table3[[#This Row],[Quantity]]</f>
        <v>-339.99999999999989</v>
      </c>
      <c r="N491">
        <f t="shared" si="741"/>
        <v>1278</v>
      </c>
      <c r="O491" s="14" t="str">
        <f t="shared" si="742"/>
        <v>Jul 26</v>
      </c>
      <c r="P491" s="8" t="str">
        <f t="shared" si="743"/>
        <v>Sell</v>
      </c>
      <c r="Q491">
        <f t="shared" ca="1" si="744"/>
        <v>938.00000000000011</v>
      </c>
      <c r="R491" t="str">
        <f>VLOOKUP(F491,Control!$B:$C,2,FALSE)</f>
        <v>Swaps</v>
      </c>
      <c r="S491" t="str">
        <f>VLOOKUP(F491,Control!$B:$D,3,FALSE)</f>
        <v>WTI-Brent</v>
      </c>
      <c r="T491" s="38">
        <f t="shared" si="745"/>
        <v>2026</v>
      </c>
      <c r="U491" t="str">
        <f t="shared" si="746"/>
        <v>Sell</v>
      </c>
      <c r="V491" s="240" t="s">
        <v>96</v>
      </c>
      <c r="W491" t="str">
        <f>_xlfn.XLOOKUP(Table3[[#This Row],[Instrument]],Control!$B$2:$B$19,Control!$E$2:$E$19)</f>
        <v>WTI</v>
      </c>
      <c r="X491" s="14">
        <f>Table3[[#This Row],[Month1]]</f>
        <v>46234</v>
      </c>
      <c r="Y491" s="350">
        <f>Table3[[#This Row],[Quantity]]</f>
        <v>-200</v>
      </c>
      <c r="Z491" t="str">
        <f>_xlfn.XLOOKUP(Table3[[#This Row],[Instrument]],Control!$B$2:$B$19,Control!$F$2:$F$19)</f>
        <v>Brent</v>
      </c>
      <c r="AA491" s="14">
        <f>Table3[[#This Row],[Month2]]</f>
        <v>46234</v>
      </c>
      <c r="AB491" s="399">
        <f t="shared" si="747"/>
        <v>200</v>
      </c>
    </row>
    <row r="492" spans="4:28" ht="15" hidden="1" thickBot="1" x14ac:dyDescent="0.4">
      <c r="D492" s="239" t="s">
        <v>127</v>
      </c>
      <c r="E492" s="174">
        <v>46121</v>
      </c>
      <c r="F492" s="10" t="s">
        <v>3</v>
      </c>
      <c r="G492" s="4" t="s">
        <v>128</v>
      </c>
      <c r="H492" s="271">
        <v>84</v>
      </c>
      <c r="I492" s="172">
        <v>46173</v>
      </c>
      <c r="J492" s="172">
        <f>EOMONTH(Table3[[#This Row],[Month1]],1)</f>
        <v>46203</v>
      </c>
      <c r="K492" s="212">
        <v>6.66</v>
      </c>
      <c r="L492" s="7">
        <f ca="1">IF(OR(S492="WTI Sprds",S492="Brent Sprds",S492="WTI-Brent",S492="DFL"),INDEX(INDIRECT("'" &amp; S492 &amp; "'!$A$6:$XFD$1048576"),MATCH('PnL26'!$P$1,INDIRECT("'" &amp; S492 &amp; "'!$A$6:$A$1048576"),0),MATCH(EOMONTH(I492,0),INDIRECT("'" &amp; S492 &amp; "'!$A$4:$XFD$4"),0)),INDEX(BBG!$A:$BA,MATCH('PnL26'!$P$1,BBG!$A:$A,0),MATCH($I492,BBG!$A$4:$BA$4,0))-INDEX(BBG!$A:$BA,MATCH('PnL26'!$P$1,BBG!$A:$A,0),MATCH($J492,BBG!$A$4:$BA$4,0)))</f>
        <v>2.19</v>
      </c>
      <c r="M492" s="9">
        <f ca="1">-(K492-L492)*Table3[[#This Row],[Quantity]]</f>
        <v>-375.48000000000008</v>
      </c>
      <c r="N492">
        <f t="shared" ref="N492:N493" si="748">H492*K492</f>
        <v>559.44000000000005</v>
      </c>
      <c r="O492" s="14" t="str">
        <f t="shared" ref="O492:O493" si="749">IF(I492=J492,TEXT(I492,"MMM YY"),TEXT(I492,"MMM")&amp;"/"&amp;TEXT(J492,"MMM")&amp;" "&amp;RIGHT(T492,2))</f>
        <v>May/Jun 26</v>
      </c>
      <c r="P492" s="8" t="str">
        <f t="shared" ref="P492:P493" si="750">IF(H492&lt;0,"Sell","Buy")</f>
        <v>Buy</v>
      </c>
      <c r="Q492">
        <f t="shared" ref="Q492:Q493" ca="1" si="751">H492*L492</f>
        <v>183.96</v>
      </c>
      <c r="R492" t="str">
        <f>VLOOKUP(F492,Control!$B:$C,2,FALSE)</f>
        <v>Futures</v>
      </c>
      <c r="S492" t="str">
        <f>VLOOKUP(F492,Control!$B:$D,3,FALSE)</f>
        <v>WTI Sprds</v>
      </c>
      <c r="T492" s="38">
        <f t="shared" ref="T492:T493" si="752">YEAR(I492)</f>
        <v>2026</v>
      </c>
      <c r="U492" t="str">
        <f t="shared" ref="U492:U493" si="753">IFERROR(IF(H492&gt;0,"Buy","Sell"),"")</f>
        <v>Buy</v>
      </c>
      <c r="V492" s="240" t="s">
        <v>96</v>
      </c>
      <c r="W492" t="str">
        <f>_xlfn.XLOOKUP(Table3[[#This Row],[Instrument]],Control!$B$2:$B$19,Control!$E$2:$E$19)</f>
        <v>WTI</v>
      </c>
      <c r="X492" s="14">
        <f>Table3[[#This Row],[Month1]]</f>
        <v>46173</v>
      </c>
      <c r="Y492" s="350">
        <f>Table3[[#This Row],[Quantity]]</f>
        <v>84</v>
      </c>
      <c r="Z492" t="str">
        <f>_xlfn.XLOOKUP(Table3[[#This Row],[Instrument]],Control!$B$2:$B$19,Control!$F$2:$F$19)</f>
        <v>WTI</v>
      </c>
      <c r="AA492" s="14">
        <f>Table3[[#This Row],[Month2]]</f>
        <v>46203</v>
      </c>
      <c r="AB492" s="350">
        <f t="shared" ref="AB492:AB493" si="754">-Y492</f>
        <v>-84</v>
      </c>
    </row>
    <row r="493" spans="4:28" ht="15" hidden="1" thickBot="1" x14ac:dyDescent="0.4">
      <c r="D493" s="239" t="s">
        <v>127</v>
      </c>
      <c r="E493" s="174">
        <v>46121</v>
      </c>
      <c r="F493" s="10" t="s">
        <v>3</v>
      </c>
      <c r="G493" s="4" t="s">
        <v>128</v>
      </c>
      <c r="H493" s="271">
        <v>29</v>
      </c>
      <c r="I493" s="172">
        <v>46203</v>
      </c>
      <c r="J493" s="172">
        <f>EOMONTH(Table3[[#This Row],[Month1]],1)</f>
        <v>46234</v>
      </c>
      <c r="K493" s="212">
        <v>3.86</v>
      </c>
      <c r="L493" s="7">
        <f ca="1">IF(OR(S493="WTI Sprds",S493="Brent Sprds",S493="WTI-Brent",S493="DFL"),INDEX(INDIRECT("'" &amp; S493 &amp; "'!$A$6:$XFD$1048576"),MATCH('PnL26'!$P$1,INDIRECT("'" &amp; S493 &amp; "'!$A$6:$A$1048576"),0),MATCH(EOMONTH(I493,0),INDIRECT("'" &amp; S493 &amp; "'!$A$4:$XFD$4"),0)),INDEX(BBG!$A:$BA,MATCH('PnL26'!$P$1,BBG!$A:$A,0),MATCH($I493,BBG!$A$4:$BA$4,0))-INDEX(BBG!$A:$BA,MATCH('PnL26'!$P$1,BBG!$A:$A,0),MATCH($J493,BBG!$A$4:$BA$4,0)))</f>
        <v>4.28</v>
      </c>
      <c r="M493" s="9">
        <f ca="1">-(K493-L493)*Table3[[#This Row],[Quantity]]</f>
        <v>12.18000000000001</v>
      </c>
      <c r="N493">
        <f t="shared" si="748"/>
        <v>111.94</v>
      </c>
      <c r="O493" s="14" t="str">
        <f t="shared" si="749"/>
        <v>Jun/Jul 26</v>
      </c>
      <c r="P493" s="8" t="str">
        <f t="shared" si="750"/>
        <v>Buy</v>
      </c>
      <c r="Q493">
        <f t="shared" ca="1" si="751"/>
        <v>124.12</v>
      </c>
      <c r="R493" t="str">
        <f>VLOOKUP(F493,Control!$B:$C,2,FALSE)</f>
        <v>Futures</v>
      </c>
      <c r="S493" t="str">
        <f>VLOOKUP(F493,Control!$B:$D,3,FALSE)</f>
        <v>WTI Sprds</v>
      </c>
      <c r="T493" s="38">
        <f t="shared" si="752"/>
        <v>2026</v>
      </c>
      <c r="U493" t="str">
        <f t="shared" si="753"/>
        <v>Buy</v>
      </c>
      <c r="V493" s="240" t="s">
        <v>96</v>
      </c>
      <c r="W493" t="str">
        <f>_xlfn.XLOOKUP(Table3[[#This Row],[Instrument]],Control!$B$2:$B$19,Control!$E$2:$E$19)</f>
        <v>WTI</v>
      </c>
      <c r="X493" s="14">
        <f>Table3[[#This Row],[Month1]]</f>
        <v>46203</v>
      </c>
      <c r="Y493" s="350">
        <f>Table3[[#This Row],[Quantity]]</f>
        <v>29</v>
      </c>
      <c r="Z493" t="str">
        <f>_xlfn.XLOOKUP(Table3[[#This Row],[Instrument]],Control!$B$2:$B$19,Control!$F$2:$F$19)</f>
        <v>WTI</v>
      </c>
      <c r="AA493" s="14">
        <f>Table3[[#This Row],[Month2]]</f>
        <v>46234</v>
      </c>
      <c r="AB493" s="350">
        <f t="shared" si="754"/>
        <v>-29</v>
      </c>
    </row>
    <row r="494" spans="4:28" ht="15" hidden="1" thickBot="1" x14ac:dyDescent="0.4">
      <c r="D494" s="239" t="s">
        <v>127</v>
      </c>
      <c r="E494" s="174">
        <v>46121</v>
      </c>
      <c r="F494" s="10" t="s">
        <v>3</v>
      </c>
      <c r="G494" s="4" t="s">
        <v>128</v>
      </c>
      <c r="H494" s="271">
        <v>-16</v>
      </c>
      <c r="I494" s="172">
        <v>46173</v>
      </c>
      <c r="J494" s="172">
        <f>EOMONTH(Table3[[#This Row],[Month1]],1)</f>
        <v>46203</v>
      </c>
      <c r="K494" s="212">
        <v>9.59</v>
      </c>
      <c r="L494" s="7">
        <f ca="1">IF(OR(S494="WTI Sprds",S494="Brent Sprds",S494="WTI-Brent",S494="DFL"),INDEX(INDIRECT("'" &amp; S494 &amp; "'!$A$6:$XFD$1048576"),MATCH('PnL26'!$P$1,INDIRECT("'" &amp; S494 &amp; "'!$A$6:$A$1048576"),0),MATCH(EOMONTH(I494,0),INDIRECT("'" &amp; S494 &amp; "'!$A$4:$XFD$4"),0)),INDEX(BBG!$A:$BA,MATCH('PnL26'!$P$1,BBG!$A:$A,0),MATCH($I494,BBG!$A$4:$BA$4,0))-INDEX(BBG!$A:$BA,MATCH('PnL26'!$P$1,BBG!$A:$A,0),MATCH($J494,BBG!$A$4:$BA$4,0)))</f>
        <v>2.19</v>
      </c>
      <c r="M494" s="9">
        <f ca="1">-(K494-L494)*Table3[[#This Row],[Quantity]]</f>
        <v>118.4</v>
      </c>
      <c r="N494">
        <f t="shared" ref="N494" si="755">H494*K494</f>
        <v>-153.44</v>
      </c>
      <c r="O494" s="14" t="str">
        <f t="shared" ref="O494" si="756">IF(I494=J494,TEXT(I494,"MMM YY"),TEXT(I494,"MMM")&amp;"/"&amp;TEXT(J494,"MMM")&amp;" "&amp;RIGHT(T494,2))</f>
        <v>May/Jun 26</v>
      </c>
      <c r="P494" s="8" t="str">
        <f t="shared" ref="P494" si="757">IF(H494&lt;0,"Sell","Buy")</f>
        <v>Sell</v>
      </c>
      <c r="Q494">
        <f t="shared" ref="Q494" ca="1" si="758">H494*L494</f>
        <v>-35.04</v>
      </c>
      <c r="R494" t="str">
        <f>VLOOKUP(F494,Control!$B:$C,2,FALSE)</f>
        <v>Futures</v>
      </c>
      <c r="S494" t="str">
        <f>VLOOKUP(F494,Control!$B:$D,3,FALSE)</f>
        <v>WTI Sprds</v>
      </c>
      <c r="T494" s="38">
        <f t="shared" ref="T494" si="759">YEAR(I494)</f>
        <v>2026</v>
      </c>
      <c r="U494" t="str">
        <f t="shared" ref="U494" si="760">IFERROR(IF(H494&gt;0,"Buy","Sell"),"")</f>
        <v>Sell</v>
      </c>
      <c r="V494" s="240" t="s">
        <v>96</v>
      </c>
      <c r="W494" t="str">
        <f>_xlfn.XLOOKUP(Table3[[#This Row],[Instrument]],Control!$B$2:$B$19,Control!$E$2:$E$19)</f>
        <v>WTI</v>
      </c>
      <c r="X494" s="14">
        <f>Table3[[#This Row],[Month1]]</f>
        <v>46173</v>
      </c>
      <c r="Y494" s="350">
        <f>Table3[[#This Row],[Quantity]]</f>
        <v>-16</v>
      </c>
      <c r="Z494" t="str">
        <f>_xlfn.XLOOKUP(Table3[[#This Row],[Instrument]],Control!$B$2:$B$19,Control!$F$2:$F$19)</f>
        <v>WTI</v>
      </c>
      <c r="AA494" s="14">
        <f>Table3[[#This Row],[Month2]]</f>
        <v>46203</v>
      </c>
      <c r="AB494" s="350">
        <f t="shared" ref="AB494" si="761">-Y494</f>
        <v>16</v>
      </c>
    </row>
    <row r="495" spans="4:28" ht="15" hidden="1" thickBot="1" x14ac:dyDescent="0.4">
      <c r="D495" s="239" t="s">
        <v>127</v>
      </c>
      <c r="E495" s="174">
        <v>46121</v>
      </c>
      <c r="F495" s="10" t="s">
        <v>3</v>
      </c>
      <c r="G495" s="4" t="s">
        <v>128</v>
      </c>
      <c r="H495" s="271">
        <v>-200</v>
      </c>
      <c r="I495" s="172">
        <v>46173</v>
      </c>
      <c r="J495" s="172">
        <f>EOMONTH(Table3[[#This Row],[Month1]],1)</f>
        <v>46203</v>
      </c>
      <c r="K495" s="212">
        <v>9.65</v>
      </c>
      <c r="L495" s="7">
        <f ca="1">IF(OR(S495="WTI Sprds",S495="Brent Sprds",S495="WTI-Brent",S495="DFL"),INDEX(INDIRECT("'" &amp; S495 &amp; "'!$A$6:$XFD$1048576"),MATCH('PnL26'!$P$1,INDIRECT("'" &amp; S495 &amp; "'!$A$6:$A$1048576"),0),MATCH(EOMONTH(I495,0),INDIRECT("'" &amp; S495 &amp; "'!$A$4:$XFD$4"),0)),INDEX(BBG!$A:$BA,MATCH('PnL26'!$P$1,BBG!$A:$A,0),MATCH($I495,BBG!$A$4:$BA$4,0))-INDEX(BBG!$A:$BA,MATCH('PnL26'!$P$1,BBG!$A:$A,0),MATCH($J495,BBG!$A$4:$BA$4,0)))</f>
        <v>2.19</v>
      </c>
      <c r="M495" s="9">
        <f ca="1">-(K495-L495)*Table3[[#This Row],[Quantity]]</f>
        <v>1492.0000000000002</v>
      </c>
      <c r="N495">
        <f t="shared" ref="N495" si="762">H495*K495</f>
        <v>-1930</v>
      </c>
      <c r="O495" s="14" t="str">
        <f t="shared" ref="O495" si="763">IF(I495=J495,TEXT(I495,"MMM YY"),TEXT(I495,"MMM")&amp;"/"&amp;TEXT(J495,"MMM")&amp;" "&amp;RIGHT(T495,2))</f>
        <v>May/Jun 26</v>
      </c>
      <c r="P495" s="8" t="str">
        <f t="shared" ref="P495" si="764">IF(H495&lt;0,"Sell","Buy")</f>
        <v>Sell</v>
      </c>
      <c r="Q495">
        <f t="shared" ref="Q495" ca="1" si="765">H495*L495</f>
        <v>-438</v>
      </c>
      <c r="R495" t="str">
        <f>VLOOKUP(F495,Control!$B:$C,2,FALSE)</f>
        <v>Futures</v>
      </c>
      <c r="S495" t="str">
        <f>VLOOKUP(F495,Control!$B:$D,3,FALSE)</f>
        <v>WTI Sprds</v>
      </c>
      <c r="T495" s="38">
        <f t="shared" ref="T495" si="766">YEAR(I495)</f>
        <v>2026</v>
      </c>
      <c r="U495" t="str">
        <f t="shared" ref="U495" si="767">IFERROR(IF(H495&gt;0,"Buy","Sell"),"")</f>
        <v>Sell</v>
      </c>
      <c r="V495" s="240" t="s">
        <v>96</v>
      </c>
      <c r="W495" t="str">
        <f>_xlfn.XLOOKUP(Table3[[#This Row],[Instrument]],Control!$B$2:$B$19,Control!$E$2:$E$19)</f>
        <v>WTI</v>
      </c>
      <c r="X495" s="14">
        <f>Table3[[#This Row],[Month1]]</f>
        <v>46173</v>
      </c>
      <c r="Y495" s="350">
        <f>Table3[[#This Row],[Quantity]]</f>
        <v>-200</v>
      </c>
      <c r="Z495" t="str">
        <f>_xlfn.XLOOKUP(Table3[[#This Row],[Instrument]],Control!$B$2:$B$19,Control!$F$2:$F$19)</f>
        <v>WTI</v>
      </c>
      <c r="AA495" s="14">
        <f>Table3[[#This Row],[Month2]]</f>
        <v>46203</v>
      </c>
      <c r="AB495" s="350">
        <f t="shared" ref="AB495" si="768">-Y495</f>
        <v>200</v>
      </c>
    </row>
    <row r="496" spans="4:28" ht="15" hidden="1" thickBot="1" x14ac:dyDescent="0.4">
      <c r="D496" t="s">
        <v>127</v>
      </c>
      <c r="E496" s="174">
        <v>46122</v>
      </c>
      <c r="F496" s="10" t="s">
        <v>15</v>
      </c>
      <c r="G496" s="4" t="s">
        <v>128</v>
      </c>
      <c r="H496" s="253">
        <v>-250</v>
      </c>
      <c r="I496" s="173">
        <v>46142</v>
      </c>
      <c r="J496" s="173">
        <v>46142</v>
      </c>
      <c r="K496" s="100">
        <v>20.149999999999999</v>
      </c>
      <c r="L496" s="192">
        <f>Dated!$K$31</f>
        <v>13.428000000000006</v>
      </c>
      <c r="M496" s="9">
        <f>IFERROR((L496-K496)*H496,"")</f>
        <v>1680.4999999999982</v>
      </c>
      <c r="N496">
        <f>H496*K496</f>
        <v>-5037.5</v>
      </c>
      <c r="O496" s="14" t="str">
        <f>IF(I496=J496,TEXT(I496,"MMM YY"),TEXT(I496,"MMM")&amp;"/"&amp;TEXT(J496,"MMM")&amp;" "&amp;RIGHT(T496,2))</f>
        <v>Apr 26</v>
      </c>
      <c r="P496" s="8" t="str">
        <f>IF(H496&lt;0,"Sell","Buy")</f>
        <v>Sell</v>
      </c>
      <c r="Q496">
        <f>H496*L496</f>
        <v>-3357.0000000000014</v>
      </c>
      <c r="R496" s="38" t="str">
        <f>VLOOKUP(F496,Control!$B:$C,2,FALSE)</f>
        <v>Swaps</v>
      </c>
      <c r="S496" s="38" t="str">
        <f>VLOOKUP(F496,Control!$B:$D,3,FALSE)</f>
        <v>Dated</v>
      </c>
      <c r="T496" s="38">
        <f>YEAR(I496)</f>
        <v>2026</v>
      </c>
      <c r="U496" t="str">
        <f>IFERROR(IF(H496&gt;0,"Buy","Sell"),"")</f>
        <v>Sell</v>
      </c>
      <c r="V496" t="s">
        <v>96</v>
      </c>
      <c r="W496" t="e">
        <f>_xlfn.XLOOKUP(Table3[[#This Row],[Instrument]],Control!$B$2:$B$19,Control!$E$2:$E$19)</f>
        <v>#N/A</v>
      </c>
      <c r="X496" s="14">
        <f>Table3[[#This Row],[Month1]]</f>
        <v>46142</v>
      </c>
      <c r="Y496" s="350">
        <f>Table3[[#This Row],[Quantity]]</f>
        <v>-250</v>
      </c>
      <c r="Z496" t="e">
        <f>_xlfn.XLOOKUP(Table3[[#This Row],[Instrument]],Control!$B$2:$B$19,Control!$F$2:$F$19)</f>
        <v>#N/A</v>
      </c>
      <c r="AA496" s="14">
        <f>Table3[[#This Row],[Month2]]</f>
        <v>46142</v>
      </c>
      <c r="AB496" s="350">
        <f>-Y496</f>
        <v>250</v>
      </c>
    </row>
    <row r="497" spans="4:28" ht="15" hidden="1" thickBot="1" x14ac:dyDescent="0.4">
      <c r="D497" s="239" t="s">
        <v>1740</v>
      </c>
      <c r="E497" s="174">
        <v>46125</v>
      </c>
      <c r="F497" s="10" t="s">
        <v>10</v>
      </c>
      <c r="G497" s="4" t="s">
        <v>128</v>
      </c>
      <c r="H497" s="253">
        <v>200</v>
      </c>
      <c r="I497" s="172">
        <v>46234</v>
      </c>
      <c r="J497" s="172">
        <v>46234</v>
      </c>
      <c r="K497" s="212">
        <v>-5.75</v>
      </c>
      <c r="L497" s="7">
        <f ca="1">IF(OR(S497="WTI Sprds",S497="Brent Sprds",S497="WTI-Brent",S497="DFL"),INDEX(INDIRECT("'" &amp; S497 &amp; "'!$A$6:$XFD$1048576"),MATCH('PnL26'!$P$1,INDIRECT("'" &amp; S497 &amp; "'!$A$6:$A$1048576"),0),MATCH(EOMONTH(I497,0),INDIRECT("'" &amp; S497 &amp; "'!$A$4:$XFD$4"),0)),INDEX(BBG!$A:$BA,MATCH('PnL26'!$P$1,BBG!$A:$A,0),MATCH($I497,BBG!$A$4:$BA$4,0))-INDEX(BBG!$A:$BA,MATCH('PnL26'!$P$1,BBG!$A:$A,0),MATCH($J497,BBG!$A$4:$BA$4,0)))</f>
        <v>-4.6900000000000004</v>
      </c>
      <c r="M497" s="9">
        <f ca="1">-(K497-L497)*Table3[[#This Row],[Quantity]]</f>
        <v>211.99999999999991</v>
      </c>
      <c r="N497">
        <f t="shared" ref="N497:N499" si="769">H497*K497</f>
        <v>-1150</v>
      </c>
      <c r="O497" s="14" t="str">
        <f t="shared" ref="O497:O499" si="770">IF(I497=J497,TEXT(I497,"MMM YY"),TEXT(I497,"MMM")&amp;"/"&amp;TEXT(J497,"MMM")&amp;" "&amp;RIGHT(T497,2))</f>
        <v>Jul 26</v>
      </c>
      <c r="P497" s="8" t="str">
        <f t="shared" ref="P497:P499" si="771">IF(H497&lt;0,"Sell","Buy")</f>
        <v>Buy</v>
      </c>
      <c r="Q497">
        <f t="shared" ref="Q497:Q499" ca="1" si="772">H497*L497</f>
        <v>-938.00000000000011</v>
      </c>
      <c r="R497" t="str">
        <f>VLOOKUP(F497,Control!$B:$C,2,FALSE)</f>
        <v>Swaps</v>
      </c>
      <c r="S497" t="str">
        <f>VLOOKUP(F497,Control!$B:$D,3,FALSE)</f>
        <v>WTI-Brent</v>
      </c>
      <c r="T497" s="38">
        <f t="shared" ref="T497:T499" si="773">YEAR(I497)</f>
        <v>2026</v>
      </c>
      <c r="U497" t="str">
        <f t="shared" ref="U497:U499" si="774">IFERROR(IF(H497&gt;0,"Buy","Sell"),"")</f>
        <v>Buy</v>
      </c>
      <c r="V497" s="240" t="s">
        <v>96</v>
      </c>
      <c r="W497" t="str">
        <f>_xlfn.XLOOKUP(Table3[[#This Row],[Instrument]],Control!$B$2:$B$19,Control!$E$2:$E$19)</f>
        <v>WTI</v>
      </c>
      <c r="X497" s="14">
        <f>Table3[[#This Row],[Month1]]</f>
        <v>46234</v>
      </c>
      <c r="Y497" s="350">
        <f>Table3[[#This Row],[Quantity]]</f>
        <v>200</v>
      </c>
      <c r="Z497" t="str">
        <f>_xlfn.XLOOKUP(Table3[[#This Row],[Instrument]],Control!$B$2:$B$19,Control!$F$2:$F$19)</f>
        <v>Brent</v>
      </c>
      <c r="AA497" s="14">
        <f>Table3[[#This Row],[Month2]]</f>
        <v>46234</v>
      </c>
      <c r="AB497" s="399">
        <f t="shared" ref="AB497:AB499" si="775">-Y497</f>
        <v>-200</v>
      </c>
    </row>
    <row r="498" spans="4:28" ht="15" hidden="1" thickBot="1" x14ac:dyDescent="0.4">
      <c r="D498" s="239" t="s">
        <v>127</v>
      </c>
      <c r="E498" s="174">
        <v>46126</v>
      </c>
      <c r="F498" s="10" t="s">
        <v>3</v>
      </c>
      <c r="G498" s="4" t="s">
        <v>128</v>
      </c>
      <c r="H498" s="271">
        <v>-450</v>
      </c>
      <c r="I498" s="172">
        <v>46173</v>
      </c>
      <c r="J498" s="172">
        <f>EOMONTH(Table3[[#This Row],[Month1]],1)</f>
        <v>46203</v>
      </c>
      <c r="K498" s="212">
        <v>3.24</v>
      </c>
      <c r="L498" s="7">
        <f ca="1">IF(OR(S498="WTI Sprds",S498="Brent Sprds",S498="WTI-Brent",S498="DFL"),INDEX(INDIRECT("'" &amp; S498 &amp; "'!$A$6:$XFD$1048576"),MATCH('PnL26'!$P$1,INDIRECT("'" &amp; S498 &amp; "'!$A$6:$A$1048576"),0),MATCH(EOMONTH(I498,0),INDIRECT("'" &amp; S498 &amp; "'!$A$4:$XFD$4"),0)),INDEX(BBG!$A:$BA,MATCH('PnL26'!$P$1,BBG!$A:$A,0),MATCH($I498,BBG!$A$4:$BA$4,0))-INDEX(BBG!$A:$BA,MATCH('PnL26'!$P$1,BBG!$A:$A,0),MATCH($J498,BBG!$A$4:$BA$4,0)))</f>
        <v>2.19</v>
      </c>
      <c r="M498" s="9">
        <f ca="1">-(K498-L498)*Table3[[#This Row],[Quantity]]</f>
        <v>472.50000000000011</v>
      </c>
      <c r="N498">
        <f t="shared" si="769"/>
        <v>-1458</v>
      </c>
      <c r="O498" s="14" t="str">
        <f t="shared" si="770"/>
        <v>May/Jun 26</v>
      </c>
      <c r="P498" s="8" t="str">
        <f t="shared" si="771"/>
        <v>Sell</v>
      </c>
      <c r="Q498">
        <f t="shared" ca="1" si="772"/>
        <v>-985.5</v>
      </c>
      <c r="R498" t="str">
        <f>VLOOKUP(F498,Control!$B:$C,2,FALSE)</f>
        <v>Futures</v>
      </c>
      <c r="S498" t="str">
        <f>VLOOKUP(F498,Control!$B:$D,3,FALSE)</f>
        <v>WTI Sprds</v>
      </c>
      <c r="T498" s="38">
        <f t="shared" si="773"/>
        <v>2026</v>
      </c>
      <c r="U498" t="str">
        <f t="shared" si="774"/>
        <v>Sell</v>
      </c>
      <c r="V498" s="240" t="s">
        <v>96</v>
      </c>
      <c r="W498" t="str">
        <f>_xlfn.XLOOKUP(Table3[[#This Row],[Instrument]],Control!$B$2:$B$19,Control!$E$2:$E$19)</f>
        <v>WTI</v>
      </c>
      <c r="X498" s="14">
        <f>Table3[[#This Row],[Month1]]</f>
        <v>46173</v>
      </c>
      <c r="Y498" s="350">
        <f>Table3[[#This Row],[Quantity]]</f>
        <v>-450</v>
      </c>
      <c r="Z498" t="str">
        <f>_xlfn.XLOOKUP(Table3[[#This Row],[Instrument]],Control!$B$2:$B$19,Control!$F$2:$F$19)</f>
        <v>WTI</v>
      </c>
      <c r="AA498" s="14">
        <f>Table3[[#This Row],[Month2]]</f>
        <v>46203</v>
      </c>
      <c r="AB498" s="350">
        <f t="shared" si="775"/>
        <v>450</v>
      </c>
    </row>
    <row r="499" spans="4:28" ht="15" hidden="1" thickBot="1" x14ac:dyDescent="0.4">
      <c r="D499" s="239" t="s">
        <v>127</v>
      </c>
      <c r="E499" s="174">
        <v>46126</v>
      </c>
      <c r="F499" s="10" t="s">
        <v>3</v>
      </c>
      <c r="G499" s="4" t="s">
        <v>128</v>
      </c>
      <c r="H499" s="271">
        <v>450</v>
      </c>
      <c r="I499" s="172">
        <f>J498</f>
        <v>46203</v>
      </c>
      <c r="J499" s="172">
        <f>EOMONTH(Table3[[#This Row],[Month1]],1)</f>
        <v>46234</v>
      </c>
      <c r="K499" s="212">
        <v>3.53</v>
      </c>
      <c r="L499" s="7">
        <f ca="1">IF(OR(S499="WTI Sprds",S499="Brent Sprds",S499="WTI-Brent",S499="DFL"),INDEX(INDIRECT("'" &amp; S499 &amp; "'!$A$6:$XFD$1048576"),MATCH('PnL26'!$P$1,INDIRECT("'" &amp; S499 &amp; "'!$A$6:$A$1048576"),0),MATCH(EOMONTH(I499,0),INDIRECT("'" &amp; S499 &amp; "'!$A$4:$XFD$4"),0)),INDEX(BBG!$A:$BA,MATCH('PnL26'!$P$1,BBG!$A:$A,0),MATCH($I499,BBG!$A$4:$BA$4,0))-INDEX(BBG!$A:$BA,MATCH('PnL26'!$P$1,BBG!$A:$A,0),MATCH($J499,BBG!$A$4:$BA$4,0)))</f>
        <v>4.28</v>
      </c>
      <c r="M499" s="9">
        <f ca="1">-(K499-L499)*Table3[[#This Row],[Quantity]]</f>
        <v>337.50000000000023</v>
      </c>
      <c r="N499">
        <f t="shared" si="769"/>
        <v>1588.5</v>
      </c>
      <c r="O499" s="14" t="str">
        <f t="shared" si="770"/>
        <v>Jun/Jul 26</v>
      </c>
      <c r="P499" s="8" t="str">
        <f t="shared" si="771"/>
        <v>Buy</v>
      </c>
      <c r="Q499">
        <f t="shared" ca="1" si="772"/>
        <v>1926</v>
      </c>
      <c r="R499" t="str">
        <f>VLOOKUP(F499,Control!$B:$C,2,FALSE)</f>
        <v>Futures</v>
      </c>
      <c r="S499" t="str">
        <f>VLOOKUP(F499,Control!$B:$D,3,FALSE)</f>
        <v>WTI Sprds</v>
      </c>
      <c r="T499" s="38">
        <f t="shared" si="773"/>
        <v>2026</v>
      </c>
      <c r="U499" t="str">
        <f t="shared" si="774"/>
        <v>Buy</v>
      </c>
      <c r="V499" s="240" t="s">
        <v>96</v>
      </c>
      <c r="W499" t="str">
        <f>_xlfn.XLOOKUP(Table3[[#This Row],[Instrument]],Control!$B$2:$B$19,Control!$E$2:$E$19)</f>
        <v>WTI</v>
      </c>
      <c r="X499" s="14">
        <f>Table3[[#This Row],[Month1]]</f>
        <v>46203</v>
      </c>
      <c r="Y499" s="350">
        <f>Table3[[#This Row],[Quantity]]</f>
        <v>450</v>
      </c>
      <c r="Z499" t="str">
        <f>_xlfn.XLOOKUP(Table3[[#This Row],[Instrument]],Control!$B$2:$B$19,Control!$F$2:$F$19)</f>
        <v>WTI</v>
      </c>
      <c r="AA499" s="14">
        <f>Table3[[#This Row],[Month2]]</f>
        <v>46234</v>
      </c>
      <c r="AB499" s="350">
        <f t="shared" si="775"/>
        <v>-450</v>
      </c>
    </row>
    <row r="500" spans="4:28" ht="15" hidden="1" thickBot="1" x14ac:dyDescent="0.4">
      <c r="D500" s="239" t="s">
        <v>127</v>
      </c>
      <c r="E500" s="174">
        <v>46129</v>
      </c>
      <c r="F500" s="10" t="s">
        <v>3</v>
      </c>
      <c r="G500" s="4" t="s">
        <v>128</v>
      </c>
      <c r="H500" s="271">
        <v>-600</v>
      </c>
      <c r="I500" s="172">
        <v>46203</v>
      </c>
      <c r="J500" s="172">
        <f>EOMONTH(Table3[[#This Row],[Month1]],1)</f>
        <v>46234</v>
      </c>
      <c r="K500" s="212">
        <v>2.16</v>
      </c>
      <c r="L500" s="7">
        <f ca="1">IF(OR(S500="WTI Sprds",S500="Brent Sprds",S500="WTI-Brent",S500="DFL"),INDEX(INDIRECT("'" &amp; S500 &amp; "'!$A$6:$XFD$1048576"),MATCH('PnL26'!$P$1,INDIRECT("'" &amp; S500 &amp; "'!$A$6:$A$1048576"),0),MATCH(EOMONTH(I500,0),INDIRECT("'" &amp; S500 &amp; "'!$A$4:$XFD$4"),0)),INDEX(BBG!$A:$BA,MATCH('PnL26'!$P$1,BBG!$A:$A,0),MATCH($I500,BBG!$A$4:$BA$4,0))-INDEX(BBG!$A:$BA,MATCH('PnL26'!$P$1,BBG!$A:$A,0),MATCH($J500,BBG!$A$4:$BA$4,0)))</f>
        <v>4.28</v>
      </c>
      <c r="M500" s="9">
        <f ca="1">-(K500-L500)*Table3[[#This Row],[Quantity]]</f>
        <v>-1272</v>
      </c>
      <c r="N500">
        <f t="shared" ref="N500" si="776">H500*K500</f>
        <v>-1296</v>
      </c>
      <c r="O500" s="14" t="str">
        <f t="shared" ref="O500" si="777">IF(I500=J500,TEXT(I500,"MMM YY"),TEXT(I500,"MMM")&amp;"/"&amp;TEXT(J500,"MMM")&amp;" "&amp;RIGHT(T500,2))</f>
        <v>Jun/Jul 26</v>
      </c>
      <c r="P500" s="8" t="str">
        <f t="shared" ref="P500" si="778">IF(H500&lt;0,"Sell","Buy")</f>
        <v>Sell</v>
      </c>
      <c r="Q500">
        <f t="shared" ref="Q500" ca="1" si="779">H500*L500</f>
        <v>-2568</v>
      </c>
      <c r="R500" t="str">
        <f>VLOOKUP(F500,Control!$B:$C,2,FALSE)</f>
        <v>Futures</v>
      </c>
      <c r="S500" t="str">
        <f>VLOOKUP(F500,Control!$B:$D,3,FALSE)</f>
        <v>WTI Sprds</v>
      </c>
      <c r="T500" s="38">
        <f t="shared" ref="T500" si="780">YEAR(I500)</f>
        <v>2026</v>
      </c>
      <c r="U500" t="str">
        <f t="shared" ref="U500" si="781">IFERROR(IF(H500&gt;0,"Buy","Sell"),"")</f>
        <v>Sell</v>
      </c>
      <c r="V500" s="240" t="s">
        <v>96</v>
      </c>
      <c r="W500" t="str">
        <f>_xlfn.XLOOKUP(Table3[[#This Row],[Instrument]],Control!$B$2:$B$19,Control!$E$2:$E$19)</f>
        <v>WTI</v>
      </c>
      <c r="X500" s="14">
        <f>Table3[[#This Row],[Month1]]</f>
        <v>46203</v>
      </c>
      <c r="Y500" s="350">
        <f>Table3[[#This Row],[Quantity]]</f>
        <v>-600</v>
      </c>
      <c r="Z500" t="str">
        <f>_xlfn.XLOOKUP(Table3[[#This Row],[Instrument]],Control!$B$2:$B$19,Control!$F$2:$F$19)</f>
        <v>WTI</v>
      </c>
      <c r="AA500" s="14">
        <f>Table3[[#This Row],[Month2]]</f>
        <v>46234</v>
      </c>
      <c r="AB500" s="350">
        <f t="shared" ref="AB500" si="782">-Y500</f>
        <v>600</v>
      </c>
    </row>
    <row r="501" spans="4:28" ht="15" hidden="1" thickBot="1" x14ac:dyDescent="0.4">
      <c r="D501" s="239" t="s">
        <v>127</v>
      </c>
      <c r="E501" s="174">
        <v>46132</v>
      </c>
      <c r="F501" s="10" t="s">
        <v>3</v>
      </c>
      <c r="G501" s="4" t="s">
        <v>128</v>
      </c>
      <c r="H501" s="271">
        <v>-40</v>
      </c>
      <c r="I501" s="172">
        <v>46173</v>
      </c>
      <c r="J501" s="172">
        <f>EOMONTH(Table3[[#This Row],[Month1]],1)</f>
        <v>46203</v>
      </c>
      <c r="K501" s="212">
        <v>2.19</v>
      </c>
      <c r="L501" s="7">
        <f ca="1">IF(OR(S501="WTI Sprds",S501="Brent Sprds",S501="WTI-Brent",S501="DFL"),INDEX(INDIRECT("'" &amp; S501 &amp; "'!$A$6:$XFD$1048576"),MATCH('PnL26'!$P$1,INDIRECT("'" &amp; S501 &amp; "'!$A$6:$A$1048576"),0),MATCH(EOMONTH(I501,0),INDIRECT("'" &amp; S501 &amp; "'!$A$4:$XFD$4"),0)),INDEX(BBG!$A:$BA,MATCH('PnL26'!$P$1,BBG!$A:$A,0),MATCH($I501,BBG!$A$4:$BA$4,0))-INDEX(BBG!$A:$BA,MATCH('PnL26'!$P$1,BBG!$A:$A,0),MATCH($J501,BBG!$A$4:$BA$4,0)))</f>
        <v>2.19</v>
      </c>
      <c r="M501" s="9">
        <f ca="1">-(K501-L501)*Table3[[#This Row],[Quantity]]</f>
        <v>0</v>
      </c>
      <c r="N501">
        <f t="shared" ref="N501:N504" si="783">H501*K501</f>
        <v>-87.6</v>
      </c>
      <c r="O501" s="14" t="str">
        <f t="shared" ref="O501:O504" si="784">IF(I501=J501,TEXT(I501,"MMM YY"),TEXT(I501,"MMM")&amp;"/"&amp;TEXT(J501,"MMM")&amp;" "&amp;RIGHT(T501,2))</f>
        <v>May/Jun 26</v>
      </c>
      <c r="P501" s="8" t="str">
        <f t="shared" ref="P501:P504" si="785">IF(H501&lt;0,"Sell","Buy")</f>
        <v>Sell</v>
      </c>
      <c r="Q501">
        <f t="shared" ref="Q501:Q504" ca="1" si="786">H501*L501</f>
        <v>-87.6</v>
      </c>
      <c r="R501" t="str">
        <f>VLOOKUP(F501,Control!$B:$C,2,FALSE)</f>
        <v>Futures</v>
      </c>
      <c r="S501" t="str">
        <f>VLOOKUP(F501,Control!$B:$D,3,FALSE)</f>
        <v>WTI Sprds</v>
      </c>
      <c r="T501" s="38">
        <f t="shared" ref="T501:T504" si="787">YEAR(I501)</f>
        <v>2026</v>
      </c>
      <c r="U501" t="str">
        <f t="shared" ref="U501:U504" si="788">IFERROR(IF(H501&gt;0,"Buy","Sell"),"")</f>
        <v>Sell</v>
      </c>
      <c r="V501" s="240" t="s">
        <v>96</v>
      </c>
      <c r="W501" t="str">
        <f>_xlfn.XLOOKUP(Table3[[#This Row],[Instrument]],Control!$B$2:$B$19,Control!$E$2:$E$19)</f>
        <v>WTI</v>
      </c>
      <c r="X501" s="14">
        <f>Table3[[#This Row],[Month1]]</f>
        <v>46173</v>
      </c>
      <c r="Y501" s="350">
        <f>Table3[[#This Row],[Quantity]]</f>
        <v>-40</v>
      </c>
      <c r="Z501" t="str">
        <f>_xlfn.XLOOKUP(Table3[[#This Row],[Instrument]],Control!$B$2:$B$19,Control!$F$2:$F$19)</f>
        <v>WTI</v>
      </c>
      <c r="AA501" s="14">
        <f>Table3[[#This Row],[Month2]]</f>
        <v>46203</v>
      </c>
      <c r="AB501" s="350">
        <f t="shared" ref="AB501:AB504" si="789">-Y501</f>
        <v>40</v>
      </c>
    </row>
    <row r="502" spans="4:28" ht="15" hidden="1" thickBot="1" x14ac:dyDescent="0.4">
      <c r="D502" s="385" t="s">
        <v>1741</v>
      </c>
      <c r="E502" s="174">
        <v>46134</v>
      </c>
      <c r="F502" s="229" t="s">
        <v>19</v>
      </c>
      <c r="G502" s="380" t="s">
        <v>268</v>
      </c>
      <c r="H502" s="392">
        <f>2100+39</f>
        <v>2139</v>
      </c>
      <c r="I502" s="231">
        <v>46173</v>
      </c>
      <c r="J502" s="231">
        <v>46173</v>
      </c>
      <c r="K502" s="232">
        <f>'Cargo Econs 2026'!I145</f>
        <v>26.890467508181395</v>
      </c>
      <c r="L502" s="315">
        <v>28.33</v>
      </c>
      <c r="M502" s="234">
        <f>-(K502-L502)*Table3[[#This Row],[Quantity]]</f>
        <v>3079.1599999999926</v>
      </c>
      <c r="N502" s="227">
        <f t="shared" si="783"/>
        <v>57518.710000000006</v>
      </c>
      <c r="O502" s="235" t="str">
        <f t="shared" si="784"/>
        <v>May 26</v>
      </c>
      <c r="P502" s="236" t="str">
        <f t="shared" si="785"/>
        <v>Buy</v>
      </c>
      <c r="Q502" s="227">
        <f t="shared" si="786"/>
        <v>60597.869999999995</v>
      </c>
      <c r="R502" s="227" t="str">
        <f>VLOOKUP(F502,Control!$B:$C,2,FALSE)</f>
        <v>Physical</v>
      </c>
      <c r="S502" s="227" t="str">
        <f>VLOOKUP(F502,Control!$B:$D,3,FALSE)</f>
        <v>Physical</v>
      </c>
      <c r="T502" s="38">
        <f t="shared" si="787"/>
        <v>2026</v>
      </c>
      <c r="U502" s="227" t="str">
        <f t="shared" si="788"/>
        <v>Buy</v>
      </c>
      <c r="V502" s="238" t="s">
        <v>96</v>
      </c>
      <c r="W502" s="227">
        <f>_xlfn.XLOOKUP(Table3[[#This Row],[Instrument]],Control!$B$2:$B$19,Control!$E$2:$E$19)</f>
        <v>0</v>
      </c>
      <c r="X502" s="235">
        <f>Table3[[#This Row],[Month1]]</f>
        <v>46173</v>
      </c>
      <c r="Y502" s="397">
        <f>Table3[[#This Row],[Quantity]]</f>
        <v>2139</v>
      </c>
      <c r="Z502" s="227">
        <f>_xlfn.XLOOKUP(Table3[[#This Row],[Instrument]],Control!$B$2:$B$19,Control!$F$2:$F$19)</f>
        <v>0</v>
      </c>
      <c r="AA502" s="235">
        <f>Table3[[#This Row],[Month2]]</f>
        <v>46173</v>
      </c>
      <c r="AB502" s="398">
        <f t="shared" si="789"/>
        <v>-2139</v>
      </c>
    </row>
    <row r="503" spans="4:28" ht="15" hidden="1" thickBot="1" x14ac:dyDescent="0.4">
      <c r="D503" s="239" t="s">
        <v>1741</v>
      </c>
      <c r="E503" s="174">
        <v>46134</v>
      </c>
      <c r="F503" s="10" t="s">
        <v>3</v>
      </c>
      <c r="G503" s="4" t="s">
        <v>268</v>
      </c>
      <c r="H503" s="253">
        <f>-2100</f>
        <v>-2100</v>
      </c>
      <c r="I503" s="172">
        <v>46203</v>
      </c>
      <c r="J503" s="172">
        <f>EOMONTH(Table3[[#This Row],[Month1]],1)</f>
        <v>46234</v>
      </c>
      <c r="K503" s="212">
        <v>4.58</v>
      </c>
      <c r="L503" s="7">
        <f ca="1">IF(OR(S503="WTI Sprds",S503="Brent Sprds",S503="WTI-Brent",S503="DFL"),INDEX(INDIRECT("'" &amp; S503 &amp; "'!$A$6:$XFD$1048576"),MATCH('PnL26'!$P$1,INDIRECT("'" &amp; S503 &amp; "'!$A$6:$A$1048576"),0),MATCH(EOMONTH(I503,0),INDIRECT("'" &amp; S503 &amp; "'!$A$4:$XFD$4"),0)),INDEX(BBG!$A:$BA,MATCH('PnL26'!$P$1,BBG!$A:$A,0),MATCH($I503,BBG!$A$4:$BA$4,0))-INDEX(BBG!$A:$BA,MATCH('PnL26'!$P$1,BBG!$A:$A,0),MATCH($J503,BBG!$A$4:$BA$4,0)))</f>
        <v>4.28</v>
      </c>
      <c r="M503" s="9">
        <f ca="1">-(K503-L503)*Table3[[#This Row],[Quantity]]</f>
        <v>629.99999999999966</v>
      </c>
      <c r="N503">
        <f t="shared" si="783"/>
        <v>-9618</v>
      </c>
      <c r="O503" s="14" t="str">
        <f t="shared" si="784"/>
        <v>Jun/Jul 26</v>
      </c>
      <c r="P503" s="8" t="str">
        <f t="shared" si="785"/>
        <v>Sell</v>
      </c>
      <c r="Q503">
        <f t="shared" ca="1" si="786"/>
        <v>-8988</v>
      </c>
      <c r="R503" t="str">
        <f>VLOOKUP(F503,Control!$B:$C,2,FALSE)</f>
        <v>Futures</v>
      </c>
      <c r="S503" t="str">
        <f>VLOOKUP(F503,Control!$B:$D,3,FALSE)</f>
        <v>WTI Sprds</v>
      </c>
      <c r="T503" s="38">
        <f t="shared" si="787"/>
        <v>2026</v>
      </c>
      <c r="U503" t="str">
        <f t="shared" si="788"/>
        <v>Sell</v>
      </c>
      <c r="V503" s="240" t="s">
        <v>96</v>
      </c>
      <c r="W503" t="str">
        <f>_xlfn.XLOOKUP(Table3[[#This Row],[Instrument]],Control!$B$2:$B$19,Control!$E$2:$E$19)</f>
        <v>WTI</v>
      </c>
      <c r="X503" s="14">
        <f>Table3[[#This Row],[Month1]]</f>
        <v>46203</v>
      </c>
      <c r="Y503" s="350">
        <f>Table3[[#This Row],[Quantity]]</f>
        <v>-2100</v>
      </c>
      <c r="Z503" t="str">
        <f>_xlfn.XLOOKUP(Table3[[#This Row],[Instrument]],Control!$B$2:$B$19,Control!$F$2:$F$19)</f>
        <v>WTI</v>
      </c>
      <c r="AA503" s="14">
        <f>Table3[[#This Row],[Month2]]</f>
        <v>46234</v>
      </c>
      <c r="AB503" s="399">
        <f t="shared" si="789"/>
        <v>2100</v>
      </c>
    </row>
    <row r="504" spans="4:28" ht="15" hidden="1" thickBot="1" x14ac:dyDescent="0.4">
      <c r="D504" s="239" t="s">
        <v>1741</v>
      </c>
      <c r="E504" s="174">
        <v>46134</v>
      </c>
      <c r="F504" s="10" t="s">
        <v>3</v>
      </c>
      <c r="G504" s="4" t="s">
        <v>268</v>
      </c>
      <c r="H504" s="253">
        <f>-H502</f>
        <v>-2139</v>
      </c>
      <c r="I504" s="172">
        <f>J503</f>
        <v>46234</v>
      </c>
      <c r="J504" s="172">
        <f>EOMONTH(Table3[[#This Row],[Month1]],1)</f>
        <v>46265</v>
      </c>
      <c r="K504" s="212">
        <v>3.95</v>
      </c>
      <c r="L504" s="7">
        <f ca="1">IF(OR(S504="WTI Sprds",S504="Brent Sprds",S504="WTI-Brent",S504="DFL"),INDEX(INDIRECT("'" &amp; S504 &amp; "'!$A$6:$XFD$1048576"),MATCH('PnL26'!$P$1,INDIRECT("'" &amp; S504 &amp; "'!$A$6:$A$1048576"),0),MATCH(EOMONTH(I504,0),INDIRECT("'" &amp; S504 &amp; "'!$A$4:$XFD$4"),0)),INDEX(BBG!$A:$BA,MATCH('PnL26'!$P$1,BBG!$A:$A,0),MATCH($I504,BBG!$A$4:$BA$4,0))-INDEX(BBG!$A:$BA,MATCH('PnL26'!$P$1,BBG!$A:$A,0),MATCH($J504,BBG!$A$4:$BA$4,0)))</f>
        <v>0.75</v>
      </c>
      <c r="M504" s="9">
        <f ca="1">-(K504-L504)*Table3[[#This Row],[Quantity]]</f>
        <v>6844.8</v>
      </c>
      <c r="N504">
        <f t="shared" si="783"/>
        <v>-8449.0500000000011</v>
      </c>
      <c r="O504" s="14" t="str">
        <f t="shared" si="784"/>
        <v>Jul/Aug 26</v>
      </c>
      <c r="P504" s="8" t="str">
        <f t="shared" si="785"/>
        <v>Sell</v>
      </c>
      <c r="Q504">
        <f t="shared" ca="1" si="786"/>
        <v>-1604.25</v>
      </c>
      <c r="R504" t="str">
        <f>VLOOKUP(F504,Control!$B:$C,2,FALSE)</f>
        <v>Futures</v>
      </c>
      <c r="S504" t="str">
        <f>VLOOKUP(F504,Control!$B:$D,3,FALSE)</f>
        <v>WTI Sprds</v>
      </c>
      <c r="T504" s="38">
        <f t="shared" si="787"/>
        <v>2026</v>
      </c>
      <c r="U504" t="str">
        <f t="shared" si="788"/>
        <v>Sell</v>
      </c>
      <c r="V504" s="240" t="s">
        <v>96</v>
      </c>
      <c r="W504" t="str">
        <f>_xlfn.XLOOKUP(Table3[[#This Row],[Instrument]],Control!$B$2:$B$19,Control!$E$2:$E$19)</f>
        <v>WTI</v>
      </c>
      <c r="X504" s="14">
        <f>Table3[[#This Row],[Month1]]</f>
        <v>46234</v>
      </c>
      <c r="Y504" s="350">
        <f>Table3[[#This Row],[Quantity]]</f>
        <v>-2139</v>
      </c>
      <c r="Z504" t="str">
        <f>_xlfn.XLOOKUP(Table3[[#This Row],[Instrument]],Control!$B$2:$B$19,Control!$F$2:$F$19)</f>
        <v>WTI</v>
      </c>
      <c r="AA504" s="14">
        <f>Table3[[#This Row],[Month2]]</f>
        <v>46265</v>
      </c>
      <c r="AB504" s="399">
        <f t="shared" si="789"/>
        <v>2139</v>
      </c>
    </row>
    <row r="505" spans="4:28" ht="15" hidden="1" thickBot="1" x14ac:dyDescent="0.4">
      <c r="D505" s="239" t="s">
        <v>1741</v>
      </c>
      <c r="E505" s="174">
        <v>46134</v>
      </c>
      <c r="F505" s="10" t="s">
        <v>3</v>
      </c>
      <c r="G505" s="4" t="s">
        <v>268</v>
      </c>
      <c r="H505" s="253">
        <f>-H502*0.3638</f>
        <v>-778.16820000000007</v>
      </c>
      <c r="I505" s="172">
        <f>J504</f>
        <v>46265</v>
      </c>
      <c r="J505" s="172">
        <f>EOMONTH(Table3[[#This Row],[Month1]],1)</f>
        <v>46295</v>
      </c>
      <c r="K505" s="212">
        <v>2.92</v>
      </c>
      <c r="L505" s="7">
        <f ca="1">IF(OR(S505="WTI Sprds",S505="Brent Sprds",S505="WTI-Brent",S505="DFL"),INDEX(INDIRECT("'" &amp; S505 &amp; "'!$A$6:$XFD$1048576"),MATCH('PnL26'!$P$1,INDIRECT("'" &amp; S505 &amp; "'!$A$6:$A$1048576"),0),MATCH(EOMONTH(I505,0),INDIRECT("'" &amp; S505 &amp; "'!$A$4:$XFD$4"),0)),INDEX(BBG!$A:$BA,MATCH('PnL26'!$P$1,BBG!$A:$A,0),MATCH($I505,BBG!$A$4:$BA$4,0))-INDEX(BBG!$A:$BA,MATCH('PnL26'!$P$1,BBG!$A:$A,0),MATCH($J505,BBG!$A$4:$BA$4,0)))</f>
        <v>0.75</v>
      </c>
      <c r="M505" s="9">
        <f ca="1">-(K505-L505)*Table3[[#This Row],[Quantity]]</f>
        <v>1688.624994</v>
      </c>
      <c r="N505">
        <f t="shared" ref="N505:N507" si="790">H505*K505</f>
        <v>-2272.2511440000003</v>
      </c>
      <c r="O505" s="14" t="str">
        <f t="shared" ref="O505:O507" si="791">IF(I505=J505,TEXT(I505,"MMM YY"),TEXT(I505,"MMM")&amp;"/"&amp;TEXT(J505,"MMM")&amp;" "&amp;RIGHT(T505,2))</f>
        <v>Aug/Sep 26</v>
      </c>
      <c r="P505" s="8" t="str">
        <f t="shared" ref="P505:P507" si="792">IF(H505&lt;0,"Sell","Buy")</f>
        <v>Sell</v>
      </c>
      <c r="Q505">
        <f t="shared" ref="Q505:Q507" ca="1" si="793">H505*L505</f>
        <v>-583.62615000000005</v>
      </c>
      <c r="R505" t="str">
        <f>VLOOKUP(F505,Control!$B:$C,2,FALSE)</f>
        <v>Futures</v>
      </c>
      <c r="S505" t="str">
        <f>VLOOKUP(F505,Control!$B:$D,3,FALSE)</f>
        <v>WTI Sprds</v>
      </c>
      <c r="T505" s="38">
        <f t="shared" ref="T505:T507" si="794">YEAR(I505)</f>
        <v>2026</v>
      </c>
      <c r="U505" t="str">
        <f t="shared" ref="U505:U507" si="795">IFERROR(IF(H505&gt;0,"Buy","Sell"),"")</f>
        <v>Sell</v>
      </c>
      <c r="V505" s="240" t="s">
        <v>96</v>
      </c>
      <c r="W505" t="str">
        <f>_xlfn.XLOOKUP(Table3[[#This Row],[Instrument]],Control!$B$2:$B$19,Control!$E$2:$E$19)</f>
        <v>WTI</v>
      </c>
      <c r="X505" s="14">
        <f>Table3[[#This Row],[Month1]]</f>
        <v>46265</v>
      </c>
      <c r="Y505" s="350">
        <f>Table3[[#This Row],[Quantity]]</f>
        <v>-778.16820000000007</v>
      </c>
      <c r="Z505" t="str">
        <f>_xlfn.XLOOKUP(Table3[[#This Row],[Instrument]],Control!$B$2:$B$19,Control!$F$2:$F$19)</f>
        <v>WTI</v>
      </c>
      <c r="AA505" s="14">
        <f>Table3[[#This Row],[Month2]]</f>
        <v>46295</v>
      </c>
      <c r="AB505" s="399">
        <f t="shared" ref="AB505:AB507" si="796">-Y505</f>
        <v>778.16820000000007</v>
      </c>
    </row>
    <row r="506" spans="4:28" ht="15" hidden="1" thickBot="1" x14ac:dyDescent="0.4">
      <c r="D506" s="239" t="s">
        <v>1741</v>
      </c>
      <c r="E506" s="174">
        <v>46134</v>
      </c>
      <c r="F506" s="10" t="s">
        <v>3</v>
      </c>
      <c r="G506" s="4" t="s">
        <v>128</v>
      </c>
      <c r="H506" s="253">
        <f>-H503</f>
        <v>2100</v>
      </c>
      <c r="I506" s="172">
        <v>46203</v>
      </c>
      <c r="J506" s="172">
        <f>EOMONTH(Table3[[#This Row],[Month1]],1)</f>
        <v>46234</v>
      </c>
      <c r="K506" s="212">
        <v>4.58</v>
      </c>
      <c r="L506" s="7">
        <f ca="1">IF(OR(S506="WTI Sprds",S506="Brent Sprds",S506="WTI-Brent",S506="DFL"),INDEX(INDIRECT("'" &amp; S506 &amp; "'!$A$6:$XFD$1048576"),MATCH('PnL26'!$P$1,INDIRECT("'" &amp; S506 &amp; "'!$A$6:$A$1048576"),0),MATCH(EOMONTH(I506,0),INDIRECT("'" &amp; S506 &amp; "'!$A$4:$XFD$4"),0)),INDEX(BBG!$A:$BA,MATCH('PnL26'!$P$1,BBG!$A:$A,0),MATCH($I506,BBG!$A$4:$BA$4,0))-INDEX(BBG!$A:$BA,MATCH('PnL26'!$P$1,BBG!$A:$A,0),MATCH($J506,BBG!$A$4:$BA$4,0)))</f>
        <v>4.28</v>
      </c>
      <c r="M506" s="9">
        <f ca="1">-(K506-L506)*Table3[[#This Row],[Quantity]]</f>
        <v>-629.99999999999966</v>
      </c>
      <c r="N506">
        <f t="shared" si="790"/>
        <v>9618</v>
      </c>
      <c r="O506" s="14" t="str">
        <f t="shared" si="791"/>
        <v>Jun/Jul 26</v>
      </c>
      <c r="P506" s="8" t="str">
        <f t="shared" si="792"/>
        <v>Buy</v>
      </c>
      <c r="Q506">
        <f t="shared" ca="1" si="793"/>
        <v>8988</v>
      </c>
      <c r="R506" t="str">
        <f>VLOOKUP(F506,Control!$B:$C,2,FALSE)</f>
        <v>Futures</v>
      </c>
      <c r="S506" t="str">
        <f>VLOOKUP(F506,Control!$B:$D,3,FALSE)</f>
        <v>WTI Sprds</v>
      </c>
      <c r="T506" s="38">
        <f t="shared" si="794"/>
        <v>2026</v>
      </c>
      <c r="U506" t="str">
        <f t="shared" si="795"/>
        <v>Buy</v>
      </c>
      <c r="V506" s="240" t="s">
        <v>96</v>
      </c>
      <c r="W506" t="str">
        <f>_xlfn.XLOOKUP(Table3[[#This Row],[Instrument]],Control!$B$2:$B$19,Control!$E$2:$E$19)</f>
        <v>WTI</v>
      </c>
      <c r="X506" s="14">
        <f>Table3[[#This Row],[Month1]]</f>
        <v>46203</v>
      </c>
      <c r="Y506" s="350">
        <f>Table3[[#This Row],[Quantity]]</f>
        <v>2100</v>
      </c>
      <c r="Z506" t="str">
        <f>_xlfn.XLOOKUP(Table3[[#This Row],[Instrument]],Control!$B$2:$B$19,Control!$F$2:$F$19)</f>
        <v>WTI</v>
      </c>
      <c r="AA506" s="14">
        <f>Table3[[#This Row],[Month2]]</f>
        <v>46234</v>
      </c>
      <c r="AB506" s="399">
        <f t="shared" si="796"/>
        <v>-2100</v>
      </c>
    </row>
    <row r="507" spans="4:28" ht="15" hidden="1" thickBot="1" x14ac:dyDescent="0.4">
      <c r="D507" s="239" t="s">
        <v>1741</v>
      </c>
      <c r="E507" s="174">
        <v>46134</v>
      </c>
      <c r="F507" s="10" t="s">
        <v>3</v>
      </c>
      <c r="G507" s="4" t="s">
        <v>128</v>
      </c>
      <c r="H507" s="253">
        <f>2100</f>
        <v>2100</v>
      </c>
      <c r="I507" s="172">
        <f>J506</f>
        <v>46234</v>
      </c>
      <c r="J507" s="172">
        <f>EOMONTH(Table3[[#This Row],[Month1]],1)</f>
        <v>46265</v>
      </c>
      <c r="K507" s="212">
        <v>3.95</v>
      </c>
      <c r="L507" s="7">
        <f ca="1">IF(OR(S507="WTI Sprds",S507="Brent Sprds",S507="WTI-Brent",S507="DFL"),INDEX(INDIRECT("'" &amp; S507 &amp; "'!$A$6:$XFD$1048576"),MATCH('PnL26'!$P$1,INDIRECT("'" &amp; S507 &amp; "'!$A$6:$A$1048576"),0),MATCH(EOMONTH(I507,0),INDIRECT("'" &amp; S507 &amp; "'!$A$4:$XFD$4"),0)),INDEX(BBG!$A:$BA,MATCH('PnL26'!$P$1,BBG!$A:$A,0),MATCH($I507,BBG!$A$4:$BA$4,0))-INDEX(BBG!$A:$BA,MATCH('PnL26'!$P$1,BBG!$A:$A,0),MATCH($J507,BBG!$A$4:$BA$4,0)))</f>
        <v>0.75</v>
      </c>
      <c r="M507" s="9">
        <f ca="1">-(K507-L507)*Table3[[#This Row],[Quantity]]</f>
        <v>-6720</v>
      </c>
      <c r="N507">
        <f t="shared" si="790"/>
        <v>8295</v>
      </c>
      <c r="O507" s="14" t="str">
        <f t="shared" si="791"/>
        <v>Jul/Aug 26</v>
      </c>
      <c r="P507" s="8" t="str">
        <f t="shared" si="792"/>
        <v>Buy</v>
      </c>
      <c r="Q507">
        <f t="shared" ca="1" si="793"/>
        <v>1575</v>
      </c>
      <c r="R507" t="str">
        <f>VLOOKUP(F507,Control!$B:$C,2,FALSE)</f>
        <v>Futures</v>
      </c>
      <c r="S507" t="str">
        <f>VLOOKUP(F507,Control!$B:$D,3,FALSE)</f>
        <v>WTI Sprds</v>
      </c>
      <c r="T507" s="38">
        <f t="shared" si="794"/>
        <v>2026</v>
      </c>
      <c r="U507" t="str">
        <f t="shared" si="795"/>
        <v>Buy</v>
      </c>
      <c r="V507" s="240" t="s">
        <v>96</v>
      </c>
      <c r="W507" t="str">
        <f>_xlfn.XLOOKUP(Table3[[#This Row],[Instrument]],Control!$B$2:$B$19,Control!$E$2:$E$19)</f>
        <v>WTI</v>
      </c>
      <c r="X507" s="14">
        <f>Table3[[#This Row],[Month1]]</f>
        <v>46234</v>
      </c>
      <c r="Y507" s="350">
        <f>Table3[[#This Row],[Quantity]]</f>
        <v>2100</v>
      </c>
      <c r="Z507" t="str">
        <f>_xlfn.XLOOKUP(Table3[[#This Row],[Instrument]],Control!$B$2:$B$19,Control!$F$2:$F$19)</f>
        <v>WTI</v>
      </c>
      <c r="AA507" s="14">
        <f>Table3[[#This Row],[Month2]]</f>
        <v>46265</v>
      </c>
      <c r="AB507" s="399">
        <f t="shared" si="796"/>
        <v>-2100</v>
      </c>
    </row>
    <row r="508" spans="4:28" ht="15" hidden="1" thickBot="1" x14ac:dyDescent="0.4">
      <c r="D508" s="239" t="s">
        <v>1741</v>
      </c>
      <c r="E508" s="174">
        <v>46134</v>
      </c>
      <c r="F508" s="10" t="s">
        <v>3</v>
      </c>
      <c r="G508" s="4" t="s">
        <v>128</v>
      </c>
      <c r="H508" s="253">
        <f>764</f>
        <v>764</v>
      </c>
      <c r="I508" s="172">
        <f>J507</f>
        <v>46265</v>
      </c>
      <c r="J508" s="172">
        <f>EOMONTH(Table3[[#This Row],[Month1]],1)</f>
        <v>46295</v>
      </c>
      <c r="K508" s="212">
        <v>2.92</v>
      </c>
      <c r="L508" s="7">
        <f ca="1">IF(OR(S508="WTI Sprds",S508="Brent Sprds",S508="WTI-Brent",S508="DFL"),INDEX(INDIRECT("'" &amp; S508 &amp; "'!$A$6:$XFD$1048576"),MATCH('PnL26'!$P$1,INDIRECT("'" &amp; S508 &amp; "'!$A$6:$A$1048576"),0),MATCH(EOMONTH(I508,0),INDIRECT("'" &amp; S508 &amp; "'!$A$4:$XFD$4"),0)),INDEX(BBG!$A:$BA,MATCH('PnL26'!$P$1,BBG!$A:$A,0),MATCH($I508,BBG!$A$4:$BA$4,0))-INDEX(BBG!$A:$BA,MATCH('PnL26'!$P$1,BBG!$A:$A,0),MATCH($J508,BBG!$A$4:$BA$4,0)))</f>
        <v>0.75</v>
      </c>
      <c r="M508" s="9">
        <f ca="1">-(K508-L508)*Table3[[#This Row],[Quantity]]</f>
        <v>-1657.8799999999999</v>
      </c>
      <c r="N508">
        <f t="shared" ref="N508" si="797">H508*K508</f>
        <v>2230.88</v>
      </c>
      <c r="O508" s="14" t="str">
        <f t="shared" ref="O508" si="798">IF(I508=J508,TEXT(I508,"MMM YY"),TEXT(I508,"MMM")&amp;"/"&amp;TEXT(J508,"MMM")&amp;" "&amp;RIGHT(T508,2))</f>
        <v>Aug/Sep 26</v>
      </c>
      <c r="P508" s="8" t="str">
        <f t="shared" ref="P508" si="799">IF(H508&lt;0,"Sell","Buy")</f>
        <v>Buy</v>
      </c>
      <c r="Q508">
        <f t="shared" ref="Q508" ca="1" si="800">H508*L508</f>
        <v>573</v>
      </c>
      <c r="R508" t="str">
        <f>VLOOKUP(F508,Control!$B:$C,2,FALSE)</f>
        <v>Futures</v>
      </c>
      <c r="S508" t="str">
        <f>VLOOKUP(F508,Control!$B:$D,3,FALSE)</f>
        <v>WTI Sprds</v>
      </c>
      <c r="T508" s="38">
        <f t="shared" ref="T508" si="801">YEAR(I508)</f>
        <v>2026</v>
      </c>
      <c r="U508" t="str">
        <f t="shared" ref="U508" si="802">IFERROR(IF(H508&gt;0,"Buy","Sell"),"")</f>
        <v>Buy</v>
      </c>
      <c r="V508" s="240" t="s">
        <v>96</v>
      </c>
      <c r="W508" t="str">
        <f>_xlfn.XLOOKUP(Table3[[#This Row],[Instrument]],Control!$B$2:$B$19,Control!$E$2:$E$19)</f>
        <v>WTI</v>
      </c>
      <c r="X508" s="14">
        <f>Table3[[#This Row],[Month1]]</f>
        <v>46265</v>
      </c>
      <c r="Y508" s="350">
        <f>Table3[[#This Row],[Quantity]]</f>
        <v>764</v>
      </c>
      <c r="Z508" t="str">
        <f>_xlfn.XLOOKUP(Table3[[#This Row],[Instrument]],Control!$B$2:$B$19,Control!$F$2:$F$19)</f>
        <v>WTI</v>
      </c>
      <c r="AA508" s="14">
        <f>Table3[[#This Row],[Month2]]</f>
        <v>46295</v>
      </c>
      <c r="AB508" s="399">
        <f t="shared" ref="AB508" si="803">-Y508</f>
        <v>-764</v>
      </c>
    </row>
    <row r="509" spans="4:28" ht="15" hidden="1" thickBot="1" x14ac:dyDescent="0.4">
      <c r="D509" s="239" t="s">
        <v>127</v>
      </c>
      <c r="E509" s="174">
        <v>46135</v>
      </c>
      <c r="F509" s="10" t="s">
        <v>7</v>
      </c>
      <c r="G509" s="4" t="s">
        <v>128</v>
      </c>
      <c r="H509" s="253">
        <v>100</v>
      </c>
      <c r="I509" s="172">
        <v>46203</v>
      </c>
      <c r="J509" s="172">
        <f>EOMONTH(Table3[[#This Row],[Month1]],1)</f>
        <v>46234</v>
      </c>
      <c r="K509" s="212">
        <v>5.35</v>
      </c>
      <c r="L509" s="7">
        <f ca="1">IF(OR(S509="WTI Sprds",S509="Brent Sprds",S509="WTI-Brent",S509="DFL"),INDEX(INDIRECT("'" &amp; S509 &amp; "'!$A$6:$XFD$1048576"),MATCH('PnL26'!$P$1,INDIRECT("'" &amp; S509 &amp; "'!$A$6:$A$1048576"),0),MATCH(EOMONTH(I509,0),INDIRECT("'" &amp; S509 &amp; "'!$A$4:$XFD$4"),0)),INDEX(BBG!$A:$BA,MATCH('PnL26'!$P$1,BBG!$A:$A,0),MATCH($I509,BBG!$A$4:$BA$4,0))-INDEX(BBG!$A:$BA,MATCH('PnL26'!$P$1,BBG!$A:$A,0),MATCH($J509,BBG!$A$4:$BA$4,0)))</f>
        <v>3.61</v>
      </c>
      <c r="M509" s="9">
        <f ca="1">-(K509-L509)*Table3[[#This Row],[Quantity]]</f>
        <v>-173.99999999999997</v>
      </c>
      <c r="N509">
        <f t="shared" ref="N509:N515" si="804">H509*K509</f>
        <v>535</v>
      </c>
      <c r="O509" s="14" t="str">
        <f t="shared" ref="O509:O512" si="805">IF(I509=J509,TEXT(I509,"MMM YY"),TEXT(I509,"MMM")&amp;"/"&amp;TEXT(J509,"MMM")&amp;" "&amp;RIGHT(T509,2))</f>
        <v>Jun/Jul 26</v>
      </c>
      <c r="P509" s="8" t="str">
        <f t="shared" ref="P509:P515" si="806">IF(H509&lt;0,"Sell","Buy")</f>
        <v>Buy</v>
      </c>
      <c r="Q509">
        <f t="shared" ref="Q509:Q515" ca="1" si="807">H509*L509</f>
        <v>361</v>
      </c>
      <c r="R509" t="str">
        <f>VLOOKUP(F509,Control!$B:$C,2,FALSE)</f>
        <v>Futures</v>
      </c>
      <c r="S509" t="str">
        <f>VLOOKUP(F509,Control!$B:$D,3,FALSE)</f>
        <v>Brent Sprds</v>
      </c>
      <c r="T509" s="38">
        <f t="shared" ref="T509:T515" si="808">YEAR(I509)</f>
        <v>2026</v>
      </c>
      <c r="U509" t="str">
        <f t="shared" ref="U509:U515" si="809">IFERROR(IF(H509&gt;0,"Buy","Sell"),"")</f>
        <v>Buy</v>
      </c>
      <c r="V509" s="240" t="s">
        <v>96</v>
      </c>
      <c r="W509" t="str">
        <f>_xlfn.XLOOKUP(Table3[[#This Row],[Instrument]],Control!$B$2:$B$19,Control!$E$2:$E$19)</f>
        <v>Brent</v>
      </c>
      <c r="X509" s="14">
        <f>Table3[[#This Row],[Month1]]</f>
        <v>46203</v>
      </c>
      <c r="Y509" s="350">
        <f>Table3[[#This Row],[Quantity]]</f>
        <v>100</v>
      </c>
      <c r="Z509" t="str">
        <f>_xlfn.XLOOKUP(Table3[[#This Row],[Instrument]],Control!$B$2:$B$19,Control!$F$2:$F$19)</f>
        <v>Brent</v>
      </c>
      <c r="AA509" s="14">
        <f>Table3[[#This Row],[Month2]]</f>
        <v>46234</v>
      </c>
      <c r="AB509" s="399">
        <f t="shared" ref="AB509:AB515" si="810">-Y509</f>
        <v>-100</v>
      </c>
    </row>
    <row r="510" spans="4:28" ht="15" hidden="1" thickBot="1" x14ac:dyDescent="0.4">
      <c r="D510" s="385" t="s">
        <v>1742</v>
      </c>
      <c r="E510" s="174">
        <v>46140</v>
      </c>
      <c r="F510" s="229" t="s">
        <v>19</v>
      </c>
      <c r="G510" s="380" t="s">
        <v>268</v>
      </c>
      <c r="H510" s="392">
        <v>700</v>
      </c>
      <c r="I510" s="231">
        <v>46203</v>
      </c>
      <c r="J510" s="231">
        <v>46203</v>
      </c>
      <c r="K510" s="232">
        <f>'Cargo Econs 2026'!C185</f>
        <v>-0.28060000000000063</v>
      </c>
      <c r="L510" s="315">
        <v>0.03</v>
      </c>
      <c r="M510" s="234">
        <f>IFERROR((L510-K510)*700,"")</f>
        <v>217.42000000000047</v>
      </c>
      <c r="N510" s="227">
        <f t="shared" si="804"/>
        <v>-196.42000000000044</v>
      </c>
      <c r="O510" s="235" t="str">
        <f t="shared" si="805"/>
        <v>Jun 26</v>
      </c>
      <c r="P510" s="236" t="str">
        <f t="shared" si="806"/>
        <v>Buy</v>
      </c>
      <c r="Q510" s="227">
        <f t="shared" si="807"/>
        <v>21</v>
      </c>
      <c r="R510" s="227" t="str">
        <f>VLOOKUP(F510,Control!$B:$C,2,FALSE)</f>
        <v>Physical</v>
      </c>
      <c r="S510" s="227" t="str">
        <f>VLOOKUP(F510,Control!$B:$D,3,FALSE)</f>
        <v>Physical</v>
      </c>
      <c r="T510" s="38">
        <f t="shared" si="808"/>
        <v>2026</v>
      </c>
      <c r="U510" s="227" t="str">
        <f t="shared" si="809"/>
        <v>Buy</v>
      </c>
      <c r="V510" s="238" t="s">
        <v>96</v>
      </c>
      <c r="W510">
        <f>_xlfn.XLOOKUP(Table3[[#This Row],[Instrument]],Control!$B$2:$B$19,Control!$E$2:$E$19)</f>
        <v>0</v>
      </c>
      <c r="X510" s="14">
        <f>Table3[[#This Row],[Month1]]</f>
        <v>46203</v>
      </c>
      <c r="Y510" s="350">
        <f>Table3[[#This Row],[Quantity]]</f>
        <v>700</v>
      </c>
      <c r="Z510">
        <f>_xlfn.XLOOKUP(Table3[[#This Row],[Instrument]],Control!$B$2:$B$19,Control!$F$2:$F$19)</f>
        <v>0</v>
      </c>
      <c r="AA510" s="14">
        <f>Table3[[#This Row],[Month2]]</f>
        <v>46203</v>
      </c>
      <c r="AB510" s="350">
        <f t="shared" si="810"/>
        <v>-700</v>
      </c>
    </row>
    <row r="511" spans="4:28" ht="15" hidden="1" thickBot="1" x14ac:dyDescent="0.4">
      <c r="D511" s="239" t="s">
        <v>1742</v>
      </c>
      <c r="E511" s="174">
        <v>46140</v>
      </c>
      <c r="F511" s="10" t="s">
        <v>10</v>
      </c>
      <c r="G511" s="4" t="s">
        <v>268</v>
      </c>
      <c r="H511" s="253">
        <f>-H510</f>
        <v>-700</v>
      </c>
      <c r="I511" s="172">
        <v>46203</v>
      </c>
      <c r="J511" s="172">
        <v>46173</v>
      </c>
      <c r="K511" s="212">
        <v>-11.33</v>
      </c>
      <c r="L511" s="7">
        <f ca="1">IF(OR(S511="WTI Sprds",S511="Brent Sprds",S511="WTI-Brent",S511="DFL"),INDEX(INDIRECT("'" &amp; S511 &amp; "'!$A$6:$XFD$1048576"),MATCH('PnL26'!$P$1,INDIRECT("'" &amp; S511 &amp; "'!$A$6:$A$1048576"),0),MATCH(EOMONTH(I511,0),INDIRECT("'" &amp; S511 &amp; "'!$A$4:$XFD$4"),0)),INDEX(BBG!$A:$BA,MATCH('PnL26'!$P$1,BBG!$A:$A,0),MATCH($I511,BBG!$A$4:$BA$4,0))-INDEX(BBG!$A:$BA,MATCH('PnL26'!$P$1,BBG!$A:$A,0),MATCH($J511,BBG!$A$4:$BA$4,0)))</f>
        <v>-8.94</v>
      </c>
      <c r="M511" s="9">
        <f t="shared" ref="M511:M512" ca="1" si="811">IFERROR((L511-K511)*H511,"")</f>
        <v>-1673.0000000000005</v>
      </c>
      <c r="N511">
        <f t="shared" si="804"/>
        <v>7931</v>
      </c>
      <c r="O511" s="14" t="str">
        <f t="shared" si="805"/>
        <v>Jun/May 26</v>
      </c>
      <c r="P511" s="8" t="str">
        <f t="shared" si="806"/>
        <v>Sell</v>
      </c>
      <c r="Q511">
        <f t="shared" ca="1" si="807"/>
        <v>6258</v>
      </c>
      <c r="R511" t="str">
        <f>VLOOKUP(F511,Control!$B:$C,2,FALSE)</f>
        <v>Swaps</v>
      </c>
      <c r="S511" t="str">
        <f>VLOOKUP(F511,Control!$B:$D,3,FALSE)</f>
        <v>WTI-Brent</v>
      </c>
      <c r="T511" s="38">
        <f t="shared" si="808"/>
        <v>2026</v>
      </c>
      <c r="U511" t="str">
        <f t="shared" si="809"/>
        <v>Sell</v>
      </c>
      <c r="V511" s="240" t="s">
        <v>96</v>
      </c>
      <c r="W511" t="str">
        <f>_xlfn.XLOOKUP(Table3[[#This Row],[Instrument]],Control!$B$2:$B$19,Control!$E$2:$E$19)</f>
        <v>WTI</v>
      </c>
      <c r="X511" s="14">
        <f>Table3[[#This Row],[Month1]]</f>
        <v>46203</v>
      </c>
      <c r="Y511" s="350">
        <f>Table3[[#This Row],[Quantity]]</f>
        <v>-700</v>
      </c>
      <c r="Z511" t="str">
        <f>_xlfn.XLOOKUP(Table3[[#This Row],[Instrument]],Control!$B$2:$B$19,Control!$F$2:$F$19)</f>
        <v>Brent</v>
      </c>
      <c r="AA511" s="14">
        <f>Table3[[#This Row],[Month2]]</f>
        <v>46173</v>
      </c>
      <c r="AB511" s="350">
        <f t="shared" si="810"/>
        <v>700</v>
      </c>
    </row>
    <row r="512" spans="4:28" ht="15" hidden="1" thickBot="1" x14ac:dyDescent="0.4">
      <c r="D512" s="239" t="s">
        <v>1742</v>
      </c>
      <c r="E512" s="174">
        <v>46140</v>
      </c>
      <c r="F512" s="10" t="s">
        <v>10</v>
      </c>
      <c r="G512" s="4" t="s">
        <v>128</v>
      </c>
      <c r="H512" s="253">
        <v>700</v>
      </c>
      <c r="I512" s="172">
        <v>46203</v>
      </c>
      <c r="J512" s="172">
        <v>46173</v>
      </c>
      <c r="K512" s="212">
        <v>-11.33</v>
      </c>
      <c r="L512" s="7">
        <f ca="1">IF(OR(S512="WTI Sprds",S512="Brent Sprds",S512="WTI-Brent",S512="DFL"),INDEX(INDIRECT("'" &amp; S512 &amp; "'!$A$6:$XFD$1048576"),MATCH('PnL26'!$P$1,INDIRECT("'" &amp; S512 &amp; "'!$A$6:$A$1048576"),0),MATCH(EOMONTH(I512,0),INDIRECT("'" &amp; S512 &amp; "'!$A$4:$XFD$4"),0)),INDEX(BBG!$A:$BA,MATCH('PnL26'!$P$1,BBG!$A:$A,0),MATCH($I512,BBG!$A$4:$BA$4,0))-INDEX(BBG!$A:$BA,MATCH('PnL26'!$P$1,BBG!$A:$A,0),MATCH($J512,BBG!$A$4:$BA$4,0)))</f>
        <v>-8.94</v>
      </c>
      <c r="M512" s="9">
        <f t="shared" ca="1" si="811"/>
        <v>1673.0000000000005</v>
      </c>
      <c r="N512">
        <f t="shared" si="804"/>
        <v>-7931</v>
      </c>
      <c r="O512" s="14" t="str">
        <f t="shared" si="805"/>
        <v>Jun/May 26</v>
      </c>
      <c r="P512" s="8" t="str">
        <f t="shared" si="806"/>
        <v>Buy</v>
      </c>
      <c r="Q512">
        <f t="shared" ca="1" si="807"/>
        <v>-6258</v>
      </c>
      <c r="R512" t="str">
        <f>VLOOKUP(F512,Control!$B:$C,2,FALSE)</f>
        <v>Swaps</v>
      </c>
      <c r="S512" t="str">
        <f>VLOOKUP(F512,Control!$B:$D,3,FALSE)</f>
        <v>WTI-Brent</v>
      </c>
      <c r="T512" s="38">
        <f t="shared" si="808"/>
        <v>2026</v>
      </c>
      <c r="U512" t="str">
        <f t="shared" si="809"/>
        <v>Buy</v>
      </c>
      <c r="V512" s="240" t="s">
        <v>96</v>
      </c>
      <c r="W512" t="str">
        <f>_xlfn.XLOOKUP(Table3[[#This Row],[Instrument]],Control!$B$2:$B$19,Control!$E$2:$E$19)</f>
        <v>WTI</v>
      </c>
      <c r="X512" s="14">
        <f>Table3[[#This Row],[Month1]]</f>
        <v>46203</v>
      </c>
      <c r="Y512" s="350">
        <f>Table3[[#This Row],[Quantity]]</f>
        <v>700</v>
      </c>
      <c r="Z512" t="str">
        <f>_xlfn.XLOOKUP(Table3[[#This Row],[Instrument]],Control!$B$2:$B$19,Control!$F$2:$F$19)</f>
        <v>Brent</v>
      </c>
      <c r="AA512" s="14">
        <f>Table3[[#This Row],[Month2]]</f>
        <v>46173</v>
      </c>
      <c r="AB512" s="350">
        <f t="shared" si="810"/>
        <v>-700</v>
      </c>
    </row>
    <row r="513" spans="4:28" ht="15" hidden="1" thickBot="1" x14ac:dyDescent="0.4">
      <c r="D513" t="s">
        <v>1742</v>
      </c>
      <c r="E513" s="174">
        <v>46140</v>
      </c>
      <c r="F513" s="47" t="s">
        <v>36</v>
      </c>
      <c r="G513" s="4" t="s">
        <v>268</v>
      </c>
      <c r="H513" s="253">
        <f>-H510</f>
        <v>-700</v>
      </c>
      <c r="I513" s="172">
        <v>46173</v>
      </c>
      <c r="J513" s="172">
        <v>46203</v>
      </c>
      <c r="K513" s="212">
        <v>387.5</v>
      </c>
      <c r="L513" s="314">
        <f>AVERAGE(VLOOKUP(I513,[2]USG!$O$45:$S$100,MATCH(F513,[2]USG!$O$46:$S$46,0),FALSE),VLOOKUP(J513,[2]USG!$O$45:$S$100,MATCH(F513,[2]USG!$O$46:$S$46,0),FALSE))</f>
        <v>233.75</v>
      </c>
      <c r="M513" s="396">
        <f>IF(Table3[[#This Row],[Expo Type]]="Hedge",-IF(Table3[[#This Row],[Quantity]]=0,0,21.47*70*(Table3[[#This Row],[Price]]-Table3[[#This Row],[Mtm]])/100),IF(Table3[[#This Row],[Quantity]]=0,0,21.47*70*(Table3[[#This Row],[Price]]-Table3[[#This Row],[Mtm]])/100))</f>
        <v>2310.7087499999998</v>
      </c>
      <c r="N513">
        <f t="shared" si="804"/>
        <v>-271250</v>
      </c>
      <c r="O513" s="14" t="s">
        <v>103</v>
      </c>
      <c r="P513" s="8" t="str">
        <f t="shared" si="806"/>
        <v>Sell</v>
      </c>
      <c r="Q513">
        <f t="shared" si="807"/>
        <v>-163625</v>
      </c>
      <c r="R513" t="str">
        <f>VLOOKUP(F513,Control!$B:$C,2,FALSE)</f>
        <v>Freight</v>
      </c>
      <c r="S513" t="str">
        <f>VLOOKUP(F513,Control!$B:$D,3,FALSE)</f>
        <v>Freight</v>
      </c>
      <c r="T513" s="38">
        <f t="shared" si="808"/>
        <v>2026</v>
      </c>
      <c r="U513" s="240" t="str">
        <f t="shared" si="809"/>
        <v>Sell</v>
      </c>
      <c r="V513" t="s">
        <v>96</v>
      </c>
      <c r="W513" t="e">
        <f>_xlfn.XLOOKUP(Table3[[#This Row],[Instrument]],Control!$B$2:$B$19,Control!$E$2:$E$19)</f>
        <v>#N/A</v>
      </c>
      <c r="X513" s="14">
        <f>Table3[[#This Row],[Month1]]</f>
        <v>46173</v>
      </c>
      <c r="Y513" s="350">
        <f>Table3[[#This Row],[Quantity]]</f>
        <v>-700</v>
      </c>
      <c r="Z513" t="e">
        <f>_xlfn.XLOOKUP(Table3[[#This Row],[Instrument]],Control!$B$2:$B$19,Control!$F$2:$F$19)</f>
        <v>#N/A</v>
      </c>
      <c r="AA513" s="14">
        <f>Table3[[#This Row],[Month2]]</f>
        <v>46203</v>
      </c>
      <c r="AB513" s="350">
        <f t="shared" si="810"/>
        <v>700</v>
      </c>
    </row>
    <row r="514" spans="4:28" ht="15" hidden="1" thickBot="1" x14ac:dyDescent="0.4">
      <c r="D514" t="s">
        <v>1742</v>
      </c>
      <c r="E514" s="174">
        <v>46140</v>
      </c>
      <c r="F514" s="47" t="s">
        <v>36</v>
      </c>
      <c r="G514" s="4" t="s">
        <v>128</v>
      </c>
      <c r="H514" s="253">
        <f>-H511</f>
        <v>700</v>
      </c>
      <c r="I514" s="172">
        <v>46173</v>
      </c>
      <c r="J514" s="172">
        <v>46203</v>
      </c>
      <c r="K514" s="212">
        <v>242.5</v>
      </c>
      <c r="L514" s="314">
        <f>AVERAGE(VLOOKUP(I514,[2]USG!$O$45:$S$100,MATCH(F514,[2]USG!$O$46:$S$46,0),FALSE),VLOOKUP(J514,[2]USG!$O$45:$S$100,MATCH(F514,[2]USG!$O$46:$S$46,0),FALSE))</f>
        <v>233.75</v>
      </c>
      <c r="M514" s="396">
        <f>IF(Table3[[#This Row],[Expo Type]]="Hedge",-IF(Table3[[#This Row],[Quantity]]=0,0,21.47*70*(Table3[[#This Row],[Price]]-Table3[[#This Row],[Mtm]])/100),IF(Table3[[#This Row],[Quantity]]=0,0,21.47*70*(Table3[[#This Row],[Price]]-Table3[[#This Row],[Mtm]])/100))</f>
        <v>-131.50374999999997</v>
      </c>
      <c r="N514">
        <f t="shared" ref="N514" si="812">H514*K514</f>
        <v>169750</v>
      </c>
      <c r="O514" s="14" t="s">
        <v>103</v>
      </c>
      <c r="P514" s="8" t="str">
        <f t="shared" ref="P514" si="813">IF(H514&lt;0,"Sell","Buy")</f>
        <v>Buy</v>
      </c>
      <c r="Q514">
        <f t="shared" ref="Q514" si="814">H514*L514</f>
        <v>163625</v>
      </c>
      <c r="R514" t="str">
        <f>VLOOKUP(F514,Control!$B:$C,2,FALSE)</f>
        <v>Freight</v>
      </c>
      <c r="S514" t="str">
        <f>VLOOKUP(F514,Control!$B:$D,3,FALSE)</f>
        <v>Freight</v>
      </c>
      <c r="T514" s="38">
        <f t="shared" ref="T514" si="815">YEAR(I514)</f>
        <v>2026</v>
      </c>
      <c r="U514" s="240" t="str">
        <f t="shared" ref="U514" si="816">IFERROR(IF(H514&gt;0,"Buy","Sell"),"")</f>
        <v>Buy</v>
      </c>
      <c r="V514" t="s">
        <v>96</v>
      </c>
      <c r="W514" t="e">
        <f>_xlfn.XLOOKUP(Table3[[#This Row],[Instrument]],Control!$B$2:$B$19,Control!$E$2:$E$19)</f>
        <v>#N/A</v>
      </c>
      <c r="X514" s="14">
        <f>Table3[[#This Row],[Month1]]</f>
        <v>46173</v>
      </c>
      <c r="Y514" s="350">
        <f>Table3[[#This Row],[Quantity]]</f>
        <v>700</v>
      </c>
      <c r="Z514" t="e">
        <f>_xlfn.XLOOKUP(Table3[[#This Row],[Instrument]],Control!$B$2:$B$19,Control!$F$2:$F$19)</f>
        <v>#N/A</v>
      </c>
      <c r="AA514" s="14">
        <f>Table3[[#This Row],[Month2]]</f>
        <v>46203</v>
      </c>
      <c r="AB514" s="350">
        <f t="shared" ref="AB514" si="817">-Y514</f>
        <v>-700</v>
      </c>
    </row>
    <row r="515" spans="4:28" ht="15" hidden="1" thickBot="1" x14ac:dyDescent="0.4">
      <c r="D515" t="s">
        <v>1742</v>
      </c>
      <c r="E515" s="174">
        <v>46140</v>
      </c>
      <c r="F515" s="375" t="s">
        <v>39</v>
      </c>
      <c r="G515" s="4" t="s">
        <v>268</v>
      </c>
      <c r="H515" s="253">
        <f>H510</f>
        <v>700</v>
      </c>
      <c r="I515" s="172">
        <v>46203</v>
      </c>
      <c r="J515" s="172">
        <v>46203</v>
      </c>
      <c r="K515" s="212">
        <v>210</v>
      </c>
      <c r="L515" s="314">
        <f>VLOOKUP(I515,[2]USG!$O$45:$S$100,MATCH(F515,[2]USG!$O$46:$S$46,0),FALSE)</f>
        <v>146.75</v>
      </c>
      <c r="M515" s="9">
        <f>IF(Table3[[#This Row],[Quantity]]&gt;0,7.25*86.7*(Table3[[#This Row],[Mtm]]-Table3[[#This Row],[Price]])/100,0)</f>
        <v>-397.57368750000001</v>
      </c>
      <c r="N515">
        <f t="shared" si="804"/>
        <v>147000</v>
      </c>
      <c r="O515" s="14" t="str">
        <f t="shared" ref="O515:O518" si="818">IF(I515=J515,TEXT(I515,"MMM YY"),TEXT(I515,"MMM")&amp;"/"&amp;TEXT(J515,"MMM")&amp;" "&amp;RIGHT(T515,2))</f>
        <v>Jun 26</v>
      </c>
      <c r="P515" s="8" t="str">
        <f t="shared" si="806"/>
        <v>Buy</v>
      </c>
      <c r="Q515">
        <f t="shared" si="807"/>
        <v>102725</v>
      </c>
      <c r="R515" t="str">
        <f>VLOOKUP(F515,Control!$B:$C,2,FALSE)</f>
        <v>Freight</v>
      </c>
      <c r="S515" t="str">
        <f>VLOOKUP(F515,Control!$B:$D,3,FALSE)</f>
        <v>Freight</v>
      </c>
      <c r="T515" s="38">
        <f t="shared" si="808"/>
        <v>2026</v>
      </c>
      <c r="U515" s="240" t="str">
        <f t="shared" si="809"/>
        <v>Buy</v>
      </c>
      <c r="V515" t="s">
        <v>96</v>
      </c>
      <c r="W515" t="e">
        <f>_xlfn.XLOOKUP(Table3[[#This Row],[Instrument]],Control!$B$2:$B$19,Control!$E$2:$E$19)</f>
        <v>#N/A</v>
      </c>
      <c r="X515" s="14">
        <f>Table3[[#This Row],[Month1]]</f>
        <v>46203</v>
      </c>
      <c r="Y515" s="350">
        <f>Table3[[#This Row],[Quantity]]</f>
        <v>700</v>
      </c>
      <c r="Z515" t="e">
        <f>_xlfn.XLOOKUP(Table3[[#This Row],[Instrument]],Control!$B$2:$B$19,Control!$F$2:$F$19)</f>
        <v>#N/A</v>
      </c>
      <c r="AA515" s="14">
        <f>Table3[[#This Row],[Month2]]</f>
        <v>46203</v>
      </c>
      <c r="AB515" s="350">
        <f t="shared" si="810"/>
        <v>-700</v>
      </c>
    </row>
    <row r="516" spans="4:28" ht="15" hidden="1" thickBot="1" x14ac:dyDescent="0.4">
      <c r="D516" s="385" t="s">
        <v>1743</v>
      </c>
      <c r="E516" s="174">
        <v>46140</v>
      </c>
      <c r="F516" s="229" t="s">
        <v>19</v>
      </c>
      <c r="G516" s="380" t="s">
        <v>268</v>
      </c>
      <c r="H516" s="392">
        <v>700</v>
      </c>
      <c r="I516" s="231">
        <v>46203</v>
      </c>
      <c r="J516" s="231">
        <v>46203</v>
      </c>
      <c r="K516" s="232">
        <f>'Cargo Econs 2026'!F185</f>
        <v>-0.28060000000000063</v>
      </c>
      <c r="L516" s="315">
        <f>L510</f>
        <v>0.03</v>
      </c>
      <c r="M516" s="234">
        <f>IFERROR((L516-K516)*700,"")</f>
        <v>217.42000000000047</v>
      </c>
      <c r="N516" s="227">
        <f t="shared" ref="N516:N524" si="819">H516*K516</f>
        <v>-196.42000000000044</v>
      </c>
      <c r="O516" s="235" t="str">
        <f t="shared" si="818"/>
        <v>Jun 26</v>
      </c>
      <c r="P516" s="236" t="str">
        <f t="shared" ref="P516:P524" si="820">IF(H516&lt;0,"Sell","Buy")</f>
        <v>Buy</v>
      </c>
      <c r="Q516" s="227">
        <f t="shared" ref="Q516:Q524" si="821">H516*L516</f>
        <v>21</v>
      </c>
      <c r="R516" s="227" t="str">
        <f>VLOOKUP(F516,Control!$B:$C,2,FALSE)</f>
        <v>Physical</v>
      </c>
      <c r="S516" s="227" t="str">
        <f>VLOOKUP(F516,Control!$B:$D,3,FALSE)</f>
        <v>Physical</v>
      </c>
      <c r="T516" s="38">
        <f t="shared" ref="T516:T524" si="822">YEAR(I516)</f>
        <v>2026</v>
      </c>
      <c r="U516" s="227" t="str">
        <f t="shared" ref="U516:U524" si="823">IFERROR(IF(H516&gt;0,"Buy","Sell"),"")</f>
        <v>Buy</v>
      </c>
      <c r="V516" s="238" t="s">
        <v>96</v>
      </c>
      <c r="W516">
        <f>_xlfn.XLOOKUP(Table3[[#This Row],[Instrument]],Control!$B$2:$B$19,Control!$E$2:$E$19)</f>
        <v>0</v>
      </c>
      <c r="X516" s="14">
        <f>Table3[[#This Row],[Month1]]</f>
        <v>46203</v>
      </c>
      <c r="Y516" s="350">
        <f>Table3[[#This Row],[Quantity]]</f>
        <v>700</v>
      </c>
      <c r="Z516">
        <f>_xlfn.XLOOKUP(Table3[[#This Row],[Instrument]],Control!$B$2:$B$19,Control!$F$2:$F$19)</f>
        <v>0</v>
      </c>
      <c r="AA516" s="14">
        <f>Table3[[#This Row],[Month2]]</f>
        <v>46203</v>
      </c>
      <c r="AB516" s="350">
        <f t="shared" ref="AB516:AB524" si="824">-Y516</f>
        <v>-700</v>
      </c>
    </row>
    <row r="517" spans="4:28" ht="15" hidden="1" thickBot="1" x14ac:dyDescent="0.4">
      <c r="D517" s="239" t="s">
        <v>1743</v>
      </c>
      <c r="E517" s="174">
        <v>46140</v>
      </c>
      <c r="F517" s="10" t="s">
        <v>10</v>
      </c>
      <c r="G517" s="4" t="s">
        <v>268</v>
      </c>
      <c r="H517" s="253">
        <f>-H516</f>
        <v>-700</v>
      </c>
      <c r="I517" s="172">
        <v>46203</v>
      </c>
      <c r="J517" s="172">
        <v>46173</v>
      </c>
      <c r="K517" s="212">
        <v>-11.33</v>
      </c>
      <c r="L517" s="7">
        <f ca="1">IF(OR(S517="WTI Sprds",S517="Brent Sprds",S517="WTI-Brent",S517="DFL"),INDEX(INDIRECT("'" &amp; S517 &amp; "'!$A$6:$XFD$1048576"),MATCH('PnL26'!$P$1,INDIRECT("'" &amp; S517 &amp; "'!$A$6:$A$1048576"),0),MATCH(EOMONTH(I517,0),INDIRECT("'" &amp; S517 &amp; "'!$A$4:$XFD$4"),0)),INDEX(BBG!$A:$BA,MATCH('PnL26'!$P$1,BBG!$A:$A,0),MATCH($I517,BBG!$A$4:$BA$4,0))-INDEX(BBG!$A:$BA,MATCH('PnL26'!$P$1,BBG!$A:$A,0),MATCH($J517,BBG!$A$4:$BA$4,0)))</f>
        <v>-8.94</v>
      </c>
      <c r="M517" s="9">
        <f t="shared" ref="M517:M518" ca="1" si="825">IFERROR((L517-K517)*H517,"")</f>
        <v>-1673.0000000000005</v>
      </c>
      <c r="N517">
        <f t="shared" si="819"/>
        <v>7931</v>
      </c>
      <c r="O517" s="14" t="str">
        <f t="shared" si="818"/>
        <v>Jun/May 26</v>
      </c>
      <c r="P517" s="8" t="str">
        <f t="shared" si="820"/>
        <v>Sell</v>
      </c>
      <c r="Q517">
        <f t="shared" ca="1" si="821"/>
        <v>6258</v>
      </c>
      <c r="R517" t="str">
        <f>VLOOKUP(F517,Control!$B:$C,2,FALSE)</f>
        <v>Swaps</v>
      </c>
      <c r="S517" t="str">
        <f>VLOOKUP(F517,Control!$B:$D,3,FALSE)</f>
        <v>WTI-Brent</v>
      </c>
      <c r="T517" s="38">
        <f t="shared" si="822"/>
        <v>2026</v>
      </c>
      <c r="U517" t="str">
        <f t="shared" si="823"/>
        <v>Sell</v>
      </c>
      <c r="V517" s="240" t="s">
        <v>96</v>
      </c>
      <c r="W517" t="str">
        <f>_xlfn.XLOOKUP(Table3[[#This Row],[Instrument]],Control!$B$2:$B$19,Control!$E$2:$E$19)</f>
        <v>WTI</v>
      </c>
      <c r="X517" s="14">
        <f>Table3[[#This Row],[Month1]]</f>
        <v>46203</v>
      </c>
      <c r="Y517" s="350">
        <f>Table3[[#This Row],[Quantity]]</f>
        <v>-700</v>
      </c>
      <c r="Z517" t="str">
        <f>_xlfn.XLOOKUP(Table3[[#This Row],[Instrument]],Control!$B$2:$B$19,Control!$F$2:$F$19)</f>
        <v>Brent</v>
      </c>
      <c r="AA517" s="14">
        <f>Table3[[#This Row],[Month2]]</f>
        <v>46173</v>
      </c>
      <c r="AB517" s="350">
        <f t="shared" si="824"/>
        <v>700</v>
      </c>
    </row>
    <row r="518" spans="4:28" ht="15" hidden="1" thickBot="1" x14ac:dyDescent="0.4">
      <c r="D518" s="239" t="s">
        <v>1743</v>
      </c>
      <c r="E518" s="174">
        <v>46140</v>
      </c>
      <c r="F518" s="10" t="s">
        <v>10</v>
      </c>
      <c r="G518" s="4" t="s">
        <v>128</v>
      </c>
      <c r="H518" s="253">
        <v>700</v>
      </c>
      <c r="I518" s="172">
        <v>46203</v>
      </c>
      <c r="J518" s="172">
        <v>46173</v>
      </c>
      <c r="K518" s="212">
        <v>-11.33</v>
      </c>
      <c r="L518" s="7">
        <f ca="1">IF(OR(S518="WTI Sprds",S518="Brent Sprds",S518="WTI-Brent",S518="DFL"),INDEX(INDIRECT("'" &amp; S518 &amp; "'!$A$6:$XFD$1048576"),MATCH('PnL26'!$P$1,INDIRECT("'" &amp; S518 &amp; "'!$A$6:$A$1048576"),0),MATCH(EOMONTH(I518,0),INDIRECT("'" &amp; S518 &amp; "'!$A$4:$XFD$4"),0)),INDEX(BBG!$A:$BA,MATCH('PnL26'!$P$1,BBG!$A:$A,0),MATCH($I518,BBG!$A$4:$BA$4,0))-INDEX(BBG!$A:$BA,MATCH('PnL26'!$P$1,BBG!$A:$A,0),MATCH($J518,BBG!$A$4:$BA$4,0)))</f>
        <v>-8.94</v>
      </c>
      <c r="M518" s="9">
        <f t="shared" ca="1" si="825"/>
        <v>1673.0000000000005</v>
      </c>
      <c r="N518">
        <f t="shared" si="819"/>
        <v>-7931</v>
      </c>
      <c r="O518" s="14" t="str">
        <f t="shared" si="818"/>
        <v>Jun/May 26</v>
      </c>
      <c r="P518" s="8" t="str">
        <f t="shared" si="820"/>
        <v>Buy</v>
      </c>
      <c r="Q518">
        <f t="shared" ca="1" si="821"/>
        <v>-6258</v>
      </c>
      <c r="R518" t="str">
        <f>VLOOKUP(F518,Control!$B:$C,2,FALSE)</f>
        <v>Swaps</v>
      </c>
      <c r="S518" t="str">
        <f>VLOOKUP(F518,Control!$B:$D,3,FALSE)</f>
        <v>WTI-Brent</v>
      </c>
      <c r="T518" s="38">
        <f t="shared" si="822"/>
        <v>2026</v>
      </c>
      <c r="U518" t="str">
        <f t="shared" si="823"/>
        <v>Buy</v>
      </c>
      <c r="V518" s="240" t="s">
        <v>96</v>
      </c>
      <c r="W518" t="str">
        <f>_xlfn.XLOOKUP(Table3[[#This Row],[Instrument]],Control!$B$2:$B$19,Control!$E$2:$E$19)</f>
        <v>WTI</v>
      </c>
      <c r="X518" s="14">
        <f>Table3[[#This Row],[Month1]]</f>
        <v>46203</v>
      </c>
      <c r="Y518" s="350">
        <f>Table3[[#This Row],[Quantity]]</f>
        <v>700</v>
      </c>
      <c r="Z518" t="str">
        <f>_xlfn.XLOOKUP(Table3[[#This Row],[Instrument]],Control!$B$2:$B$19,Control!$F$2:$F$19)</f>
        <v>Brent</v>
      </c>
      <c r="AA518" s="14">
        <f>Table3[[#This Row],[Month2]]</f>
        <v>46173</v>
      </c>
      <c r="AB518" s="350">
        <f t="shared" si="824"/>
        <v>-700</v>
      </c>
    </row>
    <row r="519" spans="4:28" ht="15" hidden="1" thickBot="1" x14ac:dyDescent="0.4">
      <c r="D519" t="s">
        <v>1743</v>
      </c>
      <c r="E519" s="174">
        <v>46140</v>
      </c>
      <c r="F519" s="47" t="s">
        <v>36</v>
      </c>
      <c r="G519" s="4" t="s">
        <v>268</v>
      </c>
      <c r="H519" s="253">
        <f>-H516</f>
        <v>-700</v>
      </c>
      <c r="I519" s="172">
        <v>46173</v>
      </c>
      <c r="J519" s="172">
        <v>46203</v>
      </c>
      <c r="K519" s="212">
        <v>387.5</v>
      </c>
      <c r="L519" s="314">
        <f>AVERAGE(VLOOKUP(I519,[2]USG!$O$45:$S$100,MATCH(F519,[2]USG!$O$46:$S$46,0),FALSE),VLOOKUP(J519,[2]USG!$O$45:$S$100,MATCH(F519,[2]USG!$O$46:$S$46,0),FALSE))</f>
        <v>233.75</v>
      </c>
      <c r="M519" s="396">
        <f>IF(Table3[[#This Row],[Expo Type]]="Hedge",-IF(Table3[[#This Row],[Quantity]]=0,0,21.47*70*(Table3[[#This Row],[Price]]-Table3[[#This Row],[Mtm]])/100),IF(Table3[[#This Row],[Quantity]]=0,0,21.47*70*(Table3[[#This Row],[Price]]-Table3[[#This Row],[Mtm]])/100))</f>
        <v>2310.7087499999998</v>
      </c>
      <c r="N519">
        <f t="shared" si="819"/>
        <v>-271250</v>
      </c>
      <c r="O519" s="14" t="s">
        <v>103</v>
      </c>
      <c r="P519" s="8" t="str">
        <f t="shared" si="820"/>
        <v>Sell</v>
      </c>
      <c r="Q519">
        <f t="shared" si="821"/>
        <v>-163625</v>
      </c>
      <c r="R519" t="str">
        <f>VLOOKUP(F519,Control!$B:$C,2,FALSE)</f>
        <v>Freight</v>
      </c>
      <c r="S519" t="str">
        <f>VLOOKUP(F519,Control!$B:$D,3,FALSE)</f>
        <v>Freight</v>
      </c>
      <c r="T519" s="38">
        <f t="shared" si="822"/>
        <v>2026</v>
      </c>
      <c r="U519" s="240" t="str">
        <f t="shared" si="823"/>
        <v>Sell</v>
      </c>
      <c r="V519" t="s">
        <v>96</v>
      </c>
      <c r="W519" t="e">
        <f>_xlfn.XLOOKUP(Table3[[#This Row],[Instrument]],Control!$B$2:$B$19,Control!$E$2:$E$19)</f>
        <v>#N/A</v>
      </c>
      <c r="X519" s="14">
        <f>Table3[[#This Row],[Month1]]</f>
        <v>46173</v>
      </c>
      <c r="Y519" s="350">
        <f>Table3[[#This Row],[Quantity]]</f>
        <v>-700</v>
      </c>
      <c r="Z519" t="e">
        <f>_xlfn.XLOOKUP(Table3[[#This Row],[Instrument]],Control!$B$2:$B$19,Control!$F$2:$F$19)</f>
        <v>#N/A</v>
      </c>
      <c r="AA519" s="14">
        <f>Table3[[#This Row],[Month2]]</f>
        <v>46203</v>
      </c>
      <c r="AB519" s="350">
        <f t="shared" si="824"/>
        <v>700</v>
      </c>
    </row>
    <row r="520" spans="4:28" ht="15" hidden="1" thickBot="1" x14ac:dyDescent="0.4">
      <c r="D520" t="s">
        <v>1742</v>
      </c>
      <c r="E520" s="174">
        <v>46140</v>
      </c>
      <c r="F520" s="47" t="s">
        <v>36</v>
      </c>
      <c r="G520" s="4" t="s">
        <v>128</v>
      </c>
      <c r="H520" s="253">
        <f>-H517</f>
        <v>700</v>
      </c>
      <c r="I520" s="172">
        <v>46173</v>
      </c>
      <c r="J520" s="172">
        <v>46203</v>
      </c>
      <c r="K520" s="212">
        <v>225</v>
      </c>
      <c r="L520" s="314">
        <f>AVERAGE(VLOOKUP(I520,[2]USG!$O$45:$S$100,MATCH(F520,[2]USG!$O$46:$S$46,0),FALSE),VLOOKUP(J520,[2]USG!$O$45:$S$100,MATCH(F520,[2]USG!$O$46:$S$46,0),FALSE))</f>
        <v>233.75</v>
      </c>
      <c r="M520" s="396">
        <f>IF(Table3[[#This Row],[Expo Type]]="Hedge",-IF(Table3[[#This Row],[Quantity]]=0,0,21.47*70*(Table3[[#This Row],[Price]]-Table3[[#This Row],[Mtm]])/100),IF(Table3[[#This Row],[Quantity]]=0,0,21.47*70*(Table3[[#This Row],[Price]]-Table3[[#This Row],[Mtm]])/100))</f>
        <v>131.50374999999997</v>
      </c>
      <c r="N520">
        <f t="shared" si="819"/>
        <v>157500</v>
      </c>
      <c r="O520" s="14" t="s">
        <v>103</v>
      </c>
      <c r="P520" s="8" t="str">
        <f t="shared" si="820"/>
        <v>Buy</v>
      </c>
      <c r="Q520">
        <f t="shared" si="821"/>
        <v>163625</v>
      </c>
      <c r="R520" t="str">
        <f>VLOOKUP(F520,Control!$B:$C,2,FALSE)</f>
        <v>Freight</v>
      </c>
      <c r="S520" t="str">
        <f>VLOOKUP(F520,Control!$B:$D,3,FALSE)</f>
        <v>Freight</v>
      </c>
      <c r="T520" s="38">
        <f t="shared" si="822"/>
        <v>2026</v>
      </c>
      <c r="U520" s="240" t="str">
        <f t="shared" si="823"/>
        <v>Buy</v>
      </c>
      <c r="V520" t="s">
        <v>96</v>
      </c>
      <c r="W520" t="e">
        <f>_xlfn.XLOOKUP(Table3[[#This Row],[Instrument]],Control!$B$2:$B$19,Control!$E$2:$E$19)</f>
        <v>#N/A</v>
      </c>
      <c r="X520" s="14">
        <f>Table3[[#This Row],[Month1]]</f>
        <v>46173</v>
      </c>
      <c r="Y520" s="350">
        <f>Table3[[#This Row],[Quantity]]</f>
        <v>700</v>
      </c>
      <c r="Z520" t="e">
        <f>_xlfn.XLOOKUP(Table3[[#This Row],[Instrument]],Control!$B$2:$B$19,Control!$F$2:$F$19)</f>
        <v>#N/A</v>
      </c>
      <c r="AA520" s="14">
        <f>Table3[[#This Row],[Month2]]</f>
        <v>46203</v>
      </c>
      <c r="AB520" s="350">
        <f t="shared" si="824"/>
        <v>-700</v>
      </c>
    </row>
    <row r="521" spans="4:28" ht="15" hidden="1" thickBot="1" x14ac:dyDescent="0.4">
      <c r="D521" t="s">
        <v>1743</v>
      </c>
      <c r="E521" s="174">
        <v>46140</v>
      </c>
      <c r="F521" s="375" t="s">
        <v>39</v>
      </c>
      <c r="G521" s="4" t="s">
        <v>268</v>
      </c>
      <c r="H521" s="253">
        <f>H516</f>
        <v>700</v>
      </c>
      <c r="I521" s="172">
        <v>46203</v>
      </c>
      <c r="J521" s="172">
        <v>46203</v>
      </c>
      <c r="K521" s="212">
        <v>210</v>
      </c>
      <c r="L521" s="314">
        <f>VLOOKUP(I521,[2]USG!$O$45:$S$100,MATCH(F521,[2]USG!$O$46:$S$46,0),FALSE)</f>
        <v>146.75</v>
      </c>
      <c r="M521" s="9">
        <f>IF(Table3[[#This Row],[Quantity]]&gt;0,7.25*86.7*(Table3[[#This Row],[Mtm]]-Table3[[#This Row],[Price]])/100,0)</f>
        <v>-397.57368750000001</v>
      </c>
      <c r="N521">
        <f t="shared" si="819"/>
        <v>147000</v>
      </c>
      <c r="O521" s="14" t="str">
        <f t="shared" ref="O521:O524" si="826">IF(I521=J521,TEXT(I521,"MMM YY"),TEXT(I521,"MMM")&amp;"/"&amp;TEXT(J521,"MMM")&amp;" "&amp;RIGHT(T521,2))</f>
        <v>Jun 26</v>
      </c>
      <c r="P521" s="8" t="str">
        <f t="shared" si="820"/>
        <v>Buy</v>
      </c>
      <c r="Q521">
        <f t="shared" si="821"/>
        <v>102725</v>
      </c>
      <c r="R521" t="str">
        <f>VLOOKUP(F521,Control!$B:$C,2,FALSE)</f>
        <v>Freight</v>
      </c>
      <c r="S521" t="str">
        <f>VLOOKUP(F521,Control!$B:$D,3,FALSE)</f>
        <v>Freight</v>
      </c>
      <c r="T521" s="38">
        <f t="shared" si="822"/>
        <v>2026</v>
      </c>
      <c r="U521" s="240" t="str">
        <f t="shared" si="823"/>
        <v>Buy</v>
      </c>
      <c r="V521" t="s">
        <v>96</v>
      </c>
      <c r="W521" t="e">
        <f>_xlfn.XLOOKUP(Table3[[#This Row],[Instrument]],Control!$B$2:$B$19,Control!$E$2:$E$19)</f>
        <v>#N/A</v>
      </c>
      <c r="X521" s="14">
        <f>Table3[[#This Row],[Month1]]</f>
        <v>46203</v>
      </c>
      <c r="Y521" s="350">
        <f>Table3[[#This Row],[Quantity]]</f>
        <v>700</v>
      </c>
      <c r="Z521" t="e">
        <f>_xlfn.XLOOKUP(Table3[[#This Row],[Instrument]],Control!$B$2:$B$19,Control!$F$2:$F$19)</f>
        <v>#N/A</v>
      </c>
      <c r="AA521" s="14">
        <f>Table3[[#This Row],[Month2]]</f>
        <v>46203</v>
      </c>
      <c r="AB521" s="350">
        <f t="shared" si="824"/>
        <v>-700</v>
      </c>
    </row>
    <row r="522" spans="4:28" ht="15" hidden="1" thickBot="1" x14ac:dyDescent="0.4">
      <c r="D522" t="s">
        <v>1738</v>
      </c>
      <c r="E522" s="174">
        <v>46141</v>
      </c>
      <c r="F522" s="10" t="s">
        <v>15</v>
      </c>
      <c r="G522" s="4" t="s">
        <v>128</v>
      </c>
      <c r="H522" s="253">
        <v>15</v>
      </c>
      <c r="I522" s="173">
        <v>46173</v>
      </c>
      <c r="J522" s="173">
        <v>46173</v>
      </c>
      <c r="K522" s="100">
        <v>8.85</v>
      </c>
      <c r="L522" s="192">
        <f>VLOOKUP($I522,'PnL26'!$E$7:$F$59,2,FALSE)</f>
        <v>3.68</v>
      </c>
      <c r="M522" s="9">
        <f t="shared" ref="M522" si="827">IFERROR((L522-K522)*H522,"")</f>
        <v>-77.55</v>
      </c>
      <c r="N522">
        <f t="shared" si="819"/>
        <v>132.75</v>
      </c>
      <c r="O522" s="14" t="str">
        <f t="shared" si="826"/>
        <v>May 26</v>
      </c>
      <c r="P522" s="8" t="str">
        <f t="shared" si="820"/>
        <v>Buy</v>
      </c>
      <c r="Q522">
        <f t="shared" si="821"/>
        <v>55.2</v>
      </c>
      <c r="R522" s="38" t="str">
        <f>VLOOKUP(F522,Control!$B:$C,2,FALSE)</f>
        <v>Swaps</v>
      </c>
      <c r="S522" s="38" t="str">
        <f>VLOOKUP(F522,Control!$B:$D,3,FALSE)</f>
        <v>Dated</v>
      </c>
      <c r="T522" s="38">
        <f t="shared" si="822"/>
        <v>2026</v>
      </c>
      <c r="U522" t="str">
        <f t="shared" si="823"/>
        <v>Buy</v>
      </c>
      <c r="V522" t="s">
        <v>96</v>
      </c>
      <c r="W522" t="e">
        <f>_xlfn.XLOOKUP(Table3[[#This Row],[Instrument]],Control!$B$2:$B$19,Control!$E$2:$E$19)</f>
        <v>#N/A</v>
      </c>
      <c r="X522" s="14">
        <f>Table3[[#This Row],[Month1]]</f>
        <v>46173</v>
      </c>
      <c r="Y522" s="350">
        <f>Table3[[#This Row],[Quantity]]</f>
        <v>15</v>
      </c>
      <c r="Z522" t="e">
        <f>_xlfn.XLOOKUP(Table3[[#This Row],[Instrument]],Control!$B$2:$B$19,Control!$F$2:$F$19)</f>
        <v>#N/A</v>
      </c>
      <c r="AA522" s="14">
        <f>Table3[[#This Row],[Month2]]</f>
        <v>46173</v>
      </c>
      <c r="AB522" s="350">
        <f t="shared" si="824"/>
        <v>-15</v>
      </c>
    </row>
    <row r="523" spans="4:28" ht="15" hidden="1" thickBot="1" x14ac:dyDescent="0.4">
      <c r="D523" s="239" t="s">
        <v>127</v>
      </c>
      <c r="E523" s="174">
        <v>46141</v>
      </c>
      <c r="F523" s="10" t="s">
        <v>7</v>
      </c>
      <c r="G523" s="4" t="s">
        <v>128</v>
      </c>
      <c r="H523" s="253">
        <v>9</v>
      </c>
      <c r="I523" s="172">
        <v>46203</v>
      </c>
      <c r="J523" s="172">
        <f>EOMONTH(Table3[[#This Row],[Month1]],1)</f>
        <v>46234</v>
      </c>
      <c r="K523" s="212">
        <v>7.59</v>
      </c>
      <c r="L523" s="7">
        <f ca="1">IF(OR(S523="WTI Sprds",S523="Brent Sprds",S523="WTI-Brent",S523="DFL"),INDEX(INDIRECT("'" &amp; S523 &amp; "'!$A$6:$XFD$1048576"),MATCH('PnL26'!$P$1,INDIRECT("'" &amp; S523 &amp; "'!$A$6:$A$1048576"),0),MATCH(EOMONTH(I523,0),INDIRECT("'" &amp; S523 &amp; "'!$A$4:$XFD$4"),0)),INDEX(BBG!$A:$BA,MATCH('PnL26'!$P$1,BBG!$A:$A,0),MATCH($I523,BBG!$A$4:$BA$4,0))-INDEX(BBG!$A:$BA,MATCH('PnL26'!$P$1,BBG!$A:$A,0),MATCH($J523,BBG!$A$4:$BA$4,0)))</f>
        <v>3.61</v>
      </c>
      <c r="M523" s="9">
        <f ca="1">-(K523-L523)*Table3[[#This Row],[Quantity]]</f>
        <v>-35.82</v>
      </c>
      <c r="N523">
        <f t="shared" si="819"/>
        <v>68.31</v>
      </c>
      <c r="O523" s="14" t="str">
        <f t="shared" si="826"/>
        <v>Jun/Jul 26</v>
      </c>
      <c r="P523" s="8" t="str">
        <f t="shared" si="820"/>
        <v>Buy</v>
      </c>
      <c r="Q523">
        <f t="shared" ca="1" si="821"/>
        <v>32.49</v>
      </c>
      <c r="R523" t="str">
        <f>VLOOKUP(F523,Control!$B:$C,2,FALSE)</f>
        <v>Futures</v>
      </c>
      <c r="S523" t="str">
        <f>VLOOKUP(F523,Control!$B:$D,3,FALSE)</f>
        <v>Brent Sprds</v>
      </c>
      <c r="T523" s="38">
        <f t="shared" si="822"/>
        <v>2026</v>
      </c>
      <c r="U523" t="str">
        <f t="shared" si="823"/>
        <v>Buy</v>
      </c>
      <c r="V523" s="240" t="s">
        <v>96</v>
      </c>
      <c r="W523" t="str">
        <f>_xlfn.XLOOKUP(Table3[[#This Row],[Instrument]],Control!$B$2:$B$19,Control!$E$2:$E$19)</f>
        <v>Brent</v>
      </c>
      <c r="X523" s="14">
        <f>Table3[[#This Row],[Month1]]</f>
        <v>46203</v>
      </c>
      <c r="Y523" s="350">
        <f>Table3[[#This Row],[Quantity]]</f>
        <v>9</v>
      </c>
      <c r="Z523" t="str">
        <f>_xlfn.XLOOKUP(Table3[[#This Row],[Instrument]],Control!$B$2:$B$19,Control!$F$2:$F$19)</f>
        <v>Brent</v>
      </c>
      <c r="AA523" s="14">
        <f>Table3[[#This Row],[Month2]]</f>
        <v>46234</v>
      </c>
      <c r="AB523" s="399">
        <f t="shared" si="824"/>
        <v>-9</v>
      </c>
    </row>
    <row r="524" spans="4:28" ht="15" hidden="1" thickBot="1" x14ac:dyDescent="0.4">
      <c r="D524" s="239" t="s">
        <v>1742</v>
      </c>
      <c r="E524" s="174">
        <v>46141</v>
      </c>
      <c r="F524" s="10" t="s">
        <v>10</v>
      </c>
      <c r="G524" s="4" t="s">
        <v>128</v>
      </c>
      <c r="H524" s="253">
        <v>-35</v>
      </c>
      <c r="I524" s="172">
        <v>46203</v>
      </c>
      <c r="J524" s="172">
        <v>46203</v>
      </c>
      <c r="K524" s="212">
        <v>-11.15</v>
      </c>
      <c r="L524" s="7">
        <f ca="1">IF(OR(S524="WTI Sprds",S524="Brent Sprds",S524="WTI-Brent",S524="DFL"),INDEX(INDIRECT("'" &amp; S524 &amp; "'!$A$6:$XFD$1048576"),MATCH('PnL26'!$P$1,INDIRECT("'" &amp; S524 &amp; "'!$A$6:$A$1048576"),0),MATCH(EOMONTH(I524,0),INDIRECT("'" &amp; S524 &amp; "'!$A$4:$XFD$4"),0)),INDEX(BBG!$A:$BA,MATCH('PnL26'!$P$1,BBG!$A:$A,0),MATCH($I524,BBG!$A$4:$BA$4,0))-INDEX(BBG!$A:$BA,MATCH('PnL26'!$P$1,BBG!$A:$A,0),MATCH($J524,BBG!$A$4:$BA$4,0)))</f>
        <v>-8.94</v>
      </c>
      <c r="M524" s="9">
        <f t="shared" ref="M524" ca="1" si="828">IFERROR((L524-K524)*H524,"")</f>
        <v>-77.350000000000023</v>
      </c>
      <c r="N524">
        <f t="shared" si="819"/>
        <v>390.25</v>
      </c>
      <c r="O524" s="14" t="str">
        <f t="shared" si="826"/>
        <v>Jun 26</v>
      </c>
      <c r="P524" s="8" t="str">
        <f t="shared" si="820"/>
        <v>Sell</v>
      </c>
      <c r="Q524">
        <f t="shared" ca="1" si="821"/>
        <v>312.89999999999998</v>
      </c>
      <c r="R524" t="str">
        <f>VLOOKUP(F524,Control!$B:$C,2,FALSE)</f>
        <v>Swaps</v>
      </c>
      <c r="S524" t="str">
        <f>VLOOKUP(F524,Control!$B:$D,3,FALSE)</f>
        <v>WTI-Brent</v>
      </c>
      <c r="T524" s="38">
        <f t="shared" si="822"/>
        <v>2026</v>
      </c>
      <c r="U524" t="str">
        <f t="shared" si="823"/>
        <v>Sell</v>
      </c>
      <c r="V524" s="240" t="s">
        <v>96</v>
      </c>
      <c r="W524" t="str">
        <f>_xlfn.XLOOKUP(Table3[[#This Row],[Instrument]],Control!$B$2:$B$19,Control!$E$2:$E$19)</f>
        <v>WTI</v>
      </c>
      <c r="X524" s="14">
        <f>Table3[[#This Row],[Month1]]</f>
        <v>46203</v>
      </c>
      <c r="Y524" s="350">
        <f>Table3[[#This Row],[Quantity]]</f>
        <v>-35</v>
      </c>
      <c r="Z524" t="str">
        <f>_xlfn.XLOOKUP(Table3[[#This Row],[Instrument]],Control!$B$2:$B$19,Control!$F$2:$F$19)</f>
        <v>Brent</v>
      </c>
      <c r="AA524" s="14">
        <f>Table3[[#This Row],[Month2]]</f>
        <v>46203</v>
      </c>
      <c r="AB524" s="350">
        <f t="shared" si="824"/>
        <v>35</v>
      </c>
    </row>
    <row r="525" spans="4:28" ht="15" hidden="1" thickBot="1" x14ac:dyDescent="0.4">
      <c r="D525" t="s">
        <v>127</v>
      </c>
      <c r="E525" s="174">
        <v>46142</v>
      </c>
      <c r="F525" s="10" t="s">
        <v>15</v>
      </c>
      <c r="G525" s="4" t="s">
        <v>128</v>
      </c>
      <c r="H525" s="253">
        <v>250</v>
      </c>
      <c r="I525" s="173">
        <v>46142</v>
      </c>
      <c r="J525" s="173">
        <v>46142</v>
      </c>
      <c r="K525" s="100">
        <v>13.43</v>
      </c>
      <c r="L525" s="192">
        <f>Dated!$K$31</f>
        <v>13.428000000000006</v>
      </c>
      <c r="M525" s="9">
        <f>IFERROR((L525-K525)*H525,"")</f>
        <v>-0.49999999999839062</v>
      </c>
      <c r="N525">
        <f>H525*K525</f>
        <v>3357.5</v>
      </c>
      <c r="O525" s="14" t="str">
        <f>IF(I525=J525,TEXT(I525,"MMM YY"),TEXT(I525,"MMM")&amp;"/"&amp;TEXT(J525,"MMM")&amp;" "&amp;RIGHT(T525,2))</f>
        <v>Apr 26</v>
      </c>
      <c r="P525" s="8" t="str">
        <f>IF(H525&lt;0,"Sell","Buy")</f>
        <v>Buy</v>
      </c>
      <c r="Q525">
        <f>H525*L525</f>
        <v>3357.0000000000014</v>
      </c>
      <c r="R525" s="38" t="str">
        <f>VLOOKUP(F525,Control!$B:$C,2,FALSE)</f>
        <v>Swaps</v>
      </c>
      <c r="S525" s="38" t="str">
        <f>VLOOKUP(F525,Control!$B:$D,3,FALSE)</f>
        <v>Dated</v>
      </c>
      <c r="T525" s="38">
        <f>YEAR(I525)</f>
        <v>2026</v>
      </c>
      <c r="U525" t="str">
        <f>IFERROR(IF(H525&gt;0,"Buy","Sell"),"")</f>
        <v>Buy</v>
      </c>
      <c r="V525" t="s">
        <v>96</v>
      </c>
      <c r="W525" t="e">
        <f>_xlfn.XLOOKUP(Table3[[#This Row],[Instrument]],Control!$B$2:$B$19,Control!$E$2:$E$19)</f>
        <v>#N/A</v>
      </c>
      <c r="X525" s="14">
        <f>Table3[[#This Row],[Month1]]</f>
        <v>46142</v>
      </c>
      <c r="Y525" s="350">
        <f>Table3[[#This Row],[Quantity]]</f>
        <v>250</v>
      </c>
      <c r="Z525" t="e">
        <f>_xlfn.XLOOKUP(Table3[[#This Row],[Instrument]],Control!$B$2:$B$19,Control!$F$2:$F$19)</f>
        <v>#N/A</v>
      </c>
      <c r="AA525" s="14">
        <f>Table3[[#This Row],[Month2]]</f>
        <v>46142</v>
      </c>
      <c r="AB525" s="350">
        <f>-Y525</f>
        <v>-250</v>
      </c>
    </row>
    <row r="526" spans="4:28" ht="15" hidden="1" thickBot="1" x14ac:dyDescent="0.4">
      <c r="D526" t="s">
        <v>127</v>
      </c>
      <c r="E526" s="174">
        <v>46111</v>
      </c>
      <c r="F526" s="10" t="s">
        <v>15</v>
      </c>
      <c r="G526" s="4" t="s">
        <v>128</v>
      </c>
      <c r="H526" s="253">
        <v>-600</v>
      </c>
      <c r="I526" s="173">
        <v>46142</v>
      </c>
      <c r="J526" s="173">
        <v>46142</v>
      </c>
      <c r="K526" s="100">
        <f>Table3[[#This Row],[Mtm]]</f>
        <v>17.678750000000008</v>
      </c>
      <c r="L526" s="192">
        <f>VLOOKUP($I526,'PnL26'!$E$7:$F$59,2,FALSE)</f>
        <v>17.678750000000008</v>
      </c>
      <c r="M526" s="9">
        <f>IFERROR((L526-K526)*H526,"")</f>
        <v>0</v>
      </c>
      <c r="N526">
        <f>H526*K526</f>
        <v>-10607.250000000005</v>
      </c>
      <c r="O526" s="14" t="str">
        <f>IF(I526=J526,TEXT(I526,"MMM YY"),TEXT(I526,"MMM")&amp;"/"&amp;TEXT(J526,"MMM")&amp;" "&amp;RIGHT(T526,2))</f>
        <v>Apr 26</v>
      </c>
      <c r="P526" s="8" t="str">
        <f>IF(H526&lt;0,"Sell","Buy")</f>
        <v>Sell</v>
      </c>
      <c r="Q526">
        <f>H526*L526</f>
        <v>-10607.250000000005</v>
      </c>
      <c r="R526" s="38" t="str">
        <f>VLOOKUP(F526,Control!$B:$C,2,FALSE)</f>
        <v>Swaps</v>
      </c>
      <c r="S526" s="38" t="str">
        <f>VLOOKUP(F526,Control!$B:$D,3,FALSE)</f>
        <v>Dated</v>
      </c>
      <c r="T526" s="38">
        <f>YEAR(I526)</f>
        <v>2026</v>
      </c>
      <c r="U526" t="str">
        <f>IFERROR(IF(H526&gt;0,"Buy","Sell"),"")</f>
        <v>Sell</v>
      </c>
      <c r="V526" t="s">
        <v>96</v>
      </c>
      <c r="W526" t="e">
        <f>_xlfn.XLOOKUP(Table3[[#This Row],[Instrument]],Control!$B$2:$B$19,Control!$E$2:$E$19)</f>
        <v>#N/A</v>
      </c>
      <c r="X526" s="14">
        <f>Table3[[#This Row],[Month1]]</f>
        <v>46142</v>
      </c>
      <c r="Y526" s="350">
        <f>Table3[[#This Row],[Quantity]]</f>
        <v>-600</v>
      </c>
      <c r="Z526" t="e">
        <f>_xlfn.XLOOKUP(Table3[[#This Row],[Instrument]],Control!$B$2:$B$19,Control!$F$2:$F$19)</f>
        <v>#N/A</v>
      </c>
      <c r="AA526" s="14">
        <f>Table3[[#This Row],[Month2]]</f>
        <v>46142</v>
      </c>
      <c r="AB526" s="350">
        <f>-Y526</f>
        <v>600</v>
      </c>
    </row>
    <row r="527" spans="4:28" ht="15" hidden="1" thickBot="1" x14ac:dyDescent="0.4">
      <c r="D527" t="s">
        <v>1732</v>
      </c>
      <c r="E527" s="174">
        <v>46078</v>
      </c>
      <c r="F527" s="375" t="s">
        <v>39</v>
      </c>
      <c r="G527" s="4" t="s">
        <v>128</v>
      </c>
      <c r="H527" s="253">
        <v>-700</v>
      </c>
      <c r="I527" s="172">
        <v>46142</v>
      </c>
      <c r="J527" s="172">
        <v>46142</v>
      </c>
      <c r="K527" s="212">
        <f>Table3[[#This Row],[Mtm]]</f>
        <v>313.25</v>
      </c>
      <c r="L527" s="314">
        <f>Dated!$M$31</f>
        <v>313.25</v>
      </c>
      <c r="M527" s="9">
        <f>7.25*86.7*(Table3[[#This Row],[Mtm]]-Table3[[#This Row],[Price]])/100</f>
        <v>0</v>
      </c>
      <c r="N527">
        <f t="shared" ref="N527:N531" si="829">H527*K527</f>
        <v>-219275</v>
      </c>
      <c r="O527" s="14" t="str">
        <f t="shared" ref="O527:O531" si="830">IF(I527=J527,TEXT(I527,"MMM YY"),TEXT(I527,"MMM")&amp;"/"&amp;TEXT(J527,"MMM")&amp;" "&amp;RIGHT(T527,2))</f>
        <v>Apr 26</v>
      </c>
      <c r="P527" s="8" t="str">
        <f t="shared" ref="P527:P531" si="831">IF(H527&lt;0,"Sell","Buy")</f>
        <v>Sell</v>
      </c>
      <c r="Q527">
        <f t="shared" ref="Q527:Q531" si="832">H527*L527</f>
        <v>-219275</v>
      </c>
      <c r="R527" t="str">
        <f>VLOOKUP(F527,Control!$B:$C,2,FALSE)</f>
        <v>Freight</v>
      </c>
      <c r="S527" t="str">
        <f>VLOOKUP(F527,Control!$B:$D,3,FALSE)</f>
        <v>Freight</v>
      </c>
      <c r="T527" s="38">
        <f t="shared" ref="T527:T531" si="833">YEAR(I527)</f>
        <v>2026</v>
      </c>
      <c r="U527" s="240" t="str">
        <f t="shared" ref="U527:U531" si="834">IFERROR(IF(H527&gt;0,"Buy","Sell"),"")</f>
        <v>Sell</v>
      </c>
      <c r="V527" t="s">
        <v>96</v>
      </c>
      <c r="W527" t="e">
        <f>_xlfn.XLOOKUP(Table3[[#This Row],[Instrument]],Control!$B$2:$B$19,Control!$E$2:$E$19)</f>
        <v>#N/A</v>
      </c>
      <c r="X527" s="14">
        <f>Table3[[#This Row],[Month1]]</f>
        <v>46142</v>
      </c>
      <c r="Y527" s="350">
        <f>Table3[[#This Row],[Quantity]]</f>
        <v>-700</v>
      </c>
      <c r="Z527" t="e">
        <f>_xlfn.XLOOKUP(Table3[[#This Row],[Instrument]],Control!$B$2:$B$19,Control!$F$2:$F$19)</f>
        <v>#N/A</v>
      </c>
      <c r="AA527" s="14">
        <f>Table3[[#This Row],[Month2]]</f>
        <v>46142</v>
      </c>
      <c r="AB527" s="350">
        <f t="shared" ref="AB527:AB531" si="835">-Y527</f>
        <v>700</v>
      </c>
    </row>
    <row r="528" spans="4:28" ht="15" hidden="1" thickBot="1" x14ac:dyDescent="0.4">
      <c r="D528" s="385" t="s">
        <v>1744</v>
      </c>
      <c r="E528" s="174">
        <v>46147</v>
      </c>
      <c r="F528" s="229" t="s">
        <v>19</v>
      </c>
      <c r="G528" s="380" t="s">
        <v>268</v>
      </c>
      <c r="H528" s="392">
        <v>700</v>
      </c>
      <c r="I528" s="231">
        <v>46203</v>
      </c>
      <c r="J528" s="231">
        <v>46203</v>
      </c>
      <c r="K528" s="232">
        <f>'Cargo Econs 2026'!I185</f>
        <v>1.2999999999999972</v>
      </c>
      <c r="L528" s="315">
        <v>1.55</v>
      </c>
      <c r="M528" s="234">
        <f>-(K528-L528)*Table3[[#This Row],[Quantity]]</f>
        <v>175.00000000000202</v>
      </c>
      <c r="N528" s="227">
        <f t="shared" si="829"/>
        <v>909.99999999999795</v>
      </c>
      <c r="O528" s="235" t="str">
        <f t="shared" si="830"/>
        <v>Jun 26</v>
      </c>
      <c r="P528" s="236" t="str">
        <f t="shared" si="831"/>
        <v>Buy</v>
      </c>
      <c r="Q528" s="227">
        <f t="shared" si="832"/>
        <v>1085</v>
      </c>
      <c r="R528" s="227" t="str">
        <f>VLOOKUP(F528,Control!$B:$C,2,FALSE)</f>
        <v>Physical</v>
      </c>
      <c r="S528" s="227" t="str">
        <f>VLOOKUP(F528,Control!$B:$D,3,FALSE)</f>
        <v>Physical</v>
      </c>
      <c r="T528" s="38">
        <f t="shared" si="833"/>
        <v>2026</v>
      </c>
      <c r="U528" s="227" t="str">
        <f t="shared" si="834"/>
        <v>Buy</v>
      </c>
      <c r="V528" s="238" t="s">
        <v>96</v>
      </c>
      <c r="W528" s="227">
        <f>_xlfn.XLOOKUP(Table3[[#This Row],[Instrument]],Control!$B$2:$B$19,Control!$E$2:$E$19)</f>
        <v>0</v>
      </c>
      <c r="X528" s="235">
        <f>Table3[[#This Row],[Month1]]</f>
        <v>46203</v>
      </c>
      <c r="Y528" s="397">
        <f>Table3[[#This Row],[Quantity]]</f>
        <v>700</v>
      </c>
      <c r="Z528" s="227">
        <f>_xlfn.XLOOKUP(Table3[[#This Row],[Instrument]],Control!$B$2:$B$19,Control!$F$2:$F$19)</f>
        <v>0</v>
      </c>
      <c r="AA528" s="235">
        <f>Table3[[#This Row],[Month2]]</f>
        <v>46203</v>
      </c>
      <c r="AB528" s="398">
        <f t="shared" si="835"/>
        <v>-700</v>
      </c>
    </row>
    <row r="529" spans="4:28" ht="15" hidden="1" thickBot="1" x14ac:dyDescent="0.4">
      <c r="D529" s="239" t="s">
        <v>1744</v>
      </c>
      <c r="E529" s="174">
        <v>46147</v>
      </c>
      <c r="F529" s="10" t="s">
        <v>3</v>
      </c>
      <c r="G529" s="4" t="s">
        <v>268</v>
      </c>
      <c r="H529" s="253">
        <f t="shared" ref="H529:H531" si="836">-$H$528</f>
        <v>-700</v>
      </c>
      <c r="I529" s="172">
        <v>46203</v>
      </c>
      <c r="J529" s="172">
        <f>EOMONTH(Table3[[#This Row],[Month1]],1)</f>
        <v>46234</v>
      </c>
      <c r="K529" s="212">
        <v>3.86</v>
      </c>
      <c r="L529" s="7">
        <f ca="1">IF(OR(S529="WTI Sprds",S529="Brent Sprds",S529="WTI-Brent",S529="DFL"),INDEX(INDIRECT("'" &amp; S529 &amp; "'!$A$6:$XFD$1048576"),MATCH('PnL26'!$P$1,INDIRECT("'" &amp; S529 &amp; "'!$A$6:$A$1048576"),0),MATCH(EOMONTH(I529,0),INDIRECT("'" &amp; S529 &amp; "'!$A$4:$XFD$4"),0)),INDEX(BBG!$A:$BA,MATCH('PnL26'!$P$1,BBG!$A:$A,0),MATCH($I529,BBG!$A$4:$BA$4,0))-INDEX(BBG!$A:$BA,MATCH('PnL26'!$P$1,BBG!$A:$A,0),MATCH($J529,BBG!$A$4:$BA$4,0)))</f>
        <v>4.28</v>
      </c>
      <c r="M529" s="9">
        <f ca="1">-(K529-L529)*Table3[[#This Row],[Quantity]]</f>
        <v>-294.00000000000028</v>
      </c>
      <c r="N529">
        <f t="shared" si="829"/>
        <v>-2702</v>
      </c>
      <c r="O529" s="14" t="str">
        <f t="shared" si="830"/>
        <v>Jun/Jul 26</v>
      </c>
      <c r="P529" s="8" t="str">
        <f t="shared" si="831"/>
        <v>Sell</v>
      </c>
      <c r="Q529">
        <f t="shared" ca="1" si="832"/>
        <v>-2996</v>
      </c>
      <c r="R529" t="str">
        <f>VLOOKUP(F529,Control!$B:$C,2,FALSE)</f>
        <v>Futures</v>
      </c>
      <c r="S529" t="str">
        <f>VLOOKUP(F529,Control!$B:$D,3,FALSE)</f>
        <v>WTI Sprds</v>
      </c>
      <c r="T529" s="38">
        <f t="shared" si="833"/>
        <v>2026</v>
      </c>
      <c r="U529" t="str">
        <f t="shared" si="834"/>
        <v>Sell</v>
      </c>
      <c r="V529" s="240" t="s">
        <v>96</v>
      </c>
      <c r="W529" t="str">
        <f>_xlfn.XLOOKUP(Table3[[#This Row],[Instrument]],Control!$B$2:$B$19,Control!$E$2:$E$19)</f>
        <v>WTI</v>
      </c>
      <c r="X529" s="14">
        <f>Table3[[#This Row],[Month1]]</f>
        <v>46203</v>
      </c>
      <c r="Y529" s="350">
        <f>Table3[[#This Row],[Quantity]]</f>
        <v>-700</v>
      </c>
      <c r="Z529" t="str">
        <f>_xlfn.XLOOKUP(Table3[[#This Row],[Instrument]],Control!$B$2:$B$19,Control!$F$2:$F$19)</f>
        <v>WTI</v>
      </c>
      <c r="AA529" s="14">
        <f>Table3[[#This Row],[Month2]]</f>
        <v>46234</v>
      </c>
      <c r="AB529" s="399">
        <f t="shared" si="835"/>
        <v>700</v>
      </c>
    </row>
    <row r="530" spans="4:28" ht="15" hidden="1" thickBot="1" x14ac:dyDescent="0.4">
      <c r="D530" s="239" t="s">
        <v>1744</v>
      </c>
      <c r="E530" s="174">
        <v>46147</v>
      </c>
      <c r="F530" s="10" t="s">
        <v>3</v>
      </c>
      <c r="G530" s="4" t="s">
        <v>268</v>
      </c>
      <c r="H530" s="253">
        <f t="shared" si="836"/>
        <v>-700</v>
      </c>
      <c r="I530" s="172">
        <f>J529</f>
        <v>46234</v>
      </c>
      <c r="J530" s="172">
        <f>EOMONTH(Table3[[#This Row],[Month1]],1)</f>
        <v>46265</v>
      </c>
      <c r="K530" s="212">
        <v>4.3899999999999997</v>
      </c>
      <c r="L530" s="7">
        <f ca="1">IF(OR(S530="WTI Sprds",S530="Brent Sprds",S530="WTI-Brent",S530="DFL"),INDEX(INDIRECT("'" &amp; S530 &amp; "'!$A$6:$XFD$1048576"),MATCH('PnL26'!$P$1,INDIRECT("'" &amp; S530 &amp; "'!$A$6:$A$1048576"),0),MATCH(EOMONTH(I530,0),INDIRECT("'" &amp; S530 &amp; "'!$A$4:$XFD$4"),0)),INDEX(BBG!$A:$BA,MATCH('PnL26'!$P$1,BBG!$A:$A,0),MATCH($I530,BBG!$A$4:$BA$4,0))-INDEX(BBG!$A:$BA,MATCH('PnL26'!$P$1,BBG!$A:$A,0),MATCH($J530,BBG!$A$4:$BA$4,0)))</f>
        <v>0.75</v>
      </c>
      <c r="M530" s="9">
        <f ca="1">-(K530-L530)*Table3[[#This Row],[Quantity]]</f>
        <v>2548</v>
      </c>
      <c r="N530">
        <f t="shared" si="829"/>
        <v>-3073</v>
      </c>
      <c r="O530" s="14" t="str">
        <f t="shared" si="830"/>
        <v>Jul/Aug 26</v>
      </c>
      <c r="P530" s="8" t="str">
        <f t="shared" si="831"/>
        <v>Sell</v>
      </c>
      <c r="Q530">
        <f t="shared" ca="1" si="832"/>
        <v>-525</v>
      </c>
      <c r="R530" t="str">
        <f>VLOOKUP(F530,Control!$B:$C,2,FALSE)</f>
        <v>Futures</v>
      </c>
      <c r="S530" t="str">
        <f>VLOOKUP(F530,Control!$B:$D,3,FALSE)</f>
        <v>WTI Sprds</v>
      </c>
      <c r="T530" s="38">
        <f t="shared" si="833"/>
        <v>2026</v>
      </c>
      <c r="U530" t="str">
        <f t="shared" si="834"/>
        <v>Sell</v>
      </c>
      <c r="V530" s="240" t="s">
        <v>96</v>
      </c>
      <c r="W530" t="str">
        <f>_xlfn.XLOOKUP(Table3[[#This Row],[Instrument]],Control!$B$2:$B$19,Control!$E$2:$E$19)</f>
        <v>WTI</v>
      </c>
      <c r="X530" s="14">
        <f>Table3[[#This Row],[Month1]]</f>
        <v>46234</v>
      </c>
      <c r="Y530" s="350">
        <f>Table3[[#This Row],[Quantity]]</f>
        <v>-700</v>
      </c>
      <c r="Z530" t="str">
        <f>_xlfn.XLOOKUP(Table3[[#This Row],[Instrument]],Control!$B$2:$B$19,Control!$F$2:$F$19)</f>
        <v>WTI</v>
      </c>
      <c r="AA530" s="14">
        <f>Table3[[#This Row],[Month2]]</f>
        <v>46265</v>
      </c>
      <c r="AB530" s="399">
        <f t="shared" si="835"/>
        <v>700</v>
      </c>
    </row>
    <row r="531" spans="4:28" ht="15" hidden="1" thickBot="1" x14ac:dyDescent="0.4">
      <c r="D531" s="239" t="s">
        <v>1744</v>
      </c>
      <c r="E531" s="174">
        <v>46147</v>
      </c>
      <c r="F531" s="10" t="s">
        <v>10</v>
      </c>
      <c r="G531" s="4" t="s">
        <v>268</v>
      </c>
      <c r="H531" s="253">
        <f t="shared" si="836"/>
        <v>-700</v>
      </c>
      <c r="I531" s="172">
        <f>J530</f>
        <v>46265</v>
      </c>
      <c r="J531" s="172">
        <f>Table3[[#This Row],[Month1]]</f>
        <v>46265</v>
      </c>
      <c r="K531" s="212">
        <v>-11.55</v>
      </c>
      <c r="L531" s="7">
        <f ca="1">IF(OR(S531="WTI Sprds",S531="Brent Sprds",S531="WTI-Brent",S531="DFL"),INDEX(INDIRECT("'" &amp; S531 &amp; "'!$A$6:$XFD$1048576"),MATCH('PnL26'!$P$1,INDIRECT("'" &amp; S531 &amp; "'!$A$6:$A$1048576"),0),MATCH(EOMONTH(I531,0),INDIRECT("'" &amp; S531 &amp; "'!$A$4:$XFD$4"),0)),INDEX(BBG!$A:$BA,MATCH('PnL26'!$P$1,BBG!$A:$A,0),MATCH($I531,BBG!$A$4:$BA$4,0))-INDEX(BBG!$A:$BA,MATCH('PnL26'!$P$1,BBG!$A:$A,0),MATCH($J531,BBG!$A$4:$BA$4,0)))</f>
        <v>-3.42</v>
      </c>
      <c r="M531" s="9">
        <f ca="1">-(K531-L531)*Table3[[#This Row],[Quantity]]</f>
        <v>-5691.0000000000009</v>
      </c>
      <c r="N531">
        <f t="shared" si="829"/>
        <v>8085.0000000000009</v>
      </c>
      <c r="O531" s="14" t="str">
        <f t="shared" si="830"/>
        <v>Aug 26</v>
      </c>
      <c r="P531" s="8" t="str">
        <f t="shared" si="831"/>
        <v>Sell</v>
      </c>
      <c r="Q531">
        <f t="shared" ca="1" si="832"/>
        <v>2394</v>
      </c>
      <c r="R531" t="str">
        <f>VLOOKUP(F531,Control!$B:$C,2,FALSE)</f>
        <v>Swaps</v>
      </c>
      <c r="S531" t="str">
        <f>VLOOKUP(F531,Control!$B:$D,3,FALSE)</f>
        <v>WTI-Brent</v>
      </c>
      <c r="T531" s="38">
        <f t="shared" si="833"/>
        <v>2026</v>
      </c>
      <c r="U531" t="str">
        <f t="shared" si="834"/>
        <v>Sell</v>
      </c>
      <c r="V531" s="240" t="s">
        <v>96</v>
      </c>
      <c r="W531" t="str">
        <f>_xlfn.XLOOKUP(Table3[[#This Row],[Instrument]],Control!$B$2:$B$19,Control!$E$2:$E$19)</f>
        <v>WTI</v>
      </c>
      <c r="X531" s="14">
        <f>Table3[[#This Row],[Month1]]</f>
        <v>46265</v>
      </c>
      <c r="Y531" s="350">
        <f>Table3[[#This Row],[Quantity]]</f>
        <v>-700</v>
      </c>
      <c r="Z531" t="str">
        <f>_xlfn.XLOOKUP(Table3[[#This Row],[Instrument]],Control!$B$2:$B$19,Control!$F$2:$F$19)</f>
        <v>Brent</v>
      </c>
      <c r="AA531" s="14">
        <f>Table3[[#This Row],[Month2]]</f>
        <v>46265</v>
      </c>
      <c r="AB531" s="399">
        <f t="shared" si="835"/>
        <v>700</v>
      </c>
    </row>
    <row r="532" spans="4:28" ht="15" hidden="1" thickBot="1" x14ac:dyDescent="0.4">
      <c r="D532" s="239" t="s">
        <v>1744</v>
      </c>
      <c r="E532" s="174">
        <v>46149</v>
      </c>
      <c r="F532" s="10" t="s">
        <v>3</v>
      </c>
      <c r="G532" s="4" t="s">
        <v>128</v>
      </c>
      <c r="H532" s="253">
        <v>211</v>
      </c>
      <c r="I532" s="172">
        <v>46203</v>
      </c>
      <c r="J532" s="172">
        <f>EOMONTH(Table3[[#This Row],[Month1]],1)</f>
        <v>46234</v>
      </c>
      <c r="K532" s="212">
        <v>3.74</v>
      </c>
      <c r="L532" s="7">
        <f ca="1">IF(OR(S532="WTI Sprds",S532="Brent Sprds",S532="WTI-Brent",S532="DFL"),INDEX(INDIRECT("'" &amp; S532 &amp; "'!$A$6:$XFD$1048576"),MATCH('PnL26'!$P$1,INDIRECT("'" &amp; S532 &amp; "'!$A$6:$A$1048576"),0),MATCH(EOMONTH(I532,0),INDIRECT("'" &amp; S532 &amp; "'!$A$4:$XFD$4"),0)),INDEX(BBG!$A:$BA,MATCH('PnL26'!$P$1,BBG!$A:$A,0),MATCH($I532,BBG!$A$4:$BA$4,0))-INDEX(BBG!$A:$BA,MATCH('PnL26'!$P$1,BBG!$A:$A,0),MATCH($J532,BBG!$A$4:$BA$4,0)))</f>
        <v>4.28</v>
      </c>
      <c r="M532" s="9">
        <f ca="1">-(K532-L532)*Table3[[#This Row],[Quantity]]</f>
        <v>113.94000000000001</v>
      </c>
      <c r="N532">
        <f t="shared" ref="N532" si="837">H532*K532</f>
        <v>789.1400000000001</v>
      </c>
      <c r="O532" s="14" t="str">
        <f t="shared" ref="O532" si="838">IF(I532=J532,TEXT(I532,"MMM YY"),TEXT(I532,"MMM")&amp;"/"&amp;TEXT(J532,"MMM")&amp;" "&amp;RIGHT(T532,2))</f>
        <v>Jun/Jul 26</v>
      </c>
      <c r="P532" s="8" t="str">
        <f t="shared" ref="P532" si="839">IF(H532&lt;0,"Sell","Buy")</f>
        <v>Buy</v>
      </c>
      <c r="Q532">
        <f t="shared" ref="Q532" ca="1" si="840">H532*L532</f>
        <v>903.08</v>
      </c>
      <c r="R532" t="str">
        <f>VLOOKUP(F532,Control!$B:$C,2,FALSE)</f>
        <v>Futures</v>
      </c>
      <c r="S532" t="str">
        <f>VLOOKUP(F532,Control!$B:$D,3,FALSE)</f>
        <v>WTI Sprds</v>
      </c>
      <c r="T532" s="38">
        <f t="shared" ref="T532" si="841">YEAR(I532)</f>
        <v>2026</v>
      </c>
      <c r="U532" t="str">
        <f t="shared" ref="U532" si="842">IFERROR(IF(H532&gt;0,"Buy","Sell"),"")</f>
        <v>Buy</v>
      </c>
      <c r="V532" s="240" t="s">
        <v>96</v>
      </c>
      <c r="W532" t="str">
        <f>_xlfn.XLOOKUP(Table3[[#This Row],[Instrument]],Control!$B$2:$B$19,Control!$E$2:$E$19)</f>
        <v>WTI</v>
      </c>
      <c r="X532" s="14">
        <f>Table3[[#This Row],[Month1]]</f>
        <v>46203</v>
      </c>
      <c r="Y532" s="350">
        <f>Table3[[#This Row],[Quantity]]</f>
        <v>211</v>
      </c>
      <c r="Z532" t="str">
        <f>_xlfn.XLOOKUP(Table3[[#This Row],[Instrument]],Control!$B$2:$B$19,Control!$F$2:$F$19)</f>
        <v>WTI</v>
      </c>
      <c r="AA532" s="14">
        <f>Table3[[#This Row],[Month2]]</f>
        <v>46234</v>
      </c>
      <c r="AB532" s="399">
        <f t="shared" ref="AB532" si="843">-Y532</f>
        <v>-211</v>
      </c>
    </row>
    <row r="533" spans="4:28" ht="15" hidden="1" thickBot="1" x14ac:dyDescent="0.4">
      <c r="D533" s="239" t="s">
        <v>1744</v>
      </c>
      <c r="E533" s="174">
        <v>46149</v>
      </c>
      <c r="F533" s="10" t="s">
        <v>3</v>
      </c>
      <c r="G533" s="4" t="s">
        <v>128</v>
      </c>
      <c r="H533" s="253">
        <v>60</v>
      </c>
      <c r="I533" s="172">
        <v>46234</v>
      </c>
      <c r="J533" s="172">
        <f>EOMONTH(Table3[[#This Row],[Month1]],1)</f>
        <v>46265</v>
      </c>
      <c r="K533" s="212">
        <v>3.74</v>
      </c>
      <c r="L533" s="7">
        <f ca="1">IF(OR(S533="WTI Sprds",S533="Brent Sprds",S533="WTI-Brent",S533="DFL"),INDEX(INDIRECT("'" &amp; S533 &amp; "'!$A$6:$XFD$1048576"),MATCH('PnL26'!$P$1,INDIRECT("'" &amp; S533 &amp; "'!$A$6:$A$1048576"),0),MATCH(EOMONTH(I533,0),INDIRECT("'" &amp; S533 &amp; "'!$A$4:$XFD$4"),0)),INDEX(BBG!$A:$BA,MATCH('PnL26'!$P$1,BBG!$A:$A,0),MATCH($I533,BBG!$A$4:$BA$4,0))-INDEX(BBG!$A:$BA,MATCH('PnL26'!$P$1,BBG!$A:$A,0),MATCH($J533,BBG!$A$4:$BA$4,0)))</f>
        <v>0.75</v>
      </c>
      <c r="M533" s="9">
        <f ca="1">-(K533-L533)*Table3[[#This Row],[Quantity]]</f>
        <v>-179.4</v>
      </c>
      <c r="N533">
        <f t="shared" ref="N533:N534" si="844">H533*K533</f>
        <v>224.4</v>
      </c>
      <c r="O533" s="14" t="str">
        <f t="shared" ref="O533:O534" si="845">IF(I533=J533,TEXT(I533,"MMM YY"),TEXT(I533,"MMM")&amp;"/"&amp;TEXT(J533,"MMM")&amp;" "&amp;RIGHT(T533,2))</f>
        <v>Jul/Aug 26</v>
      </c>
      <c r="P533" s="8" t="str">
        <f t="shared" ref="P533:P534" si="846">IF(H533&lt;0,"Sell","Buy")</f>
        <v>Buy</v>
      </c>
      <c r="Q533">
        <f t="shared" ref="Q533:Q534" ca="1" si="847">H533*L533</f>
        <v>45</v>
      </c>
      <c r="R533" t="str">
        <f>VLOOKUP(F533,Control!$B:$C,2,FALSE)</f>
        <v>Futures</v>
      </c>
      <c r="S533" t="str">
        <f>VLOOKUP(F533,Control!$B:$D,3,FALSE)</f>
        <v>WTI Sprds</v>
      </c>
      <c r="T533" s="38">
        <f t="shared" ref="T533:T534" si="848">YEAR(I533)</f>
        <v>2026</v>
      </c>
      <c r="U533" t="str">
        <f t="shared" ref="U533:U534" si="849">IFERROR(IF(H533&gt;0,"Buy","Sell"),"")</f>
        <v>Buy</v>
      </c>
      <c r="V533" s="240" t="s">
        <v>96</v>
      </c>
      <c r="W533" t="str">
        <f>_xlfn.XLOOKUP(Table3[[#This Row],[Instrument]],Control!$B$2:$B$19,Control!$E$2:$E$19)</f>
        <v>WTI</v>
      </c>
      <c r="X533" s="14">
        <f>Table3[[#This Row],[Month1]]</f>
        <v>46234</v>
      </c>
      <c r="Y533" s="350">
        <f>Table3[[#This Row],[Quantity]]</f>
        <v>60</v>
      </c>
      <c r="Z533" t="str">
        <f>_xlfn.XLOOKUP(Table3[[#This Row],[Instrument]],Control!$B$2:$B$19,Control!$F$2:$F$19)</f>
        <v>WTI</v>
      </c>
      <c r="AA533" s="14">
        <f>Table3[[#This Row],[Month2]]</f>
        <v>46265</v>
      </c>
      <c r="AB533" s="399">
        <f t="shared" ref="AB533:AB534" si="850">-Y533</f>
        <v>-60</v>
      </c>
    </row>
    <row r="534" spans="4:28" ht="15" hidden="1" thickBot="1" x14ac:dyDescent="0.4">
      <c r="D534" s="239" t="s">
        <v>1744</v>
      </c>
      <c r="E534" s="174">
        <v>46149</v>
      </c>
      <c r="F534" s="10" t="s">
        <v>3</v>
      </c>
      <c r="G534" s="4" t="s">
        <v>128</v>
      </c>
      <c r="H534" s="253">
        <v>500</v>
      </c>
      <c r="I534" s="172">
        <v>46203</v>
      </c>
      <c r="J534" s="172">
        <f>EOMONTH(Table3[[#This Row],[Month1]],1)</f>
        <v>46234</v>
      </c>
      <c r="K534" s="212">
        <v>3.74</v>
      </c>
      <c r="L534" s="7">
        <f ca="1">IF(OR(S534="WTI Sprds",S534="Brent Sprds",S534="WTI-Brent",S534="DFL"),INDEX(INDIRECT("'" &amp; S534 &amp; "'!$A$6:$XFD$1048576"),MATCH('PnL26'!$P$1,INDIRECT("'" &amp; S534 &amp; "'!$A$6:$A$1048576"),0),MATCH(EOMONTH(I534,0),INDIRECT("'" &amp; S534 &amp; "'!$A$4:$XFD$4"),0)),INDEX(BBG!$A:$BA,MATCH('PnL26'!$P$1,BBG!$A:$A,0),MATCH($I534,BBG!$A$4:$BA$4,0))-INDEX(BBG!$A:$BA,MATCH('PnL26'!$P$1,BBG!$A:$A,0),MATCH($J534,BBG!$A$4:$BA$4,0)))</f>
        <v>4.28</v>
      </c>
      <c r="M534" s="9">
        <f ca="1">-(K534-L534)*Table3[[#This Row],[Quantity]]</f>
        <v>270</v>
      </c>
      <c r="N534">
        <f t="shared" si="844"/>
        <v>1870</v>
      </c>
      <c r="O534" s="14" t="str">
        <f t="shared" si="845"/>
        <v>Jun/Jul 26</v>
      </c>
      <c r="P534" s="8" t="str">
        <f t="shared" si="846"/>
        <v>Buy</v>
      </c>
      <c r="Q534">
        <f t="shared" ca="1" si="847"/>
        <v>2140</v>
      </c>
      <c r="R534" t="str">
        <f>VLOOKUP(F534,Control!$B:$C,2,FALSE)</f>
        <v>Futures</v>
      </c>
      <c r="S534" t="str">
        <f>VLOOKUP(F534,Control!$B:$D,3,FALSE)</f>
        <v>WTI Sprds</v>
      </c>
      <c r="T534" s="38">
        <f t="shared" si="848"/>
        <v>2026</v>
      </c>
      <c r="U534" t="str">
        <f t="shared" si="849"/>
        <v>Buy</v>
      </c>
      <c r="V534" s="240" t="s">
        <v>96</v>
      </c>
      <c r="W534" t="str">
        <f>_xlfn.XLOOKUP(Table3[[#This Row],[Instrument]],Control!$B$2:$B$19,Control!$E$2:$E$19)</f>
        <v>WTI</v>
      </c>
      <c r="X534" s="14">
        <f>Table3[[#This Row],[Month1]]</f>
        <v>46203</v>
      </c>
      <c r="Y534" s="350">
        <f>Table3[[#This Row],[Quantity]]</f>
        <v>500</v>
      </c>
      <c r="Z534" t="str">
        <f>_xlfn.XLOOKUP(Table3[[#This Row],[Instrument]],Control!$B$2:$B$19,Control!$F$2:$F$19)</f>
        <v>WTI</v>
      </c>
      <c r="AA534" s="14">
        <f>Table3[[#This Row],[Month2]]</f>
        <v>46234</v>
      </c>
      <c r="AB534" s="399">
        <f t="shared" si="850"/>
        <v>-500</v>
      </c>
    </row>
    <row r="535" spans="4:28" ht="15" hidden="1" thickBot="1" x14ac:dyDescent="0.4">
      <c r="D535" s="239" t="s">
        <v>1744</v>
      </c>
      <c r="E535" s="174">
        <v>46149</v>
      </c>
      <c r="F535" s="10" t="s">
        <v>3</v>
      </c>
      <c r="G535" s="4" t="s">
        <v>128</v>
      </c>
      <c r="H535" s="253">
        <v>500</v>
      </c>
      <c r="I535" s="172">
        <v>46234</v>
      </c>
      <c r="J535" s="172">
        <f>EOMONTH(Table3[[#This Row],[Month1]],1)</f>
        <v>46265</v>
      </c>
      <c r="K535" s="212">
        <v>3.74</v>
      </c>
      <c r="L535" s="7">
        <f ca="1">IF(OR(S535="WTI Sprds",S535="Brent Sprds",S535="WTI-Brent",S535="DFL"),INDEX(INDIRECT("'" &amp; S535 &amp; "'!$A$6:$XFD$1048576"),MATCH('PnL26'!$P$1,INDIRECT("'" &amp; S535 &amp; "'!$A$6:$A$1048576"),0),MATCH(EOMONTH(I535,0),INDIRECT("'" &amp; S535 &amp; "'!$A$4:$XFD$4"),0)),INDEX(BBG!$A:$BA,MATCH('PnL26'!$P$1,BBG!$A:$A,0),MATCH($I535,BBG!$A$4:$BA$4,0))-INDEX(BBG!$A:$BA,MATCH('PnL26'!$P$1,BBG!$A:$A,0),MATCH($J535,BBG!$A$4:$BA$4,0)))</f>
        <v>0.75</v>
      </c>
      <c r="M535" s="9">
        <f ca="1">-(K535-L535)*Table3[[#This Row],[Quantity]]</f>
        <v>-1495</v>
      </c>
      <c r="N535">
        <f t="shared" ref="N535:N536" si="851">H535*K535</f>
        <v>1870</v>
      </c>
      <c r="O535" s="14" t="str">
        <f t="shared" ref="O535:O536" si="852">IF(I535=J535,TEXT(I535,"MMM YY"),TEXT(I535,"MMM")&amp;"/"&amp;TEXT(J535,"MMM")&amp;" "&amp;RIGHT(T535,2))</f>
        <v>Jul/Aug 26</v>
      </c>
      <c r="P535" s="8" t="str">
        <f t="shared" ref="P535:P536" si="853">IF(H535&lt;0,"Sell","Buy")</f>
        <v>Buy</v>
      </c>
      <c r="Q535">
        <f t="shared" ref="Q535:Q536" ca="1" si="854">H535*L535</f>
        <v>375</v>
      </c>
      <c r="R535" t="str">
        <f>VLOOKUP(F535,Control!$B:$C,2,FALSE)</f>
        <v>Futures</v>
      </c>
      <c r="S535" t="str">
        <f>VLOOKUP(F535,Control!$B:$D,3,FALSE)</f>
        <v>WTI Sprds</v>
      </c>
      <c r="T535" s="38">
        <f t="shared" ref="T535:T536" si="855">YEAR(I535)</f>
        <v>2026</v>
      </c>
      <c r="U535" t="str">
        <f t="shared" ref="U535:U536" si="856">IFERROR(IF(H535&gt;0,"Buy","Sell"),"")</f>
        <v>Buy</v>
      </c>
      <c r="V535" s="240" t="s">
        <v>96</v>
      </c>
      <c r="W535" t="str">
        <f>_xlfn.XLOOKUP(Table3[[#This Row],[Instrument]],Control!$B$2:$B$19,Control!$E$2:$E$19)</f>
        <v>WTI</v>
      </c>
      <c r="X535" s="14">
        <f>Table3[[#This Row],[Month1]]</f>
        <v>46234</v>
      </c>
      <c r="Y535" s="350">
        <f>Table3[[#This Row],[Quantity]]</f>
        <v>500</v>
      </c>
      <c r="Z535" t="str">
        <f>_xlfn.XLOOKUP(Table3[[#This Row],[Instrument]],Control!$B$2:$B$19,Control!$F$2:$F$19)</f>
        <v>WTI</v>
      </c>
      <c r="AA535" s="14">
        <f>Table3[[#This Row],[Month2]]</f>
        <v>46265</v>
      </c>
      <c r="AB535" s="399">
        <f t="shared" ref="AB535:AB536" si="857">-Y535</f>
        <v>-500</v>
      </c>
    </row>
    <row r="536" spans="4:28" ht="15" hidden="1" thickBot="1" x14ac:dyDescent="0.4">
      <c r="D536" s="239" t="s">
        <v>1744</v>
      </c>
      <c r="E536" s="174">
        <v>46149</v>
      </c>
      <c r="F536" s="10" t="s">
        <v>10</v>
      </c>
      <c r="G536" s="4" t="s">
        <v>128</v>
      </c>
      <c r="H536" s="253">
        <v>-310</v>
      </c>
      <c r="I536" s="172">
        <f>J535</f>
        <v>46265</v>
      </c>
      <c r="J536" s="172">
        <f>Table3[[#This Row],[Month1]]</f>
        <v>46265</v>
      </c>
      <c r="K536" s="212">
        <v>-8.75</v>
      </c>
      <c r="L536" s="7">
        <f ca="1">IF(OR(S536="WTI Sprds",S536="Brent Sprds",S536="WTI-Brent",S536="DFL"),INDEX(INDIRECT("'" &amp; S536 &amp; "'!$A$6:$XFD$1048576"),MATCH('PnL26'!$P$1,INDIRECT("'" &amp; S536 &amp; "'!$A$6:$A$1048576"),0),MATCH(EOMONTH(I536,0),INDIRECT("'" &amp; S536 &amp; "'!$A$4:$XFD$4"),0)),INDEX(BBG!$A:$BA,MATCH('PnL26'!$P$1,BBG!$A:$A,0),MATCH($I536,BBG!$A$4:$BA$4,0))-INDEX(BBG!$A:$BA,MATCH('PnL26'!$P$1,BBG!$A:$A,0),MATCH($J536,BBG!$A$4:$BA$4,0)))</f>
        <v>-3.42</v>
      </c>
      <c r="M536" s="9">
        <f ca="1">-(K536-L536)*Table3[[#This Row],[Quantity]]</f>
        <v>-1652.3</v>
      </c>
      <c r="N536">
        <f t="shared" si="851"/>
        <v>2712.5</v>
      </c>
      <c r="O536" s="14" t="str">
        <f t="shared" si="852"/>
        <v>Aug 26</v>
      </c>
      <c r="P536" s="8" t="str">
        <f t="shared" si="853"/>
        <v>Sell</v>
      </c>
      <c r="Q536">
        <f t="shared" ca="1" si="854"/>
        <v>1060.2</v>
      </c>
      <c r="R536" t="str">
        <f>VLOOKUP(F536,Control!$B:$C,2,FALSE)</f>
        <v>Swaps</v>
      </c>
      <c r="S536" t="str">
        <f>VLOOKUP(F536,Control!$B:$D,3,FALSE)</f>
        <v>WTI-Brent</v>
      </c>
      <c r="T536" s="38">
        <f t="shared" si="855"/>
        <v>2026</v>
      </c>
      <c r="U536" t="str">
        <f t="shared" si="856"/>
        <v>Sell</v>
      </c>
      <c r="V536" s="240" t="s">
        <v>96</v>
      </c>
      <c r="W536" t="str">
        <f>_xlfn.XLOOKUP(Table3[[#This Row],[Instrument]],Control!$B$2:$B$19,Control!$E$2:$E$19)</f>
        <v>WTI</v>
      </c>
      <c r="X536" s="14">
        <f>Table3[[#This Row],[Month1]]</f>
        <v>46265</v>
      </c>
      <c r="Y536" s="350">
        <f>Table3[[#This Row],[Quantity]]</f>
        <v>-310</v>
      </c>
      <c r="Z536" t="str">
        <f>_xlfn.XLOOKUP(Table3[[#This Row],[Instrument]],Control!$B$2:$B$19,Control!$F$2:$F$19)</f>
        <v>Brent</v>
      </c>
      <c r="AA536" s="14">
        <f>Table3[[#This Row],[Month2]]</f>
        <v>46265</v>
      </c>
      <c r="AB536" s="399">
        <f t="shared" si="857"/>
        <v>310</v>
      </c>
    </row>
    <row r="537" spans="4:28" ht="15" hidden="1" thickBot="1" x14ac:dyDescent="0.4">
      <c r="D537" s="239" t="s">
        <v>1744</v>
      </c>
      <c r="E537" s="174">
        <v>46149</v>
      </c>
      <c r="F537" s="10" t="s">
        <v>10</v>
      </c>
      <c r="G537" s="4" t="s">
        <v>128</v>
      </c>
      <c r="H537" s="253">
        <v>110</v>
      </c>
      <c r="I537" s="172">
        <f>J536</f>
        <v>46265</v>
      </c>
      <c r="J537" s="172">
        <f>Table3[[#This Row],[Month1]]</f>
        <v>46265</v>
      </c>
      <c r="K537" s="212">
        <v>-9.24</v>
      </c>
      <c r="L537" s="7">
        <f ca="1">IF(OR(S537="WTI Sprds",S537="Brent Sprds",S537="WTI-Brent",S537="DFL"),INDEX(INDIRECT("'" &amp; S537 &amp; "'!$A$6:$XFD$1048576"),MATCH('PnL26'!$P$1,INDIRECT("'" &amp; S537 &amp; "'!$A$6:$A$1048576"),0),MATCH(EOMONTH(I537,0),INDIRECT("'" &amp; S537 &amp; "'!$A$4:$XFD$4"),0)),INDEX(BBG!$A:$BA,MATCH('PnL26'!$P$1,BBG!$A:$A,0),MATCH($I537,BBG!$A$4:$BA$4,0))-INDEX(BBG!$A:$BA,MATCH('PnL26'!$P$1,BBG!$A:$A,0),MATCH($J537,BBG!$A$4:$BA$4,0)))</f>
        <v>-3.42</v>
      </c>
      <c r="M537" s="9">
        <f ca="1">-(K537-L537)*Table3[[#This Row],[Quantity]]</f>
        <v>640.20000000000005</v>
      </c>
      <c r="N537">
        <f t="shared" ref="N537" si="858">H537*K537</f>
        <v>-1016.4</v>
      </c>
      <c r="O537" s="14" t="str">
        <f t="shared" ref="O537" si="859">IF(I537=J537,TEXT(I537,"MMM YY"),TEXT(I537,"MMM")&amp;"/"&amp;TEXT(J537,"MMM")&amp;" "&amp;RIGHT(T537,2))</f>
        <v>Aug 26</v>
      </c>
      <c r="P537" s="8" t="str">
        <f t="shared" ref="P537" si="860">IF(H537&lt;0,"Sell","Buy")</f>
        <v>Buy</v>
      </c>
      <c r="Q537">
        <f t="shared" ref="Q537" ca="1" si="861">H537*L537</f>
        <v>-376.2</v>
      </c>
      <c r="R537" t="str">
        <f>VLOOKUP(F537,Control!$B:$C,2,FALSE)</f>
        <v>Swaps</v>
      </c>
      <c r="S537" t="str">
        <f>VLOOKUP(F537,Control!$B:$D,3,FALSE)</f>
        <v>WTI-Brent</v>
      </c>
      <c r="T537" s="38">
        <f t="shared" ref="T537" si="862">YEAR(I537)</f>
        <v>2026</v>
      </c>
      <c r="U537" t="str">
        <f t="shared" ref="U537" si="863">IFERROR(IF(H537&gt;0,"Buy","Sell"),"")</f>
        <v>Buy</v>
      </c>
      <c r="V537" s="240" t="s">
        <v>96</v>
      </c>
      <c r="W537" t="str">
        <f>_xlfn.XLOOKUP(Table3[[#This Row],[Instrument]],Control!$B$2:$B$19,Control!$E$2:$E$19)</f>
        <v>WTI</v>
      </c>
      <c r="X537" s="14">
        <f>Table3[[#This Row],[Month1]]</f>
        <v>46265</v>
      </c>
      <c r="Y537" s="350">
        <f>Table3[[#This Row],[Quantity]]</f>
        <v>110</v>
      </c>
      <c r="Z537" t="str">
        <f>_xlfn.XLOOKUP(Table3[[#This Row],[Instrument]],Control!$B$2:$B$19,Control!$F$2:$F$19)</f>
        <v>Brent</v>
      </c>
      <c r="AA537" s="14">
        <f>Table3[[#This Row],[Month2]]</f>
        <v>46265</v>
      </c>
      <c r="AB537" s="399">
        <f t="shared" ref="AB537" si="864">-Y537</f>
        <v>-110</v>
      </c>
    </row>
    <row r="538" spans="4:28" ht="15" hidden="1" thickBot="1" x14ac:dyDescent="0.4">
      <c r="D538" s="239" t="s">
        <v>1744</v>
      </c>
      <c r="E538" s="174">
        <v>46149</v>
      </c>
      <c r="F538" s="10" t="s">
        <v>10</v>
      </c>
      <c r="G538" s="4" t="s">
        <v>128</v>
      </c>
      <c r="H538" s="253">
        <v>200</v>
      </c>
      <c r="I538" s="172">
        <f>J537</f>
        <v>46265</v>
      </c>
      <c r="J538" s="172">
        <f>Table3[[#This Row],[Month1]]</f>
        <v>46265</v>
      </c>
      <c r="K538" s="212">
        <v>-9.0500000000000007</v>
      </c>
      <c r="L538" s="7">
        <f ca="1">IF(OR(S538="WTI Sprds",S538="Brent Sprds",S538="WTI-Brent",S538="DFL"),INDEX(INDIRECT("'" &amp; S538 &amp; "'!$A$6:$XFD$1048576"),MATCH('PnL26'!$P$1,INDIRECT("'" &amp; S538 &amp; "'!$A$6:$A$1048576"),0),MATCH(EOMONTH(I538,0),INDIRECT("'" &amp; S538 &amp; "'!$A$4:$XFD$4"),0)),INDEX(BBG!$A:$BA,MATCH('PnL26'!$P$1,BBG!$A:$A,0),MATCH($I538,BBG!$A$4:$BA$4,0))-INDEX(BBG!$A:$BA,MATCH('PnL26'!$P$1,BBG!$A:$A,0),MATCH($J538,BBG!$A$4:$BA$4,0)))</f>
        <v>-3.42</v>
      </c>
      <c r="M538" s="9">
        <f ca="1">-(K538-L538)*Table3[[#This Row],[Quantity]]</f>
        <v>1126.0000000000002</v>
      </c>
      <c r="N538">
        <f t="shared" ref="N538:N539" si="865">H538*K538</f>
        <v>-1810.0000000000002</v>
      </c>
      <c r="O538" s="14" t="str">
        <f t="shared" ref="O538:O539" si="866">IF(I538=J538,TEXT(I538,"MMM YY"),TEXT(I538,"MMM")&amp;"/"&amp;TEXT(J538,"MMM")&amp;" "&amp;RIGHT(T538,2))</f>
        <v>Aug 26</v>
      </c>
      <c r="P538" s="8" t="str">
        <f t="shared" ref="P538:P539" si="867">IF(H538&lt;0,"Sell","Buy")</f>
        <v>Buy</v>
      </c>
      <c r="Q538">
        <f t="shared" ref="Q538:Q539" ca="1" si="868">H538*L538</f>
        <v>-684</v>
      </c>
      <c r="R538" t="str">
        <f>VLOOKUP(F538,Control!$B:$C,2,FALSE)</f>
        <v>Swaps</v>
      </c>
      <c r="S538" t="str">
        <f>VLOOKUP(F538,Control!$B:$D,3,FALSE)</f>
        <v>WTI-Brent</v>
      </c>
      <c r="T538" s="38">
        <f t="shared" ref="T538:T539" si="869">YEAR(I538)</f>
        <v>2026</v>
      </c>
      <c r="U538" t="str">
        <f t="shared" ref="U538:U539" si="870">IFERROR(IF(H538&gt;0,"Buy","Sell"),"")</f>
        <v>Buy</v>
      </c>
      <c r="V538" s="240" t="s">
        <v>96</v>
      </c>
      <c r="W538" t="str">
        <f>_xlfn.XLOOKUP(Table3[[#This Row],[Instrument]],Control!$B$2:$B$19,Control!$E$2:$E$19)</f>
        <v>WTI</v>
      </c>
      <c r="X538" s="14">
        <f>Table3[[#This Row],[Month1]]</f>
        <v>46265</v>
      </c>
      <c r="Y538" s="350">
        <f>Table3[[#This Row],[Quantity]]</f>
        <v>200</v>
      </c>
      <c r="Z538" t="str">
        <f>_xlfn.XLOOKUP(Table3[[#This Row],[Instrument]],Control!$B$2:$B$19,Control!$F$2:$F$19)</f>
        <v>Brent</v>
      </c>
      <c r="AA538" s="14">
        <f>Table3[[#This Row],[Month2]]</f>
        <v>46265</v>
      </c>
      <c r="AB538" s="399">
        <f t="shared" ref="AB538:AB539" si="871">-Y538</f>
        <v>-200</v>
      </c>
    </row>
    <row r="539" spans="4:28" ht="15" hidden="1" thickBot="1" x14ac:dyDescent="0.4">
      <c r="D539" s="239" t="s">
        <v>127</v>
      </c>
      <c r="E539" s="174">
        <v>46149</v>
      </c>
      <c r="F539" s="10" t="s">
        <v>7</v>
      </c>
      <c r="G539" s="4" t="s">
        <v>128</v>
      </c>
      <c r="H539" s="253">
        <v>100</v>
      </c>
      <c r="I539" s="172">
        <v>46234</v>
      </c>
      <c r="J539" s="172">
        <f>EOMONTH(Table3[[#This Row],[Month1]],1)</f>
        <v>46265</v>
      </c>
      <c r="K539" s="212">
        <v>3.7</v>
      </c>
      <c r="L539" s="7">
        <f ca="1">IF(OR(S539="WTI Sprds",S539="Brent Sprds",S539="WTI-Brent",S539="DFL"),INDEX(INDIRECT("'" &amp; S539 &amp; "'!$A$6:$XFD$1048576"),MATCH('PnL26'!$P$1,INDIRECT("'" &amp; S539 &amp; "'!$A$6:$A$1048576"),0),MATCH(EOMONTH(I539,0),INDIRECT("'" &amp; S539 &amp; "'!$A$4:$XFD$4"),0)),INDEX(BBG!$A:$BA,MATCH('PnL26'!$P$1,BBG!$A:$A,0),MATCH($I539,BBG!$A$4:$BA$4,0))-INDEX(BBG!$A:$BA,MATCH('PnL26'!$P$1,BBG!$A:$A,0),MATCH($J539,BBG!$A$4:$BA$4,0)))</f>
        <v>0.93</v>
      </c>
      <c r="M539" s="9">
        <f ca="1">-(K539-L539)*Table3[[#This Row],[Quantity]]</f>
        <v>-277</v>
      </c>
      <c r="N539">
        <f t="shared" si="865"/>
        <v>370</v>
      </c>
      <c r="O539" s="14" t="str">
        <f t="shared" si="866"/>
        <v>Jul/Aug 26</v>
      </c>
      <c r="P539" s="8" t="str">
        <f t="shared" si="867"/>
        <v>Buy</v>
      </c>
      <c r="Q539">
        <f t="shared" ca="1" si="868"/>
        <v>93</v>
      </c>
      <c r="R539" t="str">
        <f>VLOOKUP(F539,Control!$B:$C,2,FALSE)</f>
        <v>Futures</v>
      </c>
      <c r="S539" t="str">
        <f>VLOOKUP(F539,Control!$B:$D,3,FALSE)</f>
        <v>Brent Sprds</v>
      </c>
      <c r="T539" s="38">
        <f t="shared" si="869"/>
        <v>2026</v>
      </c>
      <c r="U539" t="str">
        <f t="shared" si="870"/>
        <v>Buy</v>
      </c>
      <c r="V539" s="240" t="s">
        <v>96</v>
      </c>
      <c r="W539" t="str">
        <f>_xlfn.XLOOKUP(Table3[[#This Row],[Instrument]],Control!$B$2:$B$19,Control!$E$2:$E$19)</f>
        <v>Brent</v>
      </c>
      <c r="X539" s="14">
        <f>Table3[[#This Row],[Month1]]</f>
        <v>46234</v>
      </c>
      <c r="Y539" s="350">
        <f>Table3[[#This Row],[Quantity]]</f>
        <v>100</v>
      </c>
      <c r="Z539" t="str">
        <f>_xlfn.XLOOKUP(Table3[[#This Row],[Instrument]],Control!$B$2:$B$19,Control!$F$2:$F$19)</f>
        <v>Brent</v>
      </c>
      <c r="AA539" s="14">
        <f>Table3[[#This Row],[Month2]]</f>
        <v>46265</v>
      </c>
      <c r="AB539" s="399">
        <f t="shared" si="871"/>
        <v>-100</v>
      </c>
    </row>
    <row r="540" spans="4:28" ht="15" hidden="1" thickBot="1" x14ac:dyDescent="0.4">
      <c r="D540" s="239" t="s">
        <v>127</v>
      </c>
      <c r="E540" s="174">
        <v>46149</v>
      </c>
      <c r="F540" s="10" t="s">
        <v>7</v>
      </c>
      <c r="G540" s="4" t="s">
        <v>128</v>
      </c>
      <c r="H540" s="253">
        <v>100</v>
      </c>
      <c r="I540" s="172">
        <v>46234</v>
      </c>
      <c r="J540" s="172">
        <f>EOMONTH(Table3[[#This Row],[Month1]],1)</f>
        <v>46265</v>
      </c>
      <c r="K540" s="212">
        <v>3.66</v>
      </c>
      <c r="L540" s="7">
        <f ca="1">IF(OR(S540="WTI Sprds",S540="Brent Sprds",S540="WTI-Brent",S540="DFL"),INDEX(INDIRECT("'" &amp; S540 &amp; "'!$A$6:$XFD$1048576"),MATCH('PnL26'!$P$1,INDIRECT("'" &amp; S540 &amp; "'!$A$6:$A$1048576"),0),MATCH(EOMONTH(I540,0),INDIRECT("'" &amp; S540 &amp; "'!$A$4:$XFD$4"),0)),INDEX(BBG!$A:$BA,MATCH('PnL26'!$P$1,BBG!$A:$A,0),MATCH($I540,BBG!$A$4:$BA$4,0))-INDEX(BBG!$A:$BA,MATCH('PnL26'!$P$1,BBG!$A:$A,0),MATCH($J540,BBG!$A$4:$BA$4,0)))</f>
        <v>0.93</v>
      </c>
      <c r="M540" s="9">
        <f ca="1">-(K540-L540)*Table3[[#This Row],[Quantity]]</f>
        <v>-273</v>
      </c>
      <c r="N540">
        <f t="shared" ref="N540:N551" si="872">H540*K540</f>
        <v>366</v>
      </c>
      <c r="O540" s="14" t="str">
        <f t="shared" ref="O540:O551" si="873">IF(I540=J540,TEXT(I540,"MMM YY"),TEXT(I540,"MMM")&amp;"/"&amp;TEXT(J540,"MMM")&amp;" "&amp;RIGHT(T540,2))</f>
        <v>Jul/Aug 26</v>
      </c>
      <c r="P540" s="8" t="str">
        <f t="shared" ref="P540:P551" si="874">IF(H540&lt;0,"Sell","Buy")</f>
        <v>Buy</v>
      </c>
      <c r="Q540">
        <f t="shared" ref="Q540:Q551" ca="1" si="875">H540*L540</f>
        <v>93</v>
      </c>
      <c r="R540" t="str">
        <f>VLOOKUP(F540,Control!$B:$C,2,FALSE)</f>
        <v>Futures</v>
      </c>
      <c r="S540" t="str">
        <f>VLOOKUP(F540,Control!$B:$D,3,FALSE)</f>
        <v>Brent Sprds</v>
      </c>
      <c r="T540" s="38">
        <f t="shared" ref="T540:T551" si="876">YEAR(I540)</f>
        <v>2026</v>
      </c>
      <c r="U540" t="str">
        <f t="shared" ref="U540:U551" si="877">IFERROR(IF(H540&gt;0,"Buy","Sell"),"")</f>
        <v>Buy</v>
      </c>
      <c r="V540" s="240" t="s">
        <v>96</v>
      </c>
      <c r="W540" t="str">
        <f>_xlfn.XLOOKUP(Table3[[#This Row],[Instrument]],Control!$B$2:$B$19,Control!$E$2:$E$19)</f>
        <v>Brent</v>
      </c>
      <c r="X540" s="14">
        <f>Table3[[#This Row],[Month1]]</f>
        <v>46234</v>
      </c>
      <c r="Y540" s="350">
        <f>Table3[[#This Row],[Quantity]]</f>
        <v>100</v>
      </c>
      <c r="Z540" t="str">
        <f>_xlfn.XLOOKUP(Table3[[#This Row],[Instrument]],Control!$B$2:$B$19,Control!$F$2:$F$19)</f>
        <v>Brent</v>
      </c>
      <c r="AA540" s="14">
        <f>Table3[[#This Row],[Month2]]</f>
        <v>46265</v>
      </c>
      <c r="AB540" s="399">
        <f t="shared" ref="AB540:AB551" si="878">-Y540</f>
        <v>-100</v>
      </c>
    </row>
    <row r="541" spans="4:28" ht="15" hidden="1" thickBot="1" x14ac:dyDescent="0.4">
      <c r="D541" s="239" t="s">
        <v>1744</v>
      </c>
      <c r="E541" s="174">
        <v>46150</v>
      </c>
      <c r="F541" s="10" t="s">
        <v>3</v>
      </c>
      <c r="G541" s="4" t="s">
        <v>128</v>
      </c>
      <c r="H541" s="253">
        <v>211</v>
      </c>
      <c r="I541" s="172">
        <v>46203</v>
      </c>
      <c r="J541" s="172">
        <f>EOMONTH(Table3[[#This Row],[Month1]],1)</f>
        <v>46234</v>
      </c>
      <c r="K541" s="212">
        <v>3.63</v>
      </c>
      <c r="L541" s="7">
        <f ca="1">IF(OR(S541="WTI Sprds",S541="Brent Sprds",S541="WTI-Brent",S541="DFL"),INDEX(INDIRECT("'" &amp; S541 &amp; "'!$A$6:$XFD$1048576"),MATCH('PnL26'!$P$1,INDIRECT("'" &amp; S541 &amp; "'!$A$6:$A$1048576"),0),MATCH(EOMONTH(I541,0),INDIRECT("'" &amp; S541 &amp; "'!$A$4:$XFD$4"),0)),INDEX(BBG!$A:$BA,MATCH('PnL26'!$P$1,BBG!$A:$A,0),MATCH($I541,BBG!$A$4:$BA$4,0))-INDEX(BBG!$A:$BA,MATCH('PnL26'!$P$1,BBG!$A:$A,0),MATCH($J541,BBG!$A$4:$BA$4,0)))</f>
        <v>4.28</v>
      </c>
      <c r="M541" s="9">
        <f ca="1">-(K541-L541)*Table3[[#This Row],[Quantity]]</f>
        <v>137.15000000000006</v>
      </c>
      <c r="N541">
        <f t="shared" si="872"/>
        <v>765.93</v>
      </c>
      <c r="O541" s="14" t="str">
        <f t="shared" si="873"/>
        <v>Jun/Jul 26</v>
      </c>
      <c r="P541" s="8" t="str">
        <f t="shared" si="874"/>
        <v>Buy</v>
      </c>
      <c r="Q541">
        <f t="shared" ca="1" si="875"/>
        <v>903.08</v>
      </c>
      <c r="R541" t="str">
        <f>VLOOKUP(F541,Control!$B:$C,2,FALSE)</f>
        <v>Futures</v>
      </c>
      <c r="S541" t="str">
        <f>VLOOKUP(F541,Control!$B:$D,3,FALSE)</f>
        <v>WTI Sprds</v>
      </c>
      <c r="T541" s="38">
        <f t="shared" si="876"/>
        <v>2026</v>
      </c>
      <c r="U541" t="str">
        <f t="shared" si="877"/>
        <v>Buy</v>
      </c>
      <c r="V541" s="240" t="s">
        <v>96</v>
      </c>
      <c r="W541" t="str">
        <f>_xlfn.XLOOKUP(Table3[[#This Row],[Instrument]],Control!$B$2:$B$19,Control!$E$2:$E$19)</f>
        <v>WTI</v>
      </c>
      <c r="X541" s="14">
        <f>Table3[[#This Row],[Month1]]</f>
        <v>46203</v>
      </c>
      <c r="Y541" s="350">
        <f>Table3[[#This Row],[Quantity]]</f>
        <v>211</v>
      </c>
      <c r="Z541" t="str">
        <f>_xlfn.XLOOKUP(Table3[[#This Row],[Instrument]],Control!$B$2:$B$19,Control!$F$2:$F$19)</f>
        <v>WTI</v>
      </c>
      <c r="AA541" s="14">
        <f>Table3[[#This Row],[Month2]]</f>
        <v>46234</v>
      </c>
      <c r="AB541" s="399">
        <f t="shared" si="878"/>
        <v>-211</v>
      </c>
    </row>
    <row r="542" spans="4:28" ht="15" hidden="1" thickBot="1" x14ac:dyDescent="0.4">
      <c r="D542" s="239" t="s">
        <v>1744</v>
      </c>
      <c r="E542" s="174">
        <v>46150</v>
      </c>
      <c r="F542" s="10" t="s">
        <v>3</v>
      </c>
      <c r="G542" s="4" t="s">
        <v>128</v>
      </c>
      <c r="H542" s="253">
        <v>60</v>
      </c>
      <c r="I542" s="172">
        <v>46234</v>
      </c>
      <c r="J542" s="172">
        <f>EOMONTH(Table3[[#This Row],[Month1]],1)</f>
        <v>46265</v>
      </c>
      <c r="K542" s="212">
        <v>3.64</v>
      </c>
      <c r="L542" s="7">
        <f ca="1">IF(OR(S542="WTI Sprds",S542="Brent Sprds",S542="WTI-Brent",S542="DFL"),INDEX(INDIRECT("'" &amp; S542 &amp; "'!$A$6:$XFD$1048576"),MATCH('PnL26'!$P$1,INDIRECT("'" &amp; S542 &amp; "'!$A$6:$A$1048576"),0),MATCH(EOMONTH(I542,0),INDIRECT("'" &amp; S542 &amp; "'!$A$4:$XFD$4"),0)),INDEX(BBG!$A:$BA,MATCH('PnL26'!$P$1,BBG!$A:$A,0),MATCH($I542,BBG!$A$4:$BA$4,0))-INDEX(BBG!$A:$BA,MATCH('PnL26'!$P$1,BBG!$A:$A,0),MATCH($J542,BBG!$A$4:$BA$4,0)))</f>
        <v>0.75</v>
      </c>
      <c r="M542" s="9">
        <f ca="1">-(K542-L542)*Table3[[#This Row],[Quantity]]</f>
        <v>-173.4</v>
      </c>
      <c r="N542">
        <f t="shared" si="872"/>
        <v>218.4</v>
      </c>
      <c r="O542" s="14" t="str">
        <f t="shared" si="873"/>
        <v>Jul/Aug 26</v>
      </c>
      <c r="P542" s="8" t="str">
        <f t="shared" si="874"/>
        <v>Buy</v>
      </c>
      <c r="Q542">
        <f t="shared" ca="1" si="875"/>
        <v>45</v>
      </c>
      <c r="R542" t="str">
        <f>VLOOKUP(F542,Control!$B:$C,2,FALSE)</f>
        <v>Futures</v>
      </c>
      <c r="S542" t="str">
        <f>VLOOKUP(F542,Control!$B:$D,3,FALSE)</f>
        <v>WTI Sprds</v>
      </c>
      <c r="T542" s="38">
        <f t="shared" si="876"/>
        <v>2026</v>
      </c>
      <c r="U542" t="str">
        <f t="shared" si="877"/>
        <v>Buy</v>
      </c>
      <c r="V542" s="240" t="s">
        <v>96</v>
      </c>
      <c r="W542" t="str">
        <f>_xlfn.XLOOKUP(Table3[[#This Row],[Instrument]],Control!$B$2:$B$19,Control!$E$2:$E$19)</f>
        <v>WTI</v>
      </c>
      <c r="X542" s="14">
        <f>Table3[[#This Row],[Month1]]</f>
        <v>46234</v>
      </c>
      <c r="Y542" s="350">
        <f>Table3[[#This Row],[Quantity]]</f>
        <v>60</v>
      </c>
      <c r="Z542" t="str">
        <f>_xlfn.XLOOKUP(Table3[[#This Row],[Instrument]],Control!$B$2:$B$19,Control!$F$2:$F$19)</f>
        <v>WTI</v>
      </c>
      <c r="AA542" s="14">
        <f>Table3[[#This Row],[Month2]]</f>
        <v>46265</v>
      </c>
      <c r="AB542" s="399">
        <f t="shared" si="878"/>
        <v>-60</v>
      </c>
    </row>
    <row r="543" spans="4:28" ht="15" hidden="1" thickBot="1" x14ac:dyDescent="0.4">
      <c r="D543" s="239" t="s">
        <v>1744</v>
      </c>
      <c r="E543" s="174">
        <v>46150</v>
      </c>
      <c r="F543" s="10" t="s">
        <v>10</v>
      </c>
      <c r="G543" s="4" t="s">
        <v>128</v>
      </c>
      <c r="H543" s="253">
        <v>10</v>
      </c>
      <c r="I543" s="172">
        <f>J542</f>
        <v>46265</v>
      </c>
      <c r="J543" s="172">
        <f>Table3[[#This Row],[Month1]]</f>
        <v>46265</v>
      </c>
      <c r="K543" s="212">
        <v>-9.65</v>
      </c>
      <c r="L543" s="7">
        <f ca="1">IF(OR(S543="WTI Sprds",S543="Brent Sprds",S543="WTI-Brent",S543="DFL"),INDEX(INDIRECT("'" &amp; S543 &amp; "'!$A$6:$XFD$1048576"),MATCH('PnL26'!$P$1,INDIRECT("'" &amp; S543 &amp; "'!$A$6:$A$1048576"),0),MATCH(EOMONTH(I543,0),INDIRECT("'" &amp; S543 &amp; "'!$A$4:$XFD$4"),0)),INDEX(BBG!$A:$BA,MATCH('PnL26'!$P$1,BBG!$A:$A,0),MATCH($I543,BBG!$A$4:$BA$4,0))-INDEX(BBG!$A:$BA,MATCH('PnL26'!$P$1,BBG!$A:$A,0),MATCH($J543,BBG!$A$4:$BA$4,0)))</f>
        <v>-3.42</v>
      </c>
      <c r="M543" s="9">
        <f ca="1">-(K543-L543)*Table3[[#This Row],[Quantity]]</f>
        <v>62.300000000000004</v>
      </c>
      <c r="N543">
        <f t="shared" si="872"/>
        <v>-96.5</v>
      </c>
      <c r="O543" s="14" t="str">
        <f t="shared" si="873"/>
        <v>Aug 26</v>
      </c>
      <c r="P543" s="8" t="str">
        <f t="shared" si="874"/>
        <v>Buy</v>
      </c>
      <c r="Q543">
        <f t="shared" ca="1" si="875"/>
        <v>-34.200000000000003</v>
      </c>
      <c r="R543" t="str">
        <f>VLOOKUP(F543,Control!$B:$C,2,FALSE)</f>
        <v>Swaps</v>
      </c>
      <c r="S543" t="str">
        <f>VLOOKUP(F543,Control!$B:$D,3,FALSE)</f>
        <v>WTI-Brent</v>
      </c>
      <c r="T543" s="38">
        <f t="shared" si="876"/>
        <v>2026</v>
      </c>
      <c r="U543" t="str">
        <f t="shared" si="877"/>
        <v>Buy</v>
      </c>
      <c r="V543" s="240" t="s">
        <v>96</v>
      </c>
      <c r="W543" t="str">
        <f>_xlfn.XLOOKUP(Table3[[#This Row],[Instrument]],Control!$B$2:$B$19,Control!$E$2:$E$19)</f>
        <v>WTI</v>
      </c>
      <c r="X543" s="14">
        <f>Table3[[#This Row],[Month1]]</f>
        <v>46265</v>
      </c>
      <c r="Y543" s="350">
        <f>Table3[[#This Row],[Quantity]]</f>
        <v>10</v>
      </c>
      <c r="Z543" t="str">
        <f>_xlfn.XLOOKUP(Table3[[#This Row],[Instrument]],Control!$B$2:$B$19,Control!$F$2:$F$19)</f>
        <v>Brent</v>
      </c>
      <c r="AA543" s="14">
        <f>Table3[[#This Row],[Month2]]</f>
        <v>46265</v>
      </c>
      <c r="AB543" s="399">
        <f t="shared" si="878"/>
        <v>-10</v>
      </c>
    </row>
    <row r="544" spans="4:28" ht="15" hidden="1" thickBot="1" x14ac:dyDescent="0.4">
      <c r="D544" s="239" t="s">
        <v>1744</v>
      </c>
      <c r="E544" s="174">
        <v>46150</v>
      </c>
      <c r="F544" s="10" t="s">
        <v>10</v>
      </c>
      <c r="G544" s="4" t="s">
        <v>128</v>
      </c>
      <c r="H544" s="253">
        <v>150</v>
      </c>
      <c r="I544" s="172">
        <f>J543</f>
        <v>46265</v>
      </c>
      <c r="J544" s="172">
        <f>Table3[[#This Row],[Month1]]</f>
        <v>46265</v>
      </c>
      <c r="K544" s="212">
        <v>-9.56</v>
      </c>
      <c r="L544" s="7">
        <f ca="1">IF(OR(S544="WTI Sprds",S544="Brent Sprds",S544="WTI-Brent",S544="DFL"),INDEX(INDIRECT("'" &amp; S544 &amp; "'!$A$6:$XFD$1048576"),MATCH('PnL26'!$P$1,INDIRECT("'" &amp; S544 &amp; "'!$A$6:$A$1048576"),0),MATCH(EOMONTH(I544,0),INDIRECT("'" &amp; S544 &amp; "'!$A$4:$XFD$4"),0)),INDEX(BBG!$A:$BA,MATCH('PnL26'!$P$1,BBG!$A:$A,0),MATCH($I544,BBG!$A$4:$BA$4,0))-INDEX(BBG!$A:$BA,MATCH('PnL26'!$P$1,BBG!$A:$A,0),MATCH($J544,BBG!$A$4:$BA$4,0)))</f>
        <v>-3.42</v>
      </c>
      <c r="M544" s="9">
        <f ca="1">-(K544-L544)*Table3[[#This Row],[Quantity]]</f>
        <v>921.00000000000011</v>
      </c>
      <c r="N544">
        <f t="shared" si="872"/>
        <v>-1434</v>
      </c>
      <c r="O544" s="14" t="str">
        <f t="shared" si="873"/>
        <v>Aug 26</v>
      </c>
      <c r="P544" s="8" t="str">
        <f t="shared" si="874"/>
        <v>Buy</v>
      </c>
      <c r="Q544">
        <f t="shared" ca="1" si="875"/>
        <v>-513</v>
      </c>
      <c r="R544" t="str">
        <f>VLOOKUP(F544,Control!$B:$C,2,FALSE)</f>
        <v>Swaps</v>
      </c>
      <c r="S544" t="str">
        <f>VLOOKUP(F544,Control!$B:$D,3,FALSE)</f>
        <v>WTI-Brent</v>
      </c>
      <c r="T544" s="38">
        <f t="shared" si="876"/>
        <v>2026</v>
      </c>
      <c r="U544" t="str">
        <f t="shared" si="877"/>
        <v>Buy</v>
      </c>
      <c r="V544" s="240" t="s">
        <v>96</v>
      </c>
      <c r="W544" t="str">
        <f>_xlfn.XLOOKUP(Table3[[#This Row],[Instrument]],Control!$B$2:$B$19,Control!$E$2:$E$19)</f>
        <v>WTI</v>
      </c>
      <c r="X544" s="14">
        <f>Table3[[#This Row],[Month1]]</f>
        <v>46265</v>
      </c>
      <c r="Y544" s="350">
        <f>Table3[[#This Row],[Quantity]]</f>
        <v>150</v>
      </c>
      <c r="Z544" t="str">
        <f>_xlfn.XLOOKUP(Table3[[#This Row],[Instrument]],Control!$B$2:$B$19,Control!$F$2:$F$19)</f>
        <v>Brent</v>
      </c>
      <c r="AA544" s="14">
        <f>Table3[[#This Row],[Month2]]</f>
        <v>46265</v>
      </c>
      <c r="AB544" s="399">
        <f t="shared" si="878"/>
        <v>-150</v>
      </c>
    </row>
    <row r="545" spans="4:28" ht="15" hidden="1" thickBot="1" x14ac:dyDescent="0.4">
      <c r="D545" s="239" t="s">
        <v>127</v>
      </c>
      <c r="E545" s="174">
        <v>46153</v>
      </c>
      <c r="F545" s="10" t="s">
        <v>7</v>
      </c>
      <c r="G545" s="4" t="s">
        <v>128</v>
      </c>
      <c r="H545" s="253">
        <v>-100</v>
      </c>
      <c r="I545" s="172">
        <v>46234</v>
      </c>
      <c r="J545" s="172">
        <f>EOMONTH(Table3[[#This Row],[Month1]],1)</f>
        <v>46265</v>
      </c>
      <c r="K545" s="212">
        <v>3.89</v>
      </c>
      <c r="L545" s="7">
        <f ca="1">IF(OR(S545="WTI Sprds",S545="Brent Sprds",S545="WTI-Brent",S545="DFL"),INDEX(INDIRECT("'" &amp; S545 &amp; "'!$A$6:$XFD$1048576"),MATCH('PnL26'!$P$1,INDIRECT("'" &amp; S545 &amp; "'!$A$6:$A$1048576"),0),MATCH(EOMONTH(I545,0),INDIRECT("'" &amp; S545 &amp; "'!$A$4:$XFD$4"),0)),INDEX(BBG!$A:$BA,MATCH('PnL26'!$P$1,BBG!$A:$A,0),MATCH($I545,BBG!$A$4:$BA$4,0))-INDEX(BBG!$A:$BA,MATCH('PnL26'!$P$1,BBG!$A:$A,0),MATCH($J545,BBG!$A$4:$BA$4,0)))</f>
        <v>0.93</v>
      </c>
      <c r="M545" s="9">
        <f ca="1">-(K545-L545)*Table3[[#This Row],[Quantity]]</f>
        <v>296</v>
      </c>
      <c r="N545">
        <f t="shared" si="872"/>
        <v>-389</v>
      </c>
      <c r="O545" s="14" t="str">
        <f t="shared" si="873"/>
        <v>Jul/Aug 26</v>
      </c>
      <c r="P545" s="8" t="str">
        <f t="shared" si="874"/>
        <v>Sell</v>
      </c>
      <c r="Q545">
        <f t="shared" ca="1" si="875"/>
        <v>-93</v>
      </c>
      <c r="R545" t="str">
        <f>VLOOKUP(F545,Control!$B:$C,2,FALSE)</f>
        <v>Futures</v>
      </c>
      <c r="S545" t="str">
        <f>VLOOKUP(F545,Control!$B:$D,3,FALSE)</f>
        <v>Brent Sprds</v>
      </c>
      <c r="T545" s="38">
        <f t="shared" si="876"/>
        <v>2026</v>
      </c>
      <c r="U545" t="str">
        <f t="shared" si="877"/>
        <v>Sell</v>
      </c>
      <c r="V545" s="240" t="s">
        <v>96</v>
      </c>
      <c r="W545" t="str">
        <f>_xlfn.XLOOKUP(Table3[[#This Row],[Instrument]],Control!$B$2:$B$19,Control!$E$2:$E$19)</f>
        <v>Brent</v>
      </c>
      <c r="X545" s="14">
        <f>Table3[[#This Row],[Month1]]</f>
        <v>46234</v>
      </c>
      <c r="Y545" s="350">
        <f>Table3[[#This Row],[Quantity]]</f>
        <v>-100</v>
      </c>
      <c r="Z545" t="str">
        <f>_xlfn.XLOOKUP(Table3[[#This Row],[Instrument]],Control!$B$2:$B$19,Control!$F$2:$F$19)</f>
        <v>Brent</v>
      </c>
      <c r="AA545" s="14">
        <f>Table3[[#This Row],[Month2]]</f>
        <v>46265</v>
      </c>
      <c r="AB545" s="399">
        <f t="shared" si="878"/>
        <v>100</v>
      </c>
    </row>
    <row r="546" spans="4:28" ht="15" hidden="1" thickBot="1" x14ac:dyDescent="0.4">
      <c r="D546" s="385" t="s">
        <v>1745</v>
      </c>
      <c r="E546" s="174">
        <v>46154</v>
      </c>
      <c r="F546" s="229" t="s">
        <v>19</v>
      </c>
      <c r="G546" s="380" t="s">
        <v>268</v>
      </c>
      <c r="H546" s="392">
        <v>2124</v>
      </c>
      <c r="I546" s="231">
        <v>46203</v>
      </c>
      <c r="J546" s="231">
        <v>46203</v>
      </c>
      <c r="K546" s="232">
        <f>'Cargo Econs 2026'!L185</f>
        <v>15.352335216572504</v>
      </c>
      <c r="L546" s="315">
        <f>'Cargo Econs 2026'!L186</f>
        <v>15.67</v>
      </c>
      <c r="M546" s="234">
        <f>-(K546-L546)*Table3[[#This Row],[Quantity]]</f>
        <v>674.72000000000139</v>
      </c>
      <c r="N546" s="227">
        <f t="shared" si="872"/>
        <v>32608.359999999997</v>
      </c>
      <c r="O546" s="235" t="str">
        <f t="shared" si="873"/>
        <v>Jun 26</v>
      </c>
      <c r="P546" s="236" t="str">
        <f t="shared" si="874"/>
        <v>Buy</v>
      </c>
      <c r="Q546" s="227">
        <f t="shared" si="875"/>
        <v>33283.08</v>
      </c>
      <c r="R546" s="227" t="str">
        <f>VLOOKUP(F546,Control!$B:$C,2,FALSE)</f>
        <v>Physical</v>
      </c>
      <c r="S546" s="227" t="str">
        <f>VLOOKUP(F546,Control!$B:$D,3,FALSE)</f>
        <v>Physical</v>
      </c>
      <c r="T546" s="38">
        <f t="shared" si="876"/>
        <v>2026</v>
      </c>
      <c r="U546" s="227" t="str">
        <f t="shared" si="877"/>
        <v>Buy</v>
      </c>
      <c r="V546" s="238" t="s">
        <v>96</v>
      </c>
      <c r="W546" s="227">
        <f>_xlfn.XLOOKUP(Table3[[#This Row],[Instrument]],Control!$B$2:$B$19,Control!$E$2:$E$19)</f>
        <v>0</v>
      </c>
      <c r="X546" s="235">
        <f>Table3[[#This Row],[Month1]]</f>
        <v>46203</v>
      </c>
      <c r="Y546" s="397">
        <f>Table3[[#This Row],[Quantity]]</f>
        <v>2124</v>
      </c>
      <c r="Z546" s="227">
        <f>_xlfn.XLOOKUP(Table3[[#This Row],[Instrument]],Control!$B$2:$B$19,Control!$F$2:$F$19)</f>
        <v>0</v>
      </c>
      <c r="AA546" s="235">
        <f>Table3[[#This Row],[Month2]]</f>
        <v>46203</v>
      </c>
      <c r="AB546" s="398">
        <f t="shared" si="878"/>
        <v>-2124</v>
      </c>
    </row>
    <row r="547" spans="4:28" ht="15" hidden="1" thickBot="1" x14ac:dyDescent="0.4">
      <c r="D547" s="239" t="s">
        <v>1745</v>
      </c>
      <c r="E547" s="174">
        <v>46154</v>
      </c>
      <c r="F547" s="10" t="s">
        <v>3</v>
      </c>
      <c r="G547" s="4" t="s">
        <v>268</v>
      </c>
      <c r="H547" s="253">
        <v>-2100</v>
      </c>
      <c r="I547" s="172">
        <v>46203</v>
      </c>
      <c r="J547" s="172">
        <f>EOMONTH(Table3[[#This Row],[Month1]],1)</f>
        <v>46234</v>
      </c>
      <c r="K547" s="212">
        <v>3.56</v>
      </c>
      <c r="L547" s="7">
        <f ca="1">IF(OR(S547="WTI Sprds",S547="Brent Sprds",S547="WTI-Brent",S547="DFL"),INDEX(INDIRECT("'" &amp; S547 &amp; "'!$A$6:$XFD$1048576"),MATCH('PnL26'!$P$1,INDIRECT("'" &amp; S547 &amp; "'!$A$6:$A$1048576"),0),MATCH(EOMONTH(I547,0),INDIRECT("'" &amp; S547 &amp; "'!$A$4:$XFD$4"),0)),INDEX(BBG!$A:$BA,MATCH('PnL26'!$P$1,BBG!$A:$A,0),MATCH($I547,BBG!$A$4:$BA$4,0))-INDEX(BBG!$A:$BA,MATCH('PnL26'!$P$1,BBG!$A:$A,0),MATCH($J547,BBG!$A$4:$BA$4,0)))</f>
        <v>4.28</v>
      </c>
      <c r="M547" s="9">
        <f ca="1">-(K547-L547)*Table3[[#This Row],[Quantity]]</f>
        <v>-1512.0000000000005</v>
      </c>
      <c r="N547">
        <f t="shared" si="872"/>
        <v>-7476</v>
      </c>
      <c r="O547" s="14" t="str">
        <f t="shared" si="873"/>
        <v>Jun/Jul 26</v>
      </c>
      <c r="P547" s="8" t="str">
        <f t="shared" si="874"/>
        <v>Sell</v>
      </c>
      <c r="Q547">
        <f t="shared" ca="1" si="875"/>
        <v>-8988</v>
      </c>
      <c r="R547" t="str">
        <f>VLOOKUP(F547,Control!$B:$C,2,FALSE)</f>
        <v>Futures</v>
      </c>
      <c r="S547" t="str">
        <f>VLOOKUP(F547,Control!$B:$D,3,FALSE)</f>
        <v>WTI Sprds</v>
      </c>
      <c r="T547" s="38">
        <f t="shared" si="876"/>
        <v>2026</v>
      </c>
      <c r="U547" t="str">
        <f t="shared" si="877"/>
        <v>Sell</v>
      </c>
      <c r="V547" s="240" t="s">
        <v>96</v>
      </c>
      <c r="W547" t="str">
        <f>_xlfn.XLOOKUP(Table3[[#This Row],[Instrument]],Control!$B$2:$B$19,Control!$E$2:$E$19)</f>
        <v>WTI</v>
      </c>
      <c r="X547" s="14">
        <f>Table3[[#This Row],[Month1]]</f>
        <v>46203</v>
      </c>
      <c r="Y547" s="350">
        <f>Table3[[#This Row],[Quantity]]</f>
        <v>-2100</v>
      </c>
      <c r="Z547" t="str">
        <f>_xlfn.XLOOKUP(Table3[[#This Row],[Instrument]],Control!$B$2:$B$19,Control!$F$2:$F$19)</f>
        <v>WTI</v>
      </c>
      <c r="AA547" s="14">
        <f>Table3[[#This Row],[Month2]]</f>
        <v>46234</v>
      </c>
      <c r="AB547" s="399">
        <f t="shared" si="878"/>
        <v>2100</v>
      </c>
    </row>
    <row r="548" spans="4:28" ht="15" hidden="1" thickBot="1" x14ac:dyDescent="0.4">
      <c r="D548" s="239" t="s">
        <v>1745</v>
      </c>
      <c r="E548" s="174">
        <v>46154</v>
      </c>
      <c r="F548" s="10" t="s">
        <v>3</v>
      </c>
      <c r="G548" s="4" t="s">
        <v>268</v>
      </c>
      <c r="H548" s="253">
        <f t="shared" ref="H548:H550" si="879">-$H$546</f>
        <v>-2124</v>
      </c>
      <c r="I548" s="172">
        <f>J547</f>
        <v>46234</v>
      </c>
      <c r="J548" s="172">
        <f>EOMONTH(Table3[[#This Row],[Month1]],1)</f>
        <v>46265</v>
      </c>
      <c r="K548" s="212">
        <v>4.1500000000000004</v>
      </c>
      <c r="L548" s="7">
        <f ca="1">IF(OR(S548="WTI Sprds",S548="Brent Sprds",S548="WTI-Brent",S548="DFL"),INDEX(INDIRECT("'" &amp; S548 &amp; "'!$A$6:$XFD$1048576"),MATCH('PnL26'!$P$1,INDIRECT("'" &amp; S548 &amp; "'!$A$6:$A$1048576"),0),MATCH(EOMONTH(I548,0),INDIRECT("'" &amp; S548 &amp; "'!$A$4:$XFD$4"),0)),INDEX(BBG!$A:$BA,MATCH('PnL26'!$P$1,BBG!$A:$A,0),MATCH($I548,BBG!$A$4:$BA$4,0))-INDEX(BBG!$A:$BA,MATCH('PnL26'!$P$1,BBG!$A:$A,0),MATCH($J548,BBG!$A$4:$BA$4,0)))</f>
        <v>0.75</v>
      </c>
      <c r="M548" s="9">
        <f ca="1">-(K548-L548)*Table3[[#This Row],[Quantity]]</f>
        <v>7221.6</v>
      </c>
      <c r="N548">
        <f t="shared" si="872"/>
        <v>-8814.6</v>
      </c>
      <c r="O548" s="14" t="str">
        <f t="shared" si="873"/>
        <v>Jul/Aug 26</v>
      </c>
      <c r="P548" s="8" t="str">
        <f t="shared" si="874"/>
        <v>Sell</v>
      </c>
      <c r="Q548">
        <f t="shared" ca="1" si="875"/>
        <v>-1593</v>
      </c>
      <c r="R548" t="str">
        <f>VLOOKUP(F548,Control!$B:$C,2,FALSE)</f>
        <v>Futures</v>
      </c>
      <c r="S548" t="str">
        <f>VLOOKUP(F548,Control!$B:$D,3,FALSE)</f>
        <v>WTI Sprds</v>
      </c>
      <c r="T548" s="38">
        <f t="shared" si="876"/>
        <v>2026</v>
      </c>
      <c r="U548" t="str">
        <f t="shared" si="877"/>
        <v>Sell</v>
      </c>
      <c r="V548" s="240" t="s">
        <v>96</v>
      </c>
      <c r="W548" t="str">
        <f>_xlfn.XLOOKUP(Table3[[#This Row],[Instrument]],Control!$B$2:$B$19,Control!$E$2:$E$19)</f>
        <v>WTI</v>
      </c>
      <c r="X548" s="14">
        <f>Table3[[#This Row],[Month1]]</f>
        <v>46234</v>
      </c>
      <c r="Y548" s="350">
        <f>Table3[[#This Row],[Quantity]]</f>
        <v>-2124</v>
      </c>
      <c r="Z548" t="str">
        <f>_xlfn.XLOOKUP(Table3[[#This Row],[Instrument]],Control!$B$2:$B$19,Control!$F$2:$F$19)</f>
        <v>WTI</v>
      </c>
      <c r="AA548" s="14">
        <f>Table3[[#This Row],[Month2]]</f>
        <v>46265</v>
      </c>
      <c r="AB548" s="399">
        <f t="shared" si="878"/>
        <v>2124</v>
      </c>
    </row>
    <row r="549" spans="4:28" ht="15" hidden="1" thickBot="1" x14ac:dyDescent="0.4">
      <c r="D549" s="239" t="s">
        <v>1745</v>
      </c>
      <c r="E549" s="174">
        <v>46154</v>
      </c>
      <c r="F549" s="10" t="s">
        <v>10</v>
      </c>
      <c r="G549" s="4" t="s">
        <v>268</v>
      </c>
      <c r="H549" s="253">
        <f t="shared" si="879"/>
        <v>-2124</v>
      </c>
      <c r="I549" s="172">
        <f>J548</f>
        <v>46265</v>
      </c>
      <c r="J549" s="172">
        <f>Table3[[#This Row],[Month1]]</f>
        <v>46265</v>
      </c>
      <c r="K549" s="212">
        <v>-9.51</v>
      </c>
      <c r="L549" s="7">
        <f ca="1">IF(OR(S549="WTI Sprds",S549="Brent Sprds",S549="WTI-Brent",S549="DFL"),INDEX(INDIRECT("'" &amp; S549 &amp; "'!$A$6:$XFD$1048576"),MATCH('PnL26'!$P$1,INDIRECT("'" &amp; S549 &amp; "'!$A$6:$A$1048576"),0),MATCH(EOMONTH(I549,0),INDIRECT("'" &amp; S549 &amp; "'!$A$4:$XFD$4"),0)),INDEX(BBG!$A:$BA,MATCH('PnL26'!$P$1,BBG!$A:$A,0),MATCH($I549,BBG!$A$4:$BA$4,0))-INDEX(BBG!$A:$BA,MATCH('PnL26'!$P$1,BBG!$A:$A,0),MATCH($J549,BBG!$A$4:$BA$4,0)))</f>
        <v>-3.42</v>
      </c>
      <c r="M549" s="9">
        <f ca="1">-(K549-L549)*Table3[[#This Row],[Quantity]]</f>
        <v>-12935.16</v>
      </c>
      <c r="N549">
        <f t="shared" si="872"/>
        <v>20199.239999999998</v>
      </c>
      <c r="O549" s="14" t="str">
        <f t="shared" si="873"/>
        <v>Aug 26</v>
      </c>
      <c r="P549" s="8" t="str">
        <f t="shared" si="874"/>
        <v>Sell</v>
      </c>
      <c r="Q549">
        <f t="shared" ca="1" si="875"/>
        <v>7264.08</v>
      </c>
      <c r="R549" t="str">
        <f>VLOOKUP(F549,Control!$B:$C,2,FALSE)</f>
        <v>Swaps</v>
      </c>
      <c r="S549" t="str">
        <f>VLOOKUP(F549,Control!$B:$D,3,FALSE)</f>
        <v>WTI-Brent</v>
      </c>
      <c r="T549" s="38">
        <f t="shared" si="876"/>
        <v>2026</v>
      </c>
      <c r="U549" t="str">
        <f t="shared" si="877"/>
        <v>Sell</v>
      </c>
      <c r="V549" s="240" t="s">
        <v>96</v>
      </c>
      <c r="W549" t="str">
        <f>_xlfn.XLOOKUP(Table3[[#This Row],[Instrument]],Control!$B$2:$B$19,Control!$E$2:$E$19)</f>
        <v>WTI</v>
      </c>
      <c r="X549" s="14">
        <f>Table3[[#This Row],[Month1]]</f>
        <v>46265</v>
      </c>
      <c r="Y549" s="350">
        <f>Table3[[#This Row],[Quantity]]</f>
        <v>-2124</v>
      </c>
      <c r="Z549" t="str">
        <f>_xlfn.XLOOKUP(Table3[[#This Row],[Instrument]],Control!$B$2:$B$19,Control!$F$2:$F$19)</f>
        <v>Brent</v>
      </c>
      <c r="AA549" s="14">
        <f>Table3[[#This Row],[Month2]]</f>
        <v>46265</v>
      </c>
      <c r="AB549" s="399">
        <f t="shared" si="878"/>
        <v>2124</v>
      </c>
    </row>
    <row r="550" spans="4:28" ht="15" hidden="1" thickBot="1" x14ac:dyDescent="0.4">
      <c r="D550" s="239" t="s">
        <v>1745</v>
      </c>
      <c r="E550" s="174">
        <v>46154</v>
      </c>
      <c r="F550" s="10" t="s">
        <v>7</v>
      </c>
      <c r="G550" s="4" t="s">
        <v>268</v>
      </c>
      <c r="H550" s="253">
        <f t="shared" si="879"/>
        <v>-2124</v>
      </c>
      <c r="I550" s="172">
        <f>J549</f>
        <v>46265</v>
      </c>
      <c r="J550" s="172">
        <f>EOMONTH(Table3[[#This Row],[Month1]],1)</f>
        <v>46295</v>
      </c>
      <c r="K550" s="212">
        <v>3.87</v>
      </c>
      <c r="L550" s="7">
        <f ca="1">IF(OR(S550="WTI Sprds",S550="Brent Sprds",S550="WTI-Brent",S550="DFL"),INDEX(INDIRECT("'" &amp; S550 &amp; "'!$A$6:$XFD$1048576"),MATCH('PnL26'!$P$1,INDIRECT("'" &amp; S550 &amp; "'!$A$6:$A$1048576"),0),MATCH(EOMONTH(I550,0),INDIRECT("'" &amp; S550 &amp; "'!$A$4:$XFD$4"),0)),INDEX(BBG!$A:$BA,MATCH('PnL26'!$P$1,BBG!$A:$A,0),MATCH($I550,BBG!$A$4:$BA$4,0))-INDEX(BBG!$A:$BA,MATCH('PnL26'!$P$1,BBG!$A:$A,0),MATCH($J550,BBG!$A$4:$BA$4,0)))</f>
        <v>-0.03</v>
      </c>
      <c r="M550" s="9">
        <f ca="1">-(K550-L550)*Table3[[#This Row],[Quantity]]</f>
        <v>8283.6</v>
      </c>
      <c r="N550">
        <f t="shared" si="872"/>
        <v>-8219.880000000001</v>
      </c>
      <c r="O550" s="14" t="str">
        <f t="shared" si="873"/>
        <v>Aug/Sep 26</v>
      </c>
      <c r="P550" s="8" t="str">
        <f t="shared" si="874"/>
        <v>Sell</v>
      </c>
      <c r="Q550">
        <f t="shared" ca="1" si="875"/>
        <v>63.72</v>
      </c>
      <c r="R550" t="str">
        <f>VLOOKUP(F550,Control!$B:$C,2,FALSE)</f>
        <v>Futures</v>
      </c>
      <c r="S550" t="str">
        <f>VLOOKUP(F550,Control!$B:$D,3,FALSE)</f>
        <v>Brent Sprds</v>
      </c>
      <c r="T550" s="38">
        <f t="shared" si="876"/>
        <v>2026</v>
      </c>
      <c r="U550" t="str">
        <f t="shared" si="877"/>
        <v>Sell</v>
      </c>
      <c r="V550" s="240" t="s">
        <v>96</v>
      </c>
      <c r="W550" t="str">
        <f>_xlfn.XLOOKUP(Table3[[#This Row],[Instrument]],Control!$B$2:$B$19,Control!$E$2:$E$19)</f>
        <v>Brent</v>
      </c>
      <c r="X550" s="14">
        <f>Table3[[#This Row],[Month1]]</f>
        <v>46265</v>
      </c>
      <c r="Y550" s="350">
        <f>Table3[[#This Row],[Quantity]]</f>
        <v>-2124</v>
      </c>
      <c r="Z550" t="str">
        <f>_xlfn.XLOOKUP(Table3[[#This Row],[Instrument]],Control!$B$2:$B$19,Control!$F$2:$F$19)</f>
        <v>Brent</v>
      </c>
      <c r="AA550" s="14">
        <f>Table3[[#This Row],[Month2]]</f>
        <v>46295</v>
      </c>
      <c r="AB550" s="399">
        <f t="shared" si="878"/>
        <v>2124</v>
      </c>
    </row>
    <row r="551" spans="4:28" ht="15" hidden="1" thickBot="1" x14ac:dyDescent="0.4">
      <c r="D551" s="239" t="s">
        <v>1745</v>
      </c>
      <c r="E551" s="174">
        <v>46154</v>
      </c>
      <c r="F551" s="10" t="s">
        <v>7</v>
      </c>
      <c r="G551" s="4" t="s">
        <v>268</v>
      </c>
      <c r="H551" s="253"/>
      <c r="I551" s="172">
        <f>J550</f>
        <v>46295</v>
      </c>
      <c r="J551" s="172">
        <f>EOMONTH(Table3[[#This Row],[Month1]],1)</f>
        <v>46326</v>
      </c>
      <c r="K551" s="212">
        <v>3.32</v>
      </c>
      <c r="L551" s="7">
        <f ca="1">IF(OR(S551="WTI Sprds",S551="Brent Sprds",S551="WTI-Brent",S551="DFL"),INDEX(INDIRECT("'" &amp; S551 &amp; "'!$A$6:$XFD$1048576"),MATCH('PnL26'!$P$1,INDIRECT("'" &amp; S551 &amp; "'!$A$6:$A$1048576"),0),MATCH(EOMONTH(I551,0),INDIRECT("'" &amp; S551 &amp; "'!$A$4:$XFD$4"),0)),INDEX(BBG!$A:$BA,MATCH('PnL26'!$P$1,BBG!$A:$A,0),MATCH($I551,BBG!$A$4:$BA$4,0))-INDEX(BBG!$A:$BA,MATCH('PnL26'!$P$1,BBG!$A:$A,0),MATCH($J551,BBG!$A$4:$BA$4,0)))</f>
        <v>2.19</v>
      </c>
      <c r="M551" s="9">
        <f ca="1">-(K551-L551)*Table3[[#This Row],[Quantity]]</f>
        <v>0</v>
      </c>
      <c r="N551">
        <f t="shared" si="872"/>
        <v>0</v>
      </c>
      <c r="O551" s="14" t="str">
        <f t="shared" si="873"/>
        <v>Sep/Oct 26</v>
      </c>
      <c r="P551" s="8" t="str">
        <f t="shared" si="874"/>
        <v>Buy</v>
      </c>
      <c r="Q551">
        <f t="shared" ca="1" si="875"/>
        <v>0</v>
      </c>
      <c r="R551" t="str">
        <f>VLOOKUP(F551,Control!$B:$C,2,FALSE)</f>
        <v>Futures</v>
      </c>
      <c r="S551" t="str">
        <f>VLOOKUP(F551,Control!$B:$D,3,FALSE)</f>
        <v>Brent Sprds</v>
      </c>
      <c r="T551" s="38">
        <f t="shared" si="876"/>
        <v>2026</v>
      </c>
      <c r="U551" t="str">
        <f t="shared" si="877"/>
        <v>Sell</v>
      </c>
      <c r="V551" s="240" t="s">
        <v>96</v>
      </c>
      <c r="W551" t="str">
        <f>_xlfn.XLOOKUP(Table3[[#This Row],[Instrument]],Control!$B$2:$B$19,Control!$E$2:$E$19)</f>
        <v>Brent</v>
      </c>
      <c r="X551" s="14">
        <f>Table3[[#This Row],[Month1]]</f>
        <v>46295</v>
      </c>
      <c r="Y551" s="350">
        <f>Table3[[#This Row],[Quantity]]</f>
        <v>0</v>
      </c>
      <c r="Z551" t="str">
        <f>_xlfn.XLOOKUP(Table3[[#This Row],[Instrument]],Control!$B$2:$B$19,Control!$F$2:$F$19)</f>
        <v>Brent</v>
      </c>
      <c r="AA551" s="14">
        <f>Table3[[#This Row],[Month2]]</f>
        <v>46326</v>
      </c>
      <c r="AB551" s="399">
        <f t="shared" si="878"/>
        <v>0</v>
      </c>
    </row>
    <row r="552" spans="4:28" ht="15" hidden="1" thickBot="1" x14ac:dyDescent="0.4">
      <c r="D552" s="239" t="s">
        <v>1745</v>
      </c>
      <c r="E552" s="174">
        <v>46154</v>
      </c>
      <c r="F552" s="10" t="s">
        <v>3</v>
      </c>
      <c r="G552" s="4" t="s">
        <v>128</v>
      </c>
      <c r="H552" s="253">
        <v>2100</v>
      </c>
      <c r="I552" s="172">
        <v>46203</v>
      </c>
      <c r="J552" s="172">
        <f>EOMONTH(Table3[[#This Row],[Month1]],1)</f>
        <v>46234</v>
      </c>
      <c r="K552" s="212">
        <v>3.67</v>
      </c>
      <c r="L552" s="7">
        <f ca="1">IF(OR(S552="WTI Sprds",S552="Brent Sprds",S552="WTI-Brent",S552="DFL"),INDEX(INDIRECT("'" &amp; S552 &amp; "'!$A$6:$XFD$1048576"),MATCH('PnL26'!$P$1,INDIRECT("'" &amp; S552 &amp; "'!$A$6:$A$1048576"),0),MATCH(EOMONTH(I552,0),INDIRECT("'" &amp; S552 &amp; "'!$A$4:$XFD$4"),0)),INDEX(BBG!$A:$BA,MATCH('PnL26'!$P$1,BBG!$A:$A,0),MATCH($I552,BBG!$A$4:$BA$4,0))-INDEX(BBG!$A:$BA,MATCH('PnL26'!$P$1,BBG!$A:$A,0),MATCH($J552,BBG!$A$4:$BA$4,0)))</f>
        <v>4.28</v>
      </c>
      <c r="M552" s="9">
        <f ca="1">-(K552-L552)*Table3[[#This Row],[Quantity]]</f>
        <v>1281.0000000000007</v>
      </c>
      <c r="N552">
        <f t="shared" ref="N552:N555" si="880">H552*K552</f>
        <v>7707</v>
      </c>
      <c r="O552" s="14" t="str">
        <f t="shared" ref="O552:O555" si="881">IF(I552=J552,TEXT(I552,"MMM YY"),TEXT(I552,"MMM")&amp;"/"&amp;TEXT(J552,"MMM")&amp;" "&amp;RIGHT(T552,2))</f>
        <v>Jun/Jul 26</v>
      </c>
      <c r="P552" s="8" t="str">
        <f t="shared" ref="P552:P555" si="882">IF(H552&lt;0,"Sell","Buy")</f>
        <v>Buy</v>
      </c>
      <c r="Q552">
        <f t="shared" ref="Q552:Q555" ca="1" si="883">H552*L552</f>
        <v>8988</v>
      </c>
      <c r="R552" t="str">
        <f>VLOOKUP(F552,Control!$B:$C,2,FALSE)</f>
        <v>Futures</v>
      </c>
      <c r="S552" t="str">
        <f>VLOOKUP(F552,Control!$B:$D,3,FALSE)</f>
        <v>WTI Sprds</v>
      </c>
      <c r="T552" s="38">
        <f t="shared" ref="T552:T555" si="884">YEAR(I552)</f>
        <v>2026</v>
      </c>
      <c r="U552" t="str">
        <f t="shared" ref="U552:U555" si="885">IFERROR(IF(H552&gt;0,"Buy","Sell"),"")</f>
        <v>Buy</v>
      </c>
      <c r="V552" s="240" t="s">
        <v>96</v>
      </c>
      <c r="W552" t="str">
        <f>_xlfn.XLOOKUP(Table3[[#This Row],[Instrument]],Control!$B$2:$B$19,Control!$E$2:$E$19)</f>
        <v>WTI</v>
      </c>
      <c r="X552" s="14">
        <f>Table3[[#This Row],[Month1]]</f>
        <v>46203</v>
      </c>
      <c r="Y552" s="350">
        <f>Table3[[#This Row],[Quantity]]</f>
        <v>2100</v>
      </c>
      <c r="Z552" t="str">
        <f>_xlfn.XLOOKUP(Table3[[#This Row],[Instrument]],Control!$B$2:$B$19,Control!$F$2:$F$19)</f>
        <v>WTI</v>
      </c>
      <c r="AA552" s="14">
        <f>Table3[[#This Row],[Month2]]</f>
        <v>46234</v>
      </c>
      <c r="AB552" s="399">
        <f t="shared" ref="AB552:AB555" si="886">-Y552</f>
        <v>-2100</v>
      </c>
    </row>
    <row r="553" spans="4:28" ht="15" hidden="1" thickBot="1" x14ac:dyDescent="0.4">
      <c r="D553" s="239" t="s">
        <v>1745</v>
      </c>
      <c r="E553" s="174">
        <v>46154</v>
      </c>
      <c r="F553" s="10" t="s">
        <v>3</v>
      </c>
      <c r="G553" s="4" t="s">
        <v>128</v>
      </c>
      <c r="H553" s="253">
        <v>2100</v>
      </c>
      <c r="I553" s="172">
        <f>J552</f>
        <v>46234</v>
      </c>
      <c r="J553" s="172">
        <f>EOMONTH(Table3[[#This Row],[Month1]],1)</f>
        <v>46265</v>
      </c>
      <c r="K553" s="212">
        <v>4.12</v>
      </c>
      <c r="L553" s="7">
        <f ca="1">IF(OR(S553="WTI Sprds",S553="Brent Sprds",S553="WTI-Brent",S553="DFL"),INDEX(INDIRECT("'" &amp; S553 &amp; "'!$A$6:$XFD$1048576"),MATCH('PnL26'!$P$1,INDIRECT("'" &amp; S553 &amp; "'!$A$6:$A$1048576"),0),MATCH(EOMONTH(I553,0),INDIRECT("'" &amp; S553 &amp; "'!$A$4:$XFD$4"),0)),INDEX(BBG!$A:$BA,MATCH('PnL26'!$P$1,BBG!$A:$A,0),MATCH($I553,BBG!$A$4:$BA$4,0))-INDEX(BBG!$A:$BA,MATCH('PnL26'!$P$1,BBG!$A:$A,0),MATCH($J553,BBG!$A$4:$BA$4,0)))</f>
        <v>0.75</v>
      </c>
      <c r="M553" s="9">
        <f ca="1">-(K553-L553)*Table3[[#This Row],[Quantity]]</f>
        <v>-7077</v>
      </c>
      <c r="N553">
        <f t="shared" si="880"/>
        <v>8652</v>
      </c>
      <c r="O553" s="14" t="str">
        <f t="shared" si="881"/>
        <v>Jul/Aug 26</v>
      </c>
      <c r="P553" s="8" t="str">
        <f t="shared" si="882"/>
        <v>Buy</v>
      </c>
      <c r="Q553">
        <f t="shared" ca="1" si="883"/>
        <v>1575</v>
      </c>
      <c r="R553" t="str">
        <f>VLOOKUP(F553,Control!$B:$C,2,FALSE)</f>
        <v>Futures</v>
      </c>
      <c r="S553" t="str">
        <f>VLOOKUP(F553,Control!$B:$D,3,FALSE)</f>
        <v>WTI Sprds</v>
      </c>
      <c r="T553" s="38">
        <f t="shared" si="884"/>
        <v>2026</v>
      </c>
      <c r="U553" t="str">
        <f t="shared" si="885"/>
        <v>Buy</v>
      </c>
      <c r="V553" s="240" t="s">
        <v>96</v>
      </c>
      <c r="W553" t="str">
        <f>_xlfn.XLOOKUP(Table3[[#This Row],[Instrument]],Control!$B$2:$B$19,Control!$E$2:$E$19)</f>
        <v>WTI</v>
      </c>
      <c r="X553" s="14">
        <f>Table3[[#This Row],[Month1]]</f>
        <v>46234</v>
      </c>
      <c r="Y553" s="350">
        <f>Table3[[#This Row],[Quantity]]</f>
        <v>2100</v>
      </c>
      <c r="Z553" t="str">
        <f>_xlfn.XLOOKUP(Table3[[#This Row],[Instrument]],Control!$B$2:$B$19,Control!$F$2:$F$19)</f>
        <v>WTI</v>
      </c>
      <c r="AA553" s="14">
        <f>Table3[[#This Row],[Month2]]</f>
        <v>46265</v>
      </c>
      <c r="AB553" s="399">
        <f t="shared" si="886"/>
        <v>-2100</v>
      </c>
    </row>
    <row r="554" spans="4:28" ht="15" hidden="1" thickBot="1" x14ac:dyDescent="0.4">
      <c r="D554" s="239" t="s">
        <v>1745</v>
      </c>
      <c r="E554" s="174">
        <v>46154</v>
      </c>
      <c r="F554" s="10" t="s">
        <v>10</v>
      </c>
      <c r="G554" s="4" t="s">
        <v>128</v>
      </c>
      <c r="H554" s="253">
        <v>2100</v>
      </c>
      <c r="I554" s="172">
        <f>J553</f>
        <v>46265</v>
      </c>
      <c r="J554" s="172">
        <f>Table3[[#This Row],[Month1]]</f>
        <v>46265</v>
      </c>
      <c r="K554" s="212">
        <v>-9.44</v>
      </c>
      <c r="L554" s="7">
        <f ca="1">IF(OR(S554="WTI Sprds",S554="Brent Sprds",S554="WTI-Brent",S554="DFL"),INDEX(INDIRECT("'" &amp; S554 &amp; "'!$A$6:$XFD$1048576"),MATCH('PnL26'!$P$1,INDIRECT("'" &amp; S554 &amp; "'!$A$6:$A$1048576"),0),MATCH(EOMONTH(I554,0),INDIRECT("'" &amp; S554 &amp; "'!$A$4:$XFD$4"),0)),INDEX(BBG!$A:$BA,MATCH('PnL26'!$P$1,BBG!$A:$A,0),MATCH($I554,BBG!$A$4:$BA$4,0))-INDEX(BBG!$A:$BA,MATCH('PnL26'!$P$1,BBG!$A:$A,0),MATCH($J554,BBG!$A$4:$BA$4,0)))</f>
        <v>-3.42</v>
      </c>
      <c r="M554" s="9">
        <f ca="1">-(K554-L554)*Table3[[#This Row],[Quantity]]</f>
        <v>12642</v>
      </c>
      <c r="N554">
        <f t="shared" si="880"/>
        <v>-19824</v>
      </c>
      <c r="O554" s="14" t="str">
        <f t="shared" si="881"/>
        <v>Aug 26</v>
      </c>
      <c r="P554" s="8" t="str">
        <f t="shared" si="882"/>
        <v>Buy</v>
      </c>
      <c r="Q554">
        <f t="shared" ca="1" si="883"/>
        <v>-7182</v>
      </c>
      <c r="R554" t="str">
        <f>VLOOKUP(F554,Control!$B:$C,2,FALSE)</f>
        <v>Swaps</v>
      </c>
      <c r="S554" t="str">
        <f>VLOOKUP(F554,Control!$B:$D,3,FALSE)</f>
        <v>WTI-Brent</v>
      </c>
      <c r="T554" s="38">
        <f t="shared" si="884"/>
        <v>2026</v>
      </c>
      <c r="U554" t="str">
        <f t="shared" si="885"/>
        <v>Buy</v>
      </c>
      <c r="V554" s="240" t="s">
        <v>96</v>
      </c>
      <c r="W554" t="str">
        <f>_xlfn.XLOOKUP(Table3[[#This Row],[Instrument]],Control!$B$2:$B$19,Control!$E$2:$E$19)</f>
        <v>WTI</v>
      </c>
      <c r="X554" s="14">
        <f>Table3[[#This Row],[Month1]]</f>
        <v>46265</v>
      </c>
      <c r="Y554" s="350">
        <f>Table3[[#This Row],[Quantity]]</f>
        <v>2100</v>
      </c>
      <c r="Z554" t="str">
        <f>_xlfn.XLOOKUP(Table3[[#This Row],[Instrument]],Control!$B$2:$B$19,Control!$F$2:$F$19)</f>
        <v>Brent</v>
      </c>
      <c r="AA554" s="14">
        <f>Table3[[#This Row],[Month2]]</f>
        <v>46265</v>
      </c>
      <c r="AB554" s="399">
        <f t="shared" si="886"/>
        <v>-2100</v>
      </c>
    </row>
    <row r="555" spans="4:28" ht="15" hidden="1" thickBot="1" x14ac:dyDescent="0.4">
      <c r="D555" s="239" t="s">
        <v>1745</v>
      </c>
      <c r="E555" s="174">
        <v>46154</v>
      </c>
      <c r="F555" s="10" t="s">
        <v>7</v>
      </c>
      <c r="G555" s="4" t="s">
        <v>128</v>
      </c>
      <c r="H555" s="253">
        <v>2100</v>
      </c>
      <c r="I555" s="172">
        <f>J554</f>
        <v>46265</v>
      </c>
      <c r="J555" s="172">
        <f>EOMONTH(Table3[[#This Row],[Month1]],1)</f>
        <v>46295</v>
      </c>
      <c r="K555" s="212">
        <v>3.8</v>
      </c>
      <c r="L555" s="7">
        <f ca="1">IF(OR(S555="WTI Sprds",S555="Brent Sprds",S555="WTI-Brent",S555="DFL"),INDEX(INDIRECT("'" &amp; S555 &amp; "'!$A$6:$XFD$1048576"),MATCH('PnL26'!$P$1,INDIRECT("'" &amp; S555 &amp; "'!$A$6:$A$1048576"),0),MATCH(EOMONTH(I555,0),INDIRECT("'" &amp; S555 &amp; "'!$A$4:$XFD$4"),0)),INDEX(BBG!$A:$BA,MATCH('PnL26'!$P$1,BBG!$A:$A,0),MATCH($I555,BBG!$A$4:$BA$4,0))-INDEX(BBG!$A:$BA,MATCH('PnL26'!$P$1,BBG!$A:$A,0),MATCH($J555,BBG!$A$4:$BA$4,0)))</f>
        <v>-0.03</v>
      </c>
      <c r="M555" s="9">
        <f ca="1">-(K555-L555)*Table3[[#This Row],[Quantity]]</f>
        <v>-8042.9999999999991</v>
      </c>
      <c r="N555">
        <f t="shared" si="880"/>
        <v>7980</v>
      </c>
      <c r="O555" s="14" t="str">
        <f t="shared" si="881"/>
        <v>Aug/Sep 26</v>
      </c>
      <c r="P555" s="8" t="str">
        <f t="shared" si="882"/>
        <v>Buy</v>
      </c>
      <c r="Q555">
        <f t="shared" ca="1" si="883"/>
        <v>-63</v>
      </c>
      <c r="R555" t="str">
        <f>VLOOKUP(F555,Control!$B:$C,2,FALSE)</f>
        <v>Futures</v>
      </c>
      <c r="S555" t="str">
        <f>VLOOKUP(F555,Control!$B:$D,3,FALSE)</f>
        <v>Brent Sprds</v>
      </c>
      <c r="T555" s="38">
        <f t="shared" si="884"/>
        <v>2026</v>
      </c>
      <c r="U555" t="str">
        <f t="shared" si="885"/>
        <v>Buy</v>
      </c>
      <c r="V555" s="240" t="s">
        <v>96</v>
      </c>
      <c r="W555" t="str">
        <f>_xlfn.XLOOKUP(Table3[[#This Row],[Instrument]],Control!$B$2:$B$19,Control!$E$2:$E$19)</f>
        <v>Brent</v>
      </c>
      <c r="X555" s="14">
        <f>Table3[[#This Row],[Month1]]</f>
        <v>46265</v>
      </c>
      <c r="Y555" s="350">
        <f>Table3[[#This Row],[Quantity]]</f>
        <v>2100</v>
      </c>
      <c r="Z555" t="str">
        <f>_xlfn.XLOOKUP(Table3[[#This Row],[Instrument]],Control!$B$2:$B$19,Control!$F$2:$F$19)</f>
        <v>Brent</v>
      </c>
      <c r="AA555" s="14">
        <f>Table3[[#This Row],[Month2]]</f>
        <v>46295</v>
      </c>
      <c r="AB555" s="399">
        <f t="shared" si="886"/>
        <v>-2100</v>
      </c>
    </row>
    <row r="556" spans="4:28" ht="15" hidden="1" thickBot="1" x14ac:dyDescent="0.4">
      <c r="D556" t="s">
        <v>127</v>
      </c>
      <c r="E556" s="174">
        <v>46156</v>
      </c>
      <c r="F556" s="10" t="s">
        <v>15</v>
      </c>
      <c r="G556" s="4" t="s">
        <v>128</v>
      </c>
      <c r="H556" s="253">
        <v>350</v>
      </c>
      <c r="I556" s="173">
        <v>46203</v>
      </c>
      <c r="J556" s="173">
        <v>46203</v>
      </c>
      <c r="K556" s="100">
        <v>5.69</v>
      </c>
      <c r="L556" s="192">
        <f>VLOOKUP($I556,'PnL26'!$E$7:$F$59,2,FALSE)</f>
        <v>2.23</v>
      </c>
      <c r="M556" s="9">
        <f>IFERROR((L556-K556)*H556,"")</f>
        <v>-1211.0000000000002</v>
      </c>
      <c r="N556">
        <f>H556*K556</f>
        <v>1991.5000000000002</v>
      </c>
      <c r="O556" s="14" t="str">
        <f>IF(I556=J556,TEXT(I556,"MMM YY"),TEXT(I556,"MMM")&amp;"/"&amp;TEXT(J556,"MMM")&amp;" "&amp;RIGHT(T556,2))</f>
        <v>Jun 26</v>
      </c>
      <c r="P556" s="8" t="str">
        <f>IF(H556&lt;0,"Sell","Buy")</f>
        <v>Buy</v>
      </c>
      <c r="Q556">
        <f>H556*L556</f>
        <v>780.5</v>
      </c>
      <c r="R556" s="38" t="str">
        <f>VLOOKUP(F556,Control!$B:$C,2,FALSE)</f>
        <v>Swaps</v>
      </c>
      <c r="S556" s="38" t="str">
        <f>VLOOKUP(F556,Control!$B:$D,3,FALSE)</f>
        <v>Dated</v>
      </c>
      <c r="T556" s="38">
        <f>YEAR(I556)</f>
        <v>2026</v>
      </c>
      <c r="U556" t="str">
        <f>IFERROR(IF(H556&gt;0,"Buy","Sell"),"")</f>
        <v>Buy</v>
      </c>
      <c r="V556" t="s">
        <v>96</v>
      </c>
      <c r="W556" t="e">
        <f>_xlfn.XLOOKUP(Table3[[#This Row],[Instrument]],Control!$B$2:$B$19,Control!$E$2:$E$19)</f>
        <v>#N/A</v>
      </c>
      <c r="X556" s="14">
        <f>Table3[[#This Row],[Month1]]</f>
        <v>46203</v>
      </c>
      <c r="Y556" s="350">
        <f>Table3[[#This Row],[Quantity]]</f>
        <v>350</v>
      </c>
      <c r="Z556" t="e">
        <f>_xlfn.XLOOKUP(Table3[[#This Row],[Instrument]],Control!$B$2:$B$19,Control!$F$2:$F$19)</f>
        <v>#N/A</v>
      </c>
      <c r="AA556" s="14">
        <f>Table3[[#This Row],[Month2]]</f>
        <v>46203</v>
      </c>
      <c r="AB556" s="350">
        <f>-Y556</f>
        <v>-350</v>
      </c>
    </row>
    <row r="557" spans="4:28" ht="15" hidden="1" thickBot="1" x14ac:dyDescent="0.4">
      <c r="D557" s="239" t="s">
        <v>127</v>
      </c>
      <c r="E557" s="174">
        <v>46160</v>
      </c>
      <c r="F557" s="10" t="s">
        <v>3</v>
      </c>
      <c r="G557" s="4" t="s">
        <v>128</v>
      </c>
      <c r="H557" s="253">
        <v>-239</v>
      </c>
      <c r="I557" s="172">
        <v>46203</v>
      </c>
      <c r="J557" s="172">
        <f>EOMONTH(Table3[[#This Row],[Month1]],1)</f>
        <v>46234</v>
      </c>
      <c r="K557" s="212">
        <v>4.28</v>
      </c>
      <c r="L557" s="7">
        <f ca="1">IF(OR(S557="WTI Sprds",S557="Brent Sprds",S557="WTI-Brent",S557="DFL"),INDEX(INDIRECT("'" &amp; S557 &amp; "'!$A$6:$XFD$1048576"),MATCH('PnL26'!$P$1,INDIRECT("'" &amp; S557 &amp; "'!$A$6:$A$1048576"),0),MATCH(EOMONTH(I557,0),INDIRECT("'" &amp; S557 &amp; "'!$A$4:$XFD$4"),0)),INDEX(BBG!$A:$BA,MATCH('PnL26'!$P$1,BBG!$A:$A,0),MATCH($I557,BBG!$A$4:$BA$4,0))-INDEX(BBG!$A:$BA,MATCH('PnL26'!$P$1,BBG!$A:$A,0),MATCH($J557,BBG!$A$4:$BA$4,0)))</f>
        <v>4.28</v>
      </c>
      <c r="M557" s="9">
        <f ca="1">-(K557-L557)*Table3[[#This Row],[Quantity]]</f>
        <v>0</v>
      </c>
      <c r="N557">
        <f t="shared" ref="N557" si="887">H557*K557</f>
        <v>-1022.9200000000001</v>
      </c>
      <c r="O557" s="14" t="str">
        <f t="shared" ref="O557" si="888">IF(I557=J557,TEXT(I557,"MMM YY"),TEXT(I557,"MMM")&amp;"/"&amp;TEXT(J557,"MMM")&amp;" "&amp;RIGHT(T557,2))</f>
        <v>Jun/Jul 26</v>
      </c>
      <c r="P557" s="8" t="str">
        <f t="shared" ref="P557" si="889">IF(H557&lt;0,"Sell","Buy")</f>
        <v>Sell</v>
      </c>
      <c r="Q557">
        <f t="shared" ref="Q557" ca="1" si="890">H557*L557</f>
        <v>-1022.9200000000001</v>
      </c>
      <c r="R557" t="str">
        <f>VLOOKUP(F557,Control!$B:$C,2,FALSE)</f>
        <v>Futures</v>
      </c>
      <c r="S557" t="str">
        <f>VLOOKUP(F557,Control!$B:$D,3,FALSE)</f>
        <v>WTI Sprds</v>
      </c>
      <c r="T557" s="38">
        <f t="shared" ref="T557" si="891">YEAR(I557)</f>
        <v>2026</v>
      </c>
      <c r="U557" t="str">
        <f t="shared" ref="U557" si="892">IFERROR(IF(H557&gt;0,"Buy","Sell"),"")</f>
        <v>Sell</v>
      </c>
      <c r="V557" s="240" t="s">
        <v>96</v>
      </c>
      <c r="W557" t="str">
        <f>_xlfn.XLOOKUP(Table3[[#This Row],[Instrument]],Control!$B$2:$B$19,Control!$E$2:$E$19)</f>
        <v>WTI</v>
      </c>
      <c r="X557" s="14">
        <f>Table3[[#This Row],[Month1]]</f>
        <v>46203</v>
      </c>
      <c r="Y557" s="350">
        <f>Table3[[#This Row],[Quantity]]</f>
        <v>-239</v>
      </c>
      <c r="Z557" t="str">
        <f>_xlfn.XLOOKUP(Table3[[#This Row],[Instrument]],Control!$B$2:$B$19,Control!$F$2:$F$19)</f>
        <v>WTI</v>
      </c>
      <c r="AA557" s="14">
        <f>Table3[[#This Row],[Month2]]</f>
        <v>46234</v>
      </c>
      <c r="AB557" s="399">
        <f t="shared" ref="AB557" si="893">-Y557</f>
        <v>239</v>
      </c>
    </row>
    <row r="558" spans="4:28" ht="15" hidden="1" thickBot="1" x14ac:dyDescent="0.4">
      <c r="D558" s="239" t="s">
        <v>127</v>
      </c>
      <c r="E558" s="174">
        <v>46160</v>
      </c>
      <c r="F558" s="10" t="s">
        <v>3</v>
      </c>
      <c r="G558" s="4" t="s">
        <v>128</v>
      </c>
      <c r="H558" s="253">
        <v>1000</v>
      </c>
      <c r="I558" s="172">
        <v>46234</v>
      </c>
      <c r="J558" s="172">
        <f>EOMONTH(Table3[[#This Row],[Month1]],1)</f>
        <v>46265</v>
      </c>
      <c r="K558" s="212">
        <v>4.91</v>
      </c>
      <c r="L558" s="7">
        <f ca="1">IF(OR(S558="WTI Sprds",S558="Brent Sprds",S558="WTI-Brent",S558="DFL"),INDEX(INDIRECT("'" &amp; S558 &amp; "'!$A$6:$XFD$1048576"),MATCH('PnL26'!$P$1,INDIRECT("'" &amp; S558 &amp; "'!$A$6:$A$1048576"),0),MATCH(EOMONTH(I558,0),INDIRECT("'" &amp; S558 &amp; "'!$A$4:$XFD$4"),0)),INDEX(BBG!$A:$BA,MATCH('PnL26'!$P$1,BBG!$A:$A,0),MATCH($I558,BBG!$A$4:$BA$4,0))-INDEX(BBG!$A:$BA,MATCH('PnL26'!$P$1,BBG!$A:$A,0),MATCH($J558,BBG!$A$4:$BA$4,0)))</f>
        <v>0.75</v>
      </c>
      <c r="M558" s="9">
        <f ca="1">-(K558-L558)*Table3[[#This Row],[Quantity]]</f>
        <v>-4160</v>
      </c>
      <c r="N558">
        <f t="shared" ref="N558:N559" si="894">H558*K558</f>
        <v>4910</v>
      </c>
      <c r="O558" s="14" t="str">
        <f t="shared" ref="O558:O559" si="895">IF(I558=J558,TEXT(I558,"MMM YY"),TEXT(I558,"MMM")&amp;"/"&amp;TEXT(J558,"MMM")&amp;" "&amp;RIGHT(T558,2))</f>
        <v>Jul/Aug 26</v>
      </c>
      <c r="P558" s="8" t="str">
        <f t="shared" ref="P558:P559" si="896">IF(H558&lt;0,"Sell","Buy")</f>
        <v>Buy</v>
      </c>
      <c r="Q558">
        <f t="shared" ref="Q558:Q559" ca="1" si="897">H558*L558</f>
        <v>750</v>
      </c>
      <c r="R558" t="str">
        <f>VLOOKUP(F558,Control!$B:$C,2,FALSE)</f>
        <v>Futures</v>
      </c>
      <c r="S558" t="str">
        <f>VLOOKUP(F558,Control!$B:$D,3,FALSE)</f>
        <v>WTI Sprds</v>
      </c>
      <c r="T558" s="38">
        <f t="shared" ref="T558:T559" si="898">YEAR(I558)</f>
        <v>2026</v>
      </c>
      <c r="U558" t="str">
        <f t="shared" ref="U558:U559" si="899">IFERROR(IF(H558&gt;0,"Buy","Sell"),"")</f>
        <v>Buy</v>
      </c>
      <c r="V558" s="240" t="s">
        <v>96</v>
      </c>
      <c r="W558" t="str">
        <f>_xlfn.XLOOKUP(Table3[[#This Row],[Instrument]],Control!$B$2:$B$19,Control!$E$2:$E$19)</f>
        <v>WTI</v>
      </c>
      <c r="X558" s="14">
        <f>Table3[[#This Row],[Month1]]</f>
        <v>46234</v>
      </c>
      <c r="Y558" s="350">
        <f>Table3[[#This Row],[Quantity]]</f>
        <v>1000</v>
      </c>
      <c r="Z558" t="str">
        <f>_xlfn.XLOOKUP(Table3[[#This Row],[Instrument]],Control!$B$2:$B$19,Control!$F$2:$F$19)</f>
        <v>WTI</v>
      </c>
      <c r="AA558" s="14">
        <f>Table3[[#This Row],[Month2]]</f>
        <v>46265</v>
      </c>
      <c r="AB558" s="399">
        <f t="shared" ref="AB558:AB559" si="900">-Y558</f>
        <v>-1000</v>
      </c>
    </row>
    <row r="559" spans="4:28" ht="15" hidden="1" thickBot="1" x14ac:dyDescent="0.4">
      <c r="D559" s="239" t="s">
        <v>127</v>
      </c>
      <c r="E559" s="174">
        <v>46160</v>
      </c>
      <c r="F559" s="10" t="s">
        <v>3</v>
      </c>
      <c r="G559" s="4" t="s">
        <v>128</v>
      </c>
      <c r="H559" s="253">
        <v>1000</v>
      </c>
      <c r="I559" s="172">
        <v>46265</v>
      </c>
      <c r="J559" s="172">
        <f>EOMONTH(Table3[[#This Row],[Month1]],1)</f>
        <v>46295</v>
      </c>
      <c r="K559" s="212">
        <v>4.68</v>
      </c>
      <c r="L559" s="7">
        <f ca="1">IF(OR(S559="WTI Sprds",S559="Brent Sprds",S559="WTI-Brent",S559="DFL"),INDEX(INDIRECT("'" &amp; S559 &amp; "'!$A$6:$XFD$1048576"),MATCH('PnL26'!$P$1,INDIRECT("'" &amp; S559 &amp; "'!$A$6:$A$1048576"),0),MATCH(EOMONTH(I559,0),INDIRECT("'" &amp; S559 &amp; "'!$A$4:$XFD$4"),0)),INDEX(BBG!$A:$BA,MATCH('PnL26'!$P$1,BBG!$A:$A,0),MATCH($I559,BBG!$A$4:$BA$4,0))-INDEX(BBG!$A:$BA,MATCH('PnL26'!$P$1,BBG!$A:$A,0),MATCH($J559,BBG!$A$4:$BA$4,0)))</f>
        <v>0.75</v>
      </c>
      <c r="M559" s="9">
        <f ca="1">-(K559-L559)*Table3[[#This Row],[Quantity]]</f>
        <v>-3929.9999999999995</v>
      </c>
      <c r="N559">
        <f t="shared" si="894"/>
        <v>4680</v>
      </c>
      <c r="O559" s="14" t="str">
        <f t="shared" si="895"/>
        <v>Aug/Sep 26</v>
      </c>
      <c r="P559" s="8" t="str">
        <f t="shared" si="896"/>
        <v>Buy</v>
      </c>
      <c r="Q559">
        <f t="shared" ca="1" si="897"/>
        <v>750</v>
      </c>
      <c r="R559" t="str">
        <f>VLOOKUP(F559,Control!$B:$C,2,FALSE)</f>
        <v>Futures</v>
      </c>
      <c r="S559" t="str">
        <f>VLOOKUP(F559,Control!$B:$D,3,FALSE)</f>
        <v>WTI Sprds</v>
      </c>
      <c r="T559" s="38">
        <f t="shared" si="898"/>
        <v>2026</v>
      </c>
      <c r="U559" t="str">
        <f t="shared" si="899"/>
        <v>Buy</v>
      </c>
      <c r="V559" s="240" t="s">
        <v>96</v>
      </c>
      <c r="W559" t="str">
        <f>_xlfn.XLOOKUP(Table3[[#This Row],[Instrument]],Control!$B$2:$B$19,Control!$E$2:$E$19)</f>
        <v>WTI</v>
      </c>
      <c r="X559" s="14">
        <f>Table3[[#This Row],[Month1]]</f>
        <v>46265</v>
      </c>
      <c r="Y559" s="350">
        <f>Table3[[#This Row],[Quantity]]</f>
        <v>1000</v>
      </c>
      <c r="Z559" t="str">
        <f>_xlfn.XLOOKUP(Table3[[#This Row],[Instrument]],Control!$B$2:$B$19,Control!$F$2:$F$19)</f>
        <v>WTI</v>
      </c>
      <c r="AA559" s="14">
        <f>Table3[[#This Row],[Month2]]</f>
        <v>46295</v>
      </c>
      <c r="AB559" s="399">
        <f t="shared" si="900"/>
        <v>-1000</v>
      </c>
    </row>
    <row r="560" spans="4:28" ht="15" hidden="1" thickBot="1" x14ac:dyDescent="0.4">
      <c r="D560" s="239" t="s">
        <v>127</v>
      </c>
      <c r="E560" s="174">
        <v>46161</v>
      </c>
      <c r="F560" s="10" t="s">
        <v>3</v>
      </c>
      <c r="G560" s="4" t="s">
        <v>128</v>
      </c>
      <c r="H560" s="253">
        <v>-1000</v>
      </c>
      <c r="I560" s="172">
        <v>46234</v>
      </c>
      <c r="J560" s="172">
        <f>EOMONTH(Table3[[#This Row],[Month1]],1)</f>
        <v>46265</v>
      </c>
      <c r="K560" s="212">
        <v>5.0199999999999996</v>
      </c>
      <c r="L560" s="7">
        <f ca="1">IF(OR(S560="WTI Sprds",S560="Brent Sprds",S560="WTI-Brent",S560="DFL"),INDEX(INDIRECT("'" &amp; S560 &amp; "'!$A$6:$XFD$1048576"),MATCH('PnL26'!$P$1,INDIRECT("'" &amp; S560 &amp; "'!$A$6:$A$1048576"),0),MATCH(EOMONTH(I560,0),INDIRECT("'" &amp; S560 &amp; "'!$A$4:$XFD$4"),0)),INDEX(BBG!$A:$BA,MATCH('PnL26'!$P$1,BBG!$A:$A,0),MATCH($I560,BBG!$A$4:$BA$4,0))-INDEX(BBG!$A:$BA,MATCH('PnL26'!$P$1,BBG!$A:$A,0),MATCH($J560,BBG!$A$4:$BA$4,0)))</f>
        <v>0.75</v>
      </c>
      <c r="M560" s="9">
        <f ca="1">-(K560-L560)*Table3[[#This Row],[Quantity]]</f>
        <v>4270</v>
      </c>
      <c r="N560">
        <f t="shared" ref="N560:N571" si="901">H560*K560</f>
        <v>-5020</v>
      </c>
      <c r="O560" s="14" t="str">
        <f t="shared" ref="O560:O573" si="902">IF(I560=J560,TEXT(I560,"MMM YY"),TEXT(I560,"MMM")&amp;"/"&amp;TEXT(J560,"MMM")&amp;" "&amp;RIGHT(T560,2))</f>
        <v>Jul/Aug 26</v>
      </c>
      <c r="P560" s="8" t="str">
        <f t="shared" ref="P560:P573" si="903">IF(H560&lt;0,"Sell","Buy")</f>
        <v>Sell</v>
      </c>
      <c r="Q560">
        <f t="shared" ref="Q560:Q573" ca="1" si="904">H560*L560</f>
        <v>-750</v>
      </c>
      <c r="R560" t="str">
        <f>VLOOKUP(F560,Control!$B:$C,2,FALSE)</f>
        <v>Futures</v>
      </c>
      <c r="S560" t="str">
        <f>VLOOKUP(F560,Control!$B:$D,3,FALSE)</f>
        <v>WTI Sprds</v>
      </c>
      <c r="T560" s="38">
        <f t="shared" ref="T560:T573" si="905">YEAR(I560)</f>
        <v>2026</v>
      </c>
      <c r="U560" t="str">
        <f t="shared" ref="U560:U573" si="906">IFERROR(IF(H560&gt;0,"Buy","Sell"),"")</f>
        <v>Sell</v>
      </c>
      <c r="V560" s="240" t="s">
        <v>96</v>
      </c>
      <c r="W560" t="str">
        <f>_xlfn.XLOOKUP(Table3[[#This Row],[Instrument]],Control!$B$2:$B$19,Control!$E$2:$E$19)</f>
        <v>WTI</v>
      </c>
      <c r="X560" s="14">
        <f>Table3[[#This Row],[Month1]]</f>
        <v>46234</v>
      </c>
      <c r="Y560" s="350">
        <f>Table3[[#This Row],[Quantity]]</f>
        <v>-1000</v>
      </c>
      <c r="Z560" t="str">
        <f>_xlfn.XLOOKUP(Table3[[#This Row],[Instrument]],Control!$B$2:$B$19,Control!$F$2:$F$19)</f>
        <v>WTI</v>
      </c>
      <c r="AA560" s="14">
        <f>Table3[[#This Row],[Month2]]</f>
        <v>46265</v>
      </c>
      <c r="AB560" s="399">
        <f t="shared" ref="AB560:AB573" si="907">-Y560</f>
        <v>1000</v>
      </c>
    </row>
    <row r="561" spans="4:28" ht="15" hidden="1" thickBot="1" x14ac:dyDescent="0.4">
      <c r="D561" s="239" t="s">
        <v>127</v>
      </c>
      <c r="E561" s="174">
        <v>46161</v>
      </c>
      <c r="F561" s="10" t="s">
        <v>3</v>
      </c>
      <c r="G561" s="4" t="s">
        <v>128</v>
      </c>
      <c r="H561" s="253">
        <v>-1000</v>
      </c>
      <c r="I561" s="172">
        <v>46265</v>
      </c>
      <c r="J561" s="172">
        <f>EOMONTH(Table3[[#This Row],[Month1]],1)</f>
        <v>46295</v>
      </c>
      <c r="K561" s="212">
        <v>4.71</v>
      </c>
      <c r="L561" s="7">
        <f ca="1">IF(OR(S561="WTI Sprds",S561="Brent Sprds",S561="WTI-Brent",S561="DFL"),INDEX(INDIRECT("'" &amp; S561 &amp; "'!$A$6:$XFD$1048576"),MATCH('PnL26'!$P$1,INDIRECT("'" &amp; S561 &amp; "'!$A$6:$A$1048576"),0),MATCH(EOMONTH(I561,0),INDIRECT("'" &amp; S561 &amp; "'!$A$4:$XFD$4"),0)),INDEX(BBG!$A:$BA,MATCH('PnL26'!$P$1,BBG!$A:$A,0),MATCH($I561,BBG!$A$4:$BA$4,0))-INDEX(BBG!$A:$BA,MATCH('PnL26'!$P$1,BBG!$A:$A,0),MATCH($J561,BBG!$A$4:$BA$4,0)))</f>
        <v>0.75</v>
      </c>
      <c r="M561" s="9">
        <f ca="1">-(K561-L561)*Table3[[#This Row],[Quantity]]</f>
        <v>3960</v>
      </c>
      <c r="N561">
        <f t="shared" si="901"/>
        <v>-4710</v>
      </c>
      <c r="O561" s="14" t="str">
        <f t="shared" si="902"/>
        <v>Aug/Sep 26</v>
      </c>
      <c r="P561" s="8" t="str">
        <f t="shared" si="903"/>
        <v>Sell</v>
      </c>
      <c r="Q561">
        <f t="shared" ca="1" si="904"/>
        <v>-750</v>
      </c>
      <c r="R561" t="str">
        <f>VLOOKUP(F561,Control!$B:$C,2,FALSE)</f>
        <v>Futures</v>
      </c>
      <c r="S561" t="str">
        <f>VLOOKUP(F561,Control!$B:$D,3,FALSE)</f>
        <v>WTI Sprds</v>
      </c>
      <c r="T561" s="38">
        <f t="shared" si="905"/>
        <v>2026</v>
      </c>
      <c r="U561" t="str">
        <f t="shared" si="906"/>
        <v>Sell</v>
      </c>
      <c r="V561" s="240" t="s">
        <v>96</v>
      </c>
      <c r="W561" t="str">
        <f>_xlfn.XLOOKUP(Table3[[#This Row],[Instrument]],Control!$B$2:$B$19,Control!$E$2:$E$19)</f>
        <v>WTI</v>
      </c>
      <c r="X561" s="14">
        <f>Table3[[#This Row],[Month1]]</f>
        <v>46265</v>
      </c>
      <c r="Y561" s="350">
        <f>Table3[[#This Row],[Quantity]]</f>
        <v>-1000</v>
      </c>
      <c r="Z561" t="str">
        <f>_xlfn.XLOOKUP(Table3[[#This Row],[Instrument]],Control!$B$2:$B$19,Control!$F$2:$F$19)</f>
        <v>WTI</v>
      </c>
      <c r="AA561" s="14">
        <f>Table3[[#This Row],[Month2]]</f>
        <v>46295</v>
      </c>
      <c r="AB561" s="399">
        <f t="shared" si="907"/>
        <v>1000</v>
      </c>
    </row>
    <row r="562" spans="4:28" ht="15" hidden="1" thickBot="1" x14ac:dyDescent="0.4">
      <c r="D562" s="239" t="s">
        <v>1744</v>
      </c>
      <c r="E562" s="174">
        <v>46161</v>
      </c>
      <c r="F562" s="10" t="s">
        <v>10</v>
      </c>
      <c r="G562" s="4" t="s">
        <v>128</v>
      </c>
      <c r="H562" s="253">
        <v>540</v>
      </c>
      <c r="I562" s="172">
        <v>46265</v>
      </c>
      <c r="J562" s="172">
        <v>46265</v>
      </c>
      <c r="K562" s="212">
        <v>-7.58</v>
      </c>
      <c r="L562" s="7">
        <f ca="1">IF(OR(S562="WTI Sprds",S562="Brent Sprds",S562="WTI-Brent",S562="DFL"),INDEX(INDIRECT("'" &amp; S562 &amp; "'!$A$6:$XFD$1048576"),MATCH('PnL26'!$P$1,INDIRECT("'" &amp; S562 &amp; "'!$A$6:$A$1048576"),0),MATCH(EOMONTH(I562,0),INDIRECT("'" &amp; S562 &amp; "'!$A$4:$XFD$4"),0)),INDEX(BBG!$A:$BA,MATCH('PnL26'!$P$1,BBG!$A:$A,0),MATCH($I562,BBG!$A$4:$BA$4,0))-INDEX(BBG!$A:$BA,MATCH('PnL26'!$P$1,BBG!$A:$A,0),MATCH($J562,BBG!$A$4:$BA$4,0)))</f>
        <v>-3.42</v>
      </c>
      <c r="M562" s="9">
        <f ca="1">-(K562-L562)*Table3[[#This Row],[Quantity]]</f>
        <v>2246.4</v>
      </c>
      <c r="N562">
        <f t="shared" si="901"/>
        <v>-4093.2</v>
      </c>
      <c r="O562" s="14" t="str">
        <f t="shared" si="902"/>
        <v>Aug 26</v>
      </c>
      <c r="P562" s="8" t="str">
        <f t="shared" si="903"/>
        <v>Buy</v>
      </c>
      <c r="Q562">
        <f t="shared" ca="1" si="904"/>
        <v>-1846.8</v>
      </c>
      <c r="R562" t="str">
        <f>VLOOKUP(F562,Control!$B:$C,2,FALSE)</f>
        <v>Swaps</v>
      </c>
      <c r="S562" t="str">
        <f>VLOOKUP(F562,Control!$B:$D,3,FALSE)</f>
        <v>WTI-Brent</v>
      </c>
      <c r="T562" s="38">
        <f t="shared" si="905"/>
        <v>2026</v>
      </c>
      <c r="U562" t="str">
        <f t="shared" si="906"/>
        <v>Buy</v>
      </c>
      <c r="V562" s="240" t="s">
        <v>96</v>
      </c>
      <c r="W562" t="str">
        <f>_xlfn.XLOOKUP(Table3[[#This Row],[Instrument]],Control!$B$2:$B$19,Control!$E$2:$E$19)</f>
        <v>WTI</v>
      </c>
      <c r="X562" s="14">
        <f>Table3[[#This Row],[Month1]]</f>
        <v>46265</v>
      </c>
      <c r="Y562" s="350">
        <f>Table3[[#This Row],[Quantity]]</f>
        <v>540</v>
      </c>
      <c r="Z562" t="str">
        <f>_xlfn.XLOOKUP(Table3[[#This Row],[Instrument]],Control!$B$2:$B$19,Control!$F$2:$F$19)</f>
        <v>Brent</v>
      </c>
      <c r="AA562" s="14">
        <f>Table3[[#This Row],[Month2]]</f>
        <v>46265</v>
      </c>
      <c r="AB562" s="399">
        <f t="shared" si="907"/>
        <v>-540</v>
      </c>
    </row>
    <row r="563" spans="4:28" x14ac:dyDescent="0.35">
      <c r="D563" s="385" t="s">
        <v>1746</v>
      </c>
      <c r="E563" s="302">
        <v>46163</v>
      </c>
      <c r="F563" s="229" t="s">
        <v>19</v>
      </c>
      <c r="G563" s="380" t="s">
        <v>268</v>
      </c>
      <c r="H563" s="392">
        <v>1422</v>
      </c>
      <c r="I563" s="231">
        <v>46203</v>
      </c>
      <c r="J563" s="231">
        <v>46203</v>
      </c>
      <c r="K563" s="232">
        <f>'Cargo Econs 2026'!O185</f>
        <v>13.755494816211119</v>
      </c>
      <c r="L563" s="315">
        <f>'Cargo Econs 2026'!O186</f>
        <v>14.34</v>
      </c>
      <c r="M563" s="234">
        <f>-(K563-L563)*Table3[[#This Row],[Quantity]]</f>
        <v>831.16637134778887</v>
      </c>
      <c r="N563" s="227">
        <f t="shared" si="901"/>
        <v>19560.313628652209</v>
      </c>
      <c r="O563" s="235" t="str">
        <f t="shared" si="902"/>
        <v>Jun 26</v>
      </c>
      <c r="P563" s="236" t="str">
        <f t="shared" si="903"/>
        <v>Buy</v>
      </c>
      <c r="Q563" s="227">
        <f t="shared" si="904"/>
        <v>20391.48</v>
      </c>
      <c r="R563" s="227" t="str">
        <f>VLOOKUP(F563,Control!$B:$C,2,FALSE)</f>
        <v>Physical</v>
      </c>
      <c r="S563" s="227" t="str">
        <f>VLOOKUP(F563,Control!$B:$D,3,FALSE)</f>
        <v>Physical</v>
      </c>
      <c r="T563" s="227">
        <f t="shared" si="905"/>
        <v>2026</v>
      </c>
      <c r="U563" s="227" t="str">
        <f t="shared" si="906"/>
        <v>Buy</v>
      </c>
      <c r="V563" s="227" t="s">
        <v>96</v>
      </c>
      <c r="W563" s="227">
        <f>_xlfn.XLOOKUP(Table3[[#This Row],[Instrument]],Control!$B$2:$B$19,Control!$E$2:$E$19)</f>
        <v>0</v>
      </c>
      <c r="X563" s="235">
        <f>Table3[[#This Row],[Month1]]</f>
        <v>46203</v>
      </c>
      <c r="Y563" s="397">
        <f>Table3[[#This Row],[Quantity]]</f>
        <v>1422</v>
      </c>
      <c r="Z563" s="227">
        <f>_xlfn.XLOOKUP(Table3[[#This Row],[Instrument]],Control!$B$2:$B$19,Control!$F$2:$F$19)</f>
        <v>0</v>
      </c>
      <c r="AA563" s="235">
        <f>Table3[[#This Row],[Month2]]</f>
        <v>46203</v>
      </c>
      <c r="AB563" s="398">
        <f t="shared" si="907"/>
        <v>-1422</v>
      </c>
    </row>
    <row r="564" spans="4:28" hidden="1" x14ac:dyDescent="0.35">
      <c r="D564" s="485" t="s">
        <v>1747</v>
      </c>
      <c r="E564" s="16">
        <v>46163</v>
      </c>
      <c r="F564" s="187" t="s">
        <v>19</v>
      </c>
      <c r="G564" s="4" t="s">
        <v>268</v>
      </c>
      <c r="H564" s="269">
        <v>700</v>
      </c>
      <c r="I564" s="172">
        <v>46203</v>
      </c>
      <c r="J564" s="172">
        <v>46203</v>
      </c>
      <c r="K564" s="212">
        <f>'Cargo Econs 2026'!P185</f>
        <v>14.71549481621112</v>
      </c>
      <c r="L564" s="311">
        <f>L563</f>
        <v>14.34</v>
      </c>
      <c r="M564" s="9">
        <f>-(K564-L564)*Table3[[#This Row],[Quantity]]</f>
        <v>-262.84637134778387</v>
      </c>
      <c r="N564">
        <f t="shared" ref="N564" si="908">H564*K564</f>
        <v>10300.846371347783</v>
      </c>
      <c r="O564" s="14" t="str">
        <f t="shared" ref="O564" si="909">IF(I564=J564,TEXT(I564,"MMM YY"),TEXT(I564,"MMM")&amp;"/"&amp;TEXT(J564,"MMM")&amp;" "&amp;RIGHT(T564,2))</f>
        <v>Jun 26</v>
      </c>
      <c r="P564" s="8" t="str">
        <f t="shared" ref="P564" si="910">IF(H564&lt;0,"Sell","Buy")</f>
        <v>Buy</v>
      </c>
      <c r="Q564">
        <f t="shared" ref="Q564" si="911">H564*L564</f>
        <v>10038</v>
      </c>
      <c r="R564" t="str">
        <f>VLOOKUP(F564,Control!$B:$C,2,FALSE)</f>
        <v>Physical</v>
      </c>
      <c r="S564" t="str">
        <f>VLOOKUP(F564,Control!$B:$D,3,FALSE)</f>
        <v>Physical</v>
      </c>
      <c r="T564">
        <f t="shared" ref="T564" si="912">YEAR(I564)</f>
        <v>2026</v>
      </c>
      <c r="U564" t="str">
        <f t="shared" ref="U564" si="913">IFERROR(IF(H564&gt;0,"Buy","Sell"),"")</f>
        <v>Buy</v>
      </c>
      <c r="V564" t="s">
        <v>96</v>
      </c>
      <c r="W564">
        <f>_xlfn.XLOOKUP(Table3[[#This Row],[Instrument]],Control!$B$2:$B$19,Control!$E$2:$E$19)</f>
        <v>0</v>
      </c>
      <c r="X564" s="14">
        <f>Table3[[#This Row],[Month1]]</f>
        <v>46203</v>
      </c>
      <c r="Y564" s="350">
        <f>Table3[[#This Row],[Quantity]]</f>
        <v>700</v>
      </c>
      <c r="Z564">
        <f>_xlfn.XLOOKUP(Table3[[#This Row],[Instrument]],Control!$B$2:$B$19,Control!$F$2:$F$19)</f>
        <v>0</v>
      </c>
      <c r="AA564" s="14">
        <f>Table3[[#This Row],[Month2]]</f>
        <v>46203</v>
      </c>
      <c r="AB564" s="399">
        <f t="shared" ref="AB564" si="914">-Y564</f>
        <v>-700</v>
      </c>
    </row>
    <row r="565" spans="4:28" x14ac:dyDescent="0.35">
      <c r="D565" s="239" t="s">
        <v>1746</v>
      </c>
      <c r="E565" s="16">
        <v>46163</v>
      </c>
      <c r="F565" s="10" t="s">
        <v>3</v>
      </c>
      <c r="G565" s="4" t="s">
        <v>268</v>
      </c>
      <c r="H565" s="253">
        <f t="shared" ref="H565:H566" si="915">-$H$563</f>
        <v>-1422</v>
      </c>
      <c r="I565" s="172">
        <v>46234</v>
      </c>
      <c r="J565" s="172">
        <f>EOMONTH(Table3[[#This Row],[Month1]],1)</f>
        <v>46265</v>
      </c>
      <c r="K565" s="212">
        <v>4.2</v>
      </c>
      <c r="L565" s="7">
        <f ca="1">IF(OR(S565="WTI Sprds",S565="Brent Sprds",S565="WTI-Brent",S565="DFL"),INDEX(INDIRECT("'" &amp; S565 &amp; "'!$A$6:$XFD$1048576"),MATCH('PnL26'!$P$1,INDIRECT("'" &amp; S565 &amp; "'!$A$6:$A$1048576"),0),MATCH(EOMONTH(I565,0),INDIRECT("'" &amp; S565 &amp; "'!$A$4:$XFD$4"),0)),INDEX(BBG!$A:$BA,MATCH('PnL26'!$P$1,BBG!$A:$A,0),MATCH($I565,BBG!$A$4:$BA$4,0))-INDEX(BBG!$A:$BA,MATCH('PnL26'!$P$1,BBG!$A:$A,0),MATCH($J565,BBG!$A$4:$BA$4,0)))</f>
        <v>0.75</v>
      </c>
      <c r="M565" s="9">
        <f ca="1">-(K565-L565)*Table3[[#This Row],[Quantity]]</f>
        <v>4905.9000000000005</v>
      </c>
      <c r="N565">
        <f t="shared" si="901"/>
        <v>-5972.4000000000005</v>
      </c>
      <c r="O565" s="14" t="str">
        <f t="shared" si="902"/>
        <v>Jul/Aug 26</v>
      </c>
      <c r="P565" s="8" t="str">
        <f t="shared" si="903"/>
        <v>Sell</v>
      </c>
      <c r="Q565">
        <f t="shared" ca="1" si="904"/>
        <v>-1066.5</v>
      </c>
      <c r="R565" t="str">
        <f>VLOOKUP(F565,Control!$B:$C,2,FALSE)</f>
        <v>Futures</v>
      </c>
      <c r="S565" t="str">
        <f>VLOOKUP(F565,Control!$B:$D,3,FALSE)</f>
        <v>WTI Sprds</v>
      </c>
      <c r="T565">
        <f t="shared" si="905"/>
        <v>2026</v>
      </c>
      <c r="U565" t="str">
        <f t="shared" si="906"/>
        <v>Sell</v>
      </c>
      <c r="V565" t="s">
        <v>96</v>
      </c>
      <c r="W565" t="str">
        <f>_xlfn.XLOOKUP(Table3[[#This Row],[Instrument]],Control!$B$2:$B$19,Control!$E$2:$E$19)</f>
        <v>WTI</v>
      </c>
      <c r="X565" s="14">
        <f>Table3[[#This Row],[Month1]]</f>
        <v>46234</v>
      </c>
      <c r="Y565" s="350">
        <f>Table3[[#This Row],[Quantity]]</f>
        <v>-1422</v>
      </c>
      <c r="Z565" t="str">
        <f>_xlfn.XLOOKUP(Table3[[#This Row],[Instrument]],Control!$B$2:$B$19,Control!$F$2:$F$19)</f>
        <v>WTI</v>
      </c>
      <c r="AA565" s="14">
        <f>Table3[[#This Row],[Month2]]</f>
        <v>46265</v>
      </c>
      <c r="AB565" s="399">
        <f t="shared" si="907"/>
        <v>1422</v>
      </c>
    </row>
    <row r="566" spans="4:28" x14ac:dyDescent="0.35">
      <c r="D566" s="239" t="s">
        <v>1746</v>
      </c>
      <c r="E566" s="16">
        <v>46163</v>
      </c>
      <c r="F566" s="10" t="s">
        <v>10</v>
      </c>
      <c r="G566" s="4" t="s">
        <v>268</v>
      </c>
      <c r="H566" s="253">
        <f t="shared" si="915"/>
        <v>-1422</v>
      </c>
      <c r="I566" s="172">
        <f>J565</f>
        <v>46265</v>
      </c>
      <c r="J566" s="172">
        <f>Table3[[#This Row],[Month1]]</f>
        <v>46265</v>
      </c>
      <c r="K566" s="212">
        <v>-6.69</v>
      </c>
      <c r="L566" s="7">
        <f ca="1">IF(OR(S566="WTI Sprds",S566="Brent Sprds",S566="WTI-Brent",S566="DFL"),INDEX(INDIRECT("'" &amp; S566 &amp; "'!$A$6:$XFD$1048576"),MATCH('PnL26'!$P$1,INDIRECT("'" &amp; S566 &amp; "'!$A$6:$A$1048576"),0),MATCH(EOMONTH(I566,0),INDIRECT("'" &amp; S566 &amp; "'!$A$4:$XFD$4"),0)),INDEX(BBG!$A:$BA,MATCH('PnL26'!$P$1,BBG!$A:$A,0),MATCH($I566,BBG!$A$4:$BA$4,0))-INDEX(BBG!$A:$BA,MATCH('PnL26'!$P$1,BBG!$A:$A,0),MATCH($J566,BBG!$A$4:$BA$4,0)))</f>
        <v>-3.42</v>
      </c>
      <c r="M566" s="9">
        <f ca="1">-(K566-L566)*Table3[[#This Row],[Quantity]]</f>
        <v>-4649.9400000000005</v>
      </c>
      <c r="N566">
        <f t="shared" si="901"/>
        <v>9513.18</v>
      </c>
      <c r="O566" s="14" t="str">
        <f t="shared" si="902"/>
        <v>Aug 26</v>
      </c>
      <c r="P566" s="8" t="str">
        <f t="shared" si="903"/>
        <v>Sell</v>
      </c>
      <c r="Q566">
        <f t="shared" ca="1" si="904"/>
        <v>4863.24</v>
      </c>
      <c r="R566" t="str">
        <f>VLOOKUP(F566,Control!$B:$C,2,FALSE)</f>
        <v>Swaps</v>
      </c>
      <c r="S566" t="str">
        <f>VLOOKUP(F566,Control!$B:$D,3,FALSE)</f>
        <v>WTI-Brent</v>
      </c>
      <c r="T566">
        <f t="shared" si="905"/>
        <v>2026</v>
      </c>
      <c r="U566" t="str">
        <f t="shared" si="906"/>
        <v>Sell</v>
      </c>
      <c r="V566" t="s">
        <v>96</v>
      </c>
      <c r="W566" t="str">
        <f>_xlfn.XLOOKUP(Table3[[#This Row],[Instrument]],Control!$B$2:$B$19,Control!$E$2:$E$19)</f>
        <v>WTI</v>
      </c>
      <c r="X566" s="14">
        <f>Table3[[#This Row],[Month1]]</f>
        <v>46265</v>
      </c>
      <c r="Y566" s="350">
        <f>Table3[[#This Row],[Quantity]]</f>
        <v>-1422</v>
      </c>
      <c r="Z566" t="str">
        <f>_xlfn.XLOOKUP(Table3[[#This Row],[Instrument]],Control!$B$2:$B$19,Control!$F$2:$F$19)</f>
        <v>Brent</v>
      </c>
      <c r="AA566" s="14">
        <f>Table3[[#This Row],[Month2]]</f>
        <v>46265</v>
      </c>
      <c r="AB566" s="399">
        <f t="shared" si="907"/>
        <v>1422</v>
      </c>
    </row>
    <row r="567" spans="4:28" x14ac:dyDescent="0.35">
      <c r="D567" s="239" t="s">
        <v>1746</v>
      </c>
      <c r="E567" s="16">
        <v>46163</v>
      </c>
      <c r="F567" s="10" t="s">
        <v>7</v>
      </c>
      <c r="G567" s="4" t="s">
        <v>268</v>
      </c>
      <c r="H567" s="253">
        <f>-H563-H564</f>
        <v>-2122</v>
      </c>
      <c r="I567" s="172">
        <f>J566</f>
        <v>46265</v>
      </c>
      <c r="J567" s="172">
        <f>EOMONTH(Table3[[#This Row],[Month1]],1)</f>
        <v>46295</v>
      </c>
      <c r="K567" s="212">
        <v>4.12</v>
      </c>
      <c r="L567" s="7">
        <f ca="1">IF(OR(S567="WTI Sprds",S567="Brent Sprds",S567="WTI-Brent",S567="DFL"),INDEX(INDIRECT("'" &amp; S567 &amp; "'!$A$6:$XFD$1048576"),MATCH('PnL26'!$P$1,INDIRECT("'" &amp; S567 &amp; "'!$A$6:$A$1048576"),0),MATCH(EOMONTH(I567,0),INDIRECT("'" &amp; S567 &amp; "'!$A$4:$XFD$4"),0)),INDEX(BBG!$A:$BA,MATCH('PnL26'!$P$1,BBG!$A:$A,0),MATCH($I567,BBG!$A$4:$BA$4,0))-INDEX(BBG!$A:$BA,MATCH('PnL26'!$P$1,BBG!$A:$A,0),MATCH($J567,BBG!$A$4:$BA$4,0)))</f>
        <v>-0.03</v>
      </c>
      <c r="M567" s="9">
        <f ca="1">-(K567-L567)*Table3[[#This Row],[Quantity]]</f>
        <v>8806.3000000000011</v>
      </c>
      <c r="N567">
        <f t="shared" si="901"/>
        <v>-8742.64</v>
      </c>
      <c r="O567" s="14" t="str">
        <f t="shared" si="902"/>
        <v>Aug/Sep 26</v>
      </c>
      <c r="P567" s="8" t="str">
        <f t="shared" si="903"/>
        <v>Sell</v>
      </c>
      <c r="Q567">
        <f t="shared" ca="1" si="904"/>
        <v>63.66</v>
      </c>
      <c r="R567" t="str">
        <f>VLOOKUP(F567,Control!$B:$C,2,FALSE)</f>
        <v>Futures</v>
      </c>
      <c r="S567" t="str">
        <f>VLOOKUP(F567,Control!$B:$D,3,FALSE)</f>
        <v>Brent Sprds</v>
      </c>
      <c r="T567">
        <f t="shared" si="905"/>
        <v>2026</v>
      </c>
      <c r="U567" t="str">
        <f t="shared" si="906"/>
        <v>Sell</v>
      </c>
      <c r="V567" t="s">
        <v>96</v>
      </c>
      <c r="W567" t="str">
        <f>_xlfn.XLOOKUP(Table3[[#This Row],[Instrument]],Control!$B$2:$B$19,Control!$E$2:$E$19)</f>
        <v>Brent</v>
      </c>
      <c r="X567" s="14">
        <f>Table3[[#This Row],[Month1]]</f>
        <v>46265</v>
      </c>
      <c r="Y567" s="350">
        <f>Table3[[#This Row],[Quantity]]</f>
        <v>-2122</v>
      </c>
      <c r="Z567" t="str">
        <f>_xlfn.XLOOKUP(Table3[[#This Row],[Instrument]],Control!$B$2:$B$19,Control!$F$2:$F$19)</f>
        <v>Brent</v>
      </c>
      <c r="AA567" s="14">
        <f>Table3[[#This Row],[Month2]]</f>
        <v>46295</v>
      </c>
      <c r="AB567" s="399">
        <f t="shared" si="907"/>
        <v>2122</v>
      </c>
    </row>
    <row r="568" spans="4:28" x14ac:dyDescent="0.35">
      <c r="D568" s="239" t="s">
        <v>1746</v>
      </c>
      <c r="E568" s="16">
        <v>46163</v>
      </c>
      <c r="F568" s="10" t="s">
        <v>7</v>
      </c>
      <c r="G568" s="4" t="s">
        <v>268</v>
      </c>
      <c r="H568" s="253"/>
      <c r="I568" s="172">
        <f>J567</f>
        <v>46295</v>
      </c>
      <c r="J568" s="172">
        <f>EOMONTH(Table3[[#This Row],[Month1]],1)</f>
        <v>46326</v>
      </c>
      <c r="K568" s="212">
        <v>3.27</v>
      </c>
      <c r="L568" s="7">
        <f ca="1">IF(OR(S568="WTI Sprds",S568="Brent Sprds",S568="WTI-Brent",S568="DFL"),INDEX(INDIRECT("'" &amp; S568 &amp; "'!$A$6:$XFD$1048576"),MATCH('PnL26'!$P$1,INDIRECT("'" &amp; S568 &amp; "'!$A$6:$A$1048576"),0),MATCH(EOMONTH(I568,0),INDIRECT("'" &amp; S568 &amp; "'!$A$4:$XFD$4"),0)),INDEX(BBG!$A:$BA,MATCH('PnL26'!$P$1,BBG!$A:$A,0),MATCH($I568,BBG!$A$4:$BA$4,0))-INDEX(BBG!$A:$BA,MATCH('PnL26'!$P$1,BBG!$A:$A,0),MATCH($J568,BBG!$A$4:$BA$4,0)))</f>
        <v>2.19</v>
      </c>
      <c r="M568" s="9">
        <f ca="1">-(K568-L568)*Table3[[#This Row],[Quantity]]</f>
        <v>0</v>
      </c>
      <c r="N568">
        <f t="shared" si="901"/>
        <v>0</v>
      </c>
      <c r="O568" s="14" t="str">
        <f t="shared" si="902"/>
        <v>Sep/Oct 26</v>
      </c>
      <c r="P568" s="8" t="str">
        <f t="shared" si="903"/>
        <v>Buy</v>
      </c>
      <c r="Q568">
        <f t="shared" ca="1" si="904"/>
        <v>0</v>
      </c>
      <c r="R568" t="str">
        <f>VLOOKUP(F568,Control!$B:$C,2,FALSE)</f>
        <v>Futures</v>
      </c>
      <c r="S568" t="str">
        <f>VLOOKUP(F568,Control!$B:$D,3,FALSE)</f>
        <v>Brent Sprds</v>
      </c>
      <c r="T568">
        <f t="shared" si="905"/>
        <v>2026</v>
      </c>
      <c r="U568" t="str">
        <f t="shared" si="906"/>
        <v>Sell</v>
      </c>
      <c r="V568" t="s">
        <v>96</v>
      </c>
      <c r="W568" t="str">
        <f>_xlfn.XLOOKUP(Table3[[#This Row],[Instrument]],Control!$B$2:$B$19,Control!$E$2:$E$19)</f>
        <v>Brent</v>
      </c>
      <c r="X568" s="14">
        <f>Table3[[#This Row],[Month1]]</f>
        <v>46295</v>
      </c>
      <c r="Y568" s="350">
        <f>Table3[[#This Row],[Quantity]]</f>
        <v>0</v>
      </c>
      <c r="Z568" t="str">
        <f>_xlfn.XLOOKUP(Table3[[#This Row],[Instrument]],Control!$B$2:$B$19,Control!$F$2:$F$19)</f>
        <v>Brent</v>
      </c>
      <c r="AA568" s="14">
        <f>Table3[[#This Row],[Month2]]</f>
        <v>46326</v>
      </c>
      <c r="AB568" s="399">
        <f t="shared" si="907"/>
        <v>0</v>
      </c>
    </row>
    <row r="569" spans="4:28" x14ac:dyDescent="0.35">
      <c r="D569" s="239" t="s">
        <v>1746</v>
      </c>
      <c r="E569" s="16">
        <v>46163</v>
      </c>
      <c r="F569" s="10" t="s">
        <v>3</v>
      </c>
      <c r="G569" s="4" t="s">
        <v>128</v>
      </c>
      <c r="H569" s="253">
        <v>1400</v>
      </c>
      <c r="I569" s="172">
        <v>46234</v>
      </c>
      <c r="J569" s="172">
        <f>EOMONTH(Table3[[#This Row],[Month1]],1)</f>
        <v>46265</v>
      </c>
      <c r="K569" s="212">
        <v>3.45</v>
      </c>
      <c r="L569" s="7">
        <f ca="1">IF(OR(S569="WTI Sprds",S569="Brent Sprds",S569="WTI-Brent",S569="DFL"),INDEX(INDIRECT("'" &amp; S569 &amp; "'!$A$6:$XFD$1048576"),MATCH('PnL26'!$P$1,INDIRECT("'" &amp; S569 &amp; "'!$A$6:$A$1048576"),0),MATCH(EOMONTH(I569,0),INDIRECT("'" &amp; S569 &amp; "'!$A$4:$XFD$4"),0)),INDEX(BBG!$A:$BA,MATCH('PnL26'!$P$1,BBG!$A:$A,0),MATCH($I569,BBG!$A$4:$BA$4,0))-INDEX(BBG!$A:$BA,MATCH('PnL26'!$P$1,BBG!$A:$A,0),MATCH($J569,BBG!$A$4:$BA$4,0)))</f>
        <v>0.75</v>
      </c>
      <c r="M569" s="9">
        <f ca="1">-(K569-L569)*Table3[[#This Row],[Quantity]]</f>
        <v>-3780.0000000000005</v>
      </c>
      <c r="N569">
        <f t="shared" si="901"/>
        <v>4830</v>
      </c>
      <c r="O569" s="14" t="str">
        <f t="shared" si="902"/>
        <v>Jul/Aug 26</v>
      </c>
      <c r="P569" s="8" t="str">
        <f t="shared" si="903"/>
        <v>Buy</v>
      </c>
      <c r="Q569">
        <f t="shared" ca="1" si="904"/>
        <v>1050</v>
      </c>
      <c r="R569" t="str">
        <f>VLOOKUP(F569,Control!$B:$C,2,FALSE)</f>
        <v>Futures</v>
      </c>
      <c r="S569" t="str">
        <f>VLOOKUP(F569,Control!$B:$D,3,FALSE)</f>
        <v>WTI Sprds</v>
      </c>
      <c r="T569">
        <f t="shared" si="905"/>
        <v>2026</v>
      </c>
      <c r="U569" t="str">
        <f t="shared" si="906"/>
        <v>Buy</v>
      </c>
      <c r="V569" t="s">
        <v>96</v>
      </c>
      <c r="W569" t="str">
        <f>_xlfn.XLOOKUP(Table3[[#This Row],[Instrument]],Control!$B$2:$B$19,Control!$E$2:$E$19)</f>
        <v>WTI</v>
      </c>
      <c r="X569" s="14">
        <f>Table3[[#This Row],[Month1]]</f>
        <v>46234</v>
      </c>
      <c r="Y569" s="350">
        <f>Table3[[#This Row],[Quantity]]</f>
        <v>1400</v>
      </c>
      <c r="Z569" t="str">
        <f>_xlfn.XLOOKUP(Table3[[#This Row],[Instrument]],Control!$B$2:$B$19,Control!$F$2:$F$19)</f>
        <v>WTI</v>
      </c>
      <c r="AA569" s="14">
        <f>Table3[[#This Row],[Month2]]</f>
        <v>46265</v>
      </c>
      <c r="AB569" s="399">
        <f t="shared" si="907"/>
        <v>-1400</v>
      </c>
    </row>
    <row r="570" spans="4:28" x14ac:dyDescent="0.35">
      <c r="D570" s="239" t="s">
        <v>1746</v>
      </c>
      <c r="E570" s="16">
        <v>46163</v>
      </c>
      <c r="F570" s="10" t="s">
        <v>10</v>
      </c>
      <c r="G570" s="4" t="s">
        <v>128</v>
      </c>
      <c r="H570" s="253">
        <v>1400</v>
      </c>
      <c r="I570" s="172">
        <f>J569</f>
        <v>46265</v>
      </c>
      <c r="J570" s="172">
        <f>Table3[[#This Row],[Month1]]</f>
        <v>46265</v>
      </c>
      <c r="K570" s="212">
        <v>-6.6</v>
      </c>
      <c r="L570" s="7">
        <f ca="1">IF(OR(S570="WTI Sprds",S570="Brent Sprds",S570="WTI-Brent",S570="DFL"),INDEX(INDIRECT("'" &amp; S570 &amp; "'!$A$6:$XFD$1048576"),MATCH('PnL26'!$P$1,INDIRECT("'" &amp; S570 &amp; "'!$A$6:$A$1048576"),0),MATCH(EOMONTH(I570,0),INDIRECT("'" &amp; S570 &amp; "'!$A$4:$XFD$4"),0)),INDEX(BBG!$A:$BA,MATCH('PnL26'!$P$1,BBG!$A:$A,0),MATCH($I570,BBG!$A$4:$BA$4,0))-INDEX(BBG!$A:$BA,MATCH('PnL26'!$P$1,BBG!$A:$A,0),MATCH($J570,BBG!$A$4:$BA$4,0)))</f>
        <v>-3.42</v>
      </c>
      <c r="M570" s="9">
        <f ca="1">-(K570-L570)*Table3[[#This Row],[Quantity]]</f>
        <v>4452</v>
      </c>
      <c r="N570">
        <f t="shared" si="901"/>
        <v>-9240</v>
      </c>
      <c r="O570" s="14" t="str">
        <f t="shared" si="902"/>
        <v>Aug 26</v>
      </c>
      <c r="P570" s="8" t="str">
        <f t="shared" si="903"/>
        <v>Buy</v>
      </c>
      <c r="Q570">
        <f t="shared" ca="1" si="904"/>
        <v>-4788</v>
      </c>
      <c r="R570" t="str">
        <f>VLOOKUP(F570,Control!$B:$C,2,FALSE)</f>
        <v>Swaps</v>
      </c>
      <c r="S570" t="str">
        <f>VLOOKUP(F570,Control!$B:$D,3,FALSE)</f>
        <v>WTI-Brent</v>
      </c>
      <c r="T570">
        <f t="shared" si="905"/>
        <v>2026</v>
      </c>
      <c r="U570" t="str">
        <f t="shared" si="906"/>
        <v>Buy</v>
      </c>
      <c r="V570" t="s">
        <v>96</v>
      </c>
      <c r="W570" t="str">
        <f>_xlfn.XLOOKUP(Table3[[#This Row],[Instrument]],Control!$B$2:$B$19,Control!$E$2:$E$19)</f>
        <v>WTI</v>
      </c>
      <c r="X570" s="14">
        <f>Table3[[#This Row],[Month1]]</f>
        <v>46265</v>
      </c>
      <c r="Y570" s="350">
        <f>Table3[[#This Row],[Quantity]]</f>
        <v>1400</v>
      </c>
      <c r="Z570" t="str">
        <f>_xlfn.XLOOKUP(Table3[[#This Row],[Instrument]],Control!$B$2:$B$19,Control!$F$2:$F$19)</f>
        <v>Brent</v>
      </c>
      <c r="AA570" s="14">
        <f>Table3[[#This Row],[Month2]]</f>
        <v>46265</v>
      </c>
      <c r="AB570" s="399">
        <f t="shared" si="907"/>
        <v>-1400</v>
      </c>
    </row>
    <row r="571" spans="4:28" x14ac:dyDescent="0.35">
      <c r="D571" s="239" t="s">
        <v>1746</v>
      </c>
      <c r="E571" s="16">
        <v>46163</v>
      </c>
      <c r="F571" s="10" t="s">
        <v>7</v>
      </c>
      <c r="G571" s="4" t="s">
        <v>128</v>
      </c>
      <c r="H571" s="253">
        <v>1400</v>
      </c>
      <c r="I571" s="172">
        <f>J570</f>
        <v>46265</v>
      </c>
      <c r="J571" s="172">
        <f>EOMONTH(Table3[[#This Row],[Month1]],1)</f>
        <v>46295</v>
      </c>
      <c r="K571" s="212">
        <v>3.5</v>
      </c>
      <c r="L571" s="7">
        <f ca="1">IF(OR(S571="WTI Sprds",S571="Brent Sprds",S571="WTI-Brent",S571="DFL"),INDEX(INDIRECT("'" &amp; S571 &amp; "'!$A$6:$XFD$1048576"),MATCH('PnL26'!$P$1,INDIRECT("'" &amp; S571 &amp; "'!$A$6:$A$1048576"),0),MATCH(EOMONTH(I571,0),INDIRECT("'" &amp; S571 &amp; "'!$A$4:$XFD$4"),0)),INDEX(BBG!$A:$BA,MATCH('PnL26'!$P$1,BBG!$A:$A,0),MATCH($I571,BBG!$A$4:$BA$4,0))-INDEX(BBG!$A:$BA,MATCH('PnL26'!$P$1,BBG!$A:$A,0),MATCH($J571,BBG!$A$4:$BA$4,0)))</f>
        <v>-0.03</v>
      </c>
      <c r="M571" s="9">
        <f ca="1">-(K571-L571)*Table3[[#This Row],[Quantity]]</f>
        <v>-4942</v>
      </c>
      <c r="N571">
        <f t="shared" si="901"/>
        <v>4900</v>
      </c>
      <c r="O571" s="14" t="str">
        <f t="shared" si="902"/>
        <v>Aug/Sep 26</v>
      </c>
      <c r="P571" s="8" t="str">
        <f t="shared" si="903"/>
        <v>Buy</v>
      </c>
      <c r="Q571">
        <f t="shared" ca="1" si="904"/>
        <v>-42</v>
      </c>
      <c r="R571" t="str">
        <f>VLOOKUP(F571,Control!$B:$C,2,FALSE)</f>
        <v>Futures</v>
      </c>
      <c r="S571" t="str">
        <f>VLOOKUP(F571,Control!$B:$D,3,FALSE)</f>
        <v>Brent Sprds</v>
      </c>
      <c r="T571">
        <f t="shared" si="905"/>
        <v>2026</v>
      </c>
      <c r="U571" t="str">
        <f t="shared" si="906"/>
        <v>Buy</v>
      </c>
      <c r="V571" t="s">
        <v>96</v>
      </c>
      <c r="W571" t="str">
        <f>_xlfn.XLOOKUP(Table3[[#This Row],[Instrument]],Control!$B$2:$B$19,Control!$E$2:$E$19)</f>
        <v>Brent</v>
      </c>
      <c r="X571" s="14">
        <f>Table3[[#This Row],[Month1]]</f>
        <v>46265</v>
      </c>
      <c r="Y571" s="350">
        <f>Table3[[#This Row],[Quantity]]</f>
        <v>1400</v>
      </c>
      <c r="Z571" t="str">
        <f>_xlfn.XLOOKUP(Table3[[#This Row],[Instrument]],Control!$B$2:$B$19,Control!$F$2:$F$19)</f>
        <v>Brent</v>
      </c>
      <c r="AA571" s="14">
        <f>Table3[[#This Row],[Month2]]</f>
        <v>46295</v>
      </c>
      <c r="AB571" s="399">
        <f t="shared" si="907"/>
        <v>-1400</v>
      </c>
    </row>
    <row r="572" spans="4:28" x14ac:dyDescent="0.35">
      <c r="D572" s="239" t="s">
        <v>1746</v>
      </c>
      <c r="E572" s="16">
        <v>46163</v>
      </c>
      <c r="F572" s="47" t="s">
        <v>28</v>
      </c>
      <c r="G572" s="4" t="s">
        <v>268</v>
      </c>
      <c r="H572" s="253">
        <v>-2000</v>
      </c>
      <c r="I572" s="172">
        <v>46173</v>
      </c>
      <c r="J572" s="172">
        <v>46173</v>
      </c>
      <c r="K572" s="212">
        <v>17800</v>
      </c>
      <c r="L572" s="314">
        <f>K572</f>
        <v>17800</v>
      </c>
      <c r="M572" s="9">
        <f>-(K572-L572)*Table3[[#This Row],[Quantity]]</f>
        <v>0</v>
      </c>
      <c r="N572" s="91">
        <f>L572-K572</f>
        <v>0</v>
      </c>
      <c r="O572" s="14" t="str">
        <f t="shared" si="902"/>
        <v>May 26</v>
      </c>
      <c r="P572" s="8" t="str">
        <f t="shared" si="903"/>
        <v>Sell</v>
      </c>
      <c r="Q572">
        <f t="shared" si="904"/>
        <v>-35600000</v>
      </c>
      <c r="R572" t="str">
        <f>VLOOKUP(F572,Control!$B:$C,2,FALSE)</f>
        <v>Freight</v>
      </c>
      <c r="S572" t="str">
        <f>VLOOKUP(F572,Control!$B:$D,3,FALSE)</f>
        <v>Freight</v>
      </c>
      <c r="T572">
        <f t="shared" si="905"/>
        <v>2026</v>
      </c>
      <c r="U572" t="str">
        <f t="shared" si="906"/>
        <v>Sell</v>
      </c>
      <c r="V572" t="s">
        <v>96</v>
      </c>
      <c r="W572" t="e">
        <f>_xlfn.XLOOKUP(Table3[[#This Row],[Instrument]],Control!$B$2:$B$19,Control!$E$2:$E$19)</f>
        <v>#N/A</v>
      </c>
      <c r="X572" s="14">
        <f>Table3[[#This Row],[Month1]]</f>
        <v>46173</v>
      </c>
      <c r="Y572" s="350">
        <f>Table3[[#This Row],[Quantity]]</f>
        <v>-2000</v>
      </c>
      <c r="Z572" t="e">
        <f>_xlfn.XLOOKUP(Table3[[#This Row],[Instrument]],Control!$B$2:$B$19,Control!$F$2:$F$19)</f>
        <v>#N/A</v>
      </c>
      <c r="AA572" s="14">
        <f>Table3[[#This Row],[Month2]]</f>
        <v>46173</v>
      </c>
      <c r="AB572" s="399">
        <f t="shared" si="907"/>
        <v>2000</v>
      </c>
    </row>
    <row r="573" spans="4:28" ht="15" thickBot="1" x14ac:dyDescent="0.4">
      <c r="D573" s="383" t="s">
        <v>1746</v>
      </c>
      <c r="E573" s="316">
        <v>46163</v>
      </c>
      <c r="F573" s="242" t="s">
        <v>28</v>
      </c>
      <c r="G573" s="317" t="s">
        <v>128</v>
      </c>
      <c r="H573" s="277">
        <v>2000</v>
      </c>
      <c r="I573" s="244">
        <v>46173</v>
      </c>
      <c r="J573" s="244">
        <v>46173</v>
      </c>
      <c r="K573" s="384">
        <v>17300</v>
      </c>
      <c r="L573" s="319">
        <f>L572</f>
        <v>17800</v>
      </c>
      <c r="M573" s="247">
        <f>K572-Table3[[#This Row],[Price]]</f>
        <v>500</v>
      </c>
      <c r="N573" s="252">
        <f>K572-K573</f>
        <v>500</v>
      </c>
      <c r="O573" s="248" t="str">
        <f t="shared" si="902"/>
        <v>May 26</v>
      </c>
      <c r="P573" s="249" t="str">
        <f t="shared" si="903"/>
        <v>Buy</v>
      </c>
      <c r="Q573" s="160">
        <f t="shared" si="904"/>
        <v>35600000</v>
      </c>
      <c r="R573" s="160" t="str">
        <f>VLOOKUP(F573,Control!$B:$C,2,FALSE)</f>
        <v>Freight</v>
      </c>
      <c r="S573" s="160" t="str">
        <f>VLOOKUP(F573,Control!$B:$D,3,FALSE)</f>
        <v>Freight</v>
      </c>
      <c r="T573" s="160">
        <f t="shared" si="905"/>
        <v>2026</v>
      </c>
      <c r="U573" s="160" t="str">
        <f t="shared" si="906"/>
        <v>Buy</v>
      </c>
      <c r="V573" s="160" t="s">
        <v>96</v>
      </c>
      <c r="W573" s="160" t="e">
        <f>_xlfn.XLOOKUP(Table3[[#This Row],[Instrument]],Control!$B$2:$B$19,Control!$E$2:$E$19)</f>
        <v>#N/A</v>
      </c>
      <c r="X573" s="248">
        <f>Table3[[#This Row],[Month1]]</f>
        <v>46173</v>
      </c>
      <c r="Y573" s="400">
        <f>Table3[[#This Row],[Quantity]]</f>
        <v>2000</v>
      </c>
      <c r="Z573" s="160" t="e">
        <f>_xlfn.XLOOKUP(Table3[[#This Row],[Instrument]],Control!$B$2:$B$19,Control!$F$2:$F$19)</f>
        <v>#N/A</v>
      </c>
      <c r="AA573" s="248">
        <f>Table3[[#This Row],[Month2]]</f>
        <v>46173</v>
      </c>
      <c r="AB573" s="401">
        <f t="shared" si="907"/>
        <v>-2000</v>
      </c>
    </row>
    <row r="574" spans="4:28" x14ac:dyDescent="0.35">
      <c r="D574" s="239" t="s">
        <v>1746</v>
      </c>
      <c r="E574" s="174">
        <v>46163</v>
      </c>
      <c r="F574" s="10" t="s">
        <v>7</v>
      </c>
      <c r="G574" s="4" t="s">
        <v>128</v>
      </c>
      <c r="H574" s="253">
        <v>-232</v>
      </c>
      <c r="I574" s="172">
        <v>46234</v>
      </c>
      <c r="J574" s="172">
        <f>EOMONTH(Table3[[#This Row],[Month1]],1)</f>
        <v>46265</v>
      </c>
      <c r="K574" s="212">
        <v>3.08</v>
      </c>
      <c r="L574" s="7">
        <f ca="1">IF(OR(S574="WTI Sprds",S574="Brent Sprds",S574="WTI-Brent",S574="DFL"),INDEX(INDIRECT("'" &amp; S574 &amp; "'!$A$6:$XFD$1048576"),MATCH('PnL26'!$P$1,INDIRECT("'" &amp; S574 &amp; "'!$A$6:$A$1048576"),0),MATCH(EOMONTH(I574,0),INDIRECT("'" &amp; S574 &amp; "'!$A$4:$XFD$4"),0)),INDEX(BBG!$A:$BA,MATCH('PnL26'!$P$1,BBG!$A:$A,0),MATCH($I574,BBG!$A$4:$BA$4,0))-INDEX(BBG!$A:$BA,MATCH('PnL26'!$P$1,BBG!$A:$A,0),MATCH($J574,BBG!$A$4:$BA$4,0)))</f>
        <v>0.93</v>
      </c>
      <c r="M574" s="9">
        <f ca="1">-(K574-L574)*Table3[[#This Row],[Quantity]]</f>
        <v>498.79999999999995</v>
      </c>
      <c r="N574">
        <f t="shared" ref="N574:N584" si="916">K573-K574</f>
        <v>17296.919999999998</v>
      </c>
      <c r="O574" s="14" t="str">
        <f t="shared" ref="O574:O584" si="917">IF(I574=J574,TEXT(I574,"MMM YY"),TEXT(I574,"MMM")&amp;"/"&amp;TEXT(J574,"MMM")&amp;" "&amp;RIGHT(T574,2))</f>
        <v>Jul/Aug 26</v>
      </c>
      <c r="P574" s="8" t="str">
        <f t="shared" ref="P574:P584" si="918">IF(H574&lt;0,"Sell","Buy")</f>
        <v>Sell</v>
      </c>
      <c r="Q574">
        <f t="shared" ref="Q574:Q584" ca="1" si="919">H574*L574</f>
        <v>-215.76000000000002</v>
      </c>
      <c r="R574" t="str">
        <f>VLOOKUP(F574,Control!$B:$C,2,FALSE)</f>
        <v>Futures</v>
      </c>
      <c r="S574" t="str">
        <f>VLOOKUP(F574,Control!$B:$D,3,FALSE)</f>
        <v>Brent Sprds</v>
      </c>
      <c r="T574" s="38">
        <f t="shared" ref="T574:T584" si="920">YEAR(I574)</f>
        <v>2026</v>
      </c>
      <c r="U574" t="str">
        <f t="shared" ref="U574:U584" si="921">IFERROR(IF(H574&gt;0,"Buy","Sell"),"")</f>
        <v>Sell</v>
      </c>
      <c r="V574" t="s">
        <v>96</v>
      </c>
      <c r="W574" t="str">
        <f>_xlfn.XLOOKUP(Table3[[#This Row],[Instrument]],Control!$B$2:$B$19,Control!$E$2:$E$19)</f>
        <v>Brent</v>
      </c>
      <c r="X574" s="14">
        <f>Table3[[#This Row],[Month1]]</f>
        <v>46234</v>
      </c>
      <c r="Y574" s="350">
        <f>Table3[[#This Row],[Quantity]]</f>
        <v>-232</v>
      </c>
      <c r="Z574" t="str">
        <f>_xlfn.XLOOKUP(Table3[[#This Row],[Instrument]],Control!$B$2:$B$19,Control!$F$2:$F$19)</f>
        <v>Brent</v>
      </c>
      <c r="AA574" s="14">
        <f>Table3[[#This Row],[Month2]]</f>
        <v>46265</v>
      </c>
      <c r="AB574" s="399">
        <f t="shared" ref="AB574:AB584" si="922">-Y574</f>
        <v>232</v>
      </c>
    </row>
    <row r="575" spans="4:28" x14ac:dyDescent="0.35">
      <c r="D575" s="239" t="s">
        <v>1746</v>
      </c>
      <c r="E575" s="174">
        <v>46164</v>
      </c>
      <c r="F575" s="10" t="s">
        <v>7</v>
      </c>
      <c r="G575" s="4" t="s">
        <v>128</v>
      </c>
      <c r="H575" s="253">
        <v>594</v>
      </c>
      <c r="I575" s="172">
        <v>46265</v>
      </c>
      <c r="J575" s="172">
        <f>EOMONTH(Table3[[#This Row],[Month1]],1)</f>
        <v>46295</v>
      </c>
      <c r="K575" s="212">
        <v>3.645</v>
      </c>
      <c r="L575" s="7">
        <f ca="1">IF(OR(S575="WTI Sprds",S575="Brent Sprds",S575="WTI-Brent",S575="DFL"),INDEX(INDIRECT("'" &amp; S575 &amp; "'!$A$6:$XFD$1048576"),MATCH('PnL26'!$P$1,INDIRECT("'" &amp; S575 &amp; "'!$A$6:$A$1048576"),0),MATCH(EOMONTH(I575,0),INDIRECT("'" &amp; S575 &amp; "'!$A$4:$XFD$4"),0)),INDEX(BBG!$A:$BA,MATCH('PnL26'!$P$1,BBG!$A:$A,0),MATCH($I575,BBG!$A$4:$BA$4,0))-INDEX(BBG!$A:$BA,MATCH('PnL26'!$P$1,BBG!$A:$A,0),MATCH($J575,BBG!$A$4:$BA$4,0)))</f>
        <v>-0.03</v>
      </c>
      <c r="M575" s="9">
        <f ca="1">-(K575-L575)*Table3[[#This Row],[Quantity]]</f>
        <v>-2182.9499999999998</v>
      </c>
      <c r="N575">
        <f t="shared" si="916"/>
        <v>-0.56499999999999995</v>
      </c>
      <c r="O575" s="14" t="str">
        <f t="shared" si="917"/>
        <v>Aug/Sep 26</v>
      </c>
      <c r="P575" s="8" t="str">
        <f t="shared" si="918"/>
        <v>Buy</v>
      </c>
      <c r="Q575">
        <f t="shared" ca="1" si="919"/>
        <v>-17.82</v>
      </c>
      <c r="R575" t="str">
        <f>VLOOKUP(F575,Control!$B:$C,2,FALSE)</f>
        <v>Futures</v>
      </c>
      <c r="S575" t="str">
        <f>VLOOKUP(F575,Control!$B:$D,3,FALSE)</f>
        <v>Brent Sprds</v>
      </c>
      <c r="T575" s="38">
        <f t="shared" si="920"/>
        <v>2026</v>
      </c>
      <c r="U575" t="str">
        <f t="shared" si="921"/>
        <v>Buy</v>
      </c>
      <c r="V575" t="s">
        <v>96</v>
      </c>
      <c r="W575" t="str">
        <f>_xlfn.XLOOKUP(Table3[[#This Row],[Instrument]],Control!$B$2:$B$19,Control!$E$2:$E$19)</f>
        <v>Brent</v>
      </c>
      <c r="X575" s="14">
        <f>Table3[[#This Row],[Month1]]</f>
        <v>46265</v>
      </c>
      <c r="Y575" s="350">
        <f>Table3[[#This Row],[Quantity]]</f>
        <v>594</v>
      </c>
      <c r="Z575" t="str">
        <f>_xlfn.XLOOKUP(Table3[[#This Row],[Instrument]],Control!$B$2:$B$19,Control!$F$2:$F$19)</f>
        <v>Brent</v>
      </c>
      <c r="AA575" s="14">
        <f>Table3[[#This Row],[Month2]]</f>
        <v>46295</v>
      </c>
      <c r="AB575" s="399">
        <f t="shared" si="922"/>
        <v>-594</v>
      </c>
    </row>
    <row r="576" spans="4:28" hidden="1" x14ac:dyDescent="0.35">
      <c r="D576" s="239" t="s">
        <v>127</v>
      </c>
      <c r="E576" s="174">
        <v>46164</v>
      </c>
      <c r="F576" s="10" t="s">
        <v>7</v>
      </c>
      <c r="G576" s="4" t="s">
        <v>128</v>
      </c>
      <c r="H576" s="253">
        <v>182</v>
      </c>
      <c r="I576" s="172">
        <v>46295</v>
      </c>
      <c r="J576" s="172">
        <f>EOMONTH(Table3[[#This Row],[Month1]],1)</f>
        <v>46326</v>
      </c>
      <c r="K576" s="212">
        <v>3.38</v>
      </c>
      <c r="L576" s="7">
        <f ca="1">IF(OR(S576="WTI Sprds",S576="Brent Sprds",S576="WTI-Brent",S576="DFL"),INDEX(INDIRECT("'" &amp; S576 &amp; "'!$A$6:$XFD$1048576"),MATCH('PnL26'!$P$1,INDIRECT("'" &amp; S576 &amp; "'!$A$6:$A$1048576"),0),MATCH(EOMONTH(I576,0),INDIRECT("'" &amp; S576 &amp; "'!$A$4:$XFD$4"),0)),INDEX(BBG!$A:$BA,MATCH('PnL26'!$P$1,BBG!$A:$A,0),MATCH($I576,BBG!$A$4:$BA$4,0))-INDEX(BBG!$A:$BA,MATCH('PnL26'!$P$1,BBG!$A:$A,0),MATCH($J576,BBG!$A$4:$BA$4,0)))</f>
        <v>2.19</v>
      </c>
      <c r="M576" s="9">
        <f ca="1">-(K576-L576)*Table3[[#This Row],[Quantity]]</f>
        <v>-216.57999999999998</v>
      </c>
      <c r="N576">
        <f t="shared" si="916"/>
        <v>0.26500000000000012</v>
      </c>
      <c r="O576" s="14" t="str">
        <f t="shared" si="917"/>
        <v>Sep/Oct 26</v>
      </c>
      <c r="P576" s="8" t="str">
        <f t="shared" si="918"/>
        <v>Buy</v>
      </c>
      <c r="Q576">
        <f t="shared" ca="1" si="919"/>
        <v>398.58</v>
      </c>
      <c r="R576" t="str">
        <f>VLOOKUP(F576,Control!$B:$C,2,FALSE)</f>
        <v>Futures</v>
      </c>
      <c r="S576" t="str">
        <f>VLOOKUP(F576,Control!$B:$D,3,FALSE)</f>
        <v>Brent Sprds</v>
      </c>
      <c r="T576" s="38">
        <f t="shared" si="920"/>
        <v>2026</v>
      </c>
      <c r="U576" t="str">
        <f t="shared" si="921"/>
        <v>Buy</v>
      </c>
      <c r="V576" t="s">
        <v>96</v>
      </c>
      <c r="W576" t="str">
        <f>_xlfn.XLOOKUP(Table3[[#This Row],[Instrument]],Control!$B$2:$B$19,Control!$E$2:$E$19)</f>
        <v>Brent</v>
      </c>
      <c r="X576" s="14">
        <f>Table3[[#This Row],[Month1]]</f>
        <v>46295</v>
      </c>
      <c r="Y576" s="350">
        <f>Table3[[#This Row],[Quantity]]</f>
        <v>182</v>
      </c>
      <c r="Z576" t="str">
        <f>_xlfn.XLOOKUP(Table3[[#This Row],[Instrument]],Control!$B$2:$B$19,Control!$F$2:$F$19)</f>
        <v>Brent</v>
      </c>
      <c r="AA576" s="14">
        <f>Table3[[#This Row],[Month2]]</f>
        <v>46326</v>
      </c>
      <c r="AB576" s="399">
        <f t="shared" si="922"/>
        <v>-182</v>
      </c>
    </row>
    <row r="577" spans="4:28" hidden="1" x14ac:dyDescent="0.35">
      <c r="D577" t="s">
        <v>127</v>
      </c>
      <c r="E577" s="174">
        <v>46164</v>
      </c>
      <c r="F577" s="10" t="s">
        <v>15</v>
      </c>
      <c r="G577" s="4" t="s">
        <v>128</v>
      </c>
      <c r="H577" s="253">
        <v>-250</v>
      </c>
      <c r="I577" s="173">
        <v>46203</v>
      </c>
      <c r="J577" s="173">
        <v>46203</v>
      </c>
      <c r="K577" s="100">
        <v>3.85</v>
      </c>
      <c r="L577" s="192">
        <f>VLOOKUP($I577,'PnL26'!$E$7:$F$59,2,FALSE)</f>
        <v>2.23</v>
      </c>
      <c r="M577" s="9">
        <f>IFERROR((L577-K577)*H577,"")</f>
        <v>405</v>
      </c>
      <c r="N577">
        <f t="shared" si="916"/>
        <v>-0.4700000000000002</v>
      </c>
      <c r="O577" s="14" t="str">
        <f t="shared" si="917"/>
        <v>Jun 26</v>
      </c>
      <c r="P577" s="8" t="str">
        <f t="shared" si="918"/>
        <v>Sell</v>
      </c>
      <c r="Q577">
        <f t="shared" si="919"/>
        <v>-557.5</v>
      </c>
      <c r="R577" s="38" t="str">
        <f>VLOOKUP(F577,Control!$B:$C,2,FALSE)</f>
        <v>Swaps</v>
      </c>
      <c r="S577" s="38" t="str">
        <f>VLOOKUP(F577,Control!$B:$D,3,FALSE)</f>
        <v>Dated</v>
      </c>
      <c r="T577" s="38">
        <f t="shared" si="920"/>
        <v>2026</v>
      </c>
      <c r="U577" t="str">
        <f t="shared" si="921"/>
        <v>Sell</v>
      </c>
      <c r="V577" t="s">
        <v>96</v>
      </c>
      <c r="W577" t="e">
        <f>_xlfn.XLOOKUP(Table3[[#This Row],[Instrument]],Control!$B$2:$B$19,Control!$E$2:$E$19)</f>
        <v>#N/A</v>
      </c>
      <c r="X577" s="14">
        <f>Table3[[#This Row],[Month1]]</f>
        <v>46203</v>
      </c>
      <c r="Y577" s="350">
        <f>Table3[[#This Row],[Quantity]]</f>
        <v>-250</v>
      </c>
      <c r="Z577" t="e">
        <f>_xlfn.XLOOKUP(Table3[[#This Row],[Instrument]],Control!$B$2:$B$19,Control!$F$2:$F$19)</f>
        <v>#N/A</v>
      </c>
      <c r="AA577" s="14">
        <f>Table3[[#This Row],[Month2]]</f>
        <v>46203</v>
      </c>
      <c r="AB577" s="350">
        <f t="shared" si="922"/>
        <v>250</v>
      </c>
    </row>
    <row r="578" spans="4:28" x14ac:dyDescent="0.35">
      <c r="D578" t="s">
        <v>1746</v>
      </c>
      <c r="E578" s="174">
        <v>46171</v>
      </c>
      <c r="F578" s="10" t="s">
        <v>3</v>
      </c>
      <c r="G578" s="4" t="s">
        <v>128</v>
      </c>
      <c r="H578" s="379">
        <v>139</v>
      </c>
      <c r="I578" s="172">
        <v>46234</v>
      </c>
      <c r="J578" s="172">
        <f>EOMONTH(Table3[[#This Row],[Month1]],1)</f>
        <v>46265</v>
      </c>
      <c r="K578" s="15">
        <v>2.06</v>
      </c>
      <c r="L578" s="7">
        <f ca="1">IF(OR(S578="WTI Sprds",S578="Brent Sprds",S578="WTI-Brent",S578="DFL"),INDEX(INDIRECT("'" &amp; S578 &amp; "'!$A$6:$XFD$1048576"),MATCH('PnL26'!$P$1,INDIRECT("'" &amp; S578 &amp; "'!$A$6:$A$1048576"),0),MATCH(EOMONTH(I578,0),INDIRECT("'" &amp; S578 &amp; "'!$A$4:$XFD$4"),0)),INDEX(BBG!$A:$BA,MATCH('PnL26'!$P$1,BBG!$A:$A,0),MATCH($I578,BBG!$A$4:$BA$4,0))-INDEX(BBG!$A:$BA,MATCH('PnL26'!$P$1,BBG!$A:$A,0),MATCH($J578,BBG!$A$4:$BA$4,0)))</f>
        <v>0.75</v>
      </c>
      <c r="M578" s="9">
        <f t="shared" ref="M578:M584" ca="1" si="923">IFERROR((L578-K578)*H578,"")</f>
        <v>-182.09</v>
      </c>
      <c r="N578">
        <f t="shared" si="916"/>
        <v>1.79</v>
      </c>
      <c r="O578" s="14" t="str">
        <f t="shared" si="917"/>
        <v>Jul/Aug 26</v>
      </c>
      <c r="P578" s="8" t="str">
        <f t="shared" si="918"/>
        <v>Buy</v>
      </c>
      <c r="Q578">
        <f t="shared" ca="1" si="919"/>
        <v>104.25</v>
      </c>
      <c r="R578" t="str">
        <f>VLOOKUP(F578,Control!$B:$C,2,FALSE)</f>
        <v>Futures</v>
      </c>
      <c r="S578" t="str">
        <f>VLOOKUP(F578,Control!$B:$D,3,FALSE)</f>
        <v>WTI Sprds</v>
      </c>
      <c r="T578" s="38">
        <f t="shared" si="920"/>
        <v>2026</v>
      </c>
      <c r="U578" t="str">
        <f t="shared" si="921"/>
        <v>Buy</v>
      </c>
      <c r="V578" t="s">
        <v>96</v>
      </c>
      <c r="W578" t="str">
        <f>_xlfn.XLOOKUP(Table3[[#This Row],[Instrument]],Control!$B$2:$B$19,Control!$E$2:$E$19)</f>
        <v>WTI</v>
      </c>
      <c r="X578" s="14">
        <f>Table3[[#This Row],[Month1]]</f>
        <v>46234</v>
      </c>
      <c r="Y578" s="350">
        <f>Table3[[#This Row],[Quantity]]</f>
        <v>139</v>
      </c>
      <c r="Z578" t="str">
        <f>_xlfn.XLOOKUP(Table3[[#This Row],[Instrument]],Control!$B$2:$B$19,Control!$F$2:$F$19)</f>
        <v>WTI</v>
      </c>
      <c r="AA578" s="14">
        <f>Table3[[#This Row],[Month2]]</f>
        <v>46265</v>
      </c>
      <c r="AB578" s="350">
        <f t="shared" si="922"/>
        <v>-139</v>
      </c>
    </row>
    <row r="579" spans="4:28" x14ac:dyDescent="0.35">
      <c r="D579" t="s">
        <v>1746</v>
      </c>
      <c r="E579" s="174">
        <v>46171</v>
      </c>
      <c r="F579" s="10" t="s">
        <v>3</v>
      </c>
      <c r="G579" s="4" t="s">
        <v>128</v>
      </c>
      <c r="H579" s="379">
        <v>14</v>
      </c>
      <c r="I579" s="172">
        <v>46265</v>
      </c>
      <c r="J579" s="172">
        <f>EOMONTH(Table3[[#This Row],[Month1]],1)</f>
        <v>46295</v>
      </c>
      <c r="K579" s="15">
        <v>2.11</v>
      </c>
      <c r="L579" s="7">
        <f ca="1">IF(OR(S579="WTI Sprds",S579="Brent Sprds",S579="WTI-Brent",S579="DFL"),INDEX(INDIRECT("'" &amp; S579 &amp; "'!$A$6:$XFD$1048576"),MATCH('PnL26'!$P$1,INDIRECT("'" &amp; S579 &amp; "'!$A$6:$A$1048576"),0),MATCH(EOMONTH(I579,0),INDIRECT("'" &amp; S579 &amp; "'!$A$4:$XFD$4"),0)),INDEX(BBG!$A:$BA,MATCH('PnL26'!$P$1,BBG!$A:$A,0),MATCH($I579,BBG!$A$4:$BA$4,0))-INDEX(BBG!$A:$BA,MATCH('PnL26'!$P$1,BBG!$A:$A,0),MATCH($J579,BBG!$A$4:$BA$4,0)))</f>
        <v>0.75</v>
      </c>
      <c r="M579" s="9">
        <f t="shared" ca="1" si="923"/>
        <v>-19.04</v>
      </c>
      <c r="N579">
        <f t="shared" si="916"/>
        <v>-4.9999999999999822E-2</v>
      </c>
      <c r="O579" s="14" t="str">
        <f t="shared" si="917"/>
        <v>Aug/Sep 26</v>
      </c>
      <c r="P579" s="8" t="str">
        <f t="shared" si="918"/>
        <v>Buy</v>
      </c>
      <c r="Q579">
        <f t="shared" ca="1" si="919"/>
        <v>10.5</v>
      </c>
      <c r="R579" t="str">
        <f>VLOOKUP(F579,Control!$B:$C,2,FALSE)</f>
        <v>Futures</v>
      </c>
      <c r="S579" t="str">
        <f>VLOOKUP(F579,Control!$B:$D,3,FALSE)</f>
        <v>WTI Sprds</v>
      </c>
      <c r="T579" s="38">
        <f t="shared" si="920"/>
        <v>2026</v>
      </c>
      <c r="U579" t="str">
        <f t="shared" si="921"/>
        <v>Buy</v>
      </c>
      <c r="V579" t="s">
        <v>96</v>
      </c>
      <c r="W579" t="str">
        <f>_xlfn.XLOOKUP(Table3[[#This Row],[Instrument]],Control!$B$2:$B$19,Control!$E$2:$E$19)</f>
        <v>WTI</v>
      </c>
      <c r="X579" s="14">
        <f>Table3[[#This Row],[Month1]]</f>
        <v>46265</v>
      </c>
      <c r="Y579" s="350">
        <f>Table3[[#This Row],[Quantity]]</f>
        <v>14</v>
      </c>
      <c r="Z579" t="str">
        <f>_xlfn.XLOOKUP(Table3[[#This Row],[Instrument]],Control!$B$2:$B$19,Control!$F$2:$F$19)</f>
        <v>WTI</v>
      </c>
      <c r="AA579" s="14">
        <f>Table3[[#This Row],[Month2]]</f>
        <v>46295</v>
      </c>
      <c r="AB579" s="350">
        <f t="shared" si="922"/>
        <v>-14</v>
      </c>
    </row>
    <row r="580" spans="4:28" x14ac:dyDescent="0.35">
      <c r="D580" t="s">
        <v>1746</v>
      </c>
      <c r="E580" s="174">
        <v>46171</v>
      </c>
      <c r="F580" s="10" t="s">
        <v>7</v>
      </c>
      <c r="G580" s="4" t="s">
        <v>128</v>
      </c>
      <c r="H580" s="379">
        <v>220</v>
      </c>
      <c r="I580" s="172">
        <v>46265</v>
      </c>
      <c r="J580" s="172">
        <f>EOMONTH(Table3[[#This Row],[Month1]],1)</f>
        <v>46295</v>
      </c>
      <c r="K580" s="15">
        <v>2.0099999999999998</v>
      </c>
      <c r="L580" s="7">
        <f ca="1">IF(OR(S580="WTI Sprds",S580="Brent Sprds",S580="WTI-Brent",S580="DFL"),INDEX(INDIRECT("'" &amp; S580 &amp; "'!$A$6:$XFD$1048576"),MATCH('PnL26'!$P$1,INDIRECT("'" &amp; S580 &amp; "'!$A$6:$A$1048576"),0),MATCH(EOMONTH(I580,0),INDIRECT("'" &amp; S580 &amp; "'!$A$4:$XFD$4"),0)),INDEX(BBG!$A:$BA,MATCH('PnL26'!$P$1,BBG!$A:$A,0),MATCH($I580,BBG!$A$4:$BA$4,0))-INDEX(BBG!$A:$BA,MATCH('PnL26'!$P$1,BBG!$A:$A,0),MATCH($J580,BBG!$A$4:$BA$4,0)))</f>
        <v>-0.03</v>
      </c>
      <c r="M580" s="9">
        <f t="shared" ca="1" si="923"/>
        <v>-448.7999999999999</v>
      </c>
      <c r="N580">
        <f t="shared" si="916"/>
        <v>0.10000000000000009</v>
      </c>
      <c r="O580" s="14" t="str">
        <f t="shared" si="917"/>
        <v>Aug/Sep 26</v>
      </c>
      <c r="P580" s="8" t="str">
        <f t="shared" si="918"/>
        <v>Buy</v>
      </c>
      <c r="Q580">
        <f t="shared" ca="1" si="919"/>
        <v>-6.6</v>
      </c>
      <c r="R580" t="str">
        <f>VLOOKUP(F580,Control!$B:$C,2,FALSE)</f>
        <v>Futures</v>
      </c>
      <c r="S580" t="str">
        <f>VLOOKUP(F580,Control!$B:$D,3,FALSE)</f>
        <v>Brent Sprds</v>
      </c>
      <c r="T580" s="38">
        <f t="shared" si="920"/>
        <v>2026</v>
      </c>
      <c r="U580" t="str">
        <f t="shared" si="921"/>
        <v>Buy</v>
      </c>
      <c r="V580" t="s">
        <v>96</v>
      </c>
      <c r="W580" t="str">
        <f>_xlfn.XLOOKUP(Table3[[#This Row],[Instrument]],Control!$B$2:$B$19,Control!$E$2:$E$19)</f>
        <v>Brent</v>
      </c>
      <c r="X580" s="14">
        <f>Table3[[#This Row],[Month1]]</f>
        <v>46265</v>
      </c>
      <c r="Y580" s="350">
        <f>Table3[[#This Row],[Quantity]]</f>
        <v>220</v>
      </c>
      <c r="Z580" t="str">
        <f>_xlfn.XLOOKUP(Table3[[#This Row],[Instrument]],Control!$B$2:$B$19,Control!$F$2:$F$19)</f>
        <v>Brent</v>
      </c>
      <c r="AA580" s="14">
        <f>Table3[[#This Row],[Month2]]</f>
        <v>46295</v>
      </c>
      <c r="AB580" s="350">
        <f t="shared" si="922"/>
        <v>-220</v>
      </c>
    </row>
    <row r="581" spans="4:28" x14ac:dyDescent="0.35">
      <c r="D581" t="s">
        <v>1746</v>
      </c>
      <c r="E581" s="174">
        <v>46171</v>
      </c>
      <c r="F581" s="10" t="s">
        <v>10</v>
      </c>
      <c r="G581" s="4" t="s">
        <v>128</v>
      </c>
      <c r="H581" s="379">
        <v>20</v>
      </c>
      <c r="I581" s="172">
        <v>46265</v>
      </c>
      <c r="J581" s="172">
        <f>Table3[[#This Row],[Month1]]</f>
        <v>46265</v>
      </c>
      <c r="K581" s="15">
        <v>-5.82</v>
      </c>
      <c r="L581" s="7">
        <f ca="1">IF(OR(S581="WTI Sprds",S581="Brent Sprds",S581="WTI-Brent",S581="DFL"),INDEX(INDIRECT("'" &amp; S581 &amp; "'!$A$6:$XFD$1048576"),MATCH('PnL26'!$P$1,INDIRECT("'" &amp; S581 &amp; "'!$A$6:$A$1048576"),0),MATCH(EOMONTH(I581,0),INDIRECT("'" &amp; S581 &amp; "'!$A$4:$XFD$4"),0)),INDEX(BBG!$A:$BA,MATCH('PnL26'!$P$1,BBG!$A:$A,0),MATCH($I581,BBG!$A$4:$BA$4,0))-INDEX(BBG!$A:$BA,MATCH('PnL26'!$P$1,BBG!$A:$A,0),MATCH($J581,BBG!$A$4:$BA$4,0)))</f>
        <v>-3.42</v>
      </c>
      <c r="M581" s="9">
        <f t="shared" ca="1" si="923"/>
        <v>48.000000000000007</v>
      </c>
      <c r="N581">
        <f t="shared" si="916"/>
        <v>7.83</v>
      </c>
      <c r="O581" s="14" t="str">
        <f t="shared" si="917"/>
        <v>Aug 26</v>
      </c>
      <c r="P581" s="8" t="str">
        <f t="shared" si="918"/>
        <v>Buy</v>
      </c>
      <c r="Q581">
        <f t="shared" ca="1" si="919"/>
        <v>-68.400000000000006</v>
      </c>
      <c r="R581" t="str">
        <f>VLOOKUP(F581,Control!$B:$C,2,FALSE)</f>
        <v>Swaps</v>
      </c>
      <c r="S581" t="str">
        <f>VLOOKUP(F581,Control!$B:$D,3,FALSE)</f>
        <v>WTI-Brent</v>
      </c>
      <c r="T581" s="38">
        <f t="shared" si="920"/>
        <v>2026</v>
      </c>
      <c r="U581" t="str">
        <f t="shared" si="921"/>
        <v>Buy</v>
      </c>
      <c r="V581" t="s">
        <v>96</v>
      </c>
      <c r="W581" t="str">
        <f>_xlfn.XLOOKUP(Table3[[#This Row],[Instrument]],Control!$B$2:$B$19,Control!$E$2:$E$19)</f>
        <v>WTI</v>
      </c>
      <c r="X581" s="14">
        <f>Table3[[#This Row],[Month1]]</f>
        <v>46265</v>
      </c>
      <c r="Y581" s="350">
        <f>Table3[[#This Row],[Quantity]]</f>
        <v>20</v>
      </c>
      <c r="Z581" t="str">
        <f>_xlfn.XLOOKUP(Table3[[#This Row],[Instrument]],Control!$B$2:$B$19,Control!$F$2:$F$19)</f>
        <v>Brent</v>
      </c>
      <c r="AA581" s="14">
        <f>Table3[[#This Row],[Month2]]</f>
        <v>46265</v>
      </c>
      <c r="AB581" s="350">
        <f t="shared" si="922"/>
        <v>-20</v>
      </c>
    </row>
    <row r="582" spans="4:28" hidden="1" x14ac:dyDescent="0.35">
      <c r="D582" t="s">
        <v>127</v>
      </c>
      <c r="E582" s="174">
        <v>46171</v>
      </c>
      <c r="F582" s="10" t="s">
        <v>15</v>
      </c>
      <c r="G582" s="4" t="s">
        <v>128</v>
      </c>
      <c r="H582" s="379">
        <v>-250</v>
      </c>
      <c r="I582" s="172">
        <v>46203</v>
      </c>
      <c r="J582" s="172">
        <v>46203</v>
      </c>
      <c r="K582" s="15">
        <v>2.23</v>
      </c>
      <c r="L582" s="7">
        <v>2.23</v>
      </c>
      <c r="M582" s="9">
        <f t="shared" si="923"/>
        <v>0</v>
      </c>
      <c r="N582">
        <f t="shared" si="916"/>
        <v>-8.0500000000000007</v>
      </c>
      <c r="O582" s="14" t="str">
        <f t="shared" si="917"/>
        <v>Jun 26</v>
      </c>
      <c r="P582" s="8" t="str">
        <f t="shared" si="918"/>
        <v>Sell</v>
      </c>
      <c r="Q582">
        <f t="shared" si="919"/>
        <v>-557.5</v>
      </c>
      <c r="R582" t="str">
        <f>VLOOKUP(F582,Control!$B:$C,2,FALSE)</f>
        <v>Swaps</v>
      </c>
      <c r="S582" t="str">
        <f>VLOOKUP(F582,Control!$B:$D,3,FALSE)</f>
        <v>Dated</v>
      </c>
      <c r="T582" s="38">
        <f t="shared" si="920"/>
        <v>2026</v>
      </c>
      <c r="U582" t="str">
        <f t="shared" si="921"/>
        <v>Sell</v>
      </c>
      <c r="V582" t="s">
        <v>96</v>
      </c>
      <c r="W582" t="e">
        <f>_xlfn.XLOOKUP(Table3[[#This Row],[Instrument]],Control!$B$2:$B$19,Control!$E$2:$E$19)</f>
        <v>#N/A</v>
      </c>
      <c r="X582" s="14">
        <f>Table3[[#This Row],[Month1]]</f>
        <v>46203</v>
      </c>
      <c r="Y582" s="350">
        <f>Table3[[#This Row],[Quantity]]</f>
        <v>-250</v>
      </c>
      <c r="Z582" t="e">
        <f>_xlfn.XLOOKUP(Table3[[#This Row],[Instrument]],Control!$B$2:$B$19,Control!$F$2:$F$19)</f>
        <v>#N/A</v>
      </c>
      <c r="AA582" s="14">
        <f>Table3[[#This Row],[Month2]]</f>
        <v>46203</v>
      </c>
      <c r="AB582" s="350">
        <f t="shared" si="922"/>
        <v>250</v>
      </c>
    </row>
    <row r="583" spans="4:28" hidden="1" x14ac:dyDescent="0.35">
      <c r="D583" t="s">
        <v>1735</v>
      </c>
      <c r="E583" s="174">
        <v>46174</v>
      </c>
      <c r="F583" s="10" t="s">
        <v>36</v>
      </c>
      <c r="G583" s="4" t="s">
        <v>128</v>
      </c>
      <c r="H583" s="379">
        <v>-30</v>
      </c>
      <c r="I583" s="172">
        <v>46173</v>
      </c>
      <c r="J583" s="172">
        <v>46173</v>
      </c>
      <c r="K583" s="15">
        <v>55.78</v>
      </c>
      <c r="L583" s="7">
        <v>55.78</v>
      </c>
      <c r="M583" s="9">
        <f t="shared" si="923"/>
        <v>0</v>
      </c>
      <c r="N583">
        <f t="shared" si="916"/>
        <v>-53.550000000000004</v>
      </c>
      <c r="O583" s="14" t="str">
        <f t="shared" si="917"/>
        <v>May 26</v>
      </c>
      <c r="P583" s="8" t="str">
        <f t="shared" si="918"/>
        <v>Sell</v>
      </c>
      <c r="Q583">
        <f t="shared" si="919"/>
        <v>-1673.4</v>
      </c>
      <c r="R583" t="str">
        <f>VLOOKUP(F583,Control!$B:$C,2,FALSE)</f>
        <v>Freight</v>
      </c>
      <c r="S583" t="str">
        <f>VLOOKUP(F583,Control!$B:$D,3,FALSE)</f>
        <v>Freight</v>
      </c>
      <c r="T583" s="38">
        <f t="shared" si="920"/>
        <v>2026</v>
      </c>
      <c r="U583" t="str">
        <f t="shared" si="921"/>
        <v>Sell</v>
      </c>
      <c r="V583" t="s">
        <v>96</v>
      </c>
      <c r="W583" t="e">
        <f>_xlfn.XLOOKUP(Table3[[#This Row],[Instrument]],Control!$B$2:$B$19,Control!$E$2:$E$19)</f>
        <v>#N/A</v>
      </c>
      <c r="X583" s="14">
        <f>Table3[[#This Row],[Month1]]</f>
        <v>46173</v>
      </c>
      <c r="Y583" s="350">
        <f>Table3[[#This Row],[Quantity]]</f>
        <v>-30</v>
      </c>
      <c r="Z583" t="e">
        <f>_xlfn.XLOOKUP(Table3[[#This Row],[Instrument]],Control!$B$2:$B$19,Control!$F$2:$F$19)</f>
        <v>#N/A</v>
      </c>
      <c r="AA583" s="14">
        <f>Table3[[#This Row],[Month2]]</f>
        <v>46173</v>
      </c>
      <c r="AB583" s="350">
        <f t="shared" si="922"/>
        <v>30</v>
      </c>
    </row>
    <row r="584" spans="4:28" hidden="1" x14ac:dyDescent="0.35">
      <c r="D584" t="s">
        <v>127</v>
      </c>
      <c r="E584" s="174">
        <v>46171</v>
      </c>
      <c r="F584" s="10" t="s">
        <v>15</v>
      </c>
      <c r="G584" s="4" t="s">
        <v>128</v>
      </c>
      <c r="H584" s="379">
        <v>20</v>
      </c>
      <c r="I584" s="172">
        <v>46173</v>
      </c>
      <c r="J584" s="172">
        <v>46173</v>
      </c>
      <c r="K584" s="15">
        <v>3.68</v>
      </c>
      <c r="L584" s="7">
        <v>3.68</v>
      </c>
      <c r="M584" s="9">
        <f t="shared" si="923"/>
        <v>0</v>
      </c>
      <c r="N584">
        <f t="shared" si="916"/>
        <v>52.1</v>
      </c>
      <c r="O584" s="14" t="str">
        <f t="shared" si="917"/>
        <v>May 26</v>
      </c>
      <c r="P584" s="8" t="str">
        <f t="shared" si="918"/>
        <v>Buy</v>
      </c>
      <c r="Q584">
        <f t="shared" si="919"/>
        <v>73.600000000000009</v>
      </c>
      <c r="R584" t="str">
        <f>VLOOKUP(F584,Control!$B:$C,2,FALSE)</f>
        <v>Swaps</v>
      </c>
      <c r="S584" t="str">
        <f>VLOOKUP(F584,Control!$B:$D,3,FALSE)</f>
        <v>Dated</v>
      </c>
      <c r="T584" s="38">
        <f t="shared" si="920"/>
        <v>2026</v>
      </c>
      <c r="U584" t="str">
        <f t="shared" si="921"/>
        <v>Buy</v>
      </c>
      <c r="V584" t="s">
        <v>96</v>
      </c>
      <c r="W584" t="e">
        <f>_xlfn.XLOOKUP(Table3[[#This Row],[Instrument]],Control!$B$2:$B$19,Control!$E$2:$E$19)</f>
        <v>#N/A</v>
      </c>
      <c r="X584" s="14">
        <f>Table3[[#This Row],[Month1]]</f>
        <v>46173</v>
      </c>
      <c r="Y584" s="350">
        <f>Table3[[#This Row],[Quantity]]</f>
        <v>20</v>
      </c>
      <c r="Z584" t="e">
        <f>_xlfn.XLOOKUP(Table3[[#This Row],[Instrument]],Control!$B$2:$B$19,Control!$F$2:$F$19)</f>
        <v>#N/A</v>
      </c>
      <c r="AA584" s="14">
        <f>Table3[[#This Row],[Month2]]</f>
        <v>46173</v>
      </c>
      <c r="AB584" s="350">
        <f t="shared" si="922"/>
        <v>-20</v>
      </c>
    </row>
    <row r="585" spans="4:28" x14ac:dyDescent="0.35">
      <c r="D585" t="s">
        <v>1746</v>
      </c>
      <c r="E585" s="174">
        <v>46192</v>
      </c>
      <c r="F585" s="10" t="s">
        <v>3</v>
      </c>
      <c r="G585" s="4" t="s">
        <v>128</v>
      </c>
      <c r="H585" s="379">
        <v>26</v>
      </c>
      <c r="I585" s="172">
        <v>46234</v>
      </c>
      <c r="J585" s="172">
        <f>EOMONTH(Table3[[#This Row],[Month1]],1)</f>
        <v>46265</v>
      </c>
      <c r="K585" s="15">
        <v>0.75</v>
      </c>
      <c r="L585" s="7">
        <f ca="1">IF(OR(S585="WTI Sprds",S585="Brent Sprds",S585="WTI-Brent",S585="DFL"),INDEX(INDIRECT("'" &amp; S585 &amp; "'!$A$6:$XFD$1048576"),MATCH('PnL26'!$P$1,INDIRECT("'" &amp; S585 &amp; "'!$A$6:$A$1048576"),0),MATCH(EOMONTH(I585,0),INDIRECT("'" &amp; S585 &amp; "'!$A$4:$XFD$4"),0)),INDEX(BBG!$A:$BA,MATCH('PnL26'!$P$1,BBG!$A:$A,0),MATCH($I585,BBG!$A$4:$BA$4,0))-INDEX(BBG!$A:$BA,MATCH('PnL26'!$P$1,BBG!$A:$A,0),MATCH($J585,BBG!$A$4:$BA$4,0)))</f>
        <v>0.75</v>
      </c>
      <c r="M585" s="9">
        <f t="shared" ref="M585" ca="1" si="924">IFERROR((L585-K585)*H585,"")</f>
        <v>0</v>
      </c>
      <c r="N585">
        <f t="shared" ref="N585" si="925">K584-K585</f>
        <v>2.93</v>
      </c>
      <c r="O585" s="14" t="str">
        <f t="shared" ref="O585:O591" si="926">IF(I585=J585,TEXT(I585,"MMM YY"),TEXT(I585,"MMM")&amp;"/"&amp;TEXT(J585,"MMM")&amp;" "&amp;RIGHT(T585,2))</f>
        <v>Jul/Aug 26</v>
      </c>
      <c r="P585" s="8" t="str">
        <f t="shared" ref="P585:P591" si="927">IF(H585&lt;0,"Sell","Buy")</f>
        <v>Buy</v>
      </c>
      <c r="Q585">
        <f t="shared" ref="Q585:Q591" ca="1" si="928">H585*L585</f>
        <v>19.5</v>
      </c>
      <c r="R585" t="str">
        <f>VLOOKUP(F585,Control!$B:$C,2,FALSE)</f>
        <v>Futures</v>
      </c>
      <c r="S585" t="str">
        <f>VLOOKUP(F585,Control!$B:$D,3,FALSE)</f>
        <v>WTI Sprds</v>
      </c>
      <c r="T585" s="38">
        <f t="shared" ref="T585:T591" si="929">YEAR(I585)</f>
        <v>2026</v>
      </c>
      <c r="U585" t="str">
        <f t="shared" ref="U585:U591" si="930">IFERROR(IF(H585&gt;0,"Buy","Sell"),"")</f>
        <v>Buy</v>
      </c>
      <c r="V585" t="s">
        <v>96</v>
      </c>
      <c r="W585" t="str">
        <f>_xlfn.XLOOKUP(Table3[[#This Row],[Instrument]],Control!$B$2:$B$19,Control!$E$2:$E$19)</f>
        <v>WTI</v>
      </c>
      <c r="X585" s="14">
        <f>Table3[[#This Row],[Month1]]</f>
        <v>46234</v>
      </c>
      <c r="Y585" s="350">
        <f>Table3[[#This Row],[Quantity]]</f>
        <v>26</v>
      </c>
      <c r="Z585" t="str">
        <f>_xlfn.XLOOKUP(Table3[[#This Row],[Instrument]],Control!$B$2:$B$19,Control!$F$2:$F$19)</f>
        <v>WTI</v>
      </c>
      <c r="AA585" s="14">
        <f>Table3[[#This Row],[Month2]]</f>
        <v>46265</v>
      </c>
      <c r="AB585" s="350">
        <f t="shared" ref="AB585:AB591" si="931">-Y585</f>
        <v>-26</v>
      </c>
    </row>
    <row r="586" spans="4:28" hidden="1" x14ac:dyDescent="0.35">
      <c r="D586" t="s">
        <v>1735</v>
      </c>
      <c r="E586" s="174">
        <v>46197</v>
      </c>
      <c r="F586" s="375" t="s">
        <v>36</v>
      </c>
      <c r="G586" s="4" t="s">
        <v>128</v>
      </c>
      <c r="H586" s="253">
        <v>-10</v>
      </c>
      <c r="I586" s="172">
        <v>46234</v>
      </c>
      <c r="J586" s="172">
        <f>Table3[[#This Row],[Month1]]</f>
        <v>46234</v>
      </c>
      <c r="K586" s="212">
        <v>43.070500000000003</v>
      </c>
      <c r="L586" s="314">
        <f>VLOOKUP(I586,[2]USG!$O$45:$S100,MATCH("Freight-TD25 $/MT",[2]USG!$O$46:$S$46,0),FALSE)</f>
        <v>62.189600000000006</v>
      </c>
      <c r="M586" s="9">
        <f>-(K586-L586)*Table3[[#This Row],[Quantity]]</f>
        <v>-191.19100000000003</v>
      </c>
      <c r="N586">
        <f t="shared" ref="N586:N588" si="932">H586*K586</f>
        <v>-430.70500000000004</v>
      </c>
      <c r="O586" s="14" t="str">
        <f t="shared" si="926"/>
        <v>Jul 26</v>
      </c>
      <c r="P586" s="8" t="str">
        <f t="shared" si="927"/>
        <v>Sell</v>
      </c>
      <c r="Q586">
        <f t="shared" si="928"/>
        <v>-621.89600000000007</v>
      </c>
      <c r="R586" t="str">
        <f>VLOOKUP(F586,Control!$B:$C,2,FALSE)</f>
        <v>Freight</v>
      </c>
      <c r="S586" t="str">
        <f>VLOOKUP(F586,Control!$B:$D,3,FALSE)</f>
        <v>Freight</v>
      </c>
      <c r="T586" s="38">
        <f t="shared" si="929"/>
        <v>2026</v>
      </c>
      <c r="U586" t="str">
        <f t="shared" si="930"/>
        <v>Sell</v>
      </c>
      <c r="V586" t="s">
        <v>96</v>
      </c>
      <c r="W586" t="e">
        <f>_xlfn.XLOOKUP(Table3[[#This Row],[Instrument]],Control!$B$2:$B$19,Control!$E$2:$E$19)</f>
        <v>#N/A</v>
      </c>
      <c r="X586" s="14">
        <f>Table3[[#This Row],[Month1]]</f>
        <v>46234</v>
      </c>
      <c r="Y586" s="350">
        <f>Table3[[#This Row],[Quantity]]</f>
        <v>-10</v>
      </c>
      <c r="Z586" t="e">
        <f>_xlfn.XLOOKUP(Table3[[#This Row],[Instrument]],Control!$B$2:$B$19,Control!$F$2:$F$19)</f>
        <v>#N/A</v>
      </c>
      <c r="AA586" s="14">
        <f>Table3[[#This Row],[Month2]]</f>
        <v>46234</v>
      </c>
      <c r="AB586" s="350">
        <f t="shared" si="931"/>
        <v>10</v>
      </c>
    </row>
    <row r="587" spans="4:28" hidden="1" x14ac:dyDescent="0.35">
      <c r="D587" t="s">
        <v>1735</v>
      </c>
      <c r="E587" s="174">
        <v>46197</v>
      </c>
      <c r="F587" s="375" t="s">
        <v>36</v>
      </c>
      <c r="G587" s="4" t="s">
        <v>128</v>
      </c>
      <c r="H587" s="253">
        <v>-10</v>
      </c>
      <c r="I587" s="172">
        <v>46265</v>
      </c>
      <c r="J587" s="172">
        <f>Table3[[#This Row],[Month1]]</f>
        <v>46265</v>
      </c>
      <c r="K587" s="212">
        <v>43.070500000000003</v>
      </c>
      <c r="L587" s="314">
        <f>VLOOKUP(I587,[2]USG!$O$45:$S100,MATCH("Freight-TD25 $/MT",[2]USG!$O$46:$S$46,0),FALSE)</f>
        <v>66.70675</v>
      </c>
      <c r="M587" s="9">
        <f>-(K587-L587)*Table3[[#This Row],[Quantity]]</f>
        <v>-236.36249999999995</v>
      </c>
      <c r="N587">
        <f t="shared" si="932"/>
        <v>-430.70500000000004</v>
      </c>
      <c r="O587" s="14" t="str">
        <f t="shared" si="926"/>
        <v>Aug 26</v>
      </c>
      <c r="P587" s="8" t="str">
        <f t="shared" si="927"/>
        <v>Sell</v>
      </c>
      <c r="Q587">
        <f t="shared" si="928"/>
        <v>-667.0675</v>
      </c>
      <c r="R587" t="str">
        <f>VLOOKUP(F587,Control!$B:$C,2,FALSE)</f>
        <v>Freight</v>
      </c>
      <c r="S587" t="str">
        <f>VLOOKUP(F587,Control!$B:$D,3,FALSE)</f>
        <v>Freight</v>
      </c>
      <c r="T587" s="38">
        <f t="shared" si="929"/>
        <v>2026</v>
      </c>
      <c r="U587" t="str">
        <f t="shared" si="930"/>
        <v>Sell</v>
      </c>
      <c r="V587" t="s">
        <v>96</v>
      </c>
      <c r="W587" t="e">
        <f>_xlfn.XLOOKUP(Table3[[#This Row],[Instrument]],Control!$B$2:$B$19,Control!$E$2:$E$19)</f>
        <v>#N/A</v>
      </c>
      <c r="X587" s="14">
        <f>Table3[[#This Row],[Month1]]</f>
        <v>46265</v>
      </c>
      <c r="Y587" s="350">
        <f>Table3[[#This Row],[Quantity]]</f>
        <v>-10</v>
      </c>
      <c r="Z587" t="e">
        <f>_xlfn.XLOOKUP(Table3[[#This Row],[Instrument]],Control!$B$2:$B$19,Control!$F$2:$F$19)</f>
        <v>#N/A</v>
      </c>
      <c r="AA587" s="14">
        <f>Table3[[#This Row],[Month2]]</f>
        <v>46265</v>
      </c>
      <c r="AB587" s="350">
        <f t="shared" si="931"/>
        <v>10</v>
      </c>
    </row>
    <row r="588" spans="4:28" hidden="1" x14ac:dyDescent="0.35">
      <c r="D588" t="s">
        <v>1735</v>
      </c>
      <c r="E588" s="174">
        <v>46197</v>
      </c>
      <c r="F588" s="375" t="s">
        <v>36</v>
      </c>
      <c r="G588" s="4" t="s">
        <v>128</v>
      </c>
      <c r="H588" s="253">
        <v>-10</v>
      </c>
      <c r="I588" s="172">
        <v>46295</v>
      </c>
      <c r="J588" s="172">
        <f>Table3[[#This Row],[Month1]]</f>
        <v>46295</v>
      </c>
      <c r="K588" s="212">
        <v>43.070500000000003</v>
      </c>
      <c r="L588" s="314">
        <f>VLOOKUP(I588,[2]USG!$O$45:$S100,MATCH("Freight-TD25 $/MT",[2]USG!$O$46:$S$46,0),FALSE)</f>
        <v>62.189600000000006</v>
      </c>
      <c r="M588" s="9">
        <f>-(K588-L588)*Table3[[#This Row],[Quantity]]</f>
        <v>-191.19100000000003</v>
      </c>
      <c r="N588">
        <f t="shared" si="932"/>
        <v>-430.70500000000004</v>
      </c>
      <c r="O588" s="14" t="str">
        <f t="shared" si="926"/>
        <v>Sep 26</v>
      </c>
      <c r="P588" s="8" t="str">
        <f t="shared" si="927"/>
        <v>Sell</v>
      </c>
      <c r="Q588">
        <f t="shared" si="928"/>
        <v>-621.89600000000007</v>
      </c>
      <c r="R588" t="str">
        <f>VLOOKUP(F588,Control!$B:$C,2,FALSE)</f>
        <v>Freight</v>
      </c>
      <c r="S588" t="str">
        <f>VLOOKUP(F588,Control!$B:$D,3,FALSE)</f>
        <v>Freight</v>
      </c>
      <c r="T588" s="38">
        <f t="shared" si="929"/>
        <v>2026</v>
      </c>
      <c r="U588" t="str">
        <f t="shared" si="930"/>
        <v>Sell</v>
      </c>
      <c r="V588" t="s">
        <v>96</v>
      </c>
      <c r="W588" t="e">
        <f>_xlfn.XLOOKUP(Table3[[#This Row],[Instrument]],Control!$B$2:$B$19,Control!$E$2:$E$19)</f>
        <v>#N/A</v>
      </c>
      <c r="X588" s="14">
        <f>Table3[[#This Row],[Month1]]</f>
        <v>46295</v>
      </c>
      <c r="Y588" s="350">
        <f>Table3[[#This Row],[Quantity]]</f>
        <v>-10</v>
      </c>
      <c r="Z588" t="e">
        <f>_xlfn.XLOOKUP(Table3[[#This Row],[Instrument]],Control!$B$2:$B$19,Control!$F$2:$F$19)</f>
        <v>#N/A</v>
      </c>
      <c r="AA588" s="14">
        <f>Table3[[#This Row],[Month2]]</f>
        <v>46295</v>
      </c>
      <c r="AB588" s="350">
        <f t="shared" si="931"/>
        <v>10</v>
      </c>
    </row>
    <row r="589" spans="4:28" hidden="1" x14ac:dyDescent="0.35">
      <c r="D589" t="s">
        <v>127</v>
      </c>
      <c r="E589" s="174">
        <v>46202</v>
      </c>
      <c r="F589" s="10" t="s">
        <v>10</v>
      </c>
      <c r="G589" s="4" t="s">
        <v>128</v>
      </c>
      <c r="H589" s="379">
        <v>26</v>
      </c>
      <c r="I589" s="172">
        <v>46265</v>
      </c>
      <c r="J589" s="172">
        <f>Table3[[#This Row],[Month1]]</f>
        <v>46265</v>
      </c>
      <c r="K589" s="15">
        <v>-2.4</v>
      </c>
      <c r="L589" s="7">
        <f ca="1">IF(OR(S589="WTI Sprds",S589="Brent Sprds",S589="WTI-Brent",S589="DFL"),INDEX(INDIRECT("'" &amp; S589 &amp; "'!$A$6:$XFD$1048576"),MATCH('PnL26'!$P$1,INDIRECT("'" &amp; S589 &amp; "'!$A$6:$A$1048576"),0),MATCH(EOMONTH(I589,0),INDIRECT("'" &amp; S589 &amp; "'!$A$4:$XFD$4"),0)),INDEX(BBG!$A:$BA,MATCH('PnL26'!$P$1,BBG!$A:$A,0),MATCH($I589,BBG!$A$4:$BA$4,0))-INDEX(BBG!$A:$BA,MATCH('PnL26'!$P$1,BBG!$A:$A,0),MATCH($J589,BBG!$A$4:$BA$4,0)))</f>
        <v>-3.42</v>
      </c>
      <c r="M589" s="9">
        <f t="shared" ref="M589:M590" ca="1" si="933">IFERROR((L589-K589)*H589,"")</f>
        <v>-26.52</v>
      </c>
      <c r="N589">
        <f t="shared" ref="N589:N590" si="934">K588-K589</f>
        <v>45.470500000000001</v>
      </c>
      <c r="O589" s="14" t="str">
        <f t="shared" si="926"/>
        <v>Aug 26</v>
      </c>
      <c r="P589" s="8" t="str">
        <f t="shared" si="927"/>
        <v>Buy</v>
      </c>
      <c r="Q589">
        <f t="shared" ca="1" si="928"/>
        <v>-88.92</v>
      </c>
      <c r="R589" t="str">
        <f>VLOOKUP(F589,Control!$B:$C,2,FALSE)</f>
        <v>Swaps</v>
      </c>
      <c r="S589" t="str">
        <f>VLOOKUP(F589,Control!$B:$D,3,FALSE)</f>
        <v>WTI-Brent</v>
      </c>
      <c r="T589" s="38">
        <f t="shared" si="929"/>
        <v>2026</v>
      </c>
      <c r="U589" t="str">
        <f t="shared" si="930"/>
        <v>Buy</v>
      </c>
      <c r="V589" t="s">
        <v>96</v>
      </c>
      <c r="W589" t="str">
        <f>_xlfn.XLOOKUP(Table3[[#This Row],[Instrument]],Control!$B$2:$B$19,Control!$E$2:$E$19)</f>
        <v>WTI</v>
      </c>
      <c r="X589" s="14">
        <f>Table3[[#This Row],[Month1]]</f>
        <v>46265</v>
      </c>
      <c r="Y589" s="350">
        <f>Table3[[#This Row],[Quantity]]</f>
        <v>26</v>
      </c>
      <c r="Z589" t="str">
        <f>_xlfn.XLOOKUP(Table3[[#This Row],[Instrument]],Control!$B$2:$B$19,Control!$F$2:$F$19)</f>
        <v>Brent</v>
      </c>
      <c r="AA589" s="14">
        <f>Table3[[#This Row],[Month2]]</f>
        <v>46265</v>
      </c>
      <c r="AB589" s="350">
        <f t="shared" si="931"/>
        <v>-26</v>
      </c>
    </row>
    <row r="590" spans="4:28" hidden="1" x14ac:dyDescent="0.35">
      <c r="D590" t="s">
        <v>127</v>
      </c>
      <c r="E590" s="174">
        <v>46171</v>
      </c>
      <c r="F590" s="10" t="s">
        <v>7</v>
      </c>
      <c r="G590" s="4" t="s">
        <v>128</v>
      </c>
      <c r="H590" s="379">
        <v>26</v>
      </c>
      <c r="I590" s="172">
        <v>46265</v>
      </c>
      <c r="J590" s="172">
        <f>EOMONTH(Table3[[#This Row],[Month1]],1)</f>
        <v>46295</v>
      </c>
      <c r="K590" s="15">
        <v>-0.76</v>
      </c>
      <c r="L590" s="7">
        <f ca="1">IF(OR(S590="WTI Sprds",S590="Brent Sprds",S590="WTI-Brent",S590="DFL"),INDEX(INDIRECT("'" &amp; S590 &amp; "'!$A$6:$XFD$1048576"),MATCH('PnL26'!$P$1,INDIRECT("'" &amp; S590 &amp; "'!$A$6:$A$1048576"),0),MATCH(EOMONTH(I590,0),INDIRECT("'" &amp; S590 &amp; "'!$A$4:$XFD$4"),0)),INDEX(BBG!$A:$BA,MATCH('PnL26'!$P$1,BBG!$A:$A,0),MATCH($I590,BBG!$A$4:$BA$4,0))-INDEX(BBG!$A:$BA,MATCH('PnL26'!$P$1,BBG!$A:$A,0),MATCH($J590,BBG!$A$4:$BA$4,0)))</f>
        <v>-0.03</v>
      </c>
      <c r="M590" s="9">
        <f t="shared" ca="1" si="933"/>
        <v>18.98</v>
      </c>
      <c r="N590">
        <f t="shared" si="934"/>
        <v>-1.64</v>
      </c>
      <c r="O590" s="14" t="str">
        <f t="shared" si="926"/>
        <v>Aug/Sep 26</v>
      </c>
      <c r="P590" s="8" t="str">
        <f t="shared" si="927"/>
        <v>Buy</v>
      </c>
      <c r="Q590">
        <f t="shared" ca="1" si="928"/>
        <v>-0.78</v>
      </c>
      <c r="R590" t="str">
        <f>VLOOKUP(F590,Control!$B:$C,2,FALSE)</f>
        <v>Futures</v>
      </c>
      <c r="S590" t="str">
        <f>VLOOKUP(F590,Control!$B:$D,3,FALSE)</f>
        <v>Brent Sprds</v>
      </c>
      <c r="T590" s="38">
        <f t="shared" si="929"/>
        <v>2026</v>
      </c>
      <c r="U590" t="str">
        <f t="shared" si="930"/>
        <v>Buy</v>
      </c>
      <c r="V590" t="s">
        <v>96</v>
      </c>
      <c r="W590" t="str">
        <f>_xlfn.XLOOKUP(Table3[[#This Row],[Instrument]],Control!$B$2:$B$19,Control!$E$2:$E$19)</f>
        <v>Brent</v>
      </c>
      <c r="X590" s="14">
        <f>Table3[[#This Row],[Month1]]</f>
        <v>46265</v>
      </c>
      <c r="Y590" s="350">
        <f>Table3[[#This Row],[Quantity]]</f>
        <v>26</v>
      </c>
      <c r="Z590" t="str">
        <f>_xlfn.XLOOKUP(Table3[[#This Row],[Instrument]],Control!$B$2:$B$19,Control!$F$2:$F$19)</f>
        <v>Brent</v>
      </c>
      <c r="AA590" s="14">
        <f>Table3[[#This Row],[Month2]]</f>
        <v>46295</v>
      </c>
      <c r="AB590" s="350">
        <f t="shared" si="931"/>
        <v>-26</v>
      </c>
    </row>
    <row r="591" spans="4:28" hidden="1" x14ac:dyDescent="0.35">
      <c r="D591" t="s">
        <v>1743</v>
      </c>
      <c r="E591" s="174">
        <v>46203</v>
      </c>
      <c r="F591" s="375" t="s">
        <v>39</v>
      </c>
      <c r="G591" s="4" t="s">
        <v>268</v>
      </c>
      <c r="H591" s="253">
        <v>-1400</v>
      </c>
      <c r="I591" s="172">
        <v>46203</v>
      </c>
      <c r="J591" s="172">
        <v>46203</v>
      </c>
      <c r="K591" s="212">
        <v>147</v>
      </c>
      <c r="L591" s="314">
        <f>VLOOKUP(I591,[2]USG!$O$45:$S$100,MATCH(F591,[2]USG!$O$46:$S$46,0),FALSE)</f>
        <v>146.75</v>
      </c>
      <c r="M591" s="9">
        <f>IF(Table3[[#This Row],[Quantity]]&gt;0,7.25*86.7*(Table3[[#This Row],[Mtm]]-Table3[[#This Row],[Price]])/100,0)</f>
        <v>0</v>
      </c>
      <c r="N591">
        <f t="shared" ref="N591:N593" si="935">H591*K591</f>
        <v>-205800</v>
      </c>
      <c r="O591" s="14" t="str">
        <f t="shared" si="926"/>
        <v>Jun 26</v>
      </c>
      <c r="P591" s="8" t="str">
        <f t="shared" si="927"/>
        <v>Sell</v>
      </c>
      <c r="Q591">
        <f t="shared" si="928"/>
        <v>-205450</v>
      </c>
      <c r="R591" t="str">
        <f>VLOOKUP(F591,Control!$B:$C,2,FALSE)</f>
        <v>Freight</v>
      </c>
      <c r="S591" t="str">
        <f>VLOOKUP(F591,Control!$B:$D,3,FALSE)</f>
        <v>Freight</v>
      </c>
      <c r="T591" s="38">
        <f t="shared" si="929"/>
        <v>2026</v>
      </c>
      <c r="U591" s="240" t="str">
        <f t="shared" si="930"/>
        <v>Sell</v>
      </c>
      <c r="V591" t="s">
        <v>96</v>
      </c>
      <c r="W591" t="e">
        <f>_xlfn.XLOOKUP(Table3[[#This Row],[Instrument]],Control!$B$2:$B$19,Control!$E$2:$E$19)</f>
        <v>#N/A</v>
      </c>
      <c r="X591" s="14">
        <f>Table3[[#This Row],[Month1]]</f>
        <v>46203</v>
      </c>
      <c r="Y591" s="350">
        <f>Table3[[#This Row],[Quantity]]</f>
        <v>-1400</v>
      </c>
      <c r="Z591" t="e">
        <f>_xlfn.XLOOKUP(Table3[[#This Row],[Instrument]],Control!$B$2:$B$19,Control!$F$2:$F$19)</f>
        <v>#N/A</v>
      </c>
      <c r="AA591" s="14">
        <f>Table3[[#This Row],[Month2]]</f>
        <v>46203</v>
      </c>
      <c r="AB591" s="350">
        <f t="shared" si="931"/>
        <v>1400</v>
      </c>
    </row>
    <row r="592" spans="4:28" hidden="1" x14ac:dyDescent="0.35">
      <c r="D592" t="s">
        <v>1735</v>
      </c>
      <c r="E592" s="174">
        <v>46233</v>
      </c>
      <c r="F592" s="375" t="s">
        <v>36</v>
      </c>
      <c r="G592" s="4" t="s">
        <v>128</v>
      </c>
      <c r="H592" s="253">
        <v>-10</v>
      </c>
      <c r="I592" s="172">
        <v>46265</v>
      </c>
      <c r="J592" s="172">
        <f>Table3[[#This Row],[Month1]]</f>
        <v>46265</v>
      </c>
      <c r="K592" s="212">
        <v>69.332999999999998</v>
      </c>
      <c r="L592" s="314">
        <f>VLOOKUP(I592,[2]USG!$O$45:$S105,MATCH("Freight-TD25 $/MT",[2]USG!$O$46:$S$46,0),FALSE)</f>
        <v>66.70675</v>
      </c>
      <c r="M592" s="9">
        <f>-(K592-L592)*Table3[[#This Row],[Quantity]]</f>
        <v>26.262499999999989</v>
      </c>
      <c r="N592">
        <f t="shared" si="935"/>
        <v>-693.32999999999993</v>
      </c>
      <c r="O592" s="14" t="str">
        <f t="shared" ref="O592:O594" si="936">IF(I592=J592,TEXT(I592,"MMM YY"),TEXT(I592,"MMM")&amp;"/"&amp;TEXT(J592,"MMM")&amp;" "&amp;RIGHT(T592,2))</f>
        <v>Aug 26</v>
      </c>
      <c r="P592" s="8" t="str">
        <f t="shared" ref="P592:P594" si="937">IF(H592&lt;0,"Sell","Buy")</f>
        <v>Sell</v>
      </c>
      <c r="Q592">
        <f t="shared" ref="Q592:Q594" si="938">H592*L592</f>
        <v>-667.0675</v>
      </c>
      <c r="R592" t="str">
        <f>VLOOKUP(F592,Control!$B:$C,2,FALSE)</f>
        <v>Freight</v>
      </c>
      <c r="S592" t="str">
        <f>VLOOKUP(F592,Control!$B:$D,3,FALSE)</f>
        <v>Freight</v>
      </c>
      <c r="T592" s="38">
        <f t="shared" ref="T592:T594" si="939">YEAR(I592)</f>
        <v>2026</v>
      </c>
      <c r="U592" t="str">
        <f t="shared" ref="U592:U594" si="940">IFERROR(IF(H592&gt;0,"Buy","Sell"),"")</f>
        <v>Sell</v>
      </c>
      <c r="V592" t="s">
        <v>96</v>
      </c>
      <c r="W592" t="e">
        <f>_xlfn.XLOOKUP(Table3[[#This Row],[Instrument]],Control!$B$2:$B$19,Control!$E$2:$E$19)</f>
        <v>#N/A</v>
      </c>
      <c r="X592" s="14">
        <f>Table3[[#This Row],[Month1]]</f>
        <v>46265</v>
      </c>
      <c r="Y592" s="350">
        <f>Table3[[#This Row],[Quantity]]</f>
        <v>-10</v>
      </c>
      <c r="Z592" t="e">
        <f>_xlfn.XLOOKUP(Table3[[#This Row],[Instrument]],Control!$B$2:$B$19,Control!$F$2:$F$19)</f>
        <v>#N/A</v>
      </c>
      <c r="AA592" s="14">
        <f>Table3[[#This Row],[Month2]]</f>
        <v>46265</v>
      </c>
      <c r="AB592" s="350">
        <f t="shared" ref="AB592:AB594" si="941">-Y592</f>
        <v>10</v>
      </c>
    </row>
    <row r="593" spans="4:28" hidden="1" x14ac:dyDescent="0.35">
      <c r="D593" t="s">
        <v>1735</v>
      </c>
      <c r="E593" s="174">
        <v>46233</v>
      </c>
      <c r="F593" s="375" t="s">
        <v>36</v>
      </c>
      <c r="G593" s="4" t="s">
        <v>128</v>
      </c>
      <c r="H593" s="253">
        <v>-10</v>
      </c>
      <c r="I593" s="172">
        <v>46295</v>
      </c>
      <c r="J593" s="172">
        <f>Table3[[#This Row],[Month1]]</f>
        <v>46295</v>
      </c>
      <c r="K593" s="212">
        <v>56.726999999999997</v>
      </c>
      <c r="L593" s="314">
        <f>VLOOKUP(I593,[2]USG!$O$45:$S105,MATCH("Freight-TD25 $/MT",[2]USG!$O$46:$S$46,0),FALSE)</f>
        <v>62.189600000000006</v>
      </c>
      <c r="M593" s="9">
        <f>-(K593-L593)*Table3[[#This Row],[Quantity]]</f>
        <v>-54.62600000000009</v>
      </c>
      <c r="N593">
        <f t="shared" si="935"/>
        <v>-567.27</v>
      </c>
      <c r="O593" s="14" t="str">
        <f t="shared" si="936"/>
        <v>Sep 26</v>
      </c>
      <c r="P593" s="8" t="str">
        <f t="shared" si="937"/>
        <v>Sell</v>
      </c>
      <c r="Q593">
        <f t="shared" si="938"/>
        <v>-621.89600000000007</v>
      </c>
      <c r="R593" t="str">
        <f>VLOOKUP(F593,Control!$B:$C,2,FALSE)</f>
        <v>Freight</v>
      </c>
      <c r="S593" t="str">
        <f>VLOOKUP(F593,Control!$B:$D,3,FALSE)</f>
        <v>Freight</v>
      </c>
      <c r="T593" s="38">
        <f t="shared" si="939"/>
        <v>2026</v>
      </c>
      <c r="U593" t="str">
        <f t="shared" si="940"/>
        <v>Sell</v>
      </c>
      <c r="V593" t="s">
        <v>96</v>
      </c>
      <c r="W593" t="e">
        <f>_xlfn.XLOOKUP(Table3[[#This Row],[Instrument]],Control!$B$2:$B$19,Control!$E$2:$E$19)</f>
        <v>#N/A</v>
      </c>
      <c r="X593" s="14">
        <f>Table3[[#This Row],[Month1]]</f>
        <v>46295</v>
      </c>
      <c r="Y593" s="350">
        <f>Table3[[#This Row],[Quantity]]</f>
        <v>-10</v>
      </c>
      <c r="Z593" t="e">
        <f>_xlfn.XLOOKUP(Table3[[#This Row],[Instrument]],Control!$B$2:$B$19,Control!$F$2:$F$19)</f>
        <v>#N/A</v>
      </c>
      <c r="AA593" s="14">
        <f>Table3[[#This Row],[Month2]]</f>
        <v>46295</v>
      </c>
      <c r="AB593" s="350">
        <f t="shared" si="941"/>
        <v>10</v>
      </c>
    </row>
    <row r="594" spans="4:28" hidden="1" x14ac:dyDescent="0.35">
      <c r="D594" t="s">
        <v>127</v>
      </c>
      <c r="E594" s="174">
        <v>46233</v>
      </c>
      <c r="F594" s="10" t="s">
        <v>7</v>
      </c>
      <c r="G594" s="4" t="s">
        <v>128</v>
      </c>
      <c r="H594" s="379">
        <v>-182</v>
      </c>
      <c r="I594" s="172">
        <v>46295</v>
      </c>
      <c r="J594" s="172">
        <f>EOMONTH(Table3[[#This Row],[Month1]],1)</f>
        <v>46326</v>
      </c>
      <c r="K594" s="15">
        <v>2.15</v>
      </c>
      <c r="L594" s="7">
        <f ca="1">IF(OR(S594="WTI Sprds",S594="Brent Sprds",S594="WTI-Brent",S594="DFL"),INDEX(INDIRECT("'" &amp; S594 &amp; "'!$A$6:$XFD$1048576"),MATCH('PnL26'!$P$1,INDIRECT("'" &amp; S594 &amp; "'!$A$6:$A$1048576"),0),MATCH(EOMONTH(I594,0),INDIRECT("'" &amp; S594 &amp; "'!$A$4:$XFD$4"),0)),INDEX(BBG!$A:$BA,MATCH('PnL26'!$P$1,BBG!$A:$A,0),MATCH($I594,BBG!$A$4:$BA$4,0))-INDEX(BBG!$A:$BA,MATCH('PnL26'!$P$1,BBG!$A:$A,0),MATCH($J594,BBG!$A$4:$BA$4,0)))</f>
        <v>2.19</v>
      </c>
      <c r="M594" s="9">
        <f t="shared" ref="M594" ca="1" si="942">IFERROR((L594-K594)*H594,"")</f>
        <v>-7.2800000000000065</v>
      </c>
      <c r="N594">
        <f t="shared" ref="N594" si="943">K593-K594</f>
        <v>54.576999999999998</v>
      </c>
      <c r="O594" s="14" t="str">
        <f t="shared" si="936"/>
        <v>Sep/Oct 26</v>
      </c>
      <c r="P594" s="8" t="str">
        <f t="shared" si="937"/>
        <v>Sell</v>
      </c>
      <c r="Q594">
        <f t="shared" ca="1" si="938"/>
        <v>-398.58</v>
      </c>
      <c r="R594" t="str">
        <f>VLOOKUP(F594,Control!$B:$C,2,FALSE)</f>
        <v>Futures</v>
      </c>
      <c r="S594" t="str">
        <f>VLOOKUP(F594,Control!$B:$D,3,FALSE)</f>
        <v>Brent Sprds</v>
      </c>
      <c r="T594" s="38">
        <f t="shared" si="939"/>
        <v>2026</v>
      </c>
      <c r="U594" t="str">
        <f t="shared" si="940"/>
        <v>Sell</v>
      </c>
      <c r="V594" t="s">
        <v>96</v>
      </c>
      <c r="W594" t="str">
        <f>_xlfn.XLOOKUP(Table3[[#This Row],[Instrument]],Control!$B$2:$B$19,Control!$E$2:$E$19)</f>
        <v>Brent</v>
      </c>
      <c r="X594" s="14">
        <f>Table3[[#This Row],[Month1]]</f>
        <v>46295</v>
      </c>
      <c r="Y594" s="350">
        <f>Table3[[#This Row],[Quantity]]</f>
        <v>-182</v>
      </c>
      <c r="Z594" t="str">
        <f>_xlfn.XLOOKUP(Table3[[#This Row],[Instrument]],Control!$B$2:$B$19,Control!$F$2:$F$19)</f>
        <v>Brent</v>
      </c>
      <c r="AA594" s="14">
        <f>Table3[[#This Row],[Month2]]</f>
        <v>46326</v>
      </c>
      <c r="AB594" s="350">
        <f t="shared" si="941"/>
        <v>182</v>
      </c>
    </row>
    <row r="595" spans="4:28" hidden="1" x14ac:dyDescent="0.35">
      <c r="D595" t="s">
        <v>1735</v>
      </c>
      <c r="E595" s="174">
        <v>46234</v>
      </c>
      <c r="F595" s="375" t="s">
        <v>36</v>
      </c>
      <c r="G595" s="4" t="s">
        <v>128</v>
      </c>
      <c r="H595" s="253">
        <v>-10</v>
      </c>
      <c r="I595" s="172">
        <v>46234</v>
      </c>
      <c r="J595" s="172">
        <v>46234</v>
      </c>
      <c r="K595" s="212">
        <v>62.19</v>
      </c>
      <c r="L595" s="314">
        <f>VLOOKUP(I595,[2]USG!$O$45:$S108,MATCH("Freight-TD25 $/MT",[2]USG!$O$46:$S$46,0),FALSE)</f>
        <v>62.189600000000006</v>
      </c>
      <c r="M595" s="9">
        <f>-(K595-L595)*Table3[[#This Row],[Quantity]]</f>
        <v>3.9999999999196234E-3</v>
      </c>
      <c r="N595">
        <f t="shared" ref="N595" si="944">H595*K595</f>
        <v>-621.9</v>
      </c>
      <c r="O595" s="14" t="str">
        <f t="shared" ref="O595" si="945">IF(I595=J595,TEXT(I595,"MMM YY"),TEXT(I595,"MMM")&amp;"/"&amp;TEXT(J595,"MMM")&amp;" "&amp;RIGHT(T595,2))</f>
        <v>Jul 26</v>
      </c>
      <c r="P595" s="8" t="str">
        <f t="shared" ref="P595" si="946">IF(H595&lt;0,"Sell","Buy")</f>
        <v>Sell</v>
      </c>
      <c r="Q595">
        <f t="shared" ref="Q595" si="947">H595*L595</f>
        <v>-621.89600000000007</v>
      </c>
      <c r="R595" t="str">
        <f>VLOOKUP(F595,Control!$B:$C,2,FALSE)</f>
        <v>Freight</v>
      </c>
      <c r="S595" t="str">
        <f>VLOOKUP(F595,Control!$B:$D,3,FALSE)</f>
        <v>Freight</v>
      </c>
      <c r="T595" s="38">
        <f t="shared" ref="T595" si="948">YEAR(I595)</f>
        <v>2026</v>
      </c>
      <c r="U595" t="str">
        <f t="shared" ref="U595" si="949">IFERROR(IF(H595&gt;0,"Buy","Sell"),"")</f>
        <v>Sell</v>
      </c>
      <c r="V595" t="s">
        <v>96</v>
      </c>
      <c r="W595" t="e">
        <f>_xlfn.XLOOKUP(Table3[[#This Row],[Instrument]],Control!$B$2:$B$19,Control!$E$2:$E$19)</f>
        <v>#N/A</v>
      </c>
      <c r="X595" s="14">
        <f>Table3[[#This Row],[Month1]]</f>
        <v>46234</v>
      </c>
      <c r="Y595" s="350">
        <f>Table3[[#This Row],[Quantity]]</f>
        <v>-10</v>
      </c>
      <c r="Z595" t="e">
        <f>_xlfn.XLOOKUP(Table3[[#This Row],[Instrument]],Control!$B$2:$B$19,Control!$F$2:$F$19)</f>
        <v>#N/A</v>
      </c>
      <c r="AA595" s="14">
        <f>Table3[[#This Row],[Month2]]</f>
        <v>46234</v>
      </c>
      <c r="AB595" s="350">
        <f t="shared" ref="AB595" si="950">-Y595</f>
        <v>10</v>
      </c>
    </row>
  </sheetData>
  <dataValidations count="1">
    <dataValidation type="list" allowBlank="1" showInputMessage="1" showErrorMessage="1" sqref="D1:D595" xr:uid="{0A32F7EE-D90E-442D-BEB5-D661E74DFAD1}">
      <formula1>Ledgerdd</formula1>
    </dataValidation>
  </dataValidations>
  <pageMargins left="0.7" right="0.7" top="0.75" bottom="0.75" header="0.3" footer="0.3"/>
  <pageSetup orientation="portrait" r:id="rId1"/>
  <headerFooter>
    <oddHeader>&amp;C&amp;"Calibri"&amp;10&amp;K008000 Classification: AramcoTrading-US  General Use&amp;1#_x000D_</oddHeader>
    <oddFooter>&amp;C_x000D_&amp;1#&amp;"Calibri"&amp;10&amp;K008000 This content is classified as AramcoTrading-US General Use by Cantafio, Alberto (ATA) on 2025-08-20T18:20:26.</oddFooter>
  </headerFooter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3A83D9-992C-4756-8380-9234EA799351}">
          <x14:formula1>
            <xm:f>Control!$B$2:$B$17</xm:f>
          </x14:formula1>
          <xm:sqref>F2:F595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1E5A-C106-4488-BEE1-408CB1076B14}">
  <sheetPr codeName="Sheet4">
    <tabColor rgb="FFFFC000"/>
  </sheetPr>
  <dimension ref="B1:BD56"/>
  <sheetViews>
    <sheetView showGridLines="0"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2" sqref="P12"/>
    </sheetView>
  </sheetViews>
  <sheetFormatPr defaultRowHeight="14.5" outlineLevelRow="1" x14ac:dyDescent="0.35"/>
  <cols>
    <col min="1" max="1" width="7.7265625" bestFit="1" customWidth="1"/>
    <col min="2" max="2" width="13.36328125" bestFit="1" customWidth="1"/>
    <col min="3" max="3" width="14.453125" bestFit="1" customWidth="1"/>
    <col min="4" max="4" width="4.54296875" customWidth="1"/>
    <col min="5" max="5" width="13.54296875" bestFit="1" customWidth="1"/>
    <col min="6" max="6" width="14.1796875" customWidth="1"/>
    <col min="7" max="7" width="11.54296875" customWidth="1"/>
    <col min="8" max="8" width="10.7265625" bestFit="1" customWidth="1"/>
    <col min="9" max="9" width="6.26953125" bestFit="1" customWidth="1"/>
    <col min="10" max="10" width="10.7265625" bestFit="1" customWidth="1"/>
    <col min="11" max="11" width="11.453125" bestFit="1" customWidth="1"/>
    <col min="12" max="12" width="9.26953125" bestFit="1" customWidth="1"/>
    <col min="13" max="13" width="8.81640625" bestFit="1" customWidth="1"/>
    <col min="14" max="14" width="21.26953125" bestFit="1" customWidth="1"/>
    <col min="15" max="15" width="13.36328125" bestFit="1" customWidth="1"/>
    <col min="16" max="16" width="8.36328125" bestFit="1" customWidth="1"/>
    <col min="17" max="17" width="9.453125" bestFit="1" customWidth="1"/>
    <col min="18" max="18" width="12.6328125" bestFit="1" customWidth="1"/>
    <col min="19" max="19" width="16.26953125" bestFit="1" customWidth="1"/>
    <col min="20" max="20" width="9.6328125" bestFit="1" customWidth="1"/>
    <col min="21" max="22" width="11" bestFit="1" customWidth="1"/>
    <col min="23" max="23" width="10.26953125" bestFit="1" customWidth="1"/>
    <col min="24" max="24" width="16.26953125" bestFit="1" customWidth="1"/>
    <col min="25" max="25" width="19.90625" bestFit="1" customWidth="1"/>
    <col min="26" max="26" width="11" bestFit="1" customWidth="1"/>
    <col min="27" max="28" width="3.7265625" customWidth="1"/>
    <col min="29" max="29" width="15.7265625" bestFit="1" customWidth="1"/>
    <col min="30" max="30" width="12.6328125" bestFit="1" customWidth="1"/>
    <col min="31" max="31" width="16.26953125" bestFit="1" customWidth="1"/>
    <col min="32" max="32" width="11" bestFit="1" customWidth="1"/>
    <col min="33" max="33" width="12.26953125" bestFit="1" customWidth="1"/>
    <col min="34" max="34" width="7.7265625" bestFit="1" customWidth="1"/>
    <col min="35" max="36" width="10.7265625" bestFit="1" customWidth="1"/>
    <col min="37" max="38" width="7.7265625" customWidth="1"/>
    <col min="39" max="39" width="12.6328125" bestFit="1" customWidth="1"/>
    <col min="40" max="40" width="16.26953125" bestFit="1" customWidth="1"/>
    <col min="41" max="41" width="19.54296875" bestFit="1" customWidth="1"/>
    <col min="42" max="42" width="12.6328125" bestFit="1" customWidth="1"/>
    <col min="43" max="43" width="24.453125" bestFit="1" customWidth="1"/>
    <col min="53" max="53" width="6.453125" bestFit="1" customWidth="1"/>
    <col min="54" max="54" width="10.7265625" bestFit="1" customWidth="1"/>
    <col min="55" max="55" width="11.453125" bestFit="1" customWidth="1"/>
    <col min="56" max="56" width="8.453125" bestFit="1" customWidth="1"/>
    <col min="57" max="57" width="6.26953125" bestFit="1" customWidth="1"/>
    <col min="58" max="58" width="11.54296875" bestFit="1" customWidth="1"/>
    <col min="59" max="59" width="10.7265625" bestFit="1" customWidth="1"/>
    <col min="60" max="62" width="18.7265625" bestFit="1" customWidth="1"/>
    <col min="63" max="63" width="9.7265625" bestFit="1" customWidth="1"/>
    <col min="64" max="64" width="6.7265625" bestFit="1" customWidth="1"/>
    <col min="65" max="65" width="6.54296875" bestFit="1" customWidth="1"/>
    <col min="66" max="66" width="6.453125" bestFit="1" customWidth="1"/>
    <col min="67" max="67" width="9.7265625" bestFit="1" customWidth="1"/>
    <col min="68" max="68" width="10.7265625" bestFit="1" customWidth="1"/>
    <col min="69" max="69" width="6.54296875" bestFit="1" customWidth="1"/>
    <col min="70" max="70" width="6.453125" bestFit="1" customWidth="1"/>
    <col min="71" max="71" width="9.7265625" bestFit="1" customWidth="1"/>
    <col min="72" max="72" width="10.7265625" bestFit="1" customWidth="1"/>
    <col min="73" max="73" width="9.7265625" bestFit="1" customWidth="1"/>
    <col min="74" max="74" width="10.7265625" bestFit="1" customWidth="1"/>
    <col min="75" max="75" width="9.7265625" bestFit="1" customWidth="1"/>
    <col min="76" max="76" width="6.7265625" bestFit="1" customWidth="1"/>
    <col min="77" max="77" width="6.54296875" bestFit="1" customWidth="1"/>
    <col min="78" max="78" width="6.453125" bestFit="1" customWidth="1"/>
    <col min="79" max="79" width="9.7265625" bestFit="1" customWidth="1"/>
    <col min="80" max="80" width="10.7265625" bestFit="1" customWidth="1"/>
    <col min="81" max="81" width="6.453125" bestFit="1" customWidth="1"/>
    <col min="82" max="82" width="11" bestFit="1" customWidth="1"/>
    <col min="83" max="83" width="9.7265625" bestFit="1" customWidth="1"/>
    <col min="84" max="84" width="10.7265625" bestFit="1" customWidth="1"/>
    <col min="85" max="85" width="9.7265625" bestFit="1" customWidth="1"/>
    <col min="86" max="86" width="6.7265625" bestFit="1" customWidth="1"/>
    <col min="87" max="87" width="11" bestFit="1" customWidth="1"/>
    <col min="88" max="88" width="6.26953125" bestFit="1" customWidth="1"/>
    <col min="89" max="89" width="10.26953125" bestFit="1" customWidth="1"/>
    <col min="90" max="90" width="6.453125" bestFit="1" customWidth="1"/>
    <col min="91" max="91" width="11" bestFit="1" customWidth="1"/>
    <col min="92" max="92" width="9.7265625" bestFit="1" customWidth="1"/>
    <col min="93" max="93" width="10.7265625" bestFit="1" customWidth="1"/>
    <col min="94" max="94" width="9.7265625" bestFit="1" customWidth="1"/>
    <col min="95" max="95" width="10.7265625" bestFit="1" customWidth="1"/>
    <col min="96" max="97" width="6.54296875" bestFit="1" customWidth="1"/>
    <col min="98" max="99" width="6.26953125" bestFit="1" customWidth="1"/>
    <col min="100" max="100" width="5.54296875" bestFit="1" customWidth="1"/>
    <col min="101" max="101" width="6.453125" bestFit="1" customWidth="1"/>
    <col min="102" max="102" width="7" bestFit="1" customWidth="1"/>
    <col min="103" max="103" width="7.453125" bestFit="1" customWidth="1"/>
    <col min="104" max="105" width="6.7265625" bestFit="1" customWidth="1"/>
    <col min="106" max="107" width="6.54296875" bestFit="1" customWidth="1"/>
    <col min="108" max="108" width="11.54296875" bestFit="1" customWidth="1"/>
    <col min="109" max="109" width="10.7265625" bestFit="1" customWidth="1"/>
  </cols>
  <sheetData>
    <row r="1" spans="2:56" x14ac:dyDescent="0.35">
      <c r="G1" s="12"/>
      <c r="H1" s="10"/>
      <c r="I1" s="4"/>
      <c r="J1" s="8"/>
      <c r="K1" s="8"/>
      <c r="L1" s="4"/>
      <c r="M1" s="7"/>
      <c r="N1" s="11">
        <f>IFERROR((M1-L1)*I1,"")</f>
        <v>0</v>
      </c>
      <c r="P1" s="13">
        <v>46265</v>
      </c>
      <c r="R1" s="4"/>
      <c r="S1" t="s">
        <v>1748</v>
      </c>
      <c r="AD1" s="4"/>
      <c r="AE1" t="s">
        <v>1748</v>
      </c>
    </row>
    <row r="2" spans="2:56" x14ac:dyDescent="0.35">
      <c r="C2" s="9"/>
      <c r="D2" s="9"/>
      <c r="G2">
        <v>2.4500000000000002</v>
      </c>
      <c r="H2">
        <v>2.72</v>
      </c>
      <c r="I2">
        <v>2.39</v>
      </c>
      <c r="J2">
        <v>2.1800000000000002</v>
      </c>
      <c r="K2">
        <v>2.84</v>
      </c>
    </row>
    <row r="3" spans="2:56" x14ac:dyDescent="0.35">
      <c r="C3" s="9"/>
      <c r="D3" s="9"/>
      <c r="W3" s="10"/>
      <c r="X3" s="473"/>
      <c r="Y3" s="10"/>
      <c r="Z3" s="10"/>
      <c r="AA3" s="10"/>
      <c r="AB3" s="10"/>
      <c r="AC3" s="10"/>
      <c r="AI3" s="10"/>
      <c r="AJ3" s="10"/>
      <c r="AK3" s="10"/>
      <c r="AL3" s="10"/>
      <c r="AM3" s="10"/>
      <c r="AN3" s="10"/>
      <c r="AO3" s="10"/>
    </row>
    <row r="4" spans="2:56" x14ac:dyDescent="0.35">
      <c r="C4" s="9"/>
      <c r="D4" s="9"/>
      <c r="X4" s="3"/>
      <c r="BA4" s="4"/>
      <c r="BB4" s="4"/>
      <c r="BC4" s="4"/>
      <c r="BD4" s="4"/>
    </row>
    <row r="5" spans="2:56" x14ac:dyDescent="0.35">
      <c r="X5" s="3"/>
    </row>
    <row r="6" spans="2:56" x14ac:dyDescent="0.35">
      <c r="B6" s="515" t="s">
        <v>1749</v>
      </c>
      <c r="C6" s="515"/>
      <c r="D6" s="514"/>
      <c r="E6" t="s">
        <v>12</v>
      </c>
      <c r="F6" s="122" t="s">
        <v>15</v>
      </c>
      <c r="G6" s="122" t="s">
        <v>44</v>
      </c>
      <c r="M6" s="8"/>
      <c r="N6" s="4"/>
      <c r="Y6" s="3"/>
      <c r="AM6" s="307" t="s">
        <v>109</v>
      </c>
      <c r="AN6" s="4" t="s">
        <v>128</v>
      </c>
    </row>
    <row r="7" spans="2:56" x14ac:dyDescent="0.35">
      <c r="B7" t="s">
        <v>1750</v>
      </c>
      <c r="C7">
        <v>0.79</v>
      </c>
      <c r="E7" s="16">
        <v>46053</v>
      </c>
      <c r="F7" s="376">
        <v>2.09</v>
      </c>
      <c r="M7" s="15"/>
      <c r="O7" s="305" t="str">
        <f>"CARGOES YTD P&amp;L|"&amp;" "&amp;TEXT($P$1,"Mmm-dd")</f>
        <v>CARGOES YTD P&amp;L| Aug-31</v>
      </c>
      <c r="R7" s="307" t="s">
        <v>1751</v>
      </c>
      <c r="S7" s="307" t="s">
        <v>121</v>
      </c>
      <c r="T7" s="4"/>
      <c r="U7" s="4"/>
      <c r="Y7" s="3"/>
    </row>
    <row r="8" spans="2:56" x14ac:dyDescent="0.35">
      <c r="B8" t="s">
        <v>1629</v>
      </c>
      <c r="C8">
        <v>1.54</v>
      </c>
      <c r="E8" s="16">
        <v>46081</v>
      </c>
      <c r="F8" s="376">
        <v>1.76</v>
      </c>
      <c r="G8">
        <v>1.26</v>
      </c>
      <c r="J8" t="s">
        <v>1752</v>
      </c>
      <c r="K8" s="458" t="s">
        <v>121</v>
      </c>
      <c r="L8" t="s">
        <v>1753</v>
      </c>
      <c r="O8" s="306" t="s">
        <v>121</v>
      </c>
      <c r="P8" s="4" t="s">
        <v>1753</v>
      </c>
      <c r="R8" s="307" t="s">
        <v>12</v>
      </c>
      <c r="S8" s="4" t="s">
        <v>7</v>
      </c>
      <c r="T8" s="4" t="s">
        <v>3</v>
      </c>
      <c r="U8" s="4" t="s">
        <v>1754</v>
      </c>
      <c r="AD8" s="307" t="s">
        <v>107</v>
      </c>
      <c r="AE8" s="181">
        <v>46111</v>
      </c>
      <c r="AF8" s="349"/>
      <c r="AM8" s="4"/>
      <c r="AN8" s="307" t="s">
        <v>121</v>
      </c>
      <c r="AO8" s="4"/>
      <c r="AP8" s="4"/>
      <c r="AQ8" s="4"/>
    </row>
    <row r="9" spans="2:56" x14ac:dyDescent="0.35">
      <c r="B9" t="s">
        <v>1755</v>
      </c>
      <c r="C9">
        <v>2.6</v>
      </c>
      <c r="E9" s="16">
        <v>46112</v>
      </c>
      <c r="F9" s="461">
        <v>11.45</v>
      </c>
      <c r="J9">
        <v>-128</v>
      </c>
      <c r="K9" s="110" t="s">
        <v>3</v>
      </c>
      <c r="L9" s="377">
        <v>5408.6777939999965</v>
      </c>
      <c r="M9" s="451">
        <f>L9-J9</f>
        <v>5536.6777939999965</v>
      </c>
      <c r="O9" s="1" t="s">
        <v>3</v>
      </c>
      <c r="P9" s="372">
        <v>5408.6777939999965</v>
      </c>
      <c r="R9" s="4" t="s">
        <v>4</v>
      </c>
      <c r="S9" s="308">
        <v>-0.15374999999997385</v>
      </c>
      <c r="T9" s="308">
        <v>-0.16820000000006985</v>
      </c>
      <c r="U9" s="308">
        <v>-0.3219500000000437</v>
      </c>
      <c r="AM9" s="4"/>
      <c r="AN9" s="4" t="s">
        <v>10</v>
      </c>
      <c r="AO9" s="4"/>
      <c r="AP9" s="4" t="s">
        <v>1756</v>
      </c>
      <c r="AQ9" s="4" t="s">
        <v>1757</v>
      </c>
    </row>
    <row r="10" spans="2:56" x14ac:dyDescent="0.35">
      <c r="B10" t="s">
        <v>1631</v>
      </c>
      <c r="C10">
        <v>2.5</v>
      </c>
      <c r="E10" s="16">
        <v>46142</v>
      </c>
      <c r="F10" s="449">
        <f>Dated!L31</f>
        <v>17.678750000000008</v>
      </c>
      <c r="J10">
        <v>-28</v>
      </c>
      <c r="K10" s="110" t="s">
        <v>7</v>
      </c>
      <c r="L10" s="377">
        <v>-1079.6610874999958</v>
      </c>
      <c r="M10" s="451">
        <f t="shared" ref="M10:M17" si="0">L10-J10</f>
        <v>-1051.6610874999958</v>
      </c>
      <c r="O10" s="1" t="s">
        <v>7</v>
      </c>
      <c r="P10" s="372">
        <v>-1079.6610874999958</v>
      </c>
      <c r="R10" s="4" t="s">
        <v>1758</v>
      </c>
      <c r="S10" s="308">
        <v>-0.15374999999997385</v>
      </c>
      <c r="T10" s="308">
        <v>0</v>
      </c>
      <c r="U10" s="308">
        <v>-0.15374999999997385</v>
      </c>
      <c r="AD10" s="307" t="s">
        <v>11</v>
      </c>
      <c r="AE10" s="307" t="s">
        <v>121</v>
      </c>
      <c r="AF10" s="4"/>
      <c r="AM10" s="307" t="s">
        <v>12</v>
      </c>
      <c r="AN10" s="4" t="s">
        <v>1751</v>
      </c>
      <c r="AO10" s="4" t="s">
        <v>1759</v>
      </c>
      <c r="AP10" s="4"/>
      <c r="AQ10" s="4"/>
    </row>
    <row r="11" spans="2:56" x14ac:dyDescent="0.35">
      <c r="B11" t="s">
        <v>1760</v>
      </c>
      <c r="C11">
        <v>2.69</v>
      </c>
      <c r="E11" s="16">
        <v>46173</v>
      </c>
      <c r="F11" s="450">
        <v>3.68</v>
      </c>
      <c r="G11" s="459">
        <v>7.1</v>
      </c>
      <c r="J11">
        <v>-743</v>
      </c>
      <c r="K11" s="110" t="s">
        <v>10</v>
      </c>
      <c r="L11" s="377">
        <v>-1181.5369999999925</v>
      </c>
      <c r="M11" s="451">
        <f t="shared" si="0"/>
        <v>-438.53699999999253</v>
      </c>
      <c r="O11" s="1" t="s">
        <v>10</v>
      </c>
      <c r="P11" s="372">
        <v>-1181.5369999999925</v>
      </c>
      <c r="R11" s="4" t="s">
        <v>1761</v>
      </c>
      <c r="S11" s="308">
        <v>0</v>
      </c>
      <c r="T11" s="308">
        <v>-0.16820000000006985</v>
      </c>
      <c r="U11" s="308">
        <v>-0.16820000000006985</v>
      </c>
      <c r="AD11" s="307" t="s">
        <v>12</v>
      </c>
      <c r="AE11" s="4" t="s">
        <v>15</v>
      </c>
      <c r="AF11" s="4" t="s">
        <v>1754</v>
      </c>
      <c r="AM11" s="4" t="s">
        <v>11</v>
      </c>
      <c r="AN11" s="308">
        <v>15185</v>
      </c>
      <c r="AO11" s="403">
        <v>-6.3993657886071773</v>
      </c>
      <c r="AP11" s="308">
        <v>15185</v>
      </c>
      <c r="AQ11" s="403">
        <v>-6.3993657886071782</v>
      </c>
    </row>
    <row r="12" spans="2:56" x14ac:dyDescent="0.35">
      <c r="B12" t="s">
        <v>1725</v>
      </c>
      <c r="C12" s="362">
        <v>2.516</v>
      </c>
      <c r="D12" s="362"/>
      <c r="E12" s="16">
        <v>46203</v>
      </c>
      <c r="F12" s="454">
        <v>2.23</v>
      </c>
      <c r="J12">
        <v>-971</v>
      </c>
      <c r="K12" s="110" t="s">
        <v>16</v>
      </c>
      <c r="L12" s="377">
        <v>11852.839000000002</v>
      </c>
      <c r="M12" s="451">
        <f t="shared" si="0"/>
        <v>12823.839000000002</v>
      </c>
      <c r="O12" s="1" t="s">
        <v>16</v>
      </c>
      <c r="P12" s="372">
        <v>11852.839000000002</v>
      </c>
      <c r="R12" s="4" t="s">
        <v>1762</v>
      </c>
      <c r="S12" s="308">
        <v>0</v>
      </c>
      <c r="T12" s="308"/>
      <c r="U12" s="308">
        <v>0</v>
      </c>
      <c r="AD12" s="4" t="s">
        <v>128</v>
      </c>
      <c r="AE12" s="308"/>
      <c r="AF12" s="308"/>
      <c r="AM12" s="4" t="s">
        <v>103</v>
      </c>
      <c r="AN12" s="308">
        <v>2830</v>
      </c>
      <c r="AO12" s="403">
        <v>-1.1821095406360413</v>
      </c>
      <c r="AP12" s="308">
        <v>2830</v>
      </c>
      <c r="AQ12" s="403">
        <v>-1.1821095406360413</v>
      </c>
    </row>
    <row r="13" spans="2:56" x14ac:dyDescent="0.35">
      <c r="B13" t="s">
        <v>1726</v>
      </c>
      <c r="C13">
        <v>2.74</v>
      </c>
      <c r="E13" s="16">
        <v>46234</v>
      </c>
      <c r="F13" s="104">
        <v>2.62</v>
      </c>
      <c r="J13">
        <v>-1043</v>
      </c>
      <c r="K13" s="110" t="s">
        <v>29</v>
      </c>
      <c r="L13" s="377">
        <v>24344.573262500009</v>
      </c>
      <c r="M13" s="451">
        <f t="shared" si="0"/>
        <v>25387.573262500009</v>
      </c>
      <c r="O13" s="1" t="s">
        <v>29</v>
      </c>
      <c r="P13" s="372">
        <v>24344.577262500003</v>
      </c>
      <c r="R13" s="4" t="s">
        <v>1754</v>
      </c>
      <c r="S13" s="309">
        <v>-0.15374999999997385</v>
      </c>
      <c r="T13" s="309">
        <v>-0.16820000000006985</v>
      </c>
      <c r="U13" s="309">
        <v>-0.3219500000000437</v>
      </c>
      <c r="AD13" s="4" t="s">
        <v>11</v>
      </c>
      <c r="AE13" s="308">
        <v>-900</v>
      </c>
      <c r="AF13" s="308">
        <v>-900</v>
      </c>
      <c r="AM13" s="4" t="s">
        <v>101</v>
      </c>
      <c r="AN13" s="308">
        <v>6044</v>
      </c>
      <c r="AO13" s="403">
        <v>-6.5010258107213765</v>
      </c>
      <c r="AP13" s="308">
        <v>6044</v>
      </c>
      <c r="AQ13" s="403">
        <v>-6.5010258107213765</v>
      </c>
    </row>
    <row r="14" spans="2:56" x14ac:dyDescent="0.35">
      <c r="B14" t="s">
        <v>1763</v>
      </c>
      <c r="C14">
        <v>1.9</v>
      </c>
      <c r="E14" s="16">
        <v>46265</v>
      </c>
      <c r="F14" s="19">
        <f>F13</f>
        <v>2.62</v>
      </c>
      <c r="J14">
        <v>64</v>
      </c>
      <c r="K14" s="110" t="s">
        <v>44</v>
      </c>
      <c r="L14" s="377">
        <v>3074.09</v>
      </c>
      <c r="M14" s="451">
        <f t="shared" si="0"/>
        <v>3010.09</v>
      </c>
      <c r="O14" s="1" t="s">
        <v>44</v>
      </c>
      <c r="P14" s="372">
        <v>3074.09</v>
      </c>
      <c r="AD14" s="4" t="s">
        <v>102</v>
      </c>
      <c r="AE14" s="308">
        <v>-900</v>
      </c>
      <c r="AF14" s="322">
        <v>-900</v>
      </c>
      <c r="AM14" s="4" t="s">
        <v>1764</v>
      </c>
      <c r="AN14" s="308">
        <v>2065</v>
      </c>
      <c r="AO14" s="403">
        <v>-9.5828087167070226</v>
      </c>
      <c r="AP14" s="308">
        <v>2065</v>
      </c>
      <c r="AQ14" s="403">
        <v>-9.5828087167070226</v>
      </c>
    </row>
    <row r="15" spans="2:56" x14ac:dyDescent="0.35">
      <c r="B15" t="s">
        <v>1765</v>
      </c>
      <c r="C15">
        <v>1.02</v>
      </c>
      <c r="E15" s="16">
        <v>46295</v>
      </c>
      <c r="F15" s="19">
        <f t="shared" ref="F15" si="1">F13</f>
        <v>2.62</v>
      </c>
      <c r="J15">
        <v>2398</v>
      </c>
      <c r="K15" s="110" t="s">
        <v>19</v>
      </c>
      <c r="L15" s="377">
        <v>12223.26129136987</v>
      </c>
      <c r="M15" s="451">
        <f t="shared" si="0"/>
        <v>9825.2612913698704</v>
      </c>
      <c r="O15" s="1" t="s">
        <v>19</v>
      </c>
      <c r="P15" s="372">
        <v>12223.26129136987</v>
      </c>
      <c r="AD15" s="4" t="s">
        <v>1754</v>
      </c>
      <c r="AE15" s="309">
        <v>-900</v>
      </c>
      <c r="AF15" s="309">
        <v>-900</v>
      </c>
      <c r="AM15" s="4" t="s">
        <v>1766</v>
      </c>
      <c r="AN15" s="308">
        <v>4246</v>
      </c>
      <c r="AO15" s="403">
        <v>-8.1837728450306173</v>
      </c>
      <c r="AP15" s="308">
        <v>4246</v>
      </c>
      <c r="AQ15" s="403">
        <v>-8.1837728450306173</v>
      </c>
    </row>
    <row r="16" spans="2:56" ht="15" thickBot="1" x14ac:dyDescent="0.4">
      <c r="E16" s="16"/>
      <c r="F16" s="170"/>
      <c r="J16">
        <v>187</v>
      </c>
      <c r="K16" s="110" t="s">
        <v>53</v>
      </c>
      <c r="L16" s="377">
        <v>187</v>
      </c>
      <c r="M16" s="451">
        <f t="shared" si="0"/>
        <v>0</v>
      </c>
      <c r="O16" s="1" t="s">
        <v>53</v>
      </c>
      <c r="P16" s="372">
        <v>187</v>
      </c>
      <c r="AM16" s="4" t="s">
        <v>1754</v>
      </c>
      <c r="AN16" s="308">
        <v>15185</v>
      </c>
      <c r="AO16" s="403">
        <v>-6.3993657886071773</v>
      </c>
      <c r="AP16" s="309">
        <v>15185</v>
      </c>
      <c r="AQ16" s="404">
        <v>-6.3993657886071782</v>
      </c>
    </row>
    <row r="17" spans="2:26" ht="15" thickBot="1" x14ac:dyDescent="0.4">
      <c r="E17" s="16"/>
      <c r="F17" s="19"/>
      <c r="J17">
        <f>SUM(J9:J16)</f>
        <v>-264</v>
      </c>
      <c r="K17" s="111" t="s">
        <v>1767</v>
      </c>
      <c r="L17" s="51">
        <f>SUM(L9:L16)</f>
        <v>54829.243260369884</v>
      </c>
      <c r="M17" s="451">
        <f t="shared" si="0"/>
        <v>55093.243260369884</v>
      </c>
      <c r="O17" s="1" t="s">
        <v>1767</v>
      </c>
      <c r="P17" s="323">
        <v>54829.247260369884</v>
      </c>
      <c r="R17" s="307" t="s">
        <v>120</v>
      </c>
      <c r="S17" s="4" t="s">
        <v>11</v>
      </c>
      <c r="T17" s="349"/>
    </row>
    <row r="18" spans="2:26" x14ac:dyDescent="0.35">
      <c r="E18" s="16"/>
      <c r="F18" s="170"/>
      <c r="X18" s="307" t="s">
        <v>117</v>
      </c>
      <c r="Y18" s="4" t="s">
        <v>1768</v>
      </c>
    </row>
    <row r="19" spans="2:26" x14ac:dyDescent="0.35">
      <c r="E19" s="16"/>
      <c r="F19" s="19"/>
      <c r="O19" s="516" t="s">
        <v>1769</v>
      </c>
      <c r="P19" s="516"/>
      <c r="R19" s="307" t="s">
        <v>11</v>
      </c>
      <c r="S19" s="307" t="s">
        <v>121</v>
      </c>
      <c r="T19" s="4"/>
      <c r="U19" s="4"/>
    </row>
    <row r="20" spans="2:26" x14ac:dyDescent="0.35">
      <c r="E20" s="16"/>
      <c r="F20" s="104"/>
      <c r="M20" s="167"/>
      <c r="O20" s="110" t="str">
        <f t="shared" ref="O20:O27" si="2">O9</f>
        <v>WTI Sprds</v>
      </c>
      <c r="P20" s="303">
        <f t="shared" ref="P20:P27" si="3">P9-L9+M20</f>
        <v>0</v>
      </c>
      <c r="R20" s="307" t="s">
        <v>12</v>
      </c>
      <c r="S20" s="4" t="s">
        <v>15</v>
      </c>
      <c r="T20" s="4" t="s">
        <v>10</v>
      </c>
      <c r="U20" s="4" t="s">
        <v>1754</v>
      </c>
      <c r="X20" s="307" t="s">
        <v>1770</v>
      </c>
      <c r="Y20" s="307" t="s">
        <v>1771</v>
      </c>
      <c r="Z20" s="4"/>
    </row>
    <row r="21" spans="2:26" x14ac:dyDescent="0.35">
      <c r="E21" s="16"/>
      <c r="F21" s="19"/>
      <c r="M21" s="168"/>
      <c r="O21" s="110" t="str">
        <f t="shared" si="2"/>
        <v>Brent Sprds</v>
      </c>
      <c r="P21" s="303">
        <f t="shared" si="3"/>
        <v>0</v>
      </c>
      <c r="R21" s="4" t="s">
        <v>103</v>
      </c>
      <c r="S21" s="308">
        <v>0</v>
      </c>
      <c r="T21" s="308">
        <v>0</v>
      </c>
      <c r="U21" s="322">
        <v>0</v>
      </c>
      <c r="X21" s="307" t="s">
        <v>1772</v>
      </c>
      <c r="Y21" s="1" t="s">
        <v>16</v>
      </c>
      <c r="Z21" s="4" t="s">
        <v>1754</v>
      </c>
    </row>
    <row r="22" spans="2:26" outlineLevel="1" x14ac:dyDescent="0.35">
      <c r="B22" s="306" t="s">
        <v>106</v>
      </c>
      <c r="C22" t="s">
        <v>1736</v>
      </c>
      <c r="E22" s="16"/>
      <c r="F22" s="104"/>
      <c r="M22" s="168"/>
      <c r="O22" s="110" t="str">
        <f t="shared" si="2"/>
        <v>WTI-Brent</v>
      </c>
      <c r="P22" s="303">
        <f t="shared" si="3"/>
        <v>0</v>
      </c>
      <c r="R22" s="4" t="s">
        <v>101</v>
      </c>
      <c r="S22" s="308">
        <v>0</v>
      </c>
      <c r="T22" s="308">
        <v>0</v>
      </c>
      <c r="U22" s="322">
        <v>0</v>
      </c>
      <c r="X22" s="1" t="s">
        <v>22</v>
      </c>
      <c r="Y22" s="308">
        <v>0</v>
      </c>
      <c r="Z22" s="308">
        <v>0</v>
      </c>
    </row>
    <row r="23" spans="2:26" outlineLevel="1" x14ac:dyDescent="0.35">
      <c r="F23" s="19"/>
      <c r="M23" s="168"/>
      <c r="O23" s="110" t="str">
        <f t="shared" si="2"/>
        <v>Dated</v>
      </c>
      <c r="P23" s="303">
        <f t="shared" si="3"/>
        <v>0</v>
      </c>
      <c r="R23" s="4" t="s">
        <v>1764</v>
      </c>
      <c r="S23" s="308">
        <v>0</v>
      </c>
      <c r="T23" s="308">
        <v>0</v>
      </c>
      <c r="U23" s="308">
        <v>0</v>
      </c>
      <c r="X23" s="4" t="s">
        <v>1629</v>
      </c>
      <c r="Y23" s="308">
        <v>0</v>
      </c>
      <c r="Z23" s="308">
        <v>0</v>
      </c>
    </row>
    <row r="24" spans="2:26" outlineLevel="1" x14ac:dyDescent="0.35">
      <c r="B24" s="306" t="s">
        <v>121</v>
      </c>
      <c r="C24" s="4" t="s">
        <v>1753</v>
      </c>
      <c r="D24" s="4"/>
      <c r="F24" s="19"/>
      <c r="M24" s="168"/>
      <c r="O24" s="110" t="str">
        <f t="shared" si="2"/>
        <v>Freight</v>
      </c>
      <c r="P24" s="303">
        <f t="shared" si="3"/>
        <v>3.9999999935389496E-3</v>
      </c>
      <c r="R24" s="4" t="s">
        <v>1766</v>
      </c>
      <c r="S24" s="308">
        <v>0</v>
      </c>
      <c r="T24" s="308">
        <v>0</v>
      </c>
      <c r="U24" s="308">
        <v>0</v>
      </c>
      <c r="X24" s="4" t="s">
        <v>1631</v>
      </c>
      <c r="Y24" s="308">
        <v>0</v>
      </c>
      <c r="Z24" s="308">
        <v>0</v>
      </c>
    </row>
    <row r="25" spans="2:26" outlineLevel="1" x14ac:dyDescent="0.35">
      <c r="B25" s="1" t="s">
        <v>268</v>
      </c>
      <c r="C25" s="372">
        <v>238.00000000000014</v>
      </c>
      <c r="D25" s="372"/>
      <c r="F25" s="104"/>
      <c r="M25" s="168"/>
      <c r="O25" s="110" t="str">
        <f t="shared" si="2"/>
        <v>MEH</v>
      </c>
      <c r="P25" s="303">
        <f t="shared" si="3"/>
        <v>0</v>
      </c>
      <c r="R25" s="4" t="s">
        <v>1773</v>
      </c>
      <c r="S25" s="308">
        <v>0</v>
      </c>
      <c r="T25" s="308"/>
      <c r="U25" s="308">
        <v>0</v>
      </c>
      <c r="X25" s="4" t="s">
        <v>1725</v>
      </c>
      <c r="Y25" s="308">
        <v>0</v>
      </c>
      <c r="Z25" s="308">
        <v>0</v>
      </c>
    </row>
    <row r="26" spans="2:26" outlineLevel="1" x14ac:dyDescent="0.35">
      <c r="B26" s="2" t="s">
        <v>3</v>
      </c>
      <c r="C26" s="372">
        <v>377.99999999999994</v>
      </c>
      <c r="D26" s="372"/>
      <c r="F26" s="19"/>
      <c r="M26" s="168"/>
      <c r="O26" s="110" t="str">
        <f t="shared" si="2"/>
        <v>Physical</v>
      </c>
      <c r="P26" s="303">
        <f t="shared" si="3"/>
        <v>0</v>
      </c>
      <c r="R26" s="4" t="s">
        <v>1754</v>
      </c>
      <c r="S26" s="309">
        <v>0</v>
      </c>
      <c r="T26" s="309">
        <v>0</v>
      </c>
      <c r="U26" s="309">
        <v>0</v>
      </c>
      <c r="X26" s="4" t="s">
        <v>1726</v>
      </c>
      <c r="Y26" s="308">
        <v>0</v>
      </c>
      <c r="Z26" s="308">
        <v>0</v>
      </c>
    </row>
    <row r="27" spans="2:26" outlineLevel="1" x14ac:dyDescent="0.35">
      <c r="B27" s="2" t="s">
        <v>10</v>
      </c>
      <c r="C27" s="372">
        <v>0</v>
      </c>
      <c r="D27" s="372"/>
      <c r="F27" s="19"/>
      <c r="M27" s="169"/>
      <c r="O27" s="110" t="str">
        <f t="shared" si="2"/>
        <v>Legacy 2025</v>
      </c>
      <c r="P27" s="303">
        <f t="shared" si="3"/>
        <v>0</v>
      </c>
      <c r="X27" s="4" t="s">
        <v>1754</v>
      </c>
      <c r="Y27" s="309">
        <v>0</v>
      </c>
      <c r="Z27" s="309">
        <v>0</v>
      </c>
    </row>
    <row r="28" spans="2:26" outlineLevel="1" x14ac:dyDescent="0.35">
      <c r="B28" s="2" t="s">
        <v>29</v>
      </c>
      <c r="C28" s="372">
        <v>0</v>
      </c>
      <c r="D28" s="372"/>
      <c r="F28" s="104"/>
      <c r="O28" s="111" t="s">
        <v>1769</v>
      </c>
      <c r="P28" s="304">
        <f>SUM(P19:P27)</f>
        <v>3.9999999935389496E-3</v>
      </c>
    </row>
    <row r="29" spans="2:26" outlineLevel="1" x14ac:dyDescent="0.35">
      <c r="B29" s="2" t="s">
        <v>19</v>
      </c>
      <c r="C29" s="372">
        <v>-139.9999999999998</v>
      </c>
      <c r="D29" s="372"/>
      <c r="F29" s="104" t="s">
        <v>1774</v>
      </c>
      <c r="R29" s="307" t="s">
        <v>120</v>
      </c>
      <c r="S29" s="4" t="s">
        <v>29</v>
      </c>
      <c r="T29" s="349"/>
    </row>
    <row r="30" spans="2:26" outlineLevel="1" x14ac:dyDescent="0.35">
      <c r="B30" s="1" t="s">
        <v>128</v>
      </c>
      <c r="C30" s="372">
        <v>2798.3380000000016</v>
      </c>
      <c r="D30" s="372"/>
      <c r="F30" s="457" t="s">
        <v>1775</v>
      </c>
      <c r="H30" s="91"/>
      <c r="J30">
        <v>2023</v>
      </c>
    </row>
    <row r="31" spans="2:26" outlineLevel="1" x14ac:dyDescent="0.35">
      <c r="B31" s="2" t="s">
        <v>3</v>
      </c>
      <c r="C31" s="372">
        <v>-322.00000000000006</v>
      </c>
      <c r="D31" s="372"/>
      <c r="F31" s="457" t="s">
        <v>1776</v>
      </c>
      <c r="J31">
        <v>0</v>
      </c>
      <c r="R31" s="307" t="s">
        <v>29</v>
      </c>
      <c r="S31" s="307" t="s">
        <v>121</v>
      </c>
      <c r="T31" s="4"/>
      <c r="U31" s="4"/>
      <c r="V31" s="4"/>
    </row>
    <row r="32" spans="2:26" outlineLevel="1" x14ac:dyDescent="0.35">
      <c r="B32" s="2" t="s">
        <v>10</v>
      </c>
      <c r="C32" s="372">
        <v>3120.3380000000016</v>
      </c>
      <c r="D32" s="372"/>
      <c r="F32" s="1" t="s">
        <v>1777</v>
      </c>
      <c r="H32" s="91"/>
      <c r="J32">
        <v>0</v>
      </c>
      <c r="R32" s="307" t="s">
        <v>12</v>
      </c>
      <c r="S32" s="4" t="s">
        <v>28</v>
      </c>
      <c r="T32" s="4" t="s">
        <v>36</v>
      </c>
      <c r="U32" s="4" t="s">
        <v>39</v>
      </c>
      <c r="V32" s="4" t="s">
        <v>1754</v>
      </c>
    </row>
    <row r="33" spans="2:22" outlineLevel="1" x14ac:dyDescent="0.35">
      <c r="B33" s="1" t="s">
        <v>1767</v>
      </c>
      <c r="C33" s="323">
        <v>3036.3380000000016</v>
      </c>
      <c r="D33" s="323"/>
      <c r="F33" s="457" t="s">
        <v>1778</v>
      </c>
      <c r="H33" s="391"/>
      <c r="J33">
        <v>632</v>
      </c>
      <c r="R33" s="4" t="s">
        <v>103</v>
      </c>
      <c r="S33" s="308">
        <v>0</v>
      </c>
      <c r="T33" s="308">
        <v>0</v>
      </c>
      <c r="U33" s="308">
        <v>0</v>
      </c>
      <c r="V33" s="322">
        <v>0</v>
      </c>
    </row>
    <row r="34" spans="2:22" outlineLevel="1" x14ac:dyDescent="0.35">
      <c r="E34" s="91"/>
      <c r="F34" s="457" t="s">
        <v>1779</v>
      </c>
      <c r="J34">
        <v>0</v>
      </c>
      <c r="R34" s="4" t="s">
        <v>101</v>
      </c>
      <c r="S34" s="308"/>
      <c r="T34" s="308"/>
      <c r="U34" s="308">
        <v>0</v>
      </c>
      <c r="V34" s="322">
        <v>0</v>
      </c>
    </row>
    <row r="35" spans="2:22" outlineLevel="1" x14ac:dyDescent="0.35">
      <c r="C35" s="451">
        <f>C29-C25</f>
        <v>-377.99999999999994</v>
      </c>
      <c r="D35" s="451"/>
      <c r="F35" s="457" t="s">
        <v>1780</v>
      </c>
      <c r="H35" s="91"/>
      <c r="J35">
        <v>835</v>
      </c>
      <c r="R35" s="4" t="s">
        <v>1764</v>
      </c>
      <c r="S35" s="308"/>
      <c r="T35" s="308">
        <v>0</v>
      </c>
      <c r="U35" s="308"/>
      <c r="V35" s="308">
        <v>0</v>
      </c>
    </row>
    <row r="36" spans="2:22" outlineLevel="1" x14ac:dyDescent="0.35">
      <c r="C36" s="402">
        <f>C35/700</f>
        <v>-0.53999999999999992</v>
      </c>
      <c r="D36" s="402"/>
      <c r="E36" s="91"/>
      <c r="H36" s="91"/>
      <c r="J36" s="108">
        <f>SUM(J30:J35)</f>
        <v>3490</v>
      </c>
      <c r="R36" s="4" t="s">
        <v>1766</v>
      </c>
      <c r="S36" s="308"/>
      <c r="T36" s="308">
        <v>0</v>
      </c>
      <c r="U36" s="308"/>
      <c r="V36" s="308">
        <v>0</v>
      </c>
    </row>
    <row r="37" spans="2:22" outlineLevel="1" x14ac:dyDescent="0.35">
      <c r="R37" s="4" t="s">
        <v>1773</v>
      </c>
      <c r="S37" s="308"/>
      <c r="T37" s="308">
        <v>0</v>
      </c>
      <c r="U37" s="308"/>
      <c r="V37" s="308">
        <v>0</v>
      </c>
    </row>
    <row r="38" spans="2:22" outlineLevel="1" x14ac:dyDescent="0.35">
      <c r="R38" s="4" t="s">
        <v>1754</v>
      </c>
      <c r="S38" s="309">
        <v>0</v>
      </c>
      <c r="T38" s="309">
        <v>0</v>
      </c>
      <c r="U38" s="309">
        <v>0</v>
      </c>
      <c r="V38" s="309">
        <v>0</v>
      </c>
    </row>
    <row r="39" spans="2:22" outlineLevel="1" x14ac:dyDescent="0.35"/>
    <row r="40" spans="2:22" outlineLevel="1" x14ac:dyDescent="0.35"/>
    <row r="41" spans="2:22" outlineLevel="1" x14ac:dyDescent="0.35"/>
    <row r="42" spans="2:22" outlineLevel="1" x14ac:dyDescent="0.35"/>
    <row r="43" spans="2:22" outlineLevel="1" x14ac:dyDescent="0.35">
      <c r="K43" s="18"/>
    </row>
    <row r="46" spans="2:22" x14ac:dyDescent="0.35">
      <c r="N46" s="460"/>
      <c r="O46" s="17"/>
    </row>
    <row r="47" spans="2:22" x14ac:dyDescent="0.35">
      <c r="N47" s="460"/>
      <c r="O47" s="17"/>
    </row>
    <row r="48" spans="2:22" x14ac:dyDescent="0.35">
      <c r="O48" s="91"/>
    </row>
    <row r="52" spans="23:23" x14ac:dyDescent="0.35">
      <c r="W52" s="185"/>
    </row>
    <row r="55" spans="23:23" x14ac:dyDescent="0.35">
      <c r="W55" s="185"/>
    </row>
    <row r="56" spans="23:23" x14ac:dyDescent="0.35">
      <c r="W56" s="185"/>
    </row>
  </sheetData>
  <mergeCells count="2">
    <mergeCell ref="B6:C6"/>
    <mergeCell ref="O19:P19"/>
  </mergeCells>
  <phoneticPr fontId="12" type="noConversion"/>
  <pageMargins left="0.7" right="0.7" top="0.75" bottom="0.75" header="0.3" footer="0.3"/>
  <pageSetup orientation="portrait" r:id="rId9"/>
  <headerFooter>
    <oddHeader>&amp;C&amp;"Calibri"&amp;10&amp;K008000 Classification: AramcoTrading-US  General Use&amp;1#_x000D_</oddHeader>
    <oddFooter>&amp;C&amp;"Calibri"&amp;11&amp;K000000_x000D_&amp;1#&amp;"Calibri"&amp;10&amp;K008000 This content is classified as AramcoTrading-US General Use by Cantafio, Alberto (ATA) on 2025-08-20T18:20:26.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44BB24D-D1DC-4D63-98FC-A5106755BB84}">
          <x14:formula1>
            <xm:f>BBG!$I$1:$L$1</xm:f>
          </x14:formula1>
          <xm:sqref>S1 AE1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7804-B310-47B1-9015-51C2F90032D6}">
  <sheetPr>
    <tabColor rgb="FF7030A0"/>
  </sheetPr>
  <dimension ref="A1:AN202"/>
  <sheetViews>
    <sheetView showGridLines="0" topLeftCell="A110" zoomScale="115" zoomScaleNormal="115" workbookViewId="0">
      <selection activeCell="I141" sqref="I141:I142"/>
    </sheetView>
  </sheetViews>
  <sheetFormatPr defaultColWidth="9.26953125" defaultRowHeight="14.5" x14ac:dyDescent="0.35"/>
  <cols>
    <col min="1" max="1" width="9.26953125" style="405"/>
    <col min="2" max="2" width="20.453125" style="405" customWidth="1"/>
    <col min="3" max="3" width="17" style="406" customWidth="1"/>
    <col min="4" max="4" width="3.7265625" customWidth="1"/>
    <col min="5" max="5" width="20.26953125" style="406" bestFit="1" customWidth="1"/>
    <col min="6" max="6" width="19" style="406" customWidth="1"/>
    <col min="7" max="7" width="3.7265625" customWidth="1"/>
    <col min="8" max="8" width="18.453125" style="407" bestFit="1" customWidth="1"/>
    <col min="9" max="9" width="21.7265625" style="406" bestFit="1" customWidth="1"/>
    <col min="10" max="10" width="3.7265625" customWidth="1"/>
    <col min="11" max="11" width="18.453125" style="407" bestFit="1" customWidth="1"/>
    <col min="12" max="12" width="22.7265625" style="406" bestFit="1" customWidth="1"/>
    <col min="13" max="13" width="3.7265625" style="405" customWidth="1"/>
    <col min="14" max="14" width="20.26953125" style="405" bestFit="1" customWidth="1"/>
    <col min="15" max="15" width="18.1796875" style="405" bestFit="1" customWidth="1"/>
    <col min="16" max="16" width="13.54296875" style="405" customWidth="1"/>
    <col min="17" max="17" width="12.7265625" style="405" bestFit="1" customWidth="1"/>
    <col min="18" max="18" width="9.26953125" style="405"/>
    <col min="19" max="19" width="14.81640625" style="405" bestFit="1" customWidth="1"/>
    <col min="20" max="20" width="10.26953125" style="405" bestFit="1" customWidth="1"/>
    <col min="21" max="21" width="12" style="405" bestFit="1" customWidth="1"/>
    <col min="22" max="22" width="15.81640625" style="405" bestFit="1" customWidth="1"/>
    <col min="23" max="28" width="9.26953125" style="405"/>
    <col min="29" max="29" width="16.26953125" style="405" bestFit="1" customWidth="1"/>
    <col min="30" max="30" width="15.54296875" style="405" bestFit="1" customWidth="1"/>
    <col min="31" max="31" width="12.7265625" style="405" bestFit="1" customWidth="1"/>
    <col min="32" max="32" width="13.81640625" style="405" customWidth="1"/>
    <col min="33" max="33" width="14.81640625" style="405" bestFit="1" customWidth="1"/>
    <col min="34" max="34" width="13.453125" style="405" bestFit="1" customWidth="1"/>
    <col min="35" max="35" width="12" style="405" bestFit="1" customWidth="1"/>
    <col min="36" max="36" width="10.26953125" style="405" bestFit="1" customWidth="1"/>
    <col min="37" max="16384" width="9.26953125" style="405"/>
  </cols>
  <sheetData>
    <row r="1" spans="2:40" ht="21" x14ac:dyDescent="0.5">
      <c r="B1" s="518" t="s">
        <v>1781</v>
      </c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  <c r="AN1"/>
    </row>
    <row r="2" spans="2:40" x14ac:dyDescent="0.35">
      <c r="B2" s="405" t="s">
        <v>1782</v>
      </c>
      <c r="C2" s="138">
        <v>46081</v>
      </c>
      <c r="E2" s="407" t="s">
        <v>1782</v>
      </c>
      <c r="F2" s="138">
        <v>46081</v>
      </c>
      <c r="H2" s="407" t="s">
        <v>1782</v>
      </c>
      <c r="I2" s="138">
        <v>46081</v>
      </c>
      <c r="K2" s="407" t="s">
        <v>1782</v>
      </c>
      <c r="L2" s="138">
        <v>46081</v>
      </c>
      <c r="N2" s="407" t="s">
        <v>1782</v>
      </c>
      <c r="O2" s="138">
        <v>46081</v>
      </c>
      <c r="AN2"/>
    </row>
    <row r="3" spans="2:40" x14ac:dyDescent="0.35">
      <c r="B3" s="405" t="s">
        <v>117</v>
      </c>
      <c r="C3" s="435" t="s">
        <v>1783</v>
      </c>
      <c r="E3" s="407" t="s">
        <v>117</v>
      </c>
      <c r="F3" s="435" t="s">
        <v>1729</v>
      </c>
      <c r="H3" s="407" t="s">
        <v>117</v>
      </c>
      <c r="I3" s="435" t="s">
        <v>1727</v>
      </c>
      <c r="K3" s="407" t="s">
        <v>117</v>
      </c>
      <c r="L3" s="435" t="s">
        <v>1712</v>
      </c>
      <c r="N3" s="407" t="s">
        <v>117</v>
      </c>
      <c r="O3" s="435" t="s">
        <v>1672</v>
      </c>
      <c r="AN3"/>
    </row>
    <row r="4" spans="2:40" x14ac:dyDescent="0.35">
      <c r="B4" s="405" t="s">
        <v>1784</v>
      </c>
      <c r="C4" s="406" t="str">
        <f>_xlfn.XLOOKUP(C3,Ledger[Cargo Name],Ledger[SAP Deal Number])</f>
        <v>GUN26HS00014</v>
      </c>
      <c r="E4" s="407" t="s">
        <v>1784</v>
      </c>
      <c r="F4" s="406" t="str">
        <f>_xlfn.XLOOKUP(F3,Ledger[Cargo Name],Ledger[SAP Deal Number])</f>
        <v>VIT26HS00011</v>
      </c>
      <c r="H4" s="407" t="s">
        <v>1784</v>
      </c>
      <c r="I4" s="406" t="str">
        <f>_xlfn.XLOOKUP(I3,Ledger[Cargo Name],Ledger[SAP Deal Number])</f>
        <v>GUN26HS00012</v>
      </c>
      <c r="K4" s="407" t="s">
        <v>1784</v>
      </c>
      <c r="L4" s="406" t="str">
        <f>_xlfn.XLOOKUP(L3,Ledger[Cargo Name],Ledger[SAP Deal Number])</f>
        <v>ARA26HS00023</v>
      </c>
      <c r="N4" s="407" t="s">
        <v>1784</v>
      </c>
      <c r="O4" s="406" t="str">
        <f>_xlfn.XLOOKUP(O3,Ledger[Cargo Name],Ledger[SAP Deal Number])</f>
        <v>ARA26HS00017</v>
      </c>
      <c r="AN4"/>
    </row>
    <row r="5" spans="2:40" x14ac:dyDescent="0.35">
      <c r="B5" s="405" t="s">
        <v>1785</v>
      </c>
      <c r="C5" s="406" t="str">
        <f>_xlfn.XLOOKUP(C3,Ledger[Cargo Name],Ledger[Size])</f>
        <v>FOB</v>
      </c>
      <c r="E5" s="405" t="s">
        <v>1785</v>
      </c>
      <c r="F5" s="406" t="str">
        <f>_xlfn.XLOOKUP(F3,Ledger[Cargo Name],Ledger[Size])</f>
        <v>Aframax</v>
      </c>
      <c r="H5" s="405" t="s">
        <v>1785</v>
      </c>
      <c r="I5" s="406" t="str">
        <f>_xlfn.XLOOKUP(I3,Ledger[Cargo Name],Ledger[Size])</f>
        <v>FOB</v>
      </c>
      <c r="K5" s="405" t="s">
        <v>1785</v>
      </c>
      <c r="L5" s="406" t="str">
        <f>_xlfn.XLOOKUP(L3,Ledger[Cargo Name],Ledger[Size])</f>
        <v>VLCC</v>
      </c>
      <c r="N5" s="405" t="s">
        <v>1785</v>
      </c>
      <c r="O5" s="406" t="str">
        <f>_xlfn.XLOOKUP(O3,Ledger[Cargo Name],Ledger[Size])</f>
        <v>Aframax</v>
      </c>
      <c r="AN5"/>
    </row>
    <row r="6" spans="2:40" x14ac:dyDescent="0.35">
      <c r="B6" s="448" t="str">
        <f>B46</f>
        <v>Volume</v>
      </c>
      <c r="C6" s="447">
        <v>700</v>
      </c>
      <c r="E6" s="434" t="s">
        <v>1786</v>
      </c>
      <c r="F6" s="447">
        <v>700</v>
      </c>
      <c r="H6" s="434" t="s">
        <v>1786</v>
      </c>
      <c r="I6" s="447">
        <v>700</v>
      </c>
      <c r="K6" s="434" t="s">
        <v>1786</v>
      </c>
      <c r="L6" s="433">
        <v>2072</v>
      </c>
      <c r="N6" s="434" t="s">
        <v>1786</v>
      </c>
      <c r="O6" s="433">
        <v>700</v>
      </c>
      <c r="AN6"/>
    </row>
    <row r="7" spans="2:40" x14ac:dyDescent="0.35">
      <c r="B7" s="421" t="s">
        <v>1787</v>
      </c>
      <c r="C7" s="421">
        <v>1.1499999999999999</v>
      </c>
      <c r="E7" s="432" t="s">
        <v>1787</v>
      </c>
      <c r="F7" s="421">
        <v>1.05</v>
      </c>
      <c r="H7" s="432" t="s">
        <v>1787</v>
      </c>
      <c r="I7" s="421">
        <v>0.95</v>
      </c>
      <c r="K7" s="432" t="s">
        <v>1787</v>
      </c>
      <c r="L7" s="421">
        <v>0.95</v>
      </c>
      <c r="N7" s="432" t="s">
        <v>1787</v>
      </c>
      <c r="O7" s="421">
        <v>0.7</v>
      </c>
    </row>
    <row r="8" spans="2:40" x14ac:dyDescent="0.35">
      <c r="B8" s="421" t="s">
        <v>1788</v>
      </c>
      <c r="C8" s="421">
        <v>0.4</v>
      </c>
      <c r="E8" s="432" t="s">
        <v>1788</v>
      </c>
      <c r="F8" s="421">
        <v>0.15</v>
      </c>
      <c r="H8" s="432" t="s">
        <v>1788</v>
      </c>
      <c r="I8" s="421">
        <v>0.15</v>
      </c>
      <c r="K8" s="432" t="s">
        <v>1788</v>
      </c>
      <c r="L8" s="421">
        <v>0.37</v>
      </c>
      <c r="N8" s="432" t="s">
        <v>1788</v>
      </c>
      <c r="O8" s="421">
        <v>0.36</v>
      </c>
    </row>
    <row r="9" spans="2:40" ht="15" thickBot="1" x14ac:dyDescent="0.4">
      <c r="B9" s="417" t="s">
        <v>1789</v>
      </c>
      <c r="C9" s="417">
        <f>C8+C7</f>
        <v>1.5499999999999998</v>
      </c>
      <c r="E9" s="431" t="s">
        <v>1789</v>
      </c>
      <c r="F9" s="417">
        <f>F8+F7</f>
        <v>1.2</v>
      </c>
      <c r="H9" s="431" t="s">
        <v>1789</v>
      </c>
      <c r="I9" s="417">
        <f>I8+I7</f>
        <v>1.0999999999999999</v>
      </c>
      <c r="K9" s="431" t="s">
        <v>1789</v>
      </c>
      <c r="L9" s="417">
        <f>L8+L7</f>
        <v>1.3199999999999998</v>
      </c>
      <c r="N9" s="431" t="s">
        <v>1789</v>
      </c>
      <c r="O9" s="417">
        <f>O8+O7</f>
        <v>1.06</v>
      </c>
    </row>
    <row r="10" spans="2:40" x14ac:dyDescent="0.35">
      <c r="B10" s="440" t="str">
        <f>"(+) "&amp;TEXT(EOMONTH(C2,0),"Mmm")&amp;"/"&amp;TEXT(EOMONTH(C2,1),"Mmm")&amp;" WTI"</f>
        <v>(+) Feb/Mar WTI</v>
      </c>
      <c r="C10" s="419"/>
      <c r="E10" s="430" t="str">
        <f>"(+) "&amp;TEXT(EOMONTH(F2,0),"Mmm")&amp;"/"&amp;TEXT(EOMONTH(F2,1),"Mmm")&amp;" WTI"</f>
        <v>(+) Feb/Mar WTI</v>
      </c>
      <c r="F10" s="419"/>
      <c r="H10" s="430" t="str">
        <f>"(+) "&amp;TEXT(EOMONTH(I2,0),"Mmm")&amp;"/"&amp;TEXT(EOMONTH(I2,1),"Mmm")&amp;" WTI"</f>
        <v>(+) Feb/Mar WTI</v>
      </c>
      <c r="I10" s="419"/>
      <c r="K10" s="430" t="str">
        <f>"(+) "&amp;TEXT(EOMONTH(L2,0),"Mmm")&amp;"/"&amp;TEXT(EOMONTH(L2,1),"Mmm")&amp;" WTI"</f>
        <v>(+) Feb/Mar WTI</v>
      </c>
      <c r="L10" s="419">
        <v>0.13</v>
      </c>
      <c r="N10" s="430" t="str">
        <f>"(+) "&amp;TEXT(EOMONTH(O2,0),"Mmm")&amp;"/"&amp;TEXT(EOMONTH(O2,1),"Mmm")&amp;" WTI"</f>
        <v>(+) Feb/Mar WTI</v>
      </c>
      <c r="O10" s="419">
        <v>0</v>
      </c>
    </row>
    <row r="11" spans="2:40" x14ac:dyDescent="0.35">
      <c r="B11" s="405" t="str">
        <f>"(+) "&amp;TEXT(EOMONTH(C2,1),"Mmm")&amp;"/"&amp;TEXT(EOMONTH(C2,2),"Mmm")&amp;" WTI"</f>
        <v>(+) Mar/Apr WTI</v>
      </c>
      <c r="C11" s="429">
        <v>0.42</v>
      </c>
      <c r="E11" s="407" t="str">
        <f>"(+) "&amp;TEXT(EOMONTH(F2,1),"Mmm")&amp;"/"&amp;TEXT(EOMONTH(F2,2),"Mmm")&amp;" WTI"</f>
        <v>(+) Mar/Apr WTI</v>
      </c>
      <c r="F11" s="429">
        <v>0.35</v>
      </c>
      <c r="H11" s="407" t="str">
        <f>"(+) "&amp;TEXT(EOMONTH(I2,1),"Mmm")&amp;"/"&amp;TEXT(EOMONTH(I2,2),"Mmm")&amp;" WTI"</f>
        <v>(+) Mar/Apr WTI</v>
      </c>
      <c r="I11" s="429">
        <v>0.24</v>
      </c>
      <c r="K11" s="407" t="str">
        <f>"(+) "&amp;TEXT(EOMONTH(L2,1),"Mmm")&amp;"/"&amp;TEXT(EOMONTH(L2,2),"Mmm")&amp;" WTI"</f>
        <v>(+) Mar/Apr WTI</v>
      </c>
      <c r="L11" s="429">
        <v>0.13</v>
      </c>
      <c r="N11" s="407" t="str">
        <f>"(+) "&amp;TEXT(EOMONTH(O2,1),"Mmm")&amp;"/"&amp;TEXT(EOMONTH(O2,2),"Mmm")&amp;" WTI"</f>
        <v>(+) Mar/Apr WTI</v>
      </c>
      <c r="O11" s="429">
        <v>0</v>
      </c>
    </row>
    <row r="12" spans="2:40" ht="15" thickBot="1" x14ac:dyDescent="0.4">
      <c r="B12" s="446" t="str">
        <f>"(+) "&amp;TEXT(EOMONTH(C2,2),"Mmm")&amp;" WTI/Brent"</f>
        <v>(+) Apr WTI/Brent</v>
      </c>
      <c r="C12" s="417">
        <v>-4.58</v>
      </c>
      <c r="E12" s="428" t="str">
        <f>"(+) "&amp;TEXT(EOMONTH(F2,2),"Mmm")&amp;" WTI/Brent"</f>
        <v>(+) Apr WTI/Brent</v>
      </c>
      <c r="F12" s="417">
        <v>-4.49</v>
      </c>
      <c r="H12" s="428" t="str">
        <f>"(+) "&amp;TEXT(EOMONTH(I2,2),"Mmm")&amp;" WTI/Brent"</f>
        <v>(+) Apr WTI/Brent</v>
      </c>
      <c r="I12" s="417">
        <v>-4.3</v>
      </c>
      <c r="K12" s="428" t="str">
        <f>"(+) "&amp;TEXT(EOMONTH(L2,2),"Mmm")&amp;" WTI/Brent"</f>
        <v>(+) Apr WTI/Brent</v>
      </c>
      <c r="L12" s="417">
        <v>-3.89</v>
      </c>
      <c r="N12" s="428" t="str">
        <f>"(+) "&amp;TEXT(EOMONTH(O2,2),"Mmm")&amp;" WTI/Brent"</f>
        <v>(+) Apr WTI/Brent</v>
      </c>
      <c r="O12" s="417">
        <v>-3.83</v>
      </c>
    </row>
    <row r="13" spans="2:40" x14ac:dyDescent="0.35">
      <c r="B13" s="427" t="s">
        <v>1790</v>
      </c>
      <c r="C13" s="426">
        <f>SUM(C9:C12)</f>
        <v>-2.6100000000000003</v>
      </c>
      <c r="E13" s="427" t="s">
        <v>1790</v>
      </c>
      <c r="F13" s="426">
        <f>SUM(F9:F12)</f>
        <v>-2.9400000000000004</v>
      </c>
      <c r="H13" s="427" t="s">
        <v>1790</v>
      </c>
      <c r="I13" s="426">
        <f>SUM(I9:I12)</f>
        <v>-2.96</v>
      </c>
      <c r="K13" s="427" t="s">
        <v>1790</v>
      </c>
      <c r="L13" s="426">
        <f>SUM(L9:L12)</f>
        <v>-2.3100000000000005</v>
      </c>
      <c r="N13" s="427" t="s">
        <v>1790</v>
      </c>
      <c r="O13" s="426">
        <f>SUM(O9:O12)</f>
        <v>-2.77</v>
      </c>
    </row>
    <row r="14" spans="2:40" x14ac:dyDescent="0.35">
      <c r="B14" s="425" t="s">
        <v>1791</v>
      </c>
      <c r="C14" s="421">
        <f t="shared" ref="C14:C19" si="0">C28/C$6</f>
        <v>0</v>
      </c>
      <c r="E14" s="425" t="s">
        <v>1791</v>
      </c>
      <c r="F14" s="421">
        <f t="shared" ref="F14:F19" si="1">F28/F$6</f>
        <v>0</v>
      </c>
      <c r="H14" s="425" t="s">
        <v>1791</v>
      </c>
      <c r="I14" s="421">
        <f t="shared" ref="I14:I19" si="2">I28/I$6</f>
        <v>0</v>
      </c>
      <c r="K14" s="425" t="s">
        <v>1791</v>
      </c>
      <c r="L14" s="421">
        <f t="shared" ref="L14:L19" si="3">L28/L$6</f>
        <v>2.3407335907335907</v>
      </c>
      <c r="N14" s="425" t="s">
        <v>1791</v>
      </c>
      <c r="O14" s="421">
        <f t="shared" ref="O14:O19" si="4">O28/O$6</f>
        <v>4.0363599999999993</v>
      </c>
    </row>
    <row r="15" spans="2:40" x14ac:dyDescent="0.35">
      <c r="B15" s="423" t="s">
        <v>1792</v>
      </c>
      <c r="C15" s="421">
        <f t="shared" si="0"/>
        <v>0</v>
      </c>
      <c r="E15" s="423" t="s">
        <v>1792</v>
      </c>
      <c r="F15" s="421">
        <f t="shared" si="1"/>
        <v>0</v>
      </c>
      <c r="H15" s="423" t="s">
        <v>1792</v>
      </c>
      <c r="I15" s="421">
        <f t="shared" si="2"/>
        <v>0</v>
      </c>
      <c r="K15" s="423" t="s">
        <v>1792</v>
      </c>
      <c r="L15" s="421">
        <f t="shared" si="3"/>
        <v>0</v>
      </c>
      <c r="N15" s="423" t="s">
        <v>1792</v>
      </c>
      <c r="O15" s="421">
        <f t="shared" si="4"/>
        <v>-1.0877382</v>
      </c>
    </row>
    <row r="16" spans="2:40" x14ac:dyDescent="0.35">
      <c r="B16" s="423" t="s">
        <v>1793</v>
      </c>
      <c r="C16" s="421">
        <f t="shared" si="0"/>
        <v>0</v>
      </c>
      <c r="E16" s="423" t="s">
        <v>1793</v>
      </c>
      <c r="F16" s="421">
        <f t="shared" si="1"/>
        <v>0</v>
      </c>
      <c r="H16" s="423" t="s">
        <v>1793</v>
      </c>
      <c r="I16" s="421">
        <f t="shared" si="2"/>
        <v>0</v>
      </c>
      <c r="K16" s="423" t="s">
        <v>1793</v>
      </c>
      <c r="L16" s="421">
        <f t="shared" si="3"/>
        <v>7.7220077220077218E-2</v>
      </c>
      <c r="N16" s="423" t="s">
        <v>1793</v>
      </c>
      <c r="O16" s="421">
        <f t="shared" si="4"/>
        <v>0</v>
      </c>
    </row>
    <row r="17" spans="2:15" x14ac:dyDescent="0.35">
      <c r="B17" s="423" t="s">
        <v>1794</v>
      </c>
      <c r="C17" s="421">
        <f t="shared" si="0"/>
        <v>0</v>
      </c>
      <c r="E17" s="423" t="s">
        <v>1794</v>
      </c>
      <c r="F17" s="421">
        <f t="shared" si="1"/>
        <v>0.66428571428571426</v>
      </c>
      <c r="H17" s="423" t="s">
        <v>1794</v>
      </c>
      <c r="I17" s="421">
        <f t="shared" si="2"/>
        <v>0</v>
      </c>
      <c r="K17" s="423" t="s">
        <v>1794</v>
      </c>
      <c r="L17" s="421">
        <f t="shared" si="3"/>
        <v>0.21718146718146719</v>
      </c>
      <c r="N17" s="423" t="s">
        <v>1794</v>
      </c>
      <c r="O17" s="421">
        <f t="shared" si="4"/>
        <v>0</v>
      </c>
    </row>
    <row r="18" spans="2:15" x14ac:dyDescent="0.35">
      <c r="B18" s="423" t="s">
        <v>1795</v>
      </c>
      <c r="C18" s="421">
        <f t="shared" si="0"/>
        <v>0</v>
      </c>
      <c r="E18" s="423" t="s">
        <v>1795</v>
      </c>
      <c r="F18" s="421">
        <f t="shared" si="1"/>
        <v>0</v>
      </c>
      <c r="H18" s="423" t="s">
        <v>1795</v>
      </c>
      <c r="I18" s="421">
        <f t="shared" si="2"/>
        <v>0</v>
      </c>
      <c r="K18" s="423" t="s">
        <v>1795</v>
      </c>
      <c r="L18" s="421">
        <f t="shared" si="3"/>
        <v>0</v>
      </c>
      <c r="N18" s="423" t="s">
        <v>1795</v>
      </c>
      <c r="O18" s="421">
        <f t="shared" si="4"/>
        <v>0</v>
      </c>
    </row>
    <row r="19" spans="2:15" x14ac:dyDescent="0.35">
      <c r="B19" s="423" t="s">
        <v>1796</v>
      </c>
      <c r="C19" s="421">
        <f t="shared" si="0"/>
        <v>0</v>
      </c>
      <c r="E19" s="423" t="s">
        <v>1796</v>
      </c>
      <c r="F19" s="421">
        <f t="shared" si="1"/>
        <v>0</v>
      </c>
      <c r="H19" s="423" t="s">
        <v>1796</v>
      </c>
      <c r="I19" s="421">
        <f t="shared" si="2"/>
        <v>0</v>
      </c>
      <c r="K19" s="423" t="s">
        <v>1796</v>
      </c>
      <c r="L19" s="421">
        <f t="shared" si="3"/>
        <v>0.55791505791505791</v>
      </c>
      <c r="N19" s="423" t="s">
        <v>1796</v>
      </c>
      <c r="O19" s="421">
        <f t="shared" si="4"/>
        <v>0</v>
      </c>
    </row>
    <row r="20" spans="2:15" x14ac:dyDescent="0.35">
      <c r="B20" s="436" t="str">
        <f>"(+) "&amp;TEXT(EOMONTH(C2,2),"Mmm")&amp;"/"&amp;TEXT(EOMONTH(C2,3),"Mmm")&amp;" Brent"</f>
        <v>(+) Apr/May Brent</v>
      </c>
      <c r="C20" s="421">
        <v>0</v>
      </c>
      <c r="E20" s="422" t="str">
        <f>"(+) "&amp;TEXT(EOMONTH(F2,2),"Mmm")&amp;"/"&amp;TEXT(EOMONTH(F2,3),"Mmm")&amp;" Brent"</f>
        <v>(+) Apr/May Brent</v>
      </c>
      <c r="F20" s="421">
        <v>0</v>
      </c>
      <c r="H20" s="422" t="str">
        <f>IF(I20="","","(+) "&amp;TEXT(EOMONTH(I2,2),"Mmm")&amp;"/"&amp;TEXT(EOMONTH(I2,3),"Mmm")&amp;" Brent")</f>
        <v>(+) Apr/May Brent</v>
      </c>
      <c r="I20" s="421">
        <v>0</v>
      </c>
      <c r="K20" s="422" t="str">
        <f>"(+) "&amp;TEXT(EOMONTH(L2,2),"Mmm")&amp;"/"&amp;TEXT(EOMONTH(L2,3),"Mmm")&amp;" Brent"</f>
        <v>(+) Apr/May Brent</v>
      </c>
      <c r="L20" s="421">
        <v>0.26</v>
      </c>
      <c r="N20" s="422" t="str">
        <f>"(+) "&amp;TEXT(EOMONTH(O2,2),"Mmm")&amp;"/"&amp;TEXT(EOMONTH(O2,3),"Mmm")&amp;" Brent"</f>
        <v>(+) Apr/May Brent</v>
      </c>
      <c r="O20" s="421">
        <v>0</v>
      </c>
    </row>
    <row r="21" spans="2:15" ht="15" thickBot="1" x14ac:dyDescent="0.4">
      <c r="B21" s="439" t="str">
        <f>"(-) "&amp;TEXT(EOMONTH(C2,1),"Mmm")&amp;" DFL"</f>
        <v>(-) Mar DFL</v>
      </c>
      <c r="C21" s="417">
        <v>0</v>
      </c>
      <c r="E21" s="420" t="str">
        <f>"(-) "&amp;TEXT(EOMONTH(F2,1),"Mmm")&amp;" DFL"</f>
        <v>(-) Mar DFL</v>
      </c>
      <c r="F21" s="417">
        <v>0</v>
      </c>
      <c r="H21" s="420" t="str">
        <f>"(-) "&amp;TEXT(EOMONTH(I2,1),"Mmm")&amp;" DFL"</f>
        <v>(-) Mar DFL</v>
      </c>
      <c r="I21" s="417">
        <v>0</v>
      </c>
      <c r="K21" s="420" t="str">
        <f>"(-) "&amp;TEXT(EOMONTH(L2,1),"Mmm")&amp;" DFL"</f>
        <v>(-) Mar DFL</v>
      </c>
      <c r="L21" s="417">
        <v>0.31</v>
      </c>
      <c r="N21" s="420" t="str">
        <f>"(-) "&amp;TEXT(EOMONTH(O2,1),"Mmm")&amp;" DFL"</f>
        <v>(-) Mar DFL</v>
      </c>
      <c r="O21" s="417">
        <v>0</v>
      </c>
    </row>
    <row r="22" spans="2:15" x14ac:dyDescent="0.35">
      <c r="B22" s="418" t="str">
        <f>B63</f>
        <v>Landed</v>
      </c>
      <c r="C22" s="419">
        <f>SUM(C13:C19)+C20-C21</f>
        <v>-2.6100000000000003</v>
      </c>
      <c r="E22" s="418" t="s">
        <v>1797</v>
      </c>
      <c r="F22" s="419">
        <f>SUM(F13:F19)+F20-F21</f>
        <v>-2.2757142857142862</v>
      </c>
      <c r="H22" s="418" t="s">
        <v>1797</v>
      </c>
      <c r="I22" s="419">
        <f>SUM(I13:I19)+I20-I21</f>
        <v>-2.96</v>
      </c>
      <c r="K22" s="418" t="s">
        <v>1797</v>
      </c>
      <c r="L22" s="419">
        <f>SUM(L13:L19)+L20-L21</f>
        <v>0.83305019305019234</v>
      </c>
      <c r="N22" s="418" t="s">
        <v>1797</v>
      </c>
      <c r="O22" s="419">
        <f>SUM(O13:O19)+O20-O21</f>
        <v>0.17862179999999928</v>
      </c>
    </row>
    <row r="23" spans="2:15" ht="15" thickBot="1" x14ac:dyDescent="0.4">
      <c r="B23" s="418" t="str">
        <f>B64</f>
        <v xml:space="preserve">Sold </v>
      </c>
      <c r="C23" s="417">
        <v>-2.5499999999999998</v>
      </c>
      <c r="E23" s="418" t="s">
        <v>1798</v>
      </c>
      <c r="F23" s="417">
        <v>-2.25</v>
      </c>
      <c r="H23" s="418" t="s">
        <v>1798</v>
      </c>
      <c r="I23" s="417">
        <v>-2.9</v>
      </c>
      <c r="K23" s="418" t="s">
        <v>1798</v>
      </c>
      <c r="L23" s="417">
        <v>1.08</v>
      </c>
      <c r="N23" s="418" t="s">
        <v>1798</v>
      </c>
      <c r="O23" s="417">
        <v>0.01</v>
      </c>
    </row>
    <row r="24" spans="2:15" ht="15" thickBot="1" x14ac:dyDescent="0.4">
      <c r="B24" s="416" t="str">
        <f>B65</f>
        <v>P&amp;L ($/bbl)</v>
      </c>
      <c r="C24" s="415">
        <f>C23-C22</f>
        <v>6.0000000000000497E-2</v>
      </c>
      <c r="E24" s="416" t="s">
        <v>1799</v>
      </c>
      <c r="F24" s="415">
        <f>F23-F22</f>
        <v>2.5714285714286245E-2</v>
      </c>
      <c r="H24" s="416" t="s">
        <v>1799</v>
      </c>
      <c r="I24" s="415">
        <f>I23-I22</f>
        <v>6.0000000000000053E-2</v>
      </c>
      <c r="K24" s="416" t="s">
        <v>1799</v>
      </c>
      <c r="L24" s="415">
        <f>L23-L22</f>
        <v>0.24694980694980773</v>
      </c>
      <c r="N24" s="416" t="s">
        <v>1799</v>
      </c>
      <c r="O24" s="415">
        <f>O23-O22</f>
        <v>-0.16862179999999927</v>
      </c>
    </row>
    <row r="25" spans="2:15" x14ac:dyDescent="0.35">
      <c r="B25" s="413" t="s">
        <v>1800</v>
      </c>
      <c r="C25" s="413">
        <f>C24*C6</f>
        <v>42.000000000000348</v>
      </c>
      <c r="E25" s="414" t="s">
        <v>1800</v>
      </c>
      <c r="F25" s="413">
        <f>F24*F6</f>
        <v>18.000000000000369</v>
      </c>
      <c r="H25" s="414" t="s">
        <v>1800</v>
      </c>
      <c r="I25" s="413">
        <f>I24*I6</f>
        <v>42.000000000000036</v>
      </c>
      <c r="K25" s="414" t="s">
        <v>1800</v>
      </c>
      <c r="L25" s="413">
        <f>L24*L6</f>
        <v>511.6800000000016</v>
      </c>
      <c r="N25" s="414" t="s">
        <v>1800</v>
      </c>
      <c r="O25" s="413">
        <f>O24*O6</f>
        <v>-118.03525999999948</v>
      </c>
    </row>
    <row r="26" spans="2:15" x14ac:dyDescent="0.35">
      <c r="B26" s="406"/>
      <c r="E26" s="407"/>
      <c r="N26" s="407"/>
      <c r="O26" s="406"/>
    </row>
    <row r="27" spans="2:15" ht="9.75" customHeight="1" x14ac:dyDescent="0.35">
      <c r="B27" s="406"/>
      <c r="C27" s="406" t="str">
        <f>C4</f>
        <v>GUN26HS00014</v>
      </c>
      <c r="E27" s="407"/>
      <c r="F27" s="406" t="str">
        <f>F4</f>
        <v>VIT26HS00011</v>
      </c>
      <c r="I27" s="406" t="str">
        <f>I4</f>
        <v>GUN26HS00012</v>
      </c>
      <c r="L27" s="406" t="str">
        <f>L4</f>
        <v>ARA26HS00023</v>
      </c>
      <c r="N27" s="407"/>
      <c r="O27" s="406" t="str">
        <f>O4</f>
        <v>ARA26HS00017</v>
      </c>
    </row>
    <row r="28" spans="2:15" x14ac:dyDescent="0.35">
      <c r="B28" s="445" t="str">
        <f t="shared" ref="B28:B33" si="5">B14</f>
        <v>(+) Freight</v>
      </c>
      <c r="C28" s="411">
        <v>0</v>
      </c>
      <c r="E28" s="445" t="str">
        <f t="shared" ref="E28:E33" si="6">E14</f>
        <v>(+) Freight</v>
      </c>
      <c r="F28" s="411">
        <v>0</v>
      </c>
      <c r="H28" s="445" t="str">
        <f t="shared" ref="H28:H33" si="7">H14</f>
        <v>(+) Freight</v>
      </c>
      <c r="I28" s="411">
        <v>0</v>
      </c>
      <c r="K28" s="405" t="s">
        <v>1791</v>
      </c>
      <c r="L28">
        <v>4850</v>
      </c>
      <c r="N28" s="405" t="s">
        <v>1791</v>
      </c>
      <c r="O28" s="102">
        <f>O37*O39*O38/100</f>
        <v>2825.4519999999993</v>
      </c>
    </row>
    <row r="29" spans="2:15" x14ac:dyDescent="0.35">
      <c r="B29" s="445" t="str">
        <f t="shared" si="5"/>
        <v>(-) TD7 Freight*</v>
      </c>
      <c r="C29" s="411">
        <v>0</v>
      </c>
      <c r="E29" s="445" t="str">
        <f t="shared" si="6"/>
        <v>(-) TD7 Freight*</v>
      </c>
      <c r="F29" s="411">
        <v>0</v>
      </c>
      <c r="H29" s="445" t="str">
        <f t="shared" si="7"/>
        <v>(-) TD7 Freight*</v>
      </c>
      <c r="I29" s="411">
        <v>0</v>
      </c>
      <c r="K29" s="405" t="s">
        <v>1792</v>
      </c>
      <c r="L29"/>
      <c r="N29" s="405" t="s">
        <v>1792</v>
      </c>
      <c r="O29" s="102">
        <f>-(N38*N37*N39/100)</f>
        <v>-761.41674</v>
      </c>
    </row>
    <row r="30" spans="2:15" x14ac:dyDescent="0.35">
      <c r="B30" s="445" t="str">
        <f t="shared" si="5"/>
        <v>(+) Demurrage</v>
      </c>
      <c r="C30" s="411">
        <v>0</v>
      </c>
      <c r="E30" s="445" t="str">
        <f t="shared" si="6"/>
        <v>(+) Demurrage</v>
      </c>
      <c r="F30" s="411">
        <v>0</v>
      </c>
      <c r="H30" s="445" t="str">
        <f t="shared" si="7"/>
        <v>(+) Demurrage</v>
      </c>
      <c r="I30" s="411">
        <v>0</v>
      </c>
      <c r="K30" s="405" t="s">
        <v>1793</v>
      </c>
      <c r="L30">
        <v>160</v>
      </c>
      <c r="N30" s="405" t="s">
        <v>1793</v>
      </c>
      <c r="O30" s="102">
        <v>0</v>
      </c>
    </row>
    <row r="31" spans="2:15" x14ac:dyDescent="0.35">
      <c r="B31" s="445" t="str">
        <f t="shared" si="5"/>
        <v>(+) STS</v>
      </c>
      <c r="C31" s="411">
        <v>0</v>
      </c>
      <c r="E31" s="445" t="str">
        <f t="shared" si="6"/>
        <v>(+) STS</v>
      </c>
      <c r="F31" s="411">
        <v>465</v>
      </c>
      <c r="H31" s="445" t="str">
        <f t="shared" si="7"/>
        <v>(+) STS</v>
      </c>
      <c r="I31" s="411">
        <v>0</v>
      </c>
      <c r="K31" s="405" t="s">
        <v>1794</v>
      </c>
      <c r="L31">
        <v>450</v>
      </c>
      <c r="N31" s="405" t="s">
        <v>1794</v>
      </c>
      <c r="O31" s="102">
        <v>0</v>
      </c>
    </row>
    <row r="32" spans="2:15" x14ac:dyDescent="0.35">
      <c r="B32" s="445" t="str">
        <f t="shared" si="5"/>
        <v>(+) TVM</v>
      </c>
      <c r="C32" s="411">
        <v>0</v>
      </c>
      <c r="E32" s="445" t="str">
        <f t="shared" si="6"/>
        <v>(+) TVM</v>
      </c>
      <c r="F32" s="411">
        <v>0</v>
      </c>
      <c r="H32" s="445" t="str">
        <f t="shared" si="7"/>
        <v>(+) TVM</v>
      </c>
      <c r="I32" s="411">
        <v>0</v>
      </c>
      <c r="K32" s="405" t="s">
        <v>1795</v>
      </c>
      <c r="L32">
        <v>0</v>
      </c>
      <c r="N32" s="405" t="s">
        <v>1795</v>
      </c>
      <c r="O32" s="102">
        <v>0</v>
      </c>
    </row>
    <row r="33" spans="2:37" x14ac:dyDescent="0.35">
      <c r="B33" s="445" t="str">
        <f t="shared" si="5"/>
        <v>(+) Other</v>
      </c>
      <c r="C33" s="411">
        <v>0</v>
      </c>
      <c r="E33" s="445" t="str">
        <f t="shared" si="6"/>
        <v>(+) Other</v>
      </c>
      <c r="F33" s="411">
        <v>0</v>
      </c>
      <c r="H33" s="445" t="str">
        <f t="shared" si="7"/>
        <v>(+) Other</v>
      </c>
      <c r="I33" s="411">
        <v>0</v>
      </c>
      <c r="K33" s="405" t="s">
        <v>1796</v>
      </c>
      <c r="L33">
        <v>1156</v>
      </c>
      <c r="N33" s="405" t="s">
        <v>1796</v>
      </c>
      <c r="O33" s="102">
        <v>0</v>
      </c>
    </row>
    <row r="34" spans="2:37" x14ac:dyDescent="0.35">
      <c r="B34" s="412" t="s">
        <v>1801</v>
      </c>
      <c r="C34" s="411"/>
      <c r="E34" s="412" t="s">
        <v>1801</v>
      </c>
      <c r="F34" s="411"/>
      <c r="H34" s="412" t="s">
        <v>1801</v>
      </c>
      <c r="I34" s="411"/>
      <c r="K34" s="412" t="s">
        <v>1801</v>
      </c>
      <c r="L34" s="411"/>
      <c r="N34" s="412" t="s">
        <v>1801</v>
      </c>
      <c r="O34" s="411"/>
    </row>
    <row r="35" spans="2:37" x14ac:dyDescent="0.35">
      <c r="E35" s="405"/>
      <c r="H35" s="405"/>
      <c r="K35" s="405"/>
      <c r="O35" s="406"/>
    </row>
    <row r="36" spans="2:37" x14ac:dyDescent="0.35">
      <c r="B36" s="410" t="s">
        <v>1802</v>
      </c>
      <c r="C36" s="409">
        <f>SUM(C28:C33)</f>
        <v>0</v>
      </c>
      <c r="E36" s="410" t="s">
        <v>1802</v>
      </c>
      <c r="F36" s="409">
        <f>SUM(F28:F33)</f>
        <v>465</v>
      </c>
      <c r="H36" s="410" t="s">
        <v>1802</v>
      </c>
      <c r="I36" s="409">
        <f>SUM(I28:I33)</f>
        <v>0</v>
      </c>
      <c r="K36" s="410" t="s">
        <v>1802</v>
      </c>
      <c r="L36" s="409">
        <f>SUM(L28:L33)</f>
        <v>6616</v>
      </c>
      <c r="N36" s="410" t="s">
        <v>1802</v>
      </c>
      <c r="O36" s="409">
        <f>SUM(O28:O33)</f>
        <v>2064.0352599999992</v>
      </c>
    </row>
    <row r="37" spans="2:37" x14ac:dyDescent="0.35">
      <c r="C37" s="405"/>
      <c r="D37" s="405"/>
      <c r="E37" s="405"/>
      <c r="F37" s="405"/>
      <c r="G37" s="405"/>
      <c r="H37" s="405"/>
      <c r="I37" s="405"/>
      <c r="N37" s="405">
        <v>7.14</v>
      </c>
      <c r="O37" s="405">
        <v>21.47</v>
      </c>
    </row>
    <row r="38" spans="2:37" x14ac:dyDescent="0.35">
      <c r="N38" s="405">
        <v>86.7</v>
      </c>
      <c r="O38" s="405">
        <v>70</v>
      </c>
    </row>
    <row r="39" spans="2:37" x14ac:dyDescent="0.35">
      <c r="N39" s="405">
        <v>123</v>
      </c>
      <c r="O39" s="405">
        <v>188</v>
      </c>
    </row>
    <row r="40" spans="2:37" ht="21" x14ac:dyDescent="0.5">
      <c r="B40" s="518" t="s">
        <v>1803</v>
      </c>
      <c r="C40" s="518"/>
      <c r="D40" s="518"/>
      <c r="E40" s="518"/>
      <c r="F40" s="518"/>
      <c r="G40" s="518"/>
      <c r="H40" s="518"/>
      <c r="I40" s="518"/>
      <c r="J40" s="518"/>
      <c r="K40" s="518"/>
      <c r="L40" s="518"/>
      <c r="M40" s="518"/>
      <c r="N40" s="518"/>
      <c r="O40" s="518"/>
    </row>
    <row r="41" spans="2:37" x14ac:dyDescent="0.35">
      <c r="B41" s="405" t="s">
        <v>1804</v>
      </c>
      <c r="C41" s="138">
        <v>46055</v>
      </c>
      <c r="E41" s="407" t="s">
        <v>1804</v>
      </c>
      <c r="F41" s="138">
        <v>46055</v>
      </c>
      <c r="G41" s="405"/>
      <c r="H41" s="407" t="s">
        <v>1804</v>
      </c>
      <c r="I41" s="138">
        <v>46078</v>
      </c>
      <c r="K41" s="407" t="s">
        <v>1804</v>
      </c>
      <c r="L41" s="138">
        <v>46080</v>
      </c>
    </row>
    <row r="42" spans="2:37" x14ac:dyDescent="0.35">
      <c r="B42" s="405" t="s">
        <v>1782</v>
      </c>
      <c r="C42" s="138">
        <v>46112</v>
      </c>
      <c r="E42" s="407" t="s">
        <v>1782</v>
      </c>
      <c r="F42" s="138">
        <v>46112</v>
      </c>
      <c r="G42" s="405"/>
      <c r="H42" s="407" t="s">
        <v>1782</v>
      </c>
      <c r="I42" s="138">
        <v>46112</v>
      </c>
      <c r="K42" s="407" t="s">
        <v>1782</v>
      </c>
      <c r="L42" s="138">
        <v>46142</v>
      </c>
    </row>
    <row r="43" spans="2:37" x14ac:dyDescent="0.35">
      <c r="B43" s="405" t="s">
        <v>117</v>
      </c>
      <c r="C43" s="435" t="s">
        <v>1730</v>
      </c>
      <c r="E43" s="407" t="s">
        <v>117</v>
      </c>
      <c r="F43" s="435" t="s">
        <v>1728</v>
      </c>
      <c r="G43" s="405"/>
      <c r="H43" s="407" t="s">
        <v>117</v>
      </c>
      <c r="I43" s="435" t="s">
        <v>1732</v>
      </c>
      <c r="K43" s="407" t="s">
        <v>117</v>
      </c>
      <c r="L43" s="435" t="s">
        <v>1733</v>
      </c>
    </row>
    <row r="44" spans="2:37" x14ac:dyDescent="0.35">
      <c r="B44" s="405" t="s">
        <v>1784</v>
      </c>
      <c r="C44" s="406" t="str">
        <f>_xlfn.XLOOKUP(C43,Ledger[Cargo Name],Ledger[SAP Deal Number])</f>
        <v>ARA26HS00032</v>
      </c>
      <c r="E44" s="407" t="s">
        <v>1784</v>
      </c>
      <c r="F44" s="406" t="str">
        <f>_xlfn.XLOOKUP(F43,Ledger[Cargo Name],Ledger[SAP Deal Number])</f>
        <v>PHI26HS00007</v>
      </c>
      <c r="G44" s="405"/>
      <c r="H44" s="407" t="s">
        <v>1784</v>
      </c>
      <c r="I44" s="406" t="str">
        <f>_xlfn.XLOOKUP(I43,Ledger[Cargo Name],Ledger[SAP Deal Number])</f>
        <v>ARA26HS000036</v>
      </c>
      <c r="K44" s="407" t="s">
        <v>1784</v>
      </c>
      <c r="L44" s="406" t="str">
        <f>_xlfn.XLOOKUP(L43,Ledger[Cargo Name],Ledger[SAP Deal Number])</f>
        <v>ARA26HS00046</v>
      </c>
    </row>
    <row r="45" spans="2:37" x14ac:dyDescent="0.35">
      <c r="B45" s="405" t="s">
        <v>1785</v>
      </c>
      <c r="C45" s="406" t="str">
        <f>_xlfn.XLOOKUP(C43,Ledger[Cargo Name],Ledger[Size])</f>
        <v>VLCC</v>
      </c>
      <c r="E45" s="405" t="s">
        <v>1785</v>
      </c>
      <c r="F45" s="406" t="str">
        <f>_xlfn.XLOOKUP(F43,Ledger[Cargo Name],Ledger[Size])</f>
        <v>FOB</v>
      </c>
      <c r="G45" s="405"/>
      <c r="H45" s="405" t="s">
        <v>1785</v>
      </c>
      <c r="I45" s="406" t="str">
        <f>_xlfn.XLOOKUP(I43,Ledger[Cargo Name],Ledger[Size])</f>
        <v>Aframax</v>
      </c>
      <c r="K45" s="405" t="s">
        <v>1785</v>
      </c>
      <c r="L45" s="406" t="str">
        <f>_xlfn.XLOOKUP(L43,Ledger[Cargo Name],Ledger[Size])</f>
        <v>VLCC</v>
      </c>
      <c r="W45" s="405" t="s">
        <v>1786</v>
      </c>
      <c r="X45" s="405" t="s">
        <v>1805</v>
      </c>
      <c r="Y45" s="405" t="s">
        <v>1806</v>
      </c>
      <c r="Z45" s="405" t="s">
        <v>1807</v>
      </c>
      <c r="AA45" s="405" t="s">
        <v>1808</v>
      </c>
      <c r="AD45" s="406" t="s">
        <v>1809</v>
      </c>
      <c r="AE45" s="406" t="s">
        <v>1786</v>
      </c>
      <c r="AF45" s="406" t="s">
        <v>1810</v>
      </c>
      <c r="AG45" s="406" t="s">
        <v>1806</v>
      </c>
      <c r="AH45" s="406" t="s">
        <v>1811</v>
      </c>
      <c r="AI45" s="406" t="s">
        <v>1808</v>
      </c>
      <c r="AJ45" s="406" t="s">
        <v>115</v>
      </c>
      <c r="AK45" s="405" t="s">
        <v>1812</v>
      </c>
    </row>
    <row r="46" spans="2:37" x14ac:dyDescent="0.35">
      <c r="B46" s="444" t="s">
        <v>1786</v>
      </c>
      <c r="C46" s="443">
        <f>'Trades 2026'!$H$255</f>
        <v>2130</v>
      </c>
      <c r="E46" s="434" t="s">
        <v>1786</v>
      </c>
      <c r="F46" s="433">
        <v>700</v>
      </c>
      <c r="G46" s="405"/>
      <c r="H46" s="434" t="s">
        <v>1786</v>
      </c>
      <c r="I46" s="433">
        <v>700</v>
      </c>
      <c r="K46" s="434" t="s">
        <v>1786</v>
      </c>
      <c r="L46" s="433">
        <f>'Trades 2026'!$H$317</f>
        <v>2079</v>
      </c>
      <c r="V46" s="405" t="s">
        <v>1813</v>
      </c>
      <c r="W46" s="467">
        <v>700</v>
      </c>
      <c r="X46" s="405">
        <v>70.73</v>
      </c>
      <c r="Y46" s="463">
        <f>I77/W46</f>
        <v>4.3852853571428581</v>
      </c>
      <c r="Z46" s="405">
        <f t="shared" ref="Z46:Z60" si="8">$W$71</f>
        <v>108.88</v>
      </c>
      <c r="AA46" s="464">
        <f>X46-Z46-Y46</f>
        <v>-42.535285357142847</v>
      </c>
      <c r="AB46" s="467"/>
      <c r="AC46" s="462">
        <f>-AE46</f>
        <v>700</v>
      </c>
      <c r="AD46" s="476" t="str">
        <f>V54</f>
        <v>ARA26HS00044-1</v>
      </c>
      <c r="AE46" s="477">
        <v>-700</v>
      </c>
      <c r="AF46" s="476">
        <f t="shared" ref="AF46:AG46" si="9">X54</f>
        <v>103.42</v>
      </c>
      <c r="AG46" s="476">
        <f t="shared" si="9"/>
        <v>0</v>
      </c>
      <c r="AH46" s="478">
        <f t="shared" ref="AH46:AH52" si="10">$W$71</f>
        <v>108.88</v>
      </c>
      <c r="AI46" s="479">
        <f>((AF46-AG46)-AH46)</f>
        <v>-5.4599999999999937</v>
      </c>
      <c r="AJ46" s="479">
        <f>AI46*-AE46</f>
        <v>-3821.9999999999955</v>
      </c>
    </row>
    <row r="47" spans="2:37" x14ac:dyDescent="0.35">
      <c r="B47" s="436"/>
      <c r="C47" s="442"/>
      <c r="E47" s="407"/>
      <c r="G47" s="405"/>
      <c r="W47" s="467"/>
      <c r="Y47" s="463"/>
      <c r="Z47" s="405">
        <f t="shared" si="8"/>
        <v>108.88</v>
      </c>
      <c r="AB47" s="467"/>
      <c r="AC47" s="462">
        <f t="shared" ref="AC47:AC56" si="11">-AE47</f>
        <v>700</v>
      </c>
      <c r="AD47" s="476" t="str">
        <f>V55</f>
        <v>ARA26HS00044-2</v>
      </c>
      <c r="AE47" s="477">
        <v>-700</v>
      </c>
      <c r="AF47" s="476">
        <f t="shared" ref="AF47:AG47" si="12">X55</f>
        <v>103.42</v>
      </c>
      <c r="AG47" s="476">
        <f t="shared" si="12"/>
        <v>0</v>
      </c>
      <c r="AH47" s="478">
        <f t="shared" si="10"/>
        <v>108.88</v>
      </c>
      <c r="AI47" s="479">
        <f t="shared" ref="AI47:AI56" si="13">((AF47-AG47)-AH47)</f>
        <v>-5.4599999999999937</v>
      </c>
      <c r="AJ47" s="479">
        <f t="shared" ref="AJ47:AJ56" si="14">AI47*-AE47</f>
        <v>-3821.9999999999955</v>
      </c>
    </row>
    <row r="48" spans="2:37" x14ac:dyDescent="0.35">
      <c r="B48" s="436" t="s">
        <v>1787</v>
      </c>
      <c r="C48" s="421">
        <v>1.1833333333333331</v>
      </c>
      <c r="E48" s="432" t="s">
        <v>1787</v>
      </c>
      <c r="F48" s="421">
        <v>1</v>
      </c>
      <c r="G48" s="405"/>
      <c r="H48" s="432" t="s">
        <v>1787</v>
      </c>
      <c r="I48" s="421">
        <v>1.1000000000000001</v>
      </c>
      <c r="K48" s="432" t="s">
        <v>1787</v>
      </c>
      <c r="L48" s="421">
        <v>0.9</v>
      </c>
      <c r="V48" s="405" t="s">
        <v>1814</v>
      </c>
      <c r="W48" s="467">
        <v>1900</v>
      </c>
      <c r="X48" s="405">
        <f>Y69-0.95</f>
        <v>99.179999999999993</v>
      </c>
      <c r="Y48" s="463">
        <f>375/W48</f>
        <v>0.19736842105263158</v>
      </c>
      <c r="Z48" s="463">
        <f t="shared" si="8"/>
        <v>108.88</v>
      </c>
      <c r="AA48" s="464">
        <f t="shared" ref="AA48:AA53" si="15">X48-Z48-Y48</f>
        <v>-9.8973684210526347</v>
      </c>
      <c r="AB48" s="467"/>
      <c r="AC48" s="462">
        <f t="shared" si="11"/>
        <v>-700</v>
      </c>
      <c r="AD48" s="476" t="str">
        <f>V56</f>
        <v>ARA26HP00019-1</v>
      </c>
      <c r="AE48" s="477">
        <v>700</v>
      </c>
      <c r="AF48" s="476">
        <v>112.68</v>
      </c>
      <c r="AG48" s="476">
        <f t="shared" ref="AG48" si="16">Y56</f>
        <v>0</v>
      </c>
      <c r="AH48" s="478">
        <f t="shared" si="10"/>
        <v>108.88</v>
      </c>
      <c r="AI48" s="479">
        <f t="shared" si="13"/>
        <v>3.8000000000000114</v>
      </c>
      <c r="AJ48" s="479">
        <f t="shared" si="14"/>
        <v>-2660.0000000000082</v>
      </c>
    </row>
    <row r="49" spans="2:37" x14ac:dyDescent="0.35">
      <c r="B49" s="436" t="s">
        <v>1788</v>
      </c>
      <c r="C49" s="421">
        <v>0.41666666666666663</v>
      </c>
      <c r="E49" s="432" t="s">
        <v>1788</v>
      </c>
      <c r="F49" s="421">
        <v>0.3</v>
      </c>
      <c r="G49" s="405"/>
      <c r="H49" s="432" t="s">
        <v>1788</v>
      </c>
      <c r="I49" s="421">
        <v>-0.2</v>
      </c>
      <c r="K49" s="432" t="s">
        <v>1788</v>
      </c>
      <c r="L49" s="421">
        <v>0</v>
      </c>
      <c r="V49" s="465" t="s">
        <v>1815</v>
      </c>
      <c r="W49" s="469">
        <v>-2000</v>
      </c>
      <c r="X49" s="465">
        <v>120.59</v>
      </c>
      <c r="Y49" s="468">
        <v>0</v>
      </c>
      <c r="Z49" s="468">
        <f t="shared" si="8"/>
        <v>108.88</v>
      </c>
      <c r="AA49" s="466">
        <f t="shared" si="15"/>
        <v>11.710000000000008</v>
      </c>
      <c r="AB49" s="469">
        <f t="shared" ref="AB49:AB53" si="17">AA49*W49</f>
        <v>-23420.000000000015</v>
      </c>
      <c r="AC49" s="462">
        <f t="shared" si="11"/>
        <v>-700</v>
      </c>
      <c r="AD49" s="476" t="str">
        <f>V57</f>
        <v>ARA26HP00019-2</v>
      </c>
      <c r="AE49" s="477">
        <v>700</v>
      </c>
      <c r="AF49" s="476">
        <v>112.68</v>
      </c>
      <c r="AG49" s="476">
        <f t="shared" ref="AG49" si="18">Y57</f>
        <v>0</v>
      </c>
      <c r="AH49" s="478">
        <f t="shared" si="10"/>
        <v>108.88</v>
      </c>
      <c r="AI49" s="479">
        <f t="shared" si="13"/>
        <v>3.8000000000000114</v>
      </c>
      <c r="AJ49" s="479">
        <f t="shared" si="14"/>
        <v>-2660.0000000000082</v>
      </c>
    </row>
    <row r="50" spans="2:37" ht="15" thickBot="1" x14ac:dyDescent="0.4">
      <c r="B50" s="439" t="s">
        <v>1789</v>
      </c>
      <c r="C50" s="417">
        <v>1.5999999999999999</v>
      </c>
      <c r="E50" s="431" t="s">
        <v>1789</v>
      </c>
      <c r="F50" s="417">
        <f>F49+F48</f>
        <v>1.3</v>
      </c>
      <c r="G50" s="405"/>
      <c r="H50" s="431" t="s">
        <v>1789</v>
      </c>
      <c r="I50" s="417">
        <f>I49+I48</f>
        <v>0.90000000000000013</v>
      </c>
      <c r="K50" s="431" t="s">
        <v>1789</v>
      </c>
      <c r="L50" s="417">
        <f>L49+L48</f>
        <v>0.9</v>
      </c>
      <c r="V50" s="405" t="s">
        <v>1816</v>
      </c>
      <c r="W50" s="467">
        <f>L46</f>
        <v>2079</v>
      </c>
      <c r="X50" s="405">
        <v>100.89400000000001</v>
      </c>
      <c r="Y50" s="463">
        <f>(17779.6475-2500)/W50</f>
        <v>7.3495177970177963</v>
      </c>
      <c r="Z50" s="463">
        <f t="shared" si="8"/>
        <v>108.88</v>
      </c>
      <c r="AA50" s="467">
        <f t="shared" si="15"/>
        <v>-15.335517797017786</v>
      </c>
      <c r="AB50" s="467"/>
      <c r="AC50" s="462">
        <f t="shared" si="11"/>
        <v>-2000</v>
      </c>
      <c r="AD50" s="480" t="str">
        <f>V49</f>
        <v>VIT26HP00037</v>
      </c>
      <c r="AE50" s="481">
        <v>2000</v>
      </c>
      <c r="AF50" s="480">
        <f t="shared" ref="AF50:AG50" si="19">X49</f>
        <v>120.59</v>
      </c>
      <c r="AG50" s="480">
        <f t="shared" si="19"/>
        <v>0</v>
      </c>
      <c r="AH50" s="482">
        <f t="shared" si="10"/>
        <v>108.88</v>
      </c>
      <c r="AI50" s="483">
        <f t="shared" si="13"/>
        <v>11.710000000000008</v>
      </c>
      <c r="AJ50" s="483">
        <f t="shared" si="14"/>
        <v>-23420.000000000015</v>
      </c>
    </row>
    <row r="51" spans="2:37" x14ac:dyDescent="0.35">
      <c r="B51" s="440" t="str">
        <f>"(+) "&amp;TEXT(EOMONTH(C42,0),"Mmm")&amp;"/"&amp;TEXT(EOMONTH(C42,1),"Mmm")&amp;" WTI"</f>
        <v>(+) Mar/Apr WTI</v>
      </c>
      <c r="C51" s="419">
        <v>0.42999999999999994</v>
      </c>
      <c r="E51" s="430" t="str">
        <f>"(+) "&amp;TEXT(EOMONTH(F42,0),"Mmm")&amp;"/"&amp;TEXT(EOMONTH(F42,1),"Mmm")&amp;" WTI"</f>
        <v>(+) Mar/Apr WTI</v>
      </c>
      <c r="F51" s="419">
        <v>0.28999999999999998</v>
      </c>
      <c r="G51" s="405"/>
      <c r="H51" s="430" t="str">
        <f>"(+) "&amp;TEXT(EOMONTH(I42,0),"Mmm")&amp;"/"&amp;TEXT(EOMONTH(I42,1),"Mmm")&amp;" WTI"</f>
        <v>(+) Mar/Apr WTI</v>
      </c>
      <c r="I51" s="419"/>
      <c r="K51" s="430" t="str">
        <f>"(+) "&amp;TEXT(EOMONTH(L42,0),"Mmm")&amp;"/"&amp;TEXT(EOMONTH(L42,1),"Mmm")&amp;" WTI"</f>
        <v>(+) Apr/May WTI</v>
      </c>
      <c r="L51" s="419">
        <v>0.16</v>
      </c>
      <c r="V51" s="465" t="s">
        <v>1817</v>
      </c>
      <c r="W51" s="469">
        <v>2000</v>
      </c>
      <c r="X51" s="465">
        <v>120.81</v>
      </c>
      <c r="Y51" s="468">
        <v>0</v>
      </c>
      <c r="Z51" s="468">
        <f t="shared" si="8"/>
        <v>108.88</v>
      </c>
      <c r="AA51" s="466">
        <f t="shared" si="15"/>
        <v>11.930000000000007</v>
      </c>
      <c r="AB51" s="469">
        <f t="shared" si="17"/>
        <v>23860.000000000015</v>
      </c>
      <c r="AC51" s="462">
        <f t="shared" si="11"/>
        <v>2000</v>
      </c>
      <c r="AD51" s="480" t="str">
        <f>V51</f>
        <v>ARA26HS00047</v>
      </c>
      <c r="AE51" s="481">
        <v>-2000</v>
      </c>
      <c r="AF51" s="480">
        <f t="shared" ref="AF51:AG53" si="20">X51</f>
        <v>120.81</v>
      </c>
      <c r="AG51" s="480">
        <f t="shared" si="20"/>
        <v>0</v>
      </c>
      <c r="AH51" s="482">
        <f t="shared" si="10"/>
        <v>108.88</v>
      </c>
      <c r="AI51" s="483">
        <f t="shared" si="13"/>
        <v>11.930000000000007</v>
      </c>
      <c r="AJ51" s="483">
        <f t="shared" si="14"/>
        <v>23860.000000000015</v>
      </c>
    </row>
    <row r="52" spans="2:37" x14ac:dyDescent="0.35">
      <c r="B52" s="405" t="str">
        <f>"(+) "&amp;TEXT(EOMONTH(C42,1),"Mmm")&amp;"/"&amp;TEXT(EOMONTH(C42,2),"Mmm")&amp;" WTI"</f>
        <v>(+) Apr/May WTI</v>
      </c>
      <c r="C52" s="429">
        <v>0.37</v>
      </c>
      <c r="E52" s="407" t="str">
        <f>"(+) "&amp;TEXT(EOMONTH(F42,1),"Mmm")&amp;"/"&amp;TEXT(EOMONTH(F42,2),"Mmm")&amp;" WTI"</f>
        <v>(+) Apr/May WTI</v>
      </c>
      <c r="F52" s="429">
        <v>0.26</v>
      </c>
      <c r="G52" s="405"/>
      <c r="H52" s="407" t="str">
        <f>"(+) "&amp;TEXT(EOMONTH(I42,1),"Mmm")&amp;"/"&amp;TEXT(EOMONTH(I42,2),"Mmm")&amp;" WTI"</f>
        <v>(+) Apr/May WTI</v>
      </c>
      <c r="I52" s="429"/>
      <c r="K52" s="407" t="str">
        <f>"(+) "&amp;TEXT(EOMONTH(L42,1),"Mmm")&amp;"/"&amp;TEXT(EOMONTH(L42,2),"Mmm")&amp;" WTI"</f>
        <v>(+) May/Jun WTI</v>
      </c>
      <c r="L52" s="429">
        <v>0.39</v>
      </c>
      <c r="V52" s="405" t="s">
        <v>1818</v>
      </c>
      <c r="W52" s="467">
        <v>2065</v>
      </c>
      <c r="X52" s="405">
        <v>129.91999999999999</v>
      </c>
      <c r="Y52" s="463">
        <f>19880/W52</f>
        <v>9.6271186440677958</v>
      </c>
      <c r="Z52" s="463">
        <f t="shared" si="8"/>
        <v>108.88</v>
      </c>
      <c r="AA52" s="467">
        <f t="shared" si="15"/>
        <v>11.412881355932196</v>
      </c>
      <c r="AB52" s="467">
        <f t="shared" si="17"/>
        <v>23567.599999999984</v>
      </c>
      <c r="AC52" s="462">
        <f t="shared" si="11"/>
        <v>2065</v>
      </c>
      <c r="AD52" s="429" t="str">
        <f>V52</f>
        <v>ARA26HS00045</v>
      </c>
      <c r="AE52" s="475">
        <v>-2065</v>
      </c>
      <c r="AF52" s="429">
        <f t="shared" si="20"/>
        <v>129.91999999999999</v>
      </c>
      <c r="AG52" s="429">
        <f t="shared" si="20"/>
        <v>9.6271186440677958</v>
      </c>
      <c r="AH52" s="406">
        <f t="shared" si="10"/>
        <v>108.88</v>
      </c>
      <c r="AI52" s="445">
        <f t="shared" si="13"/>
        <v>11.4128813559322</v>
      </c>
      <c r="AJ52" s="445">
        <f t="shared" si="14"/>
        <v>23567.599999999991</v>
      </c>
      <c r="AK52" s="474">
        <v>46142</v>
      </c>
    </row>
    <row r="53" spans="2:37" ht="15" thickBot="1" x14ac:dyDescent="0.4">
      <c r="B53" s="405" t="str">
        <f>"(+) "&amp;TEXT(EOMONTH(C42,2),"Mmm")&amp;" WTI/Brent"</f>
        <v>(+) May WTI/Brent</v>
      </c>
      <c r="C53" s="417">
        <v>-4.25</v>
      </c>
      <c r="E53" s="428" t="str">
        <f>"(+) "&amp;TEXT(EOMONTH(F42,2),"Mmm")&amp;" WTI/Brent"</f>
        <v>(+) May WTI/Brent</v>
      </c>
      <c r="F53" s="417">
        <v>-4.09</v>
      </c>
      <c r="G53" s="405"/>
      <c r="H53" s="428" t="s">
        <v>1819</v>
      </c>
      <c r="I53" s="417">
        <v>-5.4</v>
      </c>
      <c r="K53" s="428" t="str">
        <f>"(+) "&amp;TEXT(EOMONTH(L42,2),"Mmm")&amp;" WTI/Brent"</f>
        <v>(+) Jun WTI/Brent</v>
      </c>
      <c r="L53" s="417">
        <v>-5.8</v>
      </c>
      <c r="V53" s="405" t="s">
        <v>1820</v>
      </c>
      <c r="W53" s="467">
        <v>2065</v>
      </c>
      <c r="X53" s="405">
        <v>128.05000000000001</v>
      </c>
      <c r="Y53" s="463">
        <f>23344.55/W53</f>
        <v>11.304866828087167</v>
      </c>
      <c r="Z53" s="463">
        <f t="shared" si="8"/>
        <v>108.88</v>
      </c>
      <c r="AA53" s="467">
        <f t="shared" si="15"/>
        <v>7.8651331719128486</v>
      </c>
      <c r="AB53" s="467">
        <f t="shared" si="17"/>
        <v>16241.500000000033</v>
      </c>
      <c r="AC53" s="462">
        <f t="shared" si="11"/>
        <v>2065</v>
      </c>
      <c r="AD53" s="429" t="str">
        <f>V53</f>
        <v>ARA26HS00053</v>
      </c>
      <c r="AE53" s="475">
        <v>-2065</v>
      </c>
      <c r="AF53" s="429">
        <f t="shared" si="20"/>
        <v>128.05000000000001</v>
      </c>
      <c r="AG53" s="429">
        <f t="shared" si="20"/>
        <v>11.304866828087167</v>
      </c>
      <c r="AH53" s="406">
        <f>X71</f>
        <v>103.14</v>
      </c>
      <c r="AI53" s="445">
        <f t="shared" si="13"/>
        <v>13.60513317191284</v>
      </c>
      <c r="AJ53" s="445">
        <f t="shared" si="14"/>
        <v>28094.600000000013</v>
      </c>
      <c r="AK53" s="474">
        <v>46173</v>
      </c>
    </row>
    <row r="54" spans="2:37" x14ac:dyDescent="0.35">
      <c r="B54" s="441" t="s">
        <v>1790</v>
      </c>
      <c r="C54" s="426">
        <f>SUM(C50:C53)</f>
        <v>-1.85</v>
      </c>
      <c r="E54" s="427" t="s">
        <v>1790</v>
      </c>
      <c r="F54" s="426">
        <f>SUM(F50:F53)</f>
        <v>-2.2399999999999998</v>
      </c>
      <c r="G54" s="405"/>
      <c r="H54" s="427" t="s">
        <v>1790</v>
      </c>
      <c r="I54" s="426">
        <f>SUM(I50:I53)</f>
        <v>-4.5</v>
      </c>
      <c r="K54" s="427" t="s">
        <v>1790</v>
      </c>
      <c r="L54" s="426">
        <f>SUM(L50:L53)</f>
        <v>-4.3499999999999996</v>
      </c>
      <c r="V54" s="405" t="s">
        <v>1821</v>
      </c>
      <c r="W54" s="405">
        <v>700</v>
      </c>
      <c r="X54" s="405">
        <v>103.42</v>
      </c>
      <c r="Z54" s="405">
        <f t="shared" si="8"/>
        <v>108.88</v>
      </c>
      <c r="AA54" s="467">
        <f t="shared" ref="AA54:AA57" si="21">X54-Z54-Y54</f>
        <v>-5.4599999999999937</v>
      </c>
      <c r="AB54" s="467">
        <f t="shared" ref="AB54:AB57" si="22">AA54*W54</f>
        <v>-3821.9999999999955</v>
      </c>
      <c r="AC54" s="462">
        <f t="shared" si="11"/>
        <v>700</v>
      </c>
      <c r="AD54" s="429" t="str">
        <f>V59</f>
        <v>ARA26HS00069-1</v>
      </c>
      <c r="AE54" s="475">
        <v>-700</v>
      </c>
      <c r="AF54" s="429">
        <f t="shared" ref="AF54:AG54" si="23">X59</f>
        <v>118.06</v>
      </c>
      <c r="AG54" s="429">
        <f t="shared" si="23"/>
        <v>6.4493999999999998</v>
      </c>
      <c r="AH54" s="406">
        <f>X71</f>
        <v>103.14</v>
      </c>
      <c r="AI54" s="445">
        <f t="shared" si="13"/>
        <v>8.4706000000000046</v>
      </c>
      <c r="AJ54" s="445">
        <f t="shared" si="14"/>
        <v>5929.4200000000028</v>
      </c>
      <c r="AK54" s="474">
        <v>46173</v>
      </c>
    </row>
    <row r="55" spans="2:37" x14ac:dyDescent="0.35">
      <c r="B55" s="436" t="s">
        <v>1791</v>
      </c>
      <c r="C55" s="421">
        <f t="shared" ref="C55:C60" si="24">C69/C$46</f>
        <v>6.807511737089202</v>
      </c>
      <c r="E55" s="425" t="s">
        <v>1791</v>
      </c>
      <c r="F55" s="421">
        <f t="shared" ref="F55:F60" si="25">F69/F$46</f>
        <v>0</v>
      </c>
      <c r="G55" s="405"/>
      <c r="H55" s="425" t="s">
        <v>1791</v>
      </c>
      <c r="I55" s="421">
        <f t="shared" ref="I55:I60" si="26">I69/I$46</f>
        <v>5.6571300000000004</v>
      </c>
      <c r="K55" s="425" t="s">
        <v>1791</v>
      </c>
      <c r="L55" s="421">
        <f>L69/L$46</f>
        <v>8.0086580086580081</v>
      </c>
      <c r="V55" s="405" t="s">
        <v>1822</v>
      </c>
      <c r="W55" s="405">
        <v>700</v>
      </c>
      <c r="X55" s="405">
        <v>103.42</v>
      </c>
      <c r="Z55" s="405">
        <f t="shared" si="8"/>
        <v>108.88</v>
      </c>
      <c r="AA55" s="467">
        <f t="shared" si="21"/>
        <v>-5.4599999999999937</v>
      </c>
      <c r="AB55" s="467">
        <f t="shared" si="22"/>
        <v>-3821.9999999999955</v>
      </c>
      <c r="AC55" s="462">
        <f t="shared" si="11"/>
        <v>700</v>
      </c>
      <c r="AD55" s="429" t="str">
        <f>V60</f>
        <v>ARA26HS00069-2</v>
      </c>
      <c r="AE55" s="475">
        <v>-700</v>
      </c>
      <c r="AF55" s="429">
        <f t="shared" ref="AF55:AG55" si="27">X60</f>
        <v>118.06</v>
      </c>
      <c r="AG55" s="429">
        <f t="shared" si="27"/>
        <v>6.4493999999999998</v>
      </c>
      <c r="AH55" s="406">
        <f>Y71</f>
        <v>97.07</v>
      </c>
      <c r="AI55" s="445">
        <f t="shared" si="13"/>
        <v>14.540600000000012</v>
      </c>
      <c r="AJ55" s="445">
        <f t="shared" si="14"/>
        <v>10178.420000000009</v>
      </c>
      <c r="AK55" s="474">
        <v>46203</v>
      </c>
    </row>
    <row r="56" spans="2:37" x14ac:dyDescent="0.35">
      <c r="B56" s="436" t="s">
        <v>1792</v>
      </c>
      <c r="C56" s="421">
        <f t="shared" si="24"/>
        <v>0</v>
      </c>
      <c r="E56" s="423" t="s">
        <v>1792</v>
      </c>
      <c r="F56" s="421">
        <f t="shared" si="25"/>
        <v>0</v>
      </c>
      <c r="G56" s="405"/>
      <c r="H56" s="423" t="s">
        <v>1792</v>
      </c>
      <c r="I56" s="421">
        <f t="shared" si="26"/>
        <v>-1.3918446428571429</v>
      </c>
      <c r="K56" s="423" t="s">
        <v>1792</v>
      </c>
      <c r="L56" s="421">
        <f>-L70/L$46</f>
        <v>0</v>
      </c>
      <c r="V56" s="405" t="s">
        <v>1823</v>
      </c>
      <c r="W56" s="405">
        <v>-700</v>
      </c>
      <c r="X56" s="405">
        <v>111.58</v>
      </c>
      <c r="Z56" s="405">
        <f t="shared" si="8"/>
        <v>108.88</v>
      </c>
      <c r="AA56" s="467">
        <f t="shared" si="21"/>
        <v>2.7000000000000028</v>
      </c>
      <c r="AB56" s="467">
        <f t="shared" si="22"/>
        <v>-1890.000000000002</v>
      </c>
      <c r="AC56" s="462">
        <f t="shared" si="11"/>
        <v>2000</v>
      </c>
      <c r="AD56" s="406" t="str">
        <f>V58</f>
        <v>ENE26HS00007</v>
      </c>
      <c r="AE56" s="475">
        <v>-2000</v>
      </c>
      <c r="AF56" s="406">
        <f t="shared" ref="AF56:AG56" si="28">X58</f>
        <v>125.41</v>
      </c>
      <c r="AG56" s="406">
        <f t="shared" si="28"/>
        <v>9.0004675081813943</v>
      </c>
      <c r="AH56" s="406">
        <f>X71</f>
        <v>103.14</v>
      </c>
      <c r="AI56" s="445">
        <f t="shared" si="13"/>
        <v>13.269532491818595</v>
      </c>
      <c r="AJ56" s="445">
        <f t="shared" si="14"/>
        <v>26539.064983637189</v>
      </c>
      <c r="AK56" s="474">
        <v>46173</v>
      </c>
    </row>
    <row r="57" spans="2:37" x14ac:dyDescent="0.35">
      <c r="B57" s="436" t="s">
        <v>1793</v>
      </c>
      <c r="C57" s="421">
        <f t="shared" si="24"/>
        <v>7.5117370892018781E-2</v>
      </c>
      <c r="E57" s="423" t="s">
        <v>1793</v>
      </c>
      <c r="F57" s="421">
        <f t="shared" si="25"/>
        <v>0</v>
      </c>
      <c r="G57" s="405"/>
      <c r="H57" s="423" t="s">
        <v>1793</v>
      </c>
      <c r="I57" s="421">
        <f t="shared" si="26"/>
        <v>0</v>
      </c>
      <c r="K57" s="423" t="s">
        <v>1793</v>
      </c>
      <c r="L57" s="421">
        <f>L71/L$46</f>
        <v>0.11544011544011544</v>
      </c>
      <c r="P57" s="405" t="s">
        <v>1824</v>
      </c>
      <c r="R57" s="405">
        <v>6.35</v>
      </c>
      <c r="V57" s="405" t="s">
        <v>1825</v>
      </c>
      <c r="W57" s="405">
        <v>-700</v>
      </c>
      <c r="X57" s="405">
        <v>111.58</v>
      </c>
      <c r="Z57" s="405">
        <f t="shared" si="8"/>
        <v>108.88</v>
      </c>
      <c r="AA57" s="467">
        <f t="shared" si="21"/>
        <v>2.7000000000000028</v>
      </c>
      <c r="AB57" s="467">
        <f t="shared" si="22"/>
        <v>-1890.000000000002</v>
      </c>
    </row>
    <row r="58" spans="2:37" x14ac:dyDescent="0.35">
      <c r="B58" s="436" t="s">
        <v>1794</v>
      </c>
      <c r="C58" s="421">
        <f t="shared" si="24"/>
        <v>0.21126760563380281</v>
      </c>
      <c r="E58" s="423" t="s">
        <v>1794</v>
      </c>
      <c r="F58" s="421">
        <f t="shared" si="25"/>
        <v>0</v>
      </c>
      <c r="G58" s="405"/>
      <c r="H58" s="423" t="s">
        <v>1794</v>
      </c>
      <c r="I58" s="421">
        <f t="shared" si="26"/>
        <v>0</v>
      </c>
      <c r="K58" s="423" t="s">
        <v>1794</v>
      </c>
      <c r="L58" s="421">
        <f>L72/L$46</f>
        <v>0.21645021645021645</v>
      </c>
      <c r="P58" s="405" t="s">
        <v>1826</v>
      </c>
      <c r="R58" s="405">
        <v>1.18</v>
      </c>
      <c r="V58" s="405" t="s">
        <v>1827</v>
      </c>
      <c r="W58" s="405">
        <v>2000</v>
      </c>
      <c r="X58" s="405">
        <v>125.41</v>
      </c>
      <c r="Y58" s="464">
        <f>SUM(I137:I142)</f>
        <v>9.0004675081813943</v>
      </c>
      <c r="Z58" s="405">
        <f t="shared" si="8"/>
        <v>108.88</v>
      </c>
      <c r="AA58" s="467">
        <f t="shared" ref="AA58" si="29">X58-Z58-Y58</f>
        <v>7.5295324918186068</v>
      </c>
      <c r="AB58" s="467">
        <f t="shared" ref="AB58" si="30">AA58*W58</f>
        <v>15059.064983637214</v>
      </c>
      <c r="AD58" s="405" t="s">
        <v>1828</v>
      </c>
      <c r="AE58" s="464">
        <f>SUM(AE46:AE57)</f>
        <v>-7530</v>
      </c>
      <c r="AJ58" s="464">
        <f>SUM(AJ46:AJ56)</f>
        <v>81785.104983637197</v>
      </c>
    </row>
    <row r="59" spans="2:37" x14ac:dyDescent="0.35">
      <c r="B59" s="436" t="s">
        <v>1795</v>
      </c>
      <c r="C59" s="424">
        <f t="shared" si="24"/>
        <v>0.29672004630522864</v>
      </c>
      <c r="E59" s="423" t="s">
        <v>1795</v>
      </c>
      <c r="F59" s="421">
        <f t="shared" si="25"/>
        <v>0</v>
      </c>
      <c r="G59" s="405"/>
      <c r="H59" s="423" t="s">
        <v>1795</v>
      </c>
      <c r="I59" s="424">
        <f t="shared" si="26"/>
        <v>0.12</v>
      </c>
      <c r="K59" s="423" t="s">
        <v>1795</v>
      </c>
      <c r="L59" s="424">
        <f>L73/L$46</f>
        <v>0</v>
      </c>
      <c r="P59" s="405" t="s">
        <v>1829</v>
      </c>
      <c r="R59" s="405">
        <v>0.05</v>
      </c>
      <c r="V59" s="405" t="s">
        <v>1830</v>
      </c>
      <c r="W59" s="405">
        <v>700</v>
      </c>
      <c r="X59" s="405">
        <v>118.06</v>
      </c>
      <c r="Y59" s="464">
        <f>SUM(F177:F181)</f>
        <v>6.4493999999999998</v>
      </c>
      <c r="Z59" s="405">
        <f t="shared" si="8"/>
        <v>108.88</v>
      </c>
      <c r="AA59" s="467">
        <f t="shared" ref="AA59:AA60" si="31">X59-Z59-Y59</f>
        <v>2.730600000000007</v>
      </c>
      <c r="AB59" s="467">
        <f t="shared" ref="AB59:AB60" si="32">AA59*W59</f>
        <v>1911.4200000000048</v>
      </c>
    </row>
    <row r="60" spans="2:37" x14ac:dyDescent="0.35">
      <c r="B60" s="436" t="s">
        <v>1796</v>
      </c>
      <c r="C60" s="421">
        <f t="shared" si="24"/>
        <v>0.19718309859154917</v>
      </c>
      <c r="E60" s="423" t="s">
        <v>1796</v>
      </c>
      <c r="F60" s="421">
        <f t="shared" si="25"/>
        <v>0</v>
      </c>
      <c r="G60" s="405"/>
      <c r="H60" s="423" t="s">
        <v>1796</v>
      </c>
      <c r="I60" s="421">
        <f t="shared" si="26"/>
        <v>0</v>
      </c>
      <c r="K60" s="423" t="s">
        <v>1796</v>
      </c>
      <c r="L60" s="421">
        <f>L74/L$46</f>
        <v>0.21147065897065903</v>
      </c>
      <c r="P60" s="405" t="s">
        <v>1831</v>
      </c>
      <c r="R60" s="405">
        <v>0.21</v>
      </c>
      <c r="V60" s="405" t="s">
        <v>1832</v>
      </c>
      <c r="W60" s="405">
        <v>700</v>
      </c>
      <c r="X60" s="405">
        <v>118.06</v>
      </c>
      <c r="Y60" s="464">
        <f>Y59</f>
        <v>6.4493999999999998</v>
      </c>
      <c r="Z60" s="405">
        <f t="shared" si="8"/>
        <v>108.88</v>
      </c>
      <c r="AA60" s="467">
        <f t="shared" si="31"/>
        <v>2.730600000000007</v>
      </c>
      <c r="AB60" s="467">
        <f t="shared" si="32"/>
        <v>1911.4200000000048</v>
      </c>
    </row>
    <row r="61" spans="2:37" x14ac:dyDescent="0.35">
      <c r="B61" s="436" t="str">
        <f>"(+) "&amp;TEXT(EOMONTH(C42,2),"Mmm")&amp;"/"&amp;TEXT(EOMONTH(C42,3),"Mmm")&amp;" Brent"</f>
        <v>(+) May/Jun Brent</v>
      </c>
      <c r="C61" s="421">
        <v>0.56999999999999995</v>
      </c>
      <c r="E61" s="422" t="str">
        <f>"(+) "&amp;TEXT(EOMONTH(F42,2),"Mmm")&amp;"/"&amp;TEXT(EOMONTH(F42,3),"Mmm")&amp;" Brent"</f>
        <v>(+) May/Jun Brent</v>
      </c>
      <c r="F61" s="421">
        <v>0</v>
      </c>
      <c r="G61" s="405"/>
      <c r="H61" s="422" t="str">
        <f>"(+) "&amp;TEXT(EOMONTH(I42,2),"Mmm")&amp;"/"&amp;TEXT(EOMONTH(I42,3),"Mmm")&amp;" Brent"</f>
        <v>(+) May/Jun Brent</v>
      </c>
      <c r="I61" s="421">
        <v>0</v>
      </c>
      <c r="K61" s="422" t="str">
        <f>"(+) "&amp;TEXT(EOMONTH(L42,2),"Mmm")&amp;"/"&amp;TEXT(EOMONTH(L42,3),"Mmm")&amp;" Brent"</f>
        <v>(+) Jun/Jul Brent</v>
      </c>
      <c r="L61" s="421">
        <v>0.71</v>
      </c>
      <c r="P61" s="408" t="s">
        <v>1833</v>
      </c>
      <c r="Q61" s="408"/>
      <c r="R61" s="408">
        <f>R57-R58-R59-R60</f>
        <v>4.91</v>
      </c>
    </row>
    <row r="62" spans="2:37" ht="15" thickBot="1" x14ac:dyDescent="0.4">
      <c r="B62" s="439" t="str">
        <f>"(-) "&amp;TEXT(EOMONTH(C42,1),"Mmm")&amp;" DFL"</f>
        <v>(-) Apr DFL</v>
      </c>
      <c r="C62" s="417">
        <v>0</v>
      </c>
      <c r="E62" s="420" t="str">
        <f>"(-) "&amp;TEXT(EOMONTH(F42,1),"Mmm")&amp;" DFL"</f>
        <v>(-) Apr DFL</v>
      </c>
      <c r="F62" s="417">
        <v>0</v>
      </c>
      <c r="G62" s="405"/>
      <c r="H62" s="420" t="str">
        <f>"(-) "&amp;TEXT(EOMONTH(I42,1),"Mmm")&amp;" DFL"</f>
        <v>(-) Apr DFL</v>
      </c>
      <c r="I62" s="417">
        <v>0</v>
      </c>
      <c r="K62" s="420" t="str">
        <f>"(-) "&amp;TEXT(EOMONTH(L42,1),"Mmm")&amp;" DFL"</f>
        <v>(-) May DFL</v>
      </c>
      <c r="L62" s="417">
        <v>-1.18</v>
      </c>
      <c r="P62" s="405" t="s">
        <v>1795</v>
      </c>
      <c r="AB62" s="462">
        <f>SUM(AB46:AB58)</f>
        <v>43884.164983637238</v>
      </c>
    </row>
    <row r="63" spans="2:37" x14ac:dyDescent="0.35">
      <c r="B63" s="440" t="s">
        <v>1797</v>
      </c>
      <c r="C63" s="419">
        <f>SUM(C54:C60)+C61-C62</f>
        <v>6.3077998585118022</v>
      </c>
      <c r="E63" s="418" t="s">
        <v>1797</v>
      </c>
      <c r="F63" s="419">
        <f>SUM(F54:F60)+F61-F62</f>
        <v>-2.2399999999999998</v>
      </c>
      <c r="G63" s="405"/>
      <c r="H63" s="418" t="s">
        <v>1797</v>
      </c>
      <c r="I63" s="419">
        <f>SUM(I54:I60)+I61-I62</f>
        <v>-0.1147146428571425</v>
      </c>
      <c r="K63" s="418" t="s">
        <v>1797</v>
      </c>
      <c r="L63" s="419">
        <f>SUM(L54:L60)+L61-L62</f>
        <v>6.0920189995189986</v>
      </c>
      <c r="P63" s="405" t="s">
        <v>1796</v>
      </c>
    </row>
    <row r="64" spans="2:37" ht="15" thickBot="1" x14ac:dyDescent="0.4">
      <c r="B64" s="439" t="s">
        <v>1798</v>
      </c>
      <c r="C64" s="417">
        <v>6.68</v>
      </c>
      <c r="E64" s="418" t="s">
        <v>1798</v>
      </c>
      <c r="F64" s="417">
        <v>-2.2200000000000002</v>
      </c>
      <c r="G64" s="405"/>
      <c r="H64" s="418" t="s">
        <v>1798</v>
      </c>
      <c r="I64" s="417">
        <v>-0.02</v>
      </c>
      <c r="K64" s="418" t="s">
        <v>1798</v>
      </c>
      <c r="L64" s="417">
        <f>6.35-0.21-0.05</f>
        <v>6.09</v>
      </c>
      <c r="P64" s="405" t="s">
        <v>1834</v>
      </c>
    </row>
    <row r="65" spans="2:27" ht="15" thickBot="1" x14ac:dyDescent="0.4">
      <c r="B65" s="437" t="s">
        <v>1799</v>
      </c>
      <c r="C65" s="415">
        <f>C64-C63</f>
        <v>0.37220014148819747</v>
      </c>
      <c r="E65" s="416" t="s">
        <v>1799</v>
      </c>
      <c r="F65" s="415">
        <f>F64-F63</f>
        <v>1.9999999999999574E-2</v>
      </c>
      <c r="G65" s="405"/>
      <c r="H65" s="416" t="s">
        <v>1799</v>
      </c>
      <c r="I65" s="415">
        <f>I64-I63</f>
        <v>9.4714642857142498E-2</v>
      </c>
      <c r="K65" s="416" t="s">
        <v>1799</v>
      </c>
      <c r="L65" s="415">
        <f>L64-L63</f>
        <v>-2.0189995189987542E-3</v>
      </c>
      <c r="P65" s="405" t="s">
        <v>1835</v>
      </c>
    </row>
    <row r="66" spans="2:27" ht="9" customHeight="1" x14ac:dyDescent="0.35">
      <c r="B66" s="436" t="s">
        <v>1800</v>
      </c>
      <c r="C66" s="413">
        <f>C65*C46</f>
        <v>792.78630136986055</v>
      </c>
      <c r="E66" s="414" t="s">
        <v>1800</v>
      </c>
      <c r="F66" s="413">
        <f>F65*F46</f>
        <v>13.999999999999702</v>
      </c>
      <c r="G66" s="405"/>
      <c r="H66" s="414" t="s">
        <v>1800</v>
      </c>
      <c r="I66" s="413">
        <f>I65*I46</f>
        <v>66.30024999999975</v>
      </c>
      <c r="K66" s="414" t="s">
        <v>1800</v>
      </c>
      <c r="L66" s="413">
        <f>L65*L46</f>
        <v>-4.1974999999984099</v>
      </c>
    </row>
    <row r="67" spans="2:27" x14ac:dyDescent="0.35">
      <c r="E67" s="407"/>
      <c r="G67" s="405"/>
      <c r="V67" s="405" t="s">
        <v>1836</v>
      </c>
      <c r="W67" s="405" t="s">
        <v>1837</v>
      </c>
      <c r="X67" s="405" t="s">
        <v>1838</v>
      </c>
      <c r="Y67" s="405" t="s">
        <v>1092</v>
      </c>
      <c r="Z67" s="405" t="s">
        <v>1093</v>
      </c>
      <c r="AA67" s="405" t="s">
        <v>1093</v>
      </c>
    </row>
    <row r="68" spans="2:27" x14ac:dyDescent="0.35">
      <c r="C68" s="406" t="str">
        <f>C44</f>
        <v>ARA26HS00032</v>
      </c>
      <c r="E68" s="407"/>
      <c r="F68" s="406" t="str">
        <f>F44</f>
        <v>PHI26HS00007</v>
      </c>
      <c r="G68" s="405"/>
      <c r="I68" s="406" t="str">
        <f>I44</f>
        <v>ARA26HS000036</v>
      </c>
      <c r="L68" s="406" t="str">
        <f>L44</f>
        <v>ARA26HS00046</v>
      </c>
      <c r="V68" s="405" t="s">
        <v>1839</v>
      </c>
      <c r="X68" s="405">
        <v>118.78</v>
      </c>
      <c r="Y68" s="405">
        <v>111.342</v>
      </c>
      <c r="Z68" s="405">
        <v>103.789</v>
      </c>
    </row>
    <row r="69" spans="2:27" x14ac:dyDescent="0.35">
      <c r="B69" s="405" t="str">
        <f t="shared" ref="B69:B74" si="33">B55</f>
        <v>(+) Freight</v>
      </c>
      <c r="C69" s="411">
        <v>14500</v>
      </c>
      <c r="E69" s="405" t="s">
        <v>1791</v>
      </c>
      <c r="F69" s="411">
        <v>0</v>
      </c>
      <c r="G69" s="405"/>
      <c r="H69" s="405" t="s">
        <v>1791</v>
      </c>
      <c r="I69" s="102">
        <f>I78*I80*I79/100</f>
        <v>3959.9910000000004</v>
      </c>
      <c r="K69" s="405" t="s">
        <v>1791</v>
      </c>
      <c r="L69" s="102">
        <v>16650</v>
      </c>
      <c r="V69" s="405" t="s">
        <v>1840</v>
      </c>
      <c r="X69" s="405">
        <v>104.136</v>
      </c>
      <c r="Y69" s="405">
        <v>100.13</v>
      </c>
      <c r="Z69" s="405">
        <v>95.93</v>
      </c>
    </row>
    <row r="70" spans="2:27" x14ac:dyDescent="0.35">
      <c r="B70" s="405" t="str">
        <f t="shared" si="33"/>
        <v>(-) TD7 Freight*</v>
      </c>
      <c r="C70" s="411">
        <v>0</v>
      </c>
      <c r="E70" s="405" t="s">
        <v>1792</v>
      </c>
      <c r="F70" s="411">
        <v>0</v>
      </c>
      <c r="G70" s="405"/>
      <c r="H70" s="405" t="s">
        <v>1792</v>
      </c>
      <c r="I70" s="102">
        <f>-(H79*H78*H80/100)</f>
        <v>-974.29124999999999</v>
      </c>
      <c r="K70" s="405" t="s">
        <v>1792</v>
      </c>
      <c r="L70" s="102">
        <v>0</v>
      </c>
      <c r="V70" s="405" t="s">
        <v>1841</v>
      </c>
      <c r="X70" s="405">
        <v>110.066</v>
      </c>
      <c r="Y70" s="405">
        <v>103.142</v>
      </c>
      <c r="Z70" s="405">
        <v>97.742999999999995</v>
      </c>
    </row>
    <row r="71" spans="2:27" x14ac:dyDescent="0.35">
      <c r="B71" s="405" t="str">
        <f t="shared" si="33"/>
        <v>(+) Demurrage</v>
      </c>
      <c r="C71" s="411">
        <v>160</v>
      </c>
      <c r="E71" s="405" t="s">
        <v>1793</v>
      </c>
      <c r="F71" s="411">
        <v>0</v>
      </c>
      <c r="G71" s="405"/>
      <c r="H71" s="405" t="s">
        <v>1793</v>
      </c>
      <c r="I71" s="102">
        <v>0</v>
      </c>
      <c r="K71" s="405" t="s">
        <v>1793</v>
      </c>
      <c r="L71" s="102">
        <v>240</v>
      </c>
      <c r="V71" s="408" t="s">
        <v>1842</v>
      </c>
      <c r="W71" s="405">
        <v>108.88</v>
      </c>
      <c r="X71" s="405">
        <v>103.14</v>
      </c>
      <c r="Y71" s="405">
        <v>97.07</v>
      </c>
    </row>
    <row r="72" spans="2:27" x14ac:dyDescent="0.35">
      <c r="B72" s="405" t="str">
        <f t="shared" si="33"/>
        <v>(+) STS</v>
      </c>
      <c r="C72" s="411">
        <v>450</v>
      </c>
      <c r="E72" s="405" t="s">
        <v>1794</v>
      </c>
      <c r="F72" s="411">
        <v>0</v>
      </c>
      <c r="G72" s="405"/>
      <c r="H72" s="405" t="s">
        <v>1794</v>
      </c>
      <c r="I72" s="102">
        <v>0</v>
      </c>
      <c r="K72" s="405" t="s">
        <v>1794</v>
      </c>
      <c r="L72" s="102">
        <v>450</v>
      </c>
    </row>
    <row r="73" spans="2:27" x14ac:dyDescent="0.35">
      <c r="B73" s="405" t="str">
        <f t="shared" si="33"/>
        <v>(+) TVM</v>
      </c>
      <c r="C73" s="411">
        <v>632.01369863013701</v>
      </c>
      <c r="E73" s="405" t="s">
        <v>1795</v>
      </c>
      <c r="F73" s="411">
        <v>0</v>
      </c>
      <c r="G73" s="405"/>
      <c r="H73" s="405" t="s">
        <v>1795</v>
      </c>
      <c r="I73" s="102">
        <f>0.12*700</f>
        <v>84</v>
      </c>
      <c r="K73" s="405" t="s">
        <v>1795</v>
      </c>
      <c r="L73" s="102"/>
      <c r="V73" s="405" t="s">
        <v>1836</v>
      </c>
      <c r="W73" s="405" t="s">
        <v>1837</v>
      </c>
      <c r="X73" s="405" t="s">
        <v>1838</v>
      </c>
      <c r="Y73" s="405" t="s">
        <v>1092</v>
      </c>
      <c r="Z73" s="405" t="s">
        <v>1093</v>
      </c>
    </row>
    <row r="74" spans="2:27" ht="12.75" customHeight="1" x14ac:dyDescent="0.35">
      <c r="B74" s="405" t="str">
        <f t="shared" si="33"/>
        <v>(+) Other</v>
      </c>
      <c r="C74" s="411">
        <v>419.99999999999972</v>
      </c>
      <c r="E74" s="405" t="s">
        <v>1796</v>
      </c>
      <c r="F74" s="411">
        <v>0</v>
      </c>
      <c r="G74" s="405"/>
      <c r="H74" s="405" t="s">
        <v>1796</v>
      </c>
      <c r="I74" s="102">
        <v>0</v>
      </c>
      <c r="K74" s="405" t="s">
        <v>1796</v>
      </c>
      <c r="L74" s="102">
        <v>439.64750000000015</v>
      </c>
      <c r="V74" s="408" t="s">
        <v>1842</v>
      </c>
      <c r="W74" s="405">
        <v>108.88</v>
      </c>
      <c r="X74" s="405">
        <v>103.14</v>
      </c>
      <c r="Y74" s="405">
        <v>97.07</v>
      </c>
    </row>
    <row r="75" spans="2:27" x14ac:dyDescent="0.35">
      <c r="B75" s="412" t="s">
        <v>1801</v>
      </c>
      <c r="C75" s="411"/>
      <c r="E75" s="412" t="s">
        <v>1801</v>
      </c>
      <c r="F75" s="411"/>
      <c r="G75" s="405"/>
      <c r="H75" s="412" t="s">
        <v>1801</v>
      </c>
      <c r="I75" s="411"/>
      <c r="K75" s="412" t="s">
        <v>1801</v>
      </c>
      <c r="L75" s="411"/>
    </row>
    <row r="76" spans="2:27" x14ac:dyDescent="0.35">
      <c r="E76" s="405"/>
      <c r="G76" s="405"/>
      <c r="H76" s="405"/>
      <c r="K76" s="405"/>
    </row>
    <row r="77" spans="2:27" x14ac:dyDescent="0.35">
      <c r="B77" s="410" t="s">
        <v>1802</v>
      </c>
      <c r="C77" s="411">
        <f>SUM(C69:C74)</f>
        <v>16162.013698630137</v>
      </c>
      <c r="E77" s="410" t="s">
        <v>1802</v>
      </c>
      <c r="F77" s="411">
        <f>SUM(F69:F74)</f>
        <v>0</v>
      </c>
      <c r="H77" s="410" t="s">
        <v>1802</v>
      </c>
      <c r="I77" s="409">
        <f>SUM(I69:I74)</f>
        <v>3069.6997500000007</v>
      </c>
      <c r="K77" s="410" t="s">
        <v>1802</v>
      </c>
      <c r="L77" s="409">
        <f>SUM(L69:L74)</f>
        <v>17779.647499999999</v>
      </c>
    </row>
    <row r="78" spans="2:27" x14ac:dyDescent="0.35">
      <c r="H78" s="405">
        <v>7.25</v>
      </c>
      <c r="I78" s="405">
        <v>21.51</v>
      </c>
    </row>
    <row r="79" spans="2:27" x14ac:dyDescent="0.35">
      <c r="H79" s="405">
        <v>86.7</v>
      </c>
      <c r="I79" s="405">
        <v>70</v>
      </c>
    </row>
    <row r="80" spans="2:27" x14ac:dyDescent="0.35">
      <c r="H80" s="408">
        <v>155</v>
      </c>
      <c r="I80" s="408">
        <v>263</v>
      </c>
    </row>
    <row r="81" spans="1:37" ht="21" x14ac:dyDescent="0.5">
      <c r="B81" s="518" t="s">
        <v>1843</v>
      </c>
      <c r="C81" s="518"/>
      <c r="D81" s="518"/>
      <c r="E81" s="518"/>
      <c r="F81" s="518"/>
      <c r="G81" s="518"/>
      <c r="H81" s="518"/>
      <c r="I81" s="518"/>
      <c r="J81" s="518"/>
      <c r="K81" s="518"/>
      <c r="L81" s="518"/>
      <c r="M81" s="518"/>
      <c r="N81" s="518"/>
      <c r="O81" s="518"/>
    </row>
    <row r="82" spans="1:37" x14ac:dyDescent="0.35">
      <c r="A82" s="402">
        <f>'[3]HDO STS Apr26'!J44</f>
        <v>0.95125000000000004</v>
      </c>
      <c r="B82" s="405" t="s">
        <v>1804</v>
      </c>
      <c r="C82" s="138">
        <v>46080</v>
      </c>
      <c r="E82" s="407" t="s">
        <v>1804</v>
      </c>
      <c r="F82" s="138">
        <v>46097</v>
      </c>
      <c r="H82" s="405" t="s">
        <v>1804</v>
      </c>
      <c r="I82" s="138">
        <v>46098</v>
      </c>
      <c r="K82"/>
      <c r="L82"/>
      <c r="M82"/>
      <c r="N82"/>
      <c r="AK82" s="464"/>
    </row>
    <row r="83" spans="1:37" x14ac:dyDescent="0.35">
      <c r="B83" s="405" t="s">
        <v>1782</v>
      </c>
      <c r="C83" s="138">
        <v>46142</v>
      </c>
      <c r="E83" s="407" t="s">
        <v>1782</v>
      </c>
      <c r="F83" s="138">
        <v>46142</v>
      </c>
      <c r="H83" s="405" t="s">
        <v>1782</v>
      </c>
      <c r="I83" s="138">
        <v>46142</v>
      </c>
      <c r="K83"/>
      <c r="L83"/>
      <c r="M83"/>
      <c r="N83"/>
      <c r="AK83" s="464"/>
    </row>
    <row r="84" spans="1:37" x14ac:dyDescent="0.35">
      <c r="B84" s="405" t="s">
        <v>117</v>
      </c>
      <c r="C84" s="435" t="s">
        <v>1734</v>
      </c>
      <c r="E84" s="407" t="s">
        <v>117</v>
      </c>
      <c r="F84" s="435" t="s">
        <v>1736</v>
      </c>
      <c r="H84" s="405" t="s">
        <v>117</v>
      </c>
      <c r="I84" s="435" t="s">
        <v>1738</v>
      </c>
      <c r="K84"/>
      <c r="L84"/>
      <c r="M84"/>
      <c r="N84"/>
      <c r="AK84" s="464"/>
    </row>
    <row r="85" spans="1:37" x14ac:dyDescent="0.35">
      <c r="B85" s="405" t="s">
        <v>1784</v>
      </c>
      <c r="C85" s="406" t="str">
        <f>_xlfn.XLOOKUP(C84,Ledger[Cargo Name],Ledger[SAP Deal Number])</f>
        <v>HDH26HS00001</v>
      </c>
      <c r="E85" s="407" t="s">
        <v>1784</v>
      </c>
      <c r="F85" s="406" t="str">
        <f>_xlfn.XLOOKUP(F84,Ledger[Cargo Name],Ledger[SAP Deal Number])</f>
        <v>ARA26HS00044</v>
      </c>
      <c r="H85" s="405" t="s">
        <v>1784</v>
      </c>
      <c r="I85" s="406" t="str">
        <f>_xlfn.XLOOKUP(I84,Ledger[Cargo Name],Ledger[SAP Deal Number])</f>
        <v>ARA26HS00045</v>
      </c>
      <c r="K85"/>
      <c r="L85"/>
      <c r="M85"/>
      <c r="N85"/>
      <c r="AK85" s="464"/>
    </row>
    <row r="86" spans="1:37" x14ac:dyDescent="0.35">
      <c r="B86" s="405" t="s">
        <v>1785</v>
      </c>
      <c r="C86" s="406" t="str">
        <f>_xlfn.XLOOKUP(C84,Ledger[Cargo Name],Ledger[Size])</f>
        <v>FOB</v>
      </c>
      <c r="E86" s="405" t="s">
        <v>1785</v>
      </c>
      <c r="F86" s="406" t="str">
        <f>_xlfn.XLOOKUP(F84,Ledger[Cargo Name],Ledger[Size])</f>
        <v>Aframax</v>
      </c>
      <c r="H86" s="405" t="s">
        <v>1785</v>
      </c>
      <c r="I86" s="406" t="str">
        <f>_xlfn.XLOOKUP(I84,Ledger[Cargo Name],Ledger[Size])</f>
        <v>VLCC</v>
      </c>
      <c r="K86"/>
      <c r="L86"/>
      <c r="M86"/>
      <c r="N86"/>
      <c r="AK86" s="464"/>
    </row>
    <row r="87" spans="1:37" x14ac:dyDescent="0.35">
      <c r="B87" s="444" t="s">
        <v>1786</v>
      </c>
      <c r="C87" s="443">
        <f>'Trades 2026'!$H$325</f>
        <v>1900</v>
      </c>
      <c r="E87" s="434" t="s">
        <v>1786</v>
      </c>
      <c r="F87" s="433">
        <v>700</v>
      </c>
      <c r="H87" s="444" t="s">
        <v>1786</v>
      </c>
      <c r="I87" s="443">
        <f>'Trades 2026'!$H$405</f>
        <v>2065</v>
      </c>
      <c r="K87"/>
      <c r="L87"/>
      <c r="M87"/>
      <c r="N87"/>
    </row>
    <row r="88" spans="1:37" x14ac:dyDescent="0.35">
      <c r="B88" s="436"/>
      <c r="C88" s="442"/>
      <c r="E88" s="407"/>
      <c r="H88" s="436"/>
      <c r="I88" s="442"/>
      <c r="K88"/>
      <c r="L88"/>
      <c r="M88"/>
      <c r="N88"/>
    </row>
    <row r="89" spans="1:37" x14ac:dyDescent="0.35">
      <c r="B89" s="436" t="s">
        <v>1787</v>
      </c>
      <c r="C89" s="421">
        <f>AVERAGE(0.9,0.9,0.9)</f>
        <v>0.9</v>
      </c>
      <c r="E89" s="432" t="s">
        <v>1787</v>
      </c>
      <c r="F89" s="421">
        <v>2.2999999999999998</v>
      </c>
      <c r="H89" s="436" t="s">
        <v>1787</v>
      </c>
      <c r="I89" s="421">
        <v>2.7</v>
      </c>
      <c r="K89"/>
      <c r="L89"/>
      <c r="M89"/>
      <c r="N89"/>
    </row>
    <row r="90" spans="1:37" x14ac:dyDescent="0.35">
      <c r="B90" s="436" t="s">
        <v>1788</v>
      </c>
      <c r="C90" s="421">
        <f>0.45+((1400*0.37)/C87)</f>
        <v>0.72263157894736851</v>
      </c>
      <c r="E90" s="432" t="s">
        <v>1788</v>
      </c>
      <c r="F90" s="421">
        <v>0</v>
      </c>
      <c r="H90" s="436" t="s">
        <v>1788</v>
      </c>
      <c r="I90" s="421">
        <v>0.25</v>
      </c>
      <c r="K90"/>
      <c r="L90"/>
      <c r="M90"/>
      <c r="N90"/>
    </row>
    <row r="91" spans="1:37" ht="15" thickBot="1" x14ac:dyDescent="0.4">
      <c r="B91" s="439" t="s">
        <v>1789</v>
      </c>
      <c r="C91" s="417">
        <f>C90+C89</f>
        <v>1.6226315789473684</v>
      </c>
      <c r="E91" s="431" t="s">
        <v>1789</v>
      </c>
      <c r="F91" s="417">
        <f>F90+F89</f>
        <v>2.2999999999999998</v>
      </c>
      <c r="H91" s="439" t="s">
        <v>1789</v>
      </c>
      <c r="I91" s="417">
        <f>I90+I89</f>
        <v>2.95</v>
      </c>
      <c r="K91"/>
      <c r="L91"/>
      <c r="M91"/>
      <c r="N91"/>
    </row>
    <row r="92" spans="1:37" x14ac:dyDescent="0.35">
      <c r="B92" s="440" t="str">
        <f>"(+) "&amp;TEXT(EOMONTH(C83,0),"Mmm")&amp;"/"&amp;TEXT(EOMONTH(C83,1),"Mmm")&amp;" WTI"</f>
        <v>(+) Apr/May WTI</v>
      </c>
      <c r="C92" s="419">
        <v>0.16</v>
      </c>
      <c r="E92" s="430" t="str">
        <f>"(+) "&amp;TEXT(EOMONTH(F83,0),"Mmm")&amp;"/"&amp;TEXT(EOMONTH(F83,1),"Mmm")&amp;" WTI"</f>
        <v>(+) Apr/May WTI</v>
      </c>
      <c r="F92" s="419">
        <v>1.1299999999999999</v>
      </c>
      <c r="H92" s="440" t="str">
        <f>"(+) "&amp;TEXT(EOMONTH(I83,0),"Mmm")&amp;"/"&amp;TEXT(EOMONTH(I83,1),"Mmm")&amp;" WTI"</f>
        <v>(+) Apr/May WTI</v>
      </c>
      <c r="I92" s="419">
        <v>1</v>
      </c>
      <c r="K92"/>
      <c r="L92"/>
      <c r="M92"/>
      <c r="N92"/>
    </row>
    <row r="93" spans="1:37" x14ac:dyDescent="0.35">
      <c r="B93" s="405" t="str">
        <f>"(+) "&amp;TEXT(EOMONTH(C83,1),"Mmm")&amp;"/"&amp;TEXT(EOMONTH(C83,2),"Mmm")&amp;" WTI"</f>
        <v>(+) May/Jun WTI</v>
      </c>
      <c r="C93" s="429">
        <v>0.39</v>
      </c>
      <c r="E93" s="407" t="str">
        <f>"(+) "&amp;TEXT(EOMONTH(F83,1),"Mmm")&amp;"/"&amp;TEXT(EOMONTH(F83,2),"Mmm")&amp;" WTI"</f>
        <v>(+) May/Jun WTI</v>
      </c>
      <c r="F93" s="429"/>
      <c r="H93" s="405" t="str">
        <f>"(+) "&amp;TEXT(EOMONTH(I83,1),"Mmm")&amp;"/"&amp;TEXT(EOMONTH(I83,2),"Mmm")&amp;" WTI"</f>
        <v>(+) May/Jun WTI</v>
      </c>
      <c r="I93" s="429">
        <v>3.75</v>
      </c>
      <c r="K93"/>
      <c r="L93"/>
      <c r="M93"/>
      <c r="N93"/>
    </row>
    <row r="94" spans="1:37" ht="15" thickBot="1" x14ac:dyDescent="0.4">
      <c r="B94" s="405" t="str">
        <f>"(+) "&amp;TEXT(EOMONTH(C83,2),"Mmm")&amp;" WTI/Brent"</f>
        <v>(+) Jun WTI/Brent</v>
      </c>
      <c r="C94" s="417">
        <v>-5.8</v>
      </c>
      <c r="E94" s="428" t="s">
        <v>1844</v>
      </c>
      <c r="F94" s="417"/>
      <c r="H94" s="405" t="str">
        <f>"(+) "&amp;TEXT(EOMONTH(I83,2),"Mmm")&amp;" WTI/Brent"</f>
        <v>(+) Jun WTI/Brent</v>
      </c>
      <c r="I94" s="417">
        <v>-7.25</v>
      </c>
      <c r="K94"/>
      <c r="L94"/>
      <c r="M94"/>
      <c r="N94"/>
    </row>
    <row r="95" spans="1:37" x14ac:dyDescent="0.35">
      <c r="B95" s="441" t="s">
        <v>1790</v>
      </c>
      <c r="C95" s="426">
        <f>SUM(C91:C94)</f>
        <v>-3.6273684210526316</v>
      </c>
      <c r="E95" s="427" t="s">
        <v>1790</v>
      </c>
      <c r="F95" s="426">
        <f>SUM(F91:F94)</f>
        <v>3.4299999999999997</v>
      </c>
      <c r="H95" s="441" t="s">
        <v>1790</v>
      </c>
      <c r="I95" s="426">
        <f>SUM(I91:I94)</f>
        <v>0.45000000000000018</v>
      </c>
      <c r="K95"/>
      <c r="L95"/>
      <c r="M95"/>
      <c r="N95"/>
    </row>
    <row r="96" spans="1:37" x14ac:dyDescent="0.35">
      <c r="B96" s="436" t="s">
        <v>1791</v>
      </c>
      <c r="C96" s="421">
        <f t="shared" ref="C96:C101" si="34">C110/C$87</f>
        <v>0</v>
      </c>
      <c r="E96" s="425" t="s">
        <v>1791</v>
      </c>
      <c r="F96" s="421">
        <f t="shared" ref="F96:F101" si="35">F110/F$87</f>
        <v>0.2</v>
      </c>
      <c r="H96" s="436" t="s">
        <v>1791</v>
      </c>
      <c r="I96" s="421">
        <f t="shared" ref="I96:I101" si="36">I110/I$87</f>
        <v>10</v>
      </c>
      <c r="K96"/>
      <c r="L96"/>
      <c r="M96"/>
      <c r="N96"/>
    </row>
    <row r="97" spans="2:15" x14ac:dyDescent="0.35">
      <c r="B97" s="436" t="s">
        <v>1792</v>
      </c>
      <c r="C97" s="421">
        <f t="shared" si="34"/>
        <v>0</v>
      </c>
      <c r="E97" s="423" t="s">
        <v>1792</v>
      </c>
      <c r="F97" s="421">
        <f t="shared" si="35"/>
        <v>0</v>
      </c>
      <c r="H97" s="436" t="s">
        <v>1792</v>
      </c>
      <c r="I97" s="421">
        <f t="shared" si="36"/>
        <v>0</v>
      </c>
      <c r="K97"/>
      <c r="L97"/>
      <c r="M97"/>
      <c r="N97"/>
    </row>
    <row r="98" spans="2:15" x14ac:dyDescent="0.35">
      <c r="B98" s="436" t="s">
        <v>1793</v>
      </c>
      <c r="C98" s="421">
        <f t="shared" si="34"/>
        <v>0</v>
      </c>
      <c r="E98" s="423" t="s">
        <v>1793</v>
      </c>
      <c r="F98" s="421">
        <f t="shared" si="35"/>
        <v>0</v>
      </c>
      <c r="H98" s="436" t="s">
        <v>1793</v>
      </c>
      <c r="I98" s="421">
        <f t="shared" si="36"/>
        <v>0.11622276029055691</v>
      </c>
      <c r="K98"/>
      <c r="L98"/>
      <c r="M98"/>
      <c r="N98"/>
    </row>
    <row r="99" spans="2:15" x14ac:dyDescent="0.35">
      <c r="B99" s="436" t="s">
        <v>1794</v>
      </c>
      <c r="C99" s="421">
        <f t="shared" si="34"/>
        <v>0.19736842105263158</v>
      </c>
      <c r="E99" s="423" t="s">
        <v>1794</v>
      </c>
      <c r="F99" s="421">
        <f t="shared" si="35"/>
        <v>0</v>
      </c>
      <c r="H99" s="436" t="s">
        <v>1794</v>
      </c>
      <c r="I99" s="421">
        <f t="shared" si="36"/>
        <v>0.21791767554479419</v>
      </c>
      <c r="K99"/>
      <c r="L99"/>
      <c r="M99"/>
      <c r="N99"/>
    </row>
    <row r="100" spans="2:15" x14ac:dyDescent="0.35">
      <c r="B100" s="436" t="s">
        <v>1795</v>
      </c>
      <c r="C100" s="424">
        <f t="shared" si="34"/>
        <v>0</v>
      </c>
      <c r="E100" s="423" t="s">
        <v>1795</v>
      </c>
      <c r="F100" s="424">
        <v>0</v>
      </c>
      <c r="H100" s="436" t="s">
        <v>1795</v>
      </c>
      <c r="I100" s="421">
        <f t="shared" si="36"/>
        <v>0</v>
      </c>
      <c r="K100"/>
      <c r="L100"/>
      <c r="M100"/>
      <c r="N100"/>
    </row>
    <row r="101" spans="2:15" x14ac:dyDescent="0.35">
      <c r="B101" s="436" t="s">
        <v>1796</v>
      </c>
      <c r="C101" s="421">
        <f t="shared" si="34"/>
        <v>0</v>
      </c>
      <c r="E101" s="423" t="s">
        <v>1796</v>
      </c>
      <c r="F101" s="421">
        <f t="shared" si="35"/>
        <v>0</v>
      </c>
      <c r="H101" s="436" t="s">
        <v>1796</v>
      </c>
      <c r="I101" s="421">
        <f t="shared" si="36"/>
        <v>0.21290435835351096</v>
      </c>
      <c r="K101"/>
      <c r="L101"/>
      <c r="M101"/>
      <c r="N101"/>
      <c r="O101" s="405">
        <v>107.69</v>
      </c>
    </row>
    <row r="102" spans="2:15" x14ac:dyDescent="0.35">
      <c r="B102" s="436" t="str">
        <f>"(+) "&amp;TEXT(EOMONTH(C83,2),"Mmm")&amp;"/"&amp;TEXT(EOMONTH(C83,3),"Mmm")&amp;" Brent"</f>
        <v>(+) Jun/Jul Brent</v>
      </c>
      <c r="C102" s="421">
        <v>0.7</v>
      </c>
      <c r="E102" s="422" t="str">
        <f>"(+) "&amp;TEXT(EOMONTH(F83,2),"Mmm")&amp;"/"&amp;TEXT(EOMONTH(F83,3),"Mmm")&amp;" Brent"</f>
        <v>(+) Jun/Jul Brent</v>
      </c>
      <c r="F102" s="421"/>
      <c r="H102" s="436" t="str">
        <f>"(+) "&amp;TEXT(EOMONTH(I83,2),"Mmm")&amp;"/"&amp;TEXT(EOMONTH(I83,3),"Mmm")&amp;" Brent"</f>
        <v>(+) Jun/Jul Brent</v>
      </c>
      <c r="I102" s="421">
        <v>4.28</v>
      </c>
      <c r="K102"/>
      <c r="L102"/>
      <c r="M102"/>
      <c r="N102"/>
      <c r="O102" s="405">
        <v>11.13</v>
      </c>
    </row>
    <row r="103" spans="2:15" ht="15" thickBot="1" x14ac:dyDescent="0.4">
      <c r="B103" s="439" t="str">
        <f>"(-) "&amp;TEXT(EOMONTH(C83,1),"Mmm")&amp;" BD"</f>
        <v>(-) May BD</v>
      </c>
      <c r="C103" s="417">
        <v>1.242</v>
      </c>
      <c r="E103" s="420" t="str">
        <f>"(-) "&amp;TEXT(EOMONTH(F83,1),"Mmm")&amp;" DFL"</f>
        <v>(-) May DFL</v>
      </c>
      <c r="F103" s="417"/>
      <c r="H103" s="439" t="str">
        <f>"(-) "&amp;TEXT(EOMONTH(I83,1),"Mmm")&amp;" DFL"</f>
        <v>(-) May DFL</v>
      </c>
      <c r="I103" s="417">
        <v>-4.1500000000000004</v>
      </c>
      <c r="K103"/>
      <c r="L103"/>
      <c r="M103"/>
      <c r="N103"/>
      <c r="O103" s="405">
        <v>-9.9</v>
      </c>
    </row>
    <row r="104" spans="2:15" x14ac:dyDescent="0.35">
      <c r="B104" s="440" t="s">
        <v>1797</v>
      </c>
      <c r="C104" s="419">
        <f>SUM(C95:C101)+C102+C103</f>
        <v>-1.4880000000000004</v>
      </c>
      <c r="E104" s="418" t="s">
        <v>1797</v>
      </c>
      <c r="F104" s="419">
        <f>SUM(F95:F101)+F102-F103</f>
        <v>3.63</v>
      </c>
      <c r="H104" s="440" t="s">
        <v>1797</v>
      </c>
      <c r="I104" s="419">
        <f>SUM(I95:I101)+I102+I103</f>
        <v>11.12704479418886</v>
      </c>
      <c r="K104"/>
      <c r="L104"/>
      <c r="M104"/>
      <c r="N104"/>
      <c r="O104" s="405">
        <f>SUM(O101:O103)</f>
        <v>108.91999999999999</v>
      </c>
    </row>
    <row r="105" spans="2:15" ht="15" thickBot="1" x14ac:dyDescent="0.4">
      <c r="B105" s="439" t="s">
        <v>1798</v>
      </c>
      <c r="C105" s="438">
        <f>-1.9+A82</f>
        <v>-0.94874999999999987</v>
      </c>
      <c r="E105" s="418" t="s">
        <v>1798</v>
      </c>
      <c r="F105" s="417">
        <v>3.43</v>
      </c>
      <c r="H105" s="439" t="s">
        <v>1798</v>
      </c>
      <c r="I105" s="438">
        <v>11.13</v>
      </c>
      <c r="K105"/>
      <c r="L105"/>
      <c r="M105"/>
      <c r="N105"/>
    </row>
    <row r="106" spans="2:15" ht="15" thickBot="1" x14ac:dyDescent="0.4">
      <c r="B106" s="437" t="s">
        <v>1799</v>
      </c>
      <c r="C106" s="415">
        <f>C105-C104</f>
        <v>0.53925000000000056</v>
      </c>
      <c r="E106" s="416" t="s">
        <v>1799</v>
      </c>
      <c r="F106" s="415">
        <f>F105-F104</f>
        <v>-0.19999999999999973</v>
      </c>
      <c r="H106" s="437" t="s">
        <v>1799</v>
      </c>
      <c r="I106" s="415">
        <f>I105-I104</f>
        <v>2.9552058111406154E-3</v>
      </c>
      <c r="K106"/>
      <c r="L106"/>
      <c r="M106"/>
      <c r="N106"/>
    </row>
    <row r="107" spans="2:15" x14ac:dyDescent="0.35">
      <c r="B107" s="436" t="s">
        <v>1800</v>
      </c>
      <c r="C107" s="413">
        <f>C106*C87</f>
        <v>1024.575000000001</v>
      </c>
      <c r="E107" s="414" t="s">
        <v>1800</v>
      </c>
      <c r="F107" s="413">
        <f>F106*F87</f>
        <v>-139.9999999999998</v>
      </c>
      <c r="H107" s="436" t="s">
        <v>1800</v>
      </c>
      <c r="I107" s="413">
        <f>I106*I87</f>
        <v>6.1025000000053709</v>
      </c>
      <c r="K107"/>
      <c r="L107"/>
      <c r="M107"/>
      <c r="N107"/>
    </row>
    <row r="108" spans="2:15" x14ac:dyDescent="0.35">
      <c r="E108" s="407"/>
      <c r="H108" s="405"/>
      <c r="K108"/>
      <c r="L108"/>
      <c r="M108"/>
      <c r="N108"/>
    </row>
    <row r="109" spans="2:15" x14ac:dyDescent="0.35">
      <c r="C109" s="406" t="str">
        <f>C85</f>
        <v>HDH26HS00001</v>
      </c>
      <c r="E109" s="407"/>
      <c r="F109" s="406" t="str">
        <f>F85</f>
        <v>ARA26HS00044</v>
      </c>
      <c r="H109" s="405"/>
      <c r="I109" s="406" t="str">
        <f>I85</f>
        <v>ARA26HS00045</v>
      </c>
      <c r="K109"/>
      <c r="L109"/>
      <c r="M109"/>
      <c r="N109"/>
    </row>
    <row r="110" spans="2:15" x14ac:dyDescent="0.35">
      <c r="B110" s="405" t="str">
        <f t="shared" ref="B110:B115" si="37">B96</f>
        <v>(+) Freight</v>
      </c>
      <c r="C110" s="411">
        <v>0</v>
      </c>
      <c r="E110" s="405" t="s">
        <v>1791</v>
      </c>
      <c r="F110" s="102">
        <f>1400*0.1</f>
        <v>140</v>
      </c>
      <c r="H110" s="405" t="str">
        <f t="shared" ref="H110:H115" si="38">H96</f>
        <v>(+) Freight</v>
      </c>
      <c r="I110" s="411">
        <v>20650</v>
      </c>
      <c r="K110"/>
      <c r="L110"/>
      <c r="M110"/>
      <c r="N110"/>
    </row>
    <row r="111" spans="2:15" x14ac:dyDescent="0.35">
      <c r="B111" s="405" t="str">
        <f t="shared" si="37"/>
        <v>(-) TD7 Freight*</v>
      </c>
      <c r="C111" s="411"/>
      <c r="E111" s="405" t="s">
        <v>1792</v>
      </c>
      <c r="F111" s="102">
        <v>0</v>
      </c>
      <c r="H111" s="405" t="str">
        <f t="shared" si="38"/>
        <v>(-) TD7 Freight*</v>
      </c>
      <c r="I111" s="411">
        <v>0</v>
      </c>
      <c r="K111"/>
      <c r="L111"/>
      <c r="M111"/>
      <c r="N111"/>
    </row>
    <row r="112" spans="2:15" x14ac:dyDescent="0.35">
      <c r="B112" s="405" t="str">
        <f t="shared" si="37"/>
        <v>(+) Demurrage</v>
      </c>
      <c r="C112" s="411"/>
      <c r="E112" s="405" t="s">
        <v>1793</v>
      </c>
      <c r="F112" s="102">
        <v>0</v>
      </c>
      <c r="H112" s="405" t="str">
        <f t="shared" si="38"/>
        <v>(+) Demurrage</v>
      </c>
      <c r="I112" s="411">
        <v>240</v>
      </c>
      <c r="K112"/>
      <c r="L112"/>
      <c r="M112"/>
      <c r="N112"/>
    </row>
    <row r="113" spans="2:36" x14ac:dyDescent="0.35">
      <c r="B113" s="405" t="str">
        <f t="shared" si="37"/>
        <v>(+) STS</v>
      </c>
      <c r="C113" s="411">
        <f>375</f>
        <v>375</v>
      </c>
      <c r="E113" s="405" t="s">
        <v>1794</v>
      </c>
      <c r="F113" s="102">
        <v>0</v>
      </c>
      <c r="H113" s="405" t="str">
        <f t="shared" si="38"/>
        <v>(+) STS</v>
      </c>
      <c r="I113" s="411">
        <v>450</v>
      </c>
      <c r="K113"/>
      <c r="L113"/>
      <c r="M113"/>
      <c r="N113"/>
    </row>
    <row r="114" spans="2:36" x14ac:dyDescent="0.35">
      <c r="B114" s="405" t="str">
        <f t="shared" si="37"/>
        <v>(+) TVM</v>
      </c>
      <c r="C114" s="411"/>
      <c r="E114" s="405" t="s">
        <v>1795</v>
      </c>
      <c r="F114" s="102">
        <v>0</v>
      </c>
      <c r="H114" s="405" t="str">
        <f t="shared" si="38"/>
        <v>(+) TVM</v>
      </c>
      <c r="I114" s="411">
        <v>0</v>
      </c>
      <c r="K114"/>
      <c r="L114"/>
      <c r="M114"/>
      <c r="N114"/>
    </row>
    <row r="115" spans="2:36" x14ac:dyDescent="0.35">
      <c r="B115" s="405" t="str">
        <f t="shared" si="37"/>
        <v>(+) Other</v>
      </c>
      <c r="C115" s="411"/>
      <c r="E115" s="405" t="s">
        <v>1796</v>
      </c>
      <c r="F115" s="102">
        <v>0</v>
      </c>
      <c r="H115" s="405" t="str">
        <f t="shared" si="38"/>
        <v>(+) Other</v>
      </c>
      <c r="I115" s="411">
        <v>439.64750000000015</v>
      </c>
      <c r="K115"/>
      <c r="L115"/>
      <c r="M115"/>
      <c r="N115"/>
    </row>
    <row r="116" spans="2:36" x14ac:dyDescent="0.35">
      <c r="B116" s="412" t="s">
        <v>1801</v>
      </c>
      <c r="C116" s="411"/>
      <c r="E116" s="412" t="s">
        <v>1801</v>
      </c>
      <c r="F116" s="411"/>
      <c r="H116" s="412" t="s">
        <v>1801</v>
      </c>
      <c r="I116" s="411"/>
      <c r="K116"/>
      <c r="L116"/>
      <c r="M116"/>
      <c r="N116"/>
    </row>
    <row r="117" spans="2:36" x14ac:dyDescent="0.35">
      <c r="E117" s="405"/>
      <c r="H117" s="405"/>
      <c r="K117"/>
      <c r="L117"/>
      <c r="M117"/>
      <c r="N117"/>
    </row>
    <row r="118" spans="2:36" x14ac:dyDescent="0.35">
      <c r="B118" s="410" t="s">
        <v>1802</v>
      </c>
      <c r="C118" s="411">
        <f>SUM(C110:C115)</f>
        <v>375</v>
      </c>
      <c r="E118" s="410" t="s">
        <v>1802</v>
      </c>
      <c r="F118" s="409">
        <f>SUM(F110:F115)</f>
        <v>140</v>
      </c>
      <c r="H118" s="410" t="s">
        <v>1802</v>
      </c>
      <c r="I118" s="411">
        <f>SUM(I110:I115)</f>
        <v>21779.647499999999</v>
      </c>
      <c r="K118"/>
      <c r="L118"/>
      <c r="M118"/>
      <c r="N118"/>
    </row>
    <row r="119" spans="2:36" x14ac:dyDescent="0.35">
      <c r="E119" s="405">
        <v>7.25</v>
      </c>
      <c r="F119" s="405">
        <v>21.51</v>
      </c>
      <c r="H119"/>
      <c r="I119"/>
      <c r="K119"/>
      <c r="L119"/>
      <c r="M119"/>
      <c r="N119"/>
    </row>
    <row r="120" spans="2:36" x14ac:dyDescent="0.35">
      <c r="E120" s="405">
        <v>86.7</v>
      </c>
      <c r="F120" s="405">
        <v>70</v>
      </c>
      <c r="H120"/>
      <c r="I120"/>
      <c r="K120"/>
      <c r="L120"/>
      <c r="M120"/>
      <c r="N120"/>
      <c r="W120" s="405">
        <v>9.25</v>
      </c>
      <c r="X120" s="405">
        <v>6.7</v>
      </c>
    </row>
    <row r="121" spans="2:36" x14ac:dyDescent="0.35">
      <c r="E121" s="408">
        <v>155</v>
      </c>
      <c r="F121" s="408">
        <v>265</v>
      </c>
      <c r="H121"/>
      <c r="I121"/>
      <c r="K121"/>
      <c r="L121"/>
      <c r="M121"/>
      <c r="N121"/>
      <c r="Z121" s="405" t="s">
        <v>1093</v>
      </c>
    </row>
    <row r="122" spans="2:36" ht="21" x14ac:dyDescent="0.5">
      <c r="B122" s="518" t="s">
        <v>1845</v>
      </c>
      <c r="C122" s="518"/>
      <c r="D122" s="518"/>
      <c r="E122" s="518"/>
      <c r="F122" s="518"/>
      <c r="G122" s="518"/>
      <c r="H122" s="518"/>
      <c r="I122" s="518"/>
      <c r="J122" s="518"/>
      <c r="K122" s="518"/>
      <c r="L122" s="518"/>
      <c r="M122" s="518"/>
      <c r="N122" s="518"/>
      <c r="O122" s="518"/>
    </row>
    <row r="123" spans="2:36" x14ac:dyDescent="0.35">
      <c r="B123" s="407" t="s">
        <v>1804</v>
      </c>
      <c r="C123" s="138">
        <v>46097</v>
      </c>
      <c r="E123" s="405" t="s">
        <v>1804</v>
      </c>
      <c r="F123" s="138">
        <v>46108</v>
      </c>
      <c r="H123" s="405" t="s">
        <v>1804</v>
      </c>
      <c r="I123" s="138">
        <v>46134</v>
      </c>
      <c r="K123"/>
      <c r="L123"/>
      <c r="M123"/>
      <c r="N123"/>
    </row>
    <row r="124" spans="2:36" x14ac:dyDescent="0.35">
      <c r="B124" s="407" t="s">
        <v>1782</v>
      </c>
      <c r="C124" s="138">
        <v>46173</v>
      </c>
      <c r="E124" s="405" t="s">
        <v>1782</v>
      </c>
      <c r="F124" s="138">
        <v>46173</v>
      </c>
      <c r="H124" s="405" t="s">
        <v>1782</v>
      </c>
      <c r="I124" s="138">
        <v>46173</v>
      </c>
      <c r="K124"/>
      <c r="L124"/>
      <c r="M124"/>
      <c r="N124"/>
    </row>
    <row r="125" spans="2:36" x14ac:dyDescent="0.35">
      <c r="B125" s="407" t="s">
        <v>117</v>
      </c>
      <c r="C125" s="435" t="s">
        <v>1735</v>
      </c>
      <c r="E125" s="405" t="s">
        <v>117</v>
      </c>
      <c r="F125" s="435" t="s">
        <v>1740</v>
      </c>
      <c r="H125" s="405" t="s">
        <v>117</v>
      </c>
      <c r="I125" s="435" t="s">
        <v>1741</v>
      </c>
      <c r="K125"/>
      <c r="L125"/>
      <c r="M125"/>
      <c r="N125"/>
    </row>
    <row r="126" spans="2:36" x14ac:dyDescent="0.35">
      <c r="B126" s="407" t="s">
        <v>1784</v>
      </c>
      <c r="C126" s="406" t="str">
        <f>_xlfn.XLOOKUP(C125,Ledger[Cargo Name],Ledger[SAP Deal Number])</f>
        <v>ARA26HS00044-2</v>
      </c>
      <c r="E126" s="405" t="s">
        <v>1784</v>
      </c>
      <c r="F126" s="406" t="str">
        <f>_xlfn.XLOOKUP(F125,Ledger[Cargo Name],Ledger[SAP Deal Number])</f>
        <v>ARA26HS00053</v>
      </c>
      <c r="H126" s="405" t="s">
        <v>1784</v>
      </c>
      <c r="I126" s="406" t="str">
        <f>_xlfn.XLOOKUP(I125,Ledger[Cargo Name],Ledger[SAP Deal Number])</f>
        <v>ENE26HS00007</v>
      </c>
    </row>
    <row r="127" spans="2:36" x14ac:dyDescent="0.35">
      <c r="B127" s="405" t="s">
        <v>1785</v>
      </c>
      <c r="C127" s="406" t="str">
        <f>_xlfn.XLOOKUP(C125,Ledger[Cargo Name],Ledger[Size])</f>
        <v>Aframax</v>
      </c>
      <c r="E127" s="405" t="s">
        <v>1785</v>
      </c>
      <c r="F127" s="406" t="str">
        <f>_xlfn.XLOOKUP(F125,Ledger[Cargo Name],Ledger[Size])</f>
        <v>VLCC</v>
      </c>
      <c r="H127" s="405" t="s">
        <v>1785</v>
      </c>
      <c r="I127" s="406" t="str">
        <f>_xlfn.XLOOKUP(I125,Ledger[Cargo Name],Ledger[Size])</f>
        <v>VLCC</v>
      </c>
      <c r="O127" s="405" t="s">
        <v>1846</v>
      </c>
      <c r="AA127" s="405" t="s">
        <v>1847</v>
      </c>
    </row>
    <row r="128" spans="2:36" x14ac:dyDescent="0.35">
      <c r="B128" s="434" t="s">
        <v>1786</v>
      </c>
      <c r="C128" s="433">
        <v>700</v>
      </c>
      <c r="E128" s="444" t="s">
        <v>1786</v>
      </c>
      <c r="F128" s="443">
        <f>'Trades 2026'!$H$457</f>
        <v>2065</v>
      </c>
      <c r="H128" s="444" t="s">
        <v>1786</v>
      </c>
      <c r="I128" s="443">
        <f>'Trades 2026'!$H$502</f>
        <v>2139</v>
      </c>
      <c r="O128" s="405" t="str">
        <f t="shared" ref="O128:U128" si="39">AD45</f>
        <v>Deal</v>
      </c>
      <c r="P128" s="405" t="str">
        <f t="shared" si="39"/>
        <v>Volume</v>
      </c>
      <c r="Q128" s="405" t="str">
        <f t="shared" si="39"/>
        <v>Contract Price</v>
      </c>
      <c r="R128" s="405" t="str">
        <f t="shared" si="39"/>
        <v>Costs</v>
      </c>
      <c r="S128" s="405" t="str">
        <f t="shared" si="39"/>
        <v>Mark (MEH FOB)</v>
      </c>
      <c r="T128" s="405" t="str">
        <f t="shared" si="39"/>
        <v>Margin</v>
      </c>
      <c r="U128" s="405" t="str">
        <f t="shared" si="39"/>
        <v>PnL</v>
      </c>
      <c r="V128" s="405" t="s">
        <v>1782</v>
      </c>
      <c r="X128" s="405" t="s">
        <v>1848</v>
      </c>
      <c r="AA128" s="405" t="s">
        <v>1809</v>
      </c>
      <c r="AB128" s="405" t="s">
        <v>1786</v>
      </c>
      <c r="AC128" s="405" t="s">
        <v>1810</v>
      </c>
      <c r="AD128" s="405" t="s">
        <v>1806</v>
      </c>
      <c r="AE128" s="405" t="s">
        <v>1811</v>
      </c>
      <c r="AF128" s="405" t="s">
        <v>1808</v>
      </c>
      <c r="AG128" s="405" t="s">
        <v>115</v>
      </c>
      <c r="AH128" s="405" t="s">
        <v>1782</v>
      </c>
      <c r="AJ128" s="405" t="s">
        <v>1848</v>
      </c>
    </row>
    <row r="129" spans="2:37" x14ac:dyDescent="0.35">
      <c r="B129" s="407"/>
      <c r="E129" s="436"/>
      <c r="F129" s="442"/>
      <c r="H129" s="436"/>
      <c r="I129" s="442"/>
      <c r="O129" s="405" t="str">
        <f>AD56</f>
        <v>ENE26HS00007</v>
      </c>
      <c r="P129" s="467">
        <f>-I128</f>
        <v>-2139</v>
      </c>
      <c r="Q129" s="405">
        <v>108.373</v>
      </c>
      <c r="R129" s="463">
        <f>AG56</f>
        <v>9.0004675081813943</v>
      </c>
      <c r="S129" s="463">
        <f>_xlfn.XLOOKUP(V129,$X$129:$X$130,$Y$129:$Y$130)</f>
        <v>69.59</v>
      </c>
      <c r="T129" s="463">
        <f>((Q129-R129)-S129)</f>
        <v>29.782532491818614</v>
      </c>
      <c r="U129" s="464">
        <f>T129*-P129</f>
        <v>63704.837000000014</v>
      </c>
      <c r="V129" s="491" t="s">
        <v>1092</v>
      </c>
      <c r="X129" s="405" t="s">
        <v>1092</v>
      </c>
      <c r="Y129" s="405">
        <v>69.59</v>
      </c>
      <c r="AA129" s="464" t="s">
        <v>1815</v>
      </c>
      <c r="AB129" s="467">
        <v>2000</v>
      </c>
      <c r="AC129" s="464">
        <v>119.59699999999999</v>
      </c>
      <c r="AD129" s="463">
        <v>0</v>
      </c>
      <c r="AE129" s="463">
        <v>88.54</v>
      </c>
      <c r="AF129" s="463">
        <v>31.056999999999988</v>
      </c>
      <c r="AG129" s="464">
        <v>-62113.999999999978</v>
      </c>
      <c r="AH129" s="491" t="s">
        <v>1838</v>
      </c>
      <c r="AJ129" s="405" t="s">
        <v>1838</v>
      </c>
      <c r="AK129" s="405">
        <v>88.54</v>
      </c>
    </row>
    <row r="130" spans="2:37" x14ac:dyDescent="0.35">
      <c r="B130" s="432" t="s">
        <v>1787</v>
      </c>
      <c r="C130" s="421">
        <v>2.2999999999999998</v>
      </c>
      <c r="E130" s="436" t="s">
        <v>1787</v>
      </c>
      <c r="F130" s="421">
        <v>3.8</v>
      </c>
      <c r="H130" s="436" t="s">
        <v>1787</v>
      </c>
      <c r="I130" s="421">
        <v>4.5</v>
      </c>
      <c r="O130" s="405" t="s">
        <v>1849</v>
      </c>
      <c r="P130" s="467">
        <f>-L168</f>
        <v>-2124</v>
      </c>
      <c r="Q130" s="405">
        <v>92.424000000000007</v>
      </c>
      <c r="R130" s="464">
        <f>SUM(L177:L182)</f>
        <v>8.9623352165725052</v>
      </c>
      <c r="S130" s="463">
        <f>_xlfn.XLOOKUP(V130,$X$129:$X$130,$Y$129:$Y$130)</f>
        <v>69.59</v>
      </c>
      <c r="T130" s="463">
        <f t="shared" ref="T130" si="40">((Q130-R130)-S130)</f>
        <v>13.871664783427491</v>
      </c>
      <c r="U130" s="464">
        <f t="shared" ref="U130" si="41">T130*-P130</f>
        <v>29463.41599999999</v>
      </c>
      <c r="V130" s="474" t="s">
        <v>1092</v>
      </c>
      <c r="AA130" s="464" t="s">
        <v>1817</v>
      </c>
      <c r="AB130" s="467">
        <v>-2000</v>
      </c>
      <c r="AC130" s="464">
        <v>119.82</v>
      </c>
      <c r="AD130" s="463">
        <v>0</v>
      </c>
      <c r="AE130" s="463">
        <v>88.54</v>
      </c>
      <c r="AF130" s="463">
        <v>31.279999999999987</v>
      </c>
      <c r="AG130" s="464">
        <v>62559.999999999971</v>
      </c>
      <c r="AH130" s="491" t="s">
        <v>1838</v>
      </c>
      <c r="AJ130" s="405" t="s">
        <v>1092</v>
      </c>
      <c r="AK130" s="405">
        <v>86.92</v>
      </c>
    </row>
    <row r="131" spans="2:37" x14ac:dyDescent="0.35">
      <c r="B131" s="432" t="s">
        <v>1788</v>
      </c>
      <c r="C131" s="421">
        <v>0.5</v>
      </c>
      <c r="E131" s="436" t="s">
        <v>1788</v>
      </c>
      <c r="F131" s="421">
        <v>2</v>
      </c>
      <c r="H131" s="436" t="s">
        <v>1788</v>
      </c>
      <c r="I131" s="421">
        <v>3.8</v>
      </c>
      <c r="O131" s="405" t="s">
        <v>1850</v>
      </c>
      <c r="P131" s="405">
        <v>-2122</v>
      </c>
      <c r="Q131" s="405">
        <v>93.581000000000003</v>
      </c>
      <c r="R131" s="464">
        <f>SUM(O177:O182)</f>
        <v>9.9754948162111212</v>
      </c>
      <c r="S131" s="463">
        <f>_xlfn.XLOOKUP(V131,$X$129:$X$130,$Y$129:$Y$130)</f>
        <v>69.59</v>
      </c>
      <c r="T131" s="463">
        <f t="shared" ref="T131" si="42">((Q131-R131)-S131)</f>
        <v>14.015505183788875</v>
      </c>
      <c r="U131" s="464">
        <f t="shared" ref="U131" si="43">T131*-P131</f>
        <v>29740.901999999991</v>
      </c>
      <c r="V131" s="405" t="s">
        <v>1092</v>
      </c>
      <c r="AA131" s="464" t="s">
        <v>1820</v>
      </c>
      <c r="AB131" s="467">
        <v>-2065</v>
      </c>
      <c r="AC131" s="464">
        <v>115.94</v>
      </c>
      <c r="AD131" s="463">
        <v>11.304866828087167</v>
      </c>
      <c r="AE131" s="463">
        <v>88.54</v>
      </c>
      <c r="AF131" s="463">
        <v>16.095133171912821</v>
      </c>
      <c r="AG131" s="464">
        <v>33236.449999999975</v>
      </c>
      <c r="AH131" s="491" t="s">
        <v>1838</v>
      </c>
    </row>
    <row r="132" spans="2:37" ht="15" thickBot="1" x14ac:dyDescent="0.4">
      <c r="B132" s="431" t="s">
        <v>1789</v>
      </c>
      <c r="C132" s="417">
        <f>C131+C130</f>
        <v>2.8</v>
      </c>
      <c r="E132" s="439" t="s">
        <v>1789</v>
      </c>
      <c r="F132" s="417">
        <f>F131+F130</f>
        <v>5.8</v>
      </c>
      <c r="H132" s="439" t="s">
        <v>1789</v>
      </c>
      <c r="I132" s="417">
        <f>I131+I130</f>
        <v>8.3000000000000007</v>
      </c>
      <c r="O132" s="464"/>
      <c r="P132" s="467"/>
      <c r="Q132" s="464"/>
      <c r="R132" s="463"/>
      <c r="S132" s="463"/>
      <c r="T132" s="463"/>
      <c r="U132" s="464"/>
      <c r="V132" s="491"/>
      <c r="AA132" s="464" t="s">
        <v>1830</v>
      </c>
      <c r="AB132" s="467">
        <v>-700</v>
      </c>
      <c r="AC132" s="464">
        <v>118.06</v>
      </c>
      <c r="AD132" s="463">
        <v>6.6494</v>
      </c>
      <c r="AE132" s="463">
        <v>88.54</v>
      </c>
      <c r="AF132" s="463">
        <v>22.870599999999996</v>
      </c>
      <c r="AG132" s="464">
        <v>16009.419999999996</v>
      </c>
      <c r="AH132" s="491" t="s">
        <v>1838</v>
      </c>
    </row>
    <row r="133" spans="2:37" x14ac:dyDescent="0.35">
      <c r="B133" s="430" t="str">
        <f>"(+) "&amp;TEXT(EOMONTH(C124,0),"Mmm")&amp;"/"&amp;TEXT(EOMONTH(C124,1),"Mmm")&amp;" WTI"</f>
        <v>(+) May/Jun WTI</v>
      </c>
      <c r="C133" s="419"/>
      <c r="E133" s="440" t="str">
        <f>"(+) "&amp;TEXT(EOMONTH(F124,0),"Mmm")&amp;"/"&amp;TEXT(EOMONTH(F124,1),"Mmm")&amp;" WTI"</f>
        <v>(+) May/Jun WTI</v>
      </c>
      <c r="F133" s="419">
        <v>4.78</v>
      </c>
      <c r="H133" s="440" t="str">
        <f>"(+) "&amp;TEXT(EOMONTH(I124,0),"Mmm")&amp;"/"&amp;TEXT(EOMONTH(I124,1),"Mmm")&amp;" WTI"</f>
        <v>(+) May/Jun WTI</v>
      </c>
      <c r="I133" s="419">
        <v>9.59</v>
      </c>
      <c r="O133" s="408" t="s">
        <v>1828</v>
      </c>
      <c r="P133" s="408"/>
      <c r="Q133" s="408"/>
      <c r="R133" s="408"/>
      <c r="S133" s="408"/>
      <c r="T133" s="408"/>
      <c r="U133" s="492">
        <f>SUM(U129:U132)</f>
        <v>122909.15499999998</v>
      </c>
      <c r="V133" s="491"/>
      <c r="AA133" s="464" t="s">
        <v>1832</v>
      </c>
      <c r="AB133" s="467">
        <v>-700</v>
      </c>
      <c r="AC133" s="464">
        <v>118.06</v>
      </c>
      <c r="AD133" s="463">
        <v>6.6494</v>
      </c>
      <c r="AE133" s="463">
        <v>86.92</v>
      </c>
      <c r="AF133" s="463">
        <v>24.490600000000001</v>
      </c>
      <c r="AG133" s="464">
        <v>17143.420000000002</v>
      </c>
      <c r="AH133" s="491" t="s">
        <v>1092</v>
      </c>
    </row>
    <row r="134" spans="2:37" x14ac:dyDescent="0.35">
      <c r="B134" s="407" t="str">
        <f>"(+) "&amp;TEXT(EOMONTH(C124,1),"Mmm")&amp;"/"&amp;TEXT(EOMONTH(C124,2),"Mmm")&amp;" WTI"</f>
        <v>(+) Jun/Jul WTI</v>
      </c>
      <c r="C134" s="429"/>
      <c r="E134" s="405" t="str">
        <f>"(+) "&amp;TEXT(EOMONTH(F124,1),"Mmm")&amp;"/"&amp;TEXT(EOMONTH(F124,2),"Mmm")&amp;" WTI"</f>
        <v>(+) Jun/Jul WTI</v>
      </c>
      <c r="F134" s="429">
        <f>8.37-F133</f>
        <v>3.589999999999999</v>
      </c>
      <c r="H134" s="405" t="str">
        <f>"(+) "&amp;TEXT(EOMONTH(I124,1),"Mmm")&amp;"/"&amp;TEXT(EOMONTH(I124,2),"Mmm")&amp;" WTI"</f>
        <v>(+) Jun/Jul WTI</v>
      </c>
      <c r="I134" s="429"/>
      <c r="AA134" s="405" t="s">
        <v>1827</v>
      </c>
      <c r="AB134" s="467">
        <v>-2000</v>
      </c>
      <c r="AC134" s="405">
        <v>114.91</v>
      </c>
      <c r="AD134" s="463">
        <v>9.0004675081813943</v>
      </c>
      <c r="AE134" s="463">
        <v>88.54</v>
      </c>
      <c r="AF134" s="463">
        <v>17.369532491818589</v>
      </c>
      <c r="AG134" s="464">
        <v>34739.064983637181</v>
      </c>
      <c r="AH134" s="491" t="s">
        <v>1838</v>
      </c>
    </row>
    <row r="135" spans="2:37" ht="15" thickBot="1" x14ac:dyDescent="0.4">
      <c r="B135" s="428" t="s">
        <v>1844</v>
      </c>
      <c r="C135" s="417"/>
      <c r="E135" s="405" t="str">
        <f>"(+) "&amp;TEXT(EOMONTH(F124,2),"Mmm")&amp;" WTI/Brent"</f>
        <v>(+) Jul WTI/Brent</v>
      </c>
      <c r="F135" s="417">
        <v>-8.25</v>
      </c>
      <c r="H135" s="405" t="str">
        <f>"(+) "&amp;TEXT(EOMONTH(I124,2),"Mmm")&amp;" WTI/Brent"</f>
        <v>(+) Jul WTI/Brent</v>
      </c>
      <c r="I135" s="417"/>
      <c r="AA135" s="405" t="s">
        <v>1851</v>
      </c>
      <c r="AB135" s="467">
        <v>700</v>
      </c>
      <c r="AC135" s="405">
        <v>91.72</v>
      </c>
      <c r="AD135" s="405">
        <v>0</v>
      </c>
      <c r="AE135" s="463">
        <v>86.92</v>
      </c>
      <c r="AF135" s="463">
        <v>4.7999999999999972</v>
      </c>
      <c r="AG135" s="464">
        <v>-3359.9999999999982</v>
      </c>
      <c r="AH135" s="405" t="s">
        <v>1092</v>
      </c>
    </row>
    <row r="136" spans="2:37" x14ac:dyDescent="0.35">
      <c r="B136" s="427" t="s">
        <v>1790</v>
      </c>
      <c r="C136" s="426">
        <f>SUM(C132:C135)</f>
        <v>2.8</v>
      </c>
      <c r="E136" s="441" t="s">
        <v>1790</v>
      </c>
      <c r="F136" s="426">
        <f>SUM(F132:F135)</f>
        <v>5.9199999999999982</v>
      </c>
      <c r="H136" s="441" t="s">
        <v>1790</v>
      </c>
      <c r="I136" s="426">
        <f>SUM(I132:I135)</f>
        <v>17.89</v>
      </c>
      <c r="AA136" s="405" t="s">
        <v>1852</v>
      </c>
      <c r="AB136" s="467">
        <v>-700</v>
      </c>
      <c r="AC136" s="405">
        <v>92.67</v>
      </c>
      <c r="AD136" s="405">
        <v>0</v>
      </c>
      <c r="AE136" s="463">
        <v>86.92</v>
      </c>
      <c r="AF136" s="463">
        <v>5.75</v>
      </c>
      <c r="AG136" s="464">
        <v>4025</v>
      </c>
      <c r="AH136" s="474" t="s">
        <v>1092</v>
      </c>
    </row>
    <row r="137" spans="2:37" x14ac:dyDescent="0.35">
      <c r="B137" s="425" t="s">
        <v>1791</v>
      </c>
      <c r="C137" s="421">
        <f>C151/C128</f>
        <v>0</v>
      </c>
      <c r="E137" s="436" t="s">
        <v>1791</v>
      </c>
      <c r="F137" s="421">
        <f t="shared" ref="F137:F142" si="44">F151/F$128</f>
        <v>12.106537530266344</v>
      </c>
      <c r="H137" s="436" t="s">
        <v>1791</v>
      </c>
      <c r="I137" s="421">
        <f>I151/I$128</f>
        <v>7.8073866292660119</v>
      </c>
      <c r="AA137" s="405" t="s">
        <v>1849</v>
      </c>
      <c r="AB137" s="467">
        <v>-2124</v>
      </c>
      <c r="AC137" s="405">
        <v>102.26</v>
      </c>
      <c r="AD137" s="464">
        <v>8.9623352165725052</v>
      </c>
      <c r="AE137" s="463">
        <v>86.92</v>
      </c>
      <c r="AF137" s="463">
        <v>6.3776647834275053</v>
      </c>
      <c r="AG137" s="464">
        <v>13546.160000000022</v>
      </c>
      <c r="AH137" s="474" t="s">
        <v>1092</v>
      </c>
    </row>
    <row r="138" spans="2:37" x14ac:dyDescent="0.35">
      <c r="B138" s="423" t="s">
        <v>1792</v>
      </c>
      <c r="C138" s="421">
        <f>C152/C128</f>
        <v>-414.62602928571425</v>
      </c>
      <c r="E138" s="436" t="s">
        <v>1792</v>
      </c>
      <c r="F138" s="421">
        <f t="shared" si="44"/>
        <v>0</v>
      </c>
      <c r="H138" s="436" t="s">
        <v>1792</v>
      </c>
      <c r="I138" s="421">
        <f t="shared" ref="I138:I142" si="45">I152/I$128</f>
        <v>0</v>
      </c>
    </row>
    <row r="139" spans="2:37" x14ac:dyDescent="0.35">
      <c r="B139" s="423" t="s">
        <v>1793</v>
      </c>
      <c r="C139" s="421">
        <f>C153/C$46</f>
        <v>0</v>
      </c>
      <c r="E139" s="436" t="s">
        <v>1793</v>
      </c>
      <c r="F139" s="421">
        <f t="shared" si="44"/>
        <v>0.1937046004842615</v>
      </c>
      <c r="H139" s="436" t="s">
        <v>1793</v>
      </c>
      <c r="I139" s="421">
        <f>I153/I$128</f>
        <v>0.18700327255726976</v>
      </c>
      <c r="O139" s="408"/>
      <c r="P139" s="408"/>
      <c r="Q139" s="408"/>
      <c r="R139" s="408"/>
      <c r="S139" s="408"/>
      <c r="T139" s="408"/>
      <c r="U139" s="492"/>
      <c r="AA139" s="408" t="s">
        <v>1828</v>
      </c>
      <c r="AB139" s="408"/>
      <c r="AC139" s="408"/>
      <c r="AD139" s="408"/>
      <c r="AE139" s="408"/>
      <c r="AF139" s="408"/>
      <c r="AG139" s="492">
        <v>115785.51498363716</v>
      </c>
    </row>
    <row r="140" spans="2:37" x14ac:dyDescent="0.35">
      <c r="B140" s="423" t="s">
        <v>1794</v>
      </c>
      <c r="C140" s="421">
        <f>C154/C$46</f>
        <v>0</v>
      </c>
      <c r="E140" s="436" t="s">
        <v>1794</v>
      </c>
      <c r="F140" s="421">
        <f t="shared" si="44"/>
        <v>0.21791767554479419</v>
      </c>
      <c r="H140" s="436" t="s">
        <v>1794</v>
      </c>
      <c r="I140" s="421">
        <f t="shared" si="45"/>
        <v>0.21037868162692847</v>
      </c>
    </row>
    <row r="141" spans="2:37" x14ac:dyDescent="0.35">
      <c r="B141" s="423" t="s">
        <v>1795</v>
      </c>
      <c r="C141" s="424">
        <f>C155/C128</f>
        <v>0</v>
      </c>
      <c r="E141" s="436" t="s">
        <v>1795</v>
      </c>
      <c r="F141" s="421">
        <f t="shared" si="44"/>
        <v>0</v>
      </c>
      <c r="H141" s="436" t="s">
        <v>1795</v>
      </c>
      <c r="I141" s="486">
        <f t="shared" si="45"/>
        <v>0.39036933146330061</v>
      </c>
    </row>
    <row r="142" spans="2:37" x14ac:dyDescent="0.35">
      <c r="B142" s="423" t="s">
        <v>1796</v>
      </c>
      <c r="C142" s="421">
        <f>C156/C$46</f>
        <v>0</v>
      </c>
      <c r="E142" s="436" t="s">
        <v>1796</v>
      </c>
      <c r="F142" s="421">
        <f t="shared" si="44"/>
        <v>0.21527845036319615</v>
      </c>
      <c r="H142" s="436" t="s">
        <v>1796</v>
      </c>
      <c r="I142" s="421">
        <f t="shared" si="45"/>
        <v>0.4053295932678822</v>
      </c>
    </row>
    <row r="143" spans="2:37" x14ac:dyDescent="0.35">
      <c r="B143" s="422" t="str">
        <f>"(+) "&amp;TEXT(EOMONTH(C124,2),"Mmm")&amp;"/"&amp;TEXT(EOMONTH(C124,3),"Mmm")&amp;" Brent"</f>
        <v>(+) Jul/Aug Brent</v>
      </c>
      <c r="C143" s="421">
        <v>0</v>
      </c>
      <c r="E143" s="436" t="str">
        <f>"(+) "&amp;TEXT(EOMONTH(F124,2),"Mmm")&amp;"/"&amp;TEXT(EOMONTH(F124,3),"Mmm")&amp;" Brent"</f>
        <v>(+) Jul/Aug Brent</v>
      </c>
      <c r="F143" s="421">
        <v>4.6500000000000004</v>
      </c>
      <c r="H143" s="436" t="str">
        <f>"(+) "&amp;TEXT(EOMONTH(I124,2),"Mmm")&amp;"/"&amp;TEXT(EOMONTH(I124,3),"Mmm")&amp;" Brent"</f>
        <v>(+) Jul/Aug Brent</v>
      </c>
      <c r="I143" s="421"/>
    </row>
    <row r="144" spans="2:37" ht="15" thickBot="1" x14ac:dyDescent="0.4">
      <c r="B144" s="420" t="str">
        <f>"(-) "&amp;TEXT(EOMONTH(C124,1),"Mmm")&amp;" DFL"</f>
        <v>(-) Jun DFL</v>
      </c>
      <c r="C144" s="417">
        <v>0</v>
      </c>
      <c r="E144" s="439" t="str">
        <f>"(-) "&amp;TEXT(EOMONTH(F124,1),"Mmm")&amp;" BD"</f>
        <v>(-) Jun BD</v>
      </c>
      <c r="F144" s="424">
        <v>-0.93</v>
      </c>
      <c r="H144" s="439" t="str">
        <f>"(-) "&amp;TEXT(EOMONTH(I124,1),"Mmm")&amp;" BD"</f>
        <v>(-) Jun BD</v>
      </c>
      <c r="I144" s="487"/>
    </row>
    <row r="145" spans="2:16" x14ac:dyDescent="0.35">
      <c r="B145" s="418" t="s">
        <v>1797</v>
      </c>
      <c r="C145" s="419">
        <f>SUM(C136:C142)+C143-C144</f>
        <v>-411.82602928571424</v>
      </c>
      <c r="E145" s="440" t="s">
        <v>1797</v>
      </c>
      <c r="F145" s="419">
        <f>SUM(F136:F142)+F143+F144</f>
        <v>22.373438256658595</v>
      </c>
      <c r="H145" s="440" t="s">
        <v>1797</v>
      </c>
      <c r="I145" s="419">
        <f>SUM(I136:I142)+I143+I144</f>
        <v>26.890467508181395</v>
      </c>
    </row>
    <row r="146" spans="2:16" ht="15" thickBot="1" x14ac:dyDescent="0.4">
      <c r="B146" s="418" t="s">
        <v>1798</v>
      </c>
      <c r="C146" s="417">
        <v>7</v>
      </c>
      <c r="E146" s="439" t="s">
        <v>1798</v>
      </c>
      <c r="F146" s="438">
        <f>24.4-0.42</f>
        <v>23.979999999999997</v>
      </c>
      <c r="H146" s="439" t="s">
        <v>1798</v>
      </c>
      <c r="I146" s="438">
        <v>28.33</v>
      </c>
    </row>
    <row r="147" spans="2:16" ht="15" thickBot="1" x14ac:dyDescent="0.4">
      <c r="B147" s="416" t="s">
        <v>1799</v>
      </c>
      <c r="C147" s="415">
        <f>C146-C145</f>
        <v>418.82602928571424</v>
      </c>
      <c r="E147" s="437" t="s">
        <v>1799</v>
      </c>
      <c r="F147" s="415">
        <f>F146-F145</f>
        <v>1.6065617433414019</v>
      </c>
      <c r="H147" s="437" t="s">
        <v>1799</v>
      </c>
      <c r="I147" s="415">
        <f>I146-I145</f>
        <v>1.4395324918186034</v>
      </c>
    </row>
    <row r="148" spans="2:16" x14ac:dyDescent="0.35">
      <c r="B148" s="414" t="s">
        <v>1800</v>
      </c>
      <c r="C148" s="413">
        <f>C147*C128</f>
        <v>293178.2205</v>
      </c>
      <c r="E148" s="436" t="s">
        <v>1800</v>
      </c>
      <c r="F148" s="413">
        <f>F147*F128</f>
        <v>3317.5499999999947</v>
      </c>
      <c r="H148" s="436" t="s">
        <v>1800</v>
      </c>
      <c r="I148" s="413">
        <f>I147*I128</f>
        <v>3079.1599999999926</v>
      </c>
    </row>
    <row r="149" spans="2:16" x14ac:dyDescent="0.35">
      <c r="B149" s="407"/>
      <c r="E149" s="405"/>
      <c r="H149" s="405"/>
    </row>
    <row r="150" spans="2:16" x14ac:dyDescent="0.35">
      <c r="B150" s="407"/>
      <c r="C150" s="406" t="str">
        <f>C126</f>
        <v>ARA26HS00044-2</v>
      </c>
      <c r="E150" s="405"/>
      <c r="F150" s="406" t="str">
        <f>F126</f>
        <v>ARA26HS00053</v>
      </c>
      <c r="H150" s="405"/>
      <c r="I150" s="406" t="str">
        <f>I126</f>
        <v>ENE26HS00007</v>
      </c>
    </row>
    <row r="151" spans="2:16" x14ac:dyDescent="0.35">
      <c r="B151" s="405" t="s">
        <v>1791</v>
      </c>
      <c r="C151" s="102">
        <f>C160*C162*C161/100</f>
        <v>0</v>
      </c>
      <c r="E151" s="405" t="str">
        <f t="shared" ref="E151:E156" si="46">E137</f>
        <v>(+) Freight</v>
      </c>
      <c r="F151" s="411">
        <v>25000</v>
      </c>
      <c r="H151" s="405" t="str">
        <f t="shared" ref="H151:H156" si="47">H137</f>
        <v>(+) Freight</v>
      </c>
      <c r="I151" s="472">
        <v>16700</v>
      </c>
      <c r="K151" s="470"/>
      <c r="M151" s="471"/>
      <c r="N151" s="471"/>
      <c r="O151" s="471"/>
      <c r="P151" s="471"/>
    </row>
    <row r="152" spans="2:16" x14ac:dyDescent="0.35">
      <c r="B152" s="405" t="s">
        <v>1792</v>
      </c>
      <c r="C152" s="102">
        <f>-(B161*B160*B162/100)</f>
        <v>-290238.2205</v>
      </c>
      <c r="E152" s="405" t="str">
        <f t="shared" si="46"/>
        <v>(-) TD7 Freight*</v>
      </c>
      <c r="F152" s="411">
        <v>0</v>
      </c>
      <c r="H152" s="405" t="str">
        <f t="shared" si="47"/>
        <v>(-) TD7 Freight*</v>
      </c>
      <c r="I152" s="406">
        <v>0</v>
      </c>
    </row>
    <row r="153" spans="2:16" x14ac:dyDescent="0.35">
      <c r="B153" s="405" t="s">
        <v>1793</v>
      </c>
      <c r="C153" s="102">
        <v>0</v>
      </c>
      <c r="E153" s="405" t="str">
        <f t="shared" si="46"/>
        <v>(+) Demurrage</v>
      </c>
      <c r="F153" s="411">
        <v>400</v>
      </c>
      <c r="H153" s="405" t="str">
        <f t="shared" si="47"/>
        <v>(+) Demurrage</v>
      </c>
      <c r="I153" s="472">
        <v>400</v>
      </c>
    </row>
    <row r="154" spans="2:16" x14ac:dyDescent="0.35">
      <c r="B154" s="405" t="s">
        <v>1794</v>
      </c>
      <c r="C154" s="102">
        <v>0</v>
      </c>
      <c r="E154" s="405" t="str">
        <f t="shared" si="46"/>
        <v>(+) STS</v>
      </c>
      <c r="F154" s="488">
        <v>450</v>
      </c>
      <c r="H154" s="405" t="str">
        <f t="shared" si="47"/>
        <v>(+) STS</v>
      </c>
      <c r="I154" s="424">
        <v>450</v>
      </c>
    </row>
    <row r="155" spans="2:16" x14ac:dyDescent="0.35">
      <c r="B155" s="405" t="s">
        <v>1795</v>
      </c>
      <c r="C155" s="102">
        <v>0</v>
      </c>
      <c r="E155" s="405" t="str">
        <f t="shared" si="46"/>
        <v>(+) TVM</v>
      </c>
      <c r="F155" s="411">
        <v>0</v>
      </c>
      <c r="H155" s="405" t="str">
        <f t="shared" si="47"/>
        <v>(+) TVM</v>
      </c>
      <c r="I155" s="472">
        <v>835</v>
      </c>
    </row>
    <row r="156" spans="2:16" x14ac:dyDescent="0.35">
      <c r="B156" s="405" t="s">
        <v>1796</v>
      </c>
      <c r="C156" s="102">
        <v>0</v>
      </c>
      <c r="E156" s="405" t="str">
        <f t="shared" si="46"/>
        <v>(+) Other</v>
      </c>
      <c r="F156" s="411">
        <v>444.55000000000007</v>
      </c>
      <c r="H156" s="405" t="str">
        <f t="shared" si="47"/>
        <v>(+) Other</v>
      </c>
      <c r="I156" s="472">
        <v>867</v>
      </c>
    </row>
    <row r="157" spans="2:16" x14ac:dyDescent="0.35">
      <c r="B157" s="412" t="s">
        <v>1801</v>
      </c>
      <c r="C157" s="411"/>
      <c r="E157" s="412" t="s">
        <v>1801</v>
      </c>
      <c r="F157" s="411"/>
      <c r="H157" s="412" t="s">
        <v>1801</v>
      </c>
      <c r="I157" s="411"/>
    </row>
    <row r="158" spans="2:16" x14ac:dyDescent="0.35">
      <c r="E158" s="405"/>
      <c r="H158" s="405"/>
    </row>
    <row r="159" spans="2:16" x14ac:dyDescent="0.35">
      <c r="B159" s="410" t="s">
        <v>1802</v>
      </c>
      <c r="C159" s="409">
        <f>SUM(C151:C156)</f>
        <v>-290238.2205</v>
      </c>
      <c r="E159" s="410" t="s">
        <v>1802</v>
      </c>
      <c r="F159" s="411">
        <f>SUM(F151:F156)</f>
        <v>26294.55</v>
      </c>
      <c r="H159" s="410" t="s">
        <v>1802</v>
      </c>
      <c r="I159" s="411">
        <f>SUM(I151:I156)</f>
        <v>19252</v>
      </c>
      <c r="K159" s="513">
        <f>+I159/I128</f>
        <v>9.0004675081813925</v>
      </c>
    </row>
    <row r="160" spans="2:16" x14ac:dyDescent="0.35">
      <c r="B160" s="405">
        <v>7.25</v>
      </c>
      <c r="C160" s="405">
        <v>21.51</v>
      </c>
    </row>
    <row r="161" spans="2:17" x14ac:dyDescent="0.35">
      <c r="B161" s="405">
        <v>86.7</v>
      </c>
      <c r="C161" s="405">
        <v>70</v>
      </c>
    </row>
    <row r="162" spans="2:17" ht="21" x14ac:dyDescent="0.5">
      <c r="B162" s="518" t="s">
        <v>1853</v>
      </c>
      <c r="C162" s="518"/>
      <c r="D162" s="518"/>
      <c r="E162" s="518"/>
      <c r="F162" s="518"/>
      <c r="G162" s="518"/>
      <c r="H162" s="518"/>
      <c r="I162" s="518"/>
      <c r="J162" s="518"/>
      <c r="K162" s="518"/>
      <c r="L162" s="518"/>
      <c r="M162" s="518"/>
      <c r="N162" s="518"/>
      <c r="O162" s="518"/>
    </row>
    <row r="163" spans="2:17" x14ac:dyDescent="0.35">
      <c r="B163" s="407" t="s">
        <v>1804</v>
      </c>
      <c r="C163" s="138">
        <v>46140</v>
      </c>
      <c r="E163" s="407" t="s">
        <v>1804</v>
      </c>
      <c r="F163" s="138">
        <v>46140</v>
      </c>
      <c r="H163" s="407" t="s">
        <v>1804</v>
      </c>
      <c r="I163" s="138">
        <v>46140</v>
      </c>
      <c r="K163" s="407" t="s">
        <v>1804</v>
      </c>
      <c r="L163" s="138">
        <v>46154</v>
      </c>
      <c r="N163" s="407" t="s">
        <v>1804</v>
      </c>
      <c r="O163" s="138">
        <v>46154</v>
      </c>
    </row>
    <row r="164" spans="2:17" x14ac:dyDescent="0.35">
      <c r="B164" s="407" t="s">
        <v>1782</v>
      </c>
      <c r="C164" s="138">
        <v>46203</v>
      </c>
      <c r="E164" s="407" t="s">
        <v>1782</v>
      </c>
      <c r="F164" s="138">
        <v>46203</v>
      </c>
      <c r="H164" s="407" t="s">
        <v>1782</v>
      </c>
      <c r="I164" s="138">
        <v>46203</v>
      </c>
      <c r="K164" s="407" t="s">
        <v>1782</v>
      </c>
      <c r="L164" s="138">
        <v>46203</v>
      </c>
      <c r="N164" s="407" t="s">
        <v>1782</v>
      </c>
      <c r="O164" s="138">
        <v>46203</v>
      </c>
    </row>
    <row r="165" spans="2:17" x14ac:dyDescent="0.35">
      <c r="B165" s="407" t="s">
        <v>117</v>
      </c>
      <c r="C165" s="435" t="s">
        <v>1854</v>
      </c>
      <c r="E165" s="407" t="s">
        <v>117</v>
      </c>
      <c r="F165" s="435" t="s">
        <v>1855</v>
      </c>
      <c r="H165" s="407" t="s">
        <v>117</v>
      </c>
      <c r="I165" s="435" t="s">
        <v>1744</v>
      </c>
      <c r="K165" s="407" t="s">
        <v>117</v>
      </c>
      <c r="L165" s="435" t="s">
        <v>1745</v>
      </c>
      <c r="N165" s="407" t="s">
        <v>117</v>
      </c>
      <c r="O165" s="435" t="s">
        <v>1746</v>
      </c>
    </row>
    <row r="166" spans="2:17" x14ac:dyDescent="0.35">
      <c r="B166" s="407" t="s">
        <v>1784</v>
      </c>
      <c r="C166" s="406" t="str">
        <f>_xlfn.XLOOKUP(C165,Ledger[Cargo Name],Ledger[SAP Deal Number])</f>
        <v>ARA26HS00069-1</v>
      </c>
      <c r="E166" s="407" t="s">
        <v>1784</v>
      </c>
      <c r="F166" s="406" t="str">
        <f>_xlfn.XLOOKUP(F165,Ledger[Cargo Name],Ledger[SAP Deal Number])</f>
        <v>ARA26HS00069-2</v>
      </c>
      <c r="H166" s="407" t="s">
        <v>1784</v>
      </c>
      <c r="I166" s="406" t="str">
        <f>_xlfn.XLOOKUP(I165,Ledger[Cargo Name],Ledger[SAP Deal Number])</f>
        <v>BPO26HS00009</v>
      </c>
      <c r="K166" s="407" t="s">
        <v>1784</v>
      </c>
      <c r="L166" s="406" t="str">
        <f>_xlfn.XLOOKUP(L165,Ledger[Cargo Name],Ledger[SAP Deal Number])</f>
        <v>ARA26HS00075</v>
      </c>
      <c r="N166" s="407" t="s">
        <v>1784</v>
      </c>
      <c r="O166" s="406" t="str">
        <f>_xlfn.XLOOKUP(O165,Ledger[Cargo Name],Ledger[SAP Deal Number])</f>
        <v>ARA26HS00078</v>
      </c>
    </row>
    <row r="167" spans="2:17" x14ac:dyDescent="0.35">
      <c r="B167" s="405" t="s">
        <v>1785</v>
      </c>
      <c r="C167" s="406" t="str">
        <f>_xlfn.XLOOKUP(C165,Ledger[Cargo Name],Ledger[Size])</f>
        <v>Aframax</v>
      </c>
      <c r="E167" s="405" t="s">
        <v>1785</v>
      </c>
      <c r="F167" s="406" t="str">
        <f>_xlfn.XLOOKUP(F165,Ledger[Cargo Name],Ledger[Size])</f>
        <v>Aframax</v>
      </c>
      <c r="H167" s="405" t="s">
        <v>1785</v>
      </c>
      <c r="I167" s="406" t="str">
        <f>_xlfn.XLOOKUP(I165,Ledger[Cargo Name],Ledger[Size])</f>
        <v>Aframax</v>
      </c>
      <c r="K167" s="405" t="s">
        <v>1785</v>
      </c>
      <c r="L167" s="406" t="str">
        <f>_xlfn.XLOOKUP(L165,Ledger[Cargo Name],Ledger[Size])</f>
        <v>VLCC</v>
      </c>
      <c r="N167" s="405" t="s">
        <v>1785</v>
      </c>
      <c r="O167" s="406" t="str">
        <f>_xlfn.XLOOKUP(O165,Ledger[Cargo Name],Ledger[Size])</f>
        <v>VLCC</v>
      </c>
    </row>
    <row r="168" spans="2:17" x14ac:dyDescent="0.35">
      <c r="B168" s="434" t="s">
        <v>1786</v>
      </c>
      <c r="C168" s="433">
        <v>700</v>
      </c>
      <c r="E168" s="434" t="s">
        <v>1786</v>
      </c>
      <c r="F168" s="433">
        <v>700</v>
      </c>
      <c r="H168" s="434" t="s">
        <v>1786</v>
      </c>
      <c r="I168" s="433">
        <v>700</v>
      </c>
      <c r="K168" s="434" t="s">
        <v>1786</v>
      </c>
      <c r="L168" s="433">
        <f>'Trades 2026'!$H$546</f>
        <v>2124</v>
      </c>
      <c r="N168" s="434" t="s">
        <v>1786</v>
      </c>
      <c r="O168" s="433">
        <f>'Trades 2026'!H563</f>
        <v>1422</v>
      </c>
      <c r="P168" s="433">
        <v>700</v>
      </c>
      <c r="Q168" s="462">
        <f>SUM(O168:P168)</f>
        <v>2122</v>
      </c>
    </row>
    <row r="169" spans="2:17" x14ac:dyDescent="0.35">
      <c r="B169" s="407"/>
      <c r="E169" s="407"/>
      <c r="N169" s="407"/>
      <c r="O169" s="406"/>
      <c r="P169" s="406"/>
    </row>
    <row r="170" spans="2:17" x14ac:dyDescent="0.35">
      <c r="B170" s="432" t="s">
        <v>1787</v>
      </c>
      <c r="C170" s="421">
        <v>3.8</v>
      </c>
      <c r="E170" s="432" t="s">
        <v>1787</v>
      </c>
      <c r="F170" s="421">
        <v>3.8</v>
      </c>
      <c r="H170" s="432" t="s">
        <v>1787</v>
      </c>
      <c r="I170" s="421">
        <v>3.8</v>
      </c>
      <c r="K170" s="432" t="s">
        <v>1787</v>
      </c>
      <c r="L170" s="421">
        <v>2.4</v>
      </c>
      <c r="N170" s="432" t="s">
        <v>1787</v>
      </c>
      <c r="O170" s="421">
        <v>1.55</v>
      </c>
      <c r="P170" s="421"/>
    </row>
    <row r="171" spans="2:17" x14ac:dyDescent="0.35">
      <c r="B171" s="432" t="s">
        <v>1788</v>
      </c>
      <c r="C171" s="421">
        <v>0.8</v>
      </c>
      <c r="E171" s="432" t="s">
        <v>1788</v>
      </c>
      <c r="F171" s="421">
        <v>0.8</v>
      </c>
      <c r="H171" s="432" t="s">
        <v>1788</v>
      </c>
      <c r="I171" s="421">
        <v>0.8</v>
      </c>
      <c r="K171" s="432" t="s">
        <v>1788</v>
      </c>
      <c r="L171" s="421">
        <v>-0.43</v>
      </c>
      <c r="N171" s="432" t="s">
        <v>1788</v>
      </c>
      <c r="O171" s="421">
        <v>0.6</v>
      </c>
      <c r="P171" s="421"/>
    </row>
    <row r="172" spans="2:17" ht="15" thickBot="1" x14ac:dyDescent="0.4">
      <c r="B172" s="431" t="s">
        <v>1789</v>
      </c>
      <c r="C172" s="417">
        <f>C171+C170</f>
        <v>4.5999999999999996</v>
      </c>
      <c r="E172" s="431" t="s">
        <v>1789</v>
      </c>
      <c r="F172" s="417">
        <f>F171+F170</f>
        <v>4.5999999999999996</v>
      </c>
      <c r="H172" s="431" t="s">
        <v>1789</v>
      </c>
      <c r="I172" s="417">
        <f>I171+I170</f>
        <v>4.5999999999999996</v>
      </c>
      <c r="K172" s="431" t="s">
        <v>1789</v>
      </c>
      <c r="L172" s="417">
        <f>L171+L170</f>
        <v>1.97</v>
      </c>
      <c r="N172" s="431" t="s">
        <v>1789</v>
      </c>
      <c r="O172" s="417">
        <f>O171+O170</f>
        <v>2.15</v>
      </c>
      <c r="P172" s="417"/>
    </row>
    <row r="173" spans="2:17" x14ac:dyDescent="0.35">
      <c r="B173" s="430" t="str">
        <f>"(+) "&amp;TEXT(EOMONTH(C164,0),"Mmm")&amp;"/"&amp;TEXT(EOMONTH(C164,1),"Mmm")&amp;" WTI"</f>
        <v>(+) Jun/Jul WTI</v>
      </c>
      <c r="C173" s="419"/>
      <c r="E173" s="430" t="str">
        <f>"(+) "&amp;TEXT(EOMONTH(F164,0),"Mmm")&amp;"/"&amp;TEXT(EOMONTH(F164,1),"Mmm")&amp;" WTI"</f>
        <v>(+) Jun/Jul WTI</v>
      </c>
      <c r="F173" s="419"/>
      <c r="H173" s="430" t="str">
        <f>"(+) "&amp;TEXT(EOMONTH(I164,0),"Mmm")&amp;"/"&amp;TEXT(EOMONTH(I164,1),"Mmm")&amp;" WTI"</f>
        <v>(+) Jun/Jul WTI</v>
      </c>
      <c r="I173" s="419">
        <v>3.86</v>
      </c>
      <c r="K173" s="430" t="str">
        <f>"(+) "&amp;TEXT(EOMONTH(L164,0),"Mmm")&amp;"/"&amp;TEXT(EOMONTH(L164,1),"Mmm")&amp;" WTI"</f>
        <v>(+) Jun/Jul WTI</v>
      </c>
      <c r="L173" s="419">
        <v>3.56</v>
      </c>
      <c r="N173" s="430"/>
      <c r="O173" s="419"/>
      <c r="P173" s="419"/>
    </row>
    <row r="174" spans="2:17" x14ac:dyDescent="0.35">
      <c r="B174" s="407" t="str">
        <f>"(+) "&amp;TEXT(EOMONTH(C164,1),"Mmm")&amp;"/"&amp;TEXT(EOMONTH(C164,2),"Mmm")&amp;" WTI"</f>
        <v>(+) Jul/Aug WTI</v>
      </c>
      <c r="C174" s="429"/>
      <c r="E174" s="407" t="str">
        <f>"(+) "&amp;TEXT(EOMONTH(F164,1),"Mmm")&amp;"/"&amp;TEXT(EOMONTH(F164,2),"Mmm")&amp;" WTI"</f>
        <v>(+) Jul/Aug WTI</v>
      </c>
      <c r="F174" s="429"/>
      <c r="H174" s="407" t="str">
        <f>"(+) "&amp;TEXT(EOMONTH(I164,1),"Mmm")&amp;"/"&amp;TEXT(EOMONTH(I164,2),"Mmm")&amp;" WTI"</f>
        <v>(+) Jul/Aug WTI</v>
      </c>
      <c r="I174" s="429">
        <v>4.3899999999999997</v>
      </c>
      <c r="K174" s="407" t="str">
        <f>"(+) "&amp;TEXT(EOMONTH(L164,1),"Mmm")&amp;"/"&amp;TEXT(EOMONTH(L164,2),"Mmm")&amp;" WTI"</f>
        <v>(+) Jul/Aug WTI</v>
      </c>
      <c r="L174" s="429">
        <v>4.1500000000000004</v>
      </c>
      <c r="N174" s="407" t="str">
        <f>"(+) "&amp;TEXT(EOMONTH(O164,1),"Mmm")&amp;"/"&amp;TEXT(EOMONTH(O164,2),"Mmm")&amp;" WTI"</f>
        <v>(+) Jul/Aug WTI</v>
      </c>
      <c r="O174" s="429">
        <v>4.2</v>
      </c>
      <c r="P174" s="429"/>
    </row>
    <row r="175" spans="2:17" ht="15" thickBot="1" x14ac:dyDescent="0.4">
      <c r="B175" s="405" t="s">
        <v>1856</v>
      </c>
      <c r="C175" s="417">
        <v>-11.33</v>
      </c>
      <c r="E175" s="405" t="s">
        <v>1856</v>
      </c>
      <c r="F175" s="417">
        <v>-11.33</v>
      </c>
      <c r="H175" s="405" t="s">
        <v>1856</v>
      </c>
      <c r="I175" s="417">
        <v>-11.55</v>
      </c>
      <c r="K175" s="405" t="s">
        <v>1856</v>
      </c>
      <c r="L175" s="417">
        <v>-9.51</v>
      </c>
      <c r="N175" s="405" t="s">
        <v>1856</v>
      </c>
      <c r="O175" s="417">
        <v>-6.69</v>
      </c>
      <c r="P175" s="417"/>
    </row>
    <row r="176" spans="2:17" x14ac:dyDescent="0.35">
      <c r="B176" s="427" t="s">
        <v>1790</v>
      </c>
      <c r="C176" s="426">
        <f>SUM(C172:C175)</f>
        <v>-6.73</v>
      </c>
      <c r="E176" s="427" t="s">
        <v>1790</v>
      </c>
      <c r="F176" s="426">
        <f>SUM(F172:F175)</f>
        <v>-6.73</v>
      </c>
      <c r="H176" s="427" t="s">
        <v>1790</v>
      </c>
      <c r="I176" s="426">
        <f>SUM(I172:I175)</f>
        <v>1.2999999999999972</v>
      </c>
      <c r="K176" s="427" t="s">
        <v>1790</v>
      </c>
      <c r="L176" s="426">
        <f>SUM(L172:L175)</f>
        <v>0.16999999999999993</v>
      </c>
      <c r="N176" s="427" t="s">
        <v>1790</v>
      </c>
      <c r="O176" s="426">
        <f>SUM(O172:O175)</f>
        <v>-0.34000000000000075</v>
      </c>
      <c r="P176" s="426">
        <f>0.6+0.02</f>
        <v>0.62</v>
      </c>
    </row>
    <row r="177" spans="2:19" x14ac:dyDescent="0.35">
      <c r="B177" s="425" t="s">
        <v>1791</v>
      </c>
      <c r="C177" s="421">
        <f>C191/C168</f>
        <v>8.3351249999999997</v>
      </c>
      <c r="E177" s="425" t="s">
        <v>1791</v>
      </c>
      <c r="F177" s="421">
        <f>F191/F168</f>
        <v>8.3351249999999997</v>
      </c>
      <c r="H177" s="425" t="s">
        <v>1791</v>
      </c>
      <c r="I177" s="421">
        <f>I191/I168</f>
        <v>0</v>
      </c>
      <c r="K177" s="425" t="s">
        <v>1791</v>
      </c>
      <c r="L177" s="421">
        <f>L191/L168</f>
        <v>8.2391713747645952</v>
      </c>
      <c r="N177" s="425" t="s">
        <v>1791</v>
      </c>
      <c r="O177" s="421">
        <f t="shared" ref="O177:O182" si="48">O191/$Q$168</f>
        <v>8.3883129123468425</v>
      </c>
      <c r="P177" s="421">
        <f t="shared" ref="P177:P181" si="49">O191/$Q$168</f>
        <v>8.3883129123468425</v>
      </c>
    </row>
    <row r="178" spans="2:19" x14ac:dyDescent="0.35">
      <c r="B178" s="423" t="s">
        <v>1792</v>
      </c>
      <c r="C178" s="421">
        <f>C192/C168</f>
        <v>-1.8857249999999999</v>
      </c>
      <c r="E178" s="423" t="s">
        <v>1792</v>
      </c>
      <c r="F178" s="421">
        <f>F192/F168</f>
        <v>-1.8857249999999999</v>
      </c>
      <c r="H178" s="423" t="s">
        <v>1792</v>
      </c>
      <c r="I178" s="421">
        <f>I192/I168</f>
        <v>0</v>
      </c>
      <c r="K178" s="423" t="s">
        <v>1792</v>
      </c>
      <c r="L178" s="421">
        <f>L192/L168</f>
        <v>0</v>
      </c>
      <c r="N178" s="423" t="s">
        <v>1792</v>
      </c>
      <c r="O178" s="421">
        <f t="shared" si="48"/>
        <v>0</v>
      </c>
      <c r="P178" s="421">
        <f t="shared" si="49"/>
        <v>0</v>
      </c>
    </row>
    <row r="179" spans="2:19" x14ac:dyDescent="0.35">
      <c r="B179" s="423" t="s">
        <v>1793</v>
      </c>
      <c r="C179" s="421">
        <f>C193/C$46</f>
        <v>0</v>
      </c>
      <c r="E179" s="423" t="s">
        <v>1793</v>
      </c>
      <c r="F179" s="421">
        <f>F193/F$46</f>
        <v>0</v>
      </c>
      <c r="H179" s="423" t="s">
        <v>1793</v>
      </c>
      <c r="I179" s="421">
        <f>I193/I$46</f>
        <v>0</v>
      </c>
      <c r="K179" s="423" t="s">
        <v>1793</v>
      </c>
      <c r="L179" s="421">
        <f>L193/L$168</f>
        <v>0.18832391713747645</v>
      </c>
      <c r="N179" s="423" t="s">
        <v>1793</v>
      </c>
      <c r="O179" s="421">
        <f t="shared" si="48"/>
        <v>0.1885014137606032</v>
      </c>
      <c r="P179" s="421">
        <f t="shared" si="49"/>
        <v>0.1885014137606032</v>
      </c>
      <c r="S179" s="405">
        <v>19.2</v>
      </c>
    </row>
    <row r="180" spans="2:19" x14ac:dyDescent="0.35">
      <c r="B180" s="423" t="s">
        <v>1794</v>
      </c>
      <c r="C180" s="421">
        <f>C194/C$46</f>
        <v>0</v>
      </c>
      <c r="E180" s="423" t="s">
        <v>1794</v>
      </c>
      <c r="F180" s="421">
        <f>F194/F$46</f>
        <v>0</v>
      </c>
      <c r="H180" s="423" t="s">
        <v>1794</v>
      </c>
      <c r="I180" s="421">
        <f>I194/I$46</f>
        <v>0</v>
      </c>
      <c r="K180" s="423" t="s">
        <v>1794</v>
      </c>
      <c r="L180" s="421">
        <f t="shared" ref="L180:L182" si="50">L194/L$168</f>
        <v>0.23540489642184556</v>
      </c>
      <c r="N180" s="423" t="s">
        <v>1794</v>
      </c>
      <c r="O180" s="421">
        <f t="shared" si="48"/>
        <v>0.23562676720075401</v>
      </c>
      <c r="P180" s="421">
        <f t="shared" si="49"/>
        <v>0.23562676720075401</v>
      </c>
      <c r="S180" s="405">
        <v>0.42</v>
      </c>
    </row>
    <row r="181" spans="2:19" x14ac:dyDescent="0.35">
      <c r="B181" s="423" t="s">
        <v>1795</v>
      </c>
      <c r="C181" s="424">
        <f>C195/C168</f>
        <v>0</v>
      </c>
      <c r="E181" s="423" t="s">
        <v>1795</v>
      </c>
      <c r="F181" s="424">
        <f>F195/F168</f>
        <v>0</v>
      </c>
      <c r="H181" s="423" t="s">
        <v>1795</v>
      </c>
      <c r="I181" s="487">
        <f>I195/I168</f>
        <v>0</v>
      </c>
      <c r="K181" s="423" t="s">
        <v>1795</v>
      </c>
      <c r="L181" s="487">
        <v>0</v>
      </c>
      <c r="N181" s="423" t="s">
        <v>1795</v>
      </c>
      <c r="O181" s="487">
        <f t="shared" si="48"/>
        <v>0</v>
      </c>
      <c r="P181" s="487">
        <f t="shared" si="49"/>
        <v>0</v>
      </c>
      <c r="S181" s="405">
        <v>3.68</v>
      </c>
    </row>
    <row r="182" spans="2:19" x14ac:dyDescent="0.35">
      <c r="B182" s="423" t="s">
        <v>1796</v>
      </c>
      <c r="C182" s="421">
        <f>C196/C$46</f>
        <v>0</v>
      </c>
      <c r="E182" s="423" t="s">
        <v>1796</v>
      </c>
      <c r="F182" s="421">
        <f>F196/F$46</f>
        <v>0</v>
      </c>
      <c r="H182" s="423" t="s">
        <v>1796</v>
      </c>
      <c r="I182" s="421">
        <f>I196/I$46</f>
        <v>0</v>
      </c>
      <c r="K182" s="423" t="s">
        <v>1796</v>
      </c>
      <c r="L182" s="421">
        <f t="shared" si="50"/>
        <v>0.2994350282485877</v>
      </c>
      <c r="N182" s="423" t="s">
        <v>1796</v>
      </c>
      <c r="O182" s="421">
        <f t="shared" si="48"/>
        <v>1.1630537229029219</v>
      </c>
      <c r="P182" s="421">
        <f>O196/$Q$168</f>
        <v>1.1630537229029219</v>
      </c>
      <c r="S182" s="405">
        <v>0.76</v>
      </c>
    </row>
    <row r="183" spans="2:19" x14ac:dyDescent="0.35">
      <c r="B183" s="422" t="str">
        <f>"(+) "&amp;TEXT(EOMONTH(C164,2),"Mmm")&amp;"/"&amp;TEXT(EOMONTH(C164,3),"Mmm")&amp;" Brent"</f>
        <v>(+) Aug/Sep Brent</v>
      </c>
      <c r="C183" s="421">
        <v>0</v>
      </c>
      <c r="E183" s="422" t="str">
        <f>"(+) "&amp;TEXT(EOMONTH(F164,2),"Mmm")&amp;"/"&amp;TEXT(EOMONTH(F164,3),"Mmm")&amp;" Brent"</f>
        <v>(+) Aug/Sep Brent</v>
      </c>
      <c r="F183" s="421">
        <v>0</v>
      </c>
      <c r="H183" s="422" t="str">
        <f>"(+) "&amp;TEXT(EOMONTH(I164,2),"Mmm")&amp;"/"&amp;TEXT(EOMONTH(I164,3),"Mmm")&amp;" Brent"</f>
        <v>(+) Aug/Sep Brent</v>
      </c>
      <c r="I183" s="421">
        <v>0</v>
      </c>
      <c r="K183" s="422" t="str">
        <f>"(+) "&amp;TEXT(EOMONTH(L164,2),"Mmm")&amp;"/"&amp;TEXT(EOMONTH(L164,3),"Mmm")&amp;" Brent"</f>
        <v>(+) Aug/Sep Brent</v>
      </c>
      <c r="L183" s="421">
        <f>3.87</f>
        <v>3.87</v>
      </c>
      <c r="N183" s="422" t="str">
        <f>"(+) "&amp;TEXT(EOMONTH(O164,2),"Mmm")&amp;"/"&amp;TEXT(EOMONTH(O164,3),"Mmm")&amp;" Brent"</f>
        <v>(+) Aug/Sep Brent</v>
      </c>
      <c r="O183" s="421">
        <f>4.12</f>
        <v>4.12</v>
      </c>
      <c r="P183" s="421">
        <f>4.12</f>
        <v>4.12</v>
      </c>
      <c r="S183" s="405">
        <f>S179-S180-S181-S182</f>
        <v>14.339999999999998</v>
      </c>
    </row>
    <row r="184" spans="2:19" ht="15" thickBot="1" x14ac:dyDescent="0.4">
      <c r="B184" s="420" t="str">
        <f>"(-) "&amp;TEXT(EOMONTH(C164,1),"Mmm")&amp;" DFL"</f>
        <v>(-) Jul DFL</v>
      </c>
      <c r="C184" s="417">
        <v>0</v>
      </c>
      <c r="E184" s="420" t="str">
        <f>"(-) "&amp;TEXT(EOMONTH(F164,1),"Mmm")&amp;" DFL"</f>
        <v>(-) Jul DFL</v>
      </c>
      <c r="F184" s="417">
        <v>0</v>
      </c>
      <c r="H184" s="420" t="str">
        <f>"(-) "&amp;TEXT(EOMONTH(I164,1),"Mmm")&amp;" DFL"</f>
        <v>(-) Jul DFL</v>
      </c>
      <c r="I184" s="417">
        <v>0</v>
      </c>
      <c r="K184" s="420" t="s">
        <v>1857</v>
      </c>
      <c r="L184" s="417">
        <v>-2.35</v>
      </c>
      <c r="N184" s="420" t="s">
        <v>1857</v>
      </c>
      <c r="O184" s="484"/>
      <c r="P184" s="417"/>
    </row>
    <row r="185" spans="2:19" x14ac:dyDescent="0.35">
      <c r="B185" s="418" t="s">
        <v>1797</v>
      </c>
      <c r="C185" s="419">
        <f>SUM(C176:C182)+C183-C184</f>
        <v>-0.28060000000000063</v>
      </c>
      <c r="E185" s="418" t="s">
        <v>1797</v>
      </c>
      <c r="F185" s="419">
        <f>SUM(F176:F182)+F183-F184</f>
        <v>-0.28060000000000063</v>
      </c>
      <c r="H185" s="418" t="s">
        <v>1797</v>
      </c>
      <c r="I185" s="419">
        <f>SUM(I176:I182)+I183-I184</f>
        <v>1.2999999999999972</v>
      </c>
      <c r="K185" s="418" t="s">
        <v>1797</v>
      </c>
      <c r="L185" s="419">
        <f>SUM(L176:L182)+L183-L184</f>
        <v>15.352335216572504</v>
      </c>
      <c r="N185" s="418" t="s">
        <v>1797</v>
      </c>
      <c r="O185" s="419">
        <f>SUM(O176:O182)+O183-O184</f>
        <v>13.755494816211119</v>
      </c>
      <c r="P185" s="419">
        <f>SUM(P176:P182)+P183-P184</f>
        <v>14.71549481621112</v>
      </c>
    </row>
    <row r="186" spans="2:19" ht="15" thickBot="1" x14ac:dyDescent="0.4">
      <c r="B186" s="418" t="s">
        <v>1798</v>
      </c>
      <c r="C186" s="417">
        <v>0.03</v>
      </c>
      <c r="E186" s="418" t="s">
        <v>1798</v>
      </c>
      <c r="F186" s="417">
        <v>0.03</v>
      </c>
      <c r="H186" s="418" t="s">
        <v>1798</v>
      </c>
      <c r="I186" s="417">
        <v>1.55</v>
      </c>
      <c r="K186" s="418" t="s">
        <v>1798</v>
      </c>
      <c r="L186" s="417">
        <f>17.14-0.05-1-0.42</f>
        <v>15.67</v>
      </c>
      <c r="N186" s="418" t="s">
        <v>1798</v>
      </c>
      <c r="O186" s="417">
        <v>14.34</v>
      </c>
      <c r="P186" s="417">
        <f>O186</f>
        <v>14.34</v>
      </c>
    </row>
    <row r="187" spans="2:19" ht="15" thickBot="1" x14ac:dyDescent="0.4">
      <c r="B187" s="416" t="s">
        <v>1799</v>
      </c>
      <c r="C187" s="415">
        <f>C186-C185</f>
        <v>0.31060000000000065</v>
      </c>
      <c r="E187" s="416" t="s">
        <v>1799</v>
      </c>
      <c r="F187" s="415">
        <f>F186-F185</f>
        <v>0.31060000000000065</v>
      </c>
      <c r="H187" s="416" t="s">
        <v>1799</v>
      </c>
      <c r="I187" s="415">
        <f>I186-I185</f>
        <v>0.25000000000000289</v>
      </c>
      <c r="K187" s="416" t="s">
        <v>1799</v>
      </c>
      <c r="L187" s="415">
        <f>L186-L185</f>
        <v>0.31766478342749593</v>
      </c>
      <c r="N187" s="416" t="s">
        <v>1799</v>
      </c>
      <c r="O187" s="415">
        <f>O186-O185</f>
        <v>0.58450518378888106</v>
      </c>
      <c r="P187" s="415">
        <f>P186-P185</f>
        <v>-0.3754948162111198</v>
      </c>
    </row>
    <row r="188" spans="2:19" x14ac:dyDescent="0.35">
      <c r="B188" s="414" t="s">
        <v>1800</v>
      </c>
      <c r="C188" s="413">
        <f>C187*C168</f>
        <v>217.42000000000047</v>
      </c>
      <c r="E188" s="414" t="s">
        <v>1800</v>
      </c>
      <c r="F188" s="413">
        <f>F187*F168</f>
        <v>217.42000000000047</v>
      </c>
      <c r="H188" s="414" t="s">
        <v>1800</v>
      </c>
      <c r="I188" s="413">
        <f>I187*I168</f>
        <v>175.00000000000202</v>
      </c>
      <c r="K188" s="414" t="s">
        <v>1800</v>
      </c>
      <c r="L188" s="413">
        <f>L187*L168</f>
        <v>674.72000000000139</v>
      </c>
      <c r="N188" s="414" t="s">
        <v>1800</v>
      </c>
      <c r="O188" s="413">
        <f>O187*O168</f>
        <v>831.16637134778887</v>
      </c>
      <c r="P188" s="413">
        <f>P187*P168</f>
        <v>-262.84637134778387</v>
      </c>
    </row>
    <row r="189" spans="2:19" x14ac:dyDescent="0.35">
      <c r="B189" s="407"/>
      <c r="E189" s="407"/>
      <c r="N189" s="407"/>
      <c r="O189" s="406"/>
      <c r="P189" s="406"/>
    </row>
    <row r="190" spans="2:19" x14ac:dyDescent="0.35">
      <c r="B190" s="407"/>
      <c r="C190" s="406" t="str">
        <f>C166</f>
        <v>ARA26HS00069-1</v>
      </c>
      <c r="E190" s="407"/>
      <c r="F190" s="406" t="str">
        <f>F166</f>
        <v>ARA26HS00069-2</v>
      </c>
      <c r="I190" s="406" t="str">
        <f>I166</f>
        <v>BPO26HS00009</v>
      </c>
      <c r="L190" s="406" t="str">
        <f>L166</f>
        <v>ARA26HS00075</v>
      </c>
      <c r="N190" s="407"/>
      <c r="O190" s="406" t="str">
        <f>O166</f>
        <v>ARA26HS00078</v>
      </c>
      <c r="P190" s="406"/>
    </row>
    <row r="191" spans="2:19" x14ac:dyDescent="0.35">
      <c r="B191" s="405" t="s">
        <v>1791</v>
      </c>
      <c r="C191" s="102">
        <f>C200*C202*C201/100</f>
        <v>5834.5874999999996</v>
      </c>
      <c r="E191" s="405" t="s">
        <v>1791</v>
      </c>
      <c r="F191" s="102">
        <f>F200*F202*F201/100</f>
        <v>5834.5874999999996</v>
      </c>
      <c r="H191" s="405" t="s">
        <v>1791</v>
      </c>
      <c r="I191" s="102">
        <f>I200*I202*I201/100</f>
        <v>0</v>
      </c>
      <c r="K191" s="405" t="s">
        <v>1791</v>
      </c>
      <c r="L191" s="102">
        <v>17500</v>
      </c>
      <c r="N191" s="405" t="s">
        <v>1791</v>
      </c>
      <c r="O191" s="102">
        <v>17800</v>
      </c>
      <c r="P191" s="102"/>
    </row>
    <row r="192" spans="2:19" x14ac:dyDescent="0.35">
      <c r="B192" s="405" t="s">
        <v>1792</v>
      </c>
      <c r="C192" s="102">
        <f>-(B201*B200*B202/100)</f>
        <v>-1320.0074999999999</v>
      </c>
      <c r="E192" s="405" t="s">
        <v>1792</v>
      </c>
      <c r="F192" s="102">
        <f>-(E201*E200*E202/100)</f>
        <v>-1320.0074999999999</v>
      </c>
      <c r="H192" s="405" t="s">
        <v>1792</v>
      </c>
      <c r="I192" s="102">
        <f>-(H201*H200*H202/100)</f>
        <v>0</v>
      </c>
      <c r="K192" s="405" t="s">
        <v>1792</v>
      </c>
      <c r="L192" s="102">
        <v>0</v>
      </c>
      <c r="N192" s="405" t="s">
        <v>1792</v>
      </c>
      <c r="O192" s="102">
        <v>0</v>
      </c>
      <c r="P192" s="102"/>
    </row>
    <row r="193" spans="2:16" x14ac:dyDescent="0.35">
      <c r="B193" s="405" t="s">
        <v>1793</v>
      </c>
      <c r="C193" s="102">
        <v>0</v>
      </c>
      <c r="E193" s="405" t="s">
        <v>1793</v>
      </c>
      <c r="F193" s="102">
        <v>0</v>
      </c>
      <c r="H193" s="405" t="s">
        <v>1793</v>
      </c>
      <c r="I193" s="102">
        <v>0</v>
      </c>
      <c r="K193" s="405" t="s">
        <v>1793</v>
      </c>
      <c r="L193" s="102">
        <v>400</v>
      </c>
      <c r="N193" s="405" t="s">
        <v>1793</v>
      </c>
      <c r="O193" s="102">
        <v>400</v>
      </c>
      <c r="P193" s="102"/>
    </row>
    <row r="194" spans="2:16" x14ac:dyDescent="0.35">
      <c r="B194" s="405" t="s">
        <v>1794</v>
      </c>
      <c r="C194" s="102">
        <v>0</v>
      </c>
      <c r="E194" s="405" t="s">
        <v>1794</v>
      </c>
      <c r="F194" s="102">
        <v>0</v>
      </c>
      <c r="H194" s="405" t="s">
        <v>1794</v>
      </c>
      <c r="I194" s="102">
        <v>0</v>
      </c>
      <c r="K194" s="405" t="s">
        <v>1794</v>
      </c>
      <c r="L194" s="102">
        <v>500</v>
      </c>
      <c r="N194" s="405" t="s">
        <v>1794</v>
      </c>
      <c r="O194" s="102">
        <v>500</v>
      </c>
      <c r="P194" s="102"/>
    </row>
    <row r="195" spans="2:16" x14ac:dyDescent="0.35">
      <c r="B195" s="405" t="s">
        <v>1795</v>
      </c>
      <c r="C195" s="102">
        <v>0</v>
      </c>
      <c r="E195" s="405" t="s">
        <v>1795</v>
      </c>
      <c r="F195" s="102">
        <v>0</v>
      </c>
      <c r="H195" s="405" t="s">
        <v>1795</v>
      </c>
      <c r="I195" s="102">
        <v>0</v>
      </c>
      <c r="K195" s="405" t="s">
        <v>1795</v>
      </c>
      <c r="L195" s="102">
        <v>889.71821917808234</v>
      </c>
      <c r="N195" s="405" t="s">
        <v>1795</v>
      </c>
      <c r="O195" s="102"/>
      <c r="P195" s="102"/>
    </row>
    <row r="196" spans="2:16" x14ac:dyDescent="0.35">
      <c r="B196" s="405" t="s">
        <v>1796</v>
      </c>
      <c r="C196" s="102">
        <v>0</v>
      </c>
      <c r="E196" s="405" t="s">
        <v>1796</v>
      </c>
      <c r="F196" s="102">
        <v>0</v>
      </c>
      <c r="H196" s="405" t="s">
        <v>1796</v>
      </c>
      <c r="I196" s="102">
        <v>0</v>
      </c>
      <c r="K196" s="405" t="s">
        <v>1796</v>
      </c>
      <c r="L196" s="102">
        <v>636.00000000000023</v>
      </c>
      <c r="N196" s="405" t="s">
        <v>1796</v>
      </c>
      <c r="O196" s="489">
        <f>445+2023</f>
        <v>2468</v>
      </c>
      <c r="P196" s="102"/>
    </row>
    <row r="197" spans="2:16" x14ac:dyDescent="0.35">
      <c r="B197" s="412" t="s">
        <v>1801</v>
      </c>
      <c r="C197" s="411"/>
      <c r="E197" s="412" t="s">
        <v>1801</v>
      </c>
      <c r="F197" s="411"/>
      <c r="H197" s="412" t="s">
        <v>1801</v>
      </c>
      <c r="I197" s="411"/>
      <c r="K197" s="412" t="s">
        <v>1801</v>
      </c>
      <c r="L197" s="411"/>
      <c r="N197" s="412" t="s">
        <v>1801</v>
      </c>
      <c r="O197" s="411"/>
      <c r="P197" s="411"/>
    </row>
    <row r="198" spans="2:16" x14ac:dyDescent="0.35">
      <c r="E198" s="405"/>
      <c r="H198" s="405"/>
      <c r="K198" s="405"/>
      <c r="O198" s="406"/>
      <c r="P198" s="406"/>
    </row>
    <row r="199" spans="2:16" x14ac:dyDescent="0.35">
      <c r="B199" s="410" t="s">
        <v>1802</v>
      </c>
      <c r="C199" s="409">
        <f>SUM(C191:C196)</f>
        <v>4514.58</v>
      </c>
      <c r="E199" s="410" t="s">
        <v>1802</v>
      </c>
      <c r="F199" s="409">
        <f>SUM(F191:F196)</f>
        <v>4514.58</v>
      </c>
      <c r="H199" s="410" t="s">
        <v>1802</v>
      </c>
      <c r="I199" s="409">
        <f>SUM(I191:I196)</f>
        <v>0</v>
      </c>
      <c r="K199" s="410" t="s">
        <v>1802</v>
      </c>
      <c r="L199" s="409">
        <f>SUM(L191:L196)</f>
        <v>19925.718219178081</v>
      </c>
      <c r="N199" s="410" t="s">
        <v>1802</v>
      </c>
      <c r="O199" s="409">
        <f>SUM(O191:O196)</f>
        <v>21168</v>
      </c>
      <c r="P199" s="409"/>
    </row>
    <row r="200" spans="2:16" x14ac:dyDescent="0.35">
      <c r="B200" s="405">
        <v>7.25</v>
      </c>
      <c r="C200" s="405">
        <v>21.51</v>
      </c>
      <c r="E200" s="405">
        <v>7.25</v>
      </c>
      <c r="F200" s="405">
        <v>21.51</v>
      </c>
      <c r="H200" s="405">
        <v>7.25</v>
      </c>
      <c r="I200" s="405">
        <v>21.51</v>
      </c>
      <c r="K200" s="405">
        <v>7.25</v>
      </c>
      <c r="L200" s="405">
        <v>21.51</v>
      </c>
      <c r="N200" s="405">
        <v>7.25</v>
      </c>
      <c r="O200" s="405">
        <v>21.51</v>
      </c>
    </row>
    <row r="201" spans="2:16" x14ac:dyDescent="0.35">
      <c r="B201" s="405">
        <v>86.7</v>
      </c>
      <c r="C201" s="405">
        <v>70</v>
      </c>
      <c r="E201" s="405">
        <v>86.7</v>
      </c>
      <c r="F201" s="405">
        <v>70</v>
      </c>
      <c r="H201" s="405">
        <v>86.7</v>
      </c>
      <c r="I201" s="405">
        <v>70</v>
      </c>
      <c r="K201" s="405">
        <v>86.7</v>
      </c>
      <c r="L201" s="405">
        <v>70</v>
      </c>
      <c r="N201" s="405">
        <v>86.7</v>
      </c>
      <c r="O201" s="405">
        <v>70</v>
      </c>
    </row>
    <row r="202" spans="2:16" x14ac:dyDescent="0.35">
      <c r="B202" s="405">
        <v>210</v>
      </c>
      <c r="C202" s="406">
        <v>387.5</v>
      </c>
      <c r="E202" s="405">
        <v>210</v>
      </c>
      <c r="F202" s="406">
        <v>387.5</v>
      </c>
      <c r="H202" s="405">
        <v>0</v>
      </c>
      <c r="I202" s="406">
        <v>0</v>
      </c>
      <c r="K202" s="405">
        <v>0</v>
      </c>
      <c r="L202" s="406">
        <v>0</v>
      </c>
      <c r="N202" s="405">
        <v>0</v>
      </c>
      <c r="O202" s="406">
        <v>0</v>
      </c>
      <c r="P202" s="406"/>
    </row>
  </sheetData>
  <mergeCells count="5">
    <mergeCell ref="B40:O40"/>
    <mergeCell ref="B1:O1"/>
    <mergeCell ref="B81:O81"/>
    <mergeCell ref="B122:O122"/>
    <mergeCell ref="B162:O162"/>
  </mergeCells>
  <pageMargins left="0.7" right="0.7" top="0.75" bottom="0.75" header="0.3" footer="0.3"/>
  <headerFooter>
    <oddHeader>&amp;C&amp;"Aptos"&amp;10&amp;K008000 Classification: AramcoTrading-US  General Use&amp;1#_x000D_</oddHeader>
    <oddFooter>&amp;C_x000D_&amp;1#&amp;"Aptos"&amp;10&amp;K008000 This content is classified as AramcoTrading-US General Use by Cantafio, Alberto (ATA) on 2026-03-19T17:12:36.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87C9-A12D-4F31-A246-4C1ADB7A5C2E}">
  <sheetPr codeName="Sheet6">
    <tabColor rgb="FF7030A0"/>
  </sheetPr>
  <dimension ref="A2:AB509"/>
  <sheetViews>
    <sheetView topLeftCell="A474" zoomScale="75" zoomScaleNormal="75" workbookViewId="0">
      <selection activeCell="C503" sqref="C503"/>
    </sheetView>
  </sheetViews>
  <sheetFormatPr defaultRowHeight="14.5" x14ac:dyDescent="0.35"/>
  <cols>
    <col min="1" max="1" width="29.26953125" bestFit="1" customWidth="1"/>
    <col min="2" max="2" width="15.54296875" customWidth="1"/>
    <col min="3" max="3" width="17.7265625" bestFit="1" customWidth="1"/>
    <col min="4" max="4" width="19.26953125" bestFit="1" customWidth="1"/>
    <col min="5" max="5" width="37.26953125" customWidth="1"/>
    <col min="6" max="6" width="14.7265625" customWidth="1"/>
    <col min="7" max="7" width="11.453125" customWidth="1"/>
    <col min="8" max="8" width="13.7265625" bestFit="1" customWidth="1"/>
    <col min="9" max="9" width="27.26953125" bestFit="1" customWidth="1"/>
    <col min="10" max="10" width="23.7265625" bestFit="1" customWidth="1"/>
    <col min="12" max="12" width="19.54296875" bestFit="1" customWidth="1"/>
    <col min="14" max="14" width="22.7265625" bestFit="1" customWidth="1"/>
    <col min="15" max="15" width="17.26953125" customWidth="1"/>
    <col min="16" max="16" width="12.54296875" bestFit="1" customWidth="1"/>
    <col min="17" max="17" width="29.26953125" bestFit="1" customWidth="1"/>
    <col min="18" max="18" width="16.7265625" customWidth="1"/>
    <col min="19" max="19" width="10.26953125" bestFit="1" customWidth="1"/>
    <col min="20" max="20" width="9.54296875" bestFit="1" customWidth="1"/>
    <col min="21" max="21" width="11.54296875" bestFit="1" customWidth="1"/>
    <col min="22" max="22" width="9.7265625" bestFit="1" customWidth="1"/>
    <col min="26" max="26" width="9.7265625" bestFit="1" customWidth="1"/>
  </cols>
  <sheetData>
    <row r="2" spans="2:19" x14ac:dyDescent="0.35">
      <c r="B2" s="122" t="str">
        <f>'Trades 2026 1.14'!$A$409</f>
        <v>HDO April 12-22 25</v>
      </c>
      <c r="C2">
        <v>6400</v>
      </c>
      <c r="E2" s="122" t="str">
        <f>'Trades 2026 1.14'!$A$448</f>
        <v>CPC TAIWAN APR 23-27</v>
      </c>
      <c r="F2">
        <v>10050</v>
      </c>
      <c r="G2">
        <v>8200</v>
      </c>
      <c r="J2" s="114" t="s">
        <v>736</v>
      </c>
      <c r="N2" s="114" t="str">
        <f>'Trades 2026 1.14'!$A$567</f>
        <v>FOB BP March 15-16 Epic</v>
      </c>
      <c r="R2" s="114" t="str">
        <f>'Trades 2026 1.14'!$A$574</f>
        <v>EXTAP CIF Rotts Apr 20-24</v>
      </c>
    </row>
    <row r="3" spans="2:19" x14ac:dyDescent="0.35">
      <c r="J3" t="s">
        <v>1858</v>
      </c>
      <c r="N3" t="s">
        <v>1858</v>
      </c>
      <c r="R3" t="s">
        <v>1858</v>
      </c>
    </row>
    <row r="4" spans="2:19" x14ac:dyDescent="0.35">
      <c r="B4" t="s">
        <v>1859</v>
      </c>
      <c r="C4">
        <v>1.65</v>
      </c>
      <c r="E4" t="s">
        <v>1859</v>
      </c>
      <c r="F4">
        <v>0.8</v>
      </c>
      <c r="G4">
        <v>0.8</v>
      </c>
      <c r="J4" t="s">
        <v>1860</v>
      </c>
      <c r="K4">
        <v>1.55</v>
      </c>
      <c r="M4" s="18" t="s">
        <v>113</v>
      </c>
      <c r="N4" t="s">
        <v>1860</v>
      </c>
      <c r="O4">
        <v>1.55</v>
      </c>
      <c r="P4" s="18" t="s">
        <v>113</v>
      </c>
      <c r="R4" t="s">
        <v>1860</v>
      </c>
      <c r="S4" s="4">
        <v>1.55</v>
      </c>
    </row>
    <row r="5" spans="2:19" x14ac:dyDescent="0.35">
      <c r="B5" t="s">
        <v>1861</v>
      </c>
      <c r="C5">
        <v>0.68</v>
      </c>
      <c r="E5" t="s">
        <v>1861</v>
      </c>
      <c r="F5">
        <v>0.49</v>
      </c>
      <c r="G5">
        <v>0.49</v>
      </c>
      <c r="J5" t="s">
        <v>1862</v>
      </c>
      <c r="K5">
        <v>0</v>
      </c>
      <c r="M5" t="s">
        <v>1863</v>
      </c>
      <c r="N5" t="s">
        <v>1862</v>
      </c>
      <c r="O5">
        <v>0.02</v>
      </c>
      <c r="P5" t="s">
        <v>1863</v>
      </c>
      <c r="R5" t="s">
        <v>1862</v>
      </c>
      <c r="S5" s="4">
        <v>0.15</v>
      </c>
    </row>
    <row r="6" spans="2:19" x14ac:dyDescent="0.35">
      <c r="B6" s="18" t="s">
        <v>1864</v>
      </c>
      <c r="C6" s="18">
        <f>C4+C5</f>
        <v>2.33</v>
      </c>
      <c r="E6" s="18" t="s">
        <v>1864</v>
      </c>
      <c r="F6" s="18">
        <f>F4+F5</f>
        <v>1.29</v>
      </c>
      <c r="G6" s="18">
        <f>G4+G5</f>
        <v>1.29</v>
      </c>
      <c r="J6" t="s">
        <v>1865</v>
      </c>
      <c r="K6">
        <v>0.32</v>
      </c>
      <c r="N6" t="s">
        <v>1865</v>
      </c>
      <c r="O6">
        <v>0.47</v>
      </c>
      <c r="R6" t="s">
        <v>1865</v>
      </c>
      <c r="S6" s="4">
        <v>0.39</v>
      </c>
    </row>
    <row r="7" spans="2:19" x14ac:dyDescent="0.35">
      <c r="B7" t="s">
        <v>1866</v>
      </c>
      <c r="C7">
        <v>0.54</v>
      </c>
      <c r="E7" t="s">
        <v>1866</v>
      </c>
      <c r="F7">
        <v>0.83</v>
      </c>
      <c r="G7" s="98">
        <f>'Trades 2026 1.14'!I451</f>
        <v>0.15</v>
      </c>
      <c r="J7" s="18" t="s">
        <v>1867</v>
      </c>
      <c r="K7" s="18">
        <v>-3.55</v>
      </c>
      <c r="N7" s="18" t="s">
        <v>1867</v>
      </c>
      <c r="O7" s="18">
        <v>-3.4</v>
      </c>
      <c r="R7" t="s">
        <v>1868</v>
      </c>
      <c r="S7" s="4">
        <v>0.39</v>
      </c>
    </row>
    <row r="8" spans="2:19" x14ac:dyDescent="0.35">
      <c r="B8" t="s">
        <v>1869</v>
      </c>
      <c r="C8">
        <v>-3.55</v>
      </c>
      <c r="E8" t="s">
        <v>1869</v>
      </c>
      <c r="F8">
        <v>-3.4</v>
      </c>
      <c r="G8" s="98">
        <f>'Trades 2026 1.14'!I452</f>
        <v>-3.42</v>
      </c>
      <c r="J8" s="18" t="s">
        <v>1870</v>
      </c>
      <c r="K8" s="18">
        <f>SUM(K3:K7)</f>
        <v>-1.6799999999999997</v>
      </c>
      <c r="N8" s="18" t="s">
        <v>1870</v>
      </c>
      <c r="O8" s="18">
        <f>SUM(O3:O7)</f>
        <v>-1.3599999999999999</v>
      </c>
      <c r="R8" s="18" t="s">
        <v>1867</v>
      </c>
      <c r="S8" s="49">
        <v>-3.42</v>
      </c>
    </row>
    <row r="9" spans="2:19" x14ac:dyDescent="0.35">
      <c r="B9" s="18" t="s">
        <v>1870</v>
      </c>
      <c r="C9" s="18">
        <f>C6+C7+C8</f>
        <v>-0.67999999999999972</v>
      </c>
      <c r="E9" s="18" t="s">
        <v>1870</v>
      </c>
      <c r="F9" s="18">
        <f>F6+F7+F8</f>
        <v>-1.2799999999999998</v>
      </c>
      <c r="G9" s="18">
        <f>G6+G7+G8</f>
        <v>-1.98</v>
      </c>
      <c r="J9" t="s">
        <v>29</v>
      </c>
      <c r="K9">
        <v>3.02</v>
      </c>
      <c r="N9" t="s">
        <v>29</v>
      </c>
      <c r="O9">
        <v>0</v>
      </c>
      <c r="R9" s="18" t="s">
        <v>1870</v>
      </c>
      <c r="S9" s="49">
        <f>SUM(S3:S8)</f>
        <v>-0.94</v>
      </c>
    </row>
    <row r="10" spans="2:19" x14ac:dyDescent="0.35">
      <c r="B10" t="s">
        <v>1871</v>
      </c>
      <c r="C10">
        <f>+C2/2068</f>
        <v>3.094777562862669</v>
      </c>
      <c r="E10" t="s">
        <v>1871</v>
      </c>
      <c r="F10">
        <f>+F2/2085</f>
        <v>4.8201438848920866</v>
      </c>
      <c r="G10">
        <f>+G2/2085</f>
        <v>3.9328537170263789</v>
      </c>
      <c r="J10" t="s">
        <v>1872</v>
      </c>
      <c r="K10" s="101">
        <v>0.13</v>
      </c>
      <c r="N10" t="s">
        <v>1872</v>
      </c>
      <c r="O10" s="101">
        <v>0</v>
      </c>
      <c r="R10" t="s">
        <v>29</v>
      </c>
      <c r="S10" s="15" t="e">
        <f>'Trades 2026 1.14'!T464/'Trades 2026 1.14'!T463</f>
        <v>#VALUE!</v>
      </c>
    </row>
    <row r="11" spans="2:19" x14ac:dyDescent="0.35">
      <c r="B11" t="s">
        <v>47</v>
      </c>
      <c r="C11" s="101">
        <v>7.0000000000000007E-2</v>
      </c>
      <c r="E11" t="s">
        <v>47</v>
      </c>
      <c r="F11">
        <v>7.0000000000000007E-2</v>
      </c>
      <c r="G11">
        <v>0</v>
      </c>
      <c r="J11" t="s">
        <v>1873</v>
      </c>
      <c r="K11">
        <v>0.47</v>
      </c>
      <c r="N11" t="s">
        <v>1873</v>
      </c>
      <c r="O11">
        <v>0</v>
      </c>
      <c r="R11" t="s">
        <v>1872</v>
      </c>
      <c r="S11" s="119">
        <f>0.52-0.07</f>
        <v>0.45</v>
      </c>
    </row>
    <row r="12" spans="2:19" x14ac:dyDescent="0.35">
      <c r="B12" t="s">
        <v>1874</v>
      </c>
      <c r="C12">
        <v>0.25</v>
      </c>
      <c r="E12" t="s">
        <v>1874</v>
      </c>
      <c r="F12">
        <v>0.21</v>
      </c>
      <c r="J12" t="s">
        <v>1875</v>
      </c>
      <c r="K12">
        <v>0.46</v>
      </c>
      <c r="N12" t="s">
        <v>1875</v>
      </c>
      <c r="O12">
        <v>0.44</v>
      </c>
      <c r="R12" t="s">
        <v>1873</v>
      </c>
      <c r="S12" s="4">
        <v>0.45</v>
      </c>
    </row>
    <row r="13" spans="2:19" x14ac:dyDescent="0.35">
      <c r="B13" t="s">
        <v>1876</v>
      </c>
      <c r="C13" s="20"/>
      <c r="E13" t="s">
        <v>1876</v>
      </c>
      <c r="F13" s="137">
        <v>0</v>
      </c>
      <c r="J13" s="18" t="s">
        <v>540</v>
      </c>
      <c r="K13" s="108">
        <f>K8+K9+K10-K11+K12</f>
        <v>1.4600000000000002</v>
      </c>
      <c r="N13" s="18" t="s">
        <v>540</v>
      </c>
      <c r="O13" s="108">
        <f>O8+O9+O10-O11+O12</f>
        <v>-0.91999999999999993</v>
      </c>
      <c r="S13" s="4"/>
    </row>
    <row r="14" spans="2:19" x14ac:dyDescent="0.35">
      <c r="B14" t="s">
        <v>1872</v>
      </c>
      <c r="C14">
        <v>0</v>
      </c>
      <c r="E14" t="s">
        <v>1872</v>
      </c>
      <c r="F14">
        <v>0.19</v>
      </c>
      <c r="H14">
        <f>0.69-F13-F12-F11</f>
        <v>0.41</v>
      </c>
      <c r="J14" t="s">
        <v>1877</v>
      </c>
      <c r="K14" s="98">
        <v>1.45</v>
      </c>
      <c r="N14" t="s">
        <v>1877</v>
      </c>
      <c r="O14" s="98">
        <v>-0.55000000000000004</v>
      </c>
      <c r="R14" s="18" t="s">
        <v>1797</v>
      </c>
      <c r="S14" s="120" t="e">
        <f>S9+S10+S11-S12+S13</f>
        <v>#VALUE!</v>
      </c>
    </row>
    <row r="15" spans="2:19" x14ac:dyDescent="0.35">
      <c r="B15" t="s">
        <v>1878</v>
      </c>
      <c r="C15">
        <v>0.54</v>
      </c>
      <c r="E15" t="s">
        <v>1878</v>
      </c>
      <c r="F15">
        <v>0.82</v>
      </c>
      <c r="G15" s="98">
        <f>'Trades 2026 1.14'!I453</f>
        <v>0.37</v>
      </c>
      <c r="K15" s="17">
        <f>K14-K13</f>
        <v>-1.0000000000000231E-2</v>
      </c>
      <c r="O15" s="17">
        <f>O14-O13</f>
        <v>0.36999999999999988</v>
      </c>
      <c r="R15" t="s">
        <v>1877</v>
      </c>
      <c r="S15" s="7">
        <v>0.45</v>
      </c>
    </row>
    <row r="16" spans="2:19" x14ac:dyDescent="0.35">
      <c r="B16" t="s">
        <v>1879</v>
      </c>
      <c r="E16" t="s">
        <v>1879</v>
      </c>
      <c r="F16">
        <v>0.78</v>
      </c>
      <c r="G16">
        <f>'Trades 2026 1.14'!I454</f>
        <v>1.1299999999999999</v>
      </c>
      <c r="S16" s="15" t="e">
        <f>S15-S14</f>
        <v>#VALUE!</v>
      </c>
    </row>
    <row r="17" spans="2:13" x14ac:dyDescent="0.35">
      <c r="B17" s="18" t="s">
        <v>540</v>
      </c>
      <c r="C17" s="18">
        <f>C9+C10+C11+C15-C16+C12+C13+C14</f>
        <v>3.2747775628626692</v>
      </c>
      <c r="E17" s="18" t="s">
        <v>540</v>
      </c>
      <c r="F17" s="18">
        <f>F9+F10+F11+F15-F16+F12+F13+F14</f>
        <v>4.050143884892087</v>
      </c>
      <c r="G17" s="18">
        <f>G9+G10+G11+G15-G16</f>
        <v>1.1928537170263791</v>
      </c>
    </row>
    <row r="18" spans="2:13" x14ac:dyDescent="0.35">
      <c r="C18">
        <v>3.95</v>
      </c>
      <c r="F18">
        <v>5.0999999999999996</v>
      </c>
      <c r="G18">
        <v>5.0999999999999996</v>
      </c>
    </row>
    <row r="19" spans="2:13" x14ac:dyDescent="0.35">
      <c r="F19">
        <f>F18-F17</f>
        <v>1.0498561151079127</v>
      </c>
      <c r="G19">
        <f>G18-G17</f>
        <v>3.9071462829736205</v>
      </c>
    </row>
    <row r="21" spans="2:13" x14ac:dyDescent="0.35">
      <c r="E21" t="s">
        <v>1859</v>
      </c>
      <c r="F21">
        <v>1.55</v>
      </c>
      <c r="G21" s="18" t="s">
        <v>113</v>
      </c>
      <c r="H21" s="18">
        <f>F27</f>
        <v>-1.99</v>
      </c>
    </row>
    <row r="22" spans="2:13" x14ac:dyDescent="0.35">
      <c r="E22" t="s">
        <v>1858</v>
      </c>
      <c r="F22">
        <v>0.05</v>
      </c>
      <c r="G22" t="s">
        <v>1863</v>
      </c>
      <c r="H22">
        <v>-1.9</v>
      </c>
    </row>
    <row r="23" spans="2:13" x14ac:dyDescent="0.35">
      <c r="E23" s="18" t="s">
        <v>1864</v>
      </c>
      <c r="F23" s="18">
        <f>F21+F22</f>
        <v>1.6</v>
      </c>
      <c r="H23" s="18">
        <f>H22-H21</f>
        <v>9.000000000000008E-2</v>
      </c>
    </row>
    <row r="24" spans="2:13" x14ac:dyDescent="0.35">
      <c r="E24" t="s">
        <v>1866</v>
      </c>
      <c r="F24">
        <f>'Trades 2026 1.14'!H542</f>
        <v>0.01</v>
      </c>
    </row>
    <row r="25" spans="2:13" x14ac:dyDescent="0.35">
      <c r="E25" t="s">
        <v>1866</v>
      </c>
      <c r="F25">
        <f>'Trades 2026 1.14'!H543</f>
        <v>0.23</v>
      </c>
    </row>
    <row r="26" spans="2:13" x14ac:dyDescent="0.35">
      <c r="E26" t="s">
        <v>1869</v>
      </c>
      <c r="F26" s="98">
        <f>'Trades 2026 1.14'!H544</f>
        <v>-3.83</v>
      </c>
    </row>
    <row r="27" spans="2:13" x14ac:dyDescent="0.35">
      <c r="F27">
        <f>SUM(F23:F26)</f>
        <v>-1.99</v>
      </c>
    </row>
    <row r="29" spans="2:13" x14ac:dyDescent="0.35">
      <c r="B29" s="122" t="str">
        <f>'Trades 2026 1.14'!$A$510</f>
        <v>HDO May 10-20 WTI+WTL</v>
      </c>
      <c r="I29" s="122" t="str">
        <f>'Trades 2026 1.14'!$A$601</f>
        <v>HDO June DAP 5-15 WTI+WTL</v>
      </c>
    </row>
    <row r="30" spans="2:13" x14ac:dyDescent="0.35">
      <c r="B30">
        <v>9250</v>
      </c>
      <c r="C30">
        <v>1400</v>
      </c>
      <c r="D30">
        <v>700</v>
      </c>
      <c r="E30">
        <v>9250</v>
      </c>
      <c r="F30">
        <v>1400</v>
      </c>
      <c r="G30">
        <v>700</v>
      </c>
      <c r="J30" t="s">
        <v>5</v>
      </c>
      <c r="K30" t="s">
        <v>1880</v>
      </c>
    </row>
    <row r="31" spans="2:13" x14ac:dyDescent="0.35">
      <c r="B31">
        <v>2100</v>
      </c>
      <c r="C31">
        <v>0.55000000000000004</v>
      </c>
      <c r="D31">
        <v>0.1</v>
      </c>
      <c r="E31">
        <v>2075</v>
      </c>
      <c r="F31">
        <v>0.55000000000000004</v>
      </c>
      <c r="G31">
        <v>0.1</v>
      </c>
      <c r="J31">
        <v>1400</v>
      </c>
      <c r="K31">
        <v>700</v>
      </c>
    </row>
    <row r="32" spans="2:13" x14ac:dyDescent="0.35">
      <c r="B32" t="s">
        <v>1860</v>
      </c>
      <c r="C32">
        <v>1.5</v>
      </c>
      <c r="D32">
        <v>1.5</v>
      </c>
      <c r="E32" t="s">
        <v>1860</v>
      </c>
      <c r="F32">
        <v>1.5</v>
      </c>
      <c r="G32">
        <v>1.5</v>
      </c>
      <c r="J32">
        <v>0.55000000000000004</v>
      </c>
      <c r="K32">
        <v>0.1</v>
      </c>
      <c r="M32">
        <v>7300</v>
      </c>
    </row>
    <row r="33" spans="2:16" x14ac:dyDescent="0.35">
      <c r="B33" t="s">
        <v>1862</v>
      </c>
      <c r="C33">
        <v>0.25</v>
      </c>
      <c r="D33">
        <f>C33</f>
        <v>0.25</v>
      </c>
      <c r="E33" t="s">
        <v>1862</v>
      </c>
      <c r="F33" s="98">
        <f>'Trades 2026 1.14'!I514</f>
        <v>0.15</v>
      </c>
      <c r="G33">
        <v>0.1</v>
      </c>
      <c r="I33" t="s">
        <v>1881</v>
      </c>
      <c r="J33" s="17">
        <v>1.4</v>
      </c>
      <c r="K33" s="17">
        <v>1.4</v>
      </c>
      <c r="M33">
        <v>2086</v>
      </c>
    </row>
    <row r="34" spans="2:16" x14ac:dyDescent="0.35">
      <c r="B34" t="s">
        <v>1865</v>
      </c>
      <c r="C34">
        <v>0.28999999999999998</v>
      </c>
      <c r="D34">
        <v>0.28999999999999998</v>
      </c>
      <c r="E34" t="s">
        <v>1865</v>
      </c>
      <c r="F34" s="98">
        <f>'Trades 2026 1.14'!I515</f>
        <v>0.25</v>
      </c>
      <c r="G34" s="98">
        <f>F34</f>
        <v>0.25</v>
      </c>
      <c r="I34" t="s">
        <v>1882</v>
      </c>
      <c r="J34" s="108">
        <v>0.37</v>
      </c>
      <c r="K34" s="17">
        <f>J34</f>
        <v>0.37</v>
      </c>
    </row>
    <row r="35" spans="2:16" x14ac:dyDescent="0.35">
      <c r="B35" s="18" t="s">
        <v>1883</v>
      </c>
      <c r="C35" s="18">
        <v>-3.78</v>
      </c>
      <c r="D35" s="18">
        <v>-3.78</v>
      </c>
      <c r="E35" s="18" t="s">
        <v>1883</v>
      </c>
      <c r="F35" s="109">
        <f>'Trades 2026 1.14'!I516</f>
        <v>-3.26</v>
      </c>
      <c r="G35" s="109">
        <f>F35</f>
        <v>-3.26</v>
      </c>
      <c r="I35" t="s">
        <v>1884</v>
      </c>
      <c r="J35" s="108">
        <v>0.43</v>
      </c>
      <c r="K35" s="17">
        <v>0.43</v>
      </c>
      <c r="O35" s="50">
        <v>7300000</v>
      </c>
      <c r="P35" s="121">
        <f t="shared" ref="P35:P40" si="0">O35/(SUM($J$31:$K$31)*1000)</f>
        <v>3.4761904761904763</v>
      </c>
    </row>
    <row r="36" spans="2:16" x14ac:dyDescent="0.35">
      <c r="F36" s="98"/>
      <c r="G36" s="98"/>
      <c r="I36" s="18" t="s">
        <v>1885</v>
      </c>
      <c r="J36" s="108">
        <v>-3.48</v>
      </c>
      <c r="K36" s="108">
        <v>-3.78</v>
      </c>
      <c r="O36" s="50">
        <v>140000</v>
      </c>
      <c r="P36" s="121">
        <f t="shared" si="0"/>
        <v>6.6666666666666666E-2</v>
      </c>
    </row>
    <row r="37" spans="2:16" x14ac:dyDescent="0.35">
      <c r="B37" s="18" t="s">
        <v>1870</v>
      </c>
      <c r="C37" s="18">
        <f>SUM(C31:C35)</f>
        <v>-1.19</v>
      </c>
      <c r="D37" s="18">
        <f>SUM(D31:D35)</f>
        <v>-1.6399999999999997</v>
      </c>
      <c r="E37" s="18" t="s">
        <v>1870</v>
      </c>
      <c r="F37" s="18">
        <f>F31+F32+F33+F34+F35</f>
        <v>-0.81</v>
      </c>
      <c r="G37" s="18">
        <f>G31+G32+G33+G34+G35</f>
        <v>-1.3099999999999996</v>
      </c>
      <c r="I37" t="s">
        <v>1886</v>
      </c>
      <c r="J37" s="118">
        <f>SUM(J32:J36)</f>
        <v>-0.73</v>
      </c>
      <c r="K37" s="118">
        <v>-1.1499999999999999</v>
      </c>
      <c r="O37" s="50">
        <v>450000</v>
      </c>
      <c r="P37" s="121">
        <f t="shared" si="0"/>
        <v>0.21428571428571427</v>
      </c>
    </row>
    <row r="38" spans="2:16" x14ac:dyDescent="0.35">
      <c r="B38" t="s">
        <v>29</v>
      </c>
      <c r="C38">
        <f>B30/B31</f>
        <v>4.4047619047619051</v>
      </c>
      <c r="D38">
        <f>B30/B31</f>
        <v>4.4047619047619051</v>
      </c>
      <c r="E38" t="s">
        <v>29</v>
      </c>
      <c r="F38">
        <f>E30/E31</f>
        <v>4.4578313253012052</v>
      </c>
      <c r="G38">
        <f>E30/E31</f>
        <v>4.4578313253012052</v>
      </c>
      <c r="I38" t="s">
        <v>1871</v>
      </c>
      <c r="J38" s="108">
        <f>M32/M33</f>
        <v>3.4995206136145733</v>
      </c>
      <c r="K38" s="108">
        <f>M32/M33</f>
        <v>3.4995206136145733</v>
      </c>
      <c r="L38" t="s">
        <v>1887</v>
      </c>
      <c r="O38" s="50">
        <v>11972.465753424656</v>
      </c>
      <c r="P38" s="121">
        <f t="shared" si="0"/>
        <v>5.7011741682974557E-3</v>
      </c>
    </row>
    <row r="39" spans="2:16" x14ac:dyDescent="0.35">
      <c r="B39" t="s">
        <v>1872</v>
      </c>
      <c r="C39" s="101">
        <f>0.96-0.38-0.11</f>
        <v>0.47</v>
      </c>
      <c r="D39" s="101">
        <f>C39</f>
        <v>0.47</v>
      </c>
      <c r="E39" t="s">
        <v>1872</v>
      </c>
      <c r="F39" s="101">
        <v>0.96</v>
      </c>
      <c r="G39" s="101">
        <f>F39</f>
        <v>0.96</v>
      </c>
      <c r="I39" t="s">
        <v>47</v>
      </c>
      <c r="J39" s="118">
        <f>O36/(SUM($J$31:$K$31)*1000)</f>
        <v>6.6666666666666666E-2</v>
      </c>
      <c r="K39" s="118">
        <f>J39</f>
        <v>6.6666666666666666E-2</v>
      </c>
      <c r="O39" s="50">
        <v>778210.27397260268</v>
      </c>
      <c r="P39" s="121">
        <f t="shared" si="0"/>
        <v>0.37057632093933462</v>
      </c>
    </row>
    <row r="40" spans="2:16" x14ac:dyDescent="0.35">
      <c r="B40" t="s">
        <v>1878</v>
      </c>
      <c r="C40">
        <v>0.48</v>
      </c>
      <c r="D40">
        <v>0.48</v>
      </c>
      <c r="E40" t="s">
        <v>1878</v>
      </c>
      <c r="F40" s="98">
        <v>0.47</v>
      </c>
      <c r="G40" s="98">
        <f>F40</f>
        <v>0.47</v>
      </c>
      <c r="I40" t="s">
        <v>1874</v>
      </c>
      <c r="J40" s="118">
        <f>O37/(SUM($J$31:$K$31)*1000)</f>
        <v>0.21428571428571427</v>
      </c>
      <c r="K40" s="118">
        <f>J40</f>
        <v>0.21428571428571427</v>
      </c>
      <c r="O40" s="50">
        <v>439647.50000000006</v>
      </c>
      <c r="P40" s="121">
        <f t="shared" si="0"/>
        <v>0.20935595238095242</v>
      </c>
    </row>
    <row r="41" spans="2:16" x14ac:dyDescent="0.35">
      <c r="I41" t="s">
        <v>1876</v>
      </c>
      <c r="J41" s="118">
        <f>O38/(SUM($J$31:$K$31)*1000)</f>
        <v>5.7011741682974557E-3</v>
      </c>
      <c r="K41" s="118">
        <f>J41</f>
        <v>5.7011741682974557E-3</v>
      </c>
    </row>
    <row r="42" spans="2:16" x14ac:dyDescent="0.35">
      <c r="B42" s="18" t="s">
        <v>1888</v>
      </c>
      <c r="C42" s="108">
        <f>C37+C38+C39+C40</f>
        <v>4.1647619047619049</v>
      </c>
      <c r="D42" s="108">
        <f>D37+D38+D39+D40-D41</f>
        <v>3.7147619047619052</v>
      </c>
      <c r="E42" s="18" t="s">
        <v>540</v>
      </c>
      <c r="F42" s="108">
        <f>F37+F38+F39+F40-F41</f>
        <v>5.0778313253012053</v>
      </c>
      <c r="G42" s="108">
        <f>G37+G38+G39+G40-G41</f>
        <v>4.5778313253012053</v>
      </c>
      <c r="I42" t="s">
        <v>1872</v>
      </c>
      <c r="J42" s="118">
        <f>O40/(SUM($J$31:$K$31)*1000)-0.07</f>
        <v>0.13935595238095241</v>
      </c>
      <c r="K42" s="118">
        <f>J42</f>
        <v>0.13935595238095241</v>
      </c>
    </row>
    <row r="43" spans="2:16" x14ac:dyDescent="0.35">
      <c r="B43" t="s">
        <v>1877</v>
      </c>
      <c r="C43" s="98">
        <v>4.91</v>
      </c>
      <c r="D43" s="98">
        <f>C43-0.3</f>
        <v>4.6100000000000003</v>
      </c>
      <c r="E43" t="s">
        <v>1877</v>
      </c>
      <c r="F43" s="98">
        <f>4.99+0.35-(0.25/2)</f>
        <v>5.2149999999999999</v>
      </c>
      <c r="G43" s="98">
        <f>F43-0.3</f>
        <v>4.915</v>
      </c>
      <c r="I43" t="s">
        <v>1889</v>
      </c>
      <c r="J43" s="108">
        <v>0.46</v>
      </c>
      <c r="K43" s="17">
        <f>J43</f>
        <v>0.46</v>
      </c>
    </row>
    <row r="44" spans="2:16" x14ac:dyDescent="0.35">
      <c r="C44" s="17">
        <f>C43-C42</f>
        <v>0.74523809523809526</v>
      </c>
      <c r="D44" s="17">
        <f>D43-D42</f>
        <v>0.89523809523809517</v>
      </c>
      <c r="F44" s="17">
        <f>F43-F42</f>
        <v>0.13716867469879457</v>
      </c>
      <c r="G44" s="17">
        <f>G43-G42</f>
        <v>0.33716867469879475</v>
      </c>
      <c r="I44" s="18" t="s">
        <v>1890</v>
      </c>
      <c r="J44" s="108">
        <f>J37+J38+J39+J43+J40+J41+J42</f>
        <v>3.6555301211162043</v>
      </c>
      <c r="K44" s="108">
        <f>K37+K38+K39+K43+K40+K41+K42</f>
        <v>3.2355301211162044</v>
      </c>
    </row>
    <row r="45" spans="2:16" x14ac:dyDescent="0.35">
      <c r="C45" s="91">
        <f>C30*C44</f>
        <v>1043.3333333333333</v>
      </c>
      <c r="D45" s="91">
        <f>D30*D44</f>
        <v>626.66666666666663</v>
      </c>
      <c r="I45" t="s">
        <v>1891</v>
      </c>
      <c r="J45" s="17">
        <v>3.98</v>
      </c>
      <c r="K45" s="17">
        <f>J45-0.3</f>
        <v>3.68</v>
      </c>
    </row>
    <row r="46" spans="2:16" x14ac:dyDescent="0.35">
      <c r="C46" s="98">
        <f>(C44*C30)+(D30*D44)</f>
        <v>1670</v>
      </c>
      <c r="F46" s="98">
        <f>(F44*F30)+(G30*G44)</f>
        <v>428.05421686746871</v>
      </c>
      <c r="J46" s="17"/>
      <c r="K46" s="17"/>
    </row>
    <row r="47" spans="2:16" x14ac:dyDescent="0.35">
      <c r="C47">
        <v>147</v>
      </c>
      <c r="I47" s="115" t="s">
        <v>1799</v>
      </c>
      <c r="J47" s="116">
        <f>J45-J44</f>
        <v>0.32446987888379564</v>
      </c>
      <c r="K47" s="117">
        <f>K45-K44</f>
        <v>0.44446987888379574</v>
      </c>
    </row>
    <row r="48" spans="2:16" x14ac:dyDescent="0.35">
      <c r="C48" s="98">
        <f>SUM(C46:C47)</f>
        <v>1817</v>
      </c>
      <c r="J48" s="17"/>
      <c r="K48" s="17"/>
    </row>
    <row r="49" spans="2:14" x14ac:dyDescent="0.35">
      <c r="J49" s="17">
        <f>(J47*J31)+(K31*K47)</f>
        <v>765.38674565597091</v>
      </c>
      <c r="K49" s="17"/>
    </row>
    <row r="50" spans="2:14" x14ac:dyDescent="0.35">
      <c r="C50">
        <f>(C38+C39)*B31</f>
        <v>10237</v>
      </c>
      <c r="J50" s="17"/>
      <c r="K50" s="17"/>
    </row>
    <row r="51" spans="2:14" x14ac:dyDescent="0.35">
      <c r="J51" s="17">
        <f>SUM(J49:J50)</f>
        <v>765.38674565597091</v>
      </c>
      <c r="K51" s="17"/>
    </row>
    <row r="52" spans="2:14" x14ac:dyDescent="0.35">
      <c r="E52">
        <v>0</v>
      </c>
      <c r="F52">
        <v>0.25</v>
      </c>
    </row>
    <row r="53" spans="2:14" x14ac:dyDescent="0.35">
      <c r="E53">
        <v>467</v>
      </c>
      <c r="F53">
        <v>0.28999999999999998</v>
      </c>
    </row>
    <row r="54" spans="2:14" x14ac:dyDescent="0.35">
      <c r="E54" cm="1">
        <f t="array" ref="E54">SUMPRODUCT(E52:E53,F52:F53/SUM(E52:E53))</f>
        <v>0.28999999999999998</v>
      </c>
    </row>
    <row r="56" spans="2:14" x14ac:dyDescent="0.35">
      <c r="B56" s="122" t="str">
        <f>'Trades 2026 1.14'!$A$633</f>
        <v>Glencore CIF Rdam Apr 22-26</v>
      </c>
      <c r="H56" s="527"/>
      <c r="I56" s="527"/>
      <c r="J56" s="123" t="s">
        <v>5</v>
      </c>
    </row>
    <row r="57" spans="2:14" x14ac:dyDescent="0.35">
      <c r="C57" t="s">
        <v>5</v>
      </c>
      <c r="E57" s="122" t="str">
        <f>'Trades 2026 1.14'!$A$638</f>
        <v>Trafi FOB Apr 23-24</v>
      </c>
      <c r="H57" s="519" t="s">
        <v>1892</v>
      </c>
      <c r="I57" s="519"/>
      <c r="J57" s="124">
        <v>720</v>
      </c>
      <c r="L57" s="519" t="s">
        <v>1893</v>
      </c>
      <c r="M57" s="519"/>
      <c r="N57" s="124">
        <v>700</v>
      </c>
    </row>
    <row r="58" spans="2:14" x14ac:dyDescent="0.35">
      <c r="C58">
        <v>720</v>
      </c>
      <c r="F58">
        <v>700</v>
      </c>
      <c r="H58" s="519" t="s">
        <v>1894</v>
      </c>
      <c r="I58" s="519"/>
      <c r="J58" s="124">
        <v>1.5</v>
      </c>
      <c r="L58" s="519" t="s">
        <v>1894</v>
      </c>
      <c r="M58" s="519"/>
      <c r="N58" s="124">
        <v>1.5</v>
      </c>
    </row>
    <row r="59" spans="2:14" x14ac:dyDescent="0.35">
      <c r="B59" t="s">
        <v>1895</v>
      </c>
      <c r="E59" t="s">
        <v>1895</v>
      </c>
      <c r="H59" s="519" t="s">
        <v>1788</v>
      </c>
      <c r="I59" s="519"/>
      <c r="J59" s="124">
        <v>0.25</v>
      </c>
      <c r="L59" s="519" t="s">
        <v>1788</v>
      </c>
      <c r="M59" s="519"/>
      <c r="N59" s="124">
        <v>0.25</v>
      </c>
    </row>
    <row r="60" spans="2:14" ht="15" thickBot="1" x14ac:dyDescent="0.4">
      <c r="B60" t="s">
        <v>1881</v>
      </c>
      <c r="C60" s="17">
        <v>1.5</v>
      </c>
      <c r="E60" t="s">
        <v>1881</v>
      </c>
      <c r="F60" s="17">
        <v>1.5</v>
      </c>
      <c r="H60" s="520" t="s">
        <v>1896</v>
      </c>
      <c r="I60" s="520"/>
      <c r="J60" s="125">
        <f>J58+J59</f>
        <v>1.75</v>
      </c>
      <c r="L60" s="520" t="s">
        <v>1896</v>
      </c>
      <c r="M60" s="520"/>
      <c r="N60" s="125">
        <f>N58+N59</f>
        <v>1.75</v>
      </c>
    </row>
    <row r="61" spans="2:14" x14ac:dyDescent="0.35">
      <c r="B61" t="s">
        <v>1882</v>
      </c>
      <c r="C61" s="108">
        <v>0.25</v>
      </c>
      <c r="E61" t="s">
        <v>1882</v>
      </c>
      <c r="F61" s="108">
        <v>0.25</v>
      </c>
      <c r="H61" s="521" t="s">
        <v>1897</v>
      </c>
      <c r="I61" s="521"/>
      <c r="J61" s="126">
        <v>0.42</v>
      </c>
      <c r="L61" s="521" t="s">
        <v>1897</v>
      </c>
      <c r="M61" s="521"/>
      <c r="N61" s="126">
        <v>0.42</v>
      </c>
    </row>
    <row r="62" spans="2:14" x14ac:dyDescent="0.35">
      <c r="B62" t="s">
        <v>1884</v>
      </c>
      <c r="C62" s="108">
        <v>0.42</v>
      </c>
      <c r="E62" t="s">
        <v>1884</v>
      </c>
      <c r="F62" s="108">
        <v>0.42</v>
      </c>
      <c r="G62" s="50"/>
      <c r="H62" s="519"/>
      <c r="I62" s="519"/>
      <c r="J62" s="126"/>
      <c r="L62" s="519"/>
      <c r="M62" s="519"/>
      <c r="N62" s="126"/>
    </row>
    <row r="63" spans="2:14" ht="15" thickBot="1" x14ac:dyDescent="0.4">
      <c r="B63" s="18" t="s">
        <v>1885</v>
      </c>
      <c r="C63" s="108">
        <v>-3.76</v>
      </c>
      <c r="E63" s="18" t="s">
        <v>1885</v>
      </c>
      <c r="F63" s="108">
        <v>-3.76</v>
      </c>
      <c r="G63" s="50"/>
      <c r="H63" s="520" t="s">
        <v>1898</v>
      </c>
      <c r="I63" s="520"/>
      <c r="J63" s="127">
        <v>-3.76</v>
      </c>
      <c r="L63" s="520" t="s">
        <v>1898</v>
      </c>
      <c r="M63" s="520"/>
      <c r="N63" s="127">
        <v>-3.76</v>
      </c>
    </row>
    <row r="64" spans="2:14" x14ac:dyDescent="0.35">
      <c r="B64" t="s">
        <v>1886</v>
      </c>
      <c r="C64" s="118">
        <f>C60+C59+C62+C63+C61</f>
        <v>-1.5899999999999999</v>
      </c>
      <c r="E64" t="s">
        <v>1886</v>
      </c>
      <c r="F64" s="118">
        <f>F60+F59+F62+F63+F61</f>
        <v>-1.5899999999999999</v>
      </c>
      <c r="G64" s="50"/>
      <c r="H64" s="522" t="s">
        <v>1899</v>
      </c>
      <c r="I64" s="522"/>
      <c r="J64" s="126">
        <f>J63+J61+J60</f>
        <v>-1.5899999999999999</v>
      </c>
      <c r="L64" s="522" t="s">
        <v>1899</v>
      </c>
      <c r="M64" s="522"/>
      <c r="N64" s="126">
        <f>N63+N61+N60</f>
        <v>-1.5899999999999999</v>
      </c>
    </row>
    <row r="65" spans="2:14" x14ac:dyDescent="0.35">
      <c r="B65" t="s">
        <v>1871</v>
      </c>
      <c r="C65" s="108">
        <v>3.61</v>
      </c>
      <c r="D65" t="s">
        <v>1900</v>
      </c>
      <c r="E65" t="s">
        <v>1871</v>
      </c>
      <c r="F65" s="108"/>
      <c r="G65" s="50"/>
      <c r="H65" s="519" t="s">
        <v>1901</v>
      </c>
      <c r="I65" s="519"/>
      <c r="J65" s="108">
        <v>3.61</v>
      </c>
      <c r="L65" s="519" t="s">
        <v>1901</v>
      </c>
      <c r="M65" s="519"/>
      <c r="N65" s="108">
        <v>0</v>
      </c>
    </row>
    <row r="66" spans="2:14" x14ac:dyDescent="0.35">
      <c r="B66" t="s">
        <v>47</v>
      </c>
      <c r="C66" s="118">
        <v>0</v>
      </c>
      <c r="E66" t="s">
        <v>47</v>
      </c>
      <c r="F66" s="118"/>
      <c r="G66" s="50"/>
      <c r="H66" s="519" t="s">
        <v>1793</v>
      </c>
      <c r="I66" s="519"/>
      <c r="J66" s="118">
        <v>0</v>
      </c>
      <c r="L66" s="519" t="s">
        <v>1793</v>
      </c>
      <c r="M66" s="519"/>
      <c r="N66" s="118">
        <v>0</v>
      </c>
    </row>
    <row r="67" spans="2:14" x14ac:dyDescent="0.35">
      <c r="B67" t="s">
        <v>1874</v>
      </c>
      <c r="C67" s="118">
        <v>0</v>
      </c>
      <c r="E67" t="s">
        <v>1874</v>
      </c>
      <c r="F67" s="118"/>
      <c r="G67" s="50"/>
      <c r="H67" s="519" t="s">
        <v>1794</v>
      </c>
      <c r="I67" s="519"/>
      <c r="J67" s="118">
        <v>0</v>
      </c>
      <c r="L67" s="519" t="s">
        <v>1794</v>
      </c>
      <c r="M67" s="519"/>
      <c r="N67" s="118">
        <v>0</v>
      </c>
    </row>
    <row r="68" spans="2:14" x14ac:dyDescent="0.35">
      <c r="B68" t="s">
        <v>1876</v>
      </c>
      <c r="C68" s="118">
        <v>-0.13</v>
      </c>
      <c r="E68" t="s">
        <v>1876</v>
      </c>
      <c r="F68" s="118">
        <v>0.05</v>
      </c>
      <c r="H68" s="519" t="s">
        <v>1795</v>
      </c>
      <c r="I68" s="519"/>
      <c r="J68" s="118">
        <v>-0.13</v>
      </c>
      <c r="L68" s="519" t="s">
        <v>1795</v>
      </c>
      <c r="M68" s="519"/>
      <c r="N68" s="118"/>
    </row>
    <row r="69" spans="2:14" x14ac:dyDescent="0.35">
      <c r="B69" t="s">
        <v>1872</v>
      </c>
      <c r="C69" s="118">
        <v>0.13</v>
      </c>
      <c r="E69" t="s">
        <v>1872</v>
      </c>
      <c r="F69" s="118"/>
      <c r="H69" s="519" t="s">
        <v>1796</v>
      </c>
      <c r="I69" s="519"/>
      <c r="J69" s="118">
        <v>0.13</v>
      </c>
      <c r="L69" s="519" t="s">
        <v>1796</v>
      </c>
      <c r="M69" s="519"/>
      <c r="N69" s="118">
        <v>0</v>
      </c>
    </row>
    <row r="70" spans="2:14" ht="15" thickBot="1" x14ac:dyDescent="0.4">
      <c r="B70" t="s">
        <v>1902</v>
      </c>
      <c r="C70" s="108">
        <v>0.75</v>
      </c>
      <c r="E70" t="s">
        <v>1902</v>
      </c>
      <c r="F70" s="108"/>
      <c r="H70" s="520" t="s">
        <v>1903</v>
      </c>
      <c r="I70" s="520"/>
      <c r="J70" s="127">
        <v>0.75</v>
      </c>
      <c r="L70" s="520" t="s">
        <v>1903</v>
      </c>
      <c r="M70" s="520"/>
      <c r="N70" s="127">
        <v>0</v>
      </c>
    </row>
    <row r="71" spans="2:14" x14ac:dyDescent="0.35">
      <c r="B71" s="18" t="s">
        <v>1904</v>
      </c>
      <c r="C71" s="108">
        <f>C64+SUM(C65:C69)-C70</f>
        <v>1.27</v>
      </c>
      <c r="E71" s="18" t="s">
        <v>1886</v>
      </c>
      <c r="F71" s="108">
        <f>F64+SUM(F65:F69)-F70</f>
        <v>-1.5399999999999998</v>
      </c>
      <c r="H71" s="522" t="s">
        <v>1905</v>
      </c>
      <c r="I71" s="522"/>
      <c r="J71" s="126">
        <f>J64+SUM(J65:J69)-J70</f>
        <v>1.27</v>
      </c>
      <c r="L71" s="522" t="s">
        <v>1905</v>
      </c>
      <c r="M71" s="522"/>
      <c r="N71" s="126">
        <f>N64+SUM(N65:N69)-N70</f>
        <v>-1.5899999999999999</v>
      </c>
    </row>
    <row r="72" spans="2:14" ht="15" thickBot="1" x14ac:dyDescent="0.4">
      <c r="B72" t="s">
        <v>1877</v>
      </c>
      <c r="C72" s="17">
        <v>1.75</v>
      </c>
      <c r="E72" t="s">
        <v>1877</v>
      </c>
      <c r="F72" s="17">
        <v>-1.5</v>
      </c>
      <c r="H72" s="520" t="s">
        <v>1798</v>
      </c>
      <c r="I72" s="520"/>
      <c r="J72" s="124">
        <v>1.75</v>
      </c>
      <c r="L72" s="520" t="s">
        <v>1877</v>
      </c>
      <c r="M72" s="520"/>
      <c r="N72" s="124">
        <v>-1.5</v>
      </c>
    </row>
    <row r="73" spans="2:14" ht="15" thickBot="1" x14ac:dyDescent="0.4">
      <c r="C73" s="17"/>
      <c r="F73" s="17"/>
      <c r="H73" s="524" t="s">
        <v>1799</v>
      </c>
      <c r="I73" s="525"/>
      <c r="J73" s="128">
        <f>J72-J71</f>
        <v>0.48</v>
      </c>
      <c r="L73" s="524" t="s">
        <v>1799</v>
      </c>
      <c r="M73" s="525"/>
      <c r="N73" s="128">
        <f>N72-N71</f>
        <v>8.9999999999999858E-2</v>
      </c>
    </row>
    <row r="74" spans="2:14" x14ac:dyDescent="0.35">
      <c r="B74" s="115" t="s">
        <v>1799</v>
      </c>
      <c r="C74" s="116">
        <f>C72-C71</f>
        <v>0.48</v>
      </c>
      <c r="E74" s="115" t="s">
        <v>1799</v>
      </c>
      <c r="F74" s="116">
        <f>F72-F71</f>
        <v>3.9999999999999813E-2</v>
      </c>
      <c r="H74" s="123" t="s">
        <v>1800</v>
      </c>
      <c r="I74" s="526">
        <f>J73*J57</f>
        <v>345.59999999999997</v>
      </c>
      <c r="J74" s="526"/>
      <c r="L74" s="123" t="s">
        <v>1800</v>
      </c>
      <c r="M74" s="526">
        <f>N73*N57</f>
        <v>62.999999999999901</v>
      </c>
      <c r="N74" s="526"/>
    </row>
    <row r="75" spans="2:14" x14ac:dyDescent="0.35">
      <c r="C75" s="17"/>
      <c r="F75" s="17"/>
    </row>
    <row r="76" spans="2:14" x14ac:dyDescent="0.35">
      <c r="C76" s="17">
        <f>(C74*C58)+(D58*D74)</f>
        <v>345.59999999999997</v>
      </c>
      <c r="F76" s="17">
        <f>(F74*F58)+(G58*G74)</f>
        <v>27.999999999999869</v>
      </c>
    </row>
    <row r="77" spans="2:14" x14ac:dyDescent="0.35">
      <c r="C77" s="17"/>
      <c r="F77" s="17"/>
    </row>
    <row r="78" spans="2:14" x14ac:dyDescent="0.35">
      <c r="C78" s="17">
        <f>SUM(C76:C77)</f>
        <v>345.59999999999997</v>
      </c>
      <c r="D78" s="17"/>
      <c r="F78" s="17">
        <f>SUM(F76:F77)</f>
        <v>27.999999999999869</v>
      </c>
    </row>
    <row r="81" spans="2:8" x14ac:dyDescent="0.35">
      <c r="B81" s="122" t="s">
        <v>833</v>
      </c>
    </row>
    <row r="82" spans="2:8" x14ac:dyDescent="0.35">
      <c r="B82" s="519" t="s">
        <v>1892</v>
      </c>
      <c r="C82" s="519"/>
      <c r="D82" s="124">
        <v>692</v>
      </c>
    </row>
    <row r="83" spans="2:8" x14ac:dyDescent="0.35">
      <c r="B83" s="519" t="s">
        <v>1894</v>
      </c>
      <c r="C83" s="519"/>
      <c r="D83" s="124">
        <v>1.5</v>
      </c>
      <c r="G83" s="91"/>
    </row>
    <row r="84" spans="2:8" x14ac:dyDescent="0.35">
      <c r="B84" s="519" t="s">
        <v>1788</v>
      </c>
      <c r="C84" s="519"/>
      <c r="D84" s="124">
        <v>0.25</v>
      </c>
    </row>
    <row r="85" spans="2:8" ht="15" thickBot="1" x14ac:dyDescent="0.4">
      <c r="B85" s="520" t="s">
        <v>1896</v>
      </c>
      <c r="C85" s="520"/>
      <c r="D85" s="125">
        <f>D83+D84</f>
        <v>1.75</v>
      </c>
      <c r="G85">
        <v>4.04</v>
      </c>
    </row>
    <row r="86" spans="2:8" x14ac:dyDescent="0.35">
      <c r="B86" s="521" t="s">
        <v>1897</v>
      </c>
      <c r="C86" s="521"/>
      <c r="D86" s="126">
        <v>0.52</v>
      </c>
      <c r="G86">
        <v>3.66</v>
      </c>
    </row>
    <row r="87" spans="2:8" x14ac:dyDescent="0.35">
      <c r="B87" s="519" t="s">
        <v>1898</v>
      </c>
      <c r="C87" s="519"/>
      <c r="D87" s="129">
        <v>-3.78</v>
      </c>
      <c r="G87">
        <f>G85-G86</f>
        <v>0.37999999999999989</v>
      </c>
      <c r="H87">
        <f>185-167.5</f>
        <v>17.5</v>
      </c>
    </row>
    <row r="88" spans="2:8" ht="15" thickBot="1" x14ac:dyDescent="0.4">
      <c r="B88" s="519" t="s">
        <v>1889</v>
      </c>
      <c r="C88" s="519"/>
      <c r="D88" s="127">
        <v>0.72</v>
      </c>
    </row>
    <row r="89" spans="2:8" x14ac:dyDescent="0.35">
      <c r="B89" s="522" t="s">
        <v>1899</v>
      </c>
      <c r="C89" s="522"/>
      <c r="D89" s="126">
        <f>D87+D86+D85+D88</f>
        <v>-0.78999999999999981</v>
      </c>
      <c r="F89" t="s">
        <v>1906</v>
      </c>
    </row>
    <row r="90" spans="2:8" x14ac:dyDescent="0.35">
      <c r="B90" s="519" t="s">
        <v>1901</v>
      </c>
      <c r="C90" s="519"/>
      <c r="D90" s="108">
        <f>('Cargo Econs 2025'!E90*Control!$H$2*Control!$H$3/100)/'Cargo Econs 2025'!D82/1000</f>
        <v>3.7038800578034676</v>
      </c>
      <c r="E90">
        <v>167.5</v>
      </c>
      <c r="F90" t="s">
        <v>1907</v>
      </c>
    </row>
    <row r="91" spans="2:8" x14ac:dyDescent="0.35">
      <c r="B91" s="519" t="s">
        <v>1793</v>
      </c>
      <c r="C91" s="519"/>
      <c r="D91" s="118">
        <v>0</v>
      </c>
    </row>
    <row r="92" spans="2:8" x14ac:dyDescent="0.35">
      <c r="B92" s="519" t="s">
        <v>1794</v>
      </c>
      <c r="C92" s="519"/>
      <c r="D92" s="118">
        <v>0</v>
      </c>
    </row>
    <row r="93" spans="2:8" x14ac:dyDescent="0.35">
      <c r="B93" s="519" t="s">
        <v>1795</v>
      </c>
      <c r="C93" s="519"/>
      <c r="D93" s="118">
        <v>-0.05</v>
      </c>
    </row>
    <row r="94" spans="2:8" x14ac:dyDescent="0.35">
      <c r="B94" s="519" t="s">
        <v>1796</v>
      </c>
      <c r="C94" s="519"/>
      <c r="D94" s="118">
        <v>0.13</v>
      </c>
    </row>
    <row r="95" spans="2:8" ht="15" thickBot="1" x14ac:dyDescent="0.4">
      <c r="B95" s="520" t="s">
        <v>1903</v>
      </c>
      <c r="C95" s="520"/>
      <c r="D95" s="127">
        <v>1.05</v>
      </c>
    </row>
    <row r="96" spans="2:8" x14ac:dyDescent="0.35">
      <c r="B96" s="522" t="s">
        <v>1908</v>
      </c>
      <c r="C96" s="522"/>
      <c r="D96" s="126">
        <f>D89+SUM(D90:D94)-D95</f>
        <v>1.9438800578034676</v>
      </c>
    </row>
    <row r="97" spans="2:12" ht="15" thickBot="1" x14ac:dyDescent="0.4">
      <c r="B97" s="520" t="s">
        <v>1798</v>
      </c>
      <c r="C97" s="520"/>
      <c r="D97" s="124">
        <v>2</v>
      </c>
    </row>
    <row r="98" spans="2:12" ht="15" thickBot="1" x14ac:dyDescent="0.4">
      <c r="B98" s="524" t="s">
        <v>1799</v>
      </c>
      <c r="C98" s="525"/>
      <c r="D98" s="128">
        <f>D97-D96</f>
        <v>5.611994219653238E-2</v>
      </c>
    </row>
    <row r="99" spans="2:12" x14ac:dyDescent="0.35">
      <c r="B99" s="123" t="s">
        <v>1800</v>
      </c>
      <c r="C99" s="526">
        <f>D98*D82</f>
        <v>38.835000000000406</v>
      </c>
      <c r="D99" s="526"/>
    </row>
    <row r="101" spans="2:12" x14ac:dyDescent="0.35">
      <c r="B101" s="122" t="s">
        <v>859</v>
      </c>
    </row>
    <row r="102" spans="2:12" x14ac:dyDescent="0.35">
      <c r="B102" s="519" t="s">
        <v>1786</v>
      </c>
      <c r="C102" s="519"/>
      <c r="D102" s="124">
        <v>2065</v>
      </c>
    </row>
    <row r="103" spans="2:12" x14ac:dyDescent="0.35">
      <c r="B103" s="519" t="s">
        <v>1894</v>
      </c>
      <c r="C103" s="519"/>
      <c r="D103" s="124">
        <v>1.5</v>
      </c>
    </row>
    <row r="104" spans="2:12" x14ac:dyDescent="0.35">
      <c r="B104" s="519" t="s">
        <v>1788</v>
      </c>
      <c r="C104" s="519"/>
      <c r="D104" s="124">
        <v>0.25</v>
      </c>
    </row>
    <row r="105" spans="2:12" ht="15" thickBot="1" x14ac:dyDescent="0.4">
      <c r="B105" s="520" t="s">
        <v>1909</v>
      </c>
      <c r="C105" s="520"/>
      <c r="D105" s="125">
        <f>D103+D104</f>
        <v>1.75</v>
      </c>
      <c r="E105">
        <v>2.2000000000000002</v>
      </c>
    </row>
    <row r="106" spans="2:12" x14ac:dyDescent="0.35">
      <c r="B106" s="521" t="s">
        <v>1897</v>
      </c>
      <c r="C106" s="521"/>
      <c r="D106" s="126">
        <v>0.48</v>
      </c>
      <c r="E106" s="91">
        <f>D106</f>
        <v>0.48</v>
      </c>
    </row>
    <row r="107" spans="2:12" x14ac:dyDescent="0.35">
      <c r="B107" s="519" t="s">
        <v>1910</v>
      </c>
      <c r="C107" s="519"/>
      <c r="D107" s="129">
        <v>0.55000000000000004</v>
      </c>
      <c r="E107" s="91">
        <f>D107</f>
        <v>0.55000000000000004</v>
      </c>
    </row>
    <row r="108" spans="2:12" ht="15" thickBot="1" x14ac:dyDescent="0.4">
      <c r="B108" s="520" t="s">
        <v>1911</v>
      </c>
      <c r="C108" s="520"/>
      <c r="D108" s="127">
        <v>-3.5</v>
      </c>
    </row>
    <row r="109" spans="2:12" x14ac:dyDescent="0.35">
      <c r="B109" s="522" t="s">
        <v>1899</v>
      </c>
      <c r="C109" s="522"/>
      <c r="D109" s="126">
        <f>D107+D106+D105+D108</f>
        <v>-0.71999999999999975</v>
      </c>
    </row>
    <row r="110" spans="2:12" x14ac:dyDescent="0.35">
      <c r="B110" s="519" t="s">
        <v>1901</v>
      </c>
      <c r="C110" s="519"/>
      <c r="D110" s="108">
        <f t="shared" ref="D110:D114" si="1">F110/$D$102</f>
        <v>3.78</v>
      </c>
      <c r="E110" s="126">
        <f>E107+E106+E105+E108</f>
        <v>3.2300000000000004</v>
      </c>
      <c r="F110">
        <v>7805.7</v>
      </c>
    </row>
    <row r="111" spans="2:12" x14ac:dyDescent="0.35">
      <c r="B111" s="519" t="s">
        <v>1793</v>
      </c>
      <c r="C111" s="519"/>
      <c r="D111" s="108">
        <f t="shared" si="1"/>
        <v>0</v>
      </c>
      <c r="F111">
        <v>0</v>
      </c>
      <c r="L111">
        <v>2.83</v>
      </c>
    </row>
    <row r="112" spans="2:12" x14ac:dyDescent="0.35">
      <c r="B112" s="519" t="s">
        <v>1794</v>
      </c>
      <c r="C112" s="519"/>
      <c r="D112" s="108">
        <f t="shared" si="1"/>
        <v>0.34271313801452785</v>
      </c>
      <c r="F112">
        <f>707702.63/1000</f>
        <v>707.70263</v>
      </c>
      <c r="L112">
        <v>0.09</v>
      </c>
    </row>
    <row r="113" spans="2:21" x14ac:dyDescent="0.35">
      <c r="B113" s="519" t="s">
        <v>1795</v>
      </c>
      <c r="C113" s="519"/>
      <c r="D113" s="108">
        <f t="shared" si="1"/>
        <v>0</v>
      </c>
      <c r="F113">
        <v>0</v>
      </c>
      <c r="L113">
        <v>0.2</v>
      </c>
    </row>
    <row r="114" spans="2:21" x14ac:dyDescent="0.35">
      <c r="B114" s="519" t="s">
        <v>1796</v>
      </c>
      <c r="C114" s="519"/>
      <c r="D114" s="108">
        <f t="shared" si="1"/>
        <v>0.24534479418886199</v>
      </c>
      <c r="E114">
        <v>0.32</v>
      </c>
      <c r="F114">
        <f>506637/1000</f>
        <v>506.637</v>
      </c>
      <c r="L114">
        <f>L111-L112-L113</f>
        <v>2.54</v>
      </c>
    </row>
    <row r="115" spans="2:21" ht="15" thickBot="1" x14ac:dyDescent="0.4">
      <c r="B115" s="520" t="s">
        <v>1835</v>
      </c>
      <c r="C115" s="520"/>
      <c r="D115" s="127">
        <v>0.83</v>
      </c>
    </row>
    <row r="116" spans="2:21" x14ac:dyDescent="0.35">
      <c r="B116" s="522" t="s">
        <v>1912</v>
      </c>
      <c r="C116" s="522"/>
      <c r="D116" s="126">
        <f>D109+SUM(D110:D114)-D115</f>
        <v>2.8180579322033896</v>
      </c>
    </row>
    <row r="117" spans="2:21" ht="15" thickBot="1" x14ac:dyDescent="0.4">
      <c r="B117" s="520" t="s">
        <v>1798</v>
      </c>
      <c r="C117" s="520"/>
      <c r="D117" s="124">
        <v>2.54</v>
      </c>
      <c r="E117" s="91">
        <f>+D117-2.54</f>
        <v>0</v>
      </c>
    </row>
    <row r="118" spans="2:21" ht="15" thickBot="1" x14ac:dyDescent="0.4">
      <c r="B118" s="524" t="s">
        <v>1799</v>
      </c>
      <c r="C118" s="525"/>
      <c r="D118" s="128">
        <f>D117-D116</f>
        <v>-0.27805793220338959</v>
      </c>
    </row>
    <row r="119" spans="2:21" x14ac:dyDescent="0.35">
      <c r="B119" s="123" t="s">
        <v>1800</v>
      </c>
      <c r="C119" s="526">
        <f>D118*D102</f>
        <v>-574.18962999999951</v>
      </c>
      <c r="D119" s="526"/>
    </row>
    <row r="122" spans="2:21" x14ac:dyDescent="0.35">
      <c r="B122" s="519" t="s">
        <v>1786</v>
      </c>
      <c r="C122" s="519"/>
      <c r="D122" s="124">
        <v>0</v>
      </c>
      <c r="G122" s="122" t="s">
        <v>922</v>
      </c>
      <c r="K122" s="122" t="s">
        <v>928</v>
      </c>
      <c r="O122" s="122" t="s">
        <v>913</v>
      </c>
      <c r="Q122" t="s">
        <v>1913</v>
      </c>
      <c r="R122" t="s">
        <v>1914</v>
      </c>
      <c r="S122" t="s">
        <v>1915</v>
      </c>
    </row>
    <row r="123" spans="2:21" x14ac:dyDescent="0.35">
      <c r="B123" s="519" t="s">
        <v>1894</v>
      </c>
      <c r="C123" s="519"/>
      <c r="D123" s="124">
        <v>1.5</v>
      </c>
      <c r="G123" s="519" t="s">
        <v>1786</v>
      </c>
      <c r="H123" s="519"/>
      <c r="I123" s="124">
        <v>700</v>
      </c>
      <c r="K123" s="519" t="s">
        <v>1786</v>
      </c>
      <c r="L123" s="519"/>
      <c r="M123" s="124">
        <v>700</v>
      </c>
      <c r="O123" s="519" t="s">
        <v>1786</v>
      </c>
      <c r="P123" s="519"/>
      <c r="Q123" s="124">
        <f>1748-R123</f>
        <v>1198</v>
      </c>
      <c r="R123" s="124">
        <v>550</v>
      </c>
      <c r="S123" s="124">
        <v>315</v>
      </c>
      <c r="T123" s="91">
        <f>+SUM(Q123:S123)</f>
        <v>2063</v>
      </c>
      <c r="U123" s="91">
        <f>650-525</f>
        <v>125</v>
      </c>
    </row>
    <row r="124" spans="2:21" x14ac:dyDescent="0.35">
      <c r="B124" s="519" t="s">
        <v>1788</v>
      </c>
      <c r="C124" s="519"/>
      <c r="D124" s="124">
        <v>0.25</v>
      </c>
      <c r="G124" s="519" t="s">
        <v>1894</v>
      </c>
      <c r="H124" s="519"/>
      <c r="I124" s="124">
        <v>1.5</v>
      </c>
      <c r="K124" s="519" t="s">
        <v>1894</v>
      </c>
      <c r="L124" s="519"/>
      <c r="M124" s="124">
        <v>1.5</v>
      </c>
      <c r="O124" s="519" t="s">
        <v>1894</v>
      </c>
      <c r="P124" s="519"/>
      <c r="Q124" s="124">
        <v>1.3</v>
      </c>
      <c r="R124" s="124">
        <f>Q124</f>
        <v>1.3</v>
      </c>
      <c r="S124" s="124">
        <f>R124</f>
        <v>1.3</v>
      </c>
      <c r="U124">
        <f>U123/T123</f>
        <v>6.0591371788657297E-2</v>
      </c>
    </row>
    <row r="125" spans="2:21" ht="15" thickBot="1" x14ac:dyDescent="0.4">
      <c r="B125" s="520" t="s">
        <v>1896</v>
      </c>
      <c r="C125" s="520"/>
      <c r="D125" s="125">
        <f>D123+D124</f>
        <v>1.75</v>
      </c>
      <c r="E125">
        <v>2.2000000000000002</v>
      </c>
      <c r="G125" s="519" t="s">
        <v>1788</v>
      </c>
      <c r="H125" s="519"/>
      <c r="I125" s="124">
        <v>0.25</v>
      </c>
      <c r="K125" s="519" t="s">
        <v>1788</v>
      </c>
      <c r="L125" s="519"/>
      <c r="M125" s="124">
        <v>0.25</v>
      </c>
      <c r="O125" s="519" t="s">
        <v>1788</v>
      </c>
      <c r="P125" s="519"/>
      <c r="Q125" s="124">
        <v>0</v>
      </c>
      <c r="R125" s="124">
        <v>0.1</v>
      </c>
      <c r="S125" s="124">
        <v>-0.1</v>
      </c>
    </row>
    <row r="126" spans="2:21" ht="15" thickBot="1" x14ac:dyDescent="0.4">
      <c r="B126" s="521" t="s">
        <v>1897</v>
      </c>
      <c r="C126" s="521"/>
      <c r="D126" s="126">
        <v>0.5</v>
      </c>
      <c r="E126" s="91">
        <f>D126</f>
        <v>0.5</v>
      </c>
      <c r="G126" s="520" t="s">
        <v>1909</v>
      </c>
      <c r="H126" s="520"/>
      <c r="I126" s="125">
        <f>I124+I125</f>
        <v>1.75</v>
      </c>
      <c r="K126" s="520" t="s">
        <v>1909</v>
      </c>
      <c r="L126" s="520"/>
      <c r="M126" s="125">
        <f>M124+M125</f>
        <v>1.75</v>
      </c>
      <c r="O126" s="520" t="s">
        <v>1909</v>
      </c>
      <c r="P126" s="520"/>
      <c r="Q126" s="125">
        <f>Q124+Q125</f>
        <v>1.3</v>
      </c>
      <c r="R126" s="125">
        <f>R124+R125</f>
        <v>1.4000000000000001</v>
      </c>
      <c r="S126" s="125">
        <f>S124+S125</f>
        <v>1.2</v>
      </c>
    </row>
    <row r="127" spans="2:21" x14ac:dyDescent="0.35">
      <c r="B127" s="519" t="s">
        <v>1910</v>
      </c>
      <c r="C127" s="519"/>
      <c r="D127" s="129">
        <v>0.6</v>
      </c>
      <c r="E127" s="91">
        <f>D127</f>
        <v>0.6</v>
      </c>
      <c r="G127" s="521" t="s">
        <v>1897</v>
      </c>
      <c r="H127" s="521"/>
      <c r="I127" s="126">
        <v>0.64</v>
      </c>
      <c r="K127" s="521" t="s">
        <v>1897</v>
      </c>
      <c r="L127" s="521"/>
      <c r="M127" s="126">
        <v>0.64</v>
      </c>
      <c r="O127" s="521" t="s">
        <v>1897</v>
      </c>
      <c r="P127" s="521"/>
      <c r="Q127" s="126">
        <v>0.65</v>
      </c>
      <c r="R127" s="126">
        <f>Q127</f>
        <v>0.65</v>
      </c>
      <c r="S127" s="126">
        <f>R127</f>
        <v>0.65</v>
      </c>
    </row>
    <row r="128" spans="2:21" ht="15" thickBot="1" x14ac:dyDescent="0.4">
      <c r="B128" s="520" t="s">
        <v>1911</v>
      </c>
      <c r="C128" s="520"/>
      <c r="D128" s="127">
        <v>-3.6</v>
      </c>
      <c r="G128" s="131" t="s">
        <v>1898</v>
      </c>
      <c r="H128" s="131"/>
      <c r="I128" s="127">
        <v>-3.96</v>
      </c>
      <c r="K128" s="131" t="s">
        <v>1898</v>
      </c>
      <c r="L128" s="131"/>
      <c r="M128" s="127">
        <v>-3.96</v>
      </c>
      <c r="O128" s="519" t="s">
        <v>1910</v>
      </c>
      <c r="P128" s="519"/>
      <c r="Q128" s="129">
        <v>0.63</v>
      </c>
      <c r="R128" s="129">
        <f>Q128</f>
        <v>0.63</v>
      </c>
      <c r="S128" s="129">
        <f>R128</f>
        <v>0.63</v>
      </c>
    </row>
    <row r="129" spans="2:22" ht="15" thickBot="1" x14ac:dyDescent="0.4">
      <c r="B129" s="522" t="s">
        <v>1899</v>
      </c>
      <c r="C129" s="522"/>
      <c r="D129" s="126">
        <f>D127+D126+D125+D128</f>
        <v>-0.75</v>
      </c>
      <c r="E129" s="126">
        <f>E127+E126+E125+E128</f>
        <v>3.3000000000000003</v>
      </c>
      <c r="G129" s="132" t="s">
        <v>1899</v>
      </c>
      <c r="H129" s="132"/>
      <c r="I129" s="126">
        <f>SUM(I126:I128)</f>
        <v>-1.5699999999999998</v>
      </c>
      <c r="K129" s="132" t="s">
        <v>1899</v>
      </c>
      <c r="L129" s="132"/>
      <c r="M129" s="126">
        <f>SUM(M126:M128)</f>
        <v>-1.5699999999999998</v>
      </c>
      <c r="O129" s="520" t="s">
        <v>1911</v>
      </c>
      <c r="P129" s="520"/>
      <c r="Q129" s="127">
        <v>-3.69</v>
      </c>
      <c r="R129" s="127">
        <v>-3.69</v>
      </c>
      <c r="S129" s="127">
        <v>-3.69</v>
      </c>
    </row>
    <row r="130" spans="2:22" x14ac:dyDescent="0.35">
      <c r="B130" s="519" t="s">
        <v>1901</v>
      </c>
      <c r="C130" s="519"/>
      <c r="D130" s="108">
        <v>4</v>
      </c>
      <c r="G130" s="123" t="s">
        <v>1901</v>
      </c>
      <c r="H130" s="123"/>
      <c r="I130" s="108">
        <v>4.1500000000000004</v>
      </c>
      <c r="K130" s="123" t="s">
        <v>1901</v>
      </c>
      <c r="L130" s="123"/>
      <c r="M130" s="108">
        <v>4.26</v>
      </c>
      <c r="O130" s="522" t="s">
        <v>1899</v>
      </c>
      <c r="P130" s="522"/>
      <c r="Q130" s="126">
        <f>Q128+Q127+Q126+Q129</f>
        <v>-1.1099999999999999</v>
      </c>
      <c r="R130" s="126">
        <f>R128+R127+R126+R129</f>
        <v>-1.0099999999999998</v>
      </c>
      <c r="S130" s="126">
        <f>S128+S127+S126+S129</f>
        <v>-1.21</v>
      </c>
    </row>
    <row r="131" spans="2:22" x14ac:dyDescent="0.35">
      <c r="B131" s="519" t="s">
        <v>1793</v>
      </c>
      <c r="C131" s="519"/>
      <c r="D131" s="118">
        <v>0</v>
      </c>
      <c r="G131" s="123" t="s">
        <v>1793</v>
      </c>
      <c r="H131" s="123"/>
      <c r="I131" s="118">
        <v>0</v>
      </c>
      <c r="K131" s="123" t="s">
        <v>1793</v>
      </c>
      <c r="L131" s="123"/>
      <c r="M131" s="118">
        <v>0</v>
      </c>
      <c r="O131" s="519" t="s">
        <v>1901</v>
      </c>
      <c r="P131" s="519"/>
      <c r="Q131" s="108">
        <f>T131/T123</f>
        <v>4.0717401841977701</v>
      </c>
      <c r="R131" s="108">
        <f t="shared" ref="R131:S137" si="2">Q131</f>
        <v>4.0717401841977701</v>
      </c>
      <c r="S131" s="108">
        <f t="shared" si="2"/>
        <v>4.0717401841977701</v>
      </c>
      <c r="T131">
        <v>8400</v>
      </c>
      <c r="U131" s="91">
        <f>T131/$T$123</f>
        <v>4.0717401841977701</v>
      </c>
    </row>
    <row r="132" spans="2:22" x14ac:dyDescent="0.35">
      <c r="B132" s="519" t="s">
        <v>1794</v>
      </c>
      <c r="C132" s="519"/>
      <c r="D132" s="118">
        <v>0</v>
      </c>
      <c r="G132" s="123" t="s">
        <v>1794</v>
      </c>
      <c r="H132" s="123"/>
      <c r="I132" s="118">
        <v>0</v>
      </c>
      <c r="K132" s="123" t="s">
        <v>1794</v>
      </c>
      <c r="L132" s="123"/>
      <c r="M132" s="118">
        <v>0</v>
      </c>
      <c r="O132" s="519" t="s">
        <v>1793</v>
      </c>
      <c r="P132" s="519"/>
      <c r="Q132" s="118">
        <v>0</v>
      </c>
      <c r="R132" s="118">
        <f t="shared" si="2"/>
        <v>0</v>
      </c>
      <c r="S132" s="118">
        <f t="shared" si="2"/>
        <v>0</v>
      </c>
    </row>
    <row r="133" spans="2:22" x14ac:dyDescent="0.35">
      <c r="B133" s="519" t="s">
        <v>1795</v>
      </c>
      <c r="C133" s="519"/>
      <c r="D133" s="118">
        <v>-0.01</v>
      </c>
      <c r="G133" s="123" t="s">
        <v>1795</v>
      </c>
      <c r="H133" s="123"/>
      <c r="I133" s="118">
        <v>0</v>
      </c>
      <c r="K133" s="123" t="s">
        <v>1795</v>
      </c>
      <c r="L133" s="123"/>
      <c r="M133" s="118">
        <v>0</v>
      </c>
      <c r="O133" s="519" t="s">
        <v>1794</v>
      </c>
      <c r="P133" s="519"/>
      <c r="Q133" s="118">
        <f>T133/$T$123</f>
        <v>0.34960639844886093</v>
      </c>
      <c r="R133" s="118">
        <f t="shared" ref="R133:S133" si="3">Q133</f>
        <v>0.34960639844886093</v>
      </c>
      <c r="S133" s="118">
        <f t="shared" si="3"/>
        <v>0.34960639844886093</v>
      </c>
      <c r="T133">
        <v>721.23800000000006</v>
      </c>
      <c r="U133">
        <f>0.31*2100</f>
        <v>651</v>
      </c>
      <c r="V133">
        <f>550/2100</f>
        <v>0.26190476190476192</v>
      </c>
    </row>
    <row r="134" spans="2:22" x14ac:dyDescent="0.35">
      <c r="B134" s="519" t="s">
        <v>1796</v>
      </c>
      <c r="C134" s="519"/>
      <c r="D134" s="118">
        <v>0.2</v>
      </c>
      <c r="G134" s="123" t="s">
        <v>1796</v>
      </c>
      <c r="H134" s="123"/>
      <c r="I134" s="118">
        <v>0.13</v>
      </c>
      <c r="K134" s="123" t="s">
        <v>1796</v>
      </c>
      <c r="L134" s="123"/>
      <c r="M134" s="118">
        <v>0.13</v>
      </c>
      <c r="O134" s="519" t="s">
        <v>1795</v>
      </c>
      <c r="P134" s="519"/>
      <c r="Q134" s="118">
        <f t="shared" ref="Q134:Q135" si="4">T134/$T$123</f>
        <v>0</v>
      </c>
      <c r="R134" s="118">
        <f t="shared" ref="R134:S134" si="5">Q134</f>
        <v>0</v>
      </c>
      <c r="S134" s="118">
        <f t="shared" si="5"/>
        <v>0</v>
      </c>
      <c r="T134">
        <v>0</v>
      </c>
    </row>
    <row r="135" spans="2:22" ht="15" thickBot="1" x14ac:dyDescent="0.4">
      <c r="B135" s="520" t="s">
        <v>1835</v>
      </c>
      <c r="C135" s="520"/>
      <c r="D135" s="127">
        <v>0.9</v>
      </c>
      <c r="G135" s="519" t="s">
        <v>1916</v>
      </c>
      <c r="H135" s="519"/>
      <c r="I135" s="129">
        <v>0.88</v>
      </c>
      <c r="K135" s="519" t="s">
        <v>1916</v>
      </c>
      <c r="L135" s="519"/>
      <c r="M135" s="129">
        <v>0.88</v>
      </c>
      <c r="O135" s="519" t="s">
        <v>1796</v>
      </c>
      <c r="P135" s="519"/>
      <c r="Q135" s="118">
        <f t="shared" si="4"/>
        <v>0</v>
      </c>
      <c r="R135" s="118">
        <f t="shared" ref="R135:S135" si="6">Q135</f>
        <v>0</v>
      </c>
      <c r="S135" s="118">
        <f t="shared" si="6"/>
        <v>0</v>
      </c>
      <c r="T135">
        <v>0</v>
      </c>
    </row>
    <row r="136" spans="2:22" ht="15" thickBot="1" x14ac:dyDescent="0.4">
      <c r="B136" s="522" t="s">
        <v>1908</v>
      </c>
      <c r="C136" s="522"/>
      <c r="D136" s="126">
        <f>D129+SUM(D130:D134)-D135</f>
        <v>2.5400000000000005</v>
      </c>
      <c r="G136" s="131" t="s">
        <v>1835</v>
      </c>
      <c r="H136" s="131"/>
      <c r="I136" s="127">
        <v>1.26</v>
      </c>
      <c r="K136" s="131" t="s">
        <v>1835</v>
      </c>
      <c r="L136" s="131"/>
      <c r="M136" s="127">
        <v>1.26</v>
      </c>
      <c r="O136" s="519" t="s">
        <v>1917</v>
      </c>
      <c r="P136" s="519"/>
      <c r="Q136" s="129">
        <v>0.64</v>
      </c>
      <c r="R136" s="129">
        <f t="shared" si="2"/>
        <v>0.64</v>
      </c>
      <c r="S136" s="129">
        <f t="shared" si="2"/>
        <v>0.64</v>
      </c>
    </row>
    <row r="137" spans="2:22" ht="15" thickBot="1" x14ac:dyDescent="0.4">
      <c r="B137" s="520" t="s">
        <v>1798</v>
      </c>
      <c r="C137" s="520"/>
      <c r="D137" s="124">
        <v>2.5499999999999998</v>
      </c>
      <c r="G137" s="132" t="s">
        <v>1908</v>
      </c>
      <c r="H137" s="132"/>
      <c r="I137" s="126">
        <f>I129+SUM(I130:I135)-I136</f>
        <v>2.33</v>
      </c>
      <c r="K137" s="132" t="s">
        <v>1908</v>
      </c>
      <c r="L137" s="132"/>
      <c r="M137" s="126">
        <f>M129+SUM(M130:M135)-M136</f>
        <v>2.4399999999999995</v>
      </c>
      <c r="O137" s="519" t="s">
        <v>1918</v>
      </c>
      <c r="P137" s="519"/>
      <c r="Q137" s="129">
        <v>0.46</v>
      </c>
      <c r="R137" s="129">
        <f t="shared" si="2"/>
        <v>0.46</v>
      </c>
      <c r="S137" s="129">
        <f t="shared" si="2"/>
        <v>0.46</v>
      </c>
    </row>
    <row r="138" spans="2:22" ht="15" thickBot="1" x14ac:dyDescent="0.4">
      <c r="B138" s="524" t="s">
        <v>1799</v>
      </c>
      <c r="C138" s="525"/>
      <c r="D138" s="128">
        <f>D137-D136</f>
        <v>9.9999999999993427E-3</v>
      </c>
      <c r="G138" s="131" t="s">
        <v>1798</v>
      </c>
      <c r="H138" s="131"/>
      <c r="I138" s="124">
        <v>2</v>
      </c>
      <c r="K138" s="131" t="s">
        <v>1798</v>
      </c>
      <c r="L138" s="131"/>
      <c r="M138" s="124">
        <v>2</v>
      </c>
      <c r="O138" s="523" t="s">
        <v>1919</v>
      </c>
      <c r="P138" s="523"/>
      <c r="Q138" s="126">
        <f>Q130+SUM(Q131:Q137)</f>
        <v>4.4113465826466314</v>
      </c>
      <c r="R138" s="126">
        <f>R130+SUM(R131:R137)</f>
        <v>4.511346582646631</v>
      </c>
      <c r="S138" s="126">
        <f>S130+SUM(S131:S137)</f>
        <v>4.3113465826466308</v>
      </c>
    </row>
    <row r="139" spans="2:22" ht="15" thickBot="1" x14ac:dyDescent="0.4">
      <c r="B139" s="123" t="s">
        <v>1800</v>
      </c>
      <c r="C139" s="526">
        <f>D138*D122</f>
        <v>0</v>
      </c>
      <c r="D139" s="526"/>
      <c r="G139" s="134" t="s">
        <v>1799</v>
      </c>
      <c r="H139" s="135"/>
      <c r="I139" s="128">
        <f>I138-I137</f>
        <v>-0.33000000000000007</v>
      </c>
      <c r="K139" s="134" t="s">
        <v>1799</v>
      </c>
      <c r="L139" s="135"/>
      <c r="M139" s="128">
        <f>M138-M137</f>
        <v>-0.4399999999999995</v>
      </c>
      <c r="O139" s="520" t="s">
        <v>1798</v>
      </c>
      <c r="P139" s="520"/>
      <c r="Q139" s="124">
        <f>3.43+0.93</f>
        <v>4.3600000000000003</v>
      </c>
      <c r="R139" s="124">
        <f>Q139</f>
        <v>4.3600000000000003</v>
      </c>
      <c r="S139" s="124">
        <f>R139-0.2</f>
        <v>4.16</v>
      </c>
    </row>
    <row r="140" spans="2:22" ht="15" thickBot="1" x14ac:dyDescent="0.4">
      <c r="G140" s="123" t="s">
        <v>1800</v>
      </c>
      <c r="H140" s="133">
        <f>I139*I123</f>
        <v>-231.00000000000006</v>
      </c>
      <c r="I140" s="133"/>
      <c r="K140" s="123" t="s">
        <v>1800</v>
      </c>
      <c r="L140" s="133">
        <f>M139*M123</f>
        <v>-307.99999999999966</v>
      </c>
      <c r="M140" s="133"/>
      <c r="O140" s="524" t="s">
        <v>1799</v>
      </c>
      <c r="P140" s="525"/>
      <c r="Q140" s="128">
        <f>Q139-Q138</f>
        <v>-5.1346582646631056E-2</v>
      </c>
      <c r="R140" s="128">
        <f>R139-R138</f>
        <v>-0.1513465826466307</v>
      </c>
      <c r="S140" s="128">
        <f>S139-S138</f>
        <v>-0.1513465826466307</v>
      </c>
    </row>
    <row r="141" spans="2:22" x14ac:dyDescent="0.35">
      <c r="O141" s="123" t="s">
        <v>1800</v>
      </c>
      <c r="Q141" s="136">
        <f>Q140*Q123</f>
        <v>-61.513206010664007</v>
      </c>
      <c r="R141" s="136">
        <f>R140*R123</f>
        <v>-83.240620455646891</v>
      </c>
      <c r="S141" s="136">
        <f>S140*S123</f>
        <v>-47.674173533688673</v>
      </c>
    </row>
    <row r="144" spans="2:22" x14ac:dyDescent="0.35">
      <c r="B144" s="122" t="s">
        <v>946</v>
      </c>
      <c r="D144" t="s">
        <v>1913</v>
      </c>
      <c r="I144" s="122" t="s">
        <v>981</v>
      </c>
      <c r="M144" s="122" t="str">
        <f>Ledger!$O$55</f>
        <v>Trafi CIF Rdam May30-Jun03</v>
      </c>
    </row>
    <row r="145" spans="2:20" x14ac:dyDescent="0.35">
      <c r="B145" s="519" t="s">
        <v>1786</v>
      </c>
      <c r="C145" s="519"/>
      <c r="D145" s="124">
        <v>2100</v>
      </c>
      <c r="E145" s="124">
        <v>2100</v>
      </c>
      <c r="G145" s="91">
        <f>+SUM(D145:F145)</f>
        <v>4200</v>
      </c>
      <c r="I145" s="519" t="s">
        <v>1786</v>
      </c>
      <c r="J145" s="519"/>
      <c r="K145" s="124">
        <v>700</v>
      </c>
      <c r="M145" s="519" t="s">
        <v>1786</v>
      </c>
      <c r="N145" s="519"/>
      <c r="O145" s="124">
        <v>700</v>
      </c>
    </row>
    <row r="146" spans="2:20" x14ac:dyDescent="0.35">
      <c r="B146" s="519" t="s">
        <v>1894</v>
      </c>
      <c r="C146" s="519"/>
      <c r="D146" s="124">
        <v>1.25</v>
      </c>
      <c r="E146" s="124">
        <v>1.25</v>
      </c>
      <c r="I146" s="519" t="s">
        <v>1894</v>
      </c>
      <c r="J146" s="519"/>
      <c r="K146" s="124">
        <v>1.35</v>
      </c>
      <c r="M146" s="519" t="s">
        <v>1894</v>
      </c>
      <c r="N146" s="519"/>
      <c r="O146" s="124">
        <v>1.35</v>
      </c>
    </row>
    <row r="147" spans="2:20" x14ac:dyDescent="0.35">
      <c r="B147" s="519" t="s">
        <v>1788</v>
      </c>
      <c r="C147" s="519"/>
      <c r="D147" s="124">
        <v>0.1</v>
      </c>
      <c r="E147" s="124">
        <v>0.1</v>
      </c>
      <c r="I147" s="519" t="s">
        <v>1788</v>
      </c>
      <c r="J147" s="519"/>
      <c r="K147" s="124">
        <v>0.69</v>
      </c>
      <c r="M147" s="519" t="s">
        <v>1788</v>
      </c>
      <c r="N147" s="519"/>
      <c r="O147" s="124">
        <v>0.69</v>
      </c>
    </row>
    <row r="148" spans="2:20" ht="15" thickBot="1" x14ac:dyDescent="0.4">
      <c r="B148" s="520" t="s">
        <v>1909</v>
      </c>
      <c r="C148" s="520"/>
      <c r="D148" s="125">
        <f>D146+D147</f>
        <v>1.35</v>
      </c>
      <c r="E148" s="125">
        <f>E146+E147</f>
        <v>1.35</v>
      </c>
      <c r="I148" s="520" t="s">
        <v>1909</v>
      </c>
      <c r="J148" s="520"/>
      <c r="K148" s="125">
        <f>K146+K147</f>
        <v>2.04</v>
      </c>
      <c r="M148" s="520" t="s">
        <v>1909</v>
      </c>
      <c r="N148" s="520"/>
      <c r="O148" s="125">
        <f>O146+O147</f>
        <v>2.04</v>
      </c>
    </row>
    <row r="149" spans="2:20" x14ac:dyDescent="0.35">
      <c r="B149" s="521" t="s">
        <v>1897</v>
      </c>
      <c r="C149" s="521"/>
      <c r="D149" s="126">
        <v>0.69</v>
      </c>
      <c r="E149" s="126">
        <v>0.69</v>
      </c>
      <c r="I149" s="521" t="s">
        <v>1910</v>
      </c>
      <c r="J149" s="521"/>
      <c r="K149" s="126">
        <v>0.55000000000000004</v>
      </c>
      <c r="M149" s="521" t="s">
        <v>1910</v>
      </c>
      <c r="N149" s="521"/>
      <c r="O149" s="126">
        <v>0.47</v>
      </c>
    </row>
    <row r="150" spans="2:20" ht="15" thickBot="1" x14ac:dyDescent="0.4">
      <c r="B150" s="519" t="s">
        <v>1910</v>
      </c>
      <c r="C150" s="519"/>
      <c r="D150" s="129">
        <v>0.73</v>
      </c>
      <c r="E150" s="129">
        <v>0.66</v>
      </c>
      <c r="I150" s="131" t="s">
        <v>1911</v>
      </c>
      <c r="J150" s="131"/>
      <c r="K150" s="127">
        <v>-3.38</v>
      </c>
      <c r="M150" s="131" t="s">
        <v>1911</v>
      </c>
      <c r="N150" s="131"/>
      <c r="O150" s="127">
        <v>-3.38</v>
      </c>
    </row>
    <row r="151" spans="2:20" ht="15" thickBot="1" x14ac:dyDescent="0.4">
      <c r="B151" s="520" t="s">
        <v>1911</v>
      </c>
      <c r="C151" s="520"/>
      <c r="D151" s="127">
        <v>-3.54</v>
      </c>
      <c r="E151" s="127">
        <v>-3.58</v>
      </c>
      <c r="I151" s="132" t="s">
        <v>1920</v>
      </c>
      <c r="J151" s="132"/>
      <c r="K151" s="126">
        <f>SUM(K148:K150)</f>
        <v>-0.79</v>
      </c>
      <c r="M151" s="132" t="s">
        <v>1920</v>
      </c>
      <c r="N151" s="132"/>
      <c r="O151" s="126">
        <f>SUM(O148:O150)</f>
        <v>-0.87000000000000011</v>
      </c>
      <c r="P151">
        <v>-2.48</v>
      </c>
      <c r="Q151" s="91"/>
    </row>
    <row r="152" spans="2:20" x14ac:dyDescent="0.35">
      <c r="B152" s="522" t="s">
        <v>1899</v>
      </c>
      <c r="C152" s="522"/>
      <c r="D152" s="126">
        <f>D150+D149+D148+D151</f>
        <v>-0.77</v>
      </c>
      <c r="E152" s="126">
        <f>E150+E149+E148+E151</f>
        <v>-0.87999999999999989</v>
      </c>
      <c r="I152" s="123" t="s">
        <v>1901</v>
      </c>
      <c r="J152" s="123"/>
      <c r="K152" s="108">
        <v>3.4</v>
      </c>
      <c r="L152" t="s">
        <v>1921</v>
      </c>
      <c r="M152" s="123" t="s">
        <v>1901</v>
      </c>
      <c r="N152" s="123"/>
      <c r="O152" s="108">
        <v>3.28</v>
      </c>
      <c r="P152" t="s">
        <v>1922</v>
      </c>
    </row>
    <row r="153" spans="2:20" x14ac:dyDescent="0.35">
      <c r="B153" s="519" t="s">
        <v>1901</v>
      </c>
      <c r="C153" s="519"/>
      <c r="D153" s="108">
        <v>3.83</v>
      </c>
      <c r="E153" s="108">
        <v>3.83</v>
      </c>
      <c r="G153" s="91">
        <v>8043</v>
      </c>
      <c r="I153" s="123" t="s">
        <v>1923</v>
      </c>
      <c r="J153" s="123"/>
      <c r="K153" s="118">
        <v>-1.17</v>
      </c>
      <c r="L153" t="s">
        <v>1924</v>
      </c>
      <c r="M153" s="123" t="s">
        <v>1923</v>
      </c>
      <c r="N153" s="123"/>
      <c r="O153" s="118">
        <v>0</v>
      </c>
    </row>
    <row r="154" spans="2:20" x14ac:dyDescent="0.35">
      <c r="B154" s="519" t="s">
        <v>1793</v>
      </c>
      <c r="C154" s="519"/>
      <c r="D154" s="118">
        <f>G154/$D$145</f>
        <v>0</v>
      </c>
      <c r="E154" s="118">
        <v>0</v>
      </c>
      <c r="G154" s="91">
        <v>0</v>
      </c>
      <c r="I154" s="123" t="s">
        <v>1794</v>
      </c>
      <c r="J154" s="123"/>
      <c r="K154" s="118">
        <v>0</v>
      </c>
      <c r="M154" s="123" t="s">
        <v>1794</v>
      </c>
      <c r="N154" s="123"/>
      <c r="O154" s="118">
        <v>0</v>
      </c>
      <c r="R154">
        <v>0</v>
      </c>
      <c r="S154">
        <v>0.28000000000000003</v>
      </c>
      <c r="T154">
        <f>700/5</f>
        <v>140</v>
      </c>
    </row>
    <row r="155" spans="2:20" x14ac:dyDescent="0.35">
      <c r="B155" s="519" t="s">
        <v>1794</v>
      </c>
      <c r="C155" s="519"/>
      <c r="D155" s="118">
        <f t="shared" ref="D155:D157" si="7">G155/$D$145</f>
        <v>0.27590410952380956</v>
      </c>
      <c r="E155" s="118">
        <v>0.22</v>
      </c>
      <c r="G155" s="91">
        <v>579.39863000000003</v>
      </c>
      <c r="I155" s="123" t="s">
        <v>1795</v>
      </c>
      <c r="J155" s="123"/>
      <c r="K155" s="118">
        <v>0</v>
      </c>
      <c r="M155" s="123" t="s">
        <v>1795</v>
      </c>
      <c r="N155" s="123"/>
      <c r="O155" s="118">
        <v>0</v>
      </c>
      <c r="R155">
        <v>0</v>
      </c>
      <c r="S155">
        <v>0.28000000000000003</v>
      </c>
      <c r="T155">
        <f>700/5</f>
        <v>140</v>
      </c>
    </row>
    <row r="156" spans="2:20" x14ac:dyDescent="0.35">
      <c r="B156" s="519" t="s">
        <v>1795</v>
      </c>
      <c r="C156" s="519"/>
      <c r="D156" s="118">
        <f t="shared" si="7"/>
        <v>0</v>
      </c>
      <c r="E156" s="118">
        <v>0.26</v>
      </c>
      <c r="G156" s="91">
        <v>0</v>
      </c>
      <c r="I156" s="123" t="s">
        <v>1796</v>
      </c>
      <c r="J156" s="123"/>
      <c r="K156" s="118">
        <v>0</v>
      </c>
      <c r="M156" s="123" t="s">
        <v>1796</v>
      </c>
      <c r="N156" s="123"/>
      <c r="O156" s="118">
        <v>0.13</v>
      </c>
      <c r="R156">
        <v>0</v>
      </c>
      <c r="S156">
        <v>0.28000000000000003</v>
      </c>
      <c r="T156">
        <f>700/5</f>
        <v>140</v>
      </c>
    </row>
    <row r="157" spans="2:20" x14ac:dyDescent="0.35">
      <c r="B157" s="519" t="s">
        <v>1796</v>
      </c>
      <c r="C157" s="519"/>
      <c r="D157" s="118">
        <f t="shared" si="7"/>
        <v>0.19911666666666666</v>
      </c>
      <c r="E157" s="118">
        <v>0.28000000000000003</v>
      </c>
      <c r="G157" s="91">
        <v>418.14499999999998</v>
      </c>
      <c r="I157" s="519" t="s">
        <v>1916</v>
      </c>
      <c r="J157" s="519"/>
      <c r="K157" s="129"/>
      <c r="M157" s="519" t="s">
        <v>1916</v>
      </c>
      <c r="N157" s="519"/>
      <c r="O157" s="129">
        <f>R159</f>
        <v>0.18400000000000002</v>
      </c>
      <c r="R157">
        <v>0.46</v>
      </c>
      <c r="S157">
        <v>0.57999999999999996</v>
      </c>
      <c r="T157">
        <f>700/5</f>
        <v>140</v>
      </c>
    </row>
    <row r="158" spans="2:20" ht="15" thickBot="1" x14ac:dyDescent="0.4">
      <c r="B158" s="519" t="s">
        <v>1917</v>
      </c>
      <c r="C158" s="519"/>
      <c r="D158" s="129">
        <v>0.69</v>
      </c>
      <c r="E158" s="129">
        <v>0.59</v>
      </c>
      <c r="I158" s="131" t="s">
        <v>1835</v>
      </c>
      <c r="J158" s="131"/>
      <c r="K158" s="127"/>
      <c r="M158" s="131" t="s">
        <v>1835</v>
      </c>
      <c r="N158" s="131"/>
      <c r="O158" s="127">
        <f>S159</f>
        <v>0.4</v>
      </c>
      <c r="R158">
        <v>0.46</v>
      </c>
      <c r="S158">
        <f>0.86-0.28</f>
        <v>0.57999999999999996</v>
      </c>
      <c r="T158">
        <f>700/5</f>
        <v>140</v>
      </c>
    </row>
    <row r="159" spans="2:20" x14ac:dyDescent="0.35">
      <c r="B159" s="519" t="s">
        <v>1925</v>
      </c>
      <c r="C159" s="519"/>
      <c r="D159" s="129">
        <v>1.01</v>
      </c>
      <c r="E159" s="129">
        <v>0.85</v>
      </c>
      <c r="I159" s="132" t="s">
        <v>1908</v>
      </c>
      <c r="J159" s="132"/>
      <c r="K159" s="126">
        <f>K151+SUM(K152:K157)-K158</f>
        <v>1.44</v>
      </c>
      <c r="M159" s="132" t="s">
        <v>1908</v>
      </c>
      <c r="N159" s="132"/>
      <c r="O159" s="126">
        <f>O151+SUM(O152:O157)-O158</f>
        <v>2.3239999999999998</v>
      </c>
      <c r="R159" cm="1">
        <f t="array" ref="R159">SUMPRODUCT($T$154:$T$158,R154:R158/SUM($T$154:$T$158))</f>
        <v>0.18400000000000002</v>
      </c>
      <c r="S159" cm="1">
        <f t="array" ref="S159">SUMPRODUCT($T$154:$T$158,S154:S158/SUM($T$154:$T$158))</f>
        <v>0.4</v>
      </c>
    </row>
    <row r="160" spans="2:20" ht="15" thickBot="1" x14ac:dyDescent="0.4">
      <c r="B160" s="523" t="s">
        <v>1919</v>
      </c>
      <c r="C160" s="523"/>
      <c r="D160" s="126">
        <f>D152+SUM(D153:D158)-D159</f>
        <v>3.2150207761904763</v>
      </c>
      <c r="E160" s="126">
        <f>E152+SUM(E153:E158)-E159</f>
        <v>3.4499999999999997</v>
      </c>
      <c r="I160" s="131" t="s">
        <v>1798</v>
      </c>
      <c r="J160" s="131"/>
      <c r="K160" s="124">
        <v>0.45</v>
      </c>
      <c r="M160" s="131" t="s">
        <v>1798</v>
      </c>
      <c r="N160" s="131"/>
      <c r="O160" s="124">
        <v>0.6</v>
      </c>
    </row>
    <row r="161" spans="2:28" ht="15" thickBot="1" x14ac:dyDescent="0.4">
      <c r="B161" s="520" t="s">
        <v>1798</v>
      </c>
      <c r="C161" s="520"/>
      <c r="D161" s="124">
        <v>3.46</v>
      </c>
      <c r="E161" s="124">
        <v>3.47</v>
      </c>
      <c r="I161" s="134" t="s">
        <v>1799</v>
      </c>
      <c r="J161" s="135"/>
      <c r="K161" s="128">
        <f>K160-K159</f>
        <v>-0.99</v>
      </c>
      <c r="M161" s="134" t="s">
        <v>1799</v>
      </c>
      <c r="N161" s="135"/>
      <c r="O161" s="128">
        <f>O160-O159</f>
        <v>-1.7239999999999998</v>
      </c>
    </row>
    <row r="162" spans="2:28" ht="15" thickBot="1" x14ac:dyDescent="0.4">
      <c r="B162" s="524" t="s">
        <v>1799</v>
      </c>
      <c r="C162" s="525"/>
      <c r="D162" s="128">
        <f>D161-D160</f>
        <v>0.24497922380952364</v>
      </c>
      <c r="E162" s="128">
        <f>E161-E160</f>
        <v>2.0000000000000462E-2</v>
      </c>
      <c r="I162" s="123" t="s">
        <v>1800</v>
      </c>
      <c r="J162" s="133">
        <f>K161*K145</f>
        <v>-693</v>
      </c>
      <c r="K162" s="133"/>
      <c r="M162" s="123" t="s">
        <v>1800</v>
      </c>
      <c r="N162" s="133">
        <f>O161*O145</f>
        <v>-1206.7999999999997</v>
      </c>
      <c r="O162" s="133"/>
    </row>
    <row r="163" spans="2:28" x14ac:dyDescent="0.35">
      <c r="B163" s="123" t="s">
        <v>1800</v>
      </c>
      <c r="D163" s="136">
        <f>D162*D145</f>
        <v>514.45636999999965</v>
      </c>
      <c r="E163" s="136">
        <f>E162*E145</f>
        <v>42.000000000000966</v>
      </c>
    </row>
    <row r="167" spans="2:28" x14ac:dyDescent="0.35">
      <c r="Q167">
        <v>140</v>
      </c>
    </row>
    <row r="168" spans="2:28" x14ac:dyDescent="0.35">
      <c r="B168" s="122" t="str">
        <f>Ledger!O52</f>
        <v>July25 EFP 1</v>
      </c>
      <c r="E168" s="122" t="str">
        <f>Ledger!O53</f>
        <v>July25 EFP 2</v>
      </c>
      <c r="H168" s="122" t="str">
        <f>Ledger!O54</f>
        <v>July25 EFP 3</v>
      </c>
      <c r="M168" s="122" t="str">
        <f>Ledger!$O$56</f>
        <v>Exxon CIF Rdam June 22-26</v>
      </c>
      <c r="Q168" s="122" t="str">
        <f>Ledger!$O$57</f>
        <v>PTIN CIF Rdam June 9-13</v>
      </c>
      <c r="U168" s="122" t="str">
        <f>Ledger!$O$58</f>
        <v>Trafi CIF Rdam June 13-17</v>
      </c>
      <c r="Y168" s="122" t="str">
        <f>Ledger!O59</f>
        <v>BP CIF Rdam June 17-21</v>
      </c>
    </row>
    <row r="169" spans="2:28" x14ac:dyDescent="0.35">
      <c r="B169" s="519" t="s">
        <v>1786</v>
      </c>
      <c r="C169" s="519"/>
      <c r="D169" s="124">
        <v>700</v>
      </c>
      <c r="E169" s="519" t="s">
        <v>1786</v>
      </c>
      <c r="F169" s="519"/>
      <c r="G169" s="124">
        <v>700</v>
      </c>
      <c r="H169" s="519" t="s">
        <v>1786</v>
      </c>
      <c r="I169" s="519"/>
      <c r="J169" s="124">
        <v>700</v>
      </c>
      <c r="M169" s="519" t="s">
        <v>1786</v>
      </c>
      <c r="N169" s="519"/>
      <c r="O169" s="124">
        <v>707</v>
      </c>
      <c r="Q169" s="519" t="s">
        <v>1786</v>
      </c>
      <c r="R169" s="519"/>
      <c r="S169" s="124">
        <v>700</v>
      </c>
      <c r="U169" s="519" t="s">
        <v>1786</v>
      </c>
      <c r="V169" s="519"/>
      <c r="W169" s="124">
        <v>700</v>
      </c>
      <c r="Y169" s="519" t="s">
        <v>1786</v>
      </c>
      <c r="Z169" s="519"/>
      <c r="AA169" s="124">
        <v>700</v>
      </c>
    </row>
    <row r="170" spans="2:28" x14ac:dyDescent="0.35">
      <c r="B170" s="519" t="s">
        <v>44</v>
      </c>
      <c r="C170" s="519"/>
      <c r="D170" s="124">
        <v>0.85</v>
      </c>
      <c r="E170" s="519" t="s">
        <v>1894</v>
      </c>
      <c r="F170" s="519"/>
      <c r="G170" s="124">
        <v>0.85</v>
      </c>
      <c r="H170" s="519" t="s">
        <v>1894</v>
      </c>
      <c r="I170" s="519"/>
      <c r="J170" s="124">
        <v>0.85</v>
      </c>
      <c r="M170" s="519" t="s">
        <v>1894</v>
      </c>
      <c r="N170" s="519"/>
      <c r="O170" s="124">
        <v>0.85</v>
      </c>
      <c r="Q170" s="519" t="s">
        <v>1894</v>
      </c>
      <c r="R170" s="519"/>
      <c r="S170" s="124">
        <v>1.35</v>
      </c>
      <c r="U170" s="519" t="s">
        <v>1894</v>
      </c>
      <c r="V170" s="519"/>
      <c r="W170" s="124">
        <v>1.35</v>
      </c>
      <c r="Y170" s="519" t="s">
        <v>1894</v>
      </c>
      <c r="Z170" s="519"/>
      <c r="AA170" s="124">
        <v>1.35</v>
      </c>
    </row>
    <row r="171" spans="2:28" x14ac:dyDescent="0.35">
      <c r="B171" s="519" t="s">
        <v>1788</v>
      </c>
      <c r="C171" s="519"/>
      <c r="D171" s="124">
        <v>0.2</v>
      </c>
      <c r="E171" s="519" t="s">
        <v>1788</v>
      </c>
      <c r="F171" s="519"/>
      <c r="G171" s="124">
        <v>0</v>
      </c>
      <c r="H171" s="519" t="s">
        <v>1788</v>
      </c>
      <c r="I171" s="519"/>
      <c r="J171" s="124">
        <v>0</v>
      </c>
      <c r="M171" s="519" t="s">
        <v>1788</v>
      </c>
      <c r="N171" s="519"/>
      <c r="O171" s="124">
        <v>0</v>
      </c>
      <c r="Q171" s="519" t="s">
        <v>1788</v>
      </c>
      <c r="R171" s="519"/>
      <c r="S171" s="124">
        <v>0.69</v>
      </c>
      <c r="U171" s="519" t="s">
        <v>1788</v>
      </c>
      <c r="V171" s="519"/>
      <c r="W171" s="124">
        <v>0.69</v>
      </c>
      <c r="Y171" s="519" t="s">
        <v>1788</v>
      </c>
      <c r="Z171" s="519"/>
      <c r="AA171" s="124">
        <v>0.69</v>
      </c>
    </row>
    <row r="172" spans="2:28" ht="15" thickBot="1" x14ac:dyDescent="0.4">
      <c r="B172" s="520" t="s">
        <v>1909</v>
      </c>
      <c r="C172" s="520"/>
      <c r="D172" s="125">
        <f>D170+D171</f>
        <v>1.05</v>
      </c>
      <c r="E172" s="520" t="s">
        <v>1909</v>
      </c>
      <c r="F172" s="520"/>
      <c r="G172" s="125">
        <f>G170+G171</f>
        <v>0.85</v>
      </c>
      <c r="H172" s="520" t="s">
        <v>1909</v>
      </c>
      <c r="I172" s="520"/>
      <c r="J172" s="125">
        <f>J170+J171</f>
        <v>0.85</v>
      </c>
      <c r="M172" s="520" t="s">
        <v>1909</v>
      </c>
      <c r="N172" s="520"/>
      <c r="O172" s="125">
        <f>O170+O171</f>
        <v>0.85</v>
      </c>
      <c r="Q172" s="520" t="s">
        <v>1909</v>
      </c>
      <c r="R172" s="520"/>
      <c r="S172" s="125">
        <f>S170+S171</f>
        <v>2.04</v>
      </c>
      <c r="U172" s="520" t="s">
        <v>1909</v>
      </c>
      <c r="V172" s="520"/>
      <c r="W172" s="125">
        <f>W170+W171</f>
        <v>2.04</v>
      </c>
      <c r="Y172" s="520" t="s">
        <v>1909</v>
      </c>
      <c r="Z172" s="520"/>
      <c r="AA172" s="125">
        <f>AA170+AA171</f>
        <v>2.04</v>
      </c>
    </row>
    <row r="173" spans="2:28" x14ac:dyDescent="0.35">
      <c r="B173" s="521" t="s">
        <v>1910</v>
      </c>
      <c r="C173" s="521"/>
      <c r="D173" s="126">
        <v>0</v>
      </c>
      <c r="E173" s="521" t="s">
        <v>1910</v>
      </c>
      <c r="F173" s="521"/>
      <c r="G173" s="126">
        <v>0.55000000000000004</v>
      </c>
      <c r="H173" s="521" t="s">
        <v>1910</v>
      </c>
      <c r="I173" s="521"/>
      <c r="J173" s="126">
        <v>0.52</v>
      </c>
      <c r="M173" s="521" t="s">
        <v>1910</v>
      </c>
      <c r="N173" s="521"/>
      <c r="O173" s="126">
        <v>0.47</v>
      </c>
      <c r="Q173" s="521" t="s">
        <v>1910</v>
      </c>
      <c r="R173" s="521"/>
      <c r="S173" s="126">
        <v>0.69</v>
      </c>
      <c r="U173" s="521" t="s">
        <v>1910</v>
      </c>
      <c r="V173" s="521"/>
      <c r="W173" s="126">
        <v>0.69</v>
      </c>
      <c r="Y173" s="521" t="s">
        <v>1910</v>
      </c>
      <c r="Z173" s="521"/>
      <c r="AA173" s="126">
        <v>0.69</v>
      </c>
    </row>
    <row r="174" spans="2:28" ht="15" thickBot="1" x14ac:dyDescent="0.4">
      <c r="B174" s="131" t="s">
        <v>1911</v>
      </c>
      <c r="C174" s="131"/>
      <c r="D174" s="127">
        <v>-3.34</v>
      </c>
      <c r="E174" s="131" t="s">
        <v>1911</v>
      </c>
      <c r="F174" s="131"/>
      <c r="G174" s="127">
        <v>-3.06</v>
      </c>
      <c r="H174" s="131" t="s">
        <v>1911</v>
      </c>
      <c r="I174" s="131"/>
      <c r="J174" s="127">
        <v>-3.49</v>
      </c>
      <c r="M174" s="131" t="s">
        <v>1911</v>
      </c>
      <c r="N174" s="131"/>
      <c r="O174" s="127">
        <v>-3.35</v>
      </c>
      <c r="Q174" s="131" t="s">
        <v>1911</v>
      </c>
      <c r="R174" s="131"/>
      <c r="S174" s="127">
        <v>-3.32</v>
      </c>
      <c r="U174" s="131" t="s">
        <v>1911</v>
      </c>
      <c r="V174" s="131"/>
      <c r="W174" s="127">
        <v>-3.32</v>
      </c>
      <c r="Y174" s="131" t="s">
        <v>1911</v>
      </c>
      <c r="Z174" s="131"/>
      <c r="AA174" s="127">
        <v>-3.32</v>
      </c>
    </row>
    <row r="175" spans="2:28" x14ac:dyDescent="0.35">
      <c r="B175" s="132" t="s">
        <v>1920</v>
      </c>
      <c r="C175" s="132"/>
      <c r="D175" s="126">
        <f>SUM(D172:D174)</f>
        <v>-2.29</v>
      </c>
      <c r="E175" s="132" t="s">
        <v>1920</v>
      </c>
      <c r="F175" s="132"/>
      <c r="G175" s="126">
        <f>SUM(G172:G174)</f>
        <v>-1.6600000000000001</v>
      </c>
      <c r="H175" s="132" t="s">
        <v>1920</v>
      </c>
      <c r="I175" s="132"/>
      <c r="J175" s="126">
        <f>SUM(J172:J174)</f>
        <v>-2.12</v>
      </c>
      <c r="M175" s="132" t="s">
        <v>1920</v>
      </c>
      <c r="N175" s="132"/>
      <c r="O175" s="126">
        <f>SUM(O172:O174)</f>
        <v>-2.0300000000000002</v>
      </c>
      <c r="Q175" s="132" t="s">
        <v>1920</v>
      </c>
      <c r="R175" s="132"/>
      <c r="S175" s="126">
        <f>SUM(S172:S174)</f>
        <v>-0.58999999999999986</v>
      </c>
      <c r="U175" s="132" t="s">
        <v>1920</v>
      </c>
      <c r="V175" s="132"/>
      <c r="W175" s="126">
        <f>SUM(W172:W174)</f>
        <v>-0.58999999999999986</v>
      </c>
      <c r="Y175" s="132" t="s">
        <v>1920</v>
      </c>
      <c r="Z175" s="132"/>
      <c r="AA175" s="126">
        <f>SUM(AA172:AA174)</f>
        <v>-0.58999999999999986</v>
      </c>
    </row>
    <row r="176" spans="2:28" x14ac:dyDescent="0.35">
      <c r="B176" s="123" t="s">
        <v>1901</v>
      </c>
      <c r="C176" s="123"/>
      <c r="D176" s="108">
        <v>2.92</v>
      </c>
      <c r="E176" s="123" t="s">
        <v>1901</v>
      </c>
      <c r="F176" s="123"/>
      <c r="G176" s="108">
        <v>2.92</v>
      </c>
      <c r="H176" s="123" t="s">
        <v>1901</v>
      </c>
      <c r="I176" s="123"/>
      <c r="J176" s="108">
        <v>3.07</v>
      </c>
      <c r="L176" s="91">
        <f>+O176*$O$169</f>
        <v>2219.98</v>
      </c>
      <c r="M176" s="123" t="s">
        <v>1901</v>
      </c>
      <c r="N176" s="123"/>
      <c r="O176" s="108">
        <v>3.14</v>
      </c>
      <c r="P176" t="s">
        <v>1926</v>
      </c>
      <c r="Q176" s="123" t="s">
        <v>1901</v>
      </c>
      <c r="R176" s="123"/>
      <c r="S176" s="108">
        <v>3.06</v>
      </c>
      <c r="T176">
        <f>S176*S169</f>
        <v>2142</v>
      </c>
      <c r="U176" s="123" t="s">
        <v>1901</v>
      </c>
      <c r="V176" s="123"/>
      <c r="W176" s="108">
        <v>3.06</v>
      </c>
      <c r="X176">
        <v>140</v>
      </c>
      <c r="Y176" s="123" t="s">
        <v>1901</v>
      </c>
      <c r="Z176" s="123"/>
      <c r="AA176" s="108">
        <v>3.06</v>
      </c>
      <c r="AB176">
        <v>140</v>
      </c>
    </row>
    <row r="177" spans="2:27" x14ac:dyDescent="0.35">
      <c r="B177" s="123" t="s">
        <v>1923</v>
      </c>
      <c r="C177" s="123"/>
      <c r="D177" s="118">
        <v>-1.08</v>
      </c>
      <c r="E177" s="123" t="s">
        <v>1923</v>
      </c>
      <c r="F177" s="123"/>
      <c r="G177" s="118">
        <v>-1.08</v>
      </c>
      <c r="H177" s="123" t="s">
        <v>1923</v>
      </c>
      <c r="I177" s="123"/>
      <c r="J177" s="118">
        <v>-1.1200000000000001</v>
      </c>
      <c r="L177" s="91">
        <f t="shared" ref="L177:L180" si="8">+O177*$O$169</f>
        <v>0</v>
      </c>
      <c r="M177" s="123" t="s">
        <v>1923</v>
      </c>
      <c r="N177" s="123"/>
      <c r="O177" s="118">
        <v>0</v>
      </c>
      <c r="Q177" s="123" t="s">
        <v>1923</v>
      </c>
      <c r="R177" s="123"/>
      <c r="S177" s="118">
        <v>0</v>
      </c>
      <c r="T177">
        <f t="shared" ref="T177:T180" si="9">S177*S170</f>
        <v>0</v>
      </c>
      <c r="U177" s="123" t="s">
        <v>1923</v>
      </c>
      <c r="V177" s="123"/>
      <c r="W177" s="118">
        <v>0</v>
      </c>
      <c r="Y177" s="123" t="s">
        <v>1923</v>
      </c>
      <c r="Z177" s="123"/>
      <c r="AA177" s="118">
        <v>0</v>
      </c>
    </row>
    <row r="178" spans="2:27" x14ac:dyDescent="0.35">
      <c r="B178" s="123" t="s">
        <v>1794</v>
      </c>
      <c r="C178" s="123"/>
      <c r="D178" s="118">
        <v>0</v>
      </c>
      <c r="E178" s="123" t="s">
        <v>1794</v>
      </c>
      <c r="F178" s="123"/>
      <c r="G178" s="118">
        <v>0</v>
      </c>
      <c r="H178" s="123" t="s">
        <v>1794</v>
      </c>
      <c r="I178" s="123"/>
      <c r="J178" s="118">
        <v>0</v>
      </c>
      <c r="L178" s="91">
        <f t="shared" si="8"/>
        <v>0</v>
      </c>
      <c r="M178" s="123" t="s">
        <v>1794</v>
      </c>
      <c r="N178" s="123"/>
      <c r="O178" s="118">
        <v>0</v>
      </c>
      <c r="Q178" s="123" t="s">
        <v>1794</v>
      </c>
      <c r="R178" s="123"/>
      <c r="S178" s="118">
        <v>0</v>
      </c>
      <c r="T178">
        <f t="shared" si="9"/>
        <v>0</v>
      </c>
      <c r="U178" s="123" t="s">
        <v>1794</v>
      </c>
      <c r="V178" s="123"/>
      <c r="W178" s="118">
        <v>0</v>
      </c>
      <c r="Y178" s="123" t="s">
        <v>1794</v>
      </c>
      <c r="Z178" s="123"/>
      <c r="AA178" s="118">
        <v>0</v>
      </c>
    </row>
    <row r="179" spans="2:27" x14ac:dyDescent="0.35">
      <c r="B179" s="123" t="s">
        <v>1795</v>
      </c>
      <c r="C179" s="123"/>
      <c r="D179" s="143"/>
      <c r="E179" s="123" t="s">
        <v>1795</v>
      </c>
      <c r="F179" s="123"/>
      <c r="G179" s="118">
        <v>0</v>
      </c>
      <c r="H179" s="123" t="s">
        <v>1795</v>
      </c>
      <c r="I179" s="123"/>
      <c r="J179" s="118">
        <v>0</v>
      </c>
      <c r="L179" s="91">
        <f t="shared" si="8"/>
        <v>0</v>
      </c>
      <c r="M179" s="123" t="s">
        <v>1795</v>
      </c>
      <c r="N179" s="123"/>
      <c r="O179" s="118">
        <v>0</v>
      </c>
      <c r="Q179" s="123" t="s">
        <v>1795</v>
      </c>
      <c r="R179" s="123"/>
      <c r="S179" s="118">
        <v>0</v>
      </c>
      <c r="T179">
        <f t="shared" si="9"/>
        <v>0</v>
      </c>
      <c r="U179" s="123" t="s">
        <v>1795</v>
      </c>
      <c r="V179" s="123"/>
      <c r="W179" s="118">
        <v>0</v>
      </c>
      <c r="Y179" s="123" t="s">
        <v>1795</v>
      </c>
      <c r="Z179" s="123"/>
      <c r="AA179" s="118">
        <v>0</v>
      </c>
    </row>
    <row r="180" spans="2:27" x14ac:dyDescent="0.35">
      <c r="B180" s="123" t="s">
        <v>1796</v>
      </c>
      <c r="C180" s="123"/>
      <c r="D180" s="118">
        <v>0</v>
      </c>
      <c r="E180" s="123" t="s">
        <v>1796</v>
      </c>
      <c r="F180" s="123"/>
      <c r="G180" s="118">
        <v>0</v>
      </c>
      <c r="H180" s="123" t="s">
        <v>1796</v>
      </c>
      <c r="I180" s="123"/>
      <c r="J180" s="118">
        <v>0</v>
      </c>
      <c r="L180" s="91">
        <f t="shared" si="8"/>
        <v>91.91</v>
      </c>
      <c r="M180" s="123" t="s">
        <v>1796</v>
      </c>
      <c r="N180" s="123"/>
      <c r="O180" s="118">
        <v>0.13</v>
      </c>
      <c r="Q180" s="123" t="s">
        <v>1796</v>
      </c>
      <c r="R180" s="123"/>
      <c r="S180" s="118">
        <v>0.13</v>
      </c>
      <c r="T180">
        <f t="shared" si="9"/>
        <v>8.9700000000000002E-2</v>
      </c>
      <c r="U180" s="123" t="s">
        <v>1796</v>
      </c>
      <c r="V180" s="123"/>
      <c r="W180" s="118">
        <v>0.13</v>
      </c>
      <c r="Y180" s="123" t="s">
        <v>1796</v>
      </c>
      <c r="Z180" s="123"/>
      <c r="AA180" s="118">
        <v>0.13</v>
      </c>
    </row>
    <row r="181" spans="2:27" x14ac:dyDescent="0.35">
      <c r="B181" s="519" t="s">
        <v>1916</v>
      </c>
      <c r="C181" s="519"/>
      <c r="D181" s="129"/>
      <c r="E181" s="519" t="s">
        <v>1916</v>
      </c>
      <c r="F181" s="519"/>
      <c r="G181" s="129"/>
      <c r="H181" s="519" t="s">
        <v>1916</v>
      </c>
      <c r="I181" s="519"/>
      <c r="J181" s="129"/>
      <c r="M181" s="519" t="s">
        <v>1916</v>
      </c>
      <c r="N181" s="519"/>
      <c r="O181" s="129">
        <v>0.45</v>
      </c>
      <c r="Q181" s="519" t="s">
        <v>1916</v>
      </c>
      <c r="R181" s="519"/>
      <c r="S181" s="129">
        <v>0.73</v>
      </c>
      <c r="U181" s="519" t="s">
        <v>1916</v>
      </c>
      <c r="V181" s="519"/>
      <c r="W181" s="129">
        <v>0.73</v>
      </c>
      <c r="Y181" s="519" t="s">
        <v>1916</v>
      </c>
      <c r="Z181" s="519"/>
      <c r="AA181" s="129">
        <v>0.73</v>
      </c>
    </row>
    <row r="182" spans="2:27" ht="15" thickBot="1" x14ac:dyDescent="0.4">
      <c r="B182" s="131" t="s">
        <v>1835</v>
      </c>
      <c r="C182" s="131"/>
      <c r="D182" s="127"/>
      <c r="E182" s="131" t="s">
        <v>1835</v>
      </c>
      <c r="F182" s="131"/>
      <c r="G182" s="127"/>
      <c r="H182" s="131" t="s">
        <v>1835</v>
      </c>
      <c r="I182" s="131"/>
      <c r="J182" s="127"/>
      <c r="M182" s="131" t="s">
        <v>1835</v>
      </c>
      <c r="N182" s="131"/>
      <c r="O182" s="127">
        <v>0</v>
      </c>
      <c r="Q182" s="131" t="s">
        <v>1835</v>
      </c>
      <c r="R182" s="131"/>
      <c r="S182" s="127">
        <v>1.1279999999999999</v>
      </c>
      <c r="U182" s="131" t="s">
        <v>1835</v>
      </c>
      <c r="V182" s="131"/>
      <c r="W182" s="127">
        <v>0.95199999999999996</v>
      </c>
      <c r="Y182" s="131" t="s">
        <v>1835</v>
      </c>
      <c r="Z182" s="131"/>
      <c r="AA182" s="127">
        <v>0.82</v>
      </c>
    </row>
    <row r="183" spans="2:27" x14ac:dyDescent="0.35">
      <c r="B183" s="132" t="s">
        <v>1908</v>
      </c>
      <c r="C183" s="132"/>
      <c r="D183" s="126">
        <f>D175+SUM(D176:D181)-D182</f>
        <v>-0.45000000000000018</v>
      </c>
      <c r="E183" s="132" t="s">
        <v>1908</v>
      </c>
      <c r="F183" s="132"/>
      <c r="G183" s="126">
        <f>G175+SUM(G176:G181)-G182</f>
        <v>0.17999999999999972</v>
      </c>
      <c r="H183" s="132" t="s">
        <v>1908</v>
      </c>
      <c r="I183" s="132"/>
      <c r="J183" s="126">
        <f>J175+SUM(J176:J181)-J182</f>
        <v>-0.17000000000000037</v>
      </c>
      <c r="M183" s="132" t="s">
        <v>1908</v>
      </c>
      <c r="N183" s="132"/>
      <c r="O183" s="126">
        <f>O175+SUM(O176:O181)-O182</f>
        <v>1.69</v>
      </c>
      <c r="Q183" s="132" t="s">
        <v>1908</v>
      </c>
      <c r="R183" s="132"/>
      <c r="S183" s="126">
        <f>S175+SUM(S176:S181)-S182</f>
        <v>2.202</v>
      </c>
      <c r="U183" s="132" t="s">
        <v>1908</v>
      </c>
      <c r="V183" s="132"/>
      <c r="W183" s="126">
        <f>W175+SUM(W176:W181)-W182</f>
        <v>2.3780000000000001</v>
      </c>
      <c r="Y183" s="132" t="s">
        <v>1908</v>
      </c>
      <c r="Z183" s="132"/>
      <c r="AA183" s="126">
        <f>AA175+SUM(AA176:AA181)-AA182</f>
        <v>2.5100000000000002</v>
      </c>
    </row>
    <row r="184" spans="2:27" ht="15" thickBot="1" x14ac:dyDescent="0.4">
      <c r="B184" s="131" t="s">
        <v>1798</v>
      </c>
      <c r="C184" s="131"/>
      <c r="D184" s="124">
        <v>0.01</v>
      </c>
      <c r="E184" s="131" t="s">
        <v>1798</v>
      </c>
      <c r="F184" s="131"/>
      <c r="G184" s="124">
        <v>0.01</v>
      </c>
      <c r="H184" s="131" t="s">
        <v>1798</v>
      </c>
      <c r="I184" s="131"/>
      <c r="J184" s="124">
        <v>0.01</v>
      </c>
      <c r="M184" s="131" t="s">
        <v>1798</v>
      </c>
      <c r="N184" s="131"/>
      <c r="O184" s="124">
        <v>1.65</v>
      </c>
      <c r="Q184" s="131" t="s">
        <v>1798</v>
      </c>
      <c r="R184" s="131"/>
      <c r="S184" s="124">
        <v>1.3</v>
      </c>
      <c r="U184" s="131" t="s">
        <v>1798</v>
      </c>
      <c r="V184" s="131"/>
      <c r="W184" s="124">
        <v>1.45</v>
      </c>
      <c r="Y184" s="131" t="s">
        <v>1798</v>
      </c>
      <c r="Z184" s="131"/>
      <c r="AA184" s="124">
        <v>1.6</v>
      </c>
    </row>
    <row r="185" spans="2:27" ht="15" thickBot="1" x14ac:dyDescent="0.4">
      <c r="B185" s="134" t="s">
        <v>1799</v>
      </c>
      <c r="C185" s="135"/>
      <c r="D185" s="128">
        <f>D184-D183</f>
        <v>0.46000000000000019</v>
      </c>
      <c r="E185" s="134" t="s">
        <v>1799</v>
      </c>
      <c r="F185" s="135"/>
      <c r="G185" s="128">
        <f>G184-G183</f>
        <v>-0.16999999999999971</v>
      </c>
      <c r="H185" s="134" t="s">
        <v>1799</v>
      </c>
      <c r="I185" s="135"/>
      <c r="J185" s="128">
        <f>J184-J183</f>
        <v>0.18000000000000038</v>
      </c>
      <c r="M185" s="134" t="s">
        <v>1799</v>
      </c>
      <c r="N185" s="135"/>
      <c r="O185" s="128">
        <f>O184-O183</f>
        <v>-4.0000000000000036E-2</v>
      </c>
      <c r="Q185" s="134" t="s">
        <v>1799</v>
      </c>
      <c r="R185" s="135"/>
      <c r="S185" s="128">
        <f>S184-S183</f>
        <v>-0.90199999999999991</v>
      </c>
      <c r="U185" s="134" t="s">
        <v>1799</v>
      </c>
      <c r="V185" s="135"/>
      <c r="W185" s="128">
        <f>W184-W183</f>
        <v>-0.92800000000000016</v>
      </c>
      <c r="Y185" s="134" t="s">
        <v>1799</v>
      </c>
      <c r="Z185" s="135"/>
      <c r="AA185" s="128">
        <f>AA184-AA183</f>
        <v>-0.91000000000000014</v>
      </c>
    </row>
    <row r="186" spans="2:27" x14ac:dyDescent="0.35">
      <c r="B186" s="123" t="s">
        <v>1800</v>
      </c>
      <c r="C186" s="133">
        <f>D185*D169</f>
        <v>322.00000000000011</v>
      </c>
      <c r="D186" s="133"/>
      <c r="E186" s="123" t="s">
        <v>1800</v>
      </c>
      <c r="F186" s="133">
        <f>G185*G169</f>
        <v>-118.9999999999998</v>
      </c>
      <c r="G186" s="133"/>
      <c r="H186" s="123" t="s">
        <v>1800</v>
      </c>
      <c r="I186" s="133">
        <f>J185*J169</f>
        <v>126.00000000000027</v>
      </c>
      <c r="J186" s="133"/>
      <c r="M186" s="123" t="s">
        <v>1800</v>
      </c>
      <c r="N186" s="133">
        <f>O185*O169</f>
        <v>-28.280000000000026</v>
      </c>
      <c r="O186" s="133"/>
      <c r="Q186" s="123" t="s">
        <v>1800</v>
      </c>
      <c r="R186" s="133">
        <f>S185*S169</f>
        <v>-631.4</v>
      </c>
      <c r="S186" s="133"/>
      <c r="U186" s="123" t="s">
        <v>1800</v>
      </c>
      <c r="V186" s="133">
        <f>W185*W169</f>
        <v>-649.60000000000014</v>
      </c>
      <c r="W186" s="133"/>
      <c r="Y186" s="123" t="s">
        <v>1800</v>
      </c>
      <c r="Z186" s="133">
        <f>AA185*AA169</f>
        <v>-637.00000000000011</v>
      </c>
      <c r="AA186" s="133"/>
    </row>
    <row r="190" spans="2:27" x14ac:dyDescent="0.35">
      <c r="B190" s="122" t="str">
        <f>Ledger!$O$60</f>
        <v>CPC Taiwain Aug 15-22</v>
      </c>
      <c r="H190" s="122" t="str">
        <f>Ledger!$O$8</f>
        <v>Jan 1-10 EXTAP VLCC</v>
      </c>
      <c r="M190" s="122" t="str">
        <f>Ledger!O61</f>
        <v>BP FOB June 9-10 EHSC</v>
      </c>
      <c r="Q190" s="122" t="str">
        <f>Ledger!O62</f>
        <v>Vitol FOB June Bookout</v>
      </c>
    </row>
    <row r="191" spans="2:27" x14ac:dyDescent="0.35">
      <c r="B191" s="519" t="s">
        <v>1786</v>
      </c>
      <c r="C191" s="519"/>
      <c r="D191" s="124">
        <v>2098</v>
      </c>
      <c r="H191" s="519" t="s">
        <v>1786</v>
      </c>
      <c r="I191" s="519"/>
      <c r="J191" s="124">
        <v>2069</v>
      </c>
      <c r="M191" s="519" t="s">
        <v>1786</v>
      </c>
      <c r="N191" s="519"/>
      <c r="O191" s="124">
        <v>700</v>
      </c>
      <c r="Q191" s="519" t="s">
        <v>1786</v>
      </c>
      <c r="R191" s="519"/>
      <c r="S191" s="124">
        <v>700</v>
      </c>
    </row>
    <row r="192" spans="2:27" x14ac:dyDescent="0.35">
      <c r="B192" s="519" t="s">
        <v>1894</v>
      </c>
      <c r="C192" s="519"/>
      <c r="D192" s="124">
        <v>0.85</v>
      </c>
      <c r="H192" s="519" t="s">
        <v>1894</v>
      </c>
      <c r="I192" s="519"/>
      <c r="J192" s="124">
        <v>1.45</v>
      </c>
      <c r="M192" s="519" t="s">
        <v>1894</v>
      </c>
      <c r="N192" s="519"/>
      <c r="O192" s="124">
        <v>0.85</v>
      </c>
      <c r="Q192" s="519" t="s">
        <v>1894</v>
      </c>
      <c r="R192" s="519"/>
      <c r="S192" s="124">
        <v>0.85</v>
      </c>
    </row>
    <row r="193" spans="2:19" x14ac:dyDescent="0.35">
      <c r="B193" s="519" t="s">
        <v>1788</v>
      </c>
      <c r="C193" s="519"/>
      <c r="D193" s="124">
        <v>0</v>
      </c>
      <c r="H193" s="519" t="s">
        <v>1788</v>
      </c>
      <c r="I193" s="519"/>
      <c r="J193" s="124">
        <v>0.4</v>
      </c>
      <c r="M193" s="519" t="s">
        <v>1788</v>
      </c>
      <c r="N193" s="519"/>
      <c r="O193" s="124">
        <v>0.55000000000000004</v>
      </c>
      <c r="Q193" s="519" t="s">
        <v>1788</v>
      </c>
      <c r="R193" s="519"/>
      <c r="S193" s="124">
        <v>0.55000000000000004</v>
      </c>
    </row>
    <row r="194" spans="2:19" ht="15" thickBot="1" x14ac:dyDescent="0.4">
      <c r="B194" s="520" t="s">
        <v>1927</v>
      </c>
      <c r="C194" s="520"/>
      <c r="D194" s="125">
        <f>D192+D193</f>
        <v>0.85</v>
      </c>
      <c r="H194" s="520" t="s">
        <v>1909</v>
      </c>
      <c r="I194" s="520"/>
      <c r="J194" s="125">
        <f>J192+J193</f>
        <v>1.85</v>
      </c>
      <c r="M194" s="520" t="s">
        <v>1909</v>
      </c>
      <c r="N194" s="520"/>
      <c r="O194" s="125">
        <f>O192+O193</f>
        <v>1.4</v>
      </c>
      <c r="Q194" s="520" t="s">
        <v>1909</v>
      </c>
      <c r="R194" s="520"/>
      <c r="S194" s="125">
        <f>S192+S193</f>
        <v>1.4</v>
      </c>
    </row>
    <row r="195" spans="2:19" x14ac:dyDescent="0.35">
      <c r="B195" s="123" t="s">
        <v>1910</v>
      </c>
      <c r="C195" s="123"/>
      <c r="D195" s="129">
        <v>0.55000000000000004</v>
      </c>
      <c r="H195" s="123" t="s">
        <v>1910</v>
      </c>
      <c r="I195" s="123"/>
      <c r="J195" s="129">
        <v>0.63</v>
      </c>
      <c r="M195" s="521" t="s">
        <v>1928</v>
      </c>
      <c r="N195" s="521"/>
      <c r="O195" s="126">
        <v>0.64</v>
      </c>
      <c r="Q195" s="521" t="s">
        <v>1928</v>
      </c>
      <c r="R195" s="521"/>
      <c r="S195" s="126"/>
    </row>
    <row r="196" spans="2:19" ht="15" thickBot="1" x14ac:dyDescent="0.4">
      <c r="B196" s="519" t="s">
        <v>1928</v>
      </c>
      <c r="C196" s="519"/>
      <c r="D196" s="129">
        <v>0.59</v>
      </c>
      <c r="H196" s="520" t="s">
        <v>1911</v>
      </c>
      <c r="I196" s="520"/>
      <c r="J196" s="127">
        <v>0.48</v>
      </c>
      <c r="M196" s="131" t="s">
        <v>1929</v>
      </c>
      <c r="N196" s="131"/>
      <c r="O196" s="127">
        <v>-3.12</v>
      </c>
      <c r="Q196" s="131" t="s">
        <v>1929</v>
      </c>
      <c r="R196" s="131"/>
      <c r="S196" s="127"/>
    </row>
    <row r="197" spans="2:19" ht="15" thickBot="1" x14ac:dyDescent="0.4">
      <c r="B197" s="519" t="s">
        <v>1930</v>
      </c>
      <c r="C197" s="519"/>
      <c r="D197" s="129">
        <v>0.55000000000000004</v>
      </c>
      <c r="H197" s="520" t="s">
        <v>1911</v>
      </c>
      <c r="I197" s="520"/>
      <c r="J197" s="127">
        <v>-4.12</v>
      </c>
      <c r="M197" s="132" t="s">
        <v>1920</v>
      </c>
      <c r="N197" s="132"/>
      <c r="O197" s="126">
        <f>SUM(O194:O196)</f>
        <v>-1.08</v>
      </c>
      <c r="Q197" s="132" t="s">
        <v>1920</v>
      </c>
      <c r="R197" s="132"/>
      <c r="S197" s="126">
        <f>SUM(S194:S196)</f>
        <v>1.4</v>
      </c>
    </row>
    <row r="198" spans="2:19" ht="15" thickBot="1" x14ac:dyDescent="0.4">
      <c r="B198" s="520" t="s">
        <v>1931</v>
      </c>
      <c r="C198" s="520"/>
      <c r="D198" s="127">
        <v>-3.38</v>
      </c>
      <c r="H198" s="522" t="s">
        <v>1899</v>
      </c>
      <c r="I198" s="522"/>
      <c r="J198" s="126">
        <f>J196+J195+J194+J197</f>
        <v>-1.1600000000000001</v>
      </c>
      <c r="M198" s="123" t="s">
        <v>1901</v>
      </c>
      <c r="N198" s="123"/>
      <c r="O198" s="108">
        <v>0</v>
      </c>
      <c r="Q198" s="123" t="s">
        <v>1901</v>
      </c>
      <c r="R198" s="123"/>
      <c r="S198" s="108">
        <v>0</v>
      </c>
    </row>
    <row r="199" spans="2:19" ht="15" thickBot="1" x14ac:dyDescent="0.4">
      <c r="B199" s="520"/>
      <c r="C199" s="520"/>
      <c r="D199" s="127"/>
      <c r="H199" s="519" t="s">
        <v>1901</v>
      </c>
      <c r="I199" s="519"/>
      <c r="J199" s="108">
        <v>3.57</v>
      </c>
      <c r="M199" s="123" t="s">
        <v>1923</v>
      </c>
      <c r="N199" s="123"/>
      <c r="O199" s="118">
        <v>0</v>
      </c>
      <c r="Q199" s="123" t="s">
        <v>1923</v>
      </c>
      <c r="R199" s="123"/>
      <c r="S199" s="118">
        <v>0</v>
      </c>
    </row>
    <row r="200" spans="2:19" x14ac:dyDescent="0.35">
      <c r="B200" s="522" t="s">
        <v>1899</v>
      </c>
      <c r="C200" s="522"/>
      <c r="D200" s="126">
        <f>D198+D195+D194+D199</f>
        <v>-1.98</v>
      </c>
      <c r="H200" s="519" t="s">
        <v>1793</v>
      </c>
      <c r="I200" s="519"/>
      <c r="J200" s="310"/>
      <c r="K200">
        <v>7.0000000000000007E-2</v>
      </c>
      <c r="M200" s="123" t="s">
        <v>1794</v>
      </c>
      <c r="N200" s="123"/>
      <c r="O200" s="118">
        <v>0</v>
      </c>
      <c r="Q200" s="123" t="s">
        <v>1794</v>
      </c>
      <c r="R200" s="123"/>
      <c r="S200" s="118">
        <v>0</v>
      </c>
    </row>
    <row r="201" spans="2:19" x14ac:dyDescent="0.35">
      <c r="B201" s="519" t="s">
        <v>1901</v>
      </c>
      <c r="C201" s="519"/>
      <c r="D201" s="108">
        <v>3.69</v>
      </c>
      <c r="E201" s="91">
        <f>SUM(D201:D205)</f>
        <v>4.05</v>
      </c>
      <c r="H201" s="519" t="s">
        <v>1794</v>
      </c>
      <c r="I201" s="519"/>
      <c r="J201" s="118">
        <v>0.21</v>
      </c>
      <c r="M201" s="123" t="s">
        <v>1795</v>
      </c>
      <c r="N201" s="123"/>
      <c r="O201" s="118">
        <v>-0.09</v>
      </c>
      <c r="Q201" s="123" t="s">
        <v>1795</v>
      </c>
      <c r="R201" s="123"/>
      <c r="S201" s="118">
        <v>0</v>
      </c>
    </row>
    <row r="202" spans="2:19" x14ac:dyDescent="0.35">
      <c r="B202" s="519" t="s">
        <v>1793</v>
      </c>
      <c r="C202" s="519"/>
      <c r="D202" s="310">
        <v>0</v>
      </c>
      <c r="H202" s="519" t="s">
        <v>1795</v>
      </c>
      <c r="I202" s="519"/>
      <c r="J202" s="118"/>
      <c r="M202" s="123" t="s">
        <v>1796</v>
      </c>
      <c r="N202" s="123"/>
      <c r="O202" s="118"/>
      <c r="Q202" s="123" t="s">
        <v>1796</v>
      </c>
      <c r="R202" s="123"/>
      <c r="S202" s="118"/>
    </row>
    <row r="203" spans="2:19" x14ac:dyDescent="0.35">
      <c r="B203" s="519" t="s">
        <v>1794</v>
      </c>
      <c r="C203" s="519"/>
      <c r="D203" s="118">
        <v>0.22</v>
      </c>
      <c r="H203" s="519" t="s">
        <v>1796</v>
      </c>
      <c r="I203" s="519"/>
      <c r="J203" s="118">
        <v>0.28000000000000003</v>
      </c>
      <c r="K203">
        <v>0.28000000000000003</v>
      </c>
      <c r="M203" s="519" t="s">
        <v>1916</v>
      </c>
      <c r="N203" s="519"/>
      <c r="O203" s="129"/>
      <c r="Q203" s="519" t="s">
        <v>1916</v>
      </c>
      <c r="R203" s="519"/>
      <c r="S203" s="129"/>
    </row>
    <row r="204" spans="2:19" ht="15" thickBot="1" x14ac:dyDescent="0.4">
      <c r="B204" s="519" t="s">
        <v>1795</v>
      </c>
      <c r="C204" s="519"/>
      <c r="D204" s="143">
        <v>0</v>
      </c>
      <c r="H204" s="519" t="s">
        <v>1917</v>
      </c>
      <c r="I204" s="519"/>
      <c r="J204" s="129">
        <v>0.33</v>
      </c>
      <c r="M204" s="131" t="s">
        <v>1835</v>
      </c>
      <c r="N204" s="131"/>
      <c r="O204" s="127"/>
      <c r="Q204" s="131" t="s">
        <v>1835</v>
      </c>
      <c r="R204" s="131"/>
      <c r="S204" s="127"/>
    </row>
    <row r="205" spans="2:19" x14ac:dyDescent="0.35">
      <c r="B205" s="519" t="s">
        <v>1796</v>
      </c>
      <c r="C205" s="519"/>
      <c r="D205" s="118">
        <f>0.21-0.07</f>
        <v>0.13999999999999999</v>
      </c>
      <c r="E205" s="91">
        <f>SUM(D202:D205)</f>
        <v>0.36</v>
      </c>
      <c r="H205" s="519" t="s">
        <v>1918</v>
      </c>
      <c r="I205" s="519"/>
      <c r="J205" s="129">
        <v>0.24</v>
      </c>
      <c r="M205" s="132" t="s">
        <v>1908</v>
      </c>
      <c r="N205" s="132"/>
      <c r="O205" s="126">
        <f>O197+SUM(O198:O203)-O204</f>
        <v>-1.1700000000000002</v>
      </c>
      <c r="Q205" s="132" t="s">
        <v>1908</v>
      </c>
      <c r="R205" s="132"/>
      <c r="S205" s="126">
        <f>S197+SUM(S198:S203)-S204</f>
        <v>1.4</v>
      </c>
    </row>
    <row r="206" spans="2:19" ht="15" thickBot="1" x14ac:dyDescent="0.4">
      <c r="B206" s="131" t="s">
        <v>1932</v>
      </c>
      <c r="C206" s="131"/>
      <c r="D206" s="142">
        <v>0.65</v>
      </c>
      <c r="H206" s="131" t="s">
        <v>1932</v>
      </c>
      <c r="I206" s="131"/>
      <c r="J206" s="142">
        <v>0.04</v>
      </c>
      <c r="M206" s="131" t="s">
        <v>1798</v>
      </c>
      <c r="N206" s="131"/>
      <c r="O206" s="124">
        <v>-1.2</v>
      </c>
      <c r="Q206" s="131" t="s">
        <v>1798</v>
      </c>
      <c r="R206" s="131"/>
      <c r="S206" s="124">
        <f>0.8+0.35</f>
        <v>1.1499999999999999</v>
      </c>
    </row>
    <row r="207" spans="2:19" ht="15" thickBot="1" x14ac:dyDescent="0.4">
      <c r="B207" s="140" t="s">
        <v>1933</v>
      </c>
      <c r="C207" s="140"/>
      <c r="D207" s="141">
        <f>D200+SUM(D201:D205)-D206+D196+D197</f>
        <v>2.5599999999999996</v>
      </c>
      <c r="H207" s="140" t="s">
        <v>1933</v>
      </c>
      <c r="I207" s="140"/>
      <c r="J207" s="141" cm="1">
        <f t="array" ref="J207">J198+SUM(J199:J205-J206)</f>
        <v>3.1900000000000004</v>
      </c>
      <c r="M207" s="134" t="s">
        <v>1799</v>
      </c>
      <c r="N207" s="135"/>
      <c r="O207" s="128">
        <f>O206-O205</f>
        <v>-2.9999999999999805E-2</v>
      </c>
      <c r="Q207" s="134" t="s">
        <v>1799</v>
      </c>
      <c r="R207" s="135"/>
      <c r="S207" s="128">
        <f>S206-S205</f>
        <v>-0.25</v>
      </c>
    </row>
    <row r="208" spans="2:19" ht="15" thickBot="1" x14ac:dyDescent="0.4">
      <c r="B208" s="520" t="s">
        <v>1798</v>
      </c>
      <c r="C208" s="520"/>
      <c r="D208" s="124">
        <f>3.17-0.18</f>
        <v>2.9899999999999998</v>
      </c>
      <c r="H208" s="131" t="s">
        <v>1798</v>
      </c>
      <c r="I208" s="131"/>
      <c r="J208" s="124">
        <v>3.6</v>
      </c>
      <c r="M208" s="123" t="s">
        <v>1800</v>
      </c>
      <c r="N208" s="133">
        <f>O207*O191</f>
        <v>-20.999999999999865</v>
      </c>
      <c r="O208" s="133"/>
      <c r="Q208" s="123" t="s">
        <v>1800</v>
      </c>
      <c r="R208" s="133">
        <f>S207*S191</f>
        <v>-175</v>
      </c>
      <c r="S208" s="133"/>
    </row>
    <row r="209" spans="2:19" ht="15" thickBot="1" x14ac:dyDescent="0.4">
      <c r="B209" s="524" t="s">
        <v>1799</v>
      </c>
      <c r="C209" s="525"/>
      <c r="D209" s="128">
        <f>D208-D207</f>
        <v>0.43000000000000016</v>
      </c>
      <c r="H209" s="134" t="s">
        <v>1799</v>
      </c>
      <c r="I209" s="135"/>
      <c r="J209" s="128">
        <f>J208-J207</f>
        <v>0.4099999999999997</v>
      </c>
    </row>
    <row r="210" spans="2:19" x14ac:dyDescent="0.35">
      <c r="B210" s="123" t="s">
        <v>1800</v>
      </c>
      <c r="D210" s="136">
        <f>D209*D191</f>
        <v>902.14000000000033</v>
      </c>
      <c r="H210" s="123" t="s">
        <v>1800</v>
      </c>
      <c r="J210" s="136">
        <f>J209*J191</f>
        <v>848.2899999999994</v>
      </c>
    </row>
    <row r="214" spans="2:19" x14ac:dyDescent="0.35">
      <c r="B214" s="122" t="str">
        <f>Ledger!O63</f>
        <v>Repsol FOB July 18-20 V Dock</v>
      </c>
      <c r="F214" s="122" t="str">
        <f>Ledger!O64</f>
        <v>Equinor FOB Bookout 2</v>
      </c>
      <c r="J214" s="122" t="str">
        <f>Ledger!O65</f>
        <v>HDO CFR Korea Sep 12-22</v>
      </c>
      <c r="N214" s="122" t="str">
        <f>Ledger!$O$66</f>
        <v>ENI FOB July 7-10 TBN2</v>
      </c>
      <c r="Q214" s="122" t="str">
        <f>Ledger!O71</f>
        <v>Trafi FOB July 19-20 Pin Oak</v>
      </c>
    </row>
    <row r="215" spans="2:19" x14ac:dyDescent="0.35">
      <c r="B215" s="519" t="s">
        <v>1786</v>
      </c>
      <c r="C215" s="519"/>
      <c r="D215" s="124">
        <v>700</v>
      </c>
      <c r="F215" s="519" t="s">
        <v>1786</v>
      </c>
      <c r="G215" s="519"/>
      <c r="H215" s="124">
        <v>700</v>
      </c>
      <c r="J215" s="519" t="s">
        <v>1786</v>
      </c>
      <c r="K215" s="519"/>
      <c r="L215" s="124">
        <v>2065</v>
      </c>
      <c r="N215" s="519" t="s">
        <v>1786</v>
      </c>
      <c r="O215" s="519"/>
      <c r="P215" s="124">
        <v>700</v>
      </c>
      <c r="Q215" s="519" t="s">
        <v>1786</v>
      </c>
      <c r="R215" s="519"/>
      <c r="S215" s="124">
        <v>700</v>
      </c>
    </row>
    <row r="216" spans="2:19" x14ac:dyDescent="0.35">
      <c r="B216" s="519" t="s">
        <v>1894</v>
      </c>
      <c r="C216" s="519"/>
      <c r="D216" s="124">
        <v>0.65</v>
      </c>
      <c r="F216" s="519" t="s">
        <v>1894</v>
      </c>
      <c r="G216" s="519"/>
      <c r="H216" s="124">
        <v>0.85</v>
      </c>
      <c r="J216" s="519" t="s">
        <v>1894</v>
      </c>
      <c r="K216" s="519"/>
      <c r="L216" s="124">
        <v>0.7</v>
      </c>
      <c r="N216" s="519" t="s">
        <v>1934</v>
      </c>
      <c r="O216" s="519"/>
      <c r="P216" s="124">
        <v>0.85</v>
      </c>
      <c r="Q216" s="519" t="s">
        <v>1934</v>
      </c>
      <c r="R216" s="519"/>
      <c r="S216" s="124">
        <v>0.85</v>
      </c>
    </row>
    <row r="217" spans="2:19" x14ac:dyDescent="0.35">
      <c r="B217" s="519" t="s">
        <v>1788</v>
      </c>
      <c r="C217" s="519"/>
      <c r="D217" s="124">
        <v>0.26</v>
      </c>
      <c r="F217" s="519" t="s">
        <v>1788</v>
      </c>
      <c r="G217" s="519"/>
      <c r="H217" s="124">
        <v>0.55000000000000004</v>
      </c>
      <c r="J217" s="519" t="s">
        <v>1788</v>
      </c>
      <c r="K217" s="519"/>
      <c r="L217" s="124">
        <v>0.45</v>
      </c>
      <c r="N217" s="519" t="s">
        <v>1788</v>
      </c>
      <c r="O217" s="519"/>
      <c r="P217" s="124">
        <v>0.55000000000000004</v>
      </c>
      <c r="Q217" s="519" t="s">
        <v>1788</v>
      </c>
      <c r="R217" s="519"/>
      <c r="S217" s="124">
        <v>0.55000000000000004</v>
      </c>
    </row>
    <row r="218" spans="2:19" ht="15" thickBot="1" x14ac:dyDescent="0.4">
      <c r="B218" s="520" t="s">
        <v>1909</v>
      </c>
      <c r="C218" s="520"/>
      <c r="D218" s="125">
        <f>D216+D217</f>
        <v>0.91</v>
      </c>
      <c r="F218" s="520" t="s">
        <v>1909</v>
      </c>
      <c r="G218" s="520"/>
      <c r="H218" s="125">
        <f>H216+H217</f>
        <v>1.4</v>
      </c>
      <c r="J218" s="520" t="s">
        <v>1909</v>
      </c>
      <c r="K218" s="520"/>
      <c r="L218" s="125">
        <f>L216+L217</f>
        <v>1.1499999999999999</v>
      </c>
      <c r="N218" s="520" t="s">
        <v>1909</v>
      </c>
      <c r="O218" s="520"/>
      <c r="P218" s="125">
        <f>P216+P217</f>
        <v>1.4</v>
      </c>
      <c r="Q218" s="520" t="s">
        <v>1909</v>
      </c>
      <c r="R218" s="520"/>
      <c r="S218" s="125">
        <f>S216+S217</f>
        <v>1.4</v>
      </c>
    </row>
    <row r="219" spans="2:19" x14ac:dyDescent="0.35">
      <c r="B219" s="521" t="s">
        <v>1928</v>
      </c>
      <c r="C219" s="521"/>
      <c r="D219" s="126">
        <f>1.07+0.99</f>
        <v>2.06</v>
      </c>
      <c r="F219" s="521" t="s">
        <v>1928</v>
      </c>
      <c r="G219" s="521"/>
      <c r="H219" s="126">
        <v>1.1499999999999999</v>
      </c>
      <c r="J219" s="521" t="s">
        <v>1928</v>
      </c>
      <c r="K219" s="521"/>
      <c r="L219" s="126">
        <v>1.1499999999999999</v>
      </c>
      <c r="N219" s="521" t="s">
        <v>1928</v>
      </c>
      <c r="O219" s="521"/>
      <c r="P219" s="126">
        <v>1.44</v>
      </c>
      <c r="Q219" s="521" t="s">
        <v>1928</v>
      </c>
      <c r="R219" s="521"/>
      <c r="S219" s="126">
        <v>1.55</v>
      </c>
    </row>
    <row r="220" spans="2:19" ht="15" thickBot="1" x14ac:dyDescent="0.4">
      <c r="B220" s="131" t="s">
        <v>1929</v>
      </c>
      <c r="C220" s="131"/>
      <c r="D220" s="127">
        <v>-3.04</v>
      </c>
      <c r="F220" t="s">
        <v>1930</v>
      </c>
      <c r="H220" s="124">
        <v>1.05</v>
      </c>
      <c r="J220" t="s">
        <v>1930</v>
      </c>
      <c r="L220" s="124">
        <v>1.05</v>
      </c>
      <c r="N220" t="s">
        <v>1930</v>
      </c>
      <c r="P220" s="124">
        <v>1.63</v>
      </c>
      <c r="Q220" t="s">
        <v>1930</v>
      </c>
      <c r="S220" s="124">
        <v>1.45</v>
      </c>
    </row>
    <row r="221" spans="2:19" ht="15" thickBot="1" x14ac:dyDescent="0.4">
      <c r="B221" s="132" t="s">
        <v>1920</v>
      </c>
      <c r="C221" s="132"/>
      <c r="D221" s="126">
        <f>SUM(D218:D220)</f>
        <v>-6.999999999999984E-2</v>
      </c>
      <c r="F221" s="131" t="s">
        <v>1931</v>
      </c>
      <c r="G221" s="131"/>
      <c r="H221" s="127">
        <v>-3.1</v>
      </c>
      <c r="J221" s="131" t="s">
        <v>1931</v>
      </c>
      <c r="K221" s="131"/>
      <c r="L221" s="127">
        <v>-3.1</v>
      </c>
      <c r="N221" s="131" t="s">
        <v>1931</v>
      </c>
      <c r="O221" s="131"/>
      <c r="P221" s="127">
        <v>-3.3</v>
      </c>
      <c r="Q221" s="131" t="s">
        <v>1931</v>
      </c>
      <c r="R221" s="131"/>
      <c r="S221" s="127">
        <v>-2.96</v>
      </c>
    </row>
    <row r="222" spans="2:19" x14ac:dyDescent="0.35">
      <c r="B222" s="123" t="s">
        <v>1901</v>
      </c>
      <c r="C222" s="123"/>
      <c r="D222" s="108">
        <v>0</v>
      </c>
      <c r="F222" s="132" t="s">
        <v>1920</v>
      </c>
      <c r="G222" s="132"/>
      <c r="H222" s="126">
        <f>SUM(H218:H221)</f>
        <v>0.49999999999999956</v>
      </c>
      <c r="J222" s="132" t="s">
        <v>1920</v>
      </c>
      <c r="K222" s="132"/>
      <c r="L222" s="126">
        <f>SUM(L218:L221)</f>
        <v>0.24999999999999956</v>
      </c>
      <c r="N222" s="132" t="s">
        <v>1920</v>
      </c>
      <c r="O222" s="132"/>
      <c r="P222" s="126">
        <f>SUM(P218:P221)</f>
        <v>1.17</v>
      </c>
      <c r="Q222" s="132" t="s">
        <v>1920</v>
      </c>
      <c r="R222" s="132"/>
      <c r="S222" s="126">
        <f>SUM(S218:S221)</f>
        <v>1.4400000000000004</v>
      </c>
    </row>
    <row r="223" spans="2:19" x14ac:dyDescent="0.35">
      <c r="B223" s="123" t="s">
        <v>1923</v>
      </c>
      <c r="C223" s="123"/>
      <c r="D223" s="118">
        <v>0</v>
      </c>
      <c r="F223" s="123" t="s">
        <v>1901</v>
      </c>
      <c r="G223" s="123"/>
      <c r="H223" s="108">
        <v>0</v>
      </c>
      <c r="J223" s="123" t="s">
        <v>1901</v>
      </c>
      <c r="K223" s="123"/>
      <c r="L223" s="108">
        <f>M223/$L$215</f>
        <v>2.9039951573849878</v>
      </c>
      <c r="M223">
        <v>5996.75</v>
      </c>
      <c r="N223" s="123" t="s">
        <v>1901</v>
      </c>
      <c r="O223" s="123"/>
      <c r="P223" s="108">
        <v>0</v>
      </c>
      <c r="Q223" s="123" t="s">
        <v>1901</v>
      </c>
      <c r="R223" s="123"/>
      <c r="S223" s="108">
        <v>0</v>
      </c>
    </row>
    <row r="224" spans="2:19" x14ac:dyDescent="0.35">
      <c r="B224" s="123" t="s">
        <v>1794</v>
      </c>
      <c r="C224" s="123"/>
      <c r="D224" s="118">
        <v>0</v>
      </c>
      <c r="F224" s="123" t="s">
        <v>1923</v>
      </c>
      <c r="G224" s="123"/>
      <c r="H224" s="118">
        <v>0</v>
      </c>
      <c r="J224" s="123" t="s">
        <v>1923</v>
      </c>
      <c r="K224" s="123"/>
      <c r="L224" s="108">
        <f t="shared" ref="L224:L227" si="10">M224/$L$215</f>
        <v>0</v>
      </c>
      <c r="M224">
        <v>0</v>
      </c>
      <c r="N224" s="123" t="s">
        <v>1923</v>
      </c>
      <c r="O224" s="123"/>
      <c r="P224" s="118">
        <v>0</v>
      </c>
      <c r="Q224" s="123" t="s">
        <v>1923</v>
      </c>
      <c r="R224" s="123"/>
      <c r="S224" s="118">
        <v>0</v>
      </c>
    </row>
    <row r="225" spans="2:20" x14ac:dyDescent="0.35">
      <c r="B225" s="123" t="s">
        <v>1795</v>
      </c>
      <c r="C225" s="123"/>
      <c r="D225" s="118">
        <v>0</v>
      </c>
      <c r="F225" s="123" t="s">
        <v>1794</v>
      </c>
      <c r="G225" s="123"/>
      <c r="H225" s="118">
        <v>0</v>
      </c>
      <c r="J225" s="123" t="s">
        <v>1794</v>
      </c>
      <c r="K225" s="123"/>
      <c r="L225" s="108">
        <f t="shared" si="10"/>
        <v>0.26392251815980627</v>
      </c>
      <c r="M225">
        <v>545</v>
      </c>
      <c r="N225" s="123" t="s">
        <v>1794</v>
      </c>
      <c r="O225" s="123"/>
      <c r="P225" s="118">
        <v>0</v>
      </c>
      <c r="Q225" s="123" t="s">
        <v>1794</v>
      </c>
      <c r="R225" s="123"/>
      <c r="S225" s="118">
        <v>0</v>
      </c>
    </row>
    <row r="226" spans="2:20" x14ac:dyDescent="0.35">
      <c r="B226" s="123" t="s">
        <v>1796</v>
      </c>
      <c r="C226" s="123"/>
      <c r="D226" s="118"/>
      <c r="F226" s="123" t="s">
        <v>1795</v>
      </c>
      <c r="G226" s="123"/>
      <c r="H226" s="118">
        <v>0</v>
      </c>
      <c r="J226" s="123" t="s">
        <v>1795</v>
      </c>
      <c r="K226" s="123"/>
      <c r="L226" s="108">
        <f t="shared" si="10"/>
        <v>0</v>
      </c>
      <c r="M226">
        <v>0</v>
      </c>
      <c r="N226" s="123" t="s">
        <v>1795</v>
      </c>
      <c r="O226" s="123"/>
      <c r="P226" s="118">
        <v>-0.09</v>
      </c>
      <c r="Q226" s="123" t="s">
        <v>1795</v>
      </c>
      <c r="R226" s="123"/>
      <c r="S226" s="118">
        <v>-0.09</v>
      </c>
    </row>
    <row r="227" spans="2:20" x14ac:dyDescent="0.35">
      <c r="B227" s="519" t="s">
        <v>1916</v>
      </c>
      <c r="C227" s="519"/>
      <c r="D227" s="129"/>
      <c r="F227" s="123" t="s">
        <v>1796</v>
      </c>
      <c r="G227" s="123"/>
      <c r="H227" s="118"/>
      <c r="J227" s="123" t="s">
        <v>1796</v>
      </c>
      <c r="K227" s="123"/>
      <c r="L227" s="108">
        <f t="shared" si="10"/>
        <v>6.0724489104116236E-2</v>
      </c>
      <c r="M227" s="332">
        <v>125.39607000000002</v>
      </c>
      <c r="N227" s="123" t="s">
        <v>1796</v>
      </c>
      <c r="O227" s="123"/>
      <c r="P227" s="118"/>
      <c r="Q227" s="123" t="s">
        <v>1796</v>
      </c>
      <c r="R227" s="123"/>
      <c r="S227" s="118"/>
    </row>
    <row r="228" spans="2:20" ht="15" thickBot="1" x14ac:dyDescent="0.4">
      <c r="B228" s="131" t="s">
        <v>1835</v>
      </c>
      <c r="C228" s="131"/>
      <c r="D228" s="127"/>
      <c r="F228" s="123" t="s">
        <v>1916</v>
      </c>
      <c r="G228" s="123"/>
      <c r="H228" s="129"/>
      <c r="J228" s="123" t="s">
        <v>1935</v>
      </c>
      <c r="K228" s="123"/>
      <c r="L228" s="129">
        <v>0.7</v>
      </c>
      <c r="M228" s="91">
        <f>SUM(L224:L227)</f>
        <v>0.32464700726392248</v>
      </c>
      <c r="N228" s="123" t="s">
        <v>1916</v>
      </c>
      <c r="O228" s="123"/>
      <c r="P228" s="129"/>
      <c r="Q228" s="123" t="s">
        <v>1916</v>
      </c>
      <c r="R228" s="123"/>
      <c r="S228" s="129"/>
    </row>
    <row r="229" spans="2:20" ht="15" thickBot="1" x14ac:dyDescent="0.4">
      <c r="B229" s="132" t="s">
        <v>1908</v>
      </c>
      <c r="C229" s="132"/>
      <c r="D229" s="126">
        <f>D221+SUM(D222:D227)-D228</f>
        <v>-6.999999999999984E-2</v>
      </c>
      <c r="F229" s="131" t="s">
        <v>1835</v>
      </c>
      <c r="G229" s="131"/>
      <c r="H229" s="127"/>
      <c r="J229" s="131" t="s">
        <v>1835</v>
      </c>
      <c r="K229" s="131"/>
      <c r="L229" s="127"/>
      <c r="N229" s="131" t="s">
        <v>1835</v>
      </c>
      <c r="O229" s="131"/>
      <c r="P229" s="127"/>
      <c r="Q229" s="131" t="s">
        <v>1835</v>
      </c>
      <c r="R229" s="131"/>
      <c r="S229" s="127"/>
    </row>
    <row r="230" spans="2:20" ht="15" thickBot="1" x14ac:dyDescent="0.4">
      <c r="B230" s="131" t="s">
        <v>1798</v>
      </c>
      <c r="C230" s="131"/>
      <c r="D230" s="124">
        <v>-7.0000000000000007E-2</v>
      </c>
      <c r="F230" s="132" t="s">
        <v>1908</v>
      </c>
      <c r="G230" s="132"/>
      <c r="H230" s="126">
        <f>H222+SUM(H223:H228)-H229</f>
        <v>0.49999999999999956</v>
      </c>
      <c r="J230" s="132" t="s">
        <v>1908</v>
      </c>
      <c r="K230" s="132"/>
      <c r="L230" s="126">
        <f>L222+L223+L224+L225+L226+L227+L228</f>
        <v>4.1786421646489096</v>
      </c>
      <c r="N230" s="132" t="s">
        <v>1908</v>
      </c>
      <c r="O230" s="132"/>
      <c r="P230" s="126">
        <f>P222+SUM(P223:P228)-P229</f>
        <v>1.0799999999999998</v>
      </c>
      <c r="Q230" s="132" t="s">
        <v>1908</v>
      </c>
      <c r="R230" s="132"/>
      <c r="S230" s="126">
        <f>S222+SUM(S223:S228)-S229</f>
        <v>1.3500000000000003</v>
      </c>
    </row>
    <row r="231" spans="2:20" ht="15" thickBot="1" x14ac:dyDescent="0.4">
      <c r="B231" s="134" t="s">
        <v>1799</v>
      </c>
      <c r="C231" s="135"/>
      <c r="D231" s="128">
        <f>D230-D229</f>
        <v>-1.6653345369377348E-16</v>
      </c>
      <c r="F231" s="131" t="s">
        <v>1798</v>
      </c>
      <c r="G231" s="131"/>
      <c r="H231" s="124">
        <v>0.25</v>
      </c>
      <c r="J231" s="131" t="s">
        <v>1798</v>
      </c>
      <c r="K231" s="131"/>
      <c r="L231" s="124">
        <f>4.99-0.23</f>
        <v>4.76</v>
      </c>
      <c r="N231" s="131" t="s">
        <v>1798</v>
      </c>
      <c r="O231" s="131"/>
      <c r="P231" s="124">
        <v>0.45</v>
      </c>
      <c r="Q231" s="131" t="s">
        <v>1798</v>
      </c>
      <c r="R231" s="131"/>
      <c r="S231" s="124">
        <v>-0.55000000000000004</v>
      </c>
    </row>
    <row r="232" spans="2:20" ht="15" thickBot="1" x14ac:dyDescent="0.4">
      <c r="B232" s="123" t="s">
        <v>1800</v>
      </c>
      <c r="C232" s="133">
        <f>D231*D215</f>
        <v>-1.1657341758564144E-13</v>
      </c>
      <c r="D232" s="133"/>
      <c r="F232" s="134" t="s">
        <v>1799</v>
      </c>
      <c r="G232" s="135"/>
      <c r="H232" s="128">
        <f>H231-H230</f>
        <v>-0.24999999999999956</v>
      </c>
      <c r="J232" s="134" t="s">
        <v>1799</v>
      </c>
      <c r="K232" s="135"/>
      <c r="L232" s="128">
        <f>L231-L230</f>
        <v>0.5813578353510902</v>
      </c>
      <c r="N232" s="134" t="s">
        <v>1799</v>
      </c>
      <c r="O232" s="135"/>
      <c r="P232" s="128">
        <f>P231-P230</f>
        <v>-0.62999999999999989</v>
      </c>
      <c r="Q232" s="134" t="s">
        <v>1799</v>
      </c>
      <c r="R232" s="135"/>
      <c r="S232" s="128">
        <f>S231-S230</f>
        <v>-1.9000000000000004</v>
      </c>
    </row>
    <row r="233" spans="2:20" x14ac:dyDescent="0.35">
      <c r="F233" s="123" t="s">
        <v>1800</v>
      </c>
      <c r="G233" s="133">
        <f>H232*H215</f>
        <v>-174.99999999999969</v>
      </c>
      <c r="H233" s="133"/>
      <c r="J233" s="123" t="s">
        <v>1800</v>
      </c>
      <c r="L233" s="133">
        <f>L232*L215</f>
        <v>1200.5039300000012</v>
      </c>
      <c r="N233" s="123" t="s">
        <v>1800</v>
      </c>
      <c r="O233" s="133">
        <f>P232*P215</f>
        <v>-440.99999999999994</v>
      </c>
      <c r="P233" s="133"/>
      <c r="Q233" s="123" t="s">
        <v>1800</v>
      </c>
      <c r="R233" s="133">
        <f>S232*S215</f>
        <v>-1330.0000000000002</v>
      </c>
      <c r="S233" s="133"/>
    </row>
    <row r="235" spans="2:20" x14ac:dyDescent="0.35">
      <c r="B235" s="122" t="str">
        <f>Ledger!O67</f>
        <v>Aug EFP 1</v>
      </c>
      <c r="E235" s="122" t="str">
        <f>Ledger!O68</f>
        <v>Aug EFP 2</v>
      </c>
      <c r="H235" s="122" t="str">
        <f>Ledger!O69</f>
        <v>Aug EFP 3</v>
      </c>
    </row>
    <row r="236" spans="2:20" x14ac:dyDescent="0.35">
      <c r="B236" s="519" t="s">
        <v>1786</v>
      </c>
      <c r="C236" s="519"/>
      <c r="D236" s="124">
        <v>700</v>
      </c>
      <c r="E236" s="519" t="s">
        <v>1786</v>
      </c>
      <c r="F236" s="519"/>
      <c r="G236" s="124">
        <v>700</v>
      </c>
      <c r="H236" s="519" t="s">
        <v>1786</v>
      </c>
      <c r="I236" s="519"/>
      <c r="J236" s="124">
        <v>700</v>
      </c>
      <c r="L236" s="122" t="str">
        <f>Ledger!$O$72</f>
        <v>Vitol FOB July 14-15 Bookout</v>
      </c>
      <c r="Q236" s="122" t="str">
        <f>Ledger!$O$73</f>
        <v>GS Caltex DAP Oct 10-16</v>
      </c>
    </row>
    <row r="237" spans="2:20" x14ac:dyDescent="0.35">
      <c r="B237" s="519" t="s">
        <v>44</v>
      </c>
      <c r="C237" s="519"/>
      <c r="D237" s="124">
        <v>0.6</v>
      </c>
      <c r="E237" s="519" t="s">
        <v>1894</v>
      </c>
      <c r="F237" s="519"/>
      <c r="G237" s="124">
        <v>0.6</v>
      </c>
      <c r="H237" s="519" t="s">
        <v>1894</v>
      </c>
      <c r="I237" s="519"/>
      <c r="J237" s="124">
        <v>0.6</v>
      </c>
      <c r="L237" s="519" t="s">
        <v>1786</v>
      </c>
      <c r="M237" s="519"/>
      <c r="N237" s="124">
        <v>700</v>
      </c>
      <c r="Q237" s="519" t="s">
        <v>1786</v>
      </c>
      <c r="R237" s="519"/>
      <c r="S237" s="124">
        <v>1334</v>
      </c>
      <c r="T237" s="124">
        <v>700</v>
      </c>
    </row>
    <row r="238" spans="2:20" x14ac:dyDescent="0.35">
      <c r="B238" s="519" t="s">
        <v>1788</v>
      </c>
      <c r="C238" s="519"/>
      <c r="D238" s="124">
        <v>0.2</v>
      </c>
      <c r="E238" s="519" t="s">
        <v>1788</v>
      </c>
      <c r="F238" s="519"/>
      <c r="G238" s="124">
        <v>0.2</v>
      </c>
      <c r="H238" s="519" t="s">
        <v>1788</v>
      </c>
      <c r="I238" s="519"/>
      <c r="J238" s="124">
        <v>0.2</v>
      </c>
      <c r="L238" s="519" t="s">
        <v>1934</v>
      </c>
      <c r="M238" s="519"/>
      <c r="N238" s="124">
        <v>0.45</v>
      </c>
      <c r="Q238" s="519" t="s">
        <v>1934</v>
      </c>
      <c r="R238" s="519"/>
      <c r="S238" s="124">
        <v>0.75</v>
      </c>
      <c r="T238" s="124"/>
    </row>
    <row r="239" spans="2:20" ht="15" thickBot="1" x14ac:dyDescent="0.4">
      <c r="B239" s="520" t="s">
        <v>1909</v>
      </c>
      <c r="C239" s="520"/>
      <c r="D239" s="125">
        <f>D237+D238</f>
        <v>0.8</v>
      </c>
      <c r="E239" s="520" t="s">
        <v>1909</v>
      </c>
      <c r="F239" s="520"/>
      <c r="G239" s="125">
        <f>G237+G238</f>
        <v>0.8</v>
      </c>
      <c r="H239" s="520" t="s">
        <v>1909</v>
      </c>
      <c r="I239" s="520"/>
      <c r="J239" s="125">
        <f>J237+J238</f>
        <v>0.8</v>
      </c>
      <c r="L239" s="519" t="s">
        <v>1788</v>
      </c>
      <c r="M239" s="519"/>
      <c r="N239" s="124">
        <v>0.05</v>
      </c>
      <c r="Q239" s="519" t="s">
        <v>1788</v>
      </c>
      <c r="R239" s="519"/>
      <c r="S239" s="124">
        <v>0.4</v>
      </c>
      <c r="T239" s="124"/>
    </row>
    <row r="240" spans="2:20" ht="15" thickBot="1" x14ac:dyDescent="0.4">
      <c r="B240" s="521"/>
      <c r="C240" s="521"/>
      <c r="D240" s="126">
        <v>0</v>
      </c>
      <c r="E240" s="521" t="s">
        <v>1910</v>
      </c>
      <c r="F240" s="521"/>
      <c r="G240" s="126">
        <v>0</v>
      </c>
      <c r="H240" s="521" t="s">
        <v>1910</v>
      </c>
      <c r="I240" s="521"/>
      <c r="J240" s="126">
        <v>0</v>
      </c>
      <c r="L240" s="520" t="s">
        <v>1909</v>
      </c>
      <c r="M240" s="520"/>
      <c r="N240" s="125">
        <f>N238+N239</f>
        <v>0.5</v>
      </c>
      <c r="Q240" s="520" t="s">
        <v>1909</v>
      </c>
      <c r="R240" s="520"/>
      <c r="S240" s="125">
        <f>S238+S239</f>
        <v>1.1499999999999999</v>
      </c>
      <c r="T240" s="125"/>
    </row>
    <row r="241" spans="2:21" ht="15" thickBot="1" x14ac:dyDescent="0.4">
      <c r="B241" s="131" t="s">
        <v>1929</v>
      </c>
      <c r="C241" s="131"/>
      <c r="D241" s="127">
        <v>-2.97</v>
      </c>
      <c r="E241" s="131" t="s">
        <v>1911</v>
      </c>
      <c r="F241" s="131"/>
      <c r="G241" s="127">
        <v>-2.97</v>
      </c>
      <c r="H241" s="131" t="s">
        <v>1911</v>
      </c>
      <c r="I241" s="131"/>
      <c r="J241" s="127">
        <v>-2.97</v>
      </c>
      <c r="L241" s="521" t="s">
        <v>1928</v>
      </c>
      <c r="M241" s="521"/>
      <c r="N241" s="126">
        <v>1.55</v>
      </c>
      <c r="Q241" s="521" t="s">
        <v>1928</v>
      </c>
      <c r="R241" s="521"/>
      <c r="S241" s="126">
        <v>1.4</v>
      </c>
      <c r="T241" s="126"/>
    </row>
    <row r="242" spans="2:21" x14ac:dyDescent="0.35">
      <c r="B242" s="132" t="s">
        <v>1920</v>
      </c>
      <c r="C242" s="132"/>
      <c r="D242" s="126">
        <f>SUM(D239:D241)</f>
        <v>-2.17</v>
      </c>
      <c r="E242" s="132" t="s">
        <v>1920</v>
      </c>
      <c r="F242" s="132"/>
      <c r="G242" s="126">
        <f>SUM(G239:G241)</f>
        <v>-2.17</v>
      </c>
      <c r="H242" s="132" t="s">
        <v>1920</v>
      </c>
      <c r="I242" s="132"/>
      <c r="J242" s="126">
        <f>SUM(J239:J241)</f>
        <v>-2.17</v>
      </c>
      <c r="L242" t="s">
        <v>1930</v>
      </c>
      <c r="N242" s="124">
        <v>1.42</v>
      </c>
      <c r="Q242" t="s">
        <v>1930</v>
      </c>
      <c r="S242" s="124">
        <v>1.25</v>
      </c>
      <c r="T242" s="124"/>
    </row>
    <row r="243" spans="2:21" ht="15" thickBot="1" x14ac:dyDescent="0.4">
      <c r="B243" s="123" t="s">
        <v>1901</v>
      </c>
      <c r="C243" s="123"/>
      <c r="D243" s="108">
        <v>3.1</v>
      </c>
      <c r="E243" s="123" t="s">
        <v>1901</v>
      </c>
      <c r="F243" s="123"/>
      <c r="G243" s="108">
        <v>3.1</v>
      </c>
      <c r="H243" s="123" t="s">
        <v>1901</v>
      </c>
      <c r="I243" s="123"/>
      <c r="J243" s="108">
        <v>3.1</v>
      </c>
      <c r="L243" s="131" t="s">
        <v>1931</v>
      </c>
      <c r="M243" s="131"/>
      <c r="N243" s="127">
        <v>-2.85</v>
      </c>
      <c r="Q243" s="131" t="s">
        <v>1931</v>
      </c>
      <c r="R243" s="131"/>
      <c r="S243" s="127">
        <v>-3.25</v>
      </c>
      <c r="T243" s="127"/>
    </row>
    <row r="244" spans="2:21" x14ac:dyDescent="0.35">
      <c r="B244" s="123" t="s">
        <v>1923</v>
      </c>
      <c r="C244" s="123"/>
      <c r="D244" s="118">
        <v>-0.96</v>
      </c>
      <c r="E244" s="123" t="s">
        <v>1923</v>
      </c>
      <c r="F244" s="123"/>
      <c r="G244" s="118">
        <f>D244</f>
        <v>-0.96</v>
      </c>
      <c r="H244" s="123" t="s">
        <v>1923</v>
      </c>
      <c r="I244" s="123"/>
      <c r="J244" s="118">
        <f>G244</f>
        <v>-0.96</v>
      </c>
      <c r="L244" s="132" t="s">
        <v>1920</v>
      </c>
      <c r="M244" s="132"/>
      <c r="N244" s="126">
        <f>SUM(N240:N243)</f>
        <v>0.61999999999999966</v>
      </c>
      <c r="Q244" s="132" t="s">
        <v>1920</v>
      </c>
      <c r="R244" s="132"/>
      <c r="S244" s="126">
        <f>SUM(S240:S243)</f>
        <v>0.54999999999999982</v>
      </c>
      <c r="T244" s="126">
        <v>0.22</v>
      </c>
    </row>
    <row r="245" spans="2:21" x14ac:dyDescent="0.35">
      <c r="B245" s="123" t="s">
        <v>1794</v>
      </c>
      <c r="C245" s="123"/>
      <c r="D245" s="118">
        <v>0</v>
      </c>
      <c r="E245" s="123" t="s">
        <v>1794</v>
      </c>
      <c r="F245" s="123"/>
      <c r="G245" s="118">
        <v>0</v>
      </c>
      <c r="H245" s="123" t="s">
        <v>1794</v>
      </c>
      <c r="I245" s="123"/>
      <c r="J245" s="118">
        <v>0</v>
      </c>
      <c r="L245" s="123" t="s">
        <v>1901</v>
      </c>
      <c r="M245" s="123"/>
      <c r="N245" s="108">
        <v>0</v>
      </c>
      <c r="Q245" s="123" t="s">
        <v>1901</v>
      </c>
      <c r="R245" s="123"/>
      <c r="S245" s="108">
        <v>3.29</v>
      </c>
      <c r="T245" s="108">
        <v>3.29</v>
      </c>
      <c r="U245">
        <f>T245*($S$237+$T$237)</f>
        <v>6691.86</v>
      </c>
    </row>
    <row r="246" spans="2:21" x14ac:dyDescent="0.35">
      <c r="B246" s="123" t="s">
        <v>1795</v>
      </c>
      <c r="C246" s="123"/>
      <c r="D246" s="164">
        <v>-0.08</v>
      </c>
      <c r="E246" s="165" t="s">
        <v>1795</v>
      </c>
      <c r="F246" s="165"/>
      <c r="G246" s="164">
        <f>D246</f>
        <v>-0.08</v>
      </c>
      <c r="H246" s="165" t="s">
        <v>1795</v>
      </c>
      <c r="I246" s="165"/>
      <c r="J246" s="164">
        <f>D246</f>
        <v>-0.08</v>
      </c>
      <c r="L246" s="123" t="s">
        <v>1923</v>
      </c>
      <c r="M246" s="123"/>
      <c r="N246" s="118">
        <v>0</v>
      </c>
      <c r="Q246" s="123" t="s">
        <v>1923</v>
      </c>
      <c r="R246" s="123"/>
      <c r="S246" s="118">
        <v>0</v>
      </c>
      <c r="T246" s="118">
        <f t="shared" ref="T246:T251" si="11">S246</f>
        <v>0</v>
      </c>
      <c r="U246">
        <f t="shared" ref="U246:U251" si="12">T246*($S$237+$T$237)</f>
        <v>0</v>
      </c>
    </row>
    <row r="247" spans="2:21" x14ac:dyDescent="0.35">
      <c r="B247" s="123" t="s">
        <v>1796</v>
      </c>
      <c r="C247" s="123"/>
      <c r="D247" s="118">
        <v>0</v>
      </c>
      <c r="E247" s="123" t="s">
        <v>1796</v>
      </c>
      <c r="F247" s="123"/>
      <c r="G247" s="118">
        <v>0</v>
      </c>
      <c r="H247" s="123" t="s">
        <v>1796</v>
      </c>
      <c r="I247" s="123"/>
      <c r="J247" s="118">
        <v>0</v>
      </c>
      <c r="L247" s="123" t="s">
        <v>1794</v>
      </c>
      <c r="M247" s="123"/>
      <c r="N247" s="118">
        <v>0</v>
      </c>
      <c r="Q247" s="123" t="s">
        <v>1794</v>
      </c>
      <c r="R247" s="123"/>
      <c r="S247" s="118">
        <v>0.22</v>
      </c>
      <c r="T247" s="118">
        <f t="shared" si="11"/>
        <v>0.22</v>
      </c>
      <c r="U247">
        <f t="shared" si="12"/>
        <v>447.48</v>
      </c>
    </row>
    <row r="248" spans="2:21" x14ac:dyDescent="0.35">
      <c r="B248" s="519" t="s">
        <v>1916</v>
      </c>
      <c r="C248" s="519"/>
      <c r="D248" s="129"/>
      <c r="E248" s="519" t="s">
        <v>1916</v>
      </c>
      <c r="F248" s="519"/>
      <c r="G248" s="129"/>
      <c r="H248" s="519" t="s">
        <v>1916</v>
      </c>
      <c r="I248" s="519"/>
      <c r="J248" s="129"/>
      <c r="L248" s="123" t="s">
        <v>1795</v>
      </c>
      <c r="M248" s="123"/>
      <c r="N248" s="118">
        <v>0</v>
      </c>
      <c r="Q248" s="123" t="s">
        <v>1795</v>
      </c>
      <c r="R248" s="123"/>
      <c r="S248" s="166">
        <v>0.16</v>
      </c>
      <c r="T248" s="166">
        <f t="shared" si="11"/>
        <v>0.16</v>
      </c>
      <c r="U248">
        <f t="shared" si="12"/>
        <v>325.44</v>
      </c>
    </row>
    <row r="249" spans="2:21" ht="15" thickBot="1" x14ac:dyDescent="0.4">
      <c r="B249" s="131" t="s">
        <v>1835</v>
      </c>
      <c r="C249" s="131"/>
      <c r="D249" s="127"/>
      <c r="E249" s="131" t="s">
        <v>1835</v>
      </c>
      <c r="F249" s="131"/>
      <c r="G249" s="127"/>
      <c r="H249" s="131" t="s">
        <v>1835</v>
      </c>
      <c r="I249" s="131"/>
      <c r="J249" s="127"/>
      <c r="L249" s="123" t="s">
        <v>1796</v>
      </c>
      <c r="M249" s="123"/>
      <c r="N249" s="118"/>
      <c r="Q249" s="123" t="s">
        <v>1796</v>
      </c>
      <c r="R249" s="123"/>
      <c r="S249" s="118">
        <f>U249/(S237+T237)</f>
        <v>0.27054572271386429</v>
      </c>
      <c r="T249" s="118">
        <f>S249</f>
        <v>0.27054572271386429</v>
      </c>
      <c r="U249" s="332">
        <v>550.29</v>
      </c>
    </row>
    <row r="250" spans="2:21" x14ac:dyDescent="0.35">
      <c r="B250" s="132" t="s">
        <v>1908</v>
      </c>
      <c r="C250" s="132"/>
      <c r="D250" s="126">
        <f>D242+SUM(D243:D248)-D249</f>
        <v>-0.10999999999999988</v>
      </c>
      <c r="E250" s="132" t="s">
        <v>1908</v>
      </c>
      <c r="F250" s="132"/>
      <c r="G250" s="126">
        <f>G242+SUM(G243:G248)-G249</f>
        <v>-0.10999999999999988</v>
      </c>
      <c r="H250" s="132" t="s">
        <v>1908</v>
      </c>
      <c r="I250" s="132"/>
      <c r="J250" s="126">
        <f>J242+SUM(J243:J248)-J249</f>
        <v>-0.10999999999999988</v>
      </c>
      <c r="L250" s="123" t="s">
        <v>1916</v>
      </c>
      <c r="M250" s="123"/>
      <c r="N250" s="129"/>
      <c r="Q250" s="123" t="s">
        <v>1916</v>
      </c>
      <c r="R250" s="123"/>
      <c r="S250" s="129">
        <v>0.86</v>
      </c>
      <c r="T250" s="129">
        <f t="shared" si="11"/>
        <v>0.86</v>
      </c>
    </row>
    <row r="251" spans="2:21" ht="15" thickBot="1" x14ac:dyDescent="0.4">
      <c r="B251" s="131" t="s">
        <v>1798</v>
      </c>
      <c r="C251" s="131"/>
      <c r="D251" s="124">
        <v>0.04</v>
      </c>
      <c r="E251" s="131" t="s">
        <v>1798</v>
      </c>
      <c r="F251" s="131"/>
      <c r="G251" s="124">
        <f>$D$251</f>
        <v>0.04</v>
      </c>
      <c r="H251" s="131" t="s">
        <v>1798</v>
      </c>
      <c r="I251" s="131"/>
      <c r="J251" s="124">
        <f>$D$251</f>
        <v>0.04</v>
      </c>
      <c r="L251" s="131" t="s">
        <v>1835</v>
      </c>
      <c r="M251" s="131"/>
      <c r="N251" s="127"/>
      <c r="Q251" s="131" t="s">
        <v>1835</v>
      </c>
      <c r="R251" s="131"/>
      <c r="S251" s="127"/>
      <c r="T251" s="127">
        <f t="shared" si="11"/>
        <v>0</v>
      </c>
      <c r="U251">
        <f t="shared" si="12"/>
        <v>0</v>
      </c>
    </row>
    <row r="252" spans="2:21" ht="15" thickBot="1" x14ac:dyDescent="0.4">
      <c r="B252" s="134" t="s">
        <v>1799</v>
      </c>
      <c r="C252" s="135"/>
      <c r="D252" s="128">
        <f>D251-D250</f>
        <v>0.14999999999999988</v>
      </c>
      <c r="E252" s="134" t="s">
        <v>1799</v>
      </c>
      <c r="F252" s="135"/>
      <c r="G252" s="128">
        <f>G251-G250</f>
        <v>0.14999999999999988</v>
      </c>
      <c r="H252" s="134" t="s">
        <v>1799</v>
      </c>
      <c r="I252" s="135"/>
      <c r="J252" s="128">
        <f>J251-J250</f>
        <v>0.14999999999999988</v>
      </c>
      <c r="L252" s="132" t="s">
        <v>1908</v>
      </c>
      <c r="M252" s="132"/>
      <c r="N252" s="126">
        <f>N244+SUM(N245:N250)-N251</f>
        <v>0.61999999999999966</v>
      </c>
      <c r="Q252" s="132" t="s">
        <v>1908</v>
      </c>
      <c r="R252" s="132"/>
      <c r="S252" s="126">
        <f>S244+SUM(S245:S250)-S251</f>
        <v>5.3505457227138642</v>
      </c>
      <c r="T252" s="126">
        <f>T244+SUM(T245:T250)-T251</f>
        <v>5.0205457227138641</v>
      </c>
    </row>
    <row r="253" spans="2:21" ht="15" thickBot="1" x14ac:dyDescent="0.4">
      <c r="B253" s="123" t="s">
        <v>1800</v>
      </c>
      <c r="C253" s="133">
        <f>D252*D236</f>
        <v>104.99999999999991</v>
      </c>
      <c r="D253" s="133"/>
      <c r="E253" s="123" t="s">
        <v>1800</v>
      </c>
      <c r="F253" s="133">
        <f>G252*G236</f>
        <v>104.99999999999991</v>
      </c>
      <c r="G253" s="133"/>
      <c r="H253" s="123" t="s">
        <v>1800</v>
      </c>
      <c r="I253" s="133">
        <f>J252*J236</f>
        <v>104.99999999999991</v>
      </c>
      <c r="J253" s="133"/>
      <c r="L253" s="131" t="s">
        <v>1798</v>
      </c>
      <c r="M253" s="131"/>
      <c r="N253" s="124">
        <v>-0.5</v>
      </c>
      <c r="Q253" s="131" t="s">
        <v>1798</v>
      </c>
      <c r="R253" s="131"/>
      <c r="S253" s="124">
        <v>5.36</v>
      </c>
      <c r="T253" s="124">
        <f>5.02-0.06</f>
        <v>4.96</v>
      </c>
    </row>
    <row r="254" spans="2:21" ht="15" thickBot="1" x14ac:dyDescent="0.4">
      <c r="L254" s="134" t="s">
        <v>1799</v>
      </c>
      <c r="M254" s="135"/>
      <c r="N254" s="128">
        <f>N253-N252</f>
        <v>-1.1199999999999997</v>
      </c>
      <c r="Q254" s="134" t="s">
        <v>1799</v>
      </c>
      <c r="R254" s="135"/>
      <c r="S254" s="128">
        <f>S253-S252</f>
        <v>9.4542772861361257E-3</v>
      </c>
      <c r="T254" s="128">
        <f>T253-T252</f>
        <v>-6.0545722713864158E-2</v>
      </c>
    </row>
    <row r="255" spans="2:21" x14ac:dyDescent="0.35">
      <c r="L255" s="123" t="s">
        <v>1800</v>
      </c>
      <c r="M255" s="133">
        <f>N254*N237</f>
        <v>-783.99999999999977</v>
      </c>
      <c r="N255" s="133"/>
      <c r="Q255" s="123" t="s">
        <v>1800</v>
      </c>
      <c r="R255" s="133">
        <f>(S254*S237)+(T254*T237)</f>
        <v>-29.769999999999314</v>
      </c>
      <c r="S255" s="133"/>
    </row>
    <row r="257" spans="2:14" x14ac:dyDescent="0.35">
      <c r="B257" s="122" t="str">
        <f>Ledger!$O$72</f>
        <v>Vitol FOB July 14-15 Bookout</v>
      </c>
      <c r="H257" s="122" t="str">
        <f>Ledger!$O$76</f>
        <v>CPC Taiwan Oct 19-23</v>
      </c>
      <c r="L257" s="122" t="s">
        <v>1936</v>
      </c>
    </row>
    <row r="258" spans="2:14" x14ac:dyDescent="0.35">
      <c r="B258" s="519" t="s">
        <v>1786</v>
      </c>
      <c r="C258" s="519"/>
      <c r="D258" s="124">
        <v>700</v>
      </c>
      <c r="H258" s="519" t="s">
        <v>1786</v>
      </c>
      <c r="I258" s="519"/>
      <c r="J258" s="124">
        <v>2040</v>
      </c>
      <c r="L258" s="519" t="s">
        <v>1786</v>
      </c>
      <c r="M258" s="519"/>
      <c r="N258" s="124">
        <v>700</v>
      </c>
    </row>
    <row r="259" spans="2:14" x14ac:dyDescent="0.35">
      <c r="B259" s="519" t="s">
        <v>1937</v>
      </c>
      <c r="C259" s="519"/>
      <c r="D259" s="124">
        <v>0.65</v>
      </c>
      <c r="H259" s="519" t="s">
        <v>1937</v>
      </c>
      <c r="I259" s="519"/>
      <c r="J259" s="124">
        <v>0.35</v>
      </c>
      <c r="L259" s="519" t="s">
        <v>1937</v>
      </c>
      <c r="M259" s="519"/>
      <c r="N259" s="124">
        <v>0.3</v>
      </c>
    </row>
    <row r="260" spans="2:14" x14ac:dyDescent="0.35">
      <c r="B260" s="519" t="s">
        <v>1788</v>
      </c>
      <c r="C260" s="519"/>
      <c r="D260" s="124">
        <v>0.6</v>
      </c>
      <c r="H260" s="519" t="s">
        <v>1788</v>
      </c>
      <c r="I260" s="519"/>
      <c r="J260" s="124">
        <v>0</v>
      </c>
      <c r="L260" s="519" t="s">
        <v>1788</v>
      </c>
      <c r="M260" s="519"/>
      <c r="N260" s="124">
        <v>0</v>
      </c>
    </row>
    <row r="261" spans="2:14" ht="15" thickBot="1" x14ac:dyDescent="0.4">
      <c r="B261" s="520" t="s">
        <v>1909</v>
      </c>
      <c r="C261" s="520"/>
      <c r="D261" s="125">
        <f>D259+D260</f>
        <v>1.25</v>
      </c>
      <c r="H261" s="520" t="s">
        <v>1909</v>
      </c>
      <c r="I261" s="520"/>
      <c r="J261" s="125">
        <f>J259+J260</f>
        <v>0.35</v>
      </c>
      <c r="L261" s="520" t="s">
        <v>1909</v>
      </c>
      <c r="M261" s="520"/>
      <c r="N261" s="125">
        <f>N259+N260</f>
        <v>0.3</v>
      </c>
    </row>
    <row r="262" spans="2:14" x14ac:dyDescent="0.35">
      <c r="B262" s="521" t="s">
        <v>1930</v>
      </c>
      <c r="C262" s="521"/>
      <c r="D262" s="126">
        <v>1.1399999999999999</v>
      </c>
      <c r="H262" s="521" t="s">
        <v>1930</v>
      </c>
      <c r="I262" s="521"/>
      <c r="J262" s="126">
        <v>1.28</v>
      </c>
      <c r="L262" s="521" t="s">
        <v>1930</v>
      </c>
      <c r="M262" s="521"/>
      <c r="N262" s="126">
        <v>1.28</v>
      </c>
    </row>
    <row r="263" spans="2:14" x14ac:dyDescent="0.35">
      <c r="B263" t="s">
        <v>1938</v>
      </c>
      <c r="D263" s="124">
        <v>0.97</v>
      </c>
      <c r="H263" t="s">
        <v>1938</v>
      </c>
      <c r="J263" s="124">
        <v>0.88</v>
      </c>
      <c r="L263" t="s">
        <v>1938</v>
      </c>
      <c r="N263" s="124"/>
    </row>
    <row r="264" spans="2:14" ht="15" thickBot="1" x14ac:dyDescent="0.4">
      <c r="B264" s="131" t="s">
        <v>1939</v>
      </c>
      <c r="C264" s="131"/>
      <c r="D264" s="127">
        <v>-3.37</v>
      </c>
      <c r="H264" s="131" t="s">
        <v>1939</v>
      </c>
      <c r="I264" s="131"/>
      <c r="J264" s="127">
        <v>-3.31</v>
      </c>
      <c r="L264" s="131" t="s">
        <v>1939</v>
      </c>
      <c r="M264" s="131"/>
      <c r="N264" s="127"/>
    </row>
    <row r="265" spans="2:14" x14ac:dyDescent="0.35">
      <c r="B265" s="132" t="s">
        <v>1920</v>
      </c>
      <c r="C265" s="132"/>
      <c r="D265" s="126">
        <f>SUM(D261:D264)</f>
        <v>-1.0000000000000675E-2</v>
      </c>
      <c r="H265" s="132" t="s">
        <v>1920</v>
      </c>
      <c r="I265" s="132"/>
      <c r="J265" s="126">
        <f>SUM(J261:J264)</f>
        <v>-0.80000000000000027</v>
      </c>
      <c r="L265" s="132" t="s">
        <v>1920</v>
      </c>
      <c r="M265" s="132"/>
      <c r="N265" s="126">
        <f>SUM(N261:N264)</f>
        <v>1.58</v>
      </c>
    </row>
    <row r="266" spans="2:14" x14ac:dyDescent="0.35">
      <c r="B266" s="123" t="s">
        <v>1901</v>
      </c>
      <c r="C266" s="123"/>
      <c r="D266" s="108">
        <v>0</v>
      </c>
      <c r="G266">
        <v>6850</v>
      </c>
      <c r="H266" s="123" t="s">
        <v>1901</v>
      </c>
      <c r="I266" s="123"/>
      <c r="J266" s="108">
        <f t="shared" ref="J266:J270" si="13">K266/$J$258</f>
        <v>3.357843137254902</v>
      </c>
      <c r="K266">
        <v>6850</v>
      </c>
      <c r="L266" s="123" t="s">
        <v>1901</v>
      </c>
      <c r="M266" s="123"/>
      <c r="N266" s="108"/>
    </row>
    <row r="267" spans="2:14" x14ac:dyDescent="0.35">
      <c r="B267" s="123" t="s">
        <v>1923</v>
      </c>
      <c r="C267" s="123"/>
      <c r="D267" s="118">
        <v>0</v>
      </c>
      <c r="H267" s="123" t="s">
        <v>1923</v>
      </c>
      <c r="I267" s="123"/>
      <c r="J267" s="118">
        <f t="shared" si="13"/>
        <v>0</v>
      </c>
      <c r="K267">
        <v>0</v>
      </c>
      <c r="L267" s="123" t="s">
        <v>1923</v>
      </c>
      <c r="M267" s="123"/>
      <c r="N267" s="118"/>
    </row>
    <row r="268" spans="2:14" x14ac:dyDescent="0.35">
      <c r="B268" s="123" t="s">
        <v>1794</v>
      </c>
      <c r="C268" s="123"/>
      <c r="D268" s="118">
        <v>0</v>
      </c>
      <c r="H268" s="123" t="s">
        <v>1794</v>
      </c>
      <c r="I268" s="123"/>
      <c r="J268" s="118">
        <f t="shared" si="13"/>
        <v>0.16519607843137254</v>
      </c>
      <c r="K268">
        <v>337</v>
      </c>
      <c r="L268" s="123" t="s">
        <v>1794</v>
      </c>
      <c r="M268" s="123"/>
      <c r="N268" s="118"/>
    </row>
    <row r="269" spans="2:14" x14ac:dyDescent="0.35">
      <c r="B269" s="123" t="s">
        <v>1795</v>
      </c>
      <c r="C269" s="123"/>
      <c r="D269" s="118">
        <v>-0.05</v>
      </c>
      <c r="H269" s="123" t="s">
        <v>1795</v>
      </c>
      <c r="I269" s="123"/>
      <c r="J269" s="166">
        <f t="shared" si="13"/>
        <v>0.24058823529411763</v>
      </c>
      <c r="K269">
        <v>490.79999999999995</v>
      </c>
      <c r="L269" s="123" t="s">
        <v>1795</v>
      </c>
      <c r="M269" s="123"/>
      <c r="N269" s="166"/>
    </row>
    <row r="270" spans="2:14" x14ac:dyDescent="0.35">
      <c r="B270" s="123" t="s">
        <v>1796</v>
      </c>
      <c r="C270" s="123"/>
      <c r="D270" s="118"/>
      <c r="H270" s="123" t="s">
        <v>1796</v>
      </c>
      <c r="I270" s="123"/>
      <c r="J270" s="118">
        <f t="shared" si="13"/>
        <v>0.16176470588235295</v>
      </c>
      <c r="K270">
        <v>330</v>
      </c>
      <c r="L270" s="123" t="s">
        <v>1796</v>
      </c>
      <c r="M270" s="123"/>
      <c r="N270" s="118"/>
    </row>
    <row r="271" spans="2:14" x14ac:dyDescent="0.35">
      <c r="B271" s="123" t="s">
        <v>1916</v>
      </c>
      <c r="C271" s="123"/>
      <c r="D271" s="129"/>
      <c r="H271" s="123" t="s">
        <v>1940</v>
      </c>
      <c r="I271" s="123"/>
      <c r="J271" s="129">
        <v>0.52</v>
      </c>
      <c r="K271">
        <f t="shared" ref="K271:K272" si="14">J271*$J$258</f>
        <v>1060.8</v>
      </c>
      <c r="L271" s="123" t="s">
        <v>1916</v>
      </c>
      <c r="M271" s="123"/>
      <c r="N271" s="129"/>
    </row>
    <row r="272" spans="2:14" ht="15" thickBot="1" x14ac:dyDescent="0.4">
      <c r="B272" s="131" t="s">
        <v>1835</v>
      </c>
      <c r="C272" s="131"/>
      <c r="D272" s="127"/>
      <c r="H272" s="131" t="s">
        <v>1941</v>
      </c>
      <c r="I272" s="131"/>
      <c r="J272" s="127">
        <v>0.75</v>
      </c>
      <c r="K272">
        <f t="shared" si="14"/>
        <v>1530</v>
      </c>
      <c r="L272" s="131" t="s">
        <v>1835</v>
      </c>
      <c r="M272" s="131"/>
      <c r="N272" s="127"/>
    </row>
    <row r="273" spans="2:18" x14ac:dyDescent="0.35">
      <c r="B273" s="132" t="s">
        <v>1908</v>
      </c>
      <c r="C273" s="132"/>
      <c r="D273" s="126">
        <f>D265+SUM(D266:D271)-D272</f>
        <v>-6.0000000000000678E-2</v>
      </c>
      <c r="H273" s="132" t="s">
        <v>1908</v>
      </c>
      <c r="I273" s="132"/>
      <c r="J273" s="126">
        <f>J265+SUM(J266:J271)-J272</f>
        <v>2.8953921568627448</v>
      </c>
      <c r="L273" s="132" t="s">
        <v>1908</v>
      </c>
      <c r="M273" s="132"/>
      <c r="N273" s="126">
        <f>N265+SUM(N266:N271)-N272</f>
        <v>1.58</v>
      </c>
    </row>
    <row r="274" spans="2:18" ht="15" thickBot="1" x14ac:dyDescent="0.4">
      <c r="B274" s="131" t="s">
        <v>1798</v>
      </c>
      <c r="C274" s="131"/>
      <c r="D274" s="124">
        <v>-0.22</v>
      </c>
      <c r="H274" s="131" t="s">
        <v>1798</v>
      </c>
      <c r="I274" s="131"/>
      <c r="J274" s="124">
        <v>2.8</v>
      </c>
      <c r="L274" s="131" t="s">
        <v>1798</v>
      </c>
      <c r="M274" s="131"/>
      <c r="N274" s="124">
        <f>0.95+0.65</f>
        <v>1.6</v>
      </c>
    </row>
    <row r="275" spans="2:18" ht="15" thickBot="1" x14ac:dyDescent="0.4">
      <c r="B275" s="134" t="s">
        <v>1799</v>
      </c>
      <c r="C275" s="135"/>
      <c r="D275" s="128">
        <f>D274-D273</f>
        <v>-0.15999999999999931</v>
      </c>
      <c r="H275" s="134" t="s">
        <v>1799</v>
      </c>
      <c r="I275" s="135"/>
      <c r="J275" s="128">
        <f>J274-J273</f>
        <v>-9.5392156862744937E-2</v>
      </c>
      <c r="L275" s="134" t="s">
        <v>1799</v>
      </c>
      <c r="M275" s="135"/>
      <c r="N275" s="128">
        <f>N274-N273</f>
        <v>2.0000000000000018E-2</v>
      </c>
    </row>
    <row r="276" spans="2:18" x14ac:dyDescent="0.35">
      <c r="B276" s="123" t="s">
        <v>1800</v>
      </c>
      <c r="C276" s="133">
        <f>D275*D258</f>
        <v>-111.99999999999952</v>
      </c>
      <c r="D276" s="133"/>
      <c r="H276" s="123" t="s">
        <v>1800</v>
      </c>
      <c r="I276" s="133">
        <f>J275*J258</f>
        <v>-194.59999999999968</v>
      </c>
      <c r="J276" s="133"/>
      <c r="L276" s="123" t="s">
        <v>1800</v>
      </c>
      <c r="M276" s="133">
        <f>N275*N258</f>
        <v>14.000000000000012</v>
      </c>
      <c r="N276" s="133"/>
    </row>
    <row r="279" spans="2:18" x14ac:dyDescent="0.35">
      <c r="D279" s="91">
        <f>D282/D280</f>
        <v>1</v>
      </c>
      <c r="E279" s="91">
        <f>E282/E280</f>
        <v>1</v>
      </c>
    </row>
    <row r="280" spans="2:18" x14ac:dyDescent="0.35">
      <c r="D280">
        <v>1429</v>
      </c>
      <c r="E280">
        <v>698</v>
      </c>
    </row>
    <row r="281" spans="2:18" x14ac:dyDescent="0.35">
      <c r="B281" s="122" t="str">
        <f>Ledger!$O$77</f>
        <v>HDO DAP Korea Nov 8-18</v>
      </c>
      <c r="H281" s="122" t="str">
        <f>Ledger!$O$79</f>
        <v>Ampol FOB Sep 15-20</v>
      </c>
      <c r="L281" s="122" t="str">
        <f>Ledger!$O$80</f>
        <v>BP FOB Sep 5-10</v>
      </c>
      <c r="P281" s="122" t="s">
        <v>1393</v>
      </c>
    </row>
    <row r="282" spans="2:18" x14ac:dyDescent="0.35">
      <c r="B282" s="519" t="s">
        <v>1786</v>
      </c>
      <c r="C282" s="519"/>
      <c r="D282" s="124">
        <v>1429</v>
      </c>
      <c r="E282" s="124">
        <v>698</v>
      </c>
      <c r="H282" s="519" t="s">
        <v>1786</v>
      </c>
      <c r="I282" s="519"/>
      <c r="J282" s="124">
        <v>740</v>
      </c>
      <c r="L282" s="519" t="s">
        <v>1786</v>
      </c>
      <c r="M282" s="519"/>
      <c r="N282" s="124">
        <v>700</v>
      </c>
      <c r="P282" s="519" t="s">
        <v>1786</v>
      </c>
      <c r="Q282" s="519"/>
      <c r="R282" s="124">
        <v>700</v>
      </c>
    </row>
    <row r="283" spans="2:18" x14ac:dyDescent="0.35">
      <c r="B283" s="519" t="s">
        <v>1942</v>
      </c>
      <c r="C283" s="519"/>
      <c r="D283" s="124">
        <v>0.65</v>
      </c>
      <c r="E283" s="124">
        <v>0.65</v>
      </c>
      <c r="H283" s="519" t="s">
        <v>1942</v>
      </c>
      <c r="I283" s="519"/>
      <c r="J283" s="124">
        <v>0.65</v>
      </c>
      <c r="L283" s="519" t="s">
        <v>1942</v>
      </c>
      <c r="M283" s="519"/>
      <c r="N283" s="124">
        <v>0.8</v>
      </c>
      <c r="P283" s="519" t="s">
        <v>44</v>
      </c>
      <c r="Q283" s="519"/>
      <c r="R283" s="124">
        <v>1.25</v>
      </c>
    </row>
    <row r="284" spans="2:18" x14ac:dyDescent="0.35">
      <c r="B284" s="519" t="s">
        <v>1788</v>
      </c>
      <c r="C284" s="519"/>
      <c r="D284" s="124">
        <v>0.45</v>
      </c>
      <c r="E284" s="124">
        <v>0.1</v>
      </c>
      <c r="H284" s="519" t="s">
        <v>1788</v>
      </c>
      <c r="I284" s="519"/>
      <c r="J284" s="124">
        <v>0.3</v>
      </c>
      <c r="L284" s="519" t="s">
        <v>1788</v>
      </c>
      <c r="M284" s="519"/>
      <c r="N284" s="124">
        <v>0.5</v>
      </c>
      <c r="P284" s="519" t="s">
        <v>1788</v>
      </c>
      <c r="Q284" s="519"/>
      <c r="R284" s="124">
        <v>0</v>
      </c>
    </row>
    <row r="285" spans="2:18" ht="15" thickBot="1" x14ac:dyDescent="0.4">
      <c r="B285" s="520" t="s">
        <v>1943</v>
      </c>
      <c r="C285" s="520"/>
      <c r="D285" s="125">
        <f>D283+D284</f>
        <v>1.1000000000000001</v>
      </c>
      <c r="E285" s="125">
        <f>E283+E284</f>
        <v>0.75</v>
      </c>
      <c r="H285" s="520" t="s">
        <v>1943</v>
      </c>
      <c r="I285" s="520"/>
      <c r="J285" s="125">
        <f>J283+J284</f>
        <v>0.95</v>
      </c>
      <c r="L285" s="520" t="s">
        <v>1943</v>
      </c>
      <c r="M285" s="520"/>
      <c r="N285" s="125">
        <f>N283+N284</f>
        <v>1.3</v>
      </c>
      <c r="P285" s="520" t="s">
        <v>1909</v>
      </c>
      <c r="Q285" s="520"/>
      <c r="R285" s="125">
        <f>R283+R284</f>
        <v>1.25</v>
      </c>
    </row>
    <row r="286" spans="2:18" x14ac:dyDescent="0.35">
      <c r="B286" s="521" t="s">
        <v>1938</v>
      </c>
      <c r="C286" s="521"/>
      <c r="D286" s="126">
        <v>0.94</v>
      </c>
      <c r="E286" s="126">
        <f>D286</f>
        <v>0.94</v>
      </c>
      <c r="H286" s="521" t="s">
        <v>1938</v>
      </c>
      <c r="I286" s="521"/>
      <c r="J286" s="126">
        <v>0.83</v>
      </c>
      <c r="L286" s="521" t="s">
        <v>1938</v>
      </c>
      <c r="M286" s="521"/>
      <c r="N286" s="126">
        <v>0.76</v>
      </c>
      <c r="P286" s="521"/>
      <c r="Q286" s="521"/>
      <c r="R286" s="126">
        <v>0.52</v>
      </c>
    </row>
    <row r="287" spans="2:18" ht="15" thickBot="1" x14ac:dyDescent="0.4">
      <c r="B287" t="s">
        <v>1944</v>
      </c>
      <c r="D287" s="124">
        <v>0.62</v>
      </c>
      <c r="E287" s="124">
        <f>D287</f>
        <v>0.62</v>
      </c>
      <c r="H287" t="s">
        <v>1944</v>
      </c>
      <c r="J287" s="124">
        <v>0.54</v>
      </c>
      <c r="L287" t="s">
        <v>1944</v>
      </c>
      <c r="N287" s="124">
        <v>0.51</v>
      </c>
      <c r="P287" s="131" t="s">
        <v>1939</v>
      </c>
      <c r="Q287" s="131"/>
      <c r="R287" s="127">
        <v>-3.95</v>
      </c>
    </row>
    <row r="288" spans="2:18" ht="15" thickBot="1" x14ac:dyDescent="0.4">
      <c r="B288" s="131" t="s">
        <v>1945</v>
      </c>
      <c r="C288" s="131"/>
      <c r="D288" s="127">
        <v>-3.48</v>
      </c>
      <c r="E288" s="127">
        <f>D288</f>
        <v>-3.48</v>
      </c>
      <c r="H288" s="131" t="s">
        <v>1945</v>
      </c>
      <c r="I288" s="131"/>
      <c r="J288" s="127">
        <v>-3.39</v>
      </c>
      <c r="L288" s="131" t="s">
        <v>1945</v>
      </c>
      <c r="M288" s="131"/>
      <c r="N288" s="127">
        <v>-3.56</v>
      </c>
      <c r="P288" s="132" t="s">
        <v>1920</v>
      </c>
      <c r="Q288" s="132"/>
      <c r="R288" s="126">
        <f>SUM(R285:R287)</f>
        <v>-2.1800000000000002</v>
      </c>
    </row>
    <row r="289" spans="2:19" x14ac:dyDescent="0.35">
      <c r="B289" s="132" t="s">
        <v>1946</v>
      </c>
      <c r="C289" s="132"/>
      <c r="D289" s="126">
        <f>SUM(D285:D288)</f>
        <v>-0.81999999999999984</v>
      </c>
      <c r="E289" s="126">
        <f>SUM(E285:E288)</f>
        <v>-1.17</v>
      </c>
      <c r="H289" s="132" t="s">
        <v>1946</v>
      </c>
      <c r="I289" s="132"/>
      <c r="J289" s="126">
        <f>SUM(J285:J288)</f>
        <v>-1.0700000000000003</v>
      </c>
      <c r="L289" s="132" t="s">
        <v>1946</v>
      </c>
      <c r="M289" s="132"/>
      <c r="N289" s="126">
        <f>SUM(N285:N288)</f>
        <v>-0.98999999999999977</v>
      </c>
      <c r="P289" s="123" t="s">
        <v>1901</v>
      </c>
      <c r="Q289" s="123"/>
      <c r="R289" s="108">
        <v>3.57</v>
      </c>
    </row>
    <row r="290" spans="2:19" x14ac:dyDescent="0.35">
      <c r="B290" s="123" t="s">
        <v>1901</v>
      </c>
      <c r="C290" s="123"/>
      <c r="D290" s="108">
        <f>F290/(D282+E282)</f>
        <v>3.4085566525622943</v>
      </c>
      <c r="E290" s="108">
        <f t="shared" ref="E290:E296" si="15">D290</f>
        <v>3.4085566525622943</v>
      </c>
      <c r="F290">
        <v>7250</v>
      </c>
      <c r="H290" s="123" t="s">
        <v>1901</v>
      </c>
      <c r="I290" s="123"/>
      <c r="J290" s="108">
        <v>0</v>
      </c>
      <c r="L290" s="123" t="s">
        <v>1901</v>
      </c>
      <c r="M290" s="123"/>
      <c r="N290" s="108">
        <v>0</v>
      </c>
      <c r="P290" s="123" t="s">
        <v>1923</v>
      </c>
      <c r="Q290" s="123"/>
      <c r="R290" s="118">
        <v>-1.04</v>
      </c>
    </row>
    <row r="291" spans="2:19" x14ac:dyDescent="0.35">
      <c r="B291" s="123" t="s">
        <v>1923</v>
      </c>
      <c r="C291" s="123"/>
      <c r="D291" s="118">
        <v>0</v>
      </c>
      <c r="E291" s="118">
        <f t="shared" si="15"/>
        <v>0</v>
      </c>
      <c r="F291">
        <f>E291*($S$237+$T$237)</f>
        <v>0</v>
      </c>
      <c r="H291" s="123" t="s">
        <v>1923</v>
      </c>
      <c r="I291" s="123"/>
      <c r="J291" s="118">
        <v>0</v>
      </c>
      <c r="L291" s="123" t="s">
        <v>1923</v>
      </c>
      <c r="M291" s="123"/>
      <c r="N291" s="118">
        <v>0</v>
      </c>
      <c r="P291" s="123" t="s">
        <v>1794</v>
      </c>
      <c r="Q291" s="123"/>
      <c r="R291" s="118">
        <v>0</v>
      </c>
    </row>
    <row r="292" spans="2:19" x14ac:dyDescent="0.35">
      <c r="B292" s="123" t="s">
        <v>1794</v>
      </c>
      <c r="C292" s="123"/>
      <c r="D292" s="118">
        <v>0.22</v>
      </c>
      <c r="E292" s="118">
        <f t="shared" si="15"/>
        <v>0.22</v>
      </c>
      <c r="F292">
        <f>E292*($S$237+$T$237)</f>
        <v>447.48</v>
      </c>
      <c r="H292" s="123" t="s">
        <v>1794</v>
      </c>
      <c r="I292" s="123"/>
      <c r="J292" s="118">
        <v>0</v>
      </c>
      <c r="L292" s="123" t="s">
        <v>1794</v>
      </c>
      <c r="M292" s="123"/>
      <c r="N292" s="118">
        <v>0</v>
      </c>
      <c r="P292" s="123" t="s">
        <v>1795</v>
      </c>
      <c r="Q292" s="123"/>
      <c r="R292" s="166">
        <v>0.13</v>
      </c>
      <c r="S292">
        <f>R292*R282</f>
        <v>91</v>
      </c>
    </row>
    <row r="293" spans="2:19" x14ac:dyDescent="0.35">
      <c r="B293" s="123" t="s">
        <v>1795</v>
      </c>
      <c r="C293" s="123"/>
      <c r="D293" s="166">
        <v>0.31</v>
      </c>
      <c r="E293" s="166">
        <f t="shared" si="15"/>
        <v>0.31</v>
      </c>
      <c r="F293">
        <f>E293*($S$237+$T$237)</f>
        <v>630.54</v>
      </c>
      <c r="H293" s="123" t="s">
        <v>1795</v>
      </c>
      <c r="I293" s="123"/>
      <c r="J293" s="166">
        <v>0</v>
      </c>
      <c r="L293" s="123" t="s">
        <v>1795</v>
      </c>
      <c r="M293" s="123"/>
      <c r="N293" s="166">
        <v>-0.09</v>
      </c>
      <c r="P293" s="123" t="s">
        <v>1796</v>
      </c>
      <c r="Q293" s="123"/>
      <c r="R293" s="118">
        <v>0</v>
      </c>
    </row>
    <row r="294" spans="2:19" x14ac:dyDescent="0.35">
      <c r="B294" s="123" t="s">
        <v>1796</v>
      </c>
      <c r="C294" s="123"/>
      <c r="D294" s="118">
        <f>0.38-0.11</f>
        <v>0.27</v>
      </c>
      <c r="E294" s="118">
        <f t="shared" si="15"/>
        <v>0.27</v>
      </c>
      <c r="F294">
        <f>E294*($S$237+$T$237)</f>
        <v>549.18000000000006</v>
      </c>
      <c r="H294" s="123" t="s">
        <v>1796</v>
      </c>
      <c r="I294" s="123"/>
      <c r="J294" s="118">
        <v>0</v>
      </c>
      <c r="L294" s="123" t="s">
        <v>1796</v>
      </c>
      <c r="M294" s="123"/>
      <c r="N294" s="118">
        <v>0</v>
      </c>
      <c r="P294" s="519" t="s">
        <v>1916</v>
      </c>
      <c r="Q294" s="519"/>
      <c r="R294" s="129"/>
    </row>
    <row r="295" spans="2:19" ht="15" thickBot="1" x14ac:dyDescent="0.4">
      <c r="B295" s="123" t="s">
        <v>1947</v>
      </c>
      <c r="C295" s="123"/>
      <c r="D295" s="129">
        <v>0.53</v>
      </c>
      <c r="E295" s="129">
        <f t="shared" si="15"/>
        <v>0.53</v>
      </c>
      <c r="H295" s="123" t="s">
        <v>1947</v>
      </c>
      <c r="I295" s="123"/>
      <c r="J295" s="129">
        <v>0</v>
      </c>
      <c r="L295" s="123" t="s">
        <v>1947</v>
      </c>
      <c r="M295" s="123"/>
      <c r="N295" s="129">
        <v>0</v>
      </c>
      <c r="P295" s="131" t="s">
        <v>1835</v>
      </c>
      <c r="Q295" s="131"/>
      <c r="R295" s="127"/>
    </row>
    <row r="296" spans="2:19" ht="15" thickBot="1" x14ac:dyDescent="0.4">
      <c r="B296" s="131"/>
      <c r="C296" s="131"/>
      <c r="D296" s="127"/>
      <c r="E296" s="127">
        <f t="shared" si="15"/>
        <v>0</v>
      </c>
      <c r="F296">
        <f>E296*($S$237+$T$237)</f>
        <v>0</v>
      </c>
      <c r="H296" s="131"/>
      <c r="I296" s="131"/>
      <c r="J296" s="127"/>
      <c r="L296" s="131"/>
      <c r="M296" s="131"/>
      <c r="N296" s="127"/>
      <c r="P296" s="132" t="s">
        <v>1908</v>
      </c>
      <c r="Q296" s="132"/>
      <c r="R296" s="126">
        <f>R288+SUM(R289:R294)-R295</f>
        <v>0.47999999999999954</v>
      </c>
    </row>
    <row r="297" spans="2:19" ht="15" thickBot="1" x14ac:dyDescent="0.4">
      <c r="B297" s="132" t="s">
        <v>1908</v>
      </c>
      <c r="C297" s="132"/>
      <c r="D297" s="126">
        <f>D289+SUM(D290:D295)-D296</f>
        <v>3.918556652562295</v>
      </c>
      <c r="E297" s="126">
        <f>E289+SUM(E290:E295)-E296</f>
        <v>3.5685566525622949</v>
      </c>
      <c r="H297" s="132" t="s">
        <v>1908</v>
      </c>
      <c r="I297" s="132"/>
      <c r="J297" s="126">
        <f>J289+SUM(J290:J295)-J296</f>
        <v>-1.0700000000000003</v>
      </c>
      <c r="L297" s="132" t="s">
        <v>1908</v>
      </c>
      <c r="M297" s="132"/>
      <c r="N297" s="126">
        <f>N289+SUM(N290:N295)-N296</f>
        <v>-1.0799999999999998</v>
      </c>
      <c r="P297" s="131" t="s">
        <v>1798</v>
      </c>
      <c r="Q297" s="131"/>
      <c r="R297" s="124">
        <v>-0.01</v>
      </c>
    </row>
    <row r="298" spans="2:19" ht="15" thickBot="1" x14ac:dyDescent="0.4">
      <c r="B298" s="131" t="s">
        <v>1798</v>
      </c>
      <c r="C298" s="131"/>
      <c r="D298" s="124">
        <v>4.0999999999999996</v>
      </c>
      <c r="E298" s="124">
        <v>3.8</v>
      </c>
      <c r="H298" s="131" t="s">
        <v>1798</v>
      </c>
      <c r="I298" s="131"/>
      <c r="J298" s="124">
        <v>-1</v>
      </c>
      <c r="L298" s="131" t="s">
        <v>1798</v>
      </c>
      <c r="M298" s="131"/>
      <c r="N298" s="124">
        <v>-0.95</v>
      </c>
      <c r="P298" s="134" t="s">
        <v>1799</v>
      </c>
      <c r="Q298" s="135"/>
      <c r="R298" s="128">
        <f>R297-R296</f>
        <v>-0.48999999999999955</v>
      </c>
    </row>
    <row r="299" spans="2:19" ht="15" thickBot="1" x14ac:dyDescent="0.4">
      <c r="B299" s="134" t="s">
        <v>1799</v>
      </c>
      <c r="C299" s="135"/>
      <c r="D299" s="128">
        <f>D298-D297</f>
        <v>0.18144334743770463</v>
      </c>
      <c r="E299" s="128">
        <f>E298-E297</f>
        <v>0.23144334743770489</v>
      </c>
      <c r="H299" s="134" t="s">
        <v>1799</v>
      </c>
      <c r="I299" s="135"/>
      <c r="J299" s="128">
        <f>J298-J297</f>
        <v>7.0000000000000284E-2</v>
      </c>
      <c r="L299" s="134" t="s">
        <v>1799</v>
      </c>
      <c r="M299" s="135"/>
      <c r="N299" s="128">
        <f>N298-N297</f>
        <v>0.12999999999999989</v>
      </c>
      <c r="P299" s="123" t="s">
        <v>1800</v>
      </c>
      <c r="Q299" s="133">
        <f>R298*R282</f>
        <v>-342.99999999999966</v>
      </c>
      <c r="R299" s="133"/>
    </row>
    <row r="300" spans="2:19" x14ac:dyDescent="0.35">
      <c r="B300" s="123" t="s">
        <v>1800</v>
      </c>
      <c r="C300" s="133">
        <f>(D299*D282)+(E299*E282)</f>
        <v>420.82999999999794</v>
      </c>
      <c r="D300" s="133"/>
      <c r="H300" s="123" t="s">
        <v>1800</v>
      </c>
      <c r="I300" s="133">
        <f>(J299*J282)+(K299*K282)</f>
        <v>51.80000000000021</v>
      </c>
      <c r="J300" s="133"/>
      <c r="L300" s="123" t="s">
        <v>1800</v>
      </c>
      <c r="M300" s="133">
        <f>(N299*N282)+(O299*O282)</f>
        <v>90.999999999999929</v>
      </c>
      <c r="N300" s="133"/>
    </row>
    <row r="303" spans="2:19" x14ac:dyDescent="0.35">
      <c r="B303" s="122" t="s">
        <v>1948</v>
      </c>
      <c r="H303" s="122" t="str">
        <f>Ledger!$O$83</f>
        <v>Trafi FOB Oct 5-10</v>
      </c>
    </row>
    <row r="304" spans="2:19" x14ac:dyDescent="0.35">
      <c r="B304" s="519" t="s">
        <v>1786</v>
      </c>
      <c r="C304" s="519"/>
      <c r="D304" s="124">
        <v>700</v>
      </c>
      <c r="H304" s="519" t="s">
        <v>1786</v>
      </c>
      <c r="I304" s="519"/>
      <c r="J304" s="124">
        <v>700</v>
      </c>
    </row>
    <row r="305" spans="2:10" x14ac:dyDescent="0.35">
      <c r="B305" s="519" t="s">
        <v>44</v>
      </c>
      <c r="C305" s="519"/>
      <c r="D305" s="124">
        <v>1.3</v>
      </c>
      <c r="H305" s="519" t="s">
        <v>44</v>
      </c>
      <c r="I305" s="519"/>
      <c r="J305" s="124">
        <v>1.3</v>
      </c>
    </row>
    <row r="306" spans="2:10" x14ac:dyDescent="0.35">
      <c r="B306" s="519" t="s">
        <v>1788</v>
      </c>
      <c r="C306" s="519"/>
      <c r="D306" s="124">
        <v>-0.15</v>
      </c>
      <c r="H306" s="519" t="s">
        <v>1788</v>
      </c>
      <c r="I306" s="519"/>
      <c r="J306" s="124">
        <v>0.25</v>
      </c>
    </row>
    <row r="307" spans="2:10" ht="15" thickBot="1" x14ac:dyDescent="0.4">
      <c r="B307" s="520" t="s">
        <v>1909</v>
      </c>
      <c r="C307" s="520"/>
      <c r="D307" s="125">
        <f>D305+D306</f>
        <v>1.1500000000000001</v>
      </c>
      <c r="H307" s="520" t="s">
        <v>1909</v>
      </c>
      <c r="I307" s="520"/>
      <c r="J307" s="125">
        <f>J305+J306</f>
        <v>1.55</v>
      </c>
    </row>
    <row r="308" spans="2:10" x14ac:dyDescent="0.35">
      <c r="B308" s="521" t="s">
        <v>1949</v>
      </c>
      <c r="C308" s="521"/>
      <c r="D308" s="126">
        <v>0.27</v>
      </c>
      <c r="H308" s="521" t="s">
        <v>1949</v>
      </c>
      <c r="I308" s="521"/>
      <c r="J308" s="126">
        <v>0.27</v>
      </c>
    </row>
    <row r="309" spans="2:10" ht="15" thickBot="1" x14ac:dyDescent="0.4">
      <c r="B309" s="131" t="s">
        <v>1939</v>
      </c>
      <c r="C309" s="131"/>
      <c r="D309" s="127">
        <v>-4.57</v>
      </c>
      <c r="H309" t="s">
        <v>1950</v>
      </c>
      <c r="J309" s="124">
        <v>0.26</v>
      </c>
    </row>
    <row r="310" spans="2:10" ht="15" thickBot="1" x14ac:dyDescent="0.4">
      <c r="B310" s="132" t="s">
        <v>1920</v>
      </c>
      <c r="C310" s="132"/>
      <c r="D310" s="126">
        <f>SUM(D307:D309)</f>
        <v>-3.1500000000000004</v>
      </c>
      <c r="H310" s="131" t="s">
        <v>1945</v>
      </c>
      <c r="I310" s="131"/>
      <c r="J310" s="127">
        <v>-4.28</v>
      </c>
    </row>
    <row r="311" spans="2:10" x14ac:dyDescent="0.35">
      <c r="B311" s="123" t="s">
        <v>1901</v>
      </c>
      <c r="C311" s="123"/>
      <c r="D311" s="108">
        <v>4.09</v>
      </c>
      <c r="H311" s="132" t="s">
        <v>1920</v>
      </c>
      <c r="I311" s="132"/>
      <c r="J311" s="126">
        <f>SUM(J307:J310)</f>
        <v>-2.2000000000000002</v>
      </c>
    </row>
    <row r="312" spans="2:10" x14ac:dyDescent="0.35">
      <c r="B312" s="123" t="s">
        <v>1923</v>
      </c>
      <c r="C312" s="123"/>
      <c r="D312" s="118">
        <v>-1.08</v>
      </c>
      <c r="H312" s="123" t="s">
        <v>1901</v>
      </c>
      <c r="I312" s="123"/>
      <c r="J312" s="108">
        <v>0</v>
      </c>
    </row>
    <row r="313" spans="2:10" x14ac:dyDescent="0.35">
      <c r="B313" s="123" t="s">
        <v>1794</v>
      </c>
      <c r="C313" s="123"/>
      <c r="D313" s="118">
        <v>0</v>
      </c>
      <c r="H313" s="123" t="s">
        <v>1923</v>
      </c>
      <c r="I313" s="123"/>
      <c r="J313" s="118"/>
    </row>
    <row r="314" spans="2:10" x14ac:dyDescent="0.35">
      <c r="B314" s="123" t="s">
        <v>1795</v>
      </c>
      <c r="C314" s="123"/>
      <c r="D314" s="166">
        <v>0.13</v>
      </c>
      <c r="E314">
        <f>D314*D304</f>
        <v>91</v>
      </c>
      <c r="H314" s="123" t="s">
        <v>1794</v>
      </c>
      <c r="I314" s="123"/>
      <c r="J314" s="118"/>
    </row>
    <row r="315" spans="2:10" x14ac:dyDescent="0.35">
      <c r="B315" s="123" t="s">
        <v>1796</v>
      </c>
      <c r="C315" s="123"/>
      <c r="D315" s="118">
        <v>0</v>
      </c>
      <c r="H315" s="123" t="s">
        <v>1795</v>
      </c>
      <c r="I315" s="123"/>
      <c r="J315" s="166">
        <v>-0.09</v>
      </c>
    </row>
    <row r="316" spans="2:10" x14ac:dyDescent="0.35">
      <c r="B316" s="519" t="s">
        <v>1916</v>
      </c>
      <c r="C316" s="519"/>
      <c r="D316" s="129"/>
      <c r="H316" s="123" t="s">
        <v>1796</v>
      </c>
      <c r="I316" s="123"/>
      <c r="J316" s="118"/>
    </row>
    <row r="317" spans="2:10" ht="15" thickBot="1" x14ac:dyDescent="0.4">
      <c r="B317" s="131" t="s">
        <v>1835</v>
      </c>
      <c r="C317" s="131"/>
      <c r="D317" s="127"/>
      <c r="H317" s="123" t="s">
        <v>1916</v>
      </c>
      <c r="I317" s="123"/>
      <c r="J317" s="129"/>
    </row>
    <row r="318" spans="2:10" ht="15" thickBot="1" x14ac:dyDescent="0.4">
      <c r="B318" s="132" t="s">
        <v>1908</v>
      </c>
      <c r="C318" s="132"/>
      <c r="D318" s="126">
        <f>D310+SUM(D311:D316)-D317</f>
        <v>-1.0000000000000675E-2</v>
      </c>
      <c r="H318" s="131" t="s">
        <v>1835</v>
      </c>
      <c r="I318" s="131"/>
      <c r="J318" s="127"/>
    </row>
    <row r="319" spans="2:10" ht="15" thickBot="1" x14ac:dyDescent="0.4">
      <c r="B319" s="131" t="s">
        <v>1798</v>
      </c>
      <c r="C319" s="131"/>
      <c r="D319" s="124">
        <v>-0.01</v>
      </c>
      <c r="H319" s="132" t="s">
        <v>1908</v>
      </c>
      <c r="I319" s="132"/>
      <c r="J319" s="126">
        <f>J311+SUM(J312:J317)-J318</f>
        <v>-2.29</v>
      </c>
    </row>
    <row r="320" spans="2:10" ht="15" thickBot="1" x14ac:dyDescent="0.4">
      <c r="B320" s="134" t="s">
        <v>1799</v>
      </c>
      <c r="C320" s="135"/>
      <c r="D320" s="128">
        <f>D319-D318</f>
        <v>6.7480743215497796E-16</v>
      </c>
      <c r="H320" s="131" t="s">
        <v>1798</v>
      </c>
      <c r="I320" s="131"/>
      <c r="J320" s="124">
        <v>-2.2000000000000002</v>
      </c>
    </row>
    <row r="321" spans="1:12" ht="15" thickBot="1" x14ac:dyDescent="0.4">
      <c r="B321" s="123" t="s">
        <v>1800</v>
      </c>
      <c r="C321" s="133">
        <f>D320*D304</f>
        <v>4.7236520250848457E-13</v>
      </c>
      <c r="D321" s="133"/>
      <c r="H321" s="134" t="s">
        <v>1799</v>
      </c>
      <c r="I321" s="135"/>
      <c r="J321" s="128">
        <f>J320-J319</f>
        <v>8.9999999999999858E-2</v>
      </c>
    </row>
    <row r="322" spans="1:12" x14ac:dyDescent="0.35">
      <c r="H322" s="123" t="s">
        <v>1800</v>
      </c>
      <c r="I322" s="133">
        <f>J321*J304</f>
        <v>62.999999999999901</v>
      </c>
      <c r="J322" s="133"/>
    </row>
    <row r="325" spans="1:12" x14ac:dyDescent="0.35">
      <c r="A325">
        <f>F293+E314+S292+U248+K269+K339+K362</f>
        <v>2727.7799999999997</v>
      </c>
    </row>
    <row r="327" spans="1:12" x14ac:dyDescent="0.35">
      <c r="B327" s="122" t="str">
        <f>Ledger!$O$84</f>
        <v>BP FOB VLCC Nov 15-20</v>
      </c>
      <c r="H327" s="122" t="str">
        <f>Ledger!$O$85</f>
        <v>CPC Taiwan Jan 17-21</v>
      </c>
    </row>
    <row r="328" spans="1:12" x14ac:dyDescent="0.35">
      <c r="B328" s="519" t="s">
        <v>1786</v>
      </c>
      <c r="C328" s="519"/>
      <c r="D328" s="124">
        <v>2100</v>
      </c>
      <c r="H328" s="519" t="s">
        <v>1786</v>
      </c>
      <c r="I328" s="519"/>
      <c r="J328" s="124">
        <v>2100</v>
      </c>
    </row>
    <row r="329" spans="1:12" x14ac:dyDescent="0.35">
      <c r="B329" s="519" t="s">
        <v>44</v>
      </c>
      <c r="C329" s="519"/>
      <c r="D329" s="124">
        <v>1</v>
      </c>
      <c r="H329" s="519" t="s">
        <v>1937</v>
      </c>
      <c r="I329" s="519"/>
      <c r="J329" s="124">
        <v>0.9</v>
      </c>
    </row>
    <row r="330" spans="1:12" x14ac:dyDescent="0.35">
      <c r="B330" s="519" t="s">
        <v>1788</v>
      </c>
      <c r="C330" s="519"/>
      <c r="D330" s="124">
        <v>0.3</v>
      </c>
      <c r="H330" s="519" t="s">
        <v>1788</v>
      </c>
      <c r="I330" s="519"/>
      <c r="J330" s="124">
        <v>0.05</v>
      </c>
    </row>
    <row r="331" spans="1:12" ht="15" thickBot="1" x14ac:dyDescent="0.4">
      <c r="B331" s="520" t="s">
        <v>1909</v>
      </c>
      <c r="C331" s="520"/>
      <c r="D331" s="125">
        <f>D329+D330</f>
        <v>1.3</v>
      </c>
      <c r="H331" s="520" t="s">
        <v>1909</v>
      </c>
      <c r="I331" s="520"/>
      <c r="J331" s="125">
        <f>J329+J330</f>
        <v>0.95000000000000007</v>
      </c>
    </row>
    <row r="332" spans="1:12" x14ac:dyDescent="0.35">
      <c r="B332" s="521" t="s">
        <v>1951</v>
      </c>
      <c r="C332" s="521"/>
      <c r="D332" s="126">
        <v>0.43</v>
      </c>
      <c r="H332" s="521" t="s">
        <v>1951</v>
      </c>
      <c r="I332" s="521"/>
      <c r="J332" s="126">
        <v>0.43</v>
      </c>
    </row>
    <row r="333" spans="1:12" x14ac:dyDescent="0.35">
      <c r="B333" t="s">
        <v>1952</v>
      </c>
      <c r="D333" s="124">
        <v>0.17</v>
      </c>
      <c r="H333" t="s">
        <v>1952</v>
      </c>
      <c r="J333" s="124">
        <v>0.04</v>
      </c>
    </row>
    <row r="334" spans="1:12" ht="15" thickBot="1" x14ac:dyDescent="0.4">
      <c r="B334" s="131" t="s">
        <v>1953</v>
      </c>
      <c r="C334" s="131"/>
      <c r="D334" s="127">
        <v>-3.96</v>
      </c>
      <c r="H334" s="131" t="s">
        <v>1953</v>
      </c>
      <c r="I334" s="131"/>
      <c r="J334" s="127">
        <v>-3.95</v>
      </c>
    </row>
    <row r="335" spans="1:12" x14ac:dyDescent="0.35">
      <c r="B335" s="132" t="s">
        <v>1920</v>
      </c>
      <c r="C335" s="132"/>
      <c r="D335" s="126">
        <f>SUM(D331:D334)</f>
        <v>-2.06</v>
      </c>
      <c r="H335" s="132" t="s">
        <v>1790</v>
      </c>
      <c r="I335" s="132"/>
      <c r="J335" s="126">
        <f>SUM(J331:J334)</f>
        <v>-2.5300000000000002</v>
      </c>
    </row>
    <row r="336" spans="1:12" x14ac:dyDescent="0.35">
      <c r="B336" s="123" t="s">
        <v>1901</v>
      </c>
      <c r="C336" s="123"/>
      <c r="D336" s="108">
        <v>0</v>
      </c>
      <c r="H336" s="123" t="s">
        <v>1901</v>
      </c>
      <c r="I336" s="123"/>
      <c r="J336" s="108">
        <f>+(K336-350)/J328</f>
        <v>5.666666666666667</v>
      </c>
      <c r="K336">
        <v>12250</v>
      </c>
      <c r="L336">
        <f>K336-350</f>
        <v>11900</v>
      </c>
    </row>
    <row r="337" spans="2:16" x14ac:dyDescent="0.35">
      <c r="B337" s="123" t="s">
        <v>1923</v>
      </c>
      <c r="C337" s="123"/>
      <c r="D337" s="118"/>
      <c r="H337" s="123" t="s">
        <v>1923</v>
      </c>
      <c r="I337" s="123"/>
      <c r="J337" s="118">
        <v>0</v>
      </c>
      <c r="K337">
        <v>11750</v>
      </c>
      <c r="L337">
        <f>K337-400</f>
        <v>11350</v>
      </c>
    </row>
    <row r="338" spans="2:16" x14ac:dyDescent="0.35">
      <c r="B338" s="123" t="s">
        <v>1794</v>
      </c>
      <c r="C338" s="123"/>
      <c r="D338" s="118"/>
      <c r="H338" s="123" t="s">
        <v>1794</v>
      </c>
      <c r="I338" s="123"/>
      <c r="J338" s="118">
        <v>0.22</v>
      </c>
      <c r="L338">
        <f>L336-L337</f>
        <v>550</v>
      </c>
    </row>
    <row r="339" spans="2:16" x14ac:dyDescent="0.35">
      <c r="B339" s="123" t="s">
        <v>1795</v>
      </c>
      <c r="C339" s="123"/>
      <c r="D339" s="166">
        <v>-0.01</v>
      </c>
      <c r="H339" s="123" t="s">
        <v>1795</v>
      </c>
      <c r="I339" s="123"/>
      <c r="J339" s="359">
        <v>0.24</v>
      </c>
      <c r="K339">
        <f>J339*J328</f>
        <v>504</v>
      </c>
    </row>
    <row r="340" spans="2:16" x14ac:dyDescent="0.35">
      <c r="B340" s="123" t="s">
        <v>1796</v>
      </c>
      <c r="C340" s="123"/>
      <c r="D340" s="118"/>
      <c r="H340" s="123" t="s">
        <v>1796</v>
      </c>
      <c r="I340" s="123"/>
      <c r="J340" s="118">
        <v>0.26</v>
      </c>
    </row>
    <row r="341" spans="2:16" x14ac:dyDescent="0.35">
      <c r="B341" s="123" t="s">
        <v>1916</v>
      </c>
      <c r="C341" s="123"/>
      <c r="D341" s="129"/>
      <c r="H341" s="123" t="s">
        <v>1954</v>
      </c>
      <c r="I341" s="123"/>
      <c r="J341" s="129">
        <v>0.11</v>
      </c>
    </row>
    <row r="342" spans="2:16" ht="15" thickBot="1" x14ac:dyDescent="0.4">
      <c r="B342" s="131" t="s">
        <v>1835</v>
      </c>
      <c r="C342" s="131"/>
      <c r="D342" s="127"/>
      <c r="H342" s="131" t="s">
        <v>1955</v>
      </c>
      <c r="I342" s="131"/>
      <c r="J342" s="127">
        <v>0.08</v>
      </c>
    </row>
    <row r="343" spans="2:16" x14ac:dyDescent="0.35">
      <c r="B343" s="132" t="s">
        <v>1908</v>
      </c>
      <c r="C343" s="132"/>
      <c r="D343" s="126">
        <f>D335+SUM(D336:D341)-D342</f>
        <v>-2.0699999999999998</v>
      </c>
      <c r="H343" s="132" t="s">
        <v>1908</v>
      </c>
      <c r="I343" s="132"/>
      <c r="J343" s="126">
        <f>J335+SUM(J336:J341)-J342</f>
        <v>3.8866666666666667</v>
      </c>
    </row>
    <row r="344" spans="2:16" ht="15" thickBot="1" x14ac:dyDescent="0.4">
      <c r="B344" s="131" t="s">
        <v>1798</v>
      </c>
      <c r="C344" s="131"/>
      <c r="D344" s="124">
        <v>-2.0499999999999998</v>
      </c>
      <c r="H344" s="131" t="s">
        <v>1798</v>
      </c>
      <c r="I344" s="131"/>
      <c r="J344" s="124">
        <v>3.98</v>
      </c>
    </row>
    <row r="345" spans="2:16" ht="15" thickBot="1" x14ac:dyDescent="0.4">
      <c r="B345" s="134" t="s">
        <v>1799</v>
      </c>
      <c r="C345" s="135"/>
      <c r="D345" s="128">
        <f>D344-D343</f>
        <v>2.0000000000000018E-2</v>
      </c>
      <c r="H345" s="134" t="s">
        <v>1799</v>
      </c>
      <c r="I345" s="135"/>
      <c r="J345" s="128">
        <f>J344-J343</f>
        <v>9.3333333333333268E-2</v>
      </c>
    </row>
    <row r="346" spans="2:16" x14ac:dyDescent="0.35">
      <c r="B346" s="123" t="s">
        <v>1800</v>
      </c>
      <c r="C346" s="133">
        <f>D345*D328</f>
        <v>42.000000000000036</v>
      </c>
      <c r="D346" s="133"/>
      <c r="H346" s="123" t="s">
        <v>1800</v>
      </c>
      <c r="I346" s="133">
        <f>J345*J328</f>
        <v>195.99999999999986</v>
      </c>
      <c r="J346" s="133"/>
    </row>
    <row r="350" spans="2:16" x14ac:dyDescent="0.35">
      <c r="B350" s="122" t="str">
        <f>Ledger!$O$86</f>
        <v>Dec25 EFP 1</v>
      </c>
      <c r="E350" s="122" t="str">
        <f>Ledger!$O$86</f>
        <v>Dec25 EFP 1</v>
      </c>
      <c r="H350" s="122" t="str">
        <f>Ledger!$O$87</f>
        <v>HDO Feb26 5-15</v>
      </c>
      <c r="N350" s="122" t="str">
        <f>Ledger!$O$88</f>
        <v>Exxon FOB Dec25 9-10</v>
      </c>
    </row>
    <row r="351" spans="2:16" x14ac:dyDescent="0.35">
      <c r="B351" s="519" t="s">
        <v>1786</v>
      </c>
      <c r="C351" s="519"/>
      <c r="D351" s="124">
        <v>700</v>
      </c>
      <c r="E351" s="519" t="s">
        <v>1786</v>
      </c>
      <c r="F351" s="519"/>
      <c r="G351" s="124">
        <v>700</v>
      </c>
      <c r="H351" s="519" t="s">
        <v>1786</v>
      </c>
      <c r="I351" s="519"/>
      <c r="J351" s="124">
        <v>2125</v>
      </c>
      <c r="N351" s="519" t="s">
        <v>1786</v>
      </c>
      <c r="O351" s="519"/>
      <c r="P351" s="124">
        <v>700</v>
      </c>
    </row>
    <row r="352" spans="2:16" x14ac:dyDescent="0.35">
      <c r="B352" s="519" t="s">
        <v>1894</v>
      </c>
      <c r="C352" s="519"/>
      <c r="D352" s="124">
        <v>0.9</v>
      </c>
      <c r="E352" s="519" t="s">
        <v>1894</v>
      </c>
      <c r="F352" s="519"/>
      <c r="G352" s="124">
        <v>0.9</v>
      </c>
      <c r="H352" s="519" t="s">
        <v>1937</v>
      </c>
      <c r="I352" s="519"/>
      <c r="J352" s="124">
        <v>0.7</v>
      </c>
      <c r="N352" s="519" t="s">
        <v>1894</v>
      </c>
      <c r="O352" s="519"/>
      <c r="P352" s="124">
        <v>0.95</v>
      </c>
    </row>
    <row r="353" spans="2:16" x14ac:dyDescent="0.35">
      <c r="B353" s="519" t="s">
        <v>1788</v>
      </c>
      <c r="C353" s="519"/>
      <c r="D353" s="124">
        <v>0.15</v>
      </c>
      <c r="E353" s="519" t="s">
        <v>1788</v>
      </c>
      <c r="F353" s="519"/>
      <c r="G353" s="124">
        <v>0</v>
      </c>
      <c r="H353" s="519" t="s">
        <v>1788</v>
      </c>
      <c r="I353" s="519"/>
      <c r="J353" s="124">
        <v>0.4</v>
      </c>
      <c r="N353" s="519" t="s">
        <v>1788</v>
      </c>
      <c r="O353" s="519"/>
      <c r="P353" s="124">
        <v>0.2</v>
      </c>
    </row>
    <row r="354" spans="2:16" ht="15" thickBot="1" x14ac:dyDescent="0.4">
      <c r="B354" s="520" t="s">
        <v>1909</v>
      </c>
      <c r="C354" s="520"/>
      <c r="D354" s="125">
        <f>D352+D353</f>
        <v>1.05</v>
      </c>
      <c r="E354" s="520" t="s">
        <v>1909</v>
      </c>
      <c r="F354" s="520"/>
      <c r="G354" s="125">
        <f>G352+G353</f>
        <v>0.9</v>
      </c>
      <c r="H354" s="520" t="s">
        <v>1909</v>
      </c>
      <c r="I354" s="520"/>
      <c r="J354" s="125">
        <f>J352+J353</f>
        <v>1.1000000000000001</v>
      </c>
      <c r="N354" s="520" t="s">
        <v>1909</v>
      </c>
      <c r="O354" s="520"/>
      <c r="P354" s="125">
        <f>P352+P353</f>
        <v>1.1499999999999999</v>
      </c>
    </row>
    <row r="355" spans="2:16" x14ac:dyDescent="0.35">
      <c r="B355" s="521" t="s">
        <v>1910</v>
      </c>
      <c r="C355" s="521"/>
      <c r="D355" s="126">
        <v>0</v>
      </c>
      <c r="E355" s="521" t="s">
        <v>1956</v>
      </c>
      <c r="F355" s="521"/>
      <c r="G355" s="126">
        <v>0.5</v>
      </c>
      <c r="H355" s="521" t="s">
        <v>1951</v>
      </c>
      <c r="I355" s="521"/>
      <c r="J355" s="126">
        <v>0.02</v>
      </c>
      <c r="N355" s="521" t="s">
        <v>1956</v>
      </c>
      <c r="O355" s="521"/>
      <c r="P355" s="126">
        <v>0.08</v>
      </c>
    </row>
    <row r="356" spans="2:16" ht="15" thickBot="1" x14ac:dyDescent="0.4">
      <c r="B356" s="131" t="s">
        <v>1911</v>
      </c>
      <c r="C356" s="131"/>
      <c r="D356" s="127">
        <v>-4.25</v>
      </c>
      <c r="E356" s="131" t="s">
        <v>1911</v>
      </c>
      <c r="F356" s="131"/>
      <c r="G356" s="127">
        <v>-4.3899999999999997</v>
      </c>
      <c r="H356" t="s">
        <v>1952</v>
      </c>
      <c r="J356" s="124">
        <v>0.08</v>
      </c>
      <c r="P356" s="124">
        <v>0.22</v>
      </c>
    </row>
    <row r="357" spans="2:16" ht="15" thickBot="1" x14ac:dyDescent="0.4">
      <c r="B357" s="132" t="s">
        <v>1920</v>
      </c>
      <c r="C357" s="132"/>
      <c r="D357" s="126">
        <f>SUM(D354:D356)</f>
        <v>-3.2</v>
      </c>
      <c r="E357" s="132" t="s">
        <v>1920</v>
      </c>
      <c r="F357" s="132"/>
      <c r="G357" s="126">
        <f>SUM(G354:G356)</f>
        <v>-2.9899999999999998</v>
      </c>
      <c r="H357" s="131" t="s">
        <v>1953</v>
      </c>
      <c r="I357" s="131"/>
      <c r="J357" s="127">
        <v>-3.98</v>
      </c>
      <c r="N357" s="131" t="s">
        <v>1911</v>
      </c>
      <c r="O357" s="131"/>
      <c r="P357" s="127">
        <v>-4</v>
      </c>
    </row>
    <row r="358" spans="2:16" x14ac:dyDescent="0.35">
      <c r="B358" s="123" t="s">
        <v>1901</v>
      </c>
      <c r="C358" s="123"/>
      <c r="D358" s="108">
        <v>4.3099999999999996</v>
      </c>
      <c r="E358" s="123" t="s">
        <v>1901</v>
      </c>
      <c r="F358" s="123"/>
      <c r="G358" s="108">
        <v>4.3099999999999996</v>
      </c>
      <c r="H358" s="132" t="s">
        <v>1790</v>
      </c>
      <c r="I358" s="132"/>
      <c r="J358" s="126">
        <f>SUM(J354:J357)</f>
        <v>-2.78</v>
      </c>
      <c r="N358" s="132" t="s">
        <v>1920</v>
      </c>
      <c r="O358" s="132"/>
      <c r="P358" s="126">
        <f>SUM(P354:P357)</f>
        <v>-2.5499999999999998</v>
      </c>
    </row>
    <row r="359" spans="2:16" x14ac:dyDescent="0.35">
      <c r="B359" s="123" t="s">
        <v>1923</v>
      </c>
      <c r="C359" s="123"/>
      <c r="D359" s="118">
        <v>1.25</v>
      </c>
      <c r="E359" s="123" t="s">
        <v>1923</v>
      </c>
      <c r="F359" s="123"/>
      <c r="G359" s="118">
        <v>1.25</v>
      </c>
      <c r="H359" s="123" t="s">
        <v>1901</v>
      </c>
      <c r="I359" s="123"/>
      <c r="J359" s="108">
        <f>+(K359)/J351</f>
        <v>6.4705882352941178</v>
      </c>
      <c r="K359">
        <v>13750</v>
      </c>
      <c r="L359">
        <f>K359-350</f>
        <v>13400</v>
      </c>
      <c r="N359" s="123" t="s">
        <v>1901</v>
      </c>
      <c r="O359" s="123"/>
      <c r="P359" s="108"/>
    </row>
    <row r="360" spans="2:16" x14ac:dyDescent="0.35">
      <c r="B360" s="123" t="s">
        <v>1794</v>
      </c>
      <c r="C360" s="123"/>
      <c r="D360" s="118">
        <v>-0.04</v>
      </c>
      <c r="E360" s="123" t="s">
        <v>1794</v>
      </c>
      <c r="F360" s="123"/>
      <c r="G360" s="118">
        <v>0</v>
      </c>
      <c r="H360" s="123" t="s">
        <v>47</v>
      </c>
      <c r="I360" s="123"/>
      <c r="J360" s="118">
        <f>K360/J351</f>
        <v>0</v>
      </c>
      <c r="L360">
        <f>K360-400</f>
        <v>-400</v>
      </c>
      <c r="N360" s="123" t="s">
        <v>1923</v>
      </c>
      <c r="O360" s="123"/>
      <c r="P360" s="118"/>
    </row>
    <row r="361" spans="2:16" x14ac:dyDescent="0.35">
      <c r="B361" s="165" t="s">
        <v>1795</v>
      </c>
      <c r="C361" s="165"/>
      <c r="D361" s="310"/>
      <c r="E361" s="165" t="s">
        <v>1795</v>
      </c>
      <c r="F361" s="165"/>
      <c r="G361" s="310"/>
      <c r="H361" s="123" t="s">
        <v>1794</v>
      </c>
      <c r="I361" s="123"/>
      <c r="J361" s="118">
        <v>0.22</v>
      </c>
      <c r="L361">
        <f>L359-L360</f>
        <v>13800</v>
      </c>
      <c r="N361" s="123" t="s">
        <v>1794</v>
      </c>
      <c r="O361" s="123"/>
      <c r="P361" s="118"/>
    </row>
    <row r="362" spans="2:16" x14ac:dyDescent="0.35">
      <c r="B362" s="123" t="s">
        <v>1796</v>
      </c>
      <c r="C362" s="123"/>
      <c r="D362" s="118">
        <v>0</v>
      </c>
      <c r="E362" s="123" t="s">
        <v>1796</v>
      </c>
      <c r="F362" s="123"/>
      <c r="G362" s="118">
        <v>0</v>
      </c>
      <c r="H362" s="123" t="s">
        <v>1795</v>
      </c>
      <c r="I362" s="123"/>
      <c r="J362" s="359">
        <f>K362/J351</f>
        <v>0.28000000000000003</v>
      </c>
      <c r="K362">
        <v>595</v>
      </c>
      <c r="N362" s="165" t="s">
        <v>1795</v>
      </c>
      <c r="O362" s="165"/>
      <c r="P362" s="164"/>
    </row>
    <row r="363" spans="2:16" x14ac:dyDescent="0.35">
      <c r="B363" s="519" t="s">
        <v>1916</v>
      </c>
      <c r="C363" s="519"/>
      <c r="D363" s="129"/>
      <c r="E363" s="519" t="s">
        <v>1916</v>
      </c>
      <c r="F363" s="519"/>
      <c r="G363" s="129"/>
      <c r="H363" s="123" t="s">
        <v>1796</v>
      </c>
      <c r="I363" s="123"/>
      <c r="J363" s="118">
        <f>0.37-0.09-0.08</f>
        <v>0.2</v>
      </c>
      <c r="N363" s="123" t="s">
        <v>1796</v>
      </c>
      <c r="O363" s="123"/>
      <c r="P363" s="118"/>
    </row>
    <row r="364" spans="2:16" ht="15" thickBot="1" x14ac:dyDescent="0.4">
      <c r="B364" s="131" t="s">
        <v>1835</v>
      </c>
      <c r="C364" s="131"/>
      <c r="D364" s="127"/>
      <c r="E364" s="131" t="s">
        <v>1835</v>
      </c>
      <c r="F364" s="131"/>
      <c r="G364" s="127"/>
      <c r="H364" s="123" t="s">
        <v>1954</v>
      </c>
      <c r="I364" s="123"/>
      <c r="J364" s="129">
        <v>0.15</v>
      </c>
      <c r="N364" s="123" t="s">
        <v>1916</v>
      </c>
      <c r="O364" s="123"/>
      <c r="P364" s="129"/>
    </row>
    <row r="365" spans="2:16" ht="15" thickBot="1" x14ac:dyDescent="0.4">
      <c r="B365" s="132" t="s">
        <v>1908</v>
      </c>
      <c r="C365" s="132"/>
      <c r="D365" s="126">
        <f>D357+D358-D359+D360+D361</f>
        <v>-0.18000000000000058</v>
      </c>
      <c r="E365" s="132" t="s">
        <v>1908</v>
      </c>
      <c r="F365" s="132"/>
      <c r="G365" s="126">
        <f>G357+G358-G359+G360+G361</f>
        <v>6.999999999999984E-2</v>
      </c>
      <c r="H365" s="131" t="s">
        <v>1955</v>
      </c>
      <c r="I365" s="131"/>
      <c r="J365" s="127"/>
      <c r="N365" s="131" t="s">
        <v>1835</v>
      </c>
      <c r="O365" s="131"/>
      <c r="P365" s="127"/>
    </row>
    <row r="366" spans="2:16" ht="15" thickBot="1" x14ac:dyDescent="0.4">
      <c r="B366" s="131" t="s">
        <v>1798</v>
      </c>
      <c r="C366" s="131"/>
      <c r="D366" s="124">
        <v>-0.02</v>
      </c>
      <c r="E366" s="131" t="s">
        <v>1798</v>
      </c>
      <c r="F366" s="131"/>
      <c r="G366" s="124">
        <v>-0.02</v>
      </c>
      <c r="H366" s="132" t="s">
        <v>1908</v>
      </c>
      <c r="I366" s="132"/>
      <c r="J366" s="126">
        <f>J358+SUM(J359:J364)-J365</f>
        <v>4.540588235294118</v>
      </c>
      <c r="N366" s="132" t="s">
        <v>1908</v>
      </c>
      <c r="O366" s="132"/>
      <c r="P366" s="126">
        <f>P358+P359-P360+P361+P362</f>
        <v>-2.5499999999999998</v>
      </c>
    </row>
    <row r="367" spans="2:16" ht="15" thickBot="1" x14ac:dyDescent="0.4">
      <c r="B367" s="134" t="s">
        <v>1799</v>
      </c>
      <c r="C367" s="135"/>
      <c r="D367" s="128">
        <f>D366-D365</f>
        <v>0.16000000000000059</v>
      </c>
      <c r="E367" s="134" t="s">
        <v>1799</v>
      </c>
      <c r="F367" s="135"/>
      <c r="G367" s="128">
        <f>G366-G365</f>
        <v>-8.9999999999999844E-2</v>
      </c>
      <c r="H367" s="131" t="s">
        <v>1798</v>
      </c>
      <c r="I367" s="131"/>
      <c r="J367" s="124">
        <v>4.8099999999999996</v>
      </c>
      <c r="N367" s="131" t="s">
        <v>1798</v>
      </c>
      <c r="O367" s="131"/>
      <c r="P367" s="124">
        <v>-2.5</v>
      </c>
    </row>
    <row r="368" spans="2:16" ht="15" thickBot="1" x14ac:dyDescent="0.4">
      <c r="B368" s="123" t="s">
        <v>1800</v>
      </c>
      <c r="C368" s="133">
        <f>D367*D351</f>
        <v>112.00000000000041</v>
      </c>
      <c r="D368" s="133"/>
      <c r="E368" s="123" t="s">
        <v>1800</v>
      </c>
      <c r="F368" s="133">
        <f>G367*G351</f>
        <v>-62.999999999999893</v>
      </c>
      <c r="G368" s="133"/>
      <c r="H368" s="134" t="s">
        <v>1799</v>
      </c>
      <c r="I368" s="135"/>
      <c r="J368" s="128">
        <f>J367-J366</f>
        <v>0.26941176470588157</v>
      </c>
      <c r="N368" s="134" t="s">
        <v>1799</v>
      </c>
      <c r="O368" s="135"/>
      <c r="P368" s="128">
        <f>P367-P366</f>
        <v>4.9999999999999822E-2</v>
      </c>
    </row>
    <row r="369" spans="2:16" x14ac:dyDescent="0.35">
      <c r="H369" s="123" t="s">
        <v>1800</v>
      </c>
      <c r="I369" s="133">
        <f>J368*J351</f>
        <v>572.49999999999829</v>
      </c>
      <c r="J369" s="133"/>
      <c r="N369" s="123" t="s">
        <v>1800</v>
      </c>
      <c r="O369" s="133">
        <f>P368*P351</f>
        <v>34.999999999999872</v>
      </c>
      <c r="P369" s="133"/>
    </row>
    <row r="371" spans="2:16" x14ac:dyDescent="0.35">
      <c r="B371" s="122" t="str">
        <f>Ledger!$O$89</f>
        <v>Exxon CIF Rotts Jan 2-6</v>
      </c>
      <c r="E371" s="122" t="str">
        <f>Ledger!$O$90</f>
        <v>Exxon CIF Rotts VLCC Jan 19-23</v>
      </c>
    </row>
    <row r="372" spans="2:16" x14ac:dyDescent="0.35">
      <c r="B372" s="519" t="s">
        <v>1786</v>
      </c>
      <c r="C372" s="519"/>
      <c r="D372" s="124">
        <v>700</v>
      </c>
      <c r="E372" s="519" t="s">
        <v>1786</v>
      </c>
      <c r="F372" s="519"/>
      <c r="G372" s="124">
        <f>2049-H372</f>
        <v>1349</v>
      </c>
      <c r="H372" s="124">
        <v>700</v>
      </c>
    </row>
    <row r="373" spans="2:16" x14ac:dyDescent="0.35">
      <c r="B373" s="519" t="s">
        <v>1894</v>
      </c>
      <c r="C373" s="519"/>
      <c r="D373" s="124">
        <v>0.8</v>
      </c>
      <c r="E373" s="519" t="s">
        <v>1894</v>
      </c>
      <c r="F373" s="519"/>
      <c r="G373" s="124">
        <v>0.79</v>
      </c>
      <c r="H373" s="124"/>
    </row>
    <row r="374" spans="2:16" x14ac:dyDescent="0.35">
      <c r="B374" s="519" t="s">
        <v>1788</v>
      </c>
      <c r="C374" s="519"/>
      <c r="D374" s="124">
        <v>0.05</v>
      </c>
      <c r="E374" s="519" t="s">
        <v>1788</v>
      </c>
      <c r="F374" s="519"/>
      <c r="G374" s="124"/>
      <c r="H374" s="124"/>
    </row>
    <row r="375" spans="2:16" ht="15" thickBot="1" x14ac:dyDescent="0.4">
      <c r="B375" s="520" t="s">
        <v>1909</v>
      </c>
      <c r="C375" s="520"/>
      <c r="D375" s="125">
        <f>D373+D374</f>
        <v>0.85000000000000009</v>
      </c>
      <c r="E375" s="520" t="s">
        <v>1909</v>
      </c>
      <c r="F375" s="520"/>
      <c r="G375" s="125">
        <f>G373+G374</f>
        <v>0.79</v>
      </c>
      <c r="H375" s="125"/>
    </row>
    <row r="376" spans="2:16" ht="15" thickBot="1" x14ac:dyDescent="0.4">
      <c r="B376" s="521" t="s">
        <v>1956</v>
      </c>
      <c r="C376" s="521"/>
      <c r="D376" s="126">
        <v>0.18</v>
      </c>
      <c r="E376" s="521" t="s">
        <v>1957</v>
      </c>
      <c r="F376" s="521"/>
      <c r="G376" s="126">
        <v>0.19</v>
      </c>
      <c r="H376" s="126"/>
    </row>
    <row r="377" spans="2:16" x14ac:dyDescent="0.35">
      <c r="D377" s="124">
        <v>0.27</v>
      </c>
      <c r="E377" s="521" t="s">
        <v>1958</v>
      </c>
      <c r="F377" s="521"/>
      <c r="G377" s="124">
        <v>0.21</v>
      </c>
      <c r="H377" s="124"/>
    </row>
    <row r="378" spans="2:16" ht="15" thickBot="1" x14ac:dyDescent="0.4">
      <c r="B378" s="131" t="s">
        <v>1911</v>
      </c>
      <c r="C378" s="131"/>
      <c r="D378" s="127">
        <v>-4.0199999999999996</v>
      </c>
      <c r="E378" s="131" t="s">
        <v>1959</v>
      </c>
      <c r="F378" s="131"/>
      <c r="G378" s="127">
        <v>-4.05</v>
      </c>
      <c r="H378" s="127"/>
    </row>
    <row r="379" spans="2:16" x14ac:dyDescent="0.35">
      <c r="B379" s="132" t="s">
        <v>1920</v>
      </c>
      <c r="C379" s="132"/>
      <c r="D379" s="126">
        <f>SUM(D375:D378)</f>
        <v>-2.7199999999999998</v>
      </c>
      <c r="E379" s="132" t="s">
        <v>1920</v>
      </c>
      <c r="F379" s="132"/>
      <c r="G379" s="126">
        <f>SUM(G375:G378)</f>
        <v>-2.86</v>
      </c>
      <c r="H379" s="126">
        <v>-2.75</v>
      </c>
    </row>
    <row r="380" spans="2:16" x14ac:dyDescent="0.35">
      <c r="B380" s="123" t="s">
        <v>1901</v>
      </c>
      <c r="C380" s="123"/>
      <c r="D380" s="108">
        <v>4.4800000000000004</v>
      </c>
      <c r="E380" s="123" t="s">
        <v>1901</v>
      </c>
      <c r="F380" s="123"/>
      <c r="G380" s="108">
        <f>I380/SUM(G372:H372)</f>
        <v>3.2576866764275256</v>
      </c>
      <c r="H380" s="108">
        <f>G380</f>
        <v>3.2576866764275256</v>
      </c>
      <c r="I380">
        <v>6675</v>
      </c>
    </row>
    <row r="381" spans="2:16" x14ac:dyDescent="0.35">
      <c r="B381" s="123" t="s">
        <v>1923</v>
      </c>
      <c r="C381" s="123"/>
      <c r="D381" s="118"/>
      <c r="E381" s="123" t="s">
        <v>1923</v>
      </c>
      <c r="F381" s="123"/>
      <c r="G381" s="118"/>
      <c r="H381" s="118"/>
    </row>
    <row r="382" spans="2:16" x14ac:dyDescent="0.35">
      <c r="B382" s="123" t="s">
        <v>1794</v>
      </c>
      <c r="C382" s="123"/>
      <c r="D382" s="118"/>
      <c r="E382" s="123" t="s">
        <v>1794</v>
      </c>
      <c r="F382" s="123"/>
      <c r="G382" s="118">
        <v>0.22</v>
      </c>
      <c r="H382" s="118">
        <v>0.22</v>
      </c>
    </row>
    <row r="383" spans="2:16" x14ac:dyDescent="0.35">
      <c r="B383" s="165" t="s">
        <v>1795</v>
      </c>
      <c r="C383" s="165"/>
      <c r="D383" s="164">
        <v>-0.04</v>
      </c>
      <c r="E383" s="165" t="s">
        <v>1795</v>
      </c>
      <c r="F383" s="165"/>
      <c r="G383" s="164">
        <v>0</v>
      </c>
      <c r="H383" s="164">
        <v>0</v>
      </c>
    </row>
    <row r="384" spans="2:16" x14ac:dyDescent="0.35">
      <c r="B384" s="123" t="s">
        <v>1796</v>
      </c>
      <c r="C384" s="123"/>
      <c r="D384" s="118">
        <v>0.13</v>
      </c>
      <c r="E384" s="123" t="s">
        <v>1796</v>
      </c>
      <c r="F384" s="123"/>
      <c r="G384" s="118">
        <f>0.51-G382</f>
        <v>0.29000000000000004</v>
      </c>
      <c r="H384" s="118">
        <f>0.51-H382</f>
        <v>0.29000000000000004</v>
      </c>
    </row>
    <row r="385" spans="2:10" x14ac:dyDescent="0.35">
      <c r="B385" s="123" t="s">
        <v>1916</v>
      </c>
      <c r="C385" s="123"/>
      <c r="D385" s="129">
        <v>0.33</v>
      </c>
      <c r="E385" s="123" t="s">
        <v>1916</v>
      </c>
      <c r="F385" s="123"/>
      <c r="G385" s="129">
        <v>0.3</v>
      </c>
      <c r="H385" s="129">
        <v>0.3</v>
      </c>
    </row>
    <row r="386" spans="2:10" ht="15" thickBot="1" x14ac:dyDescent="0.4">
      <c r="B386" s="131" t="s">
        <v>1835</v>
      </c>
      <c r="C386" s="131"/>
      <c r="D386" s="127">
        <v>0.4</v>
      </c>
      <c r="E386" s="131" t="s">
        <v>1835</v>
      </c>
      <c r="F386" s="131"/>
      <c r="G386" s="127">
        <v>0.45</v>
      </c>
      <c r="H386" s="127">
        <v>0.45</v>
      </c>
    </row>
    <row r="387" spans="2:10" x14ac:dyDescent="0.35">
      <c r="B387" s="132" t="s">
        <v>1908</v>
      </c>
      <c r="C387" s="132"/>
      <c r="D387" s="126">
        <f>D379+D380-D381+D382+D383+D384+D385-D386</f>
        <v>1.7800000000000007</v>
      </c>
      <c r="E387" s="132" t="s">
        <v>1908</v>
      </c>
      <c r="F387" s="132"/>
      <c r="G387" s="126">
        <f>G379+G380-G381+G382+G383+G384+G385-G386</f>
        <v>0.75768667642752585</v>
      </c>
      <c r="H387" s="126">
        <f>H379+H380-H381+H382+H383+H384+H385-H386</f>
        <v>0.86768667642752573</v>
      </c>
    </row>
    <row r="388" spans="2:10" ht="15" thickBot="1" x14ac:dyDescent="0.4">
      <c r="B388" s="131" t="s">
        <v>1798</v>
      </c>
      <c r="C388" s="131"/>
      <c r="D388" s="124">
        <v>1.86</v>
      </c>
      <c r="E388" s="131" t="s">
        <v>1798</v>
      </c>
      <c r="F388" s="131"/>
      <c r="G388" s="124">
        <v>0.5</v>
      </c>
      <c r="H388" s="124">
        <v>0.5</v>
      </c>
    </row>
    <row r="389" spans="2:10" ht="15" thickBot="1" x14ac:dyDescent="0.4">
      <c r="B389" s="134" t="s">
        <v>1799</v>
      </c>
      <c r="C389" s="135"/>
      <c r="D389" s="128">
        <f>D388-D387</f>
        <v>7.9999999999999405E-2</v>
      </c>
      <c r="E389" s="134" t="s">
        <v>1799</v>
      </c>
      <c r="F389" s="135"/>
      <c r="G389" s="128">
        <f>G388-G387</f>
        <v>-0.25768667642752585</v>
      </c>
      <c r="H389" s="128">
        <f>H388-H387</f>
        <v>-0.36768667642752573</v>
      </c>
    </row>
    <row r="390" spans="2:10" x14ac:dyDescent="0.35">
      <c r="B390" s="123" t="s">
        <v>1800</v>
      </c>
      <c r="C390" s="133">
        <f>D389*D372</f>
        <v>55.999999999999581</v>
      </c>
      <c r="D390" s="133"/>
      <c r="E390" s="123" t="s">
        <v>1800</v>
      </c>
      <c r="F390" s="133">
        <f>G389*G372</f>
        <v>-347.61932650073237</v>
      </c>
      <c r="G390" s="133">
        <f>H389*H372</f>
        <v>-257.38067349926803</v>
      </c>
    </row>
    <row r="395" spans="2:10" x14ac:dyDescent="0.35">
      <c r="B395" s="312">
        <v>45683</v>
      </c>
      <c r="G395" s="312">
        <v>45683</v>
      </c>
    </row>
    <row r="396" spans="2:10" x14ac:dyDescent="0.35">
      <c r="B396" s="122" t="str">
        <f>Ledger!$O$86</f>
        <v>Dec25 EFP 1</v>
      </c>
      <c r="G396" s="122" t="str">
        <f>Ledger!$O$92</f>
        <v>BP FOB Jan26 11-15</v>
      </c>
    </row>
    <row r="397" spans="2:10" x14ac:dyDescent="0.35">
      <c r="B397" s="519" t="s">
        <v>1786</v>
      </c>
      <c r="C397" s="519"/>
      <c r="D397" s="124">
        <v>1400</v>
      </c>
      <c r="G397" s="519" t="s">
        <v>1786</v>
      </c>
      <c r="H397" s="519"/>
      <c r="I397" s="124">
        <v>700</v>
      </c>
    </row>
    <row r="398" spans="2:10" x14ac:dyDescent="0.35">
      <c r="B398" s="519" t="s">
        <v>1894</v>
      </c>
      <c r="C398" s="519"/>
      <c r="D398" s="124">
        <v>0.75</v>
      </c>
      <c r="G398" s="519" t="s">
        <v>1894</v>
      </c>
      <c r="H398" s="519"/>
      <c r="I398" s="124">
        <v>0.65</v>
      </c>
      <c r="J398" s="139"/>
    </row>
    <row r="399" spans="2:10" x14ac:dyDescent="0.35">
      <c r="B399" s="519" t="s">
        <v>1788</v>
      </c>
      <c r="C399" s="519"/>
      <c r="D399" s="124">
        <v>0.25</v>
      </c>
      <c r="G399" s="519" t="s">
        <v>1788</v>
      </c>
      <c r="H399" s="519"/>
      <c r="I399" s="124">
        <v>0.2</v>
      </c>
    </row>
    <row r="400" spans="2:10" ht="15" thickBot="1" x14ac:dyDescent="0.4">
      <c r="B400" s="520" t="s">
        <v>1909</v>
      </c>
      <c r="C400" s="520"/>
      <c r="D400" s="125">
        <f>D398+D399</f>
        <v>1</v>
      </c>
      <c r="G400" s="520" t="s">
        <v>1909</v>
      </c>
      <c r="H400" s="520"/>
      <c r="I400" s="125">
        <f>I398+I399</f>
        <v>0.85000000000000009</v>
      </c>
    </row>
    <row r="401" spans="2:13" x14ac:dyDescent="0.35">
      <c r="B401" s="521" t="s">
        <v>1956</v>
      </c>
      <c r="C401" s="521"/>
      <c r="D401" s="126"/>
      <c r="G401" s="521" t="s">
        <v>1956</v>
      </c>
      <c r="H401" s="521"/>
      <c r="I401" s="126">
        <f>L403</f>
        <v>0.21000000000000002</v>
      </c>
      <c r="K401" s="102">
        <f>700*2/3</f>
        <v>466.66666666666669</v>
      </c>
      <c r="L401">
        <v>0.17</v>
      </c>
      <c r="M401">
        <v>0.17</v>
      </c>
    </row>
    <row r="402" spans="2:13" ht="15" thickBot="1" x14ac:dyDescent="0.4">
      <c r="B402" s="131" t="s">
        <v>1911</v>
      </c>
      <c r="C402" s="131"/>
      <c r="D402" s="127">
        <v>-4.4400000000000004</v>
      </c>
      <c r="G402" s="131" t="s">
        <v>1911</v>
      </c>
      <c r="H402" s="131"/>
      <c r="I402" s="127"/>
      <c r="K402" s="331">
        <f>700-K401</f>
        <v>233.33333333333331</v>
      </c>
      <c r="L402">
        <f>M401+M402</f>
        <v>0.29000000000000004</v>
      </c>
      <c r="M402">
        <v>0.12</v>
      </c>
    </row>
    <row r="403" spans="2:13" x14ac:dyDescent="0.35">
      <c r="B403" s="132" t="s">
        <v>1920</v>
      </c>
      <c r="C403" s="132"/>
      <c r="D403" s="126">
        <f>SUM(D400:D402)</f>
        <v>-3.4400000000000004</v>
      </c>
      <c r="G403" s="132" t="s">
        <v>1920</v>
      </c>
      <c r="H403" s="132"/>
      <c r="I403" s="126">
        <f>SUM(I400:I402)</f>
        <v>1.06</v>
      </c>
      <c r="L403" cm="1">
        <f t="array" ref="L403">SUMPRODUCT(K401:K402,L401:L402/SUM(K401:K402))</f>
        <v>0.21000000000000002</v>
      </c>
    </row>
    <row r="404" spans="2:13" x14ac:dyDescent="0.35">
      <c r="B404" s="123" t="s">
        <v>1901</v>
      </c>
      <c r="C404" s="123"/>
      <c r="D404" s="108">
        <v>4.4800000000000004</v>
      </c>
      <c r="E404">
        <v>208</v>
      </c>
      <c r="G404" s="123" t="s">
        <v>1901</v>
      </c>
      <c r="H404" s="123"/>
      <c r="I404" s="108"/>
    </row>
    <row r="405" spans="2:13" x14ac:dyDescent="0.35">
      <c r="B405" s="123" t="s">
        <v>1923</v>
      </c>
      <c r="C405" s="123"/>
      <c r="D405" s="118">
        <v>1.34</v>
      </c>
      <c r="E405">
        <v>140</v>
      </c>
      <c r="G405" s="123" t="s">
        <v>1923</v>
      </c>
      <c r="H405" s="123"/>
      <c r="I405" s="118"/>
    </row>
    <row r="406" spans="2:13" x14ac:dyDescent="0.35">
      <c r="B406" s="123" t="s">
        <v>1794</v>
      </c>
      <c r="C406" s="123"/>
      <c r="D406" s="118">
        <v>0</v>
      </c>
      <c r="G406" s="123" t="s">
        <v>1794</v>
      </c>
      <c r="H406" s="123"/>
      <c r="I406" s="118">
        <v>0</v>
      </c>
    </row>
    <row r="407" spans="2:13" x14ac:dyDescent="0.35">
      <c r="B407" s="165" t="s">
        <v>1795</v>
      </c>
      <c r="C407" s="165"/>
      <c r="D407" s="313"/>
      <c r="E407">
        <f>D407*D397</f>
        <v>0</v>
      </c>
      <c r="G407" s="165" t="s">
        <v>1795</v>
      </c>
      <c r="H407" s="165"/>
      <c r="I407" s="313"/>
    </row>
    <row r="408" spans="2:13" x14ac:dyDescent="0.35">
      <c r="B408" s="123" t="s">
        <v>1796</v>
      </c>
      <c r="C408" s="123"/>
      <c r="D408" s="118">
        <v>0</v>
      </c>
      <c r="G408" s="123" t="s">
        <v>1796</v>
      </c>
      <c r="H408" s="123"/>
      <c r="I408" s="118">
        <v>0</v>
      </c>
    </row>
    <row r="409" spans="2:13" x14ac:dyDescent="0.35">
      <c r="B409" s="519" t="s">
        <v>1916</v>
      </c>
      <c r="C409" s="519"/>
      <c r="D409" s="129"/>
      <c r="G409" s="519" t="s">
        <v>1916</v>
      </c>
      <c r="H409" s="519"/>
      <c r="I409" s="129"/>
    </row>
    <row r="410" spans="2:13" ht="15" thickBot="1" x14ac:dyDescent="0.4">
      <c r="B410" s="131" t="s">
        <v>1835</v>
      </c>
      <c r="C410" s="131"/>
      <c r="D410" s="127"/>
      <c r="G410" s="131" t="s">
        <v>1835</v>
      </c>
      <c r="H410" s="131"/>
      <c r="I410" s="127"/>
    </row>
    <row r="411" spans="2:13" x14ac:dyDescent="0.35">
      <c r="B411" s="132" t="s">
        <v>1908</v>
      </c>
      <c r="C411" s="132"/>
      <c r="D411" s="126">
        <f>D403+D404-D405+D406+D407</f>
        <v>-0.30000000000000004</v>
      </c>
      <c r="G411" s="132" t="s">
        <v>1908</v>
      </c>
      <c r="H411" s="132"/>
      <c r="I411" s="126">
        <f>I403+I404-I405+I406+I407</f>
        <v>1.06</v>
      </c>
    </row>
    <row r="412" spans="2:13" ht="15" thickBot="1" x14ac:dyDescent="0.4">
      <c r="B412" s="131" t="s">
        <v>1798</v>
      </c>
      <c r="C412" s="131"/>
      <c r="D412" s="124">
        <v>-0.01</v>
      </c>
      <c r="G412" s="131" t="s">
        <v>1798</v>
      </c>
      <c r="H412" s="131"/>
      <c r="I412" s="124">
        <v>1.1000000000000001</v>
      </c>
    </row>
    <row r="413" spans="2:13" ht="15" thickBot="1" x14ac:dyDescent="0.4">
      <c r="B413" s="134" t="s">
        <v>1799</v>
      </c>
      <c r="C413" s="135"/>
      <c r="D413" s="128">
        <f>D412-D411</f>
        <v>0.29000000000000004</v>
      </c>
      <c r="G413" s="134" t="s">
        <v>1799</v>
      </c>
      <c r="H413" s="135"/>
      <c r="I413" s="128">
        <f>I412-I411</f>
        <v>4.0000000000000036E-2</v>
      </c>
    </row>
    <row r="414" spans="2:13" x14ac:dyDescent="0.35">
      <c r="B414" s="123" t="s">
        <v>1800</v>
      </c>
      <c r="C414" s="133">
        <f>D413*D397</f>
        <v>406.00000000000006</v>
      </c>
      <c r="D414" s="133"/>
      <c r="G414" s="123" t="s">
        <v>1800</v>
      </c>
      <c r="H414" s="133">
        <f>I413*I397</f>
        <v>28.000000000000025</v>
      </c>
      <c r="I414" s="133"/>
    </row>
    <row r="417" spans="2:5" x14ac:dyDescent="0.35">
      <c r="B417" s="122" t="str">
        <f>Ledger!$O$93</f>
        <v>HDO March26 10-20</v>
      </c>
    </row>
    <row r="418" spans="2:5" x14ac:dyDescent="0.35">
      <c r="B418" s="519" t="s">
        <v>1786</v>
      </c>
      <c r="C418" s="519"/>
      <c r="D418" s="124">
        <v>2073</v>
      </c>
    </row>
    <row r="419" spans="2:5" x14ac:dyDescent="0.35">
      <c r="B419" s="519" t="s">
        <v>1937</v>
      </c>
      <c r="C419" s="519"/>
      <c r="D419" s="124">
        <v>0.65</v>
      </c>
    </row>
    <row r="420" spans="2:5" x14ac:dyDescent="0.35">
      <c r="B420" s="519" t="s">
        <v>1788</v>
      </c>
      <c r="C420" s="519"/>
      <c r="D420" s="124">
        <v>0.4</v>
      </c>
    </row>
    <row r="421" spans="2:5" ht="15" thickBot="1" x14ac:dyDescent="0.4">
      <c r="B421" s="520" t="s">
        <v>1909</v>
      </c>
      <c r="C421" s="520"/>
      <c r="D421" s="125">
        <f>D419+D420</f>
        <v>1.05</v>
      </c>
    </row>
    <row r="422" spans="2:5" x14ac:dyDescent="0.35">
      <c r="B422" s="521" t="s">
        <v>1960</v>
      </c>
      <c r="C422" s="521"/>
      <c r="D422" s="126">
        <v>0.16</v>
      </c>
    </row>
    <row r="423" spans="2:5" x14ac:dyDescent="0.35">
      <c r="B423" t="s">
        <v>1961</v>
      </c>
      <c r="D423" s="124">
        <v>0.1</v>
      </c>
    </row>
    <row r="424" spans="2:5" ht="15" thickBot="1" x14ac:dyDescent="0.4">
      <c r="B424" s="131" t="s">
        <v>1962</v>
      </c>
      <c r="C424" s="131"/>
      <c r="D424" s="127">
        <v>-3.75</v>
      </c>
    </row>
    <row r="425" spans="2:5" x14ac:dyDescent="0.35">
      <c r="B425" s="132" t="s">
        <v>1790</v>
      </c>
      <c r="C425" s="132"/>
      <c r="D425" s="126">
        <f>SUM(D421:D424)</f>
        <v>-2.44</v>
      </c>
    </row>
    <row r="426" spans="2:5" x14ac:dyDescent="0.35">
      <c r="B426" s="123" t="s">
        <v>1901</v>
      </c>
      <c r="C426" s="123"/>
      <c r="D426" s="108">
        <f>+(E426)/D418</f>
        <v>6.6328991799324646</v>
      </c>
      <c r="E426">
        <v>13750</v>
      </c>
    </row>
    <row r="427" spans="2:5" x14ac:dyDescent="0.35">
      <c r="B427" s="123" t="s">
        <v>1923</v>
      </c>
      <c r="C427" s="123"/>
      <c r="D427" s="118">
        <v>0</v>
      </c>
    </row>
    <row r="428" spans="2:5" x14ac:dyDescent="0.35">
      <c r="B428" s="123" t="s">
        <v>1793</v>
      </c>
      <c r="C428" s="123"/>
      <c r="D428" s="118">
        <f>E428/$D$418</f>
        <v>0</v>
      </c>
      <c r="E428">
        <v>0</v>
      </c>
    </row>
    <row r="429" spans="2:5" x14ac:dyDescent="0.35">
      <c r="B429" s="123" t="s">
        <v>1794</v>
      </c>
      <c r="C429" s="123"/>
      <c r="D429" s="118">
        <f>E429/$D$418</f>
        <v>0.22</v>
      </c>
      <c r="E429">
        <f>2073*0.22</f>
        <v>456.06</v>
      </c>
    </row>
    <row r="430" spans="2:5" x14ac:dyDescent="0.35">
      <c r="B430" s="123" t="s">
        <v>1795</v>
      </c>
      <c r="C430" s="123"/>
      <c r="D430" s="359"/>
      <c r="E430">
        <v>580</v>
      </c>
    </row>
    <row r="431" spans="2:5" x14ac:dyDescent="0.35">
      <c r="B431" s="123" t="s">
        <v>1796</v>
      </c>
      <c r="C431" s="123"/>
      <c r="D431" s="118">
        <f>E431/$D$418</f>
        <v>0.28999999999999998</v>
      </c>
      <c r="E431">
        <f>0.29*2073</f>
        <v>601.16999999999996</v>
      </c>
    </row>
    <row r="432" spans="2:5" x14ac:dyDescent="0.35">
      <c r="B432" s="123" t="s">
        <v>1954</v>
      </c>
      <c r="C432" s="123"/>
      <c r="D432" s="129">
        <v>0.16</v>
      </c>
    </row>
    <row r="433" spans="2:12" ht="15" thickBot="1" x14ac:dyDescent="0.4">
      <c r="B433" s="131" t="s">
        <v>1955</v>
      </c>
      <c r="C433" s="131"/>
      <c r="D433" s="127"/>
    </row>
    <row r="434" spans="2:12" x14ac:dyDescent="0.35">
      <c r="B434" s="132" t="s">
        <v>1908</v>
      </c>
      <c r="C434" s="132"/>
      <c r="D434" s="126">
        <f>D425+SUM(D426:D432)-D433</f>
        <v>4.8628991799324641</v>
      </c>
    </row>
    <row r="435" spans="2:12" ht="15" thickBot="1" x14ac:dyDescent="0.4">
      <c r="B435" s="131" t="s">
        <v>1798</v>
      </c>
      <c r="C435" s="131"/>
      <c r="D435" s="124">
        <v>5.25</v>
      </c>
    </row>
    <row r="436" spans="2:12" ht="15" thickBot="1" x14ac:dyDescent="0.4">
      <c r="B436" s="134" t="s">
        <v>1799</v>
      </c>
      <c r="C436" s="135"/>
      <c r="D436" s="128">
        <f>D435-D434</f>
        <v>0.38710082006753588</v>
      </c>
    </row>
    <row r="437" spans="2:12" x14ac:dyDescent="0.35">
      <c r="B437" s="123" t="s">
        <v>1800</v>
      </c>
      <c r="C437" s="133">
        <f>D436*D418</f>
        <v>802.46000000000186</v>
      </c>
      <c r="D437" s="133"/>
    </row>
    <row r="438" spans="2:12" x14ac:dyDescent="0.35">
      <c r="F438" s="386">
        <v>7.14</v>
      </c>
      <c r="G438" s="386">
        <v>86.7</v>
      </c>
      <c r="H438" s="386">
        <v>123</v>
      </c>
      <c r="J438" s="386">
        <v>7.14</v>
      </c>
      <c r="K438" s="386">
        <v>86.7</v>
      </c>
      <c r="L438" s="386">
        <v>0</v>
      </c>
    </row>
    <row r="439" spans="2:12" x14ac:dyDescent="0.35">
      <c r="F439" s="386">
        <v>21.47</v>
      </c>
      <c r="G439" s="386">
        <v>70</v>
      </c>
      <c r="H439" s="386">
        <v>188</v>
      </c>
      <c r="J439" s="386">
        <v>21.47</v>
      </c>
      <c r="K439" s="386">
        <v>70</v>
      </c>
      <c r="L439" s="386">
        <v>0</v>
      </c>
    </row>
    <row r="440" spans="2:12" x14ac:dyDescent="0.35">
      <c r="B440" s="387" t="str">
        <f>Ledger!$O$94</f>
        <v>Glencore FOB VLCC Jan26-30</v>
      </c>
      <c r="F440" s="122" t="str">
        <f>Ledger!$O$96</f>
        <v>Feb26 EFP 1</v>
      </c>
      <c r="J440" s="387" t="str">
        <f>Ledger!$O$95</f>
        <v>Vitol FOB Jan 28-29 EHSC</v>
      </c>
    </row>
    <row r="441" spans="2:12" x14ac:dyDescent="0.35">
      <c r="B441" s="519" t="s">
        <v>1786</v>
      </c>
      <c r="C441" s="519"/>
      <c r="D441" s="124">
        <v>1400</v>
      </c>
      <c r="F441" s="519" t="s">
        <v>1786</v>
      </c>
      <c r="G441" s="519"/>
      <c r="H441" s="124">
        <v>700</v>
      </c>
      <c r="J441" s="519" t="s">
        <v>1786</v>
      </c>
      <c r="K441" s="519"/>
      <c r="L441" s="124">
        <v>700</v>
      </c>
    </row>
    <row r="442" spans="2:12" x14ac:dyDescent="0.35">
      <c r="B442" s="519" t="s">
        <v>1963</v>
      </c>
      <c r="C442" s="519"/>
      <c r="D442" s="124">
        <v>0.74</v>
      </c>
      <c r="F442" s="519" t="s">
        <v>1963</v>
      </c>
      <c r="G442" s="519"/>
      <c r="H442" s="124">
        <v>0.7</v>
      </c>
      <c r="J442" s="519" t="s">
        <v>1963</v>
      </c>
      <c r="K442" s="519"/>
      <c r="L442" s="124">
        <v>0.74</v>
      </c>
    </row>
    <row r="443" spans="2:12" x14ac:dyDescent="0.35">
      <c r="B443" s="519" t="s">
        <v>1788</v>
      </c>
      <c r="C443" s="519"/>
      <c r="D443" s="124"/>
      <c r="F443" s="519" t="s">
        <v>1788</v>
      </c>
      <c r="G443" s="519"/>
      <c r="H443" s="124">
        <v>0.36</v>
      </c>
      <c r="J443" s="519" t="s">
        <v>1788</v>
      </c>
      <c r="K443" s="519"/>
      <c r="L443" s="124"/>
    </row>
    <row r="444" spans="2:12" ht="15" thickBot="1" x14ac:dyDescent="0.4">
      <c r="B444" s="520" t="s">
        <v>1909</v>
      </c>
      <c r="C444" s="520"/>
      <c r="D444" s="125">
        <f>D442+D443</f>
        <v>0.74</v>
      </c>
      <c r="F444" s="520" t="s">
        <v>1909</v>
      </c>
      <c r="G444" s="520"/>
      <c r="H444" s="125">
        <f>H442+H443</f>
        <v>1.06</v>
      </c>
      <c r="J444" s="520" t="s">
        <v>1909</v>
      </c>
      <c r="K444" s="520"/>
      <c r="L444" s="125">
        <f>L442+L443</f>
        <v>0.74</v>
      </c>
    </row>
    <row r="445" spans="2:12" x14ac:dyDescent="0.35">
      <c r="B445" s="521" t="s">
        <v>1961</v>
      </c>
      <c r="C445" s="521"/>
      <c r="D445" s="126">
        <v>0.22</v>
      </c>
      <c r="F445" s="521" t="s">
        <v>1961</v>
      </c>
      <c r="G445" s="521"/>
      <c r="H445" s="126"/>
      <c r="J445" s="521" t="s">
        <v>1961</v>
      </c>
      <c r="K445" s="521"/>
      <c r="L445" s="126">
        <v>0.24</v>
      </c>
    </row>
    <row r="446" spans="2:12" x14ac:dyDescent="0.35">
      <c r="B446" t="s">
        <v>1964</v>
      </c>
      <c r="D446" s="124">
        <v>0.14000000000000001</v>
      </c>
      <c r="F446" t="s">
        <v>1964</v>
      </c>
      <c r="H446" s="124"/>
      <c r="J446" t="s">
        <v>1964</v>
      </c>
      <c r="L446" s="124"/>
    </row>
    <row r="447" spans="2:12" ht="15" thickBot="1" x14ac:dyDescent="0.4">
      <c r="B447" s="131" t="s">
        <v>1965</v>
      </c>
      <c r="C447" s="131"/>
      <c r="D447" s="127">
        <v>-3.55</v>
      </c>
      <c r="F447" s="131" t="s">
        <v>1965</v>
      </c>
      <c r="G447" s="131"/>
      <c r="H447" s="127">
        <v>-3.83</v>
      </c>
      <c r="J447" s="131" t="s">
        <v>1965</v>
      </c>
      <c r="K447" s="131"/>
      <c r="L447" s="127">
        <v>-3.63</v>
      </c>
    </row>
    <row r="448" spans="2:12" x14ac:dyDescent="0.35">
      <c r="B448" s="132" t="s">
        <v>1790</v>
      </c>
      <c r="C448" s="132"/>
      <c r="D448" s="126">
        <f>SUM(D444:D447)</f>
        <v>-2.4499999999999997</v>
      </c>
      <c r="F448" s="132" t="s">
        <v>1790</v>
      </c>
      <c r="G448" s="132"/>
      <c r="H448" s="126">
        <f>SUM(H444:H447)</f>
        <v>-2.77</v>
      </c>
      <c r="J448" s="132" t="s">
        <v>1790</v>
      </c>
      <c r="K448" s="132"/>
      <c r="L448" s="126">
        <f>SUM(L444:L447)</f>
        <v>-2.65</v>
      </c>
    </row>
    <row r="449" spans="2:15" x14ac:dyDescent="0.35">
      <c r="B449" s="123" t="s">
        <v>1901</v>
      </c>
      <c r="C449" s="123"/>
      <c r="D449" s="108">
        <f>+(E449)/D441</f>
        <v>0</v>
      </c>
      <c r="F449" s="123" t="s">
        <v>1901</v>
      </c>
      <c r="G449" s="123"/>
      <c r="H449" s="108">
        <f>+(I449)/H441</f>
        <v>4.0363599999999993</v>
      </c>
      <c r="I449">
        <f>F439*G439*H439/100</f>
        <v>2825.4519999999993</v>
      </c>
      <c r="J449" s="123" t="s">
        <v>1901</v>
      </c>
      <c r="K449" s="123"/>
      <c r="L449" s="108">
        <f>+(M449)/L441</f>
        <v>0</v>
      </c>
      <c r="M449">
        <f>J439*K439*L439/100</f>
        <v>0</v>
      </c>
    </row>
    <row r="450" spans="2:15" x14ac:dyDescent="0.35">
      <c r="B450" s="123" t="s">
        <v>1923</v>
      </c>
      <c r="C450" s="123"/>
      <c r="D450" s="118">
        <v>0</v>
      </c>
      <c r="F450" s="123" t="s">
        <v>1923</v>
      </c>
      <c r="G450" s="123"/>
      <c r="H450" s="118">
        <f>+(I450)/H441</f>
        <v>1.0877382</v>
      </c>
      <c r="I450">
        <f>F438*G438*H438/100</f>
        <v>761.41674</v>
      </c>
      <c r="J450" s="123" t="s">
        <v>1923</v>
      </c>
      <c r="K450" s="123"/>
      <c r="L450" s="118">
        <f>+(M450)/L441</f>
        <v>0</v>
      </c>
      <c r="M450">
        <f>J438*K438*L438/100</f>
        <v>0</v>
      </c>
    </row>
    <row r="451" spans="2:15" x14ac:dyDescent="0.35">
      <c r="B451" s="123" t="s">
        <v>1793</v>
      </c>
      <c r="F451" s="123" t="s">
        <v>1793</v>
      </c>
      <c r="G451" s="123"/>
      <c r="H451" s="118"/>
      <c r="J451" s="123" t="s">
        <v>1793</v>
      </c>
      <c r="K451" s="123"/>
      <c r="L451" s="118"/>
    </row>
    <row r="452" spans="2:15" x14ac:dyDescent="0.35">
      <c r="B452" s="123" t="s">
        <v>1794</v>
      </c>
      <c r="C452" s="123"/>
      <c r="D452" s="118"/>
      <c r="F452" s="123" t="s">
        <v>1794</v>
      </c>
      <c r="G452" s="123"/>
      <c r="H452" s="118"/>
      <c r="J452" s="123" t="s">
        <v>1794</v>
      </c>
      <c r="K452" s="123"/>
      <c r="L452" s="118"/>
    </row>
    <row r="453" spans="2:15" x14ac:dyDescent="0.35">
      <c r="B453" s="123" t="s">
        <v>1795</v>
      </c>
      <c r="C453" s="123"/>
      <c r="D453" s="166"/>
      <c r="F453" s="123" t="s">
        <v>1795</v>
      </c>
      <c r="G453" s="123"/>
      <c r="H453" s="166"/>
      <c r="J453" s="123" t="s">
        <v>1795</v>
      </c>
      <c r="K453" s="123"/>
      <c r="L453" s="166"/>
    </row>
    <row r="454" spans="2:15" x14ac:dyDescent="0.35">
      <c r="B454" s="123" t="s">
        <v>1796</v>
      </c>
      <c r="C454" s="123"/>
      <c r="D454" s="118"/>
      <c r="F454" s="123" t="s">
        <v>1796</v>
      </c>
      <c r="G454" s="123"/>
      <c r="H454" s="118"/>
      <c r="J454" s="123" t="s">
        <v>1796</v>
      </c>
      <c r="K454" s="123"/>
      <c r="L454" s="118"/>
    </row>
    <row r="455" spans="2:15" x14ac:dyDescent="0.35">
      <c r="B455" s="123" t="s">
        <v>1966</v>
      </c>
      <c r="C455" s="123"/>
      <c r="D455" s="129"/>
      <c r="F455" s="123" t="s">
        <v>1966</v>
      </c>
      <c r="G455" s="123"/>
      <c r="H455" s="129"/>
      <c r="J455" s="123" t="s">
        <v>1966</v>
      </c>
      <c r="K455" s="123"/>
      <c r="L455" s="129"/>
    </row>
    <row r="456" spans="2:15" ht="15" thickBot="1" x14ac:dyDescent="0.4">
      <c r="B456" s="131" t="s">
        <v>1955</v>
      </c>
      <c r="C456" s="131"/>
      <c r="D456" s="127"/>
      <c r="F456" s="131" t="s">
        <v>1955</v>
      </c>
      <c r="G456" s="131"/>
      <c r="H456" s="127"/>
      <c r="J456" s="131" t="s">
        <v>1955</v>
      </c>
      <c r="K456" s="131"/>
      <c r="L456" s="127"/>
    </row>
    <row r="457" spans="2:15" x14ac:dyDescent="0.35">
      <c r="B457" s="132" t="s">
        <v>1908</v>
      </c>
      <c r="C457" s="132"/>
      <c r="D457" s="126">
        <f>D448+SUM(D449:D455)-D456</f>
        <v>-2.4499999999999997</v>
      </c>
      <c r="F457" s="132" t="s">
        <v>1908</v>
      </c>
      <c r="G457" s="132"/>
      <c r="H457" s="126">
        <f>H448+H449-H450+SUM(H451:H455)-H456</f>
        <v>0.17862179999999928</v>
      </c>
      <c r="J457" s="132" t="s">
        <v>1908</v>
      </c>
      <c r="K457" s="132"/>
      <c r="L457" s="126">
        <f>L448+L449-L450+SUM(L451:L455)-L456</f>
        <v>-2.65</v>
      </c>
    </row>
    <row r="458" spans="2:15" ht="15" thickBot="1" x14ac:dyDescent="0.4">
      <c r="B458" s="131" t="s">
        <v>1798</v>
      </c>
      <c r="C458" s="131"/>
      <c r="D458" s="124">
        <v>-2.02</v>
      </c>
      <c r="F458" s="131" t="s">
        <v>1798</v>
      </c>
      <c r="G458" s="131"/>
      <c r="H458" s="124">
        <v>0.01</v>
      </c>
      <c r="J458" s="131" t="s">
        <v>1798</v>
      </c>
      <c r="K458" s="131"/>
      <c r="L458" s="124">
        <v>-2.3199999999999998</v>
      </c>
    </row>
    <row r="459" spans="2:15" ht="15" thickBot="1" x14ac:dyDescent="0.4">
      <c r="B459" s="134" t="s">
        <v>1799</v>
      </c>
      <c r="C459" s="135"/>
      <c r="D459" s="128">
        <f>D458-D457</f>
        <v>0.42999999999999972</v>
      </c>
      <c r="F459" s="134" t="s">
        <v>1799</v>
      </c>
      <c r="G459" s="135"/>
      <c r="H459" s="128">
        <f>H458-H457</f>
        <v>-0.16862179999999927</v>
      </c>
      <c r="J459" s="134" t="s">
        <v>1799</v>
      </c>
      <c r="K459" s="135"/>
      <c r="L459" s="128">
        <f>L458-L457</f>
        <v>0.33000000000000007</v>
      </c>
    </row>
    <row r="460" spans="2:15" x14ac:dyDescent="0.35">
      <c r="B460" s="123" t="s">
        <v>1800</v>
      </c>
      <c r="C460" s="133">
        <f>D459*D441</f>
        <v>601.99999999999955</v>
      </c>
      <c r="D460" s="133"/>
      <c r="F460" s="123" t="s">
        <v>1800</v>
      </c>
      <c r="G460" s="133">
        <f>H459*H441</f>
        <v>-118.03525999999948</v>
      </c>
      <c r="H460" s="133"/>
      <c r="J460" s="123" t="s">
        <v>1800</v>
      </c>
      <c r="L460" s="133">
        <f>L459*L441</f>
        <v>231.00000000000006</v>
      </c>
    </row>
    <row r="464" spans="2:15" x14ac:dyDescent="0.35">
      <c r="B464" s="122" t="str">
        <f>Ledger!$O$97</f>
        <v>Dangote VLCC March 15-25</v>
      </c>
      <c r="G464" s="122" t="s">
        <v>1727</v>
      </c>
      <c r="K464" s="122" t="str">
        <f>Ledger!$O$99</f>
        <v>P66 FOB March 9-14</v>
      </c>
      <c r="O464" s="122" t="str">
        <f>Ledger!O100</f>
        <v>Vitol CIF CCLZ Feb 17</v>
      </c>
    </row>
    <row r="465" spans="2:18" x14ac:dyDescent="0.35">
      <c r="B465" s="519" t="s">
        <v>1786</v>
      </c>
      <c r="C465" s="519"/>
      <c r="D465" s="124">
        <v>2072</v>
      </c>
      <c r="G465" s="519" t="s">
        <v>1786</v>
      </c>
      <c r="H465" s="519"/>
      <c r="I465" s="124">
        <v>700</v>
      </c>
      <c r="K465" s="519" t="s">
        <v>1786</v>
      </c>
      <c r="L465" s="519"/>
      <c r="M465" s="124">
        <v>700</v>
      </c>
      <c r="O465" s="519" t="s">
        <v>1786</v>
      </c>
      <c r="P465" s="519"/>
      <c r="Q465" s="124">
        <v>700</v>
      </c>
    </row>
    <row r="466" spans="2:18" x14ac:dyDescent="0.35">
      <c r="B466" s="519" t="s">
        <v>1963</v>
      </c>
      <c r="C466" s="519"/>
      <c r="D466" s="124">
        <v>0.95</v>
      </c>
      <c r="G466" s="519" t="s">
        <v>44</v>
      </c>
      <c r="H466" s="519"/>
      <c r="I466" s="124">
        <v>0.95</v>
      </c>
      <c r="K466" s="519" t="s">
        <v>44</v>
      </c>
      <c r="L466" s="519"/>
      <c r="M466" s="124">
        <v>1</v>
      </c>
      <c r="O466" s="519" t="s">
        <v>44</v>
      </c>
      <c r="P466" s="519"/>
      <c r="Q466" s="124">
        <v>1.05</v>
      </c>
    </row>
    <row r="467" spans="2:18" x14ac:dyDescent="0.35">
      <c r="B467" s="519" t="s">
        <v>1788</v>
      </c>
      <c r="C467" s="519"/>
      <c r="D467" s="124">
        <v>0.37</v>
      </c>
      <c r="G467" s="519" t="s">
        <v>1788</v>
      </c>
      <c r="H467" s="519"/>
      <c r="I467" s="124">
        <v>0.15</v>
      </c>
      <c r="K467" s="519" t="s">
        <v>1788</v>
      </c>
      <c r="L467" s="519"/>
      <c r="M467" s="124">
        <v>0.3</v>
      </c>
      <c r="O467" s="519" t="s">
        <v>1788</v>
      </c>
      <c r="P467" s="519"/>
      <c r="Q467" s="124">
        <v>0.15</v>
      </c>
    </row>
    <row r="468" spans="2:18" ht="15" thickBot="1" x14ac:dyDescent="0.4">
      <c r="B468" s="520" t="s">
        <v>1909</v>
      </c>
      <c r="C468" s="520"/>
      <c r="D468" s="125">
        <f>D466+D467</f>
        <v>1.3199999999999998</v>
      </c>
      <c r="G468" s="520" t="s">
        <v>1967</v>
      </c>
      <c r="H468" s="520"/>
      <c r="I468" s="125">
        <f>I466+I467</f>
        <v>1.0999999999999999</v>
      </c>
      <c r="K468" s="520" t="s">
        <v>1967</v>
      </c>
      <c r="L468" s="520"/>
      <c r="M468" s="125">
        <f>M466+M467</f>
        <v>1.3</v>
      </c>
      <c r="O468" s="520" t="s">
        <v>1967</v>
      </c>
      <c r="P468" s="520"/>
      <c r="Q468" s="125">
        <f>Q466+Q467</f>
        <v>1.2</v>
      </c>
    </row>
    <row r="469" spans="2:18" x14ac:dyDescent="0.35">
      <c r="B469" s="521" t="s">
        <v>1961</v>
      </c>
      <c r="C469" s="521"/>
      <c r="D469" s="126">
        <v>0.13</v>
      </c>
      <c r="G469" s="521" t="s">
        <v>1961</v>
      </c>
      <c r="H469" s="521"/>
      <c r="I469" s="126">
        <v>0.24</v>
      </c>
      <c r="K469" s="521" t="s">
        <v>1961</v>
      </c>
      <c r="L469" s="521"/>
      <c r="M469" s="126">
        <v>0.28999999999999998</v>
      </c>
      <c r="O469" s="521" t="s">
        <v>1961</v>
      </c>
      <c r="P469" s="521"/>
      <c r="Q469" s="126">
        <v>0.35</v>
      </c>
    </row>
    <row r="470" spans="2:18" x14ac:dyDescent="0.35">
      <c r="B470" t="s">
        <v>1964</v>
      </c>
      <c r="D470" s="124">
        <v>0.13</v>
      </c>
      <c r="G470" t="s">
        <v>1964</v>
      </c>
      <c r="I470" s="124"/>
      <c r="K470" t="s">
        <v>1964</v>
      </c>
      <c r="M470" s="124">
        <v>0.26</v>
      </c>
      <c r="O470" t="s">
        <v>1964</v>
      </c>
      <c r="Q470" s="124"/>
    </row>
    <row r="471" spans="2:18" ht="15" thickBot="1" x14ac:dyDescent="0.4">
      <c r="B471" s="131" t="s">
        <v>1965</v>
      </c>
      <c r="C471" s="131"/>
      <c r="D471" s="127">
        <v>-3.89</v>
      </c>
      <c r="G471" s="131" t="s">
        <v>1965</v>
      </c>
      <c r="H471" s="131"/>
      <c r="I471" s="127">
        <v>-4.3</v>
      </c>
      <c r="K471" s="131" t="s">
        <v>1965</v>
      </c>
      <c r="L471" s="131"/>
      <c r="M471" s="127">
        <v>-4.09</v>
      </c>
      <c r="O471" s="131" t="s">
        <v>1965</v>
      </c>
      <c r="P471" s="131"/>
      <c r="Q471" s="127">
        <v>-4.49</v>
      </c>
    </row>
    <row r="472" spans="2:18" x14ac:dyDescent="0.35">
      <c r="B472" s="132" t="s">
        <v>1790</v>
      </c>
      <c r="C472" s="132"/>
      <c r="D472" s="126">
        <f>SUM(D468:D471)</f>
        <v>-2.3100000000000005</v>
      </c>
      <c r="G472" s="132" t="s">
        <v>1790</v>
      </c>
      <c r="H472" s="132"/>
      <c r="I472" s="126">
        <f>SUM(I468:I471)</f>
        <v>-2.96</v>
      </c>
      <c r="K472" s="132" t="s">
        <v>1790</v>
      </c>
      <c r="L472" s="132"/>
      <c r="M472" s="126">
        <f>SUM(M468:M471)</f>
        <v>-2.2399999999999998</v>
      </c>
      <c r="O472" s="132" t="s">
        <v>1790</v>
      </c>
      <c r="P472" s="132"/>
      <c r="Q472" s="126">
        <f>SUM(Q468:Q471)</f>
        <v>-2.9400000000000004</v>
      </c>
    </row>
    <row r="473" spans="2:18" x14ac:dyDescent="0.35">
      <c r="B473" s="123" t="s">
        <v>1901</v>
      </c>
      <c r="C473" s="123"/>
      <c r="D473" s="108">
        <f>+(E473)/$D$465</f>
        <v>2.3407335907335907</v>
      </c>
      <c r="E473">
        <v>4850</v>
      </c>
      <c r="G473" s="123" t="s">
        <v>1901</v>
      </c>
      <c r="H473" s="123"/>
      <c r="I473" s="108">
        <f>+(J473)/$D$465</f>
        <v>0</v>
      </c>
      <c r="J473">
        <v>0</v>
      </c>
      <c r="K473" s="123" t="s">
        <v>1901</v>
      </c>
      <c r="L473" s="123"/>
      <c r="M473" s="108">
        <f>+(N473)/$D$465</f>
        <v>0</v>
      </c>
      <c r="N473">
        <v>0</v>
      </c>
      <c r="O473" s="123" t="s">
        <v>1901</v>
      </c>
      <c r="P473" s="123"/>
      <c r="Q473" s="108">
        <f>+(R473)/$Q$465</f>
        <v>0.66428571428571426</v>
      </c>
      <c r="R473">
        <v>465</v>
      </c>
    </row>
    <row r="474" spans="2:18" x14ac:dyDescent="0.35">
      <c r="B474" s="123" t="s">
        <v>1923</v>
      </c>
      <c r="C474" s="123"/>
      <c r="D474" s="118">
        <f t="shared" ref="D474:D478" si="16">+(E474)/$D$465</f>
        <v>0</v>
      </c>
      <c r="G474" s="123" t="s">
        <v>1923</v>
      </c>
      <c r="H474" s="123"/>
      <c r="I474" s="118">
        <f t="shared" ref="I474:I478" si="17">+(J474)/$D$465</f>
        <v>0</v>
      </c>
      <c r="J474">
        <v>0</v>
      </c>
      <c r="K474" s="123" t="s">
        <v>1923</v>
      </c>
      <c r="L474" s="123"/>
      <c r="M474" s="118">
        <f t="shared" ref="M474:M478" si="18">+(N474)/$D$465</f>
        <v>0</v>
      </c>
      <c r="N474">
        <v>0</v>
      </c>
      <c r="O474" s="123" t="s">
        <v>1923</v>
      </c>
      <c r="P474" s="123"/>
      <c r="Q474" s="118">
        <f t="shared" ref="Q474:Q478" si="19">+(R474)/$D$465</f>
        <v>0</v>
      </c>
      <c r="R474">
        <v>0</v>
      </c>
    </row>
    <row r="475" spans="2:18" x14ac:dyDescent="0.35">
      <c r="B475" s="123" t="s">
        <v>1793</v>
      </c>
      <c r="C475" s="123"/>
      <c r="D475" s="118">
        <f t="shared" si="16"/>
        <v>7.7220077220077218E-2</v>
      </c>
      <c r="E475">
        <v>160</v>
      </c>
      <c r="G475" s="123" t="s">
        <v>1793</v>
      </c>
      <c r="H475" s="123"/>
      <c r="I475" s="118">
        <f t="shared" si="17"/>
        <v>0</v>
      </c>
      <c r="J475">
        <v>0</v>
      </c>
      <c r="K475" s="123" t="s">
        <v>1793</v>
      </c>
      <c r="L475" s="123"/>
      <c r="M475" s="118">
        <f t="shared" si="18"/>
        <v>0</v>
      </c>
      <c r="N475">
        <v>0</v>
      </c>
      <c r="O475" s="123" t="s">
        <v>1793</v>
      </c>
      <c r="P475" s="123"/>
      <c r="Q475" s="118">
        <f t="shared" si="19"/>
        <v>0</v>
      </c>
      <c r="R475">
        <v>0</v>
      </c>
    </row>
    <row r="476" spans="2:18" x14ac:dyDescent="0.35">
      <c r="B476" s="123" t="s">
        <v>1794</v>
      </c>
      <c r="C476" s="123"/>
      <c r="D476" s="118">
        <f t="shared" si="16"/>
        <v>0.21718146718146719</v>
      </c>
      <c r="E476">
        <v>450</v>
      </c>
      <c r="G476" s="123" t="s">
        <v>1794</v>
      </c>
      <c r="H476" s="123"/>
      <c r="I476" s="118">
        <f t="shared" si="17"/>
        <v>0</v>
      </c>
      <c r="J476">
        <v>0</v>
      </c>
      <c r="K476" s="123" t="s">
        <v>1794</v>
      </c>
      <c r="L476" s="123"/>
      <c r="M476" s="118">
        <f t="shared" si="18"/>
        <v>0</v>
      </c>
      <c r="N476">
        <v>0</v>
      </c>
      <c r="O476" s="123" t="s">
        <v>1794</v>
      </c>
      <c r="P476" s="123"/>
      <c r="Q476" s="118">
        <f t="shared" si="19"/>
        <v>0</v>
      </c>
      <c r="R476">
        <v>0</v>
      </c>
    </row>
    <row r="477" spans="2:18" x14ac:dyDescent="0.35">
      <c r="B477" s="123" t="s">
        <v>1795</v>
      </c>
      <c r="C477" s="123"/>
      <c r="D477" s="166">
        <f t="shared" si="16"/>
        <v>0</v>
      </c>
      <c r="E477">
        <v>0</v>
      </c>
      <c r="G477" s="123" t="s">
        <v>1795</v>
      </c>
      <c r="H477" s="123"/>
      <c r="I477" s="166">
        <f t="shared" si="17"/>
        <v>0</v>
      </c>
      <c r="J477">
        <v>0</v>
      </c>
      <c r="K477" s="123" t="s">
        <v>1795</v>
      </c>
      <c r="L477" s="123"/>
      <c r="M477" s="166">
        <f t="shared" si="18"/>
        <v>0</v>
      </c>
      <c r="N477">
        <v>0</v>
      </c>
      <c r="O477" s="123" t="s">
        <v>1795</v>
      </c>
      <c r="P477" s="123"/>
      <c r="Q477" s="166">
        <f t="shared" si="19"/>
        <v>0</v>
      </c>
      <c r="R477">
        <v>0</v>
      </c>
    </row>
    <row r="478" spans="2:18" x14ac:dyDescent="0.35">
      <c r="B478" s="123" t="s">
        <v>1796</v>
      </c>
      <c r="C478" s="123"/>
      <c r="D478" s="118">
        <f t="shared" si="16"/>
        <v>0.55791505791505791</v>
      </c>
      <c r="E478">
        <v>1156</v>
      </c>
      <c r="G478" s="123" t="s">
        <v>1796</v>
      </c>
      <c r="H478" s="123"/>
      <c r="I478" s="118">
        <f t="shared" si="17"/>
        <v>0</v>
      </c>
      <c r="J478">
        <v>0</v>
      </c>
      <c r="K478" s="123" t="s">
        <v>1796</v>
      </c>
      <c r="L478" s="123"/>
      <c r="M478" s="118">
        <f t="shared" si="18"/>
        <v>0</v>
      </c>
      <c r="N478">
        <v>0</v>
      </c>
      <c r="O478" s="123" t="s">
        <v>1796</v>
      </c>
      <c r="P478" s="123"/>
      <c r="Q478" s="118">
        <f t="shared" si="19"/>
        <v>0</v>
      </c>
      <c r="R478">
        <v>0</v>
      </c>
    </row>
    <row r="479" spans="2:18" x14ac:dyDescent="0.35">
      <c r="B479" s="123" t="s">
        <v>1968</v>
      </c>
      <c r="C479" s="123"/>
      <c r="D479" s="129">
        <v>0.26</v>
      </c>
      <c r="G479" s="123" t="s">
        <v>1968</v>
      </c>
      <c r="H479" s="123"/>
      <c r="I479" s="129"/>
      <c r="K479" s="123" t="s">
        <v>1968</v>
      </c>
      <c r="L479" s="123"/>
      <c r="M479" s="129"/>
      <c r="O479" s="123" t="s">
        <v>1968</v>
      </c>
      <c r="P479" s="123"/>
      <c r="Q479" s="129"/>
    </row>
    <row r="480" spans="2:18" ht="15" thickBot="1" x14ac:dyDescent="0.4">
      <c r="B480" s="131" t="s">
        <v>1955</v>
      </c>
      <c r="C480" s="131"/>
      <c r="D480" s="127">
        <v>0.31</v>
      </c>
      <c r="G480" s="131" t="s">
        <v>1955</v>
      </c>
      <c r="H480" s="131"/>
      <c r="I480" s="127"/>
      <c r="K480" s="131" t="s">
        <v>1955</v>
      </c>
      <c r="L480" s="131"/>
      <c r="M480" s="127"/>
      <c r="O480" s="131" t="s">
        <v>1955</v>
      </c>
      <c r="P480" s="131"/>
      <c r="Q480" s="127"/>
    </row>
    <row r="481" spans="1:17" x14ac:dyDescent="0.35">
      <c r="B481" s="132" t="s">
        <v>1908</v>
      </c>
      <c r="C481" s="132"/>
      <c r="D481" s="126">
        <f>D472+D473-D474+D475+D476+D477+D478+D479-D480</f>
        <v>0.83305019305019234</v>
      </c>
      <c r="G481" s="132" t="s">
        <v>1908</v>
      </c>
      <c r="H481" s="132"/>
      <c r="I481" s="126">
        <f>I472+I473-I474+I475+I476+I477+I478+I479-I480</f>
        <v>-2.96</v>
      </c>
      <c r="K481" s="132" t="s">
        <v>1908</v>
      </c>
      <c r="L481" s="132"/>
      <c r="M481" s="126">
        <f>M472+M473-M474+M475+M476+M477+M478+M479-M480</f>
        <v>-2.2399999999999998</v>
      </c>
      <c r="O481" s="132" t="s">
        <v>1908</v>
      </c>
      <c r="P481" s="132"/>
      <c r="Q481" s="126">
        <f>Q472+Q473-Q474+Q475+Q476+Q477+Q478+Q479-Q480</f>
        <v>-2.2757142857142862</v>
      </c>
    </row>
    <row r="482" spans="1:17" ht="15" thickBot="1" x14ac:dyDescent="0.4">
      <c r="B482" s="131" t="s">
        <v>1798</v>
      </c>
      <c r="C482" s="131"/>
      <c r="D482" s="124">
        <v>1.08</v>
      </c>
      <c r="G482" s="131" t="s">
        <v>1798</v>
      </c>
      <c r="H482" s="131"/>
      <c r="I482" s="124">
        <v>-2.9</v>
      </c>
      <c r="K482" s="131" t="s">
        <v>1798</v>
      </c>
      <c r="L482" s="131"/>
      <c r="M482" s="124">
        <v>-2.2200000000000002</v>
      </c>
      <c r="O482" s="131" t="s">
        <v>1798</v>
      </c>
      <c r="P482" s="131"/>
      <c r="Q482" s="124">
        <v>-2.25</v>
      </c>
    </row>
    <row r="483" spans="1:17" ht="15" thickBot="1" x14ac:dyDescent="0.4">
      <c r="B483" s="134" t="s">
        <v>1799</v>
      </c>
      <c r="C483" s="135"/>
      <c r="D483" s="128">
        <f>D482-D481</f>
        <v>0.24694980694980773</v>
      </c>
      <c r="G483" s="134" t="s">
        <v>1799</v>
      </c>
      <c r="H483" s="135"/>
      <c r="I483" s="128">
        <f>I482-I481</f>
        <v>6.0000000000000053E-2</v>
      </c>
      <c r="K483" s="134" t="s">
        <v>1799</v>
      </c>
      <c r="L483" s="135"/>
      <c r="M483" s="128">
        <f>M482-M481</f>
        <v>1.9999999999999574E-2</v>
      </c>
      <c r="O483" s="134" t="s">
        <v>1799</v>
      </c>
      <c r="P483" s="135"/>
      <c r="Q483" s="128">
        <f>Q482-Q481</f>
        <v>2.5714285714286245E-2</v>
      </c>
    </row>
    <row r="484" spans="1:17" x14ac:dyDescent="0.35">
      <c r="B484" s="123" t="s">
        <v>1800</v>
      </c>
      <c r="C484" s="133">
        <f>D483*D465</f>
        <v>511.6800000000016</v>
      </c>
      <c r="D484" s="133"/>
      <c r="G484" s="123" t="s">
        <v>1800</v>
      </c>
      <c r="H484" s="133">
        <f>I483*I465</f>
        <v>42.000000000000036</v>
      </c>
      <c r="I484" s="133"/>
      <c r="K484" s="123" t="s">
        <v>1800</v>
      </c>
      <c r="L484" s="133">
        <f>M483*M465</f>
        <v>13.999999999999702</v>
      </c>
      <c r="M484" s="133"/>
      <c r="O484" s="123" t="s">
        <v>1800</v>
      </c>
      <c r="P484" s="133">
        <f>Q483*Q465</f>
        <v>18.000000000000369</v>
      </c>
      <c r="Q484" s="133"/>
    </row>
    <row r="488" spans="1:17" x14ac:dyDescent="0.35">
      <c r="A488" s="16">
        <v>46055</v>
      </c>
      <c r="G488" s="16">
        <v>46055</v>
      </c>
    </row>
    <row r="489" spans="1:17" x14ac:dyDescent="0.35">
      <c r="A489" s="122" t="str">
        <f>Ledger!O101</f>
        <v>HDO May 1-10 WTI+WTL</v>
      </c>
      <c r="C489" s="124">
        <v>2100</v>
      </c>
      <c r="G489" s="122" t="str">
        <f>Ledger!O102</f>
        <v>Gunvor FOB Feb28-01</v>
      </c>
    </row>
    <row r="490" spans="1:17" x14ac:dyDescent="0.35">
      <c r="A490" s="123" t="s">
        <v>1786</v>
      </c>
      <c r="B490" s="123"/>
      <c r="C490">
        <f>'Trades 2026'!H255</f>
        <v>2130</v>
      </c>
      <c r="D490">
        <v>700</v>
      </c>
      <c r="G490" s="519" t="s">
        <v>1786</v>
      </c>
      <c r="H490" s="519"/>
      <c r="I490" s="124">
        <v>700</v>
      </c>
    </row>
    <row r="491" spans="1:17" x14ac:dyDescent="0.35">
      <c r="A491" s="123" t="s">
        <v>1963</v>
      </c>
      <c r="B491" s="123"/>
      <c r="C491" s="124">
        <v>1.1499999999999999</v>
      </c>
      <c r="D491" s="124">
        <v>1.25</v>
      </c>
      <c r="G491" s="519" t="s">
        <v>1963</v>
      </c>
      <c r="H491" s="519"/>
      <c r="I491" s="124">
        <v>1.1499999999999999</v>
      </c>
    </row>
    <row r="492" spans="1:17" x14ac:dyDescent="0.35">
      <c r="A492" s="123" t="s">
        <v>1788</v>
      </c>
      <c r="B492" s="123"/>
      <c r="C492" s="124">
        <v>0.5</v>
      </c>
      <c r="D492" s="124">
        <v>0.25</v>
      </c>
      <c r="G492" s="519" t="s">
        <v>1788</v>
      </c>
      <c r="H492" s="519"/>
      <c r="I492" s="124">
        <v>0.4</v>
      </c>
    </row>
    <row r="493" spans="1:17" ht="15" thickBot="1" x14ac:dyDescent="0.4">
      <c r="A493" s="131" t="s">
        <v>1909</v>
      </c>
      <c r="B493" s="131"/>
      <c r="C493" s="125">
        <f>C491+C492</f>
        <v>1.65</v>
      </c>
      <c r="D493" s="125">
        <f>D491+D492</f>
        <v>1.5</v>
      </c>
      <c r="G493" s="520" t="s">
        <v>1909</v>
      </c>
      <c r="H493" s="520"/>
      <c r="I493" s="125">
        <f>I491+I492</f>
        <v>1.5499999999999998</v>
      </c>
    </row>
    <row r="494" spans="1:17" x14ac:dyDescent="0.35">
      <c r="A494" s="371" t="s">
        <v>1964</v>
      </c>
      <c r="B494" s="371"/>
      <c r="C494" s="126">
        <v>0.43</v>
      </c>
      <c r="D494" s="126">
        <v>0.43</v>
      </c>
      <c r="G494" s="371" t="s">
        <v>1964</v>
      </c>
      <c r="H494" s="371"/>
      <c r="I494" s="126">
        <v>0.42</v>
      </c>
    </row>
    <row r="495" spans="1:17" x14ac:dyDescent="0.35">
      <c r="A495" t="s">
        <v>1882</v>
      </c>
      <c r="C495" s="124">
        <v>0.37</v>
      </c>
      <c r="D495" s="124">
        <v>0.37</v>
      </c>
      <c r="G495" t="s">
        <v>1882</v>
      </c>
      <c r="I495" s="124"/>
    </row>
    <row r="496" spans="1:17" ht="15" thickBot="1" x14ac:dyDescent="0.4">
      <c r="A496" s="131" t="s">
        <v>1969</v>
      </c>
      <c r="B496" s="131"/>
      <c r="C496" s="127">
        <v>-4.25</v>
      </c>
      <c r="D496" s="127">
        <v>-4.25</v>
      </c>
      <c r="G496" s="131" t="s">
        <v>1969</v>
      </c>
      <c r="H496" s="131"/>
      <c r="I496" s="127">
        <v>-4.58</v>
      </c>
    </row>
    <row r="497" spans="1:10" x14ac:dyDescent="0.35">
      <c r="A497" s="132" t="s">
        <v>1790</v>
      </c>
      <c r="B497" s="132"/>
      <c r="C497" s="126">
        <f>SUM(C493:C496)</f>
        <v>-1.7999999999999998</v>
      </c>
      <c r="D497" s="126">
        <f>SUM(D493:D496)</f>
        <v>-1.9500000000000002</v>
      </c>
      <c r="G497" s="132" t="s">
        <v>1790</v>
      </c>
      <c r="H497" s="132"/>
      <c r="I497" s="126">
        <f>SUM(I493:I496)</f>
        <v>-2.6100000000000003</v>
      </c>
    </row>
    <row r="498" spans="1:10" x14ac:dyDescent="0.35">
      <c r="A498" s="123" t="s">
        <v>1901</v>
      </c>
      <c r="B498" s="123"/>
      <c r="C498" s="108">
        <f>+(E498)/$C$489</f>
        <v>6.9047619047619051</v>
      </c>
      <c r="D498" s="108">
        <f t="shared" ref="D498:D504" si="20">C498</f>
        <v>6.9047619047619051</v>
      </c>
      <c r="E498" s="102">
        <v>14500</v>
      </c>
      <c r="G498" s="123" t="s">
        <v>1901</v>
      </c>
      <c r="H498" s="123"/>
      <c r="I498" s="108">
        <f t="shared" ref="I498:I503" si="21">+(J498)/$D$465</f>
        <v>0</v>
      </c>
      <c r="J498">
        <v>0</v>
      </c>
    </row>
    <row r="499" spans="1:10" x14ac:dyDescent="0.35">
      <c r="A499" s="123" t="s">
        <v>1923</v>
      </c>
      <c r="B499" s="123"/>
      <c r="C499" s="118">
        <f>+(E499)/$D$465</f>
        <v>0</v>
      </c>
      <c r="D499" s="118">
        <f t="shared" si="20"/>
        <v>0</v>
      </c>
      <c r="E499" s="102"/>
      <c r="G499" s="123" t="s">
        <v>1923</v>
      </c>
      <c r="H499" s="123"/>
      <c r="I499" s="118">
        <f t="shared" si="21"/>
        <v>0</v>
      </c>
    </row>
    <row r="500" spans="1:10" x14ac:dyDescent="0.35">
      <c r="A500" s="123" t="s">
        <v>1793</v>
      </c>
      <c r="B500" s="123"/>
      <c r="C500" s="118">
        <f>+(E500)/$C$489</f>
        <v>7.6190476190476197E-2</v>
      </c>
      <c r="D500" s="118">
        <f t="shared" si="20"/>
        <v>7.6190476190476197E-2</v>
      </c>
      <c r="E500" s="102">
        <v>160</v>
      </c>
      <c r="G500" s="123" t="s">
        <v>1793</v>
      </c>
      <c r="H500" s="123"/>
      <c r="I500" s="118">
        <f t="shared" si="21"/>
        <v>0</v>
      </c>
      <c r="J500">
        <f>+K500/1000</f>
        <v>0</v>
      </c>
    </row>
    <row r="501" spans="1:10" x14ac:dyDescent="0.35">
      <c r="A501" s="123" t="s">
        <v>1794</v>
      </c>
      <c r="B501" s="123"/>
      <c r="C501" s="118">
        <f>+(E501)/$C$489</f>
        <v>0.21428571428571427</v>
      </c>
      <c r="D501" s="118">
        <f t="shared" si="20"/>
        <v>0.21428571428571427</v>
      </c>
      <c r="E501" s="102">
        <v>450</v>
      </c>
      <c r="G501" s="123" t="s">
        <v>1794</v>
      </c>
      <c r="H501" s="123"/>
      <c r="I501" s="118">
        <f t="shared" si="21"/>
        <v>0</v>
      </c>
      <c r="J501">
        <f t="shared" ref="J501:J503" si="22">+K501/1000</f>
        <v>0</v>
      </c>
    </row>
    <row r="502" spans="1:10" x14ac:dyDescent="0.35">
      <c r="A502" s="123" t="s">
        <v>1795</v>
      </c>
      <c r="B502" s="123"/>
      <c r="C502" s="166">
        <f>+(E502)/$C$489</f>
        <v>0.3</v>
      </c>
      <c r="D502" s="166">
        <f t="shared" si="20"/>
        <v>0.3</v>
      </c>
      <c r="E502" s="102">
        <v>630</v>
      </c>
      <c r="G502" s="123" t="s">
        <v>1795</v>
      </c>
      <c r="H502" s="123"/>
      <c r="I502" s="166">
        <f t="shared" si="21"/>
        <v>0</v>
      </c>
      <c r="J502">
        <f t="shared" si="22"/>
        <v>0</v>
      </c>
    </row>
    <row r="503" spans="1:10" x14ac:dyDescent="0.35">
      <c r="A503" s="123" t="s">
        <v>1796</v>
      </c>
      <c r="B503" s="123"/>
      <c r="C503" s="118">
        <f>+(E503)/$C$489</f>
        <v>0.19999999999999987</v>
      </c>
      <c r="D503" s="118">
        <f t="shared" si="20"/>
        <v>0.19999999999999987</v>
      </c>
      <c r="E503" s="102">
        <v>419.99999999999972</v>
      </c>
      <c r="G503" s="123" t="s">
        <v>1796</v>
      </c>
      <c r="H503" s="123"/>
      <c r="I503" s="118">
        <f t="shared" si="21"/>
        <v>0</v>
      </c>
      <c r="J503">
        <f t="shared" si="22"/>
        <v>0</v>
      </c>
    </row>
    <row r="504" spans="1:10" x14ac:dyDescent="0.35">
      <c r="A504" s="123" t="s">
        <v>1968</v>
      </c>
      <c r="B504" s="123"/>
      <c r="C504" s="129">
        <v>0.56999999999999995</v>
      </c>
      <c r="D504" s="129">
        <f t="shared" si="20"/>
        <v>0.56999999999999995</v>
      </c>
      <c r="G504" s="123" t="s">
        <v>1968</v>
      </c>
      <c r="H504" s="123"/>
      <c r="I504" s="129">
        <v>0</v>
      </c>
    </row>
    <row r="505" spans="1:10" ht="15" thickBot="1" x14ac:dyDescent="0.4">
      <c r="A505" s="131" t="s">
        <v>1955</v>
      </c>
      <c r="B505" s="131"/>
      <c r="C505" s="127"/>
      <c r="D505" s="127"/>
      <c r="G505" s="131" t="s">
        <v>1955</v>
      </c>
      <c r="H505" s="131"/>
      <c r="I505" s="127"/>
    </row>
    <row r="506" spans="1:10" x14ac:dyDescent="0.35">
      <c r="A506" s="132" t="s">
        <v>1908</v>
      </c>
      <c r="B506" s="132"/>
      <c r="C506" s="126">
        <f>C497+C498-C499+C500+C501+C502+C503+C504-C505</f>
        <v>6.4652380952380959</v>
      </c>
      <c r="D506" s="126">
        <f>D497+D498-D499+D500+D501+D502+D503+D504-D505</f>
        <v>6.3152380952380955</v>
      </c>
      <c r="G506" s="132" t="s">
        <v>1908</v>
      </c>
      <c r="H506" s="132"/>
      <c r="I506" s="126">
        <f>I497+I498-I499+I500+I501+I502+I503+I504-I505</f>
        <v>-2.6100000000000003</v>
      </c>
    </row>
    <row r="507" spans="1:10" ht="15" thickBot="1" x14ac:dyDescent="0.4">
      <c r="A507" s="131" t="s">
        <v>1798</v>
      </c>
      <c r="B507" s="131"/>
      <c r="C507" s="124">
        <f>7.4-0.62</f>
        <v>6.78</v>
      </c>
      <c r="D507" s="124">
        <f>7.4-0.62-0.3</f>
        <v>6.48</v>
      </c>
      <c r="E507" cm="1">
        <f t="array" ref="E507">SUMPRODUCT(C507:D507,C490:D490/SUM(C490:D490))</f>
        <v>6.7057950530035342</v>
      </c>
      <c r="G507" s="131" t="s">
        <v>1798</v>
      </c>
      <c r="H507" s="131"/>
      <c r="I507" s="124">
        <v>-2.5499999999999998</v>
      </c>
    </row>
    <row r="508" spans="1:10" ht="15" thickBot="1" x14ac:dyDescent="0.4">
      <c r="A508" s="134" t="s">
        <v>1799</v>
      </c>
      <c r="B508" s="135"/>
      <c r="C508" s="128">
        <f>C507-C506</f>
        <v>0.31476190476190435</v>
      </c>
      <c r="D508" s="128">
        <f>D507-D506</f>
        <v>0.16476190476190489</v>
      </c>
      <c r="G508" s="134" t="s">
        <v>1799</v>
      </c>
      <c r="H508" s="135"/>
      <c r="I508" s="128">
        <f>I507-I506</f>
        <v>6.0000000000000497E-2</v>
      </c>
    </row>
    <row r="509" spans="1:10" x14ac:dyDescent="0.35">
      <c r="A509" s="123" t="s">
        <v>1800</v>
      </c>
      <c r="B509" s="133">
        <f>C509+D509</f>
        <v>785.77619047618964</v>
      </c>
      <c r="C509" s="133">
        <f>C508*C490</f>
        <v>670.44285714285627</v>
      </c>
      <c r="D509" s="133">
        <f>D508*D490</f>
        <v>115.33333333333343</v>
      </c>
      <c r="G509" s="123" t="s">
        <v>1800</v>
      </c>
      <c r="H509" s="133">
        <f>I508*I490</f>
        <v>42.000000000000348</v>
      </c>
      <c r="I509" s="133"/>
    </row>
  </sheetData>
  <mergeCells count="435">
    <mergeCell ref="G397:H397"/>
    <mergeCell ref="G398:H398"/>
    <mergeCell ref="G399:H399"/>
    <mergeCell ref="G400:H400"/>
    <mergeCell ref="G401:H401"/>
    <mergeCell ref="G409:H409"/>
    <mergeCell ref="B397:C397"/>
    <mergeCell ref="B398:C398"/>
    <mergeCell ref="B399:C399"/>
    <mergeCell ref="B400:C400"/>
    <mergeCell ref="B401:C401"/>
    <mergeCell ref="B409:C409"/>
    <mergeCell ref="H331:I331"/>
    <mergeCell ref="H332:I332"/>
    <mergeCell ref="B328:C328"/>
    <mergeCell ref="B329:C329"/>
    <mergeCell ref="B330:C330"/>
    <mergeCell ref="B331:C331"/>
    <mergeCell ref="B332:C332"/>
    <mergeCell ref="E351:F351"/>
    <mergeCell ref="E352:F352"/>
    <mergeCell ref="H351:I351"/>
    <mergeCell ref="H352:I352"/>
    <mergeCell ref="B236:C236"/>
    <mergeCell ref="E236:F236"/>
    <mergeCell ref="B237:C237"/>
    <mergeCell ref="E237:F237"/>
    <mergeCell ref="B238:C238"/>
    <mergeCell ref="B239:C239"/>
    <mergeCell ref="E238:F238"/>
    <mergeCell ref="B240:C240"/>
    <mergeCell ref="E240:F240"/>
    <mergeCell ref="H236:I236"/>
    <mergeCell ref="N215:O215"/>
    <mergeCell ref="N216:O216"/>
    <mergeCell ref="P286:Q286"/>
    <mergeCell ref="P294:Q294"/>
    <mergeCell ref="L258:M258"/>
    <mergeCell ref="L259:M259"/>
    <mergeCell ref="L260:M260"/>
    <mergeCell ref="L261:M261"/>
    <mergeCell ref="L262:M262"/>
    <mergeCell ref="L286:M286"/>
    <mergeCell ref="L282:M282"/>
    <mergeCell ref="L283:M283"/>
    <mergeCell ref="L284:M284"/>
    <mergeCell ref="L285:M285"/>
    <mergeCell ref="H237:I237"/>
    <mergeCell ref="H238:I238"/>
    <mergeCell ref="Q216:R216"/>
    <mergeCell ref="Q217:R217"/>
    <mergeCell ref="Q218:R218"/>
    <mergeCell ref="Q219:R219"/>
    <mergeCell ref="J215:K215"/>
    <mergeCell ref="J216:K216"/>
    <mergeCell ref="J217:K217"/>
    <mergeCell ref="Q191:R191"/>
    <mergeCell ref="Q192:R192"/>
    <mergeCell ref="Q193:R193"/>
    <mergeCell ref="Q194:R194"/>
    <mergeCell ref="Q195:R195"/>
    <mergeCell ref="Q203:R203"/>
    <mergeCell ref="M191:N191"/>
    <mergeCell ref="M192:N192"/>
    <mergeCell ref="M193:N193"/>
    <mergeCell ref="M194:N194"/>
    <mergeCell ref="M195:N195"/>
    <mergeCell ref="M203:N203"/>
    <mergeCell ref="B191:C191"/>
    <mergeCell ref="B192:C192"/>
    <mergeCell ref="B193:C193"/>
    <mergeCell ref="B194:C194"/>
    <mergeCell ref="B198:C198"/>
    <mergeCell ref="B199:C199"/>
    <mergeCell ref="B200:C200"/>
    <mergeCell ref="B201:C201"/>
    <mergeCell ref="B202:C202"/>
    <mergeCell ref="B196:C196"/>
    <mergeCell ref="B197:C197"/>
    <mergeCell ref="B203:C203"/>
    <mergeCell ref="B204:C204"/>
    <mergeCell ref="P282:Q282"/>
    <mergeCell ref="P283:Q283"/>
    <mergeCell ref="P284:Q284"/>
    <mergeCell ref="P285:Q285"/>
    <mergeCell ref="B205:C205"/>
    <mergeCell ref="B215:C215"/>
    <mergeCell ref="B216:C216"/>
    <mergeCell ref="B217:C217"/>
    <mergeCell ref="B218:C218"/>
    <mergeCell ref="B219:C219"/>
    <mergeCell ref="B227:C227"/>
    <mergeCell ref="F215:G215"/>
    <mergeCell ref="F216:G216"/>
    <mergeCell ref="F217:G217"/>
    <mergeCell ref="F218:G218"/>
    <mergeCell ref="F219:G219"/>
    <mergeCell ref="B208:C208"/>
    <mergeCell ref="B209:C209"/>
    <mergeCell ref="H205:I205"/>
    <mergeCell ref="E239:F239"/>
    <mergeCell ref="H239:I239"/>
    <mergeCell ref="Q237:R237"/>
    <mergeCell ref="H191:I191"/>
    <mergeCell ref="H192:I192"/>
    <mergeCell ref="H193:I193"/>
    <mergeCell ref="H194:I194"/>
    <mergeCell ref="Y169:Z169"/>
    <mergeCell ref="Y170:Z170"/>
    <mergeCell ref="Y171:Z171"/>
    <mergeCell ref="Y172:Z172"/>
    <mergeCell ref="Y173:Z173"/>
    <mergeCell ref="Y181:Z181"/>
    <mergeCell ref="Q169:R169"/>
    <mergeCell ref="Q170:R170"/>
    <mergeCell ref="Q171:R171"/>
    <mergeCell ref="Q172:R172"/>
    <mergeCell ref="Q173:R173"/>
    <mergeCell ref="Q181:R181"/>
    <mergeCell ref="U169:V169"/>
    <mergeCell ref="U170:V170"/>
    <mergeCell ref="U171:V171"/>
    <mergeCell ref="U172:V172"/>
    <mergeCell ref="U173:V173"/>
    <mergeCell ref="U181:V181"/>
    <mergeCell ref="M173:N173"/>
    <mergeCell ref="M181:N181"/>
    <mergeCell ref="H169:I169"/>
    <mergeCell ref="H170:I170"/>
    <mergeCell ref="H171:I171"/>
    <mergeCell ref="H172:I172"/>
    <mergeCell ref="H173:I173"/>
    <mergeCell ref="H181:I181"/>
    <mergeCell ref="I145:J145"/>
    <mergeCell ref="I146:J146"/>
    <mergeCell ref="I147:J147"/>
    <mergeCell ref="I148:J148"/>
    <mergeCell ref="I149:J149"/>
    <mergeCell ref="I157:J157"/>
    <mergeCell ref="M169:N169"/>
    <mergeCell ref="M170:N170"/>
    <mergeCell ref="M171:N171"/>
    <mergeCell ref="M172:N172"/>
    <mergeCell ref="O139:P139"/>
    <mergeCell ref="O140:P140"/>
    <mergeCell ref="O136:P136"/>
    <mergeCell ref="M145:N145"/>
    <mergeCell ref="M146:N146"/>
    <mergeCell ref="M147:N147"/>
    <mergeCell ref="M148:N148"/>
    <mergeCell ref="M149:N149"/>
    <mergeCell ref="M157:N157"/>
    <mergeCell ref="O133:P133"/>
    <mergeCell ref="O134:P134"/>
    <mergeCell ref="O135:P135"/>
    <mergeCell ref="O137:P137"/>
    <mergeCell ref="O138:P138"/>
    <mergeCell ref="O128:P128"/>
    <mergeCell ref="O129:P129"/>
    <mergeCell ref="O130:P130"/>
    <mergeCell ref="O131:P131"/>
    <mergeCell ref="O132:P132"/>
    <mergeCell ref="O123:P123"/>
    <mergeCell ref="O124:P124"/>
    <mergeCell ref="O125:P125"/>
    <mergeCell ref="O126:P126"/>
    <mergeCell ref="O127:P127"/>
    <mergeCell ref="K123:L123"/>
    <mergeCell ref="K124:L124"/>
    <mergeCell ref="K125:L125"/>
    <mergeCell ref="K126:L126"/>
    <mergeCell ref="K127:L127"/>
    <mergeCell ref="K135:L135"/>
    <mergeCell ref="G135:H135"/>
    <mergeCell ref="G123:H123"/>
    <mergeCell ref="G124:H124"/>
    <mergeCell ref="G125:H125"/>
    <mergeCell ref="G126:H126"/>
    <mergeCell ref="G127:H127"/>
    <mergeCell ref="L57:M57"/>
    <mergeCell ref="L58:M58"/>
    <mergeCell ref="L59:M59"/>
    <mergeCell ref="L60:M60"/>
    <mergeCell ref="L66:M66"/>
    <mergeCell ref="L67:M67"/>
    <mergeCell ref="L68:M68"/>
    <mergeCell ref="L69:M69"/>
    <mergeCell ref="L70:M70"/>
    <mergeCell ref="H72:I72"/>
    <mergeCell ref="H73:I73"/>
    <mergeCell ref="L72:M72"/>
    <mergeCell ref="L73:M73"/>
    <mergeCell ref="H56:I56"/>
    <mergeCell ref="H57:I57"/>
    <mergeCell ref="H58:I58"/>
    <mergeCell ref="H59:I59"/>
    <mergeCell ref="H60:I60"/>
    <mergeCell ref="M74:N74"/>
    <mergeCell ref="L61:M61"/>
    <mergeCell ref="H71:I71"/>
    <mergeCell ref="L71:M71"/>
    <mergeCell ref="H65:I65"/>
    <mergeCell ref="H66:I66"/>
    <mergeCell ref="L62:M62"/>
    <mergeCell ref="L63:M63"/>
    <mergeCell ref="H67:I67"/>
    <mergeCell ref="H61:I61"/>
    <mergeCell ref="H62:I62"/>
    <mergeCell ref="H63:I63"/>
    <mergeCell ref="H64:I64"/>
    <mergeCell ref="I74:J74"/>
    <mergeCell ref="L64:M64"/>
    <mergeCell ref="L65:M65"/>
    <mergeCell ref="H68:I68"/>
    <mergeCell ref="H69:I69"/>
    <mergeCell ref="H70:I70"/>
    <mergeCell ref="B88:C88"/>
    <mergeCell ref="B92:C92"/>
    <mergeCell ref="B93:C93"/>
    <mergeCell ref="B94:C94"/>
    <mergeCell ref="B95:C95"/>
    <mergeCell ref="B82:C82"/>
    <mergeCell ref="B83:C83"/>
    <mergeCell ref="B84:C84"/>
    <mergeCell ref="B85:C85"/>
    <mergeCell ref="B86:C86"/>
    <mergeCell ref="B89:C89"/>
    <mergeCell ref="B90:C90"/>
    <mergeCell ref="B91:C91"/>
    <mergeCell ref="B87:C87"/>
    <mergeCell ref="B97:C97"/>
    <mergeCell ref="B104:C104"/>
    <mergeCell ref="B102:C102"/>
    <mergeCell ref="B103:C103"/>
    <mergeCell ref="B98:C98"/>
    <mergeCell ref="C99:D99"/>
    <mergeCell ref="B96:C96"/>
    <mergeCell ref="B105:C105"/>
    <mergeCell ref="B106:C106"/>
    <mergeCell ref="B108:C108"/>
    <mergeCell ref="B109:C109"/>
    <mergeCell ref="B107:C107"/>
    <mergeCell ref="B110:C110"/>
    <mergeCell ref="B111:C111"/>
    <mergeCell ref="B117:C117"/>
    <mergeCell ref="B127:C127"/>
    <mergeCell ref="C119:D119"/>
    <mergeCell ref="B112:C112"/>
    <mergeCell ref="B113:C113"/>
    <mergeCell ref="B114:C114"/>
    <mergeCell ref="B115:C115"/>
    <mergeCell ref="B116:C116"/>
    <mergeCell ref="B118:C118"/>
    <mergeCell ref="B122:C122"/>
    <mergeCell ref="B123:C123"/>
    <mergeCell ref="B124:C124"/>
    <mergeCell ref="B125:C125"/>
    <mergeCell ref="B126:C126"/>
    <mergeCell ref="B128:C128"/>
    <mergeCell ref="B129:C129"/>
    <mergeCell ref="B130:C130"/>
    <mergeCell ref="B131:C131"/>
    <mergeCell ref="B137:C137"/>
    <mergeCell ref="C139:D139"/>
    <mergeCell ref="B132:C132"/>
    <mergeCell ref="B133:C133"/>
    <mergeCell ref="B134:C134"/>
    <mergeCell ref="B135:C135"/>
    <mergeCell ref="B136:C136"/>
    <mergeCell ref="B138:C138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69:C169"/>
    <mergeCell ref="B170:C170"/>
    <mergeCell ref="B171:C171"/>
    <mergeCell ref="B172:C172"/>
    <mergeCell ref="B173:C173"/>
    <mergeCell ref="B181:C181"/>
    <mergeCell ref="E169:F169"/>
    <mergeCell ref="E170:F170"/>
    <mergeCell ref="E171:F171"/>
    <mergeCell ref="E172:F172"/>
    <mergeCell ref="E173:F173"/>
    <mergeCell ref="E181:F181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J218:K218"/>
    <mergeCell ref="J219:K219"/>
    <mergeCell ref="N219:O219"/>
    <mergeCell ref="N217:O217"/>
    <mergeCell ref="N218:O218"/>
    <mergeCell ref="Q215:R21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Q238:R238"/>
    <mergeCell ref="Q239:R239"/>
    <mergeCell ref="Q240:R240"/>
    <mergeCell ref="Q241:R241"/>
    <mergeCell ref="L237:M237"/>
    <mergeCell ref="L238:M238"/>
    <mergeCell ref="L239:M239"/>
    <mergeCell ref="L240:M240"/>
    <mergeCell ref="L241:M241"/>
    <mergeCell ref="H240:I240"/>
    <mergeCell ref="B248:C248"/>
    <mergeCell ref="E248:F248"/>
    <mergeCell ref="H248:I248"/>
    <mergeCell ref="B258:C258"/>
    <mergeCell ref="B259:C259"/>
    <mergeCell ref="B260:C260"/>
    <mergeCell ref="H258:I258"/>
    <mergeCell ref="H259:I259"/>
    <mergeCell ref="H260:I260"/>
    <mergeCell ref="H261:I261"/>
    <mergeCell ref="H262:I262"/>
    <mergeCell ref="B282:C282"/>
    <mergeCell ref="B261:C261"/>
    <mergeCell ref="B262:C262"/>
    <mergeCell ref="B286:C286"/>
    <mergeCell ref="B284:C284"/>
    <mergeCell ref="B285:C285"/>
    <mergeCell ref="H286:I286"/>
    <mergeCell ref="H282:I282"/>
    <mergeCell ref="H283:I283"/>
    <mergeCell ref="H284:I284"/>
    <mergeCell ref="H285:I285"/>
    <mergeCell ref="B283:C283"/>
    <mergeCell ref="B307:C307"/>
    <mergeCell ref="B308:C308"/>
    <mergeCell ref="B316:C316"/>
    <mergeCell ref="E354:F354"/>
    <mergeCell ref="E355:F355"/>
    <mergeCell ref="H304:I304"/>
    <mergeCell ref="H305:I305"/>
    <mergeCell ref="H306:I306"/>
    <mergeCell ref="H307:I307"/>
    <mergeCell ref="H308:I308"/>
    <mergeCell ref="H355:I355"/>
    <mergeCell ref="B351:C351"/>
    <mergeCell ref="B352:C352"/>
    <mergeCell ref="B353:C353"/>
    <mergeCell ref="B354:C354"/>
    <mergeCell ref="B355:C355"/>
    <mergeCell ref="H353:I353"/>
    <mergeCell ref="H354:I354"/>
    <mergeCell ref="H328:I328"/>
    <mergeCell ref="H329:I329"/>
    <mergeCell ref="H330:I330"/>
    <mergeCell ref="B304:C304"/>
    <mergeCell ref="B305:C305"/>
    <mergeCell ref="B306:C306"/>
    <mergeCell ref="B418:C418"/>
    <mergeCell ref="B419:C419"/>
    <mergeCell ref="B420:C420"/>
    <mergeCell ref="B421:C421"/>
    <mergeCell ref="B422:C422"/>
    <mergeCell ref="N351:O351"/>
    <mergeCell ref="N352:O352"/>
    <mergeCell ref="N353:O353"/>
    <mergeCell ref="N354:O354"/>
    <mergeCell ref="N355:O355"/>
    <mergeCell ref="E372:F372"/>
    <mergeCell ref="E373:F373"/>
    <mergeCell ref="E374:F374"/>
    <mergeCell ref="E375:F375"/>
    <mergeCell ref="E376:F376"/>
    <mergeCell ref="E377:F377"/>
    <mergeCell ref="E353:F353"/>
    <mergeCell ref="B375:C375"/>
    <mergeCell ref="B376:C376"/>
    <mergeCell ref="B363:C363"/>
    <mergeCell ref="E363:F363"/>
    <mergeCell ref="B372:C372"/>
    <mergeCell ref="B373:C373"/>
    <mergeCell ref="B374:C374"/>
    <mergeCell ref="B441:C441"/>
    <mergeCell ref="B442:C442"/>
    <mergeCell ref="B443:C443"/>
    <mergeCell ref="B444:C444"/>
    <mergeCell ref="B445:C445"/>
    <mergeCell ref="F441:G441"/>
    <mergeCell ref="F442:G442"/>
    <mergeCell ref="F443:G443"/>
    <mergeCell ref="F444:G444"/>
    <mergeCell ref="F445:G445"/>
    <mergeCell ref="O465:P465"/>
    <mergeCell ref="O466:P466"/>
    <mergeCell ref="O467:P467"/>
    <mergeCell ref="O468:P468"/>
    <mergeCell ref="O469:P469"/>
    <mergeCell ref="J441:K441"/>
    <mergeCell ref="J442:K442"/>
    <mergeCell ref="J443:K443"/>
    <mergeCell ref="J444:K444"/>
    <mergeCell ref="J445:K445"/>
    <mergeCell ref="B465:C465"/>
    <mergeCell ref="B466:C466"/>
    <mergeCell ref="B467:C467"/>
    <mergeCell ref="B468:C468"/>
    <mergeCell ref="B469:C469"/>
    <mergeCell ref="G469:H469"/>
    <mergeCell ref="G465:H465"/>
    <mergeCell ref="G466:H466"/>
    <mergeCell ref="G467:H467"/>
    <mergeCell ref="G468:H468"/>
    <mergeCell ref="G490:H490"/>
    <mergeCell ref="G491:H491"/>
    <mergeCell ref="G492:H492"/>
    <mergeCell ref="G493:H493"/>
    <mergeCell ref="K465:L465"/>
    <mergeCell ref="K466:L466"/>
    <mergeCell ref="K467:L467"/>
    <mergeCell ref="K468:L468"/>
    <mergeCell ref="K469:L469"/>
  </mergeCells>
  <pageMargins left="0.7" right="0.7" top="0.75" bottom="0.75" header="0.3" footer="0.3"/>
  <headerFooter>
    <oddHeader>&amp;C&amp;"Calibri"&amp;10&amp;K008000 Classification: AramcoTrading-US  General Use&amp;1#_x000D_</oddHeader>
    <oddFooter>&amp;C_x000D_&amp;1#&amp;"Calibri"&amp;10&amp;K008000 This content is classified as AramcoTrading-US General Use by Cantafio, Alberto (ATA) on 2025-08-20T18:20:26.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6B7C-DFE9-4BBE-86CA-FE13B0F22B66}">
  <dimension ref="A3:AQ103"/>
  <sheetViews>
    <sheetView workbookViewId="0">
      <selection activeCell="K9" sqref="K9:K16"/>
    </sheetView>
  </sheetViews>
  <sheetFormatPr defaultRowHeight="14.5" x14ac:dyDescent="0.35"/>
  <cols>
    <col min="1" max="1" width="26.7265625" bestFit="1" customWidth="1"/>
    <col min="2" max="2" width="16.453125" bestFit="1" customWidth="1"/>
    <col min="3" max="3" width="15.26953125" bestFit="1" customWidth="1"/>
    <col min="4" max="4" width="10.26953125" bestFit="1" customWidth="1"/>
    <col min="5" max="5" width="6.453125" bestFit="1" customWidth="1"/>
    <col min="6" max="6" width="6.54296875" bestFit="1" customWidth="1"/>
    <col min="7" max="7" width="9.7265625" bestFit="1" customWidth="1"/>
    <col min="8" max="8" width="16.453125" bestFit="1" customWidth="1"/>
    <col min="9" max="9" width="15.26953125" bestFit="1" customWidth="1"/>
    <col min="10" max="10" width="10.54296875" bestFit="1" customWidth="1"/>
    <col min="11" max="12" width="10.7265625" bestFit="1" customWidth="1"/>
    <col min="13" max="13" width="9.453125" bestFit="1" customWidth="1"/>
    <col min="14" max="14" width="9.26953125" bestFit="1" customWidth="1"/>
    <col min="15" max="15" width="13.26953125" bestFit="1" customWidth="1"/>
    <col min="16" max="16" width="15.26953125" bestFit="1" customWidth="1"/>
    <col min="17" max="17" width="6.26953125" bestFit="1" customWidth="1"/>
    <col min="18" max="18" width="6.7265625" bestFit="1" customWidth="1"/>
    <col min="19" max="19" width="6.26953125" bestFit="1" customWidth="1"/>
    <col min="20" max="20" width="6.81640625" bestFit="1" customWidth="1"/>
    <col min="21" max="21" width="6.1796875" bestFit="1" customWidth="1"/>
    <col min="22" max="23" width="10.7265625" bestFit="1" customWidth="1"/>
    <col min="24" max="24" width="34.54296875" bestFit="1" customWidth="1"/>
    <col min="25" max="25" width="15.26953125" bestFit="1" customWidth="1"/>
    <col min="26" max="26" width="6.26953125" bestFit="1" customWidth="1"/>
    <col min="27" max="27" width="6.453125" bestFit="1" customWidth="1"/>
    <col min="28" max="28" width="6.54296875" bestFit="1" customWidth="1"/>
    <col min="29" max="29" width="10.7265625" bestFit="1" customWidth="1"/>
    <col min="30" max="30" width="6.54296875" bestFit="1" customWidth="1"/>
    <col min="31" max="31" width="6.26953125" bestFit="1" customWidth="1"/>
    <col min="32" max="32" width="6" bestFit="1" customWidth="1"/>
    <col min="33" max="33" width="18.54296875" bestFit="1" customWidth="1"/>
    <col min="34" max="34" width="14.81640625" bestFit="1" customWidth="1"/>
    <col min="35" max="35" width="10.7265625" bestFit="1" customWidth="1"/>
    <col min="36" max="36" width="10.54296875" bestFit="1" customWidth="1"/>
    <col min="37" max="37" width="7.26953125" bestFit="1" customWidth="1"/>
    <col min="38" max="38" width="12.54296875" bestFit="1" customWidth="1"/>
    <col min="39" max="39" width="14.81640625" bestFit="1" customWidth="1"/>
    <col min="40" max="40" width="9.26953125" bestFit="1" customWidth="1"/>
    <col min="41" max="41" width="10.7265625" bestFit="1" customWidth="1"/>
    <col min="42" max="42" width="7.36328125" bestFit="1" customWidth="1"/>
    <col min="43" max="43" width="12" bestFit="1" customWidth="1"/>
    <col min="44" max="45" width="10.26953125" bestFit="1" customWidth="1"/>
    <col min="46" max="54" width="9.453125" bestFit="1" customWidth="1"/>
    <col min="55" max="57" width="10.26953125" bestFit="1" customWidth="1"/>
    <col min="58" max="63" width="9.453125" bestFit="1" customWidth="1"/>
    <col min="64" max="64" width="6.7265625" bestFit="1" customWidth="1"/>
    <col min="65" max="65" width="10.7265625" bestFit="1" customWidth="1"/>
  </cols>
  <sheetData>
    <row r="3" spans="1:43" x14ac:dyDescent="0.35">
      <c r="AG3" s="4"/>
      <c r="AH3" s="8"/>
      <c r="AK3" s="6"/>
    </row>
    <row r="4" spans="1:43" x14ac:dyDescent="0.35">
      <c r="O4" s="306" t="s">
        <v>124</v>
      </c>
      <c r="P4" t="s">
        <v>96</v>
      </c>
      <c r="X4" s="306" t="s">
        <v>126</v>
      </c>
      <c r="Y4" t="s">
        <v>1970</v>
      </c>
      <c r="AQ4" s="4"/>
    </row>
    <row r="5" spans="1:43" x14ac:dyDescent="0.35">
      <c r="A5" t="s">
        <v>1971</v>
      </c>
    </row>
    <row r="6" spans="1:43" x14ac:dyDescent="0.35">
      <c r="A6" t="s">
        <v>1458</v>
      </c>
      <c r="B6" t="s">
        <v>1970</v>
      </c>
      <c r="H6" s="306" t="s">
        <v>1972</v>
      </c>
      <c r="I6" s="306" t="s">
        <v>1771</v>
      </c>
      <c r="O6" s="306" t="s">
        <v>1972</v>
      </c>
      <c r="P6" s="306" t="s">
        <v>1771</v>
      </c>
      <c r="X6" s="306" t="s">
        <v>1972</v>
      </c>
      <c r="Y6" s="306" t="s">
        <v>1771</v>
      </c>
    </row>
    <row r="7" spans="1:43" x14ac:dyDescent="0.35">
      <c r="A7" t="s">
        <v>1558</v>
      </c>
      <c r="B7" t="s">
        <v>1970</v>
      </c>
      <c r="H7" s="306" t="s">
        <v>1772</v>
      </c>
      <c r="I7" t="s">
        <v>99</v>
      </c>
      <c r="J7" t="s">
        <v>100</v>
      </c>
      <c r="K7" t="s">
        <v>105</v>
      </c>
      <c r="L7" t="s">
        <v>1754</v>
      </c>
      <c r="O7" s="306" t="s">
        <v>1772</v>
      </c>
      <c r="P7" t="s">
        <v>95</v>
      </c>
      <c r="Q7" t="s">
        <v>98</v>
      </c>
      <c r="R7" t="s">
        <v>104</v>
      </c>
      <c r="S7" t="s">
        <v>102</v>
      </c>
      <c r="T7" t="s">
        <v>103</v>
      </c>
      <c r="U7" t="s">
        <v>101</v>
      </c>
      <c r="V7" t="s">
        <v>1754</v>
      </c>
      <c r="X7" s="306" t="s">
        <v>1772</v>
      </c>
      <c r="Y7" t="s">
        <v>95</v>
      </c>
      <c r="Z7" t="s">
        <v>98</v>
      </c>
      <c r="AA7" t="s">
        <v>94</v>
      </c>
      <c r="AB7" t="s">
        <v>90</v>
      </c>
      <c r="AC7" t="s">
        <v>1754</v>
      </c>
      <c r="AL7" s="307" t="s">
        <v>1751</v>
      </c>
      <c r="AM7" s="307" t="s">
        <v>121</v>
      </c>
      <c r="AN7" s="4"/>
      <c r="AO7" s="4"/>
    </row>
    <row r="8" spans="1:43" x14ac:dyDescent="0.35">
      <c r="A8" t="s">
        <v>1579</v>
      </c>
      <c r="B8" t="s">
        <v>1970</v>
      </c>
      <c r="H8" s="1" t="s">
        <v>96</v>
      </c>
      <c r="I8" s="6">
        <v>-339.20999999999981</v>
      </c>
      <c r="J8" s="6">
        <v>11.740000000000109</v>
      </c>
      <c r="K8" s="6">
        <v>110.24</v>
      </c>
      <c r="L8" s="6">
        <v>-217.22999999999973</v>
      </c>
      <c r="O8" s="1" t="s">
        <v>29</v>
      </c>
      <c r="P8" s="6">
        <v>114.60800000000029</v>
      </c>
      <c r="Q8" s="6">
        <v>-542.56999999999994</v>
      </c>
      <c r="R8" s="6"/>
      <c r="S8" s="6"/>
      <c r="T8" s="6"/>
      <c r="U8" s="6"/>
      <c r="V8" s="6">
        <v>-427.96199999999965</v>
      </c>
      <c r="X8" s="1" t="s">
        <v>96</v>
      </c>
      <c r="Y8" s="6">
        <v>706.42474000000129</v>
      </c>
      <c r="Z8" s="6">
        <v>231.00000000000006</v>
      </c>
      <c r="AA8" s="6">
        <v>-549.00000000000091</v>
      </c>
      <c r="AB8" s="6">
        <v>195.99999999999986</v>
      </c>
      <c r="AC8" s="6">
        <v>584.42474000000038</v>
      </c>
      <c r="AL8" s="307" t="s">
        <v>12</v>
      </c>
      <c r="AM8" s="4" t="s">
        <v>7</v>
      </c>
      <c r="AN8" s="4" t="s">
        <v>3</v>
      </c>
      <c r="AO8" s="4" t="s">
        <v>1754</v>
      </c>
    </row>
    <row r="9" spans="1:43" x14ac:dyDescent="0.35">
      <c r="A9" t="s">
        <v>1672</v>
      </c>
      <c r="B9" t="s">
        <v>1970</v>
      </c>
      <c r="H9" s="2" t="s">
        <v>4</v>
      </c>
      <c r="I9" s="6">
        <v>-339.20999999999981</v>
      </c>
      <c r="J9" s="6">
        <v>11.740000000000109</v>
      </c>
      <c r="K9" s="6">
        <v>110.24</v>
      </c>
      <c r="L9" s="6">
        <v>-217.22999999999973</v>
      </c>
      <c r="O9" s="2" t="s">
        <v>29</v>
      </c>
      <c r="P9" s="6">
        <v>114.60800000000029</v>
      </c>
      <c r="Q9" s="6">
        <v>-542.56999999999994</v>
      </c>
      <c r="R9" s="6"/>
      <c r="S9" s="6"/>
      <c r="T9" s="6"/>
      <c r="U9" s="6"/>
      <c r="V9" s="6">
        <v>-427.96199999999965</v>
      </c>
      <c r="X9" s="2" t="s">
        <v>19</v>
      </c>
      <c r="Y9" s="6">
        <v>706.42474000000129</v>
      </c>
      <c r="Z9" s="6">
        <v>231.00000000000006</v>
      </c>
      <c r="AA9" s="6">
        <v>-549.00000000000091</v>
      </c>
      <c r="AB9" s="6">
        <v>195.99999999999986</v>
      </c>
      <c r="AC9" s="6">
        <v>584.42474000000038</v>
      </c>
      <c r="AL9" s="4" t="s">
        <v>4</v>
      </c>
      <c r="AM9" s="308">
        <v>0</v>
      </c>
      <c r="AN9" s="308">
        <v>0</v>
      </c>
      <c r="AO9" s="308">
        <v>0</v>
      </c>
    </row>
    <row r="10" spans="1:43" x14ac:dyDescent="0.35">
      <c r="A10" t="s">
        <v>1664</v>
      </c>
      <c r="B10" t="s">
        <v>1970</v>
      </c>
      <c r="H10" s="358" t="s">
        <v>7</v>
      </c>
      <c r="I10" s="6">
        <v>-332.56999999999982</v>
      </c>
      <c r="J10" s="6">
        <v>-45.699999999999903</v>
      </c>
      <c r="K10" s="6">
        <v>-29.76</v>
      </c>
      <c r="L10" s="6">
        <v>-408.02999999999975</v>
      </c>
      <c r="O10" s="1" t="s">
        <v>11</v>
      </c>
      <c r="P10" s="6">
        <v>-188.12999999999954</v>
      </c>
      <c r="Q10" s="6">
        <v>421.36500000000706</v>
      </c>
      <c r="R10" s="6">
        <v>-122.36999999999966</v>
      </c>
      <c r="S10" s="6">
        <v>362.20000000000044</v>
      </c>
      <c r="T10" s="6">
        <v>-65.8</v>
      </c>
      <c r="U10" s="6">
        <v>-177.30000000000007</v>
      </c>
      <c r="V10" s="6">
        <v>229.96500000000816</v>
      </c>
      <c r="X10" s="358" t="s">
        <v>19</v>
      </c>
      <c r="Y10" s="6">
        <v>706.42474000000129</v>
      </c>
      <c r="Z10" s="6">
        <v>231.00000000000006</v>
      </c>
      <c r="AA10" s="6">
        <v>-549.00000000000091</v>
      </c>
      <c r="AB10" s="6">
        <v>195.99999999999986</v>
      </c>
      <c r="AC10" s="6">
        <v>584.42474000000038</v>
      </c>
      <c r="AL10" s="4" t="s">
        <v>99</v>
      </c>
      <c r="AM10" s="308">
        <v>0</v>
      </c>
      <c r="AN10" s="308">
        <v>0</v>
      </c>
      <c r="AO10" s="308">
        <v>0</v>
      </c>
    </row>
    <row r="11" spans="1:43" x14ac:dyDescent="0.35">
      <c r="A11" t="s">
        <v>1635</v>
      </c>
      <c r="B11" t="s">
        <v>1970</v>
      </c>
      <c r="H11" s="358" t="s">
        <v>3</v>
      </c>
      <c r="I11" s="6">
        <v>-6.6400000000000077</v>
      </c>
      <c r="J11" s="6">
        <v>57.440000000000012</v>
      </c>
      <c r="K11" s="6">
        <v>140</v>
      </c>
      <c r="L11" s="6">
        <v>190.8</v>
      </c>
      <c r="O11" s="2" t="s">
        <v>16</v>
      </c>
      <c r="P11" s="6">
        <v>-188.12999999999954</v>
      </c>
      <c r="Q11" s="6"/>
      <c r="R11" s="6"/>
      <c r="S11" s="6">
        <v>-65.8</v>
      </c>
      <c r="T11" s="6">
        <v>-65.8</v>
      </c>
      <c r="U11" s="6">
        <v>-65.8</v>
      </c>
      <c r="V11" s="6">
        <v>-385.52999999999957</v>
      </c>
      <c r="X11" s="373" t="s">
        <v>1458</v>
      </c>
      <c r="Y11" s="6"/>
      <c r="Z11" s="6"/>
      <c r="AA11" s="6"/>
      <c r="AB11" s="6">
        <v>195.99999999999986</v>
      </c>
      <c r="AC11" s="6">
        <v>195.99999999999986</v>
      </c>
      <c r="AL11" s="4" t="s">
        <v>268</v>
      </c>
      <c r="AM11" s="308">
        <v>-4754</v>
      </c>
      <c r="AN11" s="308">
        <v>-6471</v>
      </c>
      <c r="AO11" s="308">
        <v>-11225</v>
      </c>
    </row>
    <row r="12" spans="1:43" x14ac:dyDescent="0.35">
      <c r="A12" t="s">
        <v>1678</v>
      </c>
      <c r="B12" t="s">
        <v>1970</v>
      </c>
      <c r="H12" s="1" t="s">
        <v>1754</v>
      </c>
      <c r="I12" s="6">
        <v>-339.20999999999981</v>
      </c>
      <c r="J12" s="6">
        <v>11.740000000000109</v>
      </c>
      <c r="K12" s="6">
        <v>110.24</v>
      </c>
      <c r="L12" s="6">
        <v>-217.22999999999973</v>
      </c>
      <c r="O12" s="2" t="s">
        <v>44</v>
      </c>
      <c r="P12" s="6"/>
      <c r="Q12" s="6">
        <v>273.51999999999992</v>
      </c>
      <c r="R12" s="6"/>
      <c r="S12" s="6"/>
      <c r="T12" s="6"/>
      <c r="U12" s="6"/>
      <c r="V12" s="6">
        <v>273.51999999999992</v>
      </c>
      <c r="X12" s="373" t="s">
        <v>1558</v>
      </c>
      <c r="Y12" s="6"/>
      <c r="Z12" s="6"/>
      <c r="AA12" s="6">
        <v>55.999999999999581</v>
      </c>
      <c r="AB12" s="6"/>
      <c r="AC12" s="6">
        <v>55.999999999999581</v>
      </c>
      <c r="AL12" s="4" t="s">
        <v>128</v>
      </c>
      <c r="AM12" s="308">
        <v>4754</v>
      </c>
      <c r="AN12" s="308">
        <v>6471</v>
      </c>
      <c r="AO12" s="308">
        <v>11225</v>
      </c>
    </row>
    <row r="13" spans="1:43" x14ac:dyDescent="0.35">
      <c r="O13" s="2" t="s">
        <v>10</v>
      </c>
      <c r="P13" s="6"/>
      <c r="Q13" s="6">
        <v>147.8450000000071</v>
      </c>
      <c r="R13" s="6">
        <v>-122.36999999999966</v>
      </c>
      <c r="S13" s="6">
        <v>428.00000000000045</v>
      </c>
      <c r="T13" s="6"/>
      <c r="U13" s="6">
        <v>-111.50000000000007</v>
      </c>
      <c r="V13" s="6">
        <v>341.97500000000781</v>
      </c>
      <c r="X13" s="373" t="s">
        <v>1579</v>
      </c>
      <c r="Y13" s="6"/>
      <c r="Z13" s="6"/>
      <c r="AA13" s="6">
        <v>-605.00000000000045</v>
      </c>
      <c r="AB13" s="6"/>
      <c r="AC13" s="6">
        <v>-605.00000000000045</v>
      </c>
      <c r="AL13" s="4" t="s">
        <v>100</v>
      </c>
      <c r="AM13" s="308">
        <v>0</v>
      </c>
      <c r="AN13" s="308">
        <v>0</v>
      </c>
      <c r="AO13" s="308">
        <v>0</v>
      </c>
    </row>
    <row r="14" spans="1:43" x14ac:dyDescent="0.35">
      <c r="O14" s="1" t="s">
        <v>1754</v>
      </c>
      <c r="P14" s="6">
        <v>-73.521999999999252</v>
      </c>
      <c r="Q14" s="6">
        <v>-121.20499999999291</v>
      </c>
      <c r="R14" s="6">
        <v>-122.36999999999966</v>
      </c>
      <c r="S14" s="6">
        <v>362.20000000000044</v>
      </c>
      <c r="T14" s="6">
        <v>-65.8</v>
      </c>
      <c r="U14" s="6">
        <v>-177.30000000000007</v>
      </c>
      <c r="V14" s="6">
        <v>-197.99699999999149</v>
      </c>
      <c r="X14" s="373" t="s">
        <v>1672</v>
      </c>
      <c r="Y14" s="6">
        <v>-118.03525999999948</v>
      </c>
      <c r="Z14" s="6"/>
      <c r="AA14" s="6"/>
      <c r="AB14" s="6"/>
      <c r="AC14" s="6">
        <v>-118.03525999999948</v>
      </c>
      <c r="AL14" s="4" t="s">
        <v>268</v>
      </c>
      <c r="AM14" s="308">
        <v>-2108</v>
      </c>
      <c r="AN14" s="308">
        <v>-8372</v>
      </c>
      <c r="AO14" s="308">
        <v>-10480</v>
      </c>
    </row>
    <row r="15" spans="1:43" x14ac:dyDescent="0.35">
      <c r="X15" s="373" t="s">
        <v>1664</v>
      </c>
      <c r="Y15" s="6">
        <v>601.99999999999955</v>
      </c>
      <c r="Z15" s="6"/>
      <c r="AA15" s="6"/>
      <c r="AB15" s="6"/>
      <c r="AC15" s="6">
        <v>601.99999999999955</v>
      </c>
      <c r="AL15" s="4" t="s">
        <v>128</v>
      </c>
      <c r="AM15" s="308">
        <v>2108</v>
      </c>
      <c r="AN15" s="308">
        <v>8372</v>
      </c>
      <c r="AO15" s="308">
        <v>10480</v>
      </c>
    </row>
    <row r="16" spans="1:43" x14ac:dyDescent="0.35">
      <c r="X16" s="373" t="s">
        <v>1635</v>
      </c>
      <c r="Y16" s="6">
        <v>222.46000000000129</v>
      </c>
      <c r="Z16" s="6"/>
      <c r="AA16" s="6"/>
      <c r="AB16" s="6"/>
      <c r="AC16" s="6">
        <v>222.46000000000129</v>
      </c>
      <c r="AL16" s="4" t="s">
        <v>105</v>
      </c>
      <c r="AM16" s="308">
        <v>0</v>
      </c>
      <c r="AN16" s="308">
        <v>0</v>
      </c>
      <c r="AO16" s="308">
        <v>0</v>
      </c>
    </row>
    <row r="17" spans="24:43" x14ac:dyDescent="0.35">
      <c r="X17" s="373" t="s">
        <v>1678</v>
      </c>
      <c r="Y17" s="6"/>
      <c r="Z17" s="6">
        <v>231.00000000000006</v>
      </c>
      <c r="AA17" s="6"/>
      <c r="AB17" s="6"/>
      <c r="AC17" s="6">
        <v>231.00000000000006</v>
      </c>
      <c r="AL17" s="4" t="s">
        <v>268</v>
      </c>
      <c r="AM17" s="308">
        <v>-2165</v>
      </c>
      <c r="AN17" s="308">
        <v>-9609</v>
      </c>
      <c r="AO17" s="308">
        <v>-11774</v>
      </c>
    </row>
    <row r="18" spans="24:43" x14ac:dyDescent="0.35">
      <c r="X18" s="1" t="s">
        <v>1754</v>
      </c>
      <c r="Y18" s="6">
        <v>706.42474000000129</v>
      </c>
      <c r="Z18" s="6">
        <v>231.00000000000006</v>
      </c>
      <c r="AA18" s="6">
        <v>-549.00000000000091</v>
      </c>
      <c r="AB18" s="6">
        <v>195.99999999999986</v>
      </c>
      <c r="AC18" s="6">
        <v>584.42474000000038</v>
      </c>
      <c r="AL18" s="4" t="s">
        <v>128</v>
      </c>
      <c r="AM18" s="308">
        <v>2165</v>
      </c>
      <c r="AN18" s="308">
        <v>9609</v>
      </c>
      <c r="AO18" s="308">
        <v>11774</v>
      </c>
    </row>
    <row r="19" spans="24:43" x14ac:dyDescent="0.35">
      <c r="AL19" s="4" t="s">
        <v>1713</v>
      </c>
      <c r="AM19" s="308">
        <v>0</v>
      </c>
      <c r="AN19" s="308">
        <v>0</v>
      </c>
      <c r="AO19" s="308">
        <v>0</v>
      </c>
    </row>
    <row r="20" spans="24:43" x14ac:dyDescent="0.35">
      <c r="AL20" s="4" t="s">
        <v>268</v>
      </c>
      <c r="AM20" s="308">
        <v>-2117</v>
      </c>
      <c r="AN20" s="308">
        <v>-8109</v>
      </c>
      <c r="AO20" s="308">
        <v>-10226</v>
      </c>
    </row>
    <row r="21" spans="24:43" x14ac:dyDescent="0.35">
      <c r="AL21" s="4" t="s">
        <v>128</v>
      </c>
      <c r="AM21" s="308">
        <v>2117</v>
      </c>
      <c r="AN21" s="308">
        <v>8109</v>
      </c>
      <c r="AO21" s="308">
        <v>10226</v>
      </c>
    </row>
    <row r="22" spans="24:43" x14ac:dyDescent="0.35">
      <c r="AL22" s="4" t="s">
        <v>1754</v>
      </c>
      <c r="AM22" s="309">
        <v>0</v>
      </c>
      <c r="AN22" s="309">
        <v>0</v>
      </c>
      <c r="AO22" s="309">
        <v>0</v>
      </c>
    </row>
    <row r="24" spans="24:43" x14ac:dyDescent="0.35">
      <c r="AG24" s="307" t="s">
        <v>1759</v>
      </c>
      <c r="AH24" s="307" t="s">
        <v>121</v>
      </c>
      <c r="AI24" s="4"/>
      <c r="AJ24" s="4"/>
      <c r="AK24" s="4"/>
      <c r="AL24" s="4"/>
      <c r="AM24" s="4"/>
      <c r="AN24" s="4"/>
      <c r="AO24" s="4"/>
      <c r="AP24" s="4"/>
      <c r="AQ24" s="4"/>
    </row>
    <row r="25" spans="24:43" x14ac:dyDescent="0.35">
      <c r="AG25" s="307" t="s">
        <v>12</v>
      </c>
      <c r="AH25" s="4" t="s">
        <v>100</v>
      </c>
      <c r="AI25" s="4" t="s">
        <v>105</v>
      </c>
      <c r="AJ25" s="4" t="s">
        <v>1713</v>
      </c>
      <c r="AK25" s="112" t="s">
        <v>95</v>
      </c>
      <c r="AL25" s="112" t="s">
        <v>98</v>
      </c>
      <c r="AM25" s="112" t="s">
        <v>104</v>
      </c>
      <c r="AN25" s="112" t="s">
        <v>102</v>
      </c>
      <c r="AO25" s="112" t="s">
        <v>103</v>
      </c>
      <c r="AP25" s="112" t="s">
        <v>101</v>
      </c>
      <c r="AQ25" s="112" t="s">
        <v>1754</v>
      </c>
    </row>
    <row r="26" spans="24:43" x14ac:dyDescent="0.35">
      <c r="AG26" s="4" t="s">
        <v>4</v>
      </c>
      <c r="AH26" s="112">
        <v>0</v>
      </c>
      <c r="AI26" s="112">
        <v>0</v>
      </c>
      <c r="AJ26" s="112">
        <v>0</v>
      </c>
      <c r="AK26" s="112">
        <v>0</v>
      </c>
      <c r="AL26" s="112">
        <v>0</v>
      </c>
      <c r="AM26" s="112">
        <v>0</v>
      </c>
      <c r="AN26" s="112">
        <v>0</v>
      </c>
      <c r="AO26" s="112">
        <v>0</v>
      </c>
      <c r="AP26" s="112">
        <v>0</v>
      </c>
      <c r="AQ26" s="112">
        <v>0</v>
      </c>
    </row>
    <row r="27" spans="24:43" x14ac:dyDescent="0.35">
      <c r="AG27" s="4" t="s">
        <v>3</v>
      </c>
      <c r="AH27" s="112">
        <v>0</v>
      </c>
      <c r="AI27" s="112">
        <v>0</v>
      </c>
      <c r="AJ27" s="112">
        <v>0</v>
      </c>
      <c r="AK27" s="112">
        <v>0</v>
      </c>
      <c r="AL27" s="112">
        <v>0</v>
      </c>
      <c r="AM27" s="112">
        <v>0</v>
      </c>
      <c r="AN27" s="112">
        <v>0</v>
      </c>
      <c r="AO27" s="112">
        <v>0</v>
      </c>
      <c r="AP27" s="112">
        <v>0</v>
      </c>
      <c r="AQ27" s="112">
        <v>0</v>
      </c>
    </row>
    <row r="28" spans="24:43" x14ac:dyDescent="0.35">
      <c r="AG28" s="4" t="s">
        <v>268</v>
      </c>
      <c r="AH28" s="112">
        <v>0.27214046822742471</v>
      </c>
      <c r="AI28" s="112">
        <v>0.46807576230617137</v>
      </c>
      <c r="AJ28" s="112">
        <v>2.3635787396719699</v>
      </c>
      <c r="AK28" s="112">
        <v>0</v>
      </c>
      <c r="AL28" s="112">
        <v>0</v>
      </c>
      <c r="AM28" s="112">
        <v>0</v>
      </c>
      <c r="AN28" s="112">
        <v>0</v>
      </c>
      <c r="AO28" s="112">
        <v>0</v>
      </c>
      <c r="AP28" s="112">
        <v>0</v>
      </c>
      <c r="AQ28" s="112">
        <v>0.99434112686853215</v>
      </c>
    </row>
    <row r="29" spans="24:43" x14ac:dyDescent="0.35">
      <c r="AG29" s="4" t="s">
        <v>128</v>
      </c>
      <c r="AH29" s="112">
        <v>0.23968337314859056</v>
      </c>
      <c r="AI29" s="112">
        <v>0.30284868352586114</v>
      </c>
      <c r="AJ29" s="112">
        <v>1.7835324947589097</v>
      </c>
      <c r="AK29" s="112">
        <v>0</v>
      </c>
      <c r="AL29" s="112">
        <v>0</v>
      </c>
      <c r="AM29" s="112">
        <v>0</v>
      </c>
      <c r="AN29" s="112">
        <v>0</v>
      </c>
      <c r="AO29" s="112">
        <v>0</v>
      </c>
      <c r="AP29" s="112">
        <v>0</v>
      </c>
      <c r="AQ29" s="112">
        <v>0.74278908394020704</v>
      </c>
    </row>
    <row r="30" spans="24:43" x14ac:dyDescent="0.35">
      <c r="AG30" s="4" t="s">
        <v>7</v>
      </c>
      <c r="AH30" s="112">
        <v>0</v>
      </c>
      <c r="AI30" s="112">
        <v>0</v>
      </c>
      <c r="AJ30" s="112">
        <v>0</v>
      </c>
      <c r="AK30" s="112">
        <v>0</v>
      </c>
      <c r="AL30" s="112">
        <v>0</v>
      </c>
      <c r="AM30" s="112">
        <v>0</v>
      </c>
      <c r="AN30" s="112">
        <v>0</v>
      </c>
      <c r="AO30" s="112">
        <v>0</v>
      </c>
      <c r="AP30" s="112">
        <v>0</v>
      </c>
      <c r="AQ30" s="112">
        <v>0</v>
      </c>
    </row>
    <row r="31" spans="24:43" x14ac:dyDescent="0.35">
      <c r="AG31" s="4" t="s">
        <v>268</v>
      </c>
      <c r="AH31" s="112">
        <v>0.15519924098671728</v>
      </c>
      <c r="AI31" s="112">
        <v>0.25097921478060048</v>
      </c>
      <c r="AJ31" s="112">
        <v>0.55268304204062346</v>
      </c>
      <c r="AK31" s="112">
        <v>0</v>
      </c>
      <c r="AL31" s="112">
        <v>0</v>
      </c>
      <c r="AM31" s="112">
        <v>0</v>
      </c>
      <c r="AN31" s="112">
        <v>0</v>
      </c>
      <c r="AO31" s="112">
        <v>0</v>
      </c>
      <c r="AP31" s="112">
        <v>0</v>
      </c>
      <c r="AQ31" s="112">
        <v>0.31933646322378717</v>
      </c>
    </row>
    <row r="32" spans="24:43" x14ac:dyDescent="0.35">
      <c r="AG32" s="4" t="s">
        <v>128</v>
      </c>
      <c r="AH32" s="112">
        <v>-0.21106650853889958</v>
      </c>
      <c r="AI32" s="112">
        <v>0.64660969976905303</v>
      </c>
      <c r="AJ32" s="112">
        <v>0.69749173358526229</v>
      </c>
      <c r="AK32" s="112">
        <v>0</v>
      </c>
      <c r="AL32" s="112">
        <v>0</v>
      </c>
      <c r="AM32" s="112">
        <v>0</v>
      </c>
      <c r="AN32" s="112">
        <v>0</v>
      </c>
      <c r="AO32" s="112">
        <v>0</v>
      </c>
      <c r="AP32" s="112">
        <v>0</v>
      </c>
      <c r="AQ32" s="112">
        <v>0.38052766823161183</v>
      </c>
    </row>
    <row r="33" spans="33:43" x14ac:dyDescent="0.35">
      <c r="AG33" s="4" t="s">
        <v>11</v>
      </c>
      <c r="AH33" s="112">
        <v>0</v>
      </c>
      <c r="AI33" s="112">
        <v>0</v>
      </c>
      <c r="AJ33" s="112">
        <v>0</v>
      </c>
      <c r="AK33" s="112">
        <v>0</v>
      </c>
      <c r="AL33" s="112">
        <v>0</v>
      </c>
      <c r="AM33" s="112">
        <v>0</v>
      </c>
      <c r="AN33" s="112">
        <v>0</v>
      </c>
      <c r="AO33" s="112">
        <v>0</v>
      </c>
      <c r="AP33" s="112">
        <v>0</v>
      </c>
      <c r="AQ33" s="112">
        <v>0</v>
      </c>
    </row>
    <row r="34" spans="33:43" x14ac:dyDescent="0.35">
      <c r="AG34" s="4" t="s">
        <v>15</v>
      </c>
      <c r="AH34" s="112">
        <v>0</v>
      </c>
      <c r="AI34" s="112">
        <v>0</v>
      </c>
      <c r="AJ34" s="112">
        <v>0</v>
      </c>
      <c r="AK34" s="112">
        <v>0</v>
      </c>
      <c r="AL34" s="112">
        <v>0</v>
      </c>
      <c r="AM34" s="112">
        <v>0</v>
      </c>
      <c r="AN34" s="112">
        <v>0</v>
      </c>
      <c r="AO34" s="112">
        <v>0</v>
      </c>
      <c r="AP34" s="112">
        <v>0</v>
      </c>
      <c r="AQ34" s="531">
        <v>0</v>
      </c>
    </row>
    <row r="35" spans="33:43" x14ac:dyDescent="0.35">
      <c r="AG35" s="4" t="s">
        <v>268</v>
      </c>
      <c r="AH35" s="112">
        <v>0</v>
      </c>
      <c r="AI35" s="112">
        <v>0</v>
      </c>
      <c r="AJ35" s="112">
        <v>0</v>
      </c>
      <c r="AK35" s="112">
        <v>0.43726809748999645</v>
      </c>
      <c r="AL35" s="112">
        <v>0</v>
      </c>
      <c r="AM35" s="112">
        <v>0.31</v>
      </c>
      <c r="AN35" s="112">
        <v>0</v>
      </c>
      <c r="AO35" s="112">
        <v>4.1500000000000004</v>
      </c>
      <c r="AP35" s="112">
        <v>0</v>
      </c>
      <c r="AQ35" s="112">
        <v>1.5123613128085973</v>
      </c>
    </row>
    <row r="36" spans="33:43" x14ac:dyDescent="0.35">
      <c r="AG36" s="4" t="s">
        <v>128</v>
      </c>
      <c r="AH36" s="112">
        <v>0</v>
      </c>
      <c r="AI36" s="112">
        <v>0</v>
      </c>
      <c r="AJ36" s="112">
        <v>0</v>
      </c>
      <c r="AK36" s="112">
        <v>0.38037831938886874</v>
      </c>
      <c r="AL36" s="112">
        <v>0</v>
      </c>
      <c r="AM36" s="112">
        <v>1.4276423745173745</v>
      </c>
      <c r="AN36" s="112">
        <v>0</v>
      </c>
      <c r="AO36" s="112">
        <v>4.6196561743341409</v>
      </c>
      <c r="AP36" s="112">
        <v>0</v>
      </c>
      <c r="AQ36" s="112">
        <v>3.31044583212315</v>
      </c>
    </row>
    <row r="37" spans="33:43" x14ac:dyDescent="0.35">
      <c r="AG37" s="4" t="s">
        <v>10</v>
      </c>
      <c r="AH37" s="112">
        <v>0</v>
      </c>
      <c r="AI37" s="112">
        <v>0</v>
      </c>
      <c r="AJ37" s="112">
        <v>0</v>
      </c>
      <c r="AK37" s="112">
        <v>0</v>
      </c>
      <c r="AL37" s="112">
        <v>0</v>
      </c>
      <c r="AM37" s="112">
        <v>0</v>
      </c>
      <c r="AN37" s="112">
        <v>0</v>
      </c>
      <c r="AO37" s="112">
        <v>0</v>
      </c>
      <c r="AP37" s="112">
        <v>0</v>
      </c>
      <c r="AQ37" s="361">
        <v>0</v>
      </c>
    </row>
    <row r="38" spans="33:43" x14ac:dyDescent="0.35">
      <c r="AG38" s="4" t="s">
        <v>268</v>
      </c>
      <c r="AH38" s="112">
        <v>0</v>
      </c>
      <c r="AI38" s="112">
        <v>0</v>
      </c>
      <c r="AJ38" s="112">
        <v>0</v>
      </c>
      <c r="AK38" s="112">
        <v>-3.9550000000000001</v>
      </c>
      <c r="AL38" s="112">
        <v>-3.9856640836186701</v>
      </c>
      <c r="AM38" s="112">
        <v>-3.7197078975838442</v>
      </c>
      <c r="AN38" s="112">
        <v>-4.1723660714285717</v>
      </c>
      <c r="AO38" s="112">
        <v>-4.2104240282685517</v>
      </c>
      <c r="AP38" s="112">
        <v>-6.2954086697551288</v>
      </c>
      <c r="AQ38" s="112">
        <v>-4.5242240133005636</v>
      </c>
    </row>
    <row r="39" spans="33:43" x14ac:dyDescent="0.35">
      <c r="AG39" s="4" t="s">
        <v>128</v>
      </c>
      <c r="AH39" s="112">
        <v>0</v>
      </c>
      <c r="AI39" s="112">
        <v>0</v>
      </c>
      <c r="AJ39" s="112">
        <v>0</v>
      </c>
      <c r="AK39" s="112">
        <v>-4.1263571428571426</v>
      </c>
      <c r="AL39" s="112">
        <v>-4.0123076229951353</v>
      </c>
      <c r="AM39" s="112">
        <v>-3.6294194013703573</v>
      </c>
      <c r="AN39" s="112">
        <v>-4.2861734693877551</v>
      </c>
      <c r="AO39" s="112">
        <v>-1.1821095406360411</v>
      </c>
      <c r="AP39" s="112">
        <v>-6.5010258107213765</v>
      </c>
      <c r="AQ39" s="112">
        <v>-4.3074969278588995</v>
      </c>
    </row>
    <row r="40" spans="33:43" x14ac:dyDescent="0.35">
      <c r="AG40" s="4" t="s">
        <v>44</v>
      </c>
      <c r="AH40" s="112">
        <v>0</v>
      </c>
      <c r="AI40" s="112">
        <v>0</v>
      </c>
      <c r="AJ40" s="112">
        <v>0</v>
      </c>
      <c r="AK40" s="112">
        <v>0</v>
      </c>
      <c r="AL40" s="112">
        <v>0</v>
      </c>
      <c r="AM40" s="112">
        <v>0</v>
      </c>
      <c r="AN40" s="112">
        <v>0</v>
      </c>
      <c r="AO40" s="112">
        <v>0</v>
      </c>
      <c r="AP40" s="112">
        <v>0</v>
      </c>
      <c r="AQ40" s="112">
        <v>0</v>
      </c>
    </row>
    <row r="41" spans="33:43" x14ac:dyDescent="0.35">
      <c r="AG41" s="4" t="s">
        <v>268</v>
      </c>
      <c r="AH41" s="112">
        <v>0</v>
      </c>
      <c r="AI41" s="112">
        <v>0</v>
      </c>
      <c r="AJ41" s="112">
        <v>0</v>
      </c>
      <c r="AK41" s="112">
        <v>0</v>
      </c>
      <c r="AL41" s="112">
        <v>0.69</v>
      </c>
      <c r="AM41" s="112">
        <v>0</v>
      </c>
      <c r="AN41" s="112">
        <v>0</v>
      </c>
      <c r="AO41" s="112">
        <v>0</v>
      </c>
      <c r="AP41" s="112">
        <v>0</v>
      </c>
      <c r="AQ41" s="112">
        <v>0.69</v>
      </c>
    </row>
    <row r="42" spans="33:43" x14ac:dyDescent="0.35">
      <c r="AG42" s="4" t="s">
        <v>128</v>
      </c>
      <c r="AH42" s="112">
        <v>0</v>
      </c>
      <c r="AI42" s="112">
        <v>0</v>
      </c>
      <c r="AJ42" s="112">
        <v>0</v>
      </c>
      <c r="AK42" s="112">
        <v>0</v>
      </c>
      <c r="AL42" s="112">
        <v>28.864166666666666</v>
      </c>
      <c r="AM42" s="112">
        <v>0</v>
      </c>
      <c r="AN42" s="112">
        <v>0</v>
      </c>
      <c r="AO42" s="112">
        <v>0</v>
      </c>
      <c r="AP42" s="112">
        <v>0</v>
      </c>
      <c r="AQ42" s="112">
        <v>279.69749999999999</v>
      </c>
    </row>
    <row r="43" spans="33:43" x14ac:dyDescent="0.35">
      <c r="AG43" s="4" t="s">
        <v>1754</v>
      </c>
      <c r="AH43" s="112">
        <v>0</v>
      </c>
      <c r="AI43" s="112">
        <v>0</v>
      </c>
      <c r="AJ43" s="112">
        <v>0</v>
      </c>
      <c r="AK43" s="360">
        <v>0</v>
      </c>
      <c r="AL43" s="360">
        <v>0</v>
      </c>
      <c r="AM43" s="360">
        <v>0</v>
      </c>
      <c r="AN43" s="360">
        <v>0</v>
      </c>
      <c r="AO43" s="361">
        <v>0</v>
      </c>
      <c r="AP43" s="361">
        <v>0</v>
      </c>
      <c r="AQ43" s="360">
        <v>0</v>
      </c>
    </row>
    <row r="46" spans="33:43" x14ac:dyDescent="0.35">
      <c r="AG46" s="307" t="s">
        <v>1751</v>
      </c>
      <c r="AH46" s="307" t="s">
        <v>121</v>
      </c>
      <c r="AI46" s="4"/>
      <c r="AJ46" s="4"/>
      <c r="AK46" s="4"/>
      <c r="AL46" s="4"/>
      <c r="AM46" s="4"/>
      <c r="AN46" s="4"/>
    </row>
    <row r="47" spans="33:43" x14ac:dyDescent="0.35">
      <c r="AG47" s="307" t="s">
        <v>12</v>
      </c>
      <c r="AH47" s="4" t="s">
        <v>22</v>
      </c>
      <c r="AI47" s="4" t="s">
        <v>15</v>
      </c>
      <c r="AJ47" s="4" t="s">
        <v>44</v>
      </c>
      <c r="AK47" s="4" t="s">
        <v>7</v>
      </c>
      <c r="AL47" s="4" t="s">
        <v>10</v>
      </c>
      <c r="AM47" s="4" t="s">
        <v>3</v>
      </c>
      <c r="AN47" s="4" t="s">
        <v>1754</v>
      </c>
    </row>
    <row r="48" spans="33:43" x14ac:dyDescent="0.35">
      <c r="AG48" s="4" t="s">
        <v>4</v>
      </c>
      <c r="AH48" s="308"/>
      <c r="AI48" s="308"/>
      <c r="AJ48" s="308"/>
      <c r="AK48" s="308">
        <v>-0.15374999999949068</v>
      </c>
      <c r="AL48" s="308"/>
      <c r="AM48" s="308">
        <v>-0.16820000000006985</v>
      </c>
      <c r="AN48" s="308">
        <v>-0.32194999999956053</v>
      </c>
    </row>
    <row r="49" spans="33:40" x14ac:dyDescent="0.35">
      <c r="AG49" s="4" t="s">
        <v>99</v>
      </c>
      <c r="AH49" s="308"/>
      <c r="AI49" s="308"/>
      <c r="AJ49" s="308"/>
      <c r="AK49" s="308">
        <v>0</v>
      </c>
      <c r="AL49" s="308"/>
      <c r="AM49" s="308">
        <v>0</v>
      </c>
      <c r="AN49" s="308">
        <v>0</v>
      </c>
    </row>
    <row r="50" spans="33:40" x14ac:dyDescent="0.35">
      <c r="AG50" s="4" t="s">
        <v>268</v>
      </c>
      <c r="AH50" s="308"/>
      <c r="AI50" s="308"/>
      <c r="AJ50" s="308"/>
      <c r="AK50" s="308">
        <v>-4754</v>
      </c>
      <c r="AL50" s="308"/>
      <c r="AM50" s="308">
        <v>-6471</v>
      </c>
      <c r="AN50" s="308">
        <v>-11225</v>
      </c>
    </row>
    <row r="51" spans="33:40" x14ac:dyDescent="0.35">
      <c r="AG51" s="4" t="s">
        <v>128</v>
      </c>
      <c r="AH51" s="308"/>
      <c r="AI51" s="308"/>
      <c r="AJ51" s="308"/>
      <c r="AK51" s="308">
        <v>4754</v>
      </c>
      <c r="AL51" s="308"/>
      <c r="AM51" s="308">
        <v>6471</v>
      </c>
      <c r="AN51" s="308">
        <v>11225</v>
      </c>
    </row>
    <row r="52" spans="33:40" x14ac:dyDescent="0.35">
      <c r="AG52" s="4" t="s">
        <v>100</v>
      </c>
      <c r="AH52" s="308"/>
      <c r="AI52" s="308"/>
      <c r="AJ52" s="308"/>
      <c r="AK52" s="308">
        <v>0</v>
      </c>
      <c r="AL52" s="308"/>
      <c r="AM52" s="308">
        <v>0</v>
      </c>
      <c r="AN52" s="308">
        <v>0</v>
      </c>
    </row>
    <row r="53" spans="33:40" x14ac:dyDescent="0.35">
      <c r="AG53" s="4" t="s">
        <v>268</v>
      </c>
      <c r="AH53" s="308"/>
      <c r="AI53" s="308"/>
      <c r="AJ53" s="308"/>
      <c r="AK53" s="308">
        <v>-2108</v>
      </c>
      <c r="AL53" s="308"/>
      <c r="AM53" s="308">
        <v>-8372</v>
      </c>
      <c r="AN53" s="308">
        <v>-10480</v>
      </c>
    </row>
    <row r="54" spans="33:40" x14ac:dyDescent="0.35">
      <c r="AG54" s="4" t="s">
        <v>128</v>
      </c>
      <c r="AH54" s="308"/>
      <c r="AI54" s="308"/>
      <c r="AJ54" s="308"/>
      <c r="AK54" s="308">
        <v>2108</v>
      </c>
      <c r="AL54" s="308"/>
      <c r="AM54" s="308">
        <v>8372</v>
      </c>
      <c r="AN54" s="308">
        <v>10480</v>
      </c>
    </row>
    <row r="55" spans="33:40" x14ac:dyDescent="0.35">
      <c r="AG55" s="4" t="s">
        <v>105</v>
      </c>
      <c r="AH55" s="308"/>
      <c r="AI55" s="308"/>
      <c r="AJ55" s="308"/>
      <c r="AK55" s="308">
        <v>0</v>
      </c>
      <c r="AL55" s="308"/>
      <c r="AM55" s="308">
        <v>0</v>
      </c>
      <c r="AN55" s="308">
        <v>0</v>
      </c>
    </row>
    <row r="56" spans="33:40" x14ac:dyDescent="0.35">
      <c r="AG56" s="4" t="s">
        <v>268</v>
      </c>
      <c r="AH56" s="308"/>
      <c r="AI56" s="308"/>
      <c r="AJ56" s="308"/>
      <c r="AK56" s="308">
        <v>-2165</v>
      </c>
      <c r="AL56" s="308"/>
      <c r="AM56" s="308">
        <v>-9609</v>
      </c>
      <c r="AN56" s="308">
        <v>-11774</v>
      </c>
    </row>
    <row r="57" spans="33:40" x14ac:dyDescent="0.35">
      <c r="AG57" s="4" t="s">
        <v>128</v>
      </c>
      <c r="AH57" s="308"/>
      <c r="AI57" s="308"/>
      <c r="AJ57" s="308"/>
      <c r="AK57" s="308">
        <v>2165</v>
      </c>
      <c r="AL57" s="308"/>
      <c r="AM57" s="308">
        <v>9609</v>
      </c>
      <c r="AN57" s="308">
        <v>11774</v>
      </c>
    </row>
    <row r="58" spans="33:40" x14ac:dyDescent="0.35">
      <c r="AG58" s="4" t="s">
        <v>1713</v>
      </c>
      <c r="AH58" s="308"/>
      <c r="AI58" s="308"/>
      <c r="AJ58" s="308"/>
      <c r="AK58" s="308">
        <v>0</v>
      </c>
      <c r="AL58" s="308"/>
      <c r="AM58" s="308">
        <v>0</v>
      </c>
      <c r="AN58" s="308">
        <v>0</v>
      </c>
    </row>
    <row r="59" spans="33:40" x14ac:dyDescent="0.35">
      <c r="AG59" s="4" t="s">
        <v>268</v>
      </c>
      <c r="AH59" s="308"/>
      <c r="AI59" s="308"/>
      <c r="AJ59" s="308"/>
      <c r="AK59" s="308">
        <v>-2117</v>
      </c>
      <c r="AL59" s="308"/>
      <c r="AM59" s="308">
        <v>-8109</v>
      </c>
      <c r="AN59" s="308">
        <v>-10226</v>
      </c>
    </row>
    <row r="60" spans="33:40" x14ac:dyDescent="0.35">
      <c r="AG60" s="4" t="s">
        <v>128</v>
      </c>
      <c r="AH60" s="308"/>
      <c r="AI60" s="308"/>
      <c r="AJ60" s="308"/>
      <c r="AK60" s="308">
        <v>2117</v>
      </c>
      <c r="AL60" s="308"/>
      <c r="AM60" s="308">
        <v>8109</v>
      </c>
      <c r="AN60" s="308">
        <v>10226</v>
      </c>
    </row>
    <row r="61" spans="33:40" x14ac:dyDescent="0.35">
      <c r="AG61" s="4" t="s">
        <v>1973</v>
      </c>
      <c r="AH61" s="308"/>
      <c r="AI61" s="308"/>
      <c r="AJ61" s="308"/>
      <c r="AK61" s="308">
        <v>0</v>
      </c>
      <c r="AL61" s="308"/>
      <c r="AM61" s="308">
        <v>0</v>
      </c>
      <c r="AN61" s="308">
        <v>0</v>
      </c>
    </row>
    <row r="62" spans="33:40" x14ac:dyDescent="0.35">
      <c r="AG62" s="4" t="s">
        <v>268</v>
      </c>
      <c r="AH62" s="308"/>
      <c r="AI62" s="308"/>
      <c r="AJ62" s="308"/>
      <c r="AK62" s="308">
        <v>-5950</v>
      </c>
      <c r="AL62" s="308"/>
      <c r="AM62" s="308">
        <v>-6965</v>
      </c>
      <c r="AN62" s="308">
        <v>-12915</v>
      </c>
    </row>
    <row r="63" spans="33:40" x14ac:dyDescent="0.35">
      <c r="AG63" s="4" t="s">
        <v>128</v>
      </c>
      <c r="AH63" s="308"/>
      <c r="AI63" s="308"/>
      <c r="AJ63" s="308"/>
      <c r="AK63" s="308">
        <v>5950</v>
      </c>
      <c r="AL63" s="308"/>
      <c r="AM63" s="308">
        <v>6965</v>
      </c>
      <c r="AN63" s="308">
        <v>12915</v>
      </c>
    </row>
    <row r="64" spans="33:40" x14ac:dyDescent="0.35">
      <c r="AG64" s="4" t="s">
        <v>1758</v>
      </c>
      <c r="AH64" s="308"/>
      <c r="AI64" s="308"/>
      <c r="AJ64" s="308"/>
      <c r="AK64" s="308">
        <v>-0.15374999999994543</v>
      </c>
      <c r="AL64" s="308"/>
      <c r="AM64" s="308">
        <v>0</v>
      </c>
      <c r="AN64" s="308">
        <v>-0.15374999999949068</v>
      </c>
    </row>
    <row r="65" spans="33:40" x14ac:dyDescent="0.35">
      <c r="AG65" s="4" t="s">
        <v>268</v>
      </c>
      <c r="AH65" s="308"/>
      <c r="AI65" s="308"/>
      <c r="AJ65" s="308"/>
      <c r="AK65" s="308">
        <v>-2289.1537499999999</v>
      </c>
      <c r="AL65" s="308"/>
      <c r="AM65" s="308">
        <v>-6385</v>
      </c>
      <c r="AN65" s="308">
        <v>-8674.1537499999995</v>
      </c>
    </row>
    <row r="66" spans="33:40" x14ac:dyDescent="0.35">
      <c r="AG66" s="4" t="s">
        <v>128</v>
      </c>
      <c r="AH66" s="308"/>
      <c r="AI66" s="308"/>
      <c r="AJ66" s="308"/>
      <c r="AK66" s="308">
        <v>2289</v>
      </c>
      <c r="AL66" s="308"/>
      <c r="AM66" s="308">
        <v>6385</v>
      </c>
      <c r="AN66" s="308">
        <v>8674</v>
      </c>
    </row>
    <row r="67" spans="33:40" x14ac:dyDescent="0.35">
      <c r="AG67" s="4" t="s">
        <v>1761</v>
      </c>
      <c r="AH67" s="308"/>
      <c r="AI67" s="308"/>
      <c r="AJ67" s="308"/>
      <c r="AK67" s="308">
        <v>0</v>
      </c>
      <c r="AL67" s="308"/>
      <c r="AM67" s="308">
        <v>-0.16820000000006985</v>
      </c>
      <c r="AN67" s="308">
        <v>-0.16820000000006985</v>
      </c>
    </row>
    <row r="68" spans="33:40" x14ac:dyDescent="0.35">
      <c r="AG68" s="4" t="s">
        <v>268</v>
      </c>
      <c r="AH68" s="308"/>
      <c r="AI68" s="308"/>
      <c r="AJ68" s="308"/>
      <c r="AK68" s="308">
        <v>-4340</v>
      </c>
      <c r="AL68" s="308"/>
      <c r="AM68" s="308">
        <v>-778.16820000000007</v>
      </c>
      <c r="AN68" s="308">
        <v>-5118.1682000000001</v>
      </c>
    </row>
    <row r="69" spans="33:40" x14ac:dyDescent="0.35">
      <c r="AG69" s="4" t="s">
        <v>128</v>
      </c>
      <c r="AH69" s="308"/>
      <c r="AI69" s="308"/>
      <c r="AJ69" s="308"/>
      <c r="AK69" s="308">
        <v>4340</v>
      </c>
      <c r="AL69" s="308"/>
      <c r="AM69" s="308">
        <v>778</v>
      </c>
      <c r="AN69" s="308">
        <v>5118</v>
      </c>
    </row>
    <row r="70" spans="33:40" x14ac:dyDescent="0.35">
      <c r="AG70" s="4" t="s">
        <v>1762</v>
      </c>
      <c r="AH70" s="308"/>
      <c r="AI70" s="308"/>
      <c r="AJ70" s="308"/>
      <c r="AK70" s="308">
        <v>0</v>
      </c>
      <c r="AL70" s="308"/>
      <c r="AM70" s="308"/>
      <c r="AN70" s="308">
        <v>0</v>
      </c>
    </row>
    <row r="71" spans="33:40" x14ac:dyDescent="0.35">
      <c r="AG71" s="4" t="s">
        <v>268</v>
      </c>
      <c r="AH71" s="308"/>
      <c r="AI71" s="308"/>
      <c r="AJ71" s="308"/>
      <c r="AK71" s="308"/>
      <c r="AL71" s="308"/>
      <c r="AM71" s="308"/>
      <c r="AN71" s="308"/>
    </row>
    <row r="72" spans="33:40" x14ac:dyDescent="0.35">
      <c r="AG72" s="4" t="s">
        <v>128</v>
      </c>
      <c r="AH72" s="308"/>
      <c r="AI72" s="308"/>
      <c r="AJ72" s="308"/>
      <c r="AK72" s="308">
        <v>0</v>
      </c>
      <c r="AL72" s="308"/>
      <c r="AM72" s="308"/>
      <c r="AN72" s="308">
        <v>0</v>
      </c>
    </row>
    <row r="73" spans="33:40" x14ac:dyDescent="0.35">
      <c r="AG73" s="4" t="s">
        <v>11</v>
      </c>
      <c r="AH73" s="308">
        <v>0</v>
      </c>
      <c r="AI73" s="308">
        <v>0</v>
      </c>
      <c r="AJ73" s="308">
        <v>0</v>
      </c>
      <c r="AK73" s="308"/>
      <c r="AL73" s="308">
        <v>0</v>
      </c>
      <c r="AM73" s="308"/>
      <c r="AN73" s="308">
        <v>0</v>
      </c>
    </row>
    <row r="74" spans="33:40" x14ac:dyDescent="0.35">
      <c r="AG74" s="4" t="s">
        <v>95</v>
      </c>
      <c r="AH74" s="308">
        <v>0</v>
      </c>
      <c r="AI74" s="308">
        <v>0</v>
      </c>
      <c r="AJ74" s="308"/>
      <c r="AK74" s="308"/>
      <c r="AL74" s="308">
        <v>0</v>
      </c>
      <c r="AM74" s="308"/>
      <c r="AN74" s="308">
        <v>0</v>
      </c>
    </row>
    <row r="75" spans="33:40" x14ac:dyDescent="0.35">
      <c r="AG75" s="4" t="s">
        <v>268</v>
      </c>
      <c r="AH75" s="308"/>
      <c r="AI75" s="308">
        <v>2749</v>
      </c>
      <c r="AJ75" s="308"/>
      <c r="AK75" s="308"/>
      <c r="AL75" s="308">
        <v>-4200</v>
      </c>
      <c r="AM75" s="308"/>
      <c r="AN75" s="308">
        <v>-1451</v>
      </c>
    </row>
    <row r="76" spans="33:40" x14ac:dyDescent="0.35">
      <c r="AG76" s="4" t="s">
        <v>128</v>
      </c>
      <c r="AH76" s="308">
        <v>0</v>
      </c>
      <c r="AI76" s="308">
        <v>-2749</v>
      </c>
      <c r="AJ76" s="308"/>
      <c r="AK76" s="308"/>
      <c r="AL76" s="308">
        <v>4200</v>
      </c>
      <c r="AM76" s="308"/>
      <c r="AN76" s="308">
        <v>1451</v>
      </c>
    </row>
    <row r="77" spans="33:40" x14ac:dyDescent="0.35">
      <c r="AG77" s="4" t="s">
        <v>98</v>
      </c>
      <c r="AH77" s="308">
        <v>0</v>
      </c>
      <c r="AI77" s="308">
        <v>0</v>
      </c>
      <c r="AJ77" s="308">
        <v>0</v>
      </c>
      <c r="AK77" s="308"/>
      <c r="AL77" s="308">
        <v>0</v>
      </c>
      <c r="AM77" s="308"/>
      <c r="AN77" s="308">
        <v>0</v>
      </c>
    </row>
    <row r="78" spans="33:40" x14ac:dyDescent="0.35">
      <c r="AG78" s="4" t="s">
        <v>268</v>
      </c>
      <c r="AH78" s="308"/>
      <c r="AI78" s="308"/>
      <c r="AJ78" s="308">
        <v>12</v>
      </c>
      <c r="AK78" s="308"/>
      <c r="AL78" s="308">
        <v>-5549</v>
      </c>
      <c r="AM78" s="308"/>
      <c r="AN78" s="308">
        <v>-5537</v>
      </c>
    </row>
    <row r="79" spans="33:40" x14ac:dyDescent="0.35">
      <c r="AG79" s="4" t="s">
        <v>128</v>
      </c>
      <c r="AH79" s="308">
        <v>0</v>
      </c>
      <c r="AI79" s="308">
        <v>0</v>
      </c>
      <c r="AJ79" s="308">
        <v>-12</v>
      </c>
      <c r="AK79" s="308"/>
      <c r="AL79" s="308">
        <v>5549</v>
      </c>
      <c r="AM79" s="308"/>
      <c r="AN79" s="308">
        <v>5537</v>
      </c>
    </row>
    <row r="80" spans="33:40" x14ac:dyDescent="0.35">
      <c r="AG80" s="4" t="s">
        <v>104</v>
      </c>
      <c r="AH80" s="308"/>
      <c r="AI80" s="308">
        <v>0</v>
      </c>
      <c r="AJ80" s="308"/>
      <c r="AK80" s="308"/>
      <c r="AL80" s="308">
        <v>0</v>
      </c>
      <c r="AM80" s="308"/>
      <c r="AN80" s="308">
        <v>0</v>
      </c>
    </row>
    <row r="81" spans="33:40" x14ac:dyDescent="0.35">
      <c r="AG81" s="4" t="s">
        <v>268</v>
      </c>
      <c r="AH81" s="308"/>
      <c r="AI81" s="308">
        <v>2072</v>
      </c>
      <c r="AJ81" s="308"/>
      <c r="AK81" s="308"/>
      <c r="AL81" s="308">
        <v>-2773</v>
      </c>
      <c r="AM81" s="308"/>
      <c r="AN81" s="308">
        <v>-701</v>
      </c>
    </row>
    <row r="82" spans="33:40" x14ac:dyDescent="0.35">
      <c r="AG82" s="4" t="s">
        <v>128</v>
      </c>
      <c r="AH82" s="308"/>
      <c r="AI82" s="308">
        <v>-2072</v>
      </c>
      <c r="AJ82" s="308"/>
      <c r="AK82" s="308"/>
      <c r="AL82" s="308">
        <v>2773</v>
      </c>
      <c r="AM82" s="308"/>
      <c r="AN82" s="308">
        <v>701</v>
      </c>
    </row>
    <row r="83" spans="33:40" x14ac:dyDescent="0.35">
      <c r="AG83" s="4" t="s">
        <v>102</v>
      </c>
      <c r="AH83" s="308"/>
      <c r="AI83" s="308">
        <v>0</v>
      </c>
      <c r="AJ83" s="308"/>
      <c r="AK83" s="308"/>
      <c r="AL83" s="308">
        <v>0</v>
      </c>
      <c r="AM83" s="308"/>
      <c r="AN83" s="308">
        <v>0</v>
      </c>
    </row>
    <row r="84" spans="33:40" x14ac:dyDescent="0.35">
      <c r="AG84" s="4" t="s">
        <v>268</v>
      </c>
      <c r="AH84" s="308"/>
      <c r="AI84" s="308"/>
      <c r="AJ84" s="308"/>
      <c r="AK84" s="308"/>
      <c r="AL84" s="308">
        <v>-6272</v>
      </c>
      <c r="AM84" s="308"/>
      <c r="AN84" s="308">
        <v>-6272</v>
      </c>
    </row>
    <row r="85" spans="33:40" x14ac:dyDescent="0.35">
      <c r="AG85" s="4" t="s">
        <v>128</v>
      </c>
      <c r="AH85" s="308"/>
      <c r="AI85" s="308">
        <v>0</v>
      </c>
      <c r="AJ85" s="308"/>
      <c r="AK85" s="308"/>
      <c r="AL85" s="308">
        <v>6272</v>
      </c>
      <c r="AM85" s="308"/>
      <c r="AN85" s="308">
        <v>6272</v>
      </c>
    </row>
    <row r="86" spans="33:40" x14ac:dyDescent="0.35">
      <c r="AG86" s="4" t="s">
        <v>103</v>
      </c>
      <c r="AH86" s="308"/>
      <c r="AI86" s="308">
        <v>0</v>
      </c>
      <c r="AJ86" s="308">
        <v>0</v>
      </c>
      <c r="AK86" s="308"/>
      <c r="AL86" s="308">
        <v>0</v>
      </c>
      <c r="AM86" s="308"/>
      <c r="AN86" s="308">
        <v>0</v>
      </c>
    </row>
    <row r="87" spans="33:40" x14ac:dyDescent="0.35">
      <c r="AG87" s="4" t="s">
        <v>268</v>
      </c>
      <c r="AH87" s="308"/>
      <c r="AI87" s="308">
        <v>2065</v>
      </c>
      <c r="AJ87" s="308"/>
      <c r="AK87" s="308"/>
      <c r="AL87" s="308">
        <v>-2830</v>
      </c>
      <c r="AM87" s="308"/>
      <c r="AN87" s="308">
        <v>-765</v>
      </c>
    </row>
    <row r="88" spans="33:40" x14ac:dyDescent="0.35">
      <c r="AG88" s="4" t="s">
        <v>128</v>
      </c>
      <c r="AH88" s="308"/>
      <c r="AI88" s="308">
        <v>-2065</v>
      </c>
      <c r="AJ88" s="308">
        <v>0</v>
      </c>
      <c r="AK88" s="308"/>
      <c r="AL88" s="308">
        <v>2830</v>
      </c>
      <c r="AM88" s="308"/>
      <c r="AN88" s="308">
        <v>765</v>
      </c>
    </row>
    <row r="89" spans="33:40" x14ac:dyDescent="0.35">
      <c r="AG89" s="4" t="s">
        <v>101</v>
      </c>
      <c r="AH89" s="308"/>
      <c r="AI89" s="308">
        <v>0</v>
      </c>
      <c r="AJ89" s="308"/>
      <c r="AK89" s="308"/>
      <c r="AL89" s="308">
        <v>0</v>
      </c>
      <c r="AM89" s="308"/>
      <c r="AN89" s="308">
        <v>0</v>
      </c>
    </row>
    <row r="90" spans="33:40" x14ac:dyDescent="0.35">
      <c r="AG90" s="4" t="s">
        <v>268</v>
      </c>
      <c r="AH90" s="308"/>
      <c r="AI90" s="308"/>
      <c r="AJ90" s="308"/>
      <c r="AK90" s="308"/>
      <c r="AL90" s="308">
        <v>-6044</v>
      </c>
      <c r="AM90" s="308"/>
      <c r="AN90" s="308">
        <v>-6044</v>
      </c>
    </row>
    <row r="91" spans="33:40" x14ac:dyDescent="0.35">
      <c r="AG91" s="4" t="s">
        <v>128</v>
      </c>
      <c r="AH91" s="308"/>
      <c r="AI91" s="308">
        <v>0</v>
      </c>
      <c r="AJ91" s="308"/>
      <c r="AK91" s="308"/>
      <c r="AL91" s="308">
        <v>6044</v>
      </c>
      <c r="AM91" s="308"/>
      <c r="AN91" s="308">
        <v>6044</v>
      </c>
    </row>
    <row r="92" spans="33:40" x14ac:dyDescent="0.35">
      <c r="AG92" s="4" t="s">
        <v>1764</v>
      </c>
      <c r="AH92" s="308"/>
      <c r="AI92" s="308">
        <v>0</v>
      </c>
      <c r="AJ92" s="308"/>
      <c r="AK92" s="308"/>
      <c r="AL92" s="308">
        <v>0</v>
      </c>
      <c r="AM92" s="308"/>
      <c r="AN92" s="308">
        <v>0</v>
      </c>
    </row>
    <row r="93" spans="33:40" x14ac:dyDescent="0.35">
      <c r="AG93" s="4" t="s">
        <v>268</v>
      </c>
      <c r="AH93" s="308"/>
      <c r="AI93" s="308"/>
      <c r="AJ93" s="308"/>
      <c r="AK93" s="308"/>
      <c r="AL93" s="308">
        <v>-2065</v>
      </c>
      <c r="AM93" s="308"/>
      <c r="AN93" s="308">
        <v>-2065</v>
      </c>
    </row>
    <row r="94" spans="33:40" x14ac:dyDescent="0.35">
      <c r="AG94" s="4" t="s">
        <v>128</v>
      </c>
      <c r="AH94" s="308"/>
      <c r="AI94" s="308">
        <v>0</v>
      </c>
      <c r="AJ94" s="308"/>
      <c r="AK94" s="308"/>
      <c r="AL94" s="308">
        <v>2065</v>
      </c>
      <c r="AM94" s="308"/>
      <c r="AN94" s="308">
        <v>2065</v>
      </c>
    </row>
    <row r="95" spans="33:40" x14ac:dyDescent="0.35">
      <c r="AG95" s="4" t="s">
        <v>1766</v>
      </c>
      <c r="AH95" s="308"/>
      <c r="AI95" s="308">
        <v>0</v>
      </c>
      <c r="AJ95" s="308"/>
      <c r="AK95" s="308"/>
      <c r="AL95" s="308">
        <v>0</v>
      </c>
      <c r="AM95" s="308"/>
      <c r="AN95" s="308">
        <v>0</v>
      </c>
    </row>
    <row r="96" spans="33:40" x14ac:dyDescent="0.35">
      <c r="AG96" s="4" t="s">
        <v>268</v>
      </c>
      <c r="AH96" s="308"/>
      <c r="AI96" s="308"/>
      <c r="AJ96" s="308"/>
      <c r="AK96" s="308"/>
      <c r="AL96" s="308">
        <v>-4246</v>
      </c>
      <c r="AM96" s="308"/>
      <c r="AN96" s="308">
        <v>-4246</v>
      </c>
    </row>
    <row r="97" spans="33:40" x14ac:dyDescent="0.35">
      <c r="AG97" s="4" t="s">
        <v>128</v>
      </c>
      <c r="AH97" s="308"/>
      <c r="AI97" s="308">
        <v>0</v>
      </c>
      <c r="AJ97" s="308"/>
      <c r="AK97" s="308"/>
      <c r="AL97" s="308">
        <v>4246</v>
      </c>
      <c r="AM97" s="308"/>
      <c r="AN97" s="308">
        <v>4246</v>
      </c>
    </row>
    <row r="98" spans="33:40" x14ac:dyDescent="0.35">
      <c r="AG98" s="4" t="s">
        <v>1773</v>
      </c>
      <c r="AH98" s="308"/>
      <c r="AI98" s="308">
        <v>0</v>
      </c>
      <c r="AJ98" s="308"/>
      <c r="AK98" s="308"/>
      <c r="AL98" s="308"/>
      <c r="AM98" s="308"/>
      <c r="AN98" s="308">
        <v>0</v>
      </c>
    </row>
    <row r="99" spans="33:40" x14ac:dyDescent="0.35">
      <c r="AG99" s="4" t="s">
        <v>128</v>
      </c>
      <c r="AH99" s="308"/>
      <c r="AI99" s="308">
        <v>0</v>
      </c>
      <c r="AJ99" s="308"/>
      <c r="AK99" s="308"/>
      <c r="AL99" s="308"/>
      <c r="AM99" s="308"/>
      <c r="AN99" s="308">
        <v>0</v>
      </c>
    </row>
    <row r="100" spans="33:40" x14ac:dyDescent="0.35">
      <c r="AG100" s="4" t="s">
        <v>1974</v>
      </c>
      <c r="AH100" s="308"/>
      <c r="AI100" s="308"/>
      <c r="AJ100" s="308"/>
      <c r="AK100" s="308"/>
      <c r="AL100" s="308">
        <v>0</v>
      </c>
      <c r="AM100" s="308"/>
      <c r="AN100" s="308">
        <v>0</v>
      </c>
    </row>
    <row r="101" spans="33:40" x14ac:dyDescent="0.35">
      <c r="AG101" s="4" t="s">
        <v>268</v>
      </c>
      <c r="AH101" s="308"/>
      <c r="AI101" s="308"/>
      <c r="AJ101" s="308"/>
      <c r="AK101" s="308"/>
      <c r="AL101" s="308">
        <v>-1400</v>
      </c>
      <c r="AM101" s="308"/>
      <c r="AN101" s="308">
        <v>-1400</v>
      </c>
    </row>
    <row r="102" spans="33:40" x14ac:dyDescent="0.35">
      <c r="AG102" s="4" t="s">
        <v>128</v>
      </c>
      <c r="AH102" s="308"/>
      <c r="AI102" s="308"/>
      <c r="AJ102" s="308"/>
      <c r="AK102" s="308"/>
      <c r="AL102" s="308">
        <v>1400</v>
      </c>
      <c r="AM102" s="308"/>
      <c r="AN102" s="308">
        <v>1400</v>
      </c>
    </row>
    <row r="103" spans="33:40" x14ac:dyDescent="0.35">
      <c r="AG103" s="4" t="s">
        <v>1754</v>
      </c>
      <c r="AH103" s="308">
        <v>0</v>
      </c>
      <c r="AI103" s="308">
        <v>0</v>
      </c>
      <c r="AJ103" s="308">
        <v>0</v>
      </c>
      <c r="AK103" s="309">
        <v>-0.15374999999949068</v>
      </c>
      <c r="AL103" s="308">
        <v>0</v>
      </c>
      <c r="AM103" s="309">
        <v>-0.16820000000006985</v>
      </c>
      <c r="AN103" s="309">
        <v>-0.32194999999956053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8083-6AB4-4DCA-B058-DC5B6CBBB215}">
  <sheetPr codeName="Sheet8"/>
  <dimension ref="C1:Z126"/>
  <sheetViews>
    <sheetView topLeftCell="E86" zoomScale="85" zoomScaleNormal="85" workbookViewId="0">
      <selection activeCell="U117" sqref="U117"/>
    </sheetView>
  </sheetViews>
  <sheetFormatPr defaultRowHeight="14.5" x14ac:dyDescent="0.35"/>
  <cols>
    <col min="3" max="3" width="11.453125" bestFit="1" customWidth="1"/>
    <col min="4" max="4" width="27" bestFit="1" customWidth="1"/>
    <col min="5" max="5" width="11.7265625" bestFit="1" customWidth="1"/>
    <col min="6" max="6" width="9.7265625" bestFit="1" customWidth="1"/>
    <col min="12" max="12" width="14.453125" customWidth="1"/>
    <col min="13" max="13" width="17.7265625" customWidth="1"/>
    <col min="14" max="14" width="27" bestFit="1" customWidth="1"/>
    <col min="15" max="15" width="26" bestFit="1" customWidth="1"/>
    <col min="17" max="17" width="20" customWidth="1"/>
    <col min="18" max="18" width="9.453125" bestFit="1" customWidth="1"/>
  </cols>
  <sheetData>
    <row r="1" spans="3:18" x14ac:dyDescent="0.35">
      <c r="L1" t="s">
        <v>1717</v>
      </c>
      <c r="M1" t="s">
        <v>1715</v>
      </c>
      <c r="N1" t="s">
        <v>1716</v>
      </c>
      <c r="O1" t="s">
        <v>106</v>
      </c>
      <c r="P1" t="s">
        <v>124</v>
      </c>
      <c r="Q1" t="s">
        <v>1975</v>
      </c>
      <c r="R1" t="s">
        <v>1782</v>
      </c>
    </row>
    <row r="2" spans="3:18" x14ac:dyDescent="0.35">
      <c r="C2" t="s">
        <v>1782</v>
      </c>
      <c r="D2" t="s">
        <v>1976</v>
      </c>
      <c r="E2" t="s">
        <v>1977</v>
      </c>
      <c r="F2" t="s">
        <v>1978</v>
      </c>
      <c r="O2" t="s">
        <v>53</v>
      </c>
    </row>
    <row r="3" spans="3:18" x14ac:dyDescent="0.35">
      <c r="C3" s="3">
        <v>45777</v>
      </c>
      <c r="D3" s="21" t="s">
        <v>784</v>
      </c>
      <c r="E3" t="s">
        <v>577</v>
      </c>
      <c r="F3" s="50">
        <v>778210.27397260268</v>
      </c>
      <c r="L3" t="s">
        <v>1979</v>
      </c>
      <c r="M3" t="s">
        <v>1980</v>
      </c>
      <c r="N3" t="s">
        <v>1980</v>
      </c>
      <c r="O3" t="s">
        <v>154</v>
      </c>
      <c r="P3">
        <v>2025</v>
      </c>
      <c r="Q3" t="s">
        <v>1981</v>
      </c>
    </row>
    <row r="4" spans="3:18" x14ac:dyDescent="0.35">
      <c r="L4" t="s">
        <v>1982</v>
      </c>
      <c r="M4" t="s">
        <v>1983</v>
      </c>
      <c r="N4" t="s">
        <v>1983</v>
      </c>
      <c r="O4" t="s">
        <v>211</v>
      </c>
      <c r="P4">
        <v>2025</v>
      </c>
      <c r="Q4" t="s">
        <v>1984</v>
      </c>
    </row>
    <row r="5" spans="3:18" x14ac:dyDescent="0.35">
      <c r="L5" t="s">
        <v>1985</v>
      </c>
      <c r="M5" t="s">
        <v>1986</v>
      </c>
      <c r="N5" t="s">
        <v>1986</v>
      </c>
      <c r="O5" t="s">
        <v>156</v>
      </c>
      <c r="P5">
        <v>2025</v>
      </c>
      <c r="Q5" t="s">
        <v>1984</v>
      </c>
    </row>
    <row r="6" spans="3:18" x14ac:dyDescent="0.35">
      <c r="L6" t="s">
        <v>302</v>
      </c>
      <c r="M6" t="s">
        <v>302</v>
      </c>
      <c r="N6" t="s">
        <v>302</v>
      </c>
      <c r="O6" t="s">
        <v>302</v>
      </c>
      <c r="P6">
        <v>2025</v>
      </c>
    </row>
    <row r="7" spans="3:18" x14ac:dyDescent="0.35">
      <c r="L7" t="s">
        <v>1987</v>
      </c>
      <c r="M7" t="s">
        <v>1988</v>
      </c>
      <c r="N7" t="s">
        <v>1988</v>
      </c>
      <c r="O7" t="s">
        <v>158</v>
      </c>
      <c r="P7">
        <v>2025</v>
      </c>
      <c r="Q7" t="s">
        <v>1981</v>
      </c>
    </row>
    <row r="8" spans="3:18" x14ac:dyDescent="0.35">
      <c r="L8" t="s">
        <v>1989</v>
      </c>
      <c r="M8" t="s">
        <v>1990</v>
      </c>
      <c r="N8" t="s">
        <v>1990</v>
      </c>
      <c r="O8" t="s">
        <v>152</v>
      </c>
      <c r="P8">
        <v>2025</v>
      </c>
      <c r="Q8" t="s">
        <v>1984</v>
      </c>
    </row>
    <row r="9" spans="3:18" x14ac:dyDescent="0.35">
      <c r="L9" t="s">
        <v>1991</v>
      </c>
      <c r="M9" t="s">
        <v>1992</v>
      </c>
      <c r="N9" t="s">
        <v>1992</v>
      </c>
      <c r="O9" t="s">
        <v>267</v>
      </c>
      <c r="P9">
        <v>2025</v>
      </c>
      <c r="Q9" t="s">
        <v>1981</v>
      </c>
    </row>
    <row r="10" spans="3:18" x14ac:dyDescent="0.35">
      <c r="L10" t="s">
        <v>1993</v>
      </c>
      <c r="M10" t="s">
        <v>1994</v>
      </c>
      <c r="N10" t="s">
        <v>1994</v>
      </c>
      <c r="O10" t="s">
        <v>322</v>
      </c>
      <c r="P10">
        <v>2025</v>
      </c>
      <c r="Q10" t="s">
        <v>1981</v>
      </c>
    </row>
    <row r="11" spans="3:18" x14ac:dyDescent="0.35">
      <c r="L11" t="s">
        <v>1995</v>
      </c>
      <c r="M11" t="s">
        <v>1996</v>
      </c>
      <c r="N11" t="s">
        <v>1996</v>
      </c>
      <c r="O11" t="s">
        <v>230</v>
      </c>
      <c r="P11">
        <v>2025</v>
      </c>
      <c r="Q11" t="s">
        <v>1981</v>
      </c>
    </row>
    <row r="12" spans="3:18" x14ac:dyDescent="0.35">
      <c r="L12" t="s">
        <v>1997</v>
      </c>
      <c r="M12" t="s">
        <v>1998</v>
      </c>
      <c r="N12" t="s">
        <v>1998</v>
      </c>
      <c r="O12" t="s">
        <v>237</v>
      </c>
      <c r="P12">
        <v>2025</v>
      </c>
      <c r="Q12" t="s">
        <v>1981</v>
      </c>
    </row>
    <row r="13" spans="3:18" x14ac:dyDescent="0.35">
      <c r="L13" t="s">
        <v>127</v>
      </c>
      <c r="M13" t="s">
        <v>127</v>
      </c>
      <c r="N13" t="s">
        <v>127</v>
      </c>
      <c r="O13" t="s">
        <v>127</v>
      </c>
      <c r="P13">
        <v>2025</v>
      </c>
    </row>
    <row r="14" spans="3:18" x14ac:dyDescent="0.35">
      <c r="L14" t="s">
        <v>1999</v>
      </c>
      <c r="M14" t="s">
        <v>2000</v>
      </c>
      <c r="N14" t="s">
        <v>2000</v>
      </c>
      <c r="O14" t="s">
        <v>161</v>
      </c>
      <c r="P14">
        <v>2025</v>
      </c>
      <c r="Q14" t="s">
        <v>1984</v>
      </c>
    </row>
    <row r="15" spans="3:18" x14ac:dyDescent="0.35">
      <c r="L15" t="s">
        <v>2001</v>
      </c>
      <c r="M15" t="s">
        <v>2002</v>
      </c>
      <c r="N15" t="s">
        <v>2002</v>
      </c>
      <c r="O15" t="s">
        <v>239</v>
      </c>
      <c r="P15">
        <v>2025</v>
      </c>
      <c r="Q15" t="s">
        <v>1870</v>
      </c>
    </row>
    <row r="16" spans="3:18" x14ac:dyDescent="0.35">
      <c r="L16" t="s">
        <v>2003</v>
      </c>
      <c r="M16" t="s">
        <v>2004</v>
      </c>
      <c r="N16" t="s">
        <v>2004</v>
      </c>
      <c r="O16" t="s">
        <v>163</v>
      </c>
      <c r="P16">
        <v>2025</v>
      </c>
      <c r="Q16" t="s">
        <v>1984</v>
      </c>
    </row>
    <row r="17" spans="12:17" x14ac:dyDescent="0.35">
      <c r="L17" t="s">
        <v>2005</v>
      </c>
      <c r="M17" t="s">
        <v>2006</v>
      </c>
      <c r="N17" t="s">
        <v>2006</v>
      </c>
      <c r="O17" t="s">
        <v>167</v>
      </c>
      <c r="P17">
        <v>2025</v>
      </c>
      <c r="Q17" t="s">
        <v>1984</v>
      </c>
    </row>
    <row r="18" spans="12:17" x14ac:dyDescent="0.35">
      <c r="L18" t="s">
        <v>2007</v>
      </c>
      <c r="M18" t="s">
        <v>2008</v>
      </c>
      <c r="N18" t="s">
        <v>2008</v>
      </c>
      <c r="O18" t="s">
        <v>165</v>
      </c>
      <c r="P18">
        <v>2025</v>
      </c>
      <c r="Q18" t="s">
        <v>1870</v>
      </c>
    </row>
    <row r="19" spans="12:17" x14ac:dyDescent="0.35">
      <c r="L19" t="s">
        <v>2009</v>
      </c>
      <c r="M19" t="s">
        <v>2010</v>
      </c>
      <c r="N19" t="s">
        <v>2010</v>
      </c>
      <c r="O19" t="s">
        <v>410</v>
      </c>
      <c r="P19">
        <v>2025</v>
      </c>
      <c r="Q19" t="s">
        <v>1870</v>
      </c>
    </row>
    <row r="20" spans="12:17" x14ac:dyDescent="0.35">
      <c r="L20" t="s">
        <v>2009</v>
      </c>
      <c r="M20" t="s">
        <v>2011</v>
      </c>
      <c r="N20" t="s">
        <v>2011</v>
      </c>
      <c r="O20" t="s">
        <v>171</v>
      </c>
      <c r="P20">
        <v>2025</v>
      </c>
      <c r="Q20" t="s">
        <v>1984</v>
      </c>
    </row>
    <row r="21" spans="12:17" x14ac:dyDescent="0.35">
      <c r="L21" t="s">
        <v>1979</v>
      </c>
      <c r="M21" t="s">
        <v>1980</v>
      </c>
      <c r="N21" t="s">
        <v>1980</v>
      </c>
      <c r="O21" t="s">
        <v>154</v>
      </c>
      <c r="P21">
        <v>2025</v>
      </c>
      <c r="Q21" t="s">
        <v>1981</v>
      </c>
    </row>
    <row r="22" spans="12:17" x14ac:dyDescent="0.35">
      <c r="L22" t="s">
        <v>2012</v>
      </c>
      <c r="M22" t="s">
        <v>2013</v>
      </c>
      <c r="N22" t="s">
        <v>2013</v>
      </c>
      <c r="O22" t="s">
        <v>180</v>
      </c>
      <c r="P22">
        <v>2025</v>
      </c>
      <c r="Q22" t="s">
        <v>1981</v>
      </c>
    </row>
    <row r="23" spans="12:17" x14ac:dyDescent="0.35">
      <c r="L23" t="s">
        <v>2014</v>
      </c>
      <c r="M23" t="s">
        <v>2015</v>
      </c>
      <c r="N23" t="s">
        <v>2015</v>
      </c>
      <c r="O23" t="s">
        <v>173</v>
      </c>
      <c r="P23">
        <v>2025</v>
      </c>
      <c r="Q23" t="s">
        <v>1984</v>
      </c>
    </row>
    <row r="24" spans="12:17" x14ac:dyDescent="0.35">
      <c r="L24" t="s">
        <v>2016</v>
      </c>
      <c r="M24" t="s">
        <v>2017</v>
      </c>
      <c r="N24" t="s">
        <v>2017</v>
      </c>
      <c r="O24" t="s">
        <v>246</v>
      </c>
      <c r="P24">
        <v>2025</v>
      </c>
      <c r="Q24" t="s">
        <v>1981</v>
      </c>
    </row>
    <row r="25" spans="12:17" x14ac:dyDescent="0.35">
      <c r="L25" t="s">
        <v>2018</v>
      </c>
      <c r="M25" t="s">
        <v>2019</v>
      </c>
      <c r="N25" t="s">
        <v>2019</v>
      </c>
      <c r="O25" t="s">
        <v>176</v>
      </c>
      <c r="P25">
        <v>2025</v>
      </c>
      <c r="Q25" t="s">
        <v>1981</v>
      </c>
    </row>
    <row r="26" spans="12:17" x14ac:dyDescent="0.35">
      <c r="L26" t="s">
        <v>2020</v>
      </c>
      <c r="M26" t="s">
        <v>2021</v>
      </c>
      <c r="N26" t="s">
        <v>2021</v>
      </c>
      <c r="O26" t="s">
        <v>249</v>
      </c>
      <c r="P26">
        <v>2025</v>
      </c>
      <c r="Q26" t="s">
        <v>1981</v>
      </c>
    </row>
    <row r="27" spans="12:17" x14ac:dyDescent="0.35">
      <c r="L27" t="s">
        <v>2022</v>
      </c>
      <c r="M27" t="s">
        <v>2023</v>
      </c>
      <c r="N27" t="s">
        <v>2023</v>
      </c>
      <c r="O27" t="s">
        <v>183</v>
      </c>
      <c r="P27">
        <v>2025</v>
      </c>
      <c r="Q27" t="s">
        <v>1984</v>
      </c>
    </row>
    <row r="28" spans="12:17" x14ac:dyDescent="0.35">
      <c r="L28" t="s">
        <v>2024</v>
      </c>
      <c r="M28" t="s">
        <v>2025</v>
      </c>
      <c r="N28" t="s">
        <v>2025</v>
      </c>
      <c r="O28" t="s">
        <v>262</v>
      </c>
      <c r="P28">
        <v>2025</v>
      </c>
      <c r="Q28" t="s">
        <v>1981</v>
      </c>
    </row>
    <row r="29" spans="12:17" x14ac:dyDescent="0.35">
      <c r="L29" t="s">
        <v>2026</v>
      </c>
      <c r="M29" t="s">
        <v>2027</v>
      </c>
      <c r="N29" t="s">
        <v>2027</v>
      </c>
      <c r="O29" t="s">
        <v>185</v>
      </c>
      <c r="P29">
        <v>2025</v>
      </c>
      <c r="Q29" t="s">
        <v>1981</v>
      </c>
    </row>
    <row r="30" spans="12:17" x14ac:dyDescent="0.35">
      <c r="L30" t="s">
        <v>278</v>
      </c>
      <c r="M30" t="s">
        <v>278</v>
      </c>
      <c r="N30" t="s">
        <v>278</v>
      </c>
      <c r="O30" t="s">
        <v>278</v>
      </c>
      <c r="P30">
        <v>2025</v>
      </c>
    </row>
    <row r="31" spans="12:17" x14ac:dyDescent="0.35">
      <c r="L31" t="s">
        <v>2028</v>
      </c>
      <c r="M31" t="s">
        <v>2029</v>
      </c>
      <c r="N31" t="s">
        <v>2029</v>
      </c>
      <c r="O31" t="s">
        <v>188</v>
      </c>
      <c r="P31">
        <v>2025</v>
      </c>
      <c r="Q31" t="s">
        <v>1984</v>
      </c>
    </row>
    <row r="32" spans="12:17" x14ac:dyDescent="0.35">
      <c r="L32" t="s">
        <v>2030</v>
      </c>
      <c r="M32" t="s">
        <v>2031</v>
      </c>
      <c r="N32" t="s">
        <v>2031</v>
      </c>
      <c r="O32" t="s">
        <v>603</v>
      </c>
      <c r="P32">
        <v>2025</v>
      </c>
      <c r="Q32" t="s">
        <v>1981</v>
      </c>
    </row>
    <row r="33" spans="12:17" x14ac:dyDescent="0.35">
      <c r="L33" t="s">
        <v>2032</v>
      </c>
      <c r="M33" t="s">
        <v>2033</v>
      </c>
      <c r="N33" t="s">
        <v>2034</v>
      </c>
      <c r="O33" t="s">
        <v>605</v>
      </c>
      <c r="P33">
        <v>2025</v>
      </c>
      <c r="Q33" t="s">
        <v>1981</v>
      </c>
    </row>
    <row r="34" spans="12:17" x14ac:dyDescent="0.35">
      <c r="L34" t="s">
        <v>2035</v>
      </c>
      <c r="M34" t="s">
        <v>2036</v>
      </c>
      <c r="N34" t="s">
        <v>2036</v>
      </c>
      <c r="O34" t="s">
        <v>193</v>
      </c>
      <c r="P34">
        <v>2025</v>
      </c>
      <c r="Q34" t="s">
        <v>1984</v>
      </c>
    </row>
    <row r="35" spans="12:17" x14ac:dyDescent="0.35">
      <c r="L35" t="s">
        <v>2037</v>
      </c>
      <c r="M35" t="s">
        <v>2038</v>
      </c>
      <c r="N35" t="s">
        <v>2038</v>
      </c>
      <c r="O35" t="s">
        <v>195</v>
      </c>
      <c r="P35">
        <v>2025</v>
      </c>
      <c r="Q35" t="s">
        <v>1870</v>
      </c>
    </row>
    <row r="36" spans="12:17" x14ac:dyDescent="0.35">
      <c r="L36" t="s">
        <v>2039</v>
      </c>
      <c r="M36" t="s">
        <v>2040</v>
      </c>
      <c r="N36" t="s">
        <v>2041</v>
      </c>
      <c r="O36" t="s">
        <v>690</v>
      </c>
      <c r="P36">
        <v>2025</v>
      </c>
      <c r="Q36" t="s">
        <v>1984</v>
      </c>
    </row>
    <row r="37" spans="12:17" x14ac:dyDescent="0.35">
      <c r="L37" t="s">
        <v>2042</v>
      </c>
      <c r="M37" t="s">
        <v>2043</v>
      </c>
      <c r="N37" t="s">
        <v>2044</v>
      </c>
      <c r="O37" t="s">
        <v>199</v>
      </c>
      <c r="P37">
        <v>2025</v>
      </c>
      <c r="Q37" t="s">
        <v>1870</v>
      </c>
    </row>
    <row r="38" spans="12:17" x14ac:dyDescent="0.35">
      <c r="L38" t="s">
        <v>2045</v>
      </c>
      <c r="M38" t="s">
        <v>2046</v>
      </c>
      <c r="N38" t="s">
        <v>2046</v>
      </c>
      <c r="O38" t="s">
        <v>736</v>
      </c>
      <c r="P38">
        <v>2025</v>
      </c>
      <c r="Q38" t="s">
        <v>1981</v>
      </c>
    </row>
    <row r="39" spans="12:17" x14ac:dyDescent="0.35">
      <c r="L39" t="s">
        <v>2047</v>
      </c>
      <c r="M39" t="s">
        <v>2048</v>
      </c>
      <c r="N39" t="s">
        <v>2049</v>
      </c>
      <c r="O39" t="s">
        <v>749</v>
      </c>
      <c r="P39">
        <v>2025</v>
      </c>
      <c r="Q39" t="s">
        <v>1870</v>
      </c>
    </row>
    <row r="40" spans="12:17" x14ac:dyDescent="0.35">
      <c r="L40" t="s">
        <v>2050</v>
      </c>
      <c r="M40" t="s">
        <v>2051</v>
      </c>
      <c r="N40" t="s">
        <v>2051</v>
      </c>
      <c r="O40" t="s">
        <v>201</v>
      </c>
      <c r="P40">
        <v>2025</v>
      </c>
      <c r="Q40" t="s">
        <v>1984</v>
      </c>
    </row>
    <row r="41" spans="12:17" x14ac:dyDescent="0.35">
      <c r="L41" t="s">
        <v>2052</v>
      </c>
      <c r="M41" t="s">
        <v>2053</v>
      </c>
      <c r="N41" t="s">
        <v>2053</v>
      </c>
      <c r="O41" t="s">
        <v>784</v>
      </c>
      <c r="P41">
        <v>2025</v>
      </c>
      <c r="Q41" t="s">
        <v>1984</v>
      </c>
    </row>
    <row r="42" spans="12:17" x14ac:dyDescent="0.35">
      <c r="L42" t="s">
        <v>2054</v>
      </c>
      <c r="M42" t="s">
        <v>2055</v>
      </c>
      <c r="N42" t="s">
        <v>2056</v>
      </c>
      <c r="O42" t="s">
        <v>817</v>
      </c>
      <c r="P42">
        <v>2025</v>
      </c>
      <c r="Q42" t="s">
        <v>1981</v>
      </c>
    </row>
    <row r="43" spans="12:17" x14ac:dyDescent="0.35">
      <c r="L43" t="s">
        <v>2057</v>
      </c>
      <c r="M43" t="s">
        <v>2058</v>
      </c>
      <c r="N43" t="s">
        <v>2059</v>
      </c>
      <c r="O43" t="s">
        <v>823</v>
      </c>
      <c r="P43">
        <v>2025</v>
      </c>
      <c r="Q43" t="s">
        <v>1870</v>
      </c>
    </row>
    <row r="44" spans="12:17" x14ac:dyDescent="0.35">
      <c r="L44" t="s">
        <v>2060</v>
      </c>
      <c r="M44" t="str">
        <f>Ledger[[#This Row],[SAP Deal Number]]</f>
        <v>ARA25HS00008</v>
      </c>
      <c r="N44" t="s">
        <v>2061</v>
      </c>
      <c r="O44" t="s">
        <v>833</v>
      </c>
      <c r="P44">
        <v>2025</v>
      </c>
      <c r="Q44" t="s">
        <v>1981</v>
      </c>
    </row>
    <row r="45" spans="12:17" x14ac:dyDescent="0.35">
      <c r="M45" t="str">
        <f>Ledger[[#This Row],[SAP Deal Number]]</f>
        <v>ARA25HS00009</v>
      </c>
      <c r="N45" t="s">
        <v>2062</v>
      </c>
      <c r="O45" t="s">
        <v>2063</v>
      </c>
      <c r="P45">
        <v>2025</v>
      </c>
      <c r="Q45" t="s">
        <v>1981</v>
      </c>
    </row>
    <row r="46" spans="12:17" x14ac:dyDescent="0.35">
      <c r="L46" t="s">
        <v>2064</v>
      </c>
      <c r="M46" t="s">
        <v>2065</v>
      </c>
      <c r="N46" t="s">
        <v>2065</v>
      </c>
      <c r="O46" t="s">
        <v>859</v>
      </c>
      <c r="P46">
        <v>2025</v>
      </c>
      <c r="Q46" t="s">
        <v>1984</v>
      </c>
    </row>
    <row r="47" spans="12:17" x14ac:dyDescent="0.35">
      <c r="L47" t="s">
        <v>2066</v>
      </c>
      <c r="M47" t="s">
        <v>2067</v>
      </c>
      <c r="N47" t="s">
        <v>2068</v>
      </c>
      <c r="O47" t="s">
        <v>922</v>
      </c>
      <c r="P47">
        <v>2025</v>
      </c>
      <c r="Q47" t="s">
        <v>1981</v>
      </c>
    </row>
    <row r="48" spans="12:17" x14ac:dyDescent="0.35">
      <c r="L48" t="s">
        <v>2069</v>
      </c>
      <c r="M48" t="s">
        <v>2070</v>
      </c>
      <c r="N48" t="s">
        <v>2068</v>
      </c>
      <c r="O48" t="s">
        <v>928</v>
      </c>
      <c r="P48">
        <v>2025</v>
      </c>
      <c r="Q48" t="s">
        <v>1981</v>
      </c>
    </row>
    <row r="49" spans="12:17" x14ac:dyDescent="0.35">
      <c r="L49" t="s">
        <v>2071</v>
      </c>
      <c r="M49" t="s">
        <v>2072</v>
      </c>
      <c r="N49" t="s">
        <v>2072</v>
      </c>
      <c r="O49" t="s">
        <v>913</v>
      </c>
      <c r="P49">
        <v>2025</v>
      </c>
      <c r="Q49" t="s">
        <v>1984</v>
      </c>
    </row>
    <row r="50" spans="12:17" x14ac:dyDescent="0.35">
      <c r="L50" t="s">
        <v>2073</v>
      </c>
      <c r="M50" t="s">
        <v>2074</v>
      </c>
      <c r="N50" t="s">
        <v>2074</v>
      </c>
      <c r="O50" t="s">
        <v>946</v>
      </c>
      <c r="P50">
        <v>2025</v>
      </c>
      <c r="Q50" t="s">
        <v>1984</v>
      </c>
    </row>
    <row r="51" spans="12:17" x14ac:dyDescent="0.35">
      <c r="L51" t="s">
        <v>2075</v>
      </c>
      <c r="M51" t="s">
        <v>2076</v>
      </c>
      <c r="N51" t="s">
        <v>2076</v>
      </c>
      <c r="O51" t="s">
        <v>981</v>
      </c>
      <c r="P51">
        <v>2025</v>
      </c>
      <c r="Q51" t="s">
        <v>1981</v>
      </c>
    </row>
    <row r="52" spans="12:17" x14ac:dyDescent="0.35">
      <c r="M52" t="s">
        <v>2077</v>
      </c>
      <c r="N52" t="s">
        <v>2077</v>
      </c>
      <c r="O52" t="s">
        <v>993</v>
      </c>
      <c r="P52">
        <v>2025</v>
      </c>
      <c r="Q52" t="s">
        <v>1981</v>
      </c>
    </row>
    <row r="53" spans="12:17" x14ac:dyDescent="0.35">
      <c r="M53" t="s">
        <v>2078</v>
      </c>
      <c r="N53" t="s">
        <v>2078</v>
      </c>
      <c r="O53" t="s">
        <v>1001</v>
      </c>
      <c r="P53">
        <v>2025</v>
      </c>
      <c r="Q53" t="s">
        <v>1981</v>
      </c>
    </row>
    <row r="54" spans="12:17" x14ac:dyDescent="0.35">
      <c r="M54" t="s">
        <v>2079</v>
      </c>
      <c r="N54" t="s">
        <v>2079</v>
      </c>
      <c r="O54" t="s">
        <v>1007</v>
      </c>
      <c r="P54">
        <v>2025</v>
      </c>
      <c r="Q54" t="s">
        <v>1981</v>
      </c>
    </row>
    <row r="55" spans="12:17" x14ac:dyDescent="0.35">
      <c r="M55" t="s">
        <v>2080</v>
      </c>
      <c r="N55" t="s">
        <v>2080</v>
      </c>
      <c r="O55" t="s">
        <v>1025</v>
      </c>
      <c r="P55">
        <v>2025</v>
      </c>
      <c r="Q55" t="s">
        <v>1981</v>
      </c>
    </row>
    <row r="56" spans="12:17" x14ac:dyDescent="0.35">
      <c r="M56" t="s">
        <v>2081</v>
      </c>
      <c r="N56" t="s">
        <v>2081</v>
      </c>
      <c r="O56" t="s">
        <v>1038</v>
      </c>
      <c r="P56">
        <v>2025</v>
      </c>
      <c r="Q56" t="s">
        <v>1981</v>
      </c>
    </row>
    <row r="57" spans="12:17" x14ac:dyDescent="0.35">
      <c r="M57" t="s">
        <v>2082</v>
      </c>
      <c r="N57" t="s">
        <v>2082</v>
      </c>
      <c r="O57" t="s">
        <v>1053</v>
      </c>
      <c r="P57">
        <v>2025</v>
      </c>
      <c r="Q57" t="s">
        <v>1981</v>
      </c>
    </row>
    <row r="58" spans="12:17" x14ac:dyDescent="0.35">
      <c r="M58" t="s">
        <v>2083</v>
      </c>
      <c r="N58" t="s">
        <v>2083</v>
      </c>
      <c r="O58" t="s">
        <v>147</v>
      </c>
      <c r="P58">
        <v>2025</v>
      </c>
      <c r="Q58" t="s">
        <v>1981</v>
      </c>
    </row>
    <row r="59" spans="12:17" x14ac:dyDescent="0.35">
      <c r="M59" t="str">
        <f>Ledger[[#This Row],[SAP Deal Number]]</f>
        <v>ARA25HS00021-3</v>
      </c>
      <c r="N59" t="s">
        <v>2084</v>
      </c>
      <c r="O59" t="s">
        <v>1066</v>
      </c>
      <c r="P59">
        <v>2025</v>
      </c>
      <c r="Q59" t="s">
        <v>1981</v>
      </c>
    </row>
    <row r="60" spans="12:17" x14ac:dyDescent="0.35">
      <c r="M60" t="str">
        <f>Ledger[[#This Row],[SAP Deal Number]]</f>
        <v>ARA25HS00022</v>
      </c>
      <c r="N60" t="s">
        <v>2085</v>
      </c>
      <c r="O60" t="s">
        <v>1076</v>
      </c>
      <c r="P60">
        <v>2025</v>
      </c>
      <c r="Q60" t="s">
        <v>1984</v>
      </c>
    </row>
    <row r="61" spans="12:17" x14ac:dyDescent="0.35">
      <c r="M61" t="str">
        <f>Ledger[[#This Row],[SAP Deal Number]]</f>
        <v>BPO25HS00008</v>
      </c>
      <c r="N61" t="s">
        <v>2086</v>
      </c>
      <c r="O61" t="s">
        <v>1114</v>
      </c>
      <c r="P61">
        <v>2025</v>
      </c>
      <c r="Q61" t="s">
        <v>1870</v>
      </c>
    </row>
    <row r="62" spans="12:17" x14ac:dyDescent="0.35">
      <c r="N62" t="s">
        <v>2087</v>
      </c>
      <c r="O62" t="s">
        <v>1157</v>
      </c>
      <c r="P62">
        <v>2025</v>
      </c>
      <c r="Q62" t="s">
        <v>1870</v>
      </c>
    </row>
    <row r="63" spans="12:17" x14ac:dyDescent="0.35">
      <c r="N63" t="s">
        <v>2088</v>
      </c>
      <c r="O63" t="s">
        <v>2089</v>
      </c>
      <c r="P63">
        <v>2025</v>
      </c>
      <c r="Q63" t="s">
        <v>1870</v>
      </c>
    </row>
    <row r="64" spans="12:17" x14ac:dyDescent="0.35">
      <c r="N64" t="s">
        <v>2090</v>
      </c>
      <c r="O64" t="s">
        <v>2091</v>
      </c>
      <c r="P64">
        <v>2025</v>
      </c>
      <c r="Q64" t="s">
        <v>1870</v>
      </c>
    </row>
    <row r="65" spans="14:17" x14ac:dyDescent="0.35">
      <c r="N65" t="s">
        <v>2092</v>
      </c>
      <c r="O65" t="s">
        <v>1165</v>
      </c>
      <c r="P65">
        <v>2025</v>
      </c>
      <c r="Q65" t="s">
        <v>1984</v>
      </c>
    </row>
    <row r="66" spans="14:17" x14ac:dyDescent="0.35">
      <c r="N66" t="s">
        <v>2093</v>
      </c>
      <c r="O66" t="s">
        <v>1202</v>
      </c>
      <c r="P66">
        <v>2025</v>
      </c>
      <c r="Q66" t="s">
        <v>1870</v>
      </c>
    </row>
    <row r="67" spans="14:17" x14ac:dyDescent="0.35">
      <c r="N67" t="s">
        <v>2094</v>
      </c>
      <c r="O67" t="s">
        <v>1221</v>
      </c>
      <c r="P67">
        <v>2025</v>
      </c>
      <c r="Q67" t="s">
        <v>1981</v>
      </c>
    </row>
    <row r="68" spans="14:17" x14ac:dyDescent="0.35">
      <c r="N68" t="s">
        <v>2094</v>
      </c>
      <c r="O68" t="s">
        <v>1226</v>
      </c>
      <c r="P68">
        <v>2025</v>
      </c>
      <c r="Q68" t="s">
        <v>1981</v>
      </c>
    </row>
    <row r="69" spans="14:17" x14ac:dyDescent="0.35">
      <c r="N69" t="s">
        <v>2094</v>
      </c>
      <c r="O69" t="s">
        <v>1231</v>
      </c>
      <c r="P69">
        <v>2025</v>
      </c>
      <c r="Q69" t="s">
        <v>1981</v>
      </c>
    </row>
    <row r="70" spans="14:17" x14ac:dyDescent="0.35">
      <c r="O70" t="s">
        <v>2095</v>
      </c>
      <c r="P70">
        <v>2025</v>
      </c>
    </row>
    <row r="71" spans="14:17" x14ac:dyDescent="0.35">
      <c r="N71" t="s">
        <v>2096</v>
      </c>
      <c r="O71" t="s">
        <v>1239</v>
      </c>
      <c r="P71">
        <v>2025</v>
      </c>
      <c r="Q71" t="s">
        <v>1870</v>
      </c>
    </row>
    <row r="72" spans="14:17" x14ac:dyDescent="0.35">
      <c r="N72" t="s">
        <v>2097</v>
      </c>
      <c r="O72" t="s">
        <v>1245</v>
      </c>
      <c r="P72">
        <v>2025</v>
      </c>
      <c r="Q72" t="s">
        <v>1870</v>
      </c>
    </row>
    <row r="73" spans="14:17" x14ac:dyDescent="0.35">
      <c r="N73" t="s">
        <v>2098</v>
      </c>
      <c r="O73" t="s">
        <v>1269</v>
      </c>
      <c r="P73">
        <v>2025</v>
      </c>
      <c r="Q73" t="s">
        <v>1984</v>
      </c>
    </row>
    <row r="74" spans="14:17" x14ac:dyDescent="0.35">
      <c r="N74" t="s">
        <v>2099</v>
      </c>
      <c r="O74" t="s">
        <v>2100</v>
      </c>
      <c r="P74">
        <v>2025</v>
      </c>
      <c r="Q74" t="s">
        <v>1870</v>
      </c>
    </row>
    <row r="75" spans="14:17" x14ac:dyDescent="0.35">
      <c r="N75" t="s">
        <v>2101</v>
      </c>
      <c r="O75" t="s">
        <v>1300</v>
      </c>
      <c r="P75">
        <v>2025</v>
      </c>
      <c r="Q75" t="s">
        <v>1870</v>
      </c>
    </row>
    <row r="76" spans="14:17" x14ac:dyDescent="0.35">
      <c r="N76" t="s">
        <v>2102</v>
      </c>
      <c r="O76" t="s">
        <v>1313</v>
      </c>
      <c r="P76">
        <v>2025</v>
      </c>
      <c r="Q76" t="s">
        <v>1984</v>
      </c>
    </row>
    <row r="77" spans="14:17" x14ac:dyDescent="0.35">
      <c r="N77" t="s">
        <v>2103</v>
      </c>
      <c r="O77" t="s">
        <v>1335</v>
      </c>
      <c r="P77">
        <v>2025</v>
      </c>
      <c r="Q77" t="s">
        <v>1984</v>
      </c>
    </row>
    <row r="78" spans="14:17" x14ac:dyDescent="0.35">
      <c r="N78" t="s">
        <v>2104</v>
      </c>
      <c r="O78" t="s">
        <v>2105</v>
      </c>
      <c r="P78">
        <v>2025</v>
      </c>
      <c r="Q78" t="s">
        <v>1870</v>
      </c>
    </row>
    <row r="79" spans="14:17" x14ac:dyDescent="0.35">
      <c r="N79" t="s">
        <v>2106</v>
      </c>
      <c r="O79" t="s">
        <v>1348</v>
      </c>
      <c r="P79">
        <v>2025</v>
      </c>
      <c r="Q79" t="s">
        <v>1870</v>
      </c>
    </row>
    <row r="80" spans="14:17" x14ac:dyDescent="0.35">
      <c r="N80" t="s">
        <v>2107</v>
      </c>
      <c r="O80" t="s">
        <v>1354</v>
      </c>
      <c r="P80">
        <v>2025</v>
      </c>
      <c r="Q80" t="s">
        <v>1870</v>
      </c>
    </row>
    <row r="81" spans="14:18" x14ac:dyDescent="0.35">
      <c r="N81" t="s">
        <v>2108</v>
      </c>
      <c r="O81" t="s">
        <v>1393</v>
      </c>
      <c r="P81">
        <v>2025</v>
      </c>
      <c r="Q81" t="s">
        <v>1981</v>
      </c>
    </row>
    <row r="82" spans="14:18" x14ac:dyDescent="0.35">
      <c r="N82" t="s">
        <v>2109</v>
      </c>
      <c r="O82" t="s">
        <v>1421</v>
      </c>
      <c r="P82">
        <v>2025</v>
      </c>
      <c r="Q82" t="s">
        <v>1981</v>
      </c>
    </row>
    <row r="83" spans="14:18" x14ac:dyDescent="0.35">
      <c r="N83" t="s">
        <v>2110</v>
      </c>
      <c r="O83" t="s">
        <v>1430</v>
      </c>
      <c r="P83">
        <v>2025</v>
      </c>
      <c r="Q83" t="s">
        <v>1870</v>
      </c>
    </row>
    <row r="84" spans="14:18" x14ac:dyDescent="0.35">
      <c r="N84" t="s">
        <v>2111</v>
      </c>
      <c r="O84" t="s">
        <v>1448</v>
      </c>
      <c r="P84">
        <v>2025</v>
      </c>
      <c r="Q84" t="s">
        <v>1870</v>
      </c>
    </row>
    <row r="85" spans="14:18" x14ac:dyDescent="0.35">
      <c r="N85" t="s">
        <v>2112</v>
      </c>
      <c r="O85" t="s">
        <v>1458</v>
      </c>
      <c r="P85">
        <v>2025</v>
      </c>
      <c r="Q85" t="s">
        <v>1984</v>
      </c>
    </row>
    <row r="86" spans="14:18" ht="17.25" customHeight="1" x14ac:dyDescent="0.35">
      <c r="N86" t="s">
        <v>2113</v>
      </c>
      <c r="O86" t="s">
        <v>1483</v>
      </c>
      <c r="P86">
        <v>2025</v>
      </c>
      <c r="Q86" t="s">
        <v>1981</v>
      </c>
    </row>
    <row r="87" spans="14:18" x14ac:dyDescent="0.35">
      <c r="N87" t="s">
        <v>2114</v>
      </c>
      <c r="O87" t="s">
        <v>1526</v>
      </c>
      <c r="P87">
        <v>2025</v>
      </c>
      <c r="Q87" t="s">
        <v>1984</v>
      </c>
    </row>
    <row r="88" spans="14:18" x14ac:dyDescent="0.35">
      <c r="N88" t="s">
        <v>2115</v>
      </c>
      <c r="O88" t="s">
        <v>2116</v>
      </c>
      <c r="P88">
        <v>2025</v>
      </c>
      <c r="Q88" t="s">
        <v>1870</v>
      </c>
    </row>
    <row r="89" spans="14:18" x14ac:dyDescent="0.35">
      <c r="N89" t="s">
        <v>2117</v>
      </c>
      <c r="O89" t="s">
        <v>1558</v>
      </c>
      <c r="P89">
        <v>2025</v>
      </c>
      <c r="Q89" t="s">
        <v>1981</v>
      </c>
    </row>
    <row r="90" spans="14:18" x14ac:dyDescent="0.35">
      <c r="N90" t="s">
        <v>2118</v>
      </c>
      <c r="O90" t="s">
        <v>1579</v>
      </c>
      <c r="P90">
        <v>2025</v>
      </c>
      <c r="Q90" t="s">
        <v>1984</v>
      </c>
    </row>
    <row r="91" spans="14:18" x14ac:dyDescent="0.35">
      <c r="N91" t="s">
        <v>2119</v>
      </c>
      <c r="O91" t="s">
        <v>1599</v>
      </c>
      <c r="P91">
        <v>2026</v>
      </c>
      <c r="Q91" t="s">
        <v>1981</v>
      </c>
    </row>
    <row r="92" spans="14:18" x14ac:dyDescent="0.35">
      <c r="N92" t="s">
        <v>2120</v>
      </c>
      <c r="O92" t="s">
        <v>1625</v>
      </c>
      <c r="P92">
        <v>2026</v>
      </c>
      <c r="Q92" t="s">
        <v>1870</v>
      </c>
      <c r="R92" s="3">
        <v>46053</v>
      </c>
    </row>
    <row r="93" spans="14:18" x14ac:dyDescent="0.35">
      <c r="N93" t="s">
        <v>2121</v>
      </c>
      <c r="O93" t="s">
        <v>1635</v>
      </c>
      <c r="P93">
        <v>2026</v>
      </c>
      <c r="Q93" t="s">
        <v>1984</v>
      </c>
      <c r="R93" s="3">
        <v>46053</v>
      </c>
    </row>
    <row r="94" spans="14:18" x14ac:dyDescent="0.35">
      <c r="N94" t="s">
        <v>2122</v>
      </c>
      <c r="O94" t="s">
        <v>1664</v>
      </c>
      <c r="P94">
        <v>2026</v>
      </c>
      <c r="Q94" t="s">
        <v>1984</v>
      </c>
      <c r="R94" s="3">
        <v>46053</v>
      </c>
    </row>
    <row r="95" spans="14:18" x14ac:dyDescent="0.35">
      <c r="N95" t="s">
        <v>2123</v>
      </c>
      <c r="O95" t="s">
        <v>1678</v>
      </c>
      <c r="P95">
        <v>2026</v>
      </c>
      <c r="Q95" t="s">
        <v>1870</v>
      </c>
      <c r="R95" s="3">
        <v>46053</v>
      </c>
    </row>
    <row r="96" spans="14:18" x14ac:dyDescent="0.35">
      <c r="N96" t="s">
        <v>2124</v>
      </c>
      <c r="O96" t="s">
        <v>1672</v>
      </c>
      <c r="P96">
        <v>2026</v>
      </c>
      <c r="Q96" t="s">
        <v>1981</v>
      </c>
      <c r="R96" s="3">
        <v>46081</v>
      </c>
    </row>
    <row r="97" spans="14:26" x14ac:dyDescent="0.35">
      <c r="N97" t="s">
        <v>2125</v>
      </c>
      <c r="O97" t="s">
        <v>1712</v>
      </c>
      <c r="P97">
        <v>2026</v>
      </c>
      <c r="Q97" t="s">
        <v>1984</v>
      </c>
      <c r="R97" s="3">
        <v>46081</v>
      </c>
    </row>
    <row r="98" spans="14:26" x14ac:dyDescent="0.35">
      <c r="N98" t="s">
        <v>2126</v>
      </c>
      <c r="O98" t="s">
        <v>1727</v>
      </c>
      <c r="P98">
        <v>2026</v>
      </c>
      <c r="Q98" t="s">
        <v>1870</v>
      </c>
      <c r="R98" s="3">
        <v>46081</v>
      </c>
    </row>
    <row r="99" spans="14:26" x14ac:dyDescent="0.35">
      <c r="N99" t="s">
        <v>2127</v>
      </c>
      <c r="O99" t="s">
        <v>1728</v>
      </c>
      <c r="P99">
        <v>2026</v>
      </c>
      <c r="Q99" t="s">
        <v>1870</v>
      </c>
      <c r="R99" s="3">
        <v>46112</v>
      </c>
    </row>
    <row r="100" spans="14:26" x14ac:dyDescent="0.35">
      <c r="N100" t="s">
        <v>2128</v>
      </c>
      <c r="O100" t="s">
        <v>1729</v>
      </c>
      <c r="P100">
        <v>2026</v>
      </c>
      <c r="Q100" t="s">
        <v>1981</v>
      </c>
      <c r="R100" s="3">
        <v>46081</v>
      </c>
    </row>
    <row r="101" spans="14:26" x14ac:dyDescent="0.35">
      <c r="N101" t="s">
        <v>2129</v>
      </c>
      <c r="O101" t="s">
        <v>1730</v>
      </c>
      <c r="P101">
        <v>2026</v>
      </c>
      <c r="Q101" t="s">
        <v>1984</v>
      </c>
      <c r="R101" s="3">
        <v>46112</v>
      </c>
    </row>
    <row r="102" spans="14:26" x14ac:dyDescent="0.35">
      <c r="N102" t="s">
        <v>2130</v>
      </c>
      <c r="O102" t="s">
        <v>1783</v>
      </c>
      <c r="P102">
        <v>2026</v>
      </c>
      <c r="Q102" t="s">
        <v>1870</v>
      </c>
      <c r="R102" s="3">
        <v>46081</v>
      </c>
    </row>
    <row r="103" spans="14:26" x14ac:dyDescent="0.35">
      <c r="O103" t="s">
        <v>2131</v>
      </c>
      <c r="R103" s="3">
        <v>46112</v>
      </c>
      <c r="V103" t="s">
        <v>8</v>
      </c>
    </row>
    <row r="104" spans="14:26" x14ac:dyDescent="0.35">
      <c r="N104" t="s">
        <v>2132</v>
      </c>
      <c r="O104" t="s">
        <v>1732</v>
      </c>
      <c r="P104">
        <v>2026</v>
      </c>
      <c r="Q104" t="s">
        <v>1981</v>
      </c>
      <c r="R104" s="3">
        <v>46112</v>
      </c>
      <c r="W104" t="s">
        <v>2133</v>
      </c>
      <c r="Y104" t="s">
        <v>2134</v>
      </c>
    </row>
    <row r="105" spans="14:26" x14ac:dyDescent="0.35">
      <c r="N105" t="s">
        <v>1816</v>
      </c>
      <c r="O105" t="s">
        <v>1733</v>
      </c>
      <c r="P105">
        <v>2026</v>
      </c>
      <c r="Q105" t="s">
        <v>1984</v>
      </c>
      <c r="R105" s="3">
        <v>46112</v>
      </c>
      <c r="Y105" t="s">
        <v>2135</v>
      </c>
      <c r="Z105" t="s">
        <v>2136</v>
      </c>
    </row>
    <row r="106" spans="14:26" x14ac:dyDescent="0.35">
      <c r="N106" t="s">
        <v>1814</v>
      </c>
      <c r="O106" t="s">
        <v>1734</v>
      </c>
      <c r="P106">
        <v>2026</v>
      </c>
      <c r="Q106" t="s">
        <v>1870</v>
      </c>
      <c r="R106" s="3">
        <v>46142</v>
      </c>
      <c r="Y106">
        <v>-71</v>
      </c>
      <c r="Z106">
        <v>-182</v>
      </c>
    </row>
    <row r="107" spans="14:26" x14ac:dyDescent="0.35">
      <c r="N107" t="s">
        <v>2137</v>
      </c>
      <c r="O107" t="s">
        <v>1736</v>
      </c>
      <c r="P107">
        <v>2026</v>
      </c>
      <c r="Q107" t="s">
        <v>1981</v>
      </c>
      <c r="R107" s="3">
        <v>46142</v>
      </c>
      <c r="V107" s="3">
        <v>46232</v>
      </c>
      <c r="W107">
        <v>71</v>
      </c>
      <c r="X107">
        <f>193-71</f>
        <v>122</v>
      </c>
      <c r="Y107">
        <f>Y106+W107</f>
        <v>0</v>
      </c>
      <c r="Z107">
        <f>Z106+X107</f>
        <v>-60</v>
      </c>
    </row>
    <row r="108" spans="14:26" x14ac:dyDescent="0.35">
      <c r="N108" t="s">
        <v>1822</v>
      </c>
      <c r="O108" t="s">
        <v>1735</v>
      </c>
      <c r="P108">
        <v>2026</v>
      </c>
      <c r="Q108" t="s">
        <v>1981</v>
      </c>
      <c r="R108" s="3">
        <v>46173</v>
      </c>
      <c r="V108" s="3">
        <v>46233</v>
      </c>
      <c r="X108">
        <v>193</v>
      </c>
      <c r="Y108">
        <f>Y107+W108</f>
        <v>0</v>
      </c>
      <c r="Z108">
        <f>Z107+X108</f>
        <v>133</v>
      </c>
    </row>
    <row r="109" spans="14:26" x14ac:dyDescent="0.35">
      <c r="N109" t="s">
        <v>1818</v>
      </c>
      <c r="O109" t="s">
        <v>1738</v>
      </c>
      <c r="P109">
        <v>2026</v>
      </c>
      <c r="Q109" t="s">
        <v>1984</v>
      </c>
      <c r="R109" s="3">
        <v>46142</v>
      </c>
    </row>
    <row r="110" spans="14:26" x14ac:dyDescent="0.35">
      <c r="N110" t="s">
        <v>1817</v>
      </c>
      <c r="O110" t="s">
        <v>1739</v>
      </c>
    </row>
    <row r="111" spans="14:26" x14ac:dyDescent="0.35">
      <c r="N111" t="s">
        <v>1815</v>
      </c>
      <c r="O111" t="s">
        <v>1739</v>
      </c>
    </row>
    <row r="112" spans="14:26" x14ac:dyDescent="0.35">
      <c r="N112" t="s">
        <v>1820</v>
      </c>
      <c r="O112" t="s">
        <v>1740</v>
      </c>
      <c r="P112">
        <v>2026</v>
      </c>
      <c r="Q112" t="s">
        <v>1984</v>
      </c>
      <c r="R112" s="3">
        <v>46173</v>
      </c>
    </row>
    <row r="113" spans="14:18" x14ac:dyDescent="0.35">
      <c r="N113" t="s">
        <v>1827</v>
      </c>
      <c r="O113" t="s">
        <v>1741</v>
      </c>
      <c r="P113">
        <v>2026</v>
      </c>
      <c r="Q113" t="s">
        <v>1984</v>
      </c>
      <c r="R113" s="3">
        <v>46173</v>
      </c>
    </row>
    <row r="114" spans="14:18" x14ac:dyDescent="0.35">
      <c r="N114" t="s">
        <v>1830</v>
      </c>
      <c r="O114" t="s">
        <v>1854</v>
      </c>
      <c r="P114">
        <v>2026</v>
      </c>
      <c r="Q114" t="s">
        <v>1981</v>
      </c>
      <c r="R114" s="3">
        <v>46173</v>
      </c>
    </row>
    <row r="115" spans="14:18" x14ac:dyDescent="0.35">
      <c r="N115" t="s">
        <v>1832</v>
      </c>
      <c r="O115" t="s">
        <v>1855</v>
      </c>
      <c r="P115">
        <v>2026</v>
      </c>
      <c r="Q115" t="s">
        <v>1981</v>
      </c>
      <c r="R115" s="3">
        <v>46203</v>
      </c>
    </row>
    <row r="116" spans="14:18" x14ac:dyDescent="0.35">
      <c r="N116" t="s">
        <v>1852</v>
      </c>
      <c r="O116" t="s">
        <v>1744</v>
      </c>
      <c r="P116">
        <v>2026</v>
      </c>
      <c r="Q116" t="s">
        <v>1981</v>
      </c>
      <c r="R116" s="3">
        <v>46203</v>
      </c>
    </row>
    <row r="117" spans="14:18" x14ac:dyDescent="0.35">
      <c r="N117" t="s">
        <v>1849</v>
      </c>
      <c r="O117" t="s">
        <v>1745</v>
      </c>
      <c r="P117">
        <v>2026</v>
      </c>
      <c r="Q117" t="s">
        <v>1984</v>
      </c>
      <c r="R117" s="16">
        <v>46203</v>
      </c>
    </row>
    <row r="118" spans="14:18" x14ac:dyDescent="0.35">
      <c r="N118" t="s">
        <v>1850</v>
      </c>
      <c r="O118" t="s">
        <v>1746</v>
      </c>
      <c r="P118">
        <v>2026</v>
      </c>
      <c r="Q118" t="s">
        <v>1984</v>
      </c>
      <c r="R118" s="3">
        <v>46203</v>
      </c>
    </row>
    <row r="119" spans="14:18" x14ac:dyDescent="0.35">
      <c r="N119" t="s">
        <v>1851</v>
      </c>
      <c r="O119" t="s">
        <v>1747</v>
      </c>
      <c r="P119">
        <v>2026</v>
      </c>
      <c r="Q119" t="s">
        <v>1981</v>
      </c>
      <c r="R119" s="3">
        <v>46203</v>
      </c>
    </row>
    <row r="126" spans="14:18" x14ac:dyDescent="0.35">
      <c r="O126" s="18"/>
    </row>
  </sheetData>
  <phoneticPr fontId="12" type="noConversion"/>
  <pageMargins left="0.7" right="0.7" top="0.75" bottom="0.75" header="0.3" footer="0.3"/>
  <pageSetup orientation="portrait" r:id="rId1"/>
  <headerFooter>
    <oddHeader>&amp;C&amp;"Calibri"&amp;10&amp;K008000 Classification: AramcoTrading-US  General Use&amp;1#_x000D_</oddHeader>
    <oddFooter>&amp;C_x000D_&amp;1#&amp;"Calibri"&amp;10&amp;K008000 This content is classified as AramcoTrading-US General Use by Cantafio, Alberto (ATA) on 2025-08-20T18:20:26.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89942-7D74-447A-AC0B-C9453B1D2314}">
  <sheetPr codeName="Sheet7"/>
  <dimension ref="A3:AF300"/>
  <sheetViews>
    <sheetView zoomScale="80" zoomScaleNormal="80" workbookViewId="0">
      <selection activeCell="K9" sqref="K9:K30"/>
    </sheetView>
  </sheetViews>
  <sheetFormatPr defaultRowHeight="14.5" x14ac:dyDescent="0.35"/>
  <cols>
    <col min="1" max="1" width="10.7265625" bestFit="1" customWidth="1"/>
    <col min="2" max="2" width="16" bestFit="1" customWidth="1"/>
    <col min="3" max="5" width="10.7265625" bestFit="1" customWidth="1"/>
    <col min="6" max="6" width="14.7265625" bestFit="1" customWidth="1"/>
    <col min="7" max="8" width="10.7265625" bestFit="1" customWidth="1"/>
    <col min="9" max="9" width="21.26953125" bestFit="1" customWidth="1"/>
    <col min="10" max="10" width="10.7265625" bestFit="1" customWidth="1"/>
    <col min="11" max="11" width="21.7265625" bestFit="1" customWidth="1"/>
    <col min="12" max="12" width="14.7265625" bestFit="1" customWidth="1"/>
    <col min="15" max="15" width="11" bestFit="1" customWidth="1"/>
    <col min="16" max="16" width="14.453125" bestFit="1" customWidth="1"/>
    <col min="18" max="19" width="10.7265625" bestFit="1" customWidth="1"/>
    <col min="26" max="26" width="13" bestFit="1" customWidth="1"/>
  </cols>
  <sheetData>
    <row r="3" spans="3:28" x14ac:dyDescent="0.35">
      <c r="E3" t="s">
        <v>2138</v>
      </c>
      <c r="F3" s="16">
        <v>46173</v>
      </c>
      <c r="J3" t="s">
        <v>2138</v>
      </c>
      <c r="K3" s="16">
        <f>F3</f>
        <v>46173</v>
      </c>
      <c r="O3" t="s">
        <v>2138</v>
      </c>
      <c r="P3" s="16">
        <v>46024</v>
      </c>
      <c r="R3" t="s">
        <v>2138</v>
      </c>
      <c r="S3" s="16">
        <v>45949</v>
      </c>
      <c r="Y3" s="20" t="s">
        <v>2139</v>
      </c>
    </row>
    <row r="4" spans="3:28" x14ac:dyDescent="0.35">
      <c r="E4" t="s">
        <v>2140</v>
      </c>
      <c r="F4" s="16"/>
      <c r="J4" t="s">
        <v>2140</v>
      </c>
      <c r="K4" s="16">
        <f>F4</f>
        <v>0</v>
      </c>
      <c r="O4" t="s">
        <v>2140</v>
      </c>
      <c r="P4" s="16"/>
      <c r="R4" t="s">
        <v>2140</v>
      </c>
      <c r="S4" s="16">
        <f>+S3+1</f>
        <v>45950</v>
      </c>
      <c r="W4" t="s">
        <v>1724</v>
      </c>
      <c r="X4">
        <f>V10+V12</f>
        <v>5.8</v>
      </c>
      <c r="Y4">
        <v>-1.8</v>
      </c>
      <c r="Z4">
        <f>Y4+X4</f>
        <v>4</v>
      </c>
    </row>
    <row r="5" spans="3:28" x14ac:dyDescent="0.35">
      <c r="W5" t="s">
        <v>2141</v>
      </c>
      <c r="X5">
        <f>+V11+V13+V14</f>
        <v>2.4000000000000004</v>
      </c>
      <c r="Y5">
        <v>-1.2</v>
      </c>
      <c r="Z5">
        <f>Y5+X5</f>
        <v>1.2000000000000004</v>
      </c>
    </row>
    <row r="6" spans="3:28" x14ac:dyDescent="0.35">
      <c r="F6" t="s">
        <v>2142</v>
      </c>
      <c r="G6" t="s">
        <v>2143</v>
      </c>
      <c r="K6" t="s">
        <v>2144</v>
      </c>
      <c r="L6" t="s">
        <v>2145</v>
      </c>
      <c r="P6" t="s">
        <v>2146</v>
      </c>
      <c r="S6" t="s">
        <v>2147</v>
      </c>
      <c r="X6">
        <f>SUM(X4:X5)</f>
        <v>8.1999999999999993</v>
      </c>
      <c r="Y6">
        <f t="shared" ref="Y6:Z6" si="0">SUM(Y4:Y5)</f>
        <v>-3</v>
      </c>
      <c r="Z6">
        <f t="shared" si="0"/>
        <v>5.2</v>
      </c>
    </row>
    <row r="7" spans="3:28" x14ac:dyDescent="0.35">
      <c r="C7" t="s">
        <v>2148</v>
      </c>
      <c r="F7" t="str">
        <f>_xll.BFieldInfo(F$8)</f>
        <v>Last Price</v>
      </c>
      <c r="G7" t="str">
        <f>_xll.BFieldInfo(G$8)</f>
        <v>Settlement Price</v>
      </c>
      <c r="K7" t="str">
        <f>_xll.BFieldInfo(K$8)</f>
        <v>Last Price</v>
      </c>
      <c r="L7" t="str">
        <f>_xll.BFieldInfo(L$8)</f>
        <v>Last Price</v>
      </c>
      <c r="P7" t="str">
        <f>_xll.BFieldInfo(P$8)</f>
        <v>Last Price</v>
      </c>
      <c r="S7" t="str">
        <f>_xll.BFieldInfo(S$8)</f>
        <v>Last Trade/Last Price</v>
      </c>
    </row>
    <row r="8" spans="3:28" x14ac:dyDescent="0.35">
      <c r="E8" t="s">
        <v>2149</v>
      </c>
      <c r="F8" t="s">
        <v>2150</v>
      </c>
      <c r="G8" t="s">
        <v>1748</v>
      </c>
      <c r="J8" t="s">
        <v>2149</v>
      </c>
      <c r="K8" t="s">
        <v>2150</v>
      </c>
      <c r="L8" t="s">
        <v>2150</v>
      </c>
      <c r="O8" t="s">
        <v>2149</v>
      </c>
      <c r="P8" t="s">
        <v>2150</v>
      </c>
      <c r="R8" t="s">
        <v>2149</v>
      </c>
      <c r="S8" t="s">
        <v>2151</v>
      </c>
    </row>
    <row r="9" spans="3:28" x14ac:dyDescent="0.35">
      <c r="E9" s="16" t="e" cm="1" vm="1">
        <f t="array" aca="1" ref="E9" ca="1">_xll.BDH(F$6,$F$8,$F3,$F4,"Dir=V","Dts=S")</f>
        <v>#VALUE!</v>
      </c>
      <c r="F9" s="17"/>
      <c r="G9" s="152" t="str" cm="1">
        <f t="array" ref="G9">_xll.BDH(G$6,G$8,$F3,$F4,"Dir=V","Dts=S")</f>
        <v>#N/A N/A</v>
      </c>
      <c r="H9" s="17"/>
      <c r="J9" s="16" cm="1">
        <f t="array" ref="J9:K52">_xll.BDH(K$6,K$8,$K3,$K4,"Dir=V","Dts=S")</f>
        <v>46174</v>
      </c>
      <c r="K9">
        <v>150</v>
      </c>
      <c r="L9" s="16" cm="1">
        <f t="array" ref="L9:M50">_xll.BDH(L6,K8,K3,K4,"Dir=V","Dts=S")</f>
        <v>46174</v>
      </c>
      <c r="M9">
        <v>180</v>
      </c>
      <c r="O9" s="16" t="str" cm="1">
        <f t="array" ref="O9">_xll.BDH(P$6,P$7,$P4,$P3,"Dir=V","Dts=S")</f>
        <v>#N/A Mandatory parameter [STARTDATE] cannot be empty</v>
      </c>
      <c r="R9" s="16" cm="1">
        <f t="array" ref="R9:S9">_xll.BDH(S$6,S$8,$S3,$S4,"Dir=V","Dts=S")</f>
        <v>45950</v>
      </c>
      <c r="S9" s="17">
        <v>57.52</v>
      </c>
      <c r="Z9" s="3">
        <v>45961</v>
      </c>
      <c r="AA9">
        <v>5</v>
      </c>
    </row>
    <row r="10" spans="3:28" x14ac:dyDescent="0.35">
      <c r="C10" s="16"/>
      <c r="E10" s="16"/>
      <c r="F10" s="17"/>
      <c r="G10" s="152"/>
      <c r="H10" s="17"/>
      <c r="J10" s="16">
        <v>46175</v>
      </c>
      <c r="K10">
        <v>150</v>
      </c>
      <c r="L10" s="16">
        <v>46175</v>
      </c>
      <c r="M10">
        <v>215</v>
      </c>
      <c r="O10" s="16"/>
      <c r="R10" s="16"/>
      <c r="S10" s="17">
        <f>+S9+1.3</f>
        <v>58.82</v>
      </c>
      <c r="V10">
        <v>4</v>
      </c>
      <c r="W10" t="s">
        <v>1724</v>
      </c>
      <c r="Z10" s="3">
        <v>45991</v>
      </c>
      <c r="AA10">
        <v>3</v>
      </c>
      <c r="AB10" s="20"/>
    </row>
    <row r="11" spans="3:28" x14ac:dyDescent="0.35">
      <c r="C11" s="16"/>
      <c r="E11" s="16"/>
      <c r="F11" s="17"/>
      <c r="G11" s="152"/>
      <c r="H11" s="17"/>
      <c r="J11" s="16">
        <v>46176</v>
      </c>
      <c r="K11">
        <v>150</v>
      </c>
      <c r="L11" s="16">
        <v>46176</v>
      </c>
      <c r="M11">
        <v>225</v>
      </c>
      <c r="O11" s="16"/>
      <c r="R11" s="16"/>
      <c r="S11" s="17"/>
      <c r="V11">
        <v>-5.2</v>
      </c>
      <c r="W11" t="s">
        <v>2152</v>
      </c>
    </row>
    <row r="12" spans="3:28" x14ac:dyDescent="0.35">
      <c r="C12" s="16"/>
      <c r="E12" s="16"/>
      <c r="F12" s="17"/>
      <c r="G12" s="152"/>
      <c r="H12" s="17"/>
      <c r="J12" s="16">
        <v>46177</v>
      </c>
      <c r="K12">
        <v>155</v>
      </c>
      <c r="L12" s="16">
        <v>46177</v>
      </c>
      <c r="M12">
        <v>260</v>
      </c>
      <c r="O12" s="16"/>
      <c r="R12" s="16"/>
      <c r="S12" s="17"/>
      <c r="V12">
        <v>1.8</v>
      </c>
      <c r="W12" t="s">
        <v>1724</v>
      </c>
    </row>
    <row r="13" spans="3:28" x14ac:dyDescent="0.35">
      <c r="C13" s="16"/>
      <c r="E13" s="16"/>
      <c r="F13" s="17"/>
      <c r="G13" s="152"/>
      <c r="H13" s="17"/>
      <c r="J13" s="16">
        <v>46178</v>
      </c>
      <c r="K13">
        <v>152.5</v>
      </c>
      <c r="L13" s="16">
        <v>46178</v>
      </c>
      <c r="M13">
        <v>265</v>
      </c>
      <c r="O13" s="16"/>
      <c r="R13" s="16"/>
      <c r="S13" s="17"/>
      <c r="V13">
        <v>-5</v>
      </c>
      <c r="W13" t="s">
        <v>2153</v>
      </c>
    </row>
    <row r="14" spans="3:28" x14ac:dyDescent="0.35">
      <c r="C14" s="16"/>
      <c r="E14" s="16"/>
      <c r="F14" s="17"/>
      <c r="G14" s="152"/>
      <c r="H14" s="17"/>
      <c r="J14" s="16">
        <v>46181</v>
      </c>
      <c r="K14">
        <v>152.5</v>
      </c>
      <c r="L14" s="16">
        <v>46181</v>
      </c>
      <c r="M14">
        <v>260</v>
      </c>
      <c r="O14" s="16"/>
      <c r="R14" s="16"/>
      <c r="S14" s="17">
        <f>AVERAGE(S9:S13)-2.05</f>
        <v>56.120000000000005</v>
      </c>
      <c r="V14">
        <v>12.6</v>
      </c>
      <c r="W14" t="s">
        <v>2141</v>
      </c>
    </row>
    <row r="15" spans="3:28" x14ac:dyDescent="0.35">
      <c r="C15" s="16"/>
      <c r="E15" s="16"/>
      <c r="F15" s="17"/>
      <c r="G15" s="152"/>
      <c r="H15" s="17"/>
      <c r="J15" s="16">
        <v>46182</v>
      </c>
      <c r="K15">
        <v>152.5</v>
      </c>
      <c r="L15" s="16">
        <v>46182</v>
      </c>
      <c r="M15">
        <v>240</v>
      </c>
      <c r="O15" s="16"/>
      <c r="R15" s="16"/>
      <c r="S15" s="17"/>
    </row>
    <row r="16" spans="3:28" x14ac:dyDescent="0.35">
      <c r="C16" s="16"/>
      <c r="E16" s="16"/>
      <c r="F16" s="17"/>
      <c r="G16" s="152"/>
      <c r="H16" s="17"/>
      <c r="J16" s="16">
        <v>46183</v>
      </c>
      <c r="K16">
        <v>152.5</v>
      </c>
      <c r="L16" s="16">
        <v>46183</v>
      </c>
      <c r="M16">
        <v>230</v>
      </c>
      <c r="O16" s="16"/>
      <c r="R16" s="16"/>
      <c r="S16" s="17">
        <v>60.93</v>
      </c>
    </row>
    <row r="17" spans="1:32" x14ac:dyDescent="0.35">
      <c r="C17" s="16"/>
      <c r="E17" s="16"/>
      <c r="F17" s="17"/>
      <c r="G17" s="152"/>
      <c r="H17" s="17"/>
      <c r="J17" s="16">
        <v>46184</v>
      </c>
      <c r="K17">
        <v>152.5</v>
      </c>
      <c r="L17" s="16">
        <v>46184</v>
      </c>
      <c r="M17">
        <v>185</v>
      </c>
      <c r="O17" s="16"/>
      <c r="R17" s="16"/>
      <c r="S17" s="17">
        <v>58.82</v>
      </c>
    </row>
    <row r="18" spans="1:32" x14ac:dyDescent="0.35">
      <c r="C18" s="16"/>
      <c r="E18" s="152"/>
      <c r="G18" s="16"/>
      <c r="J18" s="16">
        <v>46185</v>
      </c>
      <c r="K18">
        <v>150</v>
      </c>
      <c r="L18" s="16">
        <v>46185</v>
      </c>
      <c r="M18">
        <v>185</v>
      </c>
      <c r="O18" s="16"/>
      <c r="R18" s="16"/>
      <c r="S18" s="17">
        <f>S16-S17</f>
        <v>2.1099999999999994</v>
      </c>
    </row>
    <row r="19" spans="1:32" x14ac:dyDescent="0.35">
      <c r="C19" s="16"/>
      <c r="E19" s="152"/>
      <c r="G19" s="16"/>
      <c r="J19" s="16">
        <v>46188</v>
      </c>
      <c r="K19">
        <v>147.5</v>
      </c>
      <c r="L19" s="16">
        <v>46188</v>
      </c>
      <c r="M19">
        <v>177.5</v>
      </c>
      <c r="O19" s="16"/>
      <c r="R19" s="16"/>
      <c r="S19" s="17"/>
      <c r="Y19" s="3">
        <v>45663</v>
      </c>
      <c r="Z19" s="16" t="s">
        <v>464</v>
      </c>
      <c r="AA19" t="e">
        <f>AVERAGE(AB20:AF20)</f>
        <v>#N/A</v>
      </c>
      <c r="AB19" s="3">
        <f>Y19</f>
        <v>45663</v>
      </c>
      <c r="AC19" s="3">
        <f>AB19+1</f>
        <v>45664</v>
      </c>
      <c r="AD19" s="3">
        <f t="shared" ref="AD19:AF99" si="1">AC19+1</f>
        <v>45665</v>
      </c>
      <c r="AE19" s="3">
        <f t="shared" si="1"/>
        <v>45666</v>
      </c>
      <c r="AF19" s="3">
        <f t="shared" si="1"/>
        <v>45667</v>
      </c>
    </row>
    <row r="20" spans="1:32" x14ac:dyDescent="0.35">
      <c r="C20" s="16"/>
      <c r="E20" s="152"/>
      <c r="G20" s="16"/>
      <c r="J20" s="16">
        <v>46189</v>
      </c>
      <c r="K20">
        <v>145</v>
      </c>
      <c r="L20" s="16">
        <v>46189</v>
      </c>
      <c r="M20">
        <v>175</v>
      </c>
      <c r="O20" s="16"/>
      <c r="R20" s="16"/>
      <c r="S20" s="17"/>
      <c r="AB20" t="e">
        <f>VLOOKUP(AB19,$O:$P,2,FALSE)</f>
        <v>#N/A</v>
      </c>
      <c r="AC20" t="e">
        <f t="shared" ref="AC20:AF20" si="2">VLOOKUP(AC19,$O:$P,2,FALSE)</f>
        <v>#N/A</v>
      </c>
      <c r="AD20" t="e">
        <f t="shared" si="2"/>
        <v>#N/A</v>
      </c>
      <c r="AE20" t="e">
        <f t="shared" si="2"/>
        <v>#N/A</v>
      </c>
      <c r="AF20" t="e">
        <f t="shared" si="2"/>
        <v>#N/A</v>
      </c>
    </row>
    <row r="21" spans="1:32" x14ac:dyDescent="0.35">
      <c r="C21" s="16"/>
      <c r="E21" s="152"/>
      <c r="G21" s="16"/>
      <c r="J21" s="16">
        <v>46190</v>
      </c>
      <c r="K21">
        <v>140</v>
      </c>
      <c r="L21" s="16">
        <v>46190</v>
      </c>
      <c r="M21">
        <v>165</v>
      </c>
      <c r="O21" s="16"/>
      <c r="R21" s="16"/>
      <c r="S21" s="17"/>
      <c r="Y21" s="3">
        <v>45677</v>
      </c>
      <c r="Z21" s="16" t="s">
        <v>466</v>
      </c>
      <c r="AA21" t="e">
        <f>AVERAGE(AB22:AF22)</f>
        <v>#N/A</v>
      </c>
      <c r="AB21" s="3">
        <f>Y21</f>
        <v>45677</v>
      </c>
      <c r="AC21" s="3">
        <f>AB21+1</f>
        <v>45678</v>
      </c>
      <c r="AD21" s="3">
        <f t="shared" si="1"/>
        <v>45679</v>
      </c>
      <c r="AE21" s="3">
        <f t="shared" si="1"/>
        <v>45680</v>
      </c>
      <c r="AF21" s="3">
        <f t="shared" si="1"/>
        <v>45681</v>
      </c>
    </row>
    <row r="22" spans="1:32" x14ac:dyDescent="0.35">
      <c r="C22" s="16"/>
      <c r="E22" s="152"/>
      <c r="G22" s="16"/>
      <c r="J22" s="16">
        <v>46191</v>
      </c>
      <c r="K22">
        <v>140</v>
      </c>
      <c r="L22" s="16">
        <v>46191</v>
      </c>
      <c r="M22">
        <v>165</v>
      </c>
      <c r="O22" s="16"/>
      <c r="R22" s="16"/>
      <c r="S22" s="17"/>
      <c r="AC22" t="e">
        <f t="shared" ref="AC22" si="3">VLOOKUP(AC21,$O:$P,2,FALSE)</f>
        <v>#N/A</v>
      </c>
      <c r="AD22" t="e">
        <f t="shared" ref="AD22" si="4">VLOOKUP(AD21,$O:$P,2,FALSE)</f>
        <v>#N/A</v>
      </c>
      <c r="AE22" t="e">
        <f t="shared" ref="AE22" si="5">VLOOKUP(AE21,$O:$P,2,FALSE)</f>
        <v>#N/A</v>
      </c>
      <c r="AF22" t="e">
        <f t="shared" ref="AF22" si="6">VLOOKUP(AF21,$O:$P,2,FALSE)</f>
        <v>#N/A</v>
      </c>
    </row>
    <row r="23" spans="1:32" x14ac:dyDescent="0.35">
      <c r="C23" s="16"/>
      <c r="E23" s="152"/>
      <c r="G23" s="16"/>
      <c r="J23" s="16">
        <v>46192</v>
      </c>
      <c r="K23">
        <v>140</v>
      </c>
      <c r="L23" s="16">
        <v>46195</v>
      </c>
      <c r="M23">
        <v>182.5</v>
      </c>
      <c r="O23" s="16"/>
      <c r="R23" s="16"/>
      <c r="S23" s="17"/>
      <c r="Y23" s="3">
        <v>45684</v>
      </c>
      <c r="Z23" s="103" t="s">
        <v>575</v>
      </c>
      <c r="AA23" t="e">
        <f>AVERAGE(AB24:AF24)</f>
        <v>#N/A</v>
      </c>
      <c r="AB23" s="3">
        <f>Y23</f>
        <v>45684</v>
      </c>
      <c r="AC23" s="3">
        <f>AB23+1</f>
        <v>45685</v>
      </c>
      <c r="AD23" s="3">
        <f t="shared" si="1"/>
        <v>45686</v>
      </c>
      <c r="AE23" s="3">
        <f t="shared" si="1"/>
        <v>45687</v>
      </c>
      <c r="AF23" s="3">
        <f t="shared" si="1"/>
        <v>45688</v>
      </c>
    </row>
    <row r="24" spans="1:32" x14ac:dyDescent="0.35">
      <c r="C24" s="16"/>
      <c r="E24" s="152"/>
      <c r="G24" s="16"/>
      <c r="J24" s="16">
        <v>46195</v>
      </c>
      <c r="K24">
        <v>140</v>
      </c>
      <c r="L24" s="16">
        <v>46196</v>
      </c>
      <c r="M24">
        <v>185</v>
      </c>
      <c r="O24" s="16"/>
      <c r="R24" s="16"/>
      <c r="S24" s="17"/>
      <c r="AB24" t="e">
        <f>VLOOKUP(AB23,$O:$P,2,FALSE)</f>
        <v>#N/A</v>
      </c>
      <c r="AC24" t="e">
        <f t="shared" ref="AC24" si="7">VLOOKUP(AC23,$O:$P,2,FALSE)</f>
        <v>#N/A</v>
      </c>
      <c r="AD24" t="e">
        <f t="shared" ref="AD24" si="8">VLOOKUP(AD23,$O:$P,2,FALSE)</f>
        <v>#N/A</v>
      </c>
      <c r="AE24" t="e">
        <f t="shared" ref="AE24" si="9">VLOOKUP(AE23,$O:$P,2,FALSE)</f>
        <v>#N/A</v>
      </c>
      <c r="AF24" t="e">
        <f t="shared" ref="AF24" si="10">VLOOKUP(AF23,$O:$P,2,FALSE)</f>
        <v>#N/A</v>
      </c>
    </row>
    <row r="25" spans="1:32" x14ac:dyDescent="0.35">
      <c r="C25" s="16"/>
      <c r="E25" s="152"/>
      <c r="G25" s="16"/>
      <c r="J25" s="16">
        <v>46196</v>
      </c>
      <c r="K25">
        <v>145</v>
      </c>
      <c r="L25" s="16">
        <v>46197</v>
      </c>
      <c r="M25">
        <v>177.5</v>
      </c>
      <c r="O25" s="16"/>
      <c r="R25" s="16"/>
      <c r="S25" s="17"/>
      <c r="Y25" s="3">
        <v>45691</v>
      </c>
      <c r="Z25" s="16" t="s">
        <v>2154</v>
      </c>
      <c r="AA25" t="e">
        <f>AVERAGE(AB26:AF26)</f>
        <v>#N/A</v>
      </c>
      <c r="AB25" s="3">
        <f>Y25</f>
        <v>45691</v>
      </c>
      <c r="AC25" s="3">
        <f>AB25+1</f>
        <v>45692</v>
      </c>
      <c r="AD25" s="3">
        <f t="shared" si="1"/>
        <v>45693</v>
      </c>
      <c r="AE25" s="3">
        <f t="shared" si="1"/>
        <v>45694</v>
      </c>
      <c r="AF25" s="3">
        <f t="shared" si="1"/>
        <v>45695</v>
      </c>
    </row>
    <row r="26" spans="1:32" x14ac:dyDescent="0.35">
      <c r="C26" s="16"/>
      <c r="E26" s="152"/>
      <c r="G26" s="16"/>
      <c r="J26" s="16">
        <v>46197</v>
      </c>
      <c r="K26">
        <v>145</v>
      </c>
      <c r="L26" s="16">
        <v>46198</v>
      </c>
      <c r="M26">
        <v>192.5</v>
      </c>
      <c r="O26" s="16"/>
      <c r="R26" s="16"/>
      <c r="AB26" t="e">
        <f>VLOOKUP(AB25,$O:$P,2,FALSE)</f>
        <v>#N/A</v>
      </c>
      <c r="AC26" t="e">
        <f t="shared" ref="AC26" si="11">VLOOKUP(AC25,$O:$P,2,FALSE)</f>
        <v>#N/A</v>
      </c>
      <c r="AD26" t="e">
        <f t="shared" ref="AD26" si="12">VLOOKUP(AD25,$O:$P,2,FALSE)</f>
        <v>#N/A</v>
      </c>
      <c r="AE26" t="e">
        <f t="shared" ref="AE26" si="13">VLOOKUP(AE25,$O:$P,2,FALSE)</f>
        <v>#N/A</v>
      </c>
      <c r="AF26" t="e">
        <f t="shared" ref="AF26" si="14">VLOOKUP(AF25,$O:$P,2,FALSE)</f>
        <v>#N/A</v>
      </c>
    </row>
    <row r="27" spans="1:32" x14ac:dyDescent="0.35">
      <c r="C27" s="16"/>
      <c r="E27" s="152"/>
      <c r="G27" s="16"/>
      <c r="J27" s="16">
        <v>46198</v>
      </c>
      <c r="K27">
        <v>145</v>
      </c>
      <c r="L27" s="16">
        <v>46199</v>
      </c>
      <c r="M27">
        <v>195</v>
      </c>
      <c r="O27" s="16"/>
      <c r="R27" s="16"/>
      <c r="Y27" s="3">
        <v>45698</v>
      </c>
      <c r="Z27" t="s">
        <v>2155</v>
      </c>
      <c r="AA27" t="e">
        <f>AVERAGE(AB28:AF28)</f>
        <v>#N/A</v>
      </c>
      <c r="AB27" s="3">
        <f>Y27</f>
        <v>45698</v>
      </c>
      <c r="AC27" s="3">
        <f>AB27+1</f>
        <v>45699</v>
      </c>
      <c r="AD27" s="3">
        <f t="shared" si="1"/>
        <v>45700</v>
      </c>
      <c r="AE27" s="3">
        <f t="shared" si="1"/>
        <v>45701</v>
      </c>
      <c r="AF27" s="3">
        <f t="shared" si="1"/>
        <v>45702</v>
      </c>
    </row>
    <row r="28" spans="1:32" x14ac:dyDescent="0.35">
      <c r="C28" s="16"/>
      <c r="E28" s="152"/>
      <c r="G28" s="16"/>
      <c r="J28" s="16">
        <v>46199</v>
      </c>
      <c r="K28">
        <v>145</v>
      </c>
      <c r="L28" s="16">
        <v>46202</v>
      </c>
      <c r="M28">
        <v>192.5</v>
      </c>
      <c r="O28" s="16"/>
      <c r="R28" s="16"/>
      <c r="AB28" t="e">
        <f>VLOOKUP(AB27,$O:$P,2,FALSE)</f>
        <v>#N/A</v>
      </c>
      <c r="AC28" t="e">
        <f t="shared" ref="AC28" si="15">VLOOKUP(AC27,$O:$P,2,FALSE)</f>
        <v>#N/A</v>
      </c>
      <c r="AD28" t="e">
        <f t="shared" ref="AD28" si="16">VLOOKUP(AD27,$O:$P,2,FALSE)</f>
        <v>#N/A</v>
      </c>
      <c r="AE28" t="e">
        <f t="shared" ref="AE28" si="17">VLOOKUP(AE27,$O:$P,2,FALSE)</f>
        <v>#N/A</v>
      </c>
      <c r="AF28" t="e">
        <f t="shared" ref="AF28" si="18">VLOOKUP(AF27,$O:$P,2,FALSE)</f>
        <v>#N/A</v>
      </c>
    </row>
    <row r="29" spans="1:32" x14ac:dyDescent="0.35">
      <c r="C29" s="16"/>
      <c r="E29" s="152"/>
      <c r="G29" s="16"/>
      <c r="J29" s="16">
        <v>46202</v>
      </c>
      <c r="K29">
        <v>145</v>
      </c>
      <c r="L29" s="16">
        <v>46203</v>
      </c>
      <c r="M29">
        <v>185</v>
      </c>
      <c r="O29" s="16"/>
      <c r="R29" s="16"/>
      <c r="Y29" s="3">
        <f>+Y27+7</f>
        <v>45705</v>
      </c>
      <c r="Z29" t="s">
        <v>2156</v>
      </c>
      <c r="AA29" t="e">
        <f>AVERAGE(AB30:AF30)</f>
        <v>#N/A</v>
      </c>
      <c r="AB29" s="3">
        <f>Y29</f>
        <v>45705</v>
      </c>
      <c r="AC29" s="3">
        <f>AB29+1</f>
        <v>45706</v>
      </c>
      <c r="AD29" s="3">
        <f t="shared" si="1"/>
        <v>45707</v>
      </c>
      <c r="AE29" s="3">
        <f t="shared" si="1"/>
        <v>45708</v>
      </c>
      <c r="AF29" s="3">
        <f t="shared" si="1"/>
        <v>45709</v>
      </c>
    </row>
    <row r="30" spans="1:32" x14ac:dyDescent="0.35">
      <c r="E30" s="152"/>
      <c r="G30" s="16"/>
      <c r="J30" s="16">
        <v>46203</v>
      </c>
      <c r="K30">
        <v>145</v>
      </c>
      <c r="L30" s="16">
        <v>46204</v>
      </c>
      <c r="M30">
        <v>170</v>
      </c>
      <c r="O30" s="16"/>
      <c r="R30" s="16"/>
      <c r="AB30" t="e">
        <f>VLOOKUP(AB29,$O:$P,2,FALSE)</f>
        <v>#N/A</v>
      </c>
      <c r="AC30" t="e">
        <f t="shared" ref="AC30" si="19">VLOOKUP(AC29,$O:$P,2,FALSE)</f>
        <v>#N/A</v>
      </c>
      <c r="AD30" t="e">
        <f t="shared" ref="AD30" si="20">VLOOKUP(AD29,$O:$P,2,FALSE)</f>
        <v>#N/A</v>
      </c>
      <c r="AE30" t="e">
        <f t="shared" ref="AE30" si="21">VLOOKUP(AE29,$O:$P,2,FALSE)</f>
        <v>#N/A</v>
      </c>
      <c r="AF30" t="e">
        <f t="shared" ref="AF30" si="22">VLOOKUP(AF29,$O:$P,2,FALSE)</f>
        <v>#N/A</v>
      </c>
    </row>
    <row r="31" spans="1:32" x14ac:dyDescent="0.35">
      <c r="E31" s="152"/>
      <c r="G31" s="16"/>
      <c r="H31" s="16"/>
      <c r="J31" s="16">
        <v>46204</v>
      </c>
      <c r="K31">
        <v>140</v>
      </c>
      <c r="L31" s="16">
        <v>46205</v>
      </c>
      <c r="M31">
        <v>170</v>
      </c>
      <c r="O31" s="16"/>
      <c r="R31" s="16"/>
      <c r="Y31" s="3">
        <f t="shared" ref="Y31:Y93" si="23">+Y29+7</f>
        <v>45712</v>
      </c>
      <c r="Z31" t="s">
        <v>2157</v>
      </c>
      <c r="AA31" t="e">
        <f>AVERAGE(AB32:AF32)</f>
        <v>#N/A</v>
      </c>
      <c r="AB31" s="3">
        <f>Y31</f>
        <v>45712</v>
      </c>
      <c r="AC31" s="3">
        <f>AB31+1</f>
        <v>45713</v>
      </c>
      <c r="AD31" s="3">
        <f t="shared" si="1"/>
        <v>45714</v>
      </c>
      <c r="AE31" s="3">
        <f t="shared" si="1"/>
        <v>45715</v>
      </c>
      <c r="AF31" s="3">
        <f t="shared" si="1"/>
        <v>45716</v>
      </c>
    </row>
    <row r="32" spans="1:32" x14ac:dyDescent="0.35">
      <c r="A32" s="16"/>
      <c r="E32" s="16"/>
      <c r="F32" s="91" t="e">
        <f>AVERAGE(F13:F30)</f>
        <v>#DIV/0!</v>
      </c>
      <c r="G32" s="91" t="e">
        <f>AVERAGE(F15:F30)</f>
        <v>#DIV/0!</v>
      </c>
      <c r="H32" s="91" t="e">
        <f>AVERAGE(G15:G30)</f>
        <v>#DIV/0!</v>
      </c>
      <c r="J32" s="16">
        <v>46205</v>
      </c>
      <c r="K32">
        <v>135</v>
      </c>
      <c r="L32" s="16">
        <v>46209</v>
      </c>
      <c r="M32">
        <v>170</v>
      </c>
      <c r="O32" s="16"/>
      <c r="R32" s="16"/>
      <c r="Y32" s="3"/>
      <c r="AB32" t="e">
        <f>VLOOKUP(AB31,$O:$P,2,FALSE)</f>
        <v>#N/A</v>
      </c>
      <c r="AC32" t="e">
        <f t="shared" ref="AC32" si="24">VLOOKUP(AC31,$O:$P,2,FALSE)</f>
        <v>#N/A</v>
      </c>
      <c r="AD32" t="e">
        <f t="shared" ref="AD32" si="25">VLOOKUP(AD31,$O:$P,2,FALSE)</f>
        <v>#N/A</v>
      </c>
      <c r="AE32" t="e">
        <f t="shared" ref="AE32" si="26">VLOOKUP(AE31,$O:$P,2,FALSE)</f>
        <v>#N/A</v>
      </c>
      <c r="AF32" t="e">
        <f t="shared" ref="AF32" si="27">VLOOKUP(AF31,$O:$P,2,FALSE)</f>
        <v>#N/A</v>
      </c>
    </row>
    <row r="33" spans="1:32" x14ac:dyDescent="0.35">
      <c r="A33" s="16"/>
      <c r="E33" s="16"/>
      <c r="J33" s="16">
        <v>46206</v>
      </c>
      <c r="K33">
        <v>135</v>
      </c>
      <c r="L33" s="16">
        <v>46210</v>
      </c>
      <c r="M33">
        <v>165</v>
      </c>
      <c r="O33" s="16"/>
      <c r="R33" s="16"/>
      <c r="Y33" s="3">
        <f t="shared" si="23"/>
        <v>45719</v>
      </c>
      <c r="Z33" t="s">
        <v>143</v>
      </c>
      <c r="AA33" t="e">
        <f>AVERAGE(AB34:AF34)</f>
        <v>#N/A</v>
      </c>
      <c r="AB33" s="3">
        <f>Y33</f>
        <v>45719</v>
      </c>
      <c r="AC33" s="3">
        <f>AB33+1</f>
        <v>45720</v>
      </c>
      <c r="AD33" s="3">
        <f t="shared" si="1"/>
        <v>45721</v>
      </c>
      <c r="AE33" s="3">
        <f t="shared" si="1"/>
        <v>45722</v>
      </c>
      <c r="AF33" s="3">
        <f t="shared" si="1"/>
        <v>45723</v>
      </c>
    </row>
    <row r="34" spans="1:32" x14ac:dyDescent="0.35">
      <c r="A34" s="16"/>
      <c r="C34" s="139"/>
      <c r="E34" s="16"/>
      <c r="J34" s="16">
        <v>46209</v>
      </c>
      <c r="K34">
        <v>135</v>
      </c>
      <c r="L34" s="16">
        <v>46211</v>
      </c>
      <c r="M34">
        <v>180</v>
      </c>
      <c r="O34" s="16"/>
      <c r="R34" s="16"/>
      <c r="Y34" s="3"/>
      <c r="AB34" t="e">
        <f>VLOOKUP(AB33,$O:$P,2,FALSE)</f>
        <v>#N/A</v>
      </c>
      <c r="AC34" t="e">
        <f t="shared" ref="AC34" si="28">VLOOKUP(AC33,$O:$P,2,FALSE)</f>
        <v>#N/A</v>
      </c>
      <c r="AD34" t="e">
        <f t="shared" ref="AD34" si="29">VLOOKUP(AD33,$O:$P,2,FALSE)</f>
        <v>#N/A</v>
      </c>
      <c r="AE34" t="e">
        <f t="shared" ref="AE34" si="30">VLOOKUP(AE33,$O:$P,2,FALSE)</f>
        <v>#N/A</v>
      </c>
      <c r="AF34" t="e">
        <f t="shared" ref="AF34" si="31">VLOOKUP(AF33,$O:$P,2,FALSE)</f>
        <v>#N/A</v>
      </c>
    </row>
    <row r="35" spans="1:32" x14ac:dyDescent="0.35">
      <c r="A35" s="16"/>
      <c r="C35" s="138"/>
      <c r="D35" s="102"/>
      <c r="E35" s="152"/>
      <c r="J35" s="16">
        <v>46210</v>
      </c>
      <c r="K35">
        <v>135</v>
      </c>
      <c r="L35" s="16">
        <v>46212</v>
      </c>
      <c r="M35">
        <v>185</v>
      </c>
      <c r="O35" s="16"/>
      <c r="R35" s="16"/>
      <c r="Y35" s="3">
        <f t="shared" si="23"/>
        <v>45726</v>
      </c>
      <c r="Z35" t="s">
        <v>2158</v>
      </c>
      <c r="AA35" t="e">
        <f>AVERAGE(AB36:AF36)</f>
        <v>#N/A</v>
      </c>
      <c r="AB35" s="3">
        <f>Y35</f>
        <v>45726</v>
      </c>
      <c r="AC35" s="3">
        <f>AB35+1</f>
        <v>45727</v>
      </c>
      <c r="AD35" s="3">
        <f t="shared" si="1"/>
        <v>45728</v>
      </c>
      <c r="AE35" s="3">
        <f t="shared" si="1"/>
        <v>45729</v>
      </c>
      <c r="AF35" s="3">
        <f t="shared" si="1"/>
        <v>45730</v>
      </c>
    </row>
    <row r="36" spans="1:32" x14ac:dyDescent="0.35">
      <c r="A36" s="16"/>
      <c r="C36" s="138"/>
      <c r="D36" s="102"/>
      <c r="E36" s="152"/>
      <c r="J36" s="16">
        <v>46211</v>
      </c>
      <c r="K36">
        <v>137.5</v>
      </c>
      <c r="L36" s="16">
        <v>46213</v>
      </c>
      <c r="M36">
        <v>230</v>
      </c>
      <c r="O36" s="16"/>
      <c r="R36" s="16"/>
      <c r="Y36" s="3"/>
      <c r="AB36" t="e">
        <f>VLOOKUP(AB35,$O:$P,2,FALSE)</f>
        <v>#N/A</v>
      </c>
      <c r="AC36" t="e">
        <f t="shared" ref="AC36" si="32">VLOOKUP(AC35,$O:$P,2,FALSE)</f>
        <v>#N/A</v>
      </c>
      <c r="AD36" t="e">
        <f t="shared" ref="AD36" si="33">VLOOKUP(AD35,$O:$P,2,FALSE)</f>
        <v>#N/A</v>
      </c>
      <c r="AE36" t="e">
        <f t="shared" ref="AE36" si="34">VLOOKUP(AE35,$O:$P,2,FALSE)</f>
        <v>#N/A</v>
      </c>
      <c r="AF36" t="e">
        <f t="shared" ref="AF36" si="35">VLOOKUP(AF35,$O:$P,2,FALSE)</f>
        <v>#N/A</v>
      </c>
    </row>
    <row r="37" spans="1:32" x14ac:dyDescent="0.35">
      <c r="A37" s="16"/>
      <c r="C37" s="138"/>
      <c r="D37" s="102"/>
      <c r="E37" s="152"/>
      <c r="J37" s="16">
        <v>46212</v>
      </c>
      <c r="K37">
        <v>140</v>
      </c>
      <c r="L37" s="16">
        <v>46216</v>
      </c>
      <c r="M37">
        <v>230</v>
      </c>
      <c r="O37" s="16"/>
      <c r="R37" s="16"/>
      <c r="Y37" s="3">
        <f t="shared" si="23"/>
        <v>45733</v>
      </c>
      <c r="Z37" t="s">
        <v>145</v>
      </c>
      <c r="AA37" t="e">
        <f>AVERAGE(AB38:AF38)</f>
        <v>#N/A</v>
      </c>
      <c r="AB37" s="3">
        <f>Y37</f>
        <v>45733</v>
      </c>
      <c r="AC37" s="3">
        <f>AB37+1</f>
        <v>45734</v>
      </c>
      <c r="AD37" s="3">
        <f t="shared" si="1"/>
        <v>45735</v>
      </c>
      <c r="AE37" s="3">
        <f t="shared" si="1"/>
        <v>45736</v>
      </c>
      <c r="AF37" s="3">
        <f t="shared" si="1"/>
        <v>45737</v>
      </c>
    </row>
    <row r="38" spans="1:32" x14ac:dyDescent="0.35">
      <c r="A38" s="16"/>
      <c r="C38" s="138"/>
      <c r="D38" s="102"/>
      <c r="E38" s="16"/>
      <c r="J38" s="16">
        <v>46213</v>
      </c>
      <c r="K38">
        <v>150</v>
      </c>
      <c r="L38" s="16">
        <v>46217</v>
      </c>
      <c r="M38">
        <v>240</v>
      </c>
      <c r="O38" s="16"/>
      <c r="R38" s="16"/>
      <c r="Y38" s="3"/>
      <c r="AB38" t="e">
        <f>VLOOKUP(AB37,$O:$P,2,FALSE)</f>
        <v>#N/A</v>
      </c>
      <c r="AC38" t="e">
        <f t="shared" ref="AC38" si="36">VLOOKUP(AC37,$O:$P,2,FALSE)</f>
        <v>#N/A</v>
      </c>
      <c r="AD38" t="e">
        <f t="shared" ref="AD38" si="37">VLOOKUP(AD37,$O:$P,2,FALSE)</f>
        <v>#N/A</v>
      </c>
      <c r="AE38" t="e">
        <f t="shared" ref="AE38" si="38">VLOOKUP(AE37,$O:$P,2,FALSE)</f>
        <v>#N/A</v>
      </c>
      <c r="AF38" t="e">
        <f t="shared" ref="AF38" si="39">VLOOKUP(AF37,$O:$P,2,FALSE)</f>
        <v>#N/A</v>
      </c>
    </row>
    <row r="39" spans="1:32" x14ac:dyDescent="0.35">
      <c r="A39" s="16"/>
      <c r="C39" s="138"/>
      <c r="D39" s="102"/>
      <c r="E39" s="16"/>
      <c r="J39" s="16">
        <v>46216</v>
      </c>
      <c r="K39">
        <v>155</v>
      </c>
      <c r="L39" s="16">
        <v>46218</v>
      </c>
      <c r="M39">
        <v>240</v>
      </c>
      <c r="O39" s="16"/>
      <c r="R39" s="16"/>
      <c r="Y39" s="3">
        <f t="shared" si="23"/>
        <v>45740</v>
      </c>
      <c r="Z39" t="s">
        <v>2159</v>
      </c>
      <c r="AA39" t="e">
        <f>AVERAGE(AB40:AF40)</f>
        <v>#N/A</v>
      </c>
      <c r="AB39" s="3">
        <f>Y39</f>
        <v>45740</v>
      </c>
      <c r="AC39" s="3">
        <f>AB39+1</f>
        <v>45741</v>
      </c>
      <c r="AD39" s="3">
        <f t="shared" si="1"/>
        <v>45742</v>
      </c>
      <c r="AE39" s="3">
        <f t="shared" si="1"/>
        <v>45743</v>
      </c>
      <c r="AF39" s="3">
        <f t="shared" si="1"/>
        <v>45744</v>
      </c>
    </row>
    <row r="40" spans="1:32" x14ac:dyDescent="0.35">
      <c r="A40" s="16"/>
      <c r="C40" s="138"/>
      <c r="D40" s="102"/>
      <c r="E40" s="16"/>
      <c r="J40" s="16">
        <v>46217</v>
      </c>
      <c r="K40">
        <v>217.5</v>
      </c>
      <c r="L40" s="16">
        <v>46219</v>
      </c>
      <c r="M40">
        <v>260</v>
      </c>
      <c r="O40" s="16"/>
      <c r="R40" s="16"/>
      <c r="Y40" s="3"/>
      <c r="AB40" t="e">
        <f>VLOOKUP(AB39,$O:$P,2,FALSE)</f>
        <v>#N/A</v>
      </c>
      <c r="AC40" t="e">
        <f t="shared" ref="AC40" si="40">VLOOKUP(AC39,$O:$P,2,FALSE)</f>
        <v>#N/A</v>
      </c>
      <c r="AD40" t="e">
        <f t="shared" ref="AD40" si="41">VLOOKUP(AD39,$O:$P,2,FALSE)</f>
        <v>#N/A</v>
      </c>
      <c r="AE40" t="e">
        <f t="shared" ref="AE40" si="42">VLOOKUP(AE39,$O:$P,2,FALSE)</f>
        <v>#N/A</v>
      </c>
      <c r="AF40" t="e">
        <f t="shared" ref="AF40" si="43">VLOOKUP(AF39,$O:$P,2,FALSE)</f>
        <v>#N/A</v>
      </c>
    </row>
    <row r="41" spans="1:32" x14ac:dyDescent="0.35">
      <c r="A41" s="16"/>
      <c r="C41" s="138"/>
      <c r="D41" s="102"/>
      <c r="E41" s="16"/>
      <c r="J41" s="16">
        <v>46218</v>
      </c>
      <c r="K41">
        <v>220</v>
      </c>
      <c r="L41" s="16">
        <v>46220</v>
      </c>
      <c r="M41">
        <v>280</v>
      </c>
      <c r="O41" s="16"/>
      <c r="R41" s="16"/>
      <c r="Y41" s="3">
        <f t="shared" si="23"/>
        <v>45747</v>
      </c>
      <c r="Z41" t="s">
        <v>2160</v>
      </c>
      <c r="AA41" t="e">
        <f>AVERAGE(AB42:AF42)</f>
        <v>#N/A</v>
      </c>
      <c r="AB41" s="3">
        <f>Y41</f>
        <v>45747</v>
      </c>
      <c r="AC41" s="3">
        <f>AB41+1</f>
        <v>45748</v>
      </c>
      <c r="AD41" s="3">
        <f t="shared" si="1"/>
        <v>45749</v>
      </c>
      <c r="AE41" s="3">
        <f t="shared" si="1"/>
        <v>45750</v>
      </c>
      <c r="AF41" s="3">
        <f t="shared" si="1"/>
        <v>45751</v>
      </c>
    </row>
    <row r="42" spans="1:32" x14ac:dyDescent="0.35">
      <c r="A42" s="16"/>
      <c r="C42" s="138"/>
      <c r="D42" s="102"/>
      <c r="E42" s="16"/>
      <c r="J42" s="16">
        <v>46219</v>
      </c>
      <c r="K42">
        <v>225</v>
      </c>
      <c r="L42" s="16">
        <v>46223</v>
      </c>
      <c r="M42">
        <v>302.5</v>
      </c>
      <c r="O42" s="16"/>
      <c r="R42" s="16"/>
      <c r="Y42" s="3"/>
      <c r="AB42" t="e">
        <f>VLOOKUP(AB41,$O:$P,2,FALSE)</f>
        <v>#N/A</v>
      </c>
      <c r="AC42" t="e">
        <f t="shared" ref="AC42" si="44">VLOOKUP(AC41,$O:$P,2,FALSE)</f>
        <v>#N/A</v>
      </c>
      <c r="AD42" t="e">
        <f t="shared" ref="AD42" si="45">VLOOKUP(AD41,$O:$P,2,FALSE)</f>
        <v>#N/A</v>
      </c>
      <c r="AE42" t="e">
        <f t="shared" ref="AE42" si="46">VLOOKUP(AE41,$O:$P,2,FALSE)</f>
        <v>#N/A</v>
      </c>
      <c r="AF42" t="e">
        <f t="shared" ref="AF42" si="47">VLOOKUP(AF41,$O:$P,2,FALSE)</f>
        <v>#N/A</v>
      </c>
    </row>
    <row r="43" spans="1:32" x14ac:dyDescent="0.35">
      <c r="A43" s="16"/>
      <c r="C43" s="138"/>
      <c r="D43" s="102"/>
      <c r="E43" s="16"/>
      <c r="J43" s="16">
        <v>46220</v>
      </c>
      <c r="K43">
        <v>235</v>
      </c>
      <c r="L43" s="16">
        <v>46224</v>
      </c>
      <c r="M43">
        <v>370</v>
      </c>
      <c r="O43" s="16"/>
      <c r="R43" s="16"/>
      <c r="Y43" s="3">
        <f t="shared" si="23"/>
        <v>45754</v>
      </c>
      <c r="Z43" t="s">
        <v>135</v>
      </c>
      <c r="AA43" t="e">
        <f>AVERAGE(AB44:AF44)</f>
        <v>#N/A</v>
      </c>
      <c r="AB43" s="3">
        <f>Y43</f>
        <v>45754</v>
      </c>
      <c r="AC43" s="3">
        <f>AB43+1</f>
        <v>45755</v>
      </c>
      <c r="AD43" s="3">
        <f t="shared" si="1"/>
        <v>45756</v>
      </c>
      <c r="AE43" s="3">
        <f t="shared" si="1"/>
        <v>45757</v>
      </c>
      <c r="AF43" s="3">
        <f t="shared" si="1"/>
        <v>45758</v>
      </c>
    </row>
    <row r="44" spans="1:32" x14ac:dyDescent="0.35">
      <c r="A44" s="16"/>
      <c r="C44" s="138"/>
      <c r="D44" s="102"/>
      <c r="E44" s="16"/>
      <c r="J44" s="16">
        <v>46223</v>
      </c>
      <c r="K44">
        <v>230</v>
      </c>
      <c r="L44" s="16">
        <v>46225</v>
      </c>
      <c r="M44">
        <v>440</v>
      </c>
      <c r="O44" s="16"/>
      <c r="R44" s="16"/>
      <c r="Y44" s="3"/>
      <c r="AB44" t="e">
        <f>VLOOKUP(AB43,$O:$P,2,FALSE)</f>
        <v>#N/A</v>
      </c>
      <c r="AC44" t="e">
        <f t="shared" ref="AC44" si="48">VLOOKUP(AC43,$O:$P,2,FALSE)</f>
        <v>#N/A</v>
      </c>
      <c r="AD44" t="e">
        <f t="shared" ref="AD44" si="49">VLOOKUP(AD43,$O:$P,2,FALSE)</f>
        <v>#N/A</v>
      </c>
      <c r="AE44" t="e">
        <f t="shared" ref="AE44" si="50">VLOOKUP(AE43,$O:$P,2,FALSE)</f>
        <v>#N/A</v>
      </c>
      <c r="AF44" t="e">
        <f t="shared" ref="AF44" si="51">VLOOKUP(AF43,$O:$P,2,FALSE)</f>
        <v>#N/A</v>
      </c>
    </row>
    <row r="45" spans="1:32" x14ac:dyDescent="0.35">
      <c r="A45" s="16"/>
      <c r="C45" s="138"/>
      <c r="D45" s="102"/>
      <c r="E45" s="16"/>
      <c r="J45" s="16">
        <v>46224</v>
      </c>
      <c r="K45">
        <v>210</v>
      </c>
      <c r="L45" s="16">
        <v>46226</v>
      </c>
      <c r="M45">
        <v>440</v>
      </c>
      <c r="O45" s="16"/>
      <c r="R45" s="16"/>
      <c r="Y45" s="3">
        <f t="shared" si="23"/>
        <v>45761</v>
      </c>
      <c r="Z45" t="s">
        <v>137</v>
      </c>
      <c r="AA45" t="e">
        <f>AVERAGE(AB46:AF46)</f>
        <v>#N/A</v>
      </c>
      <c r="AB45" s="3">
        <f>Y45</f>
        <v>45761</v>
      </c>
      <c r="AC45" s="3">
        <f>AB45+1</f>
        <v>45762</v>
      </c>
      <c r="AD45" s="3">
        <f t="shared" si="1"/>
        <v>45763</v>
      </c>
      <c r="AE45" s="3">
        <f t="shared" si="1"/>
        <v>45764</v>
      </c>
      <c r="AF45" s="3">
        <f t="shared" si="1"/>
        <v>45765</v>
      </c>
    </row>
    <row r="46" spans="1:32" x14ac:dyDescent="0.35">
      <c r="A46" s="16"/>
      <c r="C46" s="138"/>
      <c r="D46" s="102"/>
      <c r="E46" s="16"/>
      <c r="J46" s="16">
        <v>46225</v>
      </c>
      <c r="K46">
        <v>215</v>
      </c>
      <c r="L46" s="16">
        <v>46227</v>
      </c>
      <c r="M46">
        <v>432.5</v>
      </c>
      <c r="O46" s="16"/>
      <c r="R46" s="16"/>
      <c r="Y46" s="3"/>
      <c r="AB46" t="e">
        <f>VLOOKUP(AB45,$O:$P,2,FALSE)</f>
        <v>#N/A</v>
      </c>
      <c r="AC46" t="e">
        <f t="shared" ref="AC46" si="52">VLOOKUP(AC45,$O:$P,2,FALSE)</f>
        <v>#N/A</v>
      </c>
      <c r="AD46" t="e">
        <f t="shared" ref="AD46" si="53">VLOOKUP(AD45,$O:$P,2,FALSE)</f>
        <v>#N/A</v>
      </c>
      <c r="AE46" t="e">
        <f t="shared" ref="AE46" si="54">VLOOKUP(AE45,$O:$P,2,FALSE)</f>
        <v>#N/A</v>
      </c>
    </row>
    <row r="47" spans="1:32" x14ac:dyDescent="0.35">
      <c r="A47" s="16"/>
      <c r="C47" s="138"/>
      <c r="D47" s="102"/>
      <c r="E47" s="16"/>
      <c r="J47" s="16">
        <v>46226</v>
      </c>
      <c r="K47" s="3">
        <v>220</v>
      </c>
      <c r="L47" s="16">
        <v>46230</v>
      </c>
      <c r="M47">
        <v>432.5</v>
      </c>
      <c r="O47" s="16"/>
      <c r="R47" s="16"/>
      <c r="Y47" s="3">
        <f t="shared" si="23"/>
        <v>45768</v>
      </c>
      <c r="Z47" t="s">
        <v>2161</v>
      </c>
      <c r="AA47" t="e">
        <f>AVERAGE(AB48:AF48)</f>
        <v>#N/A</v>
      </c>
      <c r="AB47" s="3">
        <f>Y47</f>
        <v>45768</v>
      </c>
      <c r="AC47" s="3">
        <f>AB47+1</f>
        <v>45769</v>
      </c>
      <c r="AD47" s="3">
        <f t="shared" si="1"/>
        <v>45770</v>
      </c>
      <c r="AE47" s="3">
        <f t="shared" si="1"/>
        <v>45771</v>
      </c>
      <c r="AF47" s="3">
        <f t="shared" si="1"/>
        <v>45772</v>
      </c>
    </row>
    <row r="48" spans="1:32" x14ac:dyDescent="0.35">
      <c r="A48" s="16"/>
      <c r="C48" s="138"/>
      <c r="D48" s="102"/>
      <c r="E48" s="16"/>
      <c r="J48" s="16">
        <v>46227</v>
      </c>
      <c r="K48" s="3">
        <v>235</v>
      </c>
      <c r="L48" s="16">
        <v>46231</v>
      </c>
      <c r="M48">
        <v>415</v>
      </c>
      <c r="O48" s="16"/>
      <c r="R48" s="16"/>
      <c r="Y48" s="3"/>
      <c r="AC48" t="e">
        <f t="shared" ref="AC48" si="55">VLOOKUP(AC47,$O:$P,2,FALSE)</f>
        <v>#N/A</v>
      </c>
      <c r="AD48" t="e">
        <f t="shared" ref="AD48" si="56">VLOOKUP(AD47,$O:$P,2,FALSE)</f>
        <v>#N/A</v>
      </c>
      <c r="AE48" t="e">
        <f t="shared" ref="AE48" si="57">VLOOKUP(AE47,$O:$P,2,FALSE)</f>
        <v>#N/A</v>
      </c>
      <c r="AF48" t="e">
        <f t="shared" ref="AF48" si="58">VLOOKUP(AF47,$O:$P,2,FALSE)</f>
        <v>#N/A</v>
      </c>
    </row>
    <row r="49" spans="1:32" x14ac:dyDescent="0.35">
      <c r="A49" s="16"/>
      <c r="C49" s="138"/>
      <c r="D49" s="102"/>
      <c r="E49" s="16"/>
      <c r="J49" s="16">
        <v>46230</v>
      </c>
      <c r="K49">
        <v>235</v>
      </c>
      <c r="L49">
        <v>46232</v>
      </c>
      <c r="M49">
        <v>400</v>
      </c>
      <c r="O49" s="16"/>
      <c r="R49" s="16"/>
      <c r="Y49" s="3">
        <f t="shared" si="23"/>
        <v>45775</v>
      </c>
      <c r="Z49" t="s">
        <v>2162</v>
      </c>
      <c r="AA49" t="e">
        <f>AVERAGE(AB50:AF50)</f>
        <v>#N/A</v>
      </c>
      <c r="AB49" s="3">
        <f>Y49</f>
        <v>45775</v>
      </c>
      <c r="AC49" s="3">
        <f>AB49+1</f>
        <v>45776</v>
      </c>
      <c r="AD49" s="3">
        <f t="shared" si="1"/>
        <v>45777</v>
      </c>
      <c r="AE49" s="3">
        <f t="shared" si="1"/>
        <v>45778</v>
      </c>
      <c r="AF49" s="3">
        <f t="shared" si="1"/>
        <v>45779</v>
      </c>
    </row>
    <row r="50" spans="1:32" x14ac:dyDescent="0.35">
      <c r="C50" s="138"/>
      <c r="D50" s="102"/>
      <c r="E50" s="16"/>
      <c r="J50" s="16">
        <v>46231</v>
      </c>
      <c r="K50">
        <v>235</v>
      </c>
      <c r="L50">
        <v>46233</v>
      </c>
      <c r="M50">
        <v>375</v>
      </c>
      <c r="O50" s="16"/>
      <c r="R50" s="16"/>
      <c r="Y50" s="3"/>
      <c r="AB50" t="e">
        <f>VLOOKUP(AB49,$O:$P,2,FALSE)</f>
        <v>#N/A</v>
      </c>
      <c r="AC50" t="e">
        <f t="shared" ref="AC50" si="59">VLOOKUP(AC49,$O:$P,2,FALSE)</f>
        <v>#N/A</v>
      </c>
      <c r="AD50" t="e">
        <f t="shared" ref="AD50" si="60">VLOOKUP(AD49,$O:$P,2,FALSE)</f>
        <v>#N/A</v>
      </c>
      <c r="AE50" t="e">
        <f t="shared" ref="AE50" si="61">VLOOKUP(AE49,$O:$P,2,FALSE)</f>
        <v>#N/A</v>
      </c>
      <c r="AF50" t="e">
        <f t="shared" ref="AF50" si="62">VLOOKUP(AF49,$O:$P,2,FALSE)</f>
        <v>#N/A</v>
      </c>
    </row>
    <row r="51" spans="1:32" x14ac:dyDescent="0.35">
      <c r="C51" s="138"/>
      <c r="D51" s="102"/>
      <c r="E51" s="16"/>
      <c r="J51">
        <v>46232</v>
      </c>
      <c r="K51">
        <v>230</v>
      </c>
      <c r="O51" s="16"/>
      <c r="Y51" s="3">
        <f t="shared" si="23"/>
        <v>45782</v>
      </c>
      <c r="Z51" t="s">
        <v>965</v>
      </c>
      <c r="AA51" t="e">
        <f>AVERAGE(AB52:AF52)</f>
        <v>#N/A</v>
      </c>
      <c r="AB51" s="3">
        <f>Y51</f>
        <v>45782</v>
      </c>
      <c r="AC51" s="3">
        <f>AB51+1</f>
        <v>45783</v>
      </c>
      <c r="AD51" s="3">
        <f t="shared" si="1"/>
        <v>45784</v>
      </c>
      <c r="AE51" s="3">
        <f t="shared" si="1"/>
        <v>45785</v>
      </c>
      <c r="AF51" s="3">
        <f t="shared" si="1"/>
        <v>45786</v>
      </c>
    </row>
    <row r="52" spans="1:32" x14ac:dyDescent="0.35">
      <c r="C52" s="138"/>
      <c r="E52" s="16"/>
      <c r="J52">
        <v>46233</v>
      </c>
      <c r="K52">
        <v>222.5</v>
      </c>
      <c r="O52" s="16"/>
      <c r="Y52" s="3"/>
      <c r="AC52" t="e">
        <f t="shared" ref="AC52" si="63">VLOOKUP(AC51,$O:$P,2,FALSE)</f>
        <v>#N/A</v>
      </c>
      <c r="AD52" t="e">
        <f t="shared" ref="AD52" si="64">VLOOKUP(AD51,$O:$P,2,FALSE)</f>
        <v>#N/A</v>
      </c>
      <c r="AE52" t="e">
        <f t="shared" ref="AE52" si="65">VLOOKUP(AE51,$O:$P,2,FALSE)</f>
        <v>#N/A</v>
      </c>
      <c r="AF52" t="e">
        <f t="shared" ref="AF52" si="66">VLOOKUP(AF51,$O:$P,2,FALSE)</f>
        <v>#N/A</v>
      </c>
    </row>
    <row r="53" spans="1:32" x14ac:dyDescent="0.35">
      <c r="C53" s="138"/>
      <c r="E53" s="16"/>
      <c r="O53" s="16"/>
      <c r="Y53" s="3">
        <f t="shared" si="23"/>
        <v>45789</v>
      </c>
      <c r="Z53" t="s">
        <v>977</v>
      </c>
      <c r="AA53" t="e">
        <f>AVERAGE(AB54:AF54)</f>
        <v>#N/A</v>
      </c>
      <c r="AB53" s="3">
        <f>Y53</f>
        <v>45789</v>
      </c>
      <c r="AC53" s="3">
        <f>AB53+1</f>
        <v>45790</v>
      </c>
      <c r="AD53" s="3">
        <f t="shared" si="1"/>
        <v>45791</v>
      </c>
      <c r="AE53" s="3">
        <f t="shared" si="1"/>
        <v>45792</v>
      </c>
      <c r="AF53" s="3">
        <f t="shared" si="1"/>
        <v>45793</v>
      </c>
    </row>
    <row r="54" spans="1:32" x14ac:dyDescent="0.35">
      <c r="C54" s="138"/>
      <c r="E54" s="16"/>
      <c r="O54" s="16"/>
      <c r="Y54" s="3"/>
      <c r="AB54" t="e">
        <f>VLOOKUP(AB53,$O:$P,2,FALSE)</f>
        <v>#N/A</v>
      </c>
      <c r="AC54" t="e">
        <f t="shared" ref="AC54" si="67">VLOOKUP(AC53,$O:$P,2,FALSE)</f>
        <v>#N/A</v>
      </c>
      <c r="AD54" t="e">
        <f t="shared" ref="AD54" si="68">VLOOKUP(AD53,$O:$P,2,FALSE)</f>
        <v>#N/A</v>
      </c>
      <c r="AE54" t="e">
        <f t="shared" ref="AE54" si="69">VLOOKUP(AE53,$O:$P,2,FALSE)</f>
        <v>#N/A</v>
      </c>
      <c r="AF54" t="e">
        <f t="shared" ref="AF54" si="70">VLOOKUP(AF53,$O:$P,2,FALSE)</f>
        <v>#N/A</v>
      </c>
    </row>
    <row r="55" spans="1:32" x14ac:dyDescent="0.35">
      <c r="C55" s="138"/>
      <c r="E55" s="16"/>
      <c r="O55" s="16"/>
      <c r="Y55" s="3">
        <f t="shared" si="23"/>
        <v>45796</v>
      </c>
      <c r="Z55" t="s">
        <v>148</v>
      </c>
      <c r="AA55" t="e">
        <f>AVERAGE(AB56:AF56)</f>
        <v>#N/A</v>
      </c>
      <c r="AB55" s="3">
        <f>Y55</f>
        <v>45796</v>
      </c>
      <c r="AC55" s="3">
        <f>AB55+1</f>
        <v>45797</v>
      </c>
      <c r="AD55" s="3">
        <f t="shared" si="1"/>
        <v>45798</v>
      </c>
      <c r="AE55" s="3">
        <f t="shared" si="1"/>
        <v>45799</v>
      </c>
      <c r="AF55" s="3">
        <f t="shared" si="1"/>
        <v>45800</v>
      </c>
    </row>
    <row r="56" spans="1:32" x14ac:dyDescent="0.35">
      <c r="C56" s="138"/>
      <c r="E56" s="16"/>
      <c r="O56" s="16"/>
      <c r="Y56" s="3"/>
      <c r="AB56" t="e">
        <f>VLOOKUP(AB55,$O:$P,2,FALSE)</f>
        <v>#N/A</v>
      </c>
      <c r="AC56" t="e">
        <f t="shared" ref="AC56" si="71">VLOOKUP(AC55,$O:$P,2,FALSE)</f>
        <v>#N/A</v>
      </c>
      <c r="AD56" t="e">
        <f t="shared" ref="AD56" si="72">VLOOKUP(AD55,$O:$P,2,FALSE)</f>
        <v>#N/A</v>
      </c>
      <c r="AE56" t="e">
        <f t="shared" ref="AE56" si="73">VLOOKUP(AE55,$O:$P,2,FALSE)</f>
        <v>#N/A</v>
      </c>
      <c r="AF56" t="e">
        <f t="shared" ref="AF56" si="74">VLOOKUP(AF55,$O:$P,2,FALSE)</f>
        <v>#N/A</v>
      </c>
    </row>
    <row r="57" spans="1:32" x14ac:dyDescent="0.35">
      <c r="C57" s="138"/>
      <c r="E57" s="16"/>
      <c r="O57" s="16"/>
      <c r="Y57" s="3">
        <f t="shared" si="23"/>
        <v>45803</v>
      </c>
      <c r="Z57" t="s">
        <v>1030</v>
      </c>
      <c r="AA57" t="e">
        <f>AVERAGE(AB58:AF58)</f>
        <v>#N/A</v>
      </c>
      <c r="AB57" s="3">
        <f>Y57</f>
        <v>45803</v>
      </c>
      <c r="AC57" s="3">
        <f>AB57+1</f>
        <v>45804</v>
      </c>
      <c r="AD57" s="3">
        <f t="shared" si="1"/>
        <v>45805</v>
      </c>
      <c r="AE57" s="3">
        <f t="shared" si="1"/>
        <v>45806</v>
      </c>
      <c r="AF57" s="3">
        <f t="shared" si="1"/>
        <v>45807</v>
      </c>
    </row>
    <row r="58" spans="1:32" x14ac:dyDescent="0.35">
      <c r="C58" s="138"/>
      <c r="E58" s="16"/>
      <c r="O58" s="16"/>
      <c r="Y58" s="3"/>
      <c r="AC58" t="e">
        <f t="shared" ref="AC58" si="75">VLOOKUP(AC57,$O:$P,2,FALSE)</f>
        <v>#N/A</v>
      </c>
      <c r="AD58" t="e">
        <f t="shared" ref="AD58" si="76">VLOOKUP(AD57,$O:$P,2,FALSE)</f>
        <v>#N/A</v>
      </c>
      <c r="AE58" t="e">
        <f t="shared" ref="AE58" si="77">VLOOKUP(AE57,$O:$P,2,FALSE)</f>
        <v>#N/A</v>
      </c>
      <c r="AF58" t="e">
        <f t="shared" ref="AF58" si="78">VLOOKUP(AF57,$O:$P,2,FALSE)</f>
        <v>#N/A</v>
      </c>
    </row>
    <row r="59" spans="1:32" x14ac:dyDescent="0.35">
      <c r="C59" s="138"/>
      <c r="E59" s="16"/>
      <c r="O59" s="16"/>
      <c r="Y59" s="3">
        <f t="shared" si="23"/>
        <v>45810</v>
      </c>
      <c r="Z59" t="s">
        <v>1032</v>
      </c>
      <c r="AA59" t="e">
        <f>AVERAGE(AB60:AF60)</f>
        <v>#N/A</v>
      </c>
      <c r="AB59" s="3">
        <f>Y59</f>
        <v>45810</v>
      </c>
      <c r="AC59" s="3">
        <f>AB59+1</f>
        <v>45811</v>
      </c>
      <c r="AD59" s="3">
        <f t="shared" si="1"/>
        <v>45812</v>
      </c>
      <c r="AE59" s="3">
        <f t="shared" si="1"/>
        <v>45813</v>
      </c>
      <c r="AF59" s="3">
        <f t="shared" si="1"/>
        <v>45814</v>
      </c>
    </row>
    <row r="60" spans="1:32" x14ac:dyDescent="0.35">
      <c r="C60" s="138"/>
      <c r="E60" s="16"/>
      <c r="O60" s="16"/>
      <c r="Y60" s="3"/>
      <c r="AB60" t="e">
        <f>VLOOKUP(AB59,$O:$P,2,FALSE)</f>
        <v>#N/A</v>
      </c>
      <c r="AC60" t="e">
        <f t="shared" ref="AC60" si="79">VLOOKUP(AC59,$O:$P,2,FALSE)</f>
        <v>#N/A</v>
      </c>
      <c r="AD60" t="e">
        <f t="shared" ref="AD60" si="80">VLOOKUP(AD59,$O:$P,2,FALSE)</f>
        <v>#N/A</v>
      </c>
      <c r="AE60" t="e">
        <f t="shared" ref="AE60" si="81">VLOOKUP(AE59,$O:$P,2,FALSE)</f>
        <v>#N/A</v>
      </c>
      <c r="AF60" t="e">
        <f t="shared" ref="AF60" si="82">VLOOKUP(AF59,$O:$P,2,FALSE)</f>
        <v>#N/A</v>
      </c>
    </row>
    <row r="61" spans="1:32" x14ac:dyDescent="0.35">
      <c r="E61" s="16"/>
      <c r="O61" s="16"/>
      <c r="Y61" s="3">
        <f t="shared" si="23"/>
        <v>45817</v>
      </c>
      <c r="Z61" t="s">
        <v>1046</v>
      </c>
      <c r="AA61" t="e">
        <f>AVERAGE(AB62:AF62)</f>
        <v>#N/A</v>
      </c>
      <c r="AB61" s="3">
        <f>Y61</f>
        <v>45817</v>
      </c>
      <c r="AC61" s="3">
        <f>AB61+1</f>
        <v>45818</v>
      </c>
      <c r="AD61" s="3">
        <f t="shared" si="1"/>
        <v>45819</v>
      </c>
      <c r="AE61" s="3">
        <f t="shared" si="1"/>
        <v>45820</v>
      </c>
      <c r="AF61" s="3">
        <f t="shared" si="1"/>
        <v>45821</v>
      </c>
    </row>
    <row r="62" spans="1:32" x14ac:dyDescent="0.35">
      <c r="E62" s="16"/>
      <c r="O62" s="16"/>
      <c r="Y62" s="3"/>
      <c r="AB62" t="e">
        <f>VLOOKUP(AB61,$O:$P,2,FALSE)</f>
        <v>#N/A</v>
      </c>
      <c r="AC62" t="e">
        <f t="shared" ref="AC62" si="83">VLOOKUP(AC61,$O:$P,2,FALSE)</f>
        <v>#N/A</v>
      </c>
      <c r="AD62" t="e">
        <f t="shared" ref="AD62" si="84">VLOOKUP(AD61,$O:$P,2,FALSE)</f>
        <v>#N/A</v>
      </c>
      <c r="AE62" t="e">
        <f t="shared" ref="AE62" si="85">VLOOKUP(AE61,$O:$P,2,FALSE)</f>
        <v>#N/A</v>
      </c>
      <c r="AF62" t="e">
        <f t="shared" ref="AF62" si="86">VLOOKUP(AF61,$O:$P,2,FALSE)</f>
        <v>#N/A</v>
      </c>
    </row>
    <row r="63" spans="1:32" x14ac:dyDescent="0.35">
      <c r="E63" s="16"/>
      <c r="O63" s="16"/>
      <c r="Y63" s="3">
        <f t="shared" si="23"/>
        <v>45824</v>
      </c>
      <c r="Z63" t="s">
        <v>1090</v>
      </c>
      <c r="AA63" t="e">
        <f>AVERAGE(AB64:AF64)</f>
        <v>#N/A</v>
      </c>
      <c r="AB63" s="3">
        <f>Y63</f>
        <v>45824</v>
      </c>
      <c r="AC63" s="3">
        <f>AB63+1</f>
        <v>45825</v>
      </c>
      <c r="AD63" s="3">
        <f t="shared" si="1"/>
        <v>45826</v>
      </c>
      <c r="AE63" s="3">
        <f t="shared" si="1"/>
        <v>45827</v>
      </c>
      <c r="AF63" s="3">
        <f t="shared" si="1"/>
        <v>45828</v>
      </c>
    </row>
    <row r="64" spans="1:32" x14ac:dyDescent="0.35">
      <c r="E64" s="16"/>
      <c r="O64" s="16"/>
      <c r="Y64" s="3"/>
      <c r="AB64" t="e">
        <f>VLOOKUP(AB63,$O:$P,2,FALSE)</f>
        <v>#N/A</v>
      </c>
      <c r="AC64" t="e">
        <f t="shared" ref="AC64" si="87">VLOOKUP(AC63,$O:$P,2,FALSE)</f>
        <v>#N/A</v>
      </c>
      <c r="AD64" t="e">
        <f t="shared" ref="AD64" si="88">VLOOKUP(AD63,$O:$P,2,FALSE)</f>
        <v>#N/A</v>
      </c>
      <c r="AF64" t="e">
        <f t="shared" ref="AF64" si="89">VLOOKUP(AF63,$O:$P,2,FALSE)</f>
        <v>#N/A</v>
      </c>
    </row>
    <row r="65" spans="5:32" x14ac:dyDescent="0.35">
      <c r="E65" s="16"/>
      <c r="O65" s="16"/>
      <c r="Y65" s="3">
        <f t="shared" si="23"/>
        <v>45831</v>
      </c>
      <c r="Z65" t="s">
        <v>2163</v>
      </c>
      <c r="AA65" t="e">
        <f>AVERAGE(AB66:AF66)</f>
        <v>#N/A</v>
      </c>
      <c r="AB65" s="3">
        <f>Y65</f>
        <v>45831</v>
      </c>
      <c r="AC65" s="3">
        <f>AB65+1</f>
        <v>45832</v>
      </c>
      <c r="AD65" s="3">
        <f t="shared" si="1"/>
        <v>45833</v>
      </c>
      <c r="AE65" s="3">
        <f t="shared" si="1"/>
        <v>45834</v>
      </c>
      <c r="AF65" s="3">
        <f t="shared" si="1"/>
        <v>45835</v>
      </c>
    </row>
    <row r="66" spans="5:32" x14ac:dyDescent="0.35">
      <c r="E66" s="16"/>
      <c r="O66" s="16"/>
      <c r="Y66" s="3"/>
      <c r="AB66" t="e">
        <f>VLOOKUP(AB65,$O:$P,2,FALSE)</f>
        <v>#N/A</v>
      </c>
      <c r="AC66" t="e">
        <f t="shared" ref="AC66" si="90">VLOOKUP(AC65,$O:$P,2,FALSE)</f>
        <v>#N/A</v>
      </c>
      <c r="AD66" t="e">
        <f t="shared" ref="AD66" si="91">VLOOKUP(AD65,$O:$P,2,FALSE)</f>
        <v>#N/A</v>
      </c>
      <c r="AE66" t="e">
        <f t="shared" ref="AE66" si="92">VLOOKUP(AE65,$O:$P,2,FALSE)</f>
        <v>#N/A</v>
      </c>
      <c r="AF66" t="e">
        <f t="shared" ref="AF66" si="93">VLOOKUP(AF65,$O:$P,2,FALSE)</f>
        <v>#N/A</v>
      </c>
    </row>
    <row r="67" spans="5:32" x14ac:dyDescent="0.35">
      <c r="E67" s="16"/>
      <c r="O67" s="16"/>
      <c r="Y67" s="3">
        <f t="shared" si="23"/>
        <v>45838</v>
      </c>
      <c r="Z67" t="s">
        <v>1386</v>
      </c>
      <c r="AA67" t="e">
        <f>AVERAGE(AB68:AF68)</f>
        <v>#N/A</v>
      </c>
      <c r="AB67" s="3">
        <f>Y67</f>
        <v>45838</v>
      </c>
      <c r="AC67" s="3">
        <f>AB67+1</f>
        <v>45839</v>
      </c>
      <c r="AD67" s="3">
        <f t="shared" si="1"/>
        <v>45840</v>
      </c>
      <c r="AE67" s="3">
        <f t="shared" si="1"/>
        <v>45841</v>
      </c>
      <c r="AF67" s="3">
        <f t="shared" si="1"/>
        <v>45842</v>
      </c>
    </row>
    <row r="68" spans="5:32" x14ac:dyDescent="0.35">
      <c r="E68" s="16"/>
      <c r="O68" s="16"/>
      <c r="Y68" s="3"/>
      <c r="AB68" t="e">
        <f>VLOOKUP(AB67,$O:$P,2,FALSE)</f>
        <v>#N/A</v>
      </c>
      <c r="AC68" t="e">
        <f t="shared" ref="AC68" si="94">VLOOKUP(AC67,$O:$P,2,FALSE)</f>
        <v>#N/A</v>
      </c>
      <c r="AD68" t="e">
        <f t="shared" ref="AD68" si="95">VLOOKUP(AD67,$O:$P,2,FALSE)</f>
        <v>#N/A</v>
      </c>
      <c r="AE68" t="e">
        <f t="shared" ref="AE68" si="96">VLOOKUP(AE67,$O:$P,2,FALSE)</f>
        <v>#N/A</v>
      </c>
    </row>
    <row r="69" spans="5:32" x14ac:dyDescent="0.35">
      <c r="E69" s="16"/>
      <c r="O69" s="16"/>
      <c r="Y69" s="3">
        <f t="shared" si="23"/>
        <v>45845</v>
      </c>
      <c r="Z69" t="s">
        <v>1388</v>
      </c>
      <c r="AA69" t="e">
        <f>AVERAGE(AB70:AF70)</f>
        <v>#N/A</v>
      </c>
      <c r="AB69" s="3">
        <f>Y69</f>
        <v>45845</v>
      </c>
      <c r="AC69" s="3">
        <f>AB69+1</f>
        <v>45846</v>
      </c>
      <c r="AD69" s="3">
        <f t="shared" si="1"/>
        <v>45847</v>
      </c>
      <c r="AE69" s="3">
        <f t="shared" si="1"/>
        <v>45848</v>
      </c>
      <c r="AF69" s="3">
        <f t="shared" si="1"/>
        <v>45849</v>
      </c>
    </row>
    <row r="70" spans="5:32" x14ac:dyDescent="0.35">
      <c r="E70" s="16"/>
      <c r="O70" s="16"/>
      <c r="Y70" s="3"/>
      <c r="AB70" t="e">
        <f>VLOOKUP(AB69,$O:$P,2,FALSE)</f>
        <v>#N/A</v>
      </c>
      <c r="AC70" t="e">
        <f t="shared" ref="AC70" si="97">VLOOKUP(AC69,$O:$P,2,FALSE)</f>
        <v>#N/A</v>
      </c>
      <c r="AD70" t="e">
        <f t="shared" ref="AD70" si="98">VLOOKUP(AD69,$O:$P,2,FALSE)</f>
        <v>#N/A</v>
      </c>
      <c r="AE70" t="e">
        <f t="shared" ref="AE70" si="99">VLOOKUP(AE69,$O:$P,2,FALSE)</f>
        <v>#N/A</v>
      </c>
      <c r="AF70" t="e">
        <f t="shared" ref="AF70" si="100">VLOOKUP(AF69,$O:$P,2,FALSE)</f>
        <v>#N/A</v>
      </c>
    </row>
    <row r="71" spans="5:32" x14ac:dyDescent="0.35">
      <c r="E71" s="16"/>
      <c r="O71" s="16"/>
      <c r="Y71" s="3">
        <f t="shared" si="23"/>
        <v>45852</v>
      </c>
      <c r="Z71" t="s">
        <v>1390</v>
      </c>
      <c r="AA71" t="e">
        <f>AVERAGE(AB72:AF72)</f>
        <v>#N/A</v>
      </c>
      <c r="AB71" s="3">
        <f>Y71</f>
        <v>45852</v>
      </c>
      <c r="AC71" s="3">
        <f>AB71+1</f>
        <v>45853</v>
      </c>
      <c r="AD71" s="3">
        <f t="shared" si="1"/>
        <v>45854</v>
      </c>
      <c r="AE71" s="3">
        <f t="shared" si="1"/>
        <v>45855</v>
      </c>
      <c r="AF71" s="3">
        <f t="shared" si="1"/>
        <v>45856</v>
      </c>
    </row>
    <row r="72" spans="5:32" x14ac:dyDescent="0.35">
      <c r="E72" s="16"/>
      <c r="O72" s="16"/>
      <c r="Y72" s="3"/>
      <c r="AB72" t="e">
        <f>VLOOKUP(AB71,$O:$P,2,FALSE)</f>
        <v>#N/A</v>
      </c>
      <c r="AC72" t="e">
        <f t="shared" ref="AC72" si="101">VLOOKUP(AC71,$O:$P,2,FALSE)</f>
        <v>#N/A</v>
      </c>
      <c r="AD72" t="e">
        <f t="shared" ref="AD72" si="102">VLOOKUP(AD71,$O:$P,2,FALSE)</f>
        <v>#N/A</v>
      </c>
      <c r="AE72" t="e">
        <f t="shared" ref="AE72" si="103">VLOOKUP(AE71,$O:$P,2,FALSE)</f>
        <v>#N/A</v>
      </c>
      <c r="AF72" t="e">
        <f t="shared" ref="AF72" si="104">VLOOKUP(AF71,$O:$P,2,FALSE)</f>
        <v>#N/A</v>
      </c>
    </row>
    <row r="73" spans="5:32" x14ac:dyDescent="0.35">
      <c r="E73" s="16"/>
      <c r="O73" s="16"/>
      <c r="Y73" s="3">
        <f t="shared" si="23"/>
        <v>45859</v>
      </c>
      <c r="Z73" t="s">
        <v>2164</v>
      </c>
      <c r="AA73" t="e">
        <f>AVERAGE(AB74:AF74)</f>
        <v>#N/A</v>
      </c>
      <c r="AB73" s="3">
        <f>Y73</f>
        <v>45859</v>
      </c>
      <c r="AC73" s="3">
        <f>AB73+1</f>
        <v>45860</v>
      </c>
      <c r="AD73" s="3">
        <f t="shared" si="1"/>
        <v>45861</v>
      </c>
      <c r="AE73" s="3">
        <f t="shared" si="1"/>
        <v>45862</v>
      </c>
      <c r="AF73" s="3">
        <f t="shared" si="1"/>
        <v>45863</v>
      </c>
    </row>
    <row r="74" spans="5:32" x14ac:dyDescent="0.35">
      <c r="E74" s="16"/>
      <c r="O74" s="16"/>
      <c r="Y74" s="3"/>
      <c r="AB74" t="e">
        <f>VLOOKUP(AB73,$O:$P,2,FALSE)</f>
        <v>#N/A</v>
      </c>
      <c r="AC74" t="e">
        <f t="shared" ref="AC74" si="105">VLOOKUP(AC73,$O:$P,2,FALSE)</f>
        <v>#N/A</v>
      </c>
      <c r="AD74" t="e">
        <f t="shared" ref="AD74" si="106">VLOOKUP(AD73,$O:$P,2,FALSE)</f>
        <v>#N/A</v>
      </c>
      <c r="AE74" t="e">
        <f t="shared" ref="AE74" si="107">VLOOKUP(AE73,$O:$P,2,FALSE)</f>
        <v>#N/A</v>
      </c>
      <c r="AF74" t="e">
        <f t="shared" ref="AF74" si="108">VLOOKUP(AF73,$O:$P,2,FALSE)</f>
        <v>#N/A</v>
      </c>
    </row>
    <row r="75" spans="5:32" x14ac:dyDescent="0.35">
      <c r="E75" s="16"/>
      <c r="O75" s="16"/>
      <c r="Y75" s="3">
        <v>45929</v>
      </c>
      <c r="Z75" t="s">
        <v>2165</v>
      </c>
      <c r="AA75" t="e">
        <f>AVERAGE(AB76:AF76)</f>
        <v>#N/A</v>
      </c>
      <c r="AB75" s="3">
        <f>Y75</f>
        <v>45929</v>
      </c>
      <c r="AC75" s="3">
        <f>AB75+1</f>
        <v>45930</v>
      </c>
      <c r="AD75" s="3">
        <f t="shared" si="1"/>
        <v>45931</v>
      </c>
      <c r="AE75" s="3">
        <f t="shared" si="1"/>
        <v>45932</v>
      </c>
      <c r="AF75" s="3">
        <f t="shared" si="1"/>
        <v>45933</v>
      </c>
    </row>
    <row r="76" spans="5:32" x14ac:dyDescent="0.35">
      <c r="E76" s="16"/>
      <c r="O76" s="16"/>
      <c r="Y76" s="3"/>
      <c r="AB76" t="e">
        <f>VLOOKUP(AB75,$O:$P,2,FALSE)</f>
        <v>#N/A</v>
      </c>
      <c r="AC76" t="e">
        <f t="shared" ref="AC76" si="109">VLOOKUP(AC75,$O:$P,2,FALSE)</f>
        <v>#N/A</v>
      </c>
      <c r="AD76" t="e">
        <f t="shared" ref="AD76" si="110">VLOOKUP(AD75,$O:$P,2,FALSE)</f>
        <v>#N/A</v>
      </c>
      <c r="AE76" t="e">
        <f t="shared" ref="AE76" si="111">VLOOKUP(AE75,$O:$P,2,FALSE)</f>
        <v>#N/A</v>
      </c>
      <c r="AF76" t="e">
        <f t="shared" ref="AF76" si="112">VLOOKUP(AF75,$O:$P,2,FALSE)</f>
        <v>#N/A</v>
      </c>
    </row>
    <row r="77" spans="5:32" x14ac:dyDescent="0.35">
      <c r="E77" s="16"/>
      <c r="O77" s="16"/>
      <c r="Y77" s="3">
        <v>45936</v>
      </c>
      <c r="Z77" t="s">
        <v>2166</v>
      </c>
      <c r="AA77" t="e">
        <f>AVERAGE(AB78:AF78)</f>
        <v>#N/A</v>
      </c>
      <c r="AB77" s="3">
        <f>Y77</f>
        <v>45936</v>
      </c>
      <c r="AC77" s="3">
        <f>AB77+1</f>
        <v>45937</v>
      </c>
      <c r="AD77" s="3">
        <f t="shared" si="1"/>
        <v>45938</v>
      </c>
      <c r="AE77" s="3">
        <f t="shared" si="1"/>
        <v>45939</v>
      </c>
      <c r="AF77" s="3">
        <f t="shared" si="1"/>
        <v>45940</v>
      </c>
    </row>
    <row r="78" spans="5:32" x14ac:dyDescent="0.35">
      <c r="E78" s="16"/>
      <c r="O78" s="16"/>
      <c r="Y78" s="3"/>
      <c r="AB78" t="e">
        <f>VLOOKUP(AB77,$O:$P,2,FALSE)</f>
        <v>#N/A</v>
      </c>
      <c r="AC78" t="e">
        <f t="shared" ref="AC78" si="113">VLOOKUP(AC77,$O:$P,2,FALSE)</f>
        <v>#N/A</v>
      </c>
      <c r="AD78" t="e">
        <f t="shared" ref="AD78" si="114">VLOOKUP(AD77,$O:$P,2,FALSE)</f>
        <v>#N/A</v>
      </c>
      <c r="AE78" t="e">
        <f t="shared" ref="AE78" si="115">VLOOKUP(AE77,$O:$P,2,FALSE)</f>
        <v>#N/A</v>
      </c>
      <c r="AF78" t="e">
        <f t="shared" ref="AF78" si="116">VLOOKUP(AF77,$O:$P,2,FALSE)</f>
        <v>#N/A</v>
      </c>
    </row>
    <row r="79" spans="5:32" x14ac:dyDescent="0.35">
      <c r="E79" s="16"/>
      <c r="O79" s="16"/>
      <c r="Y79" s="3">
        <f t="shared" si="23"/>
        <v>45943</v>
      </c>
      <c r="Z79" t="s">
        <v>2167</v>
      </c>
      <c r="AA79" t="e">
        <f>AVERAGE(AB80:AF80)</f>
        <v>#N/A</v>
      </c>
      <c r="AB79" s="3">
        <f>Y79</f>
        <v>45943</v>
      </c>
      <c r="AC79" s="3">
        <f>AB79+1</f>
        <v>45944</v>
      </c>
      <c r="AD79" s="3">
        <f t="shared" si="1"/>
        <v>45945</v>
      </c>
      <c r="AE79" s="3">
        <f t="shared" si="1"/>
        <v>45946</v>
      </c>
      <c r="AF79" s="3">
        <f t="shared" si="1"/>
        <v>45947</v>
      </c>
    </row>
    <row r="80" spans="5:32" x14ac:dyDescent="0.35">
      <c r="E80" s="16"/>
      <c r="O80" s="16"/>
      <c r="Y80" s="3"/>
      <c r="AB80" t="e">
        <f>VLOOKUP(AB79,$O:$P,2,FALSE)</f>
        <v>#N/A</v>
      </c>
      <c r="AC80" t="e">
        <f t="shared" ref="AC80" si="117">VLOOKUP(AC79,$O:$P,2,FALSE)</f>
        <v>#N/A</v>
      </c>
      <c r="AD80" t="e">
        <f t="shared" ref="AD80" si="118">VLOOKUP(AD79,$O:$P,2,FALSE)</f>
        <v>#N/A</v>
      </c>
      <c r="AE80" t="e">
        <f t="shared" ref="AE80" si="119">VLOOKUP(AE79,$O:$P,2,FALSE)</f>
        <v>#N/A</v>
      </c>
      <c r="AF80" t="e">
        <f t="shared" ref="AF80" si="120">VLOOKUP(AF79,$O:$P,2,FALSE)</f>
        <v>#N/A</v>
      </c>
    </row>
    <row r="81" spans="5:32" x14ac:dyDescent="0.35">
      <c r="E81" s="16"/>
      <c r="O81" s="16"/>
      <c r="Y81" s="3">
        <f t="shared" si="23"/>
        <v>45950</v>
      </c>
      <c r="Z81" t="s">
        <v>2168</v>
      </c>
      <c r="AA81" t="e">
        <f>AVERAGE(AB82:AF82)</f>
        <v>#N/A</v>
      </c>
      <c r="AB81" s="3">
        <f>Y81</f>
        <v>45950</v>
      </c>
      <c r="AC81" s="3">
        <f>AB81+1</f>
        <v>45951</v>
      </c>
      <c r="AD81" s="3">
        <f t="shared" si="1"/>
        <v>45952</v>
      </c>
      <c r="AE81" s="3">
        <f t="shared" si="1"/>
        <v>45953</v>
      </c>
      <c r="AF81" s="3">
        <f t="shared" si="1"/>
        <v>45954</v>
      </c>
    </row>
    <row r="82" spans="5:32" x14ac:dyDescent="0.35">
      <c r="E82" s="16"/>
      <c r="O82" s="16"/>
      <c r="Y82" s="3"/>
      <c r="AB82" t="e">
        <f>VLOOKUP(AB81,$O:$P,2,FALSE)</f>
        <v>#N/A</v>
      </c>
      <c r="AC82" t="e">
        <f t="shared" ref="AC82" si="121">VLOOKUP(AC81,$O:$P,2,FALSE)</f>
        <v>#N/A</v>
      </c>
      <c r="AD82" t="e">
        <f t="shared" ref="AD82" si="122">VLOOKUP(AD81,$O:$P,2,FALSE)</f>
        <v>#N/A</v>
      </c>
      <c r="AE82" t="e">
        <f t="shared" ref="AE82" si="123">VLOOKUP(AE81,$O:$P,2,FALSE)</f>
        <v>#N/A</v>
      </c>
      <c r="AF82" t="e">
        <f t="shared" ref="AF82" si="124">VLOOKUP(AF81,$O:$P,2,FALSE)</f>
        <v>#N/A</v>
      </c>
    </row>
    <row r="83" spans="5:32" x14ac:dyDescent="0.35">
      <c r="E83" s="16"/>
      <c r="O83" s="16"/>
      <c r="Y83" s="3">
        <f t="shared" si="23"/>
        <v>45957</v>
      </c>
      <c r="Z83" t="s">
        <v>2169</v>
      </c>
      <c r="AA83" t="e">
        <f>AVERAGE(AB84:AF84)</f>
        <v>#N/A</v>
      </c>
      <c r="AB83" s="3">
        <f>Y83</f>
        <v>45957</v>
      </c>
      <c r="AC83" s="3">
        <f>AB83+1</f>
        <v>45958</v>
      </c>
      <c r="AD83" s="3">
        <f t="shared" si="1"/>
        <v>45959</v>
      </c>
      <c r="AE83" s="3">
        <f t="shared" si="1"/>
        <v>45960</v>
      </c>
      <c r="AF83" s="3">
        <f t="shared" si="1"/>
        <v>45961</v>
      </c>
    </row>
    <row r="84" spans="5:32" x14ac:dyDescent="0.35">
      <c r="E84" s="16"/>
      <c r="O84" s="16"/>
      <c r="Y84" s="3"/>
      <c r="AB84" t="e">
        <f>VLOOKUP(AB83,$O:$P,2,FALSE)</f>
        <v>#N/A</v>
      </c>
      <c r="AC84" t="e">
        <f t="shared" ref="AC84:AC100" si="125">VLOOKUP(AC83,$O:$P,2,FALSE)</f>
        <v>#N/A</v>
      </c>
      <c r="AD84" t="e">
        <f t="shared" ref="AD84:AF100" si="126">VLOOKUP(AD83,$O:$P,2,FALSE)</f>
        <v>#N/A</v>
      </c>
      <c r="AE84" t="e">
        <f t="shared" si="126"/>
        <v>#N/A</v>
      </c>
      <c r="AF84" t="e">
        <f t="shared" si="126"/>
        <v>#N/A</v>
      </c>
    </row>
    <row r="85" spans="5:32" x14ac:dyDescent="0.35">
      <c r="E85" s="16"/>
      <c r="O85" s="16"/>
      <c r="Y85" s="3">
        <f t="shared" si="23"/>
        <v>45964</v>
      </c>
      <c r="Z85" t="s">
        <v>2170</v>
      </c>
      <c r="AA85" t="e">
        <f>AVERAGE(AB86:AF86)</f>
        <v>#N/A</v>
      </c>
      <c r="AB85" s="3">
        <f>Y85</f>
        <v>45964</v>
      </c>
      <c r="AC85" s="3">
        <f>AB85+1</f>
        <v>45965</v>
      </c>
      <c r="AD85" s="3">
        <f t="shared" si="1"/>
        <v>45966</v>
      </c>
      <c r="AE85" s="3">
        <f t="shared" si="1"/>
        <v>45967</v>
      </c>
      <c r="AF85" s="3">
        <f t="shared" si="1"/>
        <v>45968</v>
      </c>
    </row>
    <row r="86" spans="5:32" x14ac:dyDescent="0.35">
      <c r="E86" s="16"/>
      <c r="O86" s="16"/>
      <c r="Y86" s="3"/>
      <c r="AB86" t="e">
        <f>VLOOKUP(AB85,$O:$P,2,FALSE)</f>
        <v>#N/A</v>
      </c>
      <c r="AC86" t="e">
        <f t="shared" si="125"/>
        <v>#N/A</v>
      </c>
      <c r="AD86" t="e">
        <f t="shared" si="126"/>
        <v>#N/A</v>
      </c>
      <c r="AE86" t="e">
        <f t="shared" si="126"/>
        <v>#N/A</v>
      </c>
      <c r="AF86" t="e">
        <f t="shared" si="126"/>
        <v>#N/A</v>
      </c>
    </row>
    <row r="87" spans="5:32" x14ac:dyDescent="0.35">
      <c r="E87" s="16"/>
      <c r="O87" s="16"/>
      <c r="Y87" s="3">
        <f t="shared" si="23"/>
        <v>45971</v>
      </c>
      <c r="Z87" t="s">
        <v>2171</v>
      </c>
      <c r="AA87" t="e">
        <f>AVERAGE(AB88:AF88)</f>
        <v>#N/A</v>
      </c>
      <c r="AB87" s="3">
        <f>Y87</f>
        <v>45971</v>
      </c>
      <c r="AC87" s="3">
        <f>AB87+1</f>
        <v>45972</v>
      </c>
      <c r="AD87" s="3">
        <f t="shared" si="1"/>
        <v>45973</v>
      </c>
      <c r="AE87" s="3">
        <f t="shared" si="1"/>
        <v>45974</v>
      </c>
      <c r="AF87" s="3">
        <f t="shared" si="1"/>
        <v>45975</v>
      </c>
    </row>
    <row r="88" spans="5:32" x14ac:dyDescent="0.35">
      <c r="E88" s="16"/>
      <c r="O88" s="16"/>
      <c r="Y88" s="3"/>
      <c r="AB88" t="e">
        <f>VLOOKUP(AB87,$O:$P,2,FALSE)</f>
        <v>#N/A</v>
      </c>
      <c r="AC88" t="e">
        <f t="shared" si="125"/>
        <v>#N/A</v>
      </c>
      <c r="AD88" t="e">
        <f t="shared" si="126"/>
        <v>#N/A</v>
      </c>
      <c r="AE88" t="e">
        <f t="shared" si="126"/>
        <v>#N/A</v>
      </c>
      <c r="AF88" t="e">
        <f t="shared" si="126"/>
        <v>#N/A</v>
      </c>
    </row>
    <row r="89" spans="5:32" x14ac:dyDescent="0.35">
      <c r="E89" s="16"/>
      <c r="O89" s="16"/>
      <c r="Y89" s="3">
        <f t="shared" si="23"/>
        <v>45978</v>
      </c>
      <c r="Z89" t="s">
        <v>2172</v>
      </c>
      <c r="AA89" t="e">
        <f>AVERAGE(AB90:AF90)</f>
        <v>#N/A</v>
      </c>
      <c r="AB89" s="3">
        <f>Y89</f>
        <v>45978</v>
      </c>
      <c r="AC89" s="3">
        <f>AB89+1</f>
        <v>45979</v>
      </c>
      <c r="AD89" s="3">
        <f t="shared" si="1"/>
        <v>45980</v>
      </c>
      <c r="AE89" s="3">
        <f t="shared" si="1"/>
        <v>45981</v>
      </c>
      <c r="AF89" s="3">
        <f t="shared" si="1"/>
        <v>45982</v>
      </c>
    </row>
    <row r="90" spans="5:32" x14ac:dyDescent="0.35">
      <c r="E90" s="16"/>
      <c r="O90" s="16"/>
      <c r="Y90" s="3"/>
      <c r="AB90" t="e">
        <f>VLOOKUP(AB89,$O:$P,2,FALSE)</f>
        <v>#N/A</v>
      </c>
      <c r="AC90" t="e">
        <f t="shared" si="125"/>
        <v>#N/A</v>
      </c>
      <c r="AD90" t="e">
        <f t="shared" si="126"/>
        <v>#N/A</v>
      </c>
      <c r="AE90" t="e">
        <f t="shared" si="126"/>
        <v>#N/A</v>
      </c>
      <c r="AF90" t="e">
        <f t="shared" si="126"/>
        <v>#N/A</v>
      </c>
    </row>
    <row r="91" spans="5:32" x14ac:dyDescent="0.35">
      <c r="E91" s="16"/>
      <c r="O91" s="16"/>
      <c r="Y91" s="3">
        <f t="shared" si="23"/>
        <v>45985</v>
      </c>
      <c r="Z91" t="s">
        <v>2173</v>
      </c>
      <c r="AA91" t="e">
        <f>AVERAGE(AB92:AF92)</f>
        <v>#N/A</v>
      </c>
      <c r="AB91" s="3">
        <f>Y91</f>
        <v>45985</v>
      </c>
      <c r="AC91" s="3">
        <f>AB91+1</f>
        <v>45986</v>
      </c>
      <c r="AD91" s="3">
        <f t="shared" si="1"/>
        <v>45987</v>
      </c>
      <c r="AE91" s="3">
        <f t="shared" si="1"/>
        <v>45988</v>
      </c>
      <c r="AF91" s="3">
        <f t="shared" si="1"/>
        <v>45989</v>
      </c>
    </row>
    <row r="92" spans="5:32" x14ac:dyDescent="0.35">
      <c r="E92" s="16"/>
      <c r="O92" s="16"/>
      <c r="Y92" s="3"/>
      <c r="AB92" t="e">
        <f>VLOOKUP(AB91,$O:$P,2,FALSE)</f>
        <v>#N/A</v>
      </c>
      <c r="AC92" t="e">
        <f t="shared" si="125"/>
        <v>#N/A</v>
      </c>
      <c r="AD92" t="e">
        <f t="shared" si="126"/>
        <v>#N/A</v>
      </c>
      <c r="AE92" t="e">
        <f t="shared" si="126"/>
        <v>#N/A</v>
      </c>
      <c r="AF92" t="e">
        <f t="shared" si="126"/>
        <v>#N/A</v>
      </c>
    </row>
    <row r="93" spans="5:32" x14ac:dyDescent="0.35">
      <c r="E93" s="16"/>
      <c r="O93" s="16"/>
      <c r="Y93" s="3">
        <f t="shared" si="23"/>
        <v>45992</v>
      </c>
      <c r="Z93" t="s">
        <v>2174</v>
      </c>
      <c r="AB93" s="3">
        <f>Y93</f>
        <v>45992</v>
      </c>
      <c r="AC93" s="3">
        <f>AB93+1</f>
        <v>45993</v>
      </c>
      <c r="AD93" s="3">
        <f t="shared" si="1"/>
        <v>45994</v>
      </c>
      <c r="AE93" s="3">
        <f t="shared" si="1"/>
        <v>45995</v>
      </c>
      <c r="AF93" s="3">
        <f t="shared" si="1"/>
        <v>45996</v>
      </c>
    </row>
    <row r="94" spans="5:32" x14ac:dyDescent="0.35">
      <c r="E94" s="16"/>
      <c r="O94" s="16"/>
      <c r="Y94" s="3"/>
      <c r="AB94" t="e">
        <f>VLOOKUP(AB93,$O:$P,2,FALSE)</f>
        <v>#N/A</v>
      </c>
      <c r="AC94" t="e">
        <f t="shared" si="125"/>
        <v>#N/A</v>
      </c>
      <c r="AD94" t="e">
        <f t="shared" si="126"/>
        <v>#N/A</v>
      </c>
      <c r="AE94" t="e">
        <f t="shared" si="126"/>
        <v>#N/A</v>
      </c>
      <c r="AF94" t="e">
        <f t="shared" si="126"/>
        <v>#N/A</v>
      </c>
    </row>
    <row r="95" spans="5:32" x14ac:dyDescent="0.35">
      <c r="E95" s="16"/>
      <c r="O95" s="16"/>
      <c r="Y95" s="3">
        <f t="shared" ref="Y95:Y99" si="127">+Y93+7</f>
        <v>45999</v>
      </c>
      <c r="Z95" t="s">
        <v>2175</v>
      </c>
      <c r="AB95" s="3">
        <f>Y95</f>
        <v>45999</v>
      </c>
      <c r="AC95" s="3">
        <f>AB95+1</f>
        <v>46000</v>
      </c>
      <c r="AD95" s="3">
        <f t="shared" si="1"/>
        <v>46001</v>
      </c>
      <c r="AE95" s="3">
        <f t="shared" si="1"/>
        <v>46002</v>
      </c>
      <c r="AF95" s="3">
        <f t="shared" si="1"/>
        <v>46003</v>
      </c>
    </row>
    <row r="96" spans="5:32" x14ac:dyDescent="0.35">
      <c r="E96" s="16"/>
      <c r="O96" s="16"/>
      <c r="Y96" s="3"/>
      <c r="AB96" t="e">
        <f>VLOOKUP(AB95,$O:$P,2,FALSE)</f>
        <v>#N/A</v>
      </c>
      <c r="AC96" t="e">
        <f t="shared" si="125"/>
        <v>#N/A</v>
      </c>
      <c r="AD96" t="e">
        <f t="shared" si="126"/>
        <v>#N/A</v>
      </c>
      <c r="AE96" t="e">
        <f t="shared" si="126"/>
        <v>#N/A</v>
      </c>
      <c r="AF96" t="e">
        <f t="shared" si="126"/>
        <v>#N/A</v>
      </c>
    </row>
    <row r="97" spans="15:32" x14ac:dyDescent="0.35">
      <c r="O97" s="16"/>
      <c r="Y97" s="3">
        <f t="shared" si="127"/>
        <v>46006</v>
      </c>
      <c r="Z97" t="s">
        <v>1593</v>
      </c>
      <c r="AB97" s="3">
        <f>Y97</f>
        <v>46006</v>
      </c>
      <c r="AC97" s="3">
        <f>AB97+1</f>
        <v>46007</v>
      </c>
      <c r="AD97" s="3">
        <f t="shared" si="1"/>
        <v>46008</v>
      </c>
      <c r="AE97" s="3">
        <f t="shared" si="1"/>
        <v>46009</v>
      </c>
      <c r="AF97" s="3">
        <f t="shared" si="1"/>
        <v>46010</v>
      </c>
    </row>
    <row r="98" spans="15:32" x14ac:dyDescent="0.35">
      <c r="O98" s="16"/>
      <c r="Y98" s="3"/>
      <c r="AB98" t="e">
        <f>VLOOKUP(AB97,$O:$P,2,FALSE)</f>
        <v>#N/A</v>
      </c>
      <c r="AC98" t="e">
        <f t="shared" si="125"/>
        <v>#N/A</v>
      </c>
      <c r="AD98" t="e">
        <f t="shared" si="126"/>
        <v>#N/A</v>
      </c>
      <c r="AE98" t="e">
        <f t="shared" si="126"/>
        <v>#N/A</v>
      </c>
      <c r="AF98" t="e">
        <f t="shared" si="126"/>
        <v>#N/A</v>
      </c>
    </row>
    <row r="99" spans="15:32" x14ac:dyDescent="0.35">
      <c r="O99" s="16"/>
      <c r="Y99" s="3">
        <f t="shared" si="127"/>
        <v>46013</v>
      </c>
      <c r="Z99" t="s">
        <v>1576</v>
      </c>
      <c r="AB99" s="3">
        <f>Y99</f>
        <v>46013</v>
      </c>
      <c r="AC99" s="3">
        <f>AB99+1</f>
        <v>46014</v>
      </c>
      <c r="AD99" s="3">
        <f t="shared" si="1"/>
        <v>46015</v>
      </c>
      <c r="AE99" s="3">
        <f t="shared" si="1"/>
        <v>46016</v>
      </c>
      <c r="AF99" s="3">
        <f t="shared" si="1"/>
        <v>46017</v>
      </c>
    </row>
    <row r="100" spans="15:32" x14ac:dyDescent="0.35">
      <c r="O100" s="16"/>
      <c r="AB100" t="e">
        <f>VLOOKUP(AB99,$O:$P,2,FALSE)</f>
        <v>#N/A</v>
      </c>
      <c r="AC100" t="e">
        <f t="shared" si="125"/>
        <v>#N/A</v>
      </c>
      <c r="AD100" t="e">
        <f t="shared" si="126"/>
        <v>#N/A</v>
      </c>
      <c r="AE100" t="e">
        <f t="shared" si="126"/>
        <v>#N/A</v>
      </c>
      <c r="AF100" t="e">
        <f t="shared" si="126"/>
        <v>#N/A</v>
      </c>
    </row>
    <row r="101" spans="15:32" x14ac:dyDescent="0.35">
      <c r="O101" s="16"/>
    </row>
    <row r="102" spans="15:32" x14ac:dyDescent="0.35">
      <c r="O102" s="16"/>
    </row>
    <row r="103" spans="15:32" x14ac:dyDescent="0.35">
      <c r="O103" s="16"/>
    </row>
    <row r="104" spans="15:32" x14ac:dyDescent="0.35">
      <c r="O104" s="16"/>
    </row>
    <row r="105" spans="15:32" x14ac:dyDescent="0.35">
      <c r="O105" s="16"/>
    </row>
    <row r="106" spans="15:32" x14ac:dyDescent="0.35">
      <c r="O106" s="16"/>
    </row>
    <row r="107" spans="15:32" x14ac:dyDescent="0.35">
      <c r="O107" s="16"/>
    </row>
    <row r="108" spans="15:32" x14ac:dyDescent="0.35">
      <c r="O108" s="16"/>
    </row>
    <row r="109" spans="15:32" x14ac:dyDescent="0.35">
      <c r="O109" s="16"/>
    </row>
    <row r="110" spans="15:32" x14ac:dyDescent="0.35">
      <c r="O110" s="16"/>
    </row>
    <row r="111" spans="15:32" x14ac:dyDescent="0.35">
      <c r="O111" s="16"/>
    </row>
    <row r="112" spans="15:32" x14ac:dyDescent="0.35">
      <c r="O112" s="16"/>
    </row>
    <row r="113" spans="15:15" x14ac:dyDescent="0.35">
      <c r="O113" s="16"/>
    </row>
    <row r="114" spans="15:15" x14ac:dyDescent="0.35">
      <c r="O114" s="16"/>
    </row>
    <row r="115" spans="15:15" x14ac:dyDescent="0.35">
      <c r="O115" s="16"/>
    </row>
    <row r="116" spans="15:15" x14ac:dyDescent="0.35">
      <c r="O116" s="16"/>
    </row>
    <row r="117" spans="15:15" x14ac:dyDescent="0.35">
      <c r="O117" s="16"/>
    </row>
    <row r="118" spans="15:15" x14ac:dyDescent="0.35">
      <c r="O118" s="16"/>
    </row>
    <row r="119" spans="15:15" x14ac:dyDescent="0.35">
      <c r="O119" s="16"/>
    </row>
    <row r="120" spans="15:15" x14ac:dyDescent="0.35">
      <c r="O120" s="16"/>
    </row>
    <row r="121" spans="15:15" x14ac:dyDescent="0.35">
      <c r="O121" s="16"/>
    </row>
    <row r="122" spans="15:15" x14ac:dyDescent="0.35">
      <c r="O122" s="16"/>
    </row>
    <row r="123" spans="15:15" x14ac:dyDescent="0.35">
      <c r="O123" s="16"/>
    </row>
    <row r="124" spans="15:15" x14ac:dyDescent="0.35">
      <c r="O124" s="16"/>
    </row>
    <row r="125" spans="15:15" x14ac:dyDescent="0.35">
      <c r="O125" s="16"/>
    </row>
    <row r="126" spans="15:15" x14ac:dyDescent="0.35">
      <c r="O126" s="16"/>
    </row>
    <row r="127" spans="15:15" x14ac:dyDescent="0.35">
      <c r="O127" s="16"/>
    </row>
    <row r="128" spans="15:15" x14ac:dyDescent="0.35">
      <c r="O128" s="16"/>
    </row>
    <row r="129" spans="15:15" x14ac:dyDescent="0.35">
      <c r="O129" s="16"/>
    </row>
    <row r="130" spans="15:15" x14ac:dyDescent="0.35">
      <c r="O130" s="16"/>
    </row>
    <row r="131" spans="15:15" x14ac:dyDescent="0.35">
      <c r="O131" s="16"/>
    </row>
    <row r="132" spans="15:15" x14ac:dyDescent="0.35">
      <c r="O132" s="16"/>
    </row>
    <row r="133" spans="15:15" x14ac:dyDescent="0.35">
      <c r="O133" s="16"/>
    </row>
    <row r="134" spans="15:15" x14ac:dyDescent="0.35">
      <c r="O134" s="16"/>
    </row>
    <row r="135" spans="15:15" x14ac:dyDescent="0.35">
      <c r="O135" s="16"/>
    </row>
    <row r="136" spans="15:15" x14ac:dyDescent="0.35">
      <c r="O136" s="16"/>
    </row>
    <row r="137" spans="15:15" x14ac:dyDescent="0.35">
      <c r="O137" s="16"/>
    </row>
    <row r="138" spans="15:15" x14ac:dyDescent="0.35">
      <c r="O138" s="16"/>
    </row>
    <row r="139" spans="15:15" x14ac:dyDescent="0.35">
      <c r="O139" s="16"/>
    </row>
    <row r="140" spans="15:15" x14ac:dyDescent="0.35">
      <c r="O140" s="16"/>
    </row>
    <row r="141" spans="15:15" x14ac:dyDescent="0.35">
      <c r="O141" s="16"/>
    </row>
    <row r="142" spans="15:15" x14ac:dyDescent="0.35">
      <c r="O142" s="16"/>
    </row>
    <row r="143" spans="15:15" x14ac:dyDescent="0.35">
      <c r="O143" s="16"/>
    </row>
    <row r="144" spans="15:15" x14ac:dyDescent="0.35">
      <c r="O144" s="16"/>
    </row>
    <row r="145" spans="15:15" x14ac:dyDescent="0.35">
      <c r="O145" s="16"/>
    </row>
    <row r="146" spans="15:15" x14ac:dyDescent="0.35">
      <c r="O146" s="16"/>
    </row>
    <row r="147" spans="15:15" x14ac:dyDescent="0.35">
      <c r="O147" s="16"/>
    </row>
    <row r="148" spans="15:15" x14ac:dyDescent="0.35">
      <c r="O148" s="16"/>
    </row>
    <row r="149" spans="15:15" x14ac:dyDescent="0.35">
      <c r="O149" s="16"/>
    </row>
    <row r="150" spans="15:15" x14ac:dyDescent="0.35">
      <c r="O150" s="16"/>
    </row>
    <row r="151" spans="15:15" x14ac:dyDescent="0.35">
      <c r="O151" s="16"/>
    </row>
    <row r="152" spans="15:15" x14ac:dyDescent="0.35">
      <c r="O152" s="16"/>
    </row>
    <row r="153" spans="15:15" x14ac:dyDescent="0.35">
      <c r="O153" s="16"/>
    </row>
    <row r="154" spans="15:15" x14ac:dyDescent="0.35">
      <c r="O154" s="16"/>
    </row>
    <row r="155" spans="15:15" x14ac:dyDescent="0.35">
      <c r="O155" s="16"/>
    </row>
    <row r="156" spans="15:15" x14ac:dyDescent="0.35">
      <c r="O156" s="16"/>
    </row>
    <row r="157" spans="15:15" x14ac:dyDescent="0.35">
      <c r="O157" s="16"/>
    </row>
    <row r="158" spans="15:15" x14ac:dyDescent="0.35">
      <c r="O158" s="16"/>
    </row>
    <row r="159" spans="15:15" x14ac:dyDescent="0.35">
      <c r="O159" s="16"/>
    </row>
    <row r="160" spans="15:15" x14ac:dyDescent="0.35">
      <c r="O160" s="16"/>
    </row>
    <row r="161" spans="15:15" x14ac:dyDescent="0.35">
      <c r="O161" s="16"/>
    </row>
    <row r="162" spans="15:15" x14ac:dyDescent="0.35">
      <c r="O162" s="16"/>
    </row>
    <row r="163" spans="15:15" x14ac:dyDescent="0.35">
      <c r="O163" s="16"/>
    </row>
    <row r="164" spans="15:15" x14ac:dyDescent="0.35">
      <c r="O164" s="16"/>
    </row>
    <row r="165" spans="15:15" x14ac:dyDescent="0.35">
      <c r="O165" s="16"/>
    </row>
    <row r="166" spans="15:15" x14ac:dyDescent="0.35">
      <c r="O166" s="16"/>
    </row>
    <row r="167" spans="15:15" x14ac:dyDescent="0.35">
      <c r="O167" s="16"/>
    </row>
    <row r="168" spans="15:15" x14ac:dyDescent="0.35">
      <c r="O168" s="16"/>
    </row>
    <row r="169" spans="15:15" x14ac:dyDescent="0.35">
      <c r="O169" s="16"/>
    </row>
    <row r="170" spans="15:15" x14ac:dyDescent="0.35">
      <c r="O170" s="16"/>
    </row>
    <row r="171" spans="15:15" x14ac:dyDescent="0.35">
      <c r="O171" s="16"/>
    </row>
    <row r="172" spans="15:15" x14ac:dyDescent="0.35">
      <c r="O172" s="16"/>
    </row>
    <row r="173" spans="15:15" x14ac:dyDescent="0.35">
      <c r="O173" s="16"/>
    </row>
    <row r="174" spans="15:15" x14ac:dyDescent="0.35">
      <c r="O174" s="16"/>
    </row>
    <row r="175" spans="15:15" x14ac:dyDescent="0.35">
      <c r="O175" s="16"/>
    </row>
    <row r="176" spans="15:15" x14ac:dyDescent="0.35">
      <c r="O176" s="16"/>
    </row>
    <row r="177" spans="15:15" x14ac:dyDescent="0.35">
      <c r="O177" s="16"/>
    </row>
    <row r="178" spans="15:15" x14ac:dyDescent="0.35">
      <c r="O178" s="16"/>
    </row>
    <row r="179" spans="15:15" x14ac:dyDescent="0.35">
      <c r="O179" s="16"/>
    </row>
    <row r="180" spans="15:15" x14ac:dyDescent="0.35">
      <c r="O180" s="16"/>
    </row>
    <row r="181" spans="15:15" x14ac:dyDescent="0.35">
      <c r="O181" s="16"/>
    </row>
    <row r="182" spans="15:15" x14ac:dyDescent="0.35">
      <c r="O182" s="16"/>
    </row>
    <row r="183" spans="15:15" x14ac:dyDescent="0.35">
      <c r="O183" s="16"/>
    </row>
    <row r="184" spans="15:15" x14ac:dyDescent="0.35">
      <c r="O184" s="16"/>
    </row>
    <row r="185" spans="15:15" x14ac:dyDescent="0.35">
      <c r="O185" s="16"/>
    </row>
    <row r="186" spans="15:15" x14ac:dyDescent="0.35">
      <c r="O186" s="16"/>
    </row>
    <row r="187" spans="15:15" x14ac:dyDescent="0.35">
      <c r="O187" s="16"/>
    </row>
    <row r="188" spans="15:15" x14ac:dyDescent="0.35">
      <c r="O188" s="16"/>
    </row>
    <row r="189" spans="15:15" x14ac:dyDescent="0.35">
      <c r="O189" s="16"/>
    </row>
    <row r="190" spans="15:15" x14ac:dyDescent="0.35">
      <c r="O190" s="16"/>
    </row>
    <row r="191" spans="15:15" x14ac:dyDescent="0.35">
      <c r="O191" s="16"/>
    </row>
    <row r="192" spans="15:15" x14ac:dyDescent="0.35">
      <c r="O192" s="16"/>
    </row>
    <row r="193" spans="15:15" x14ac:dyDescent="0.35">
      <c r="O193" s="16"/>
    </row>
    <row r="194" spans="15:15" x14ac:dyDescent="0.35">
      <c r="O194" s="16"/>
    </row>
    <row r="195" spans="15:15" x14ac:dyDescent="0.35">
      <c r="O195" s="16"/>
    </row>
    <row r="196" spans="15:15" x14ac:dyDescent="0.35">
      <c r="O196" s="16"/>
    </row>
    <row r="197" spans="15:15" x14ac:dyDescent="0.35">
      <c r="O197" s="16"/>
    </row>
    <row r="198" spans="15:15" x14ac:dyDescent="0.35">
      <c r="O198" s="16"/>
    </row>
    <row r="199" spans="15:15" x14ac:dyDescent="0.35">
      <c r="O199" s="16"/>
    </row>
    <row r="200" spans="15:15" x14ac:dyDescent="0.35">
      <c r="O200" s="16"/>
    </row>
    <row r="201" spans="15:15" x14ac:dyDescent="0.35">
      <c r="O201" s="16"/>
    </row>
    <row r="202" spans="15:15" x14ac:dyDescent="0.35">
      <c r="O202" s="16"/>
    </row>
    <row r="203" spans="15:15" x14ac:dyDescent="0.35">
      <c r="O203" s="16"/>
    </row>
    <row r="204" spans="15:15" x14ac:dyDescent="0.35">
      <c r="O204" s="16"/>
    </row>
    <row r="205" spans="15:15" x14ac:dyDescent="0.35">
      <c r="O205" s="16"/>
    </row>
    <row r="206" spans="15:15" x14ac:dyDescent="0.35">
      <c r="O206" s="16"/>
    </row>
    <row r="207" spans="15:15" x14ac:dyDescent="0.35">
      <c r="O207" s="16"/>
    </row>
    <row r="208" spans="15:15" x14ac:dyDescent="0.35">
      <c r="O208" s="16"/>
    </row>
    <row r="209" spans="15:15" x14ac:dyDescent="0.35">
      <c r="O209" s="16"/>
    </row>
    <row r="210" spans="15:15" x14ac:dyDescent="0.35">
      <c r="O210" s="16"/>
    </row>
    <row r="211" spans="15:15" x14ac:dyDescent="0.35">
      <c r="O211" s="16"/>
    </row>
    <row r="212" spans="15:15" x14ac:dyDescent="0.35">
      <c r="O212" s="16"/>
    </row>
    <row r="213" spans="15:15" x14ac:dyDescent="0.35">
      <c r="O213" s="16"/>
    </row>
    <row r="214" spans="15:15" x14ac:dyDescent="0.35">
      <c r="O214" s="16"/>
    </row>
    <row r="215" spans="15:15" x14ac:dyDescent="0.35">
      <c r="O215" s="16"/>
    </row>
    <row r="216" spans="15:15" x14ac:dyDescent="0.35">
      <c r="O216" s="16"/>
    </row>
    <row r="217" spans="15:15" x14ac:dyDescent="0.35">
      <c r="O217" s="16"/>
    </row>
    <row r="218" spans="15:15" x14ac:dyDescent="0.35">
      <c r="O218" s="16"/>
    </row>
    <row r="219" spans="15:15" x14ac:dyDescent="0.35">
      <c r="O219" s="16"/>
    </row>
    <row r="220" spans="15:15" x14ac:dyDescent="0.35">
      <c r="O220" s="16"/>
    </row>
    <row r="221" spans="15:15" x14ac:dyDescent="0.35">
      <c r="O221" s="16"/>
    </row>
    <row r="222" spans="15:15" x14ac:dyDescent="0.35">
      <c r="O222" s="16"/>
    </row>
    <row r="223" spans="15:15" x14ac:dyDescent="0.35">
      <c r="O223" s="16"/>
    </row>
    <row r="224" spans="15:15" x14ac:dyDescent="0.35">
      <c r="O224" s="16"/>
    </row>
    <row r="225" spans="15:15" x14ac:dyDescent="0.35">
      <c r="O225" s="16"/>
    </row>
    <row r="226" spans="15:15" x14ac:dyDescent="0.35">
      <c r="O226" s="16"/>
    </row>
    <row r="227" spans="15:15" x14ac:dyDescent="0.35">
      <c r="O227" s="16"/>
    </row>
    <row r="228" spans="15:15" x14ac:dyDescent="0.35">
      <c r="O228" s="16"/>
    </row>
    <row r="229" spans="15:15" x14ac:dyDescent="0.35">
      <c r="O229" s="16"/>
    </row>
    <row r="230" spans="15:15" x14ac:dyDescent="0.35">
      <c r="O230" s="16"/>
    </row>
    <row r="231" spans="15:15" x14ac:dyDescent="0.35">
      <c r="O231" s="16"/>
    </row>
    <row r="232" spans="15:15" x14ac:dyDescent="0.35">
      <c r="O232" s="16"/>
    </row>
    <row r="233" spans="15:15" x14ac:dyDescent="0.35">
      <c r="O233" s="16"/>
    </row>
    <row r="234" spans="15:15" x14ac:dyDescent="0.35">
      <c r="O234" s="16"/>
    </row>
    <row r="235" spans="15:15" x14ac:dyDescent="0.35">
      <c r="O235" s="16"/>
    </row>
    <row r="236" spans="15:15" x14ac:dyDescent="0.35">
      <c r="O236" s="16"/>
    </row>
    <row r="237" spans="15:15" x14ac:dyDescent="0.35">
      <c r="O237" s="16"/>
    </row>
    <row r="238" spans="15:15" x14ac:dyDescent="0.35">
      <c r="O238" s="16"/>
    </row>
    <row r="239" spans="15:15" x14ac:dyDescent="0.35">
      <c r="O239" s="16"/>
    </row>
    <row r="240" spans="15:15" x14ac:dyDescent="0.35">
      <c r="O240" s="16"/>
    </row>
    <row r="241" spans="15:15" x14ac:dyDescent="0.35">
      <c r="O241" s="16"/>
    </row>
    <row r="242" spans="15:15" x14ac:dyDescent="0.35">
      <c r="O242" s="16"/>
    </row>
    <row r="243" spans="15:15" x14ac:dyDescent="0.35">
      <c r="O243" s="16"/>
    </row>
    <row r="244" spans="15:15" x14ac:dyDescent="0.35">
      <c r="O244" s="16"/>
    </row>
    <row r="245" spans="15:15" x14ac:dyDescent="0.35">
      <c r="O245" s="16"/>
    </row>
    <row r="246" spans="15:15" x14ac:dyDescent="0.35">
      <c r="O246" s="16"/>
    </row>
    <row r="247" spans="15:15" x14ac:dyDescent="0.35">
      <c r="O247" s="16"/>
    </row>
    <row r="248" spans="15:15" x14ac:dyDescent="0.35">
      <c r="O248" s="16"/>
    </row>
    <row r="249" spans="15:15" x14ac:dyDescent="0.35">
      <c r="O249" s="16"/>
    </row>
    <row r="250" spans="15:15" x14ac:dyDescent="0.35">
      <c r="O250" s="16"/>
    </row>
    <row r="251" spans="15:15" x14ac:dyDescent="0.35">
      <c r="O251" s="16"/>
    </row>
    <row r="252" spans="15:15" x14ac:dyDescent="0.35">
      <c r="O252" s="16"/>
    </row>
    <row r="253" spans="15:15" x14ac:dyDescent="0.35">
      <c r="O253" s="16"/>
    </row>
    <row r="254" spans="15:15" x14ac:dyDescent="0.35">
      <c r="O254" s="16"/>
    </row>
    <row r="255" spans="15:15" x14ac:dyDescent="0.35">
      <c r="O255" s="16"/>
    </row>
    <row r="256" spans="15:15" x14ac:dyDescent="0.35">
      <c r="O256" s="16"/>
    </row>
    <row r="257" spans="15:15" x14ac:dyDescent="0.35">
      <c r="O257" s="16"/>
    </row>
    <row r="258" spans="15:15" x14ac:dyDescent="0.35">
      <c r="O258" s="16"/>
    </row>
    <row r="259" spans="15:15" x14ac:dyDescent="0.35">
      <c r="O259" s="16"/>
    </row>
    <row r="260" spans="15:15" x14ac:dyDescent="0.35">
      <c r="O260" s="16"/>
    </row>
    <row r="261" spans="15:15" x14ac:dyDescent="0.35">
      <c r="O261" s="16"/>
    </row>
    <row r="262" spans="15:15" x14ac:dyDescent="0.35">
      <c r="O262" s="16"/>
    </row>
    <row r="263" spans="15:15" x14ac:dyDescent="0.35">
      <c r="O263" s="16"/>
    </row>
    <row r="264" spans="15:15" x14ac:dyDescent="0.35">
      <c r="O264" s="16"/>
    </row>
    <row r="265" spans="15:15" x14ac:dyDescent="0.35">
      <c r="O265" s="16"/>
    </row>
    <row r="266" spans="15:15" x14ac:dyDescent="0.35">
      <c r="O266" s="16"/>
    </row>
    <row r="267" spans="15:15" x14ac:dyDescent="0.35">
      <c r="O267" s="16"/>
    </row>
    <row r="268" spans="15:15" x14ac:dyDescent="0.35">
      <c r="O268" s="16"/>
    </row>
    <row r="269" spans="15:15" x14ac:dyDescent="0.35">
      <c r="O269" s="16"/>
    </row>
    <row r="270" spans="15:15" x14ac:dyDescent="0.35">
      <c r="O270" s="16"/>
    </row>
    <row r="271" spans="15:15" x14ac:dyDescent="0.35">
      <c r="O271" s="16"/>
    </row>
    <row r="272" spans="15:15" x14ac:dyDescent="0.35">
      <c r="O272" s="16"/>
    </row>
    <row r="273" spans="15:15" x14ac:dyDescent="0.35">
      <c r="O273" s="16"/>
    </row>
    <row r="274" spans="15:15" x14ac:dyDescent="0.35">
      <c r="O274" s="16"/>
    </row>
    <row r="275" spans="15:15" x14ac:dyDescent="0.35">
      <c r="O275" s="16"/>
    </row>
    <row r="276" spans="15:15" x14ac:dyDescent="0.35">
      <c r="O276" s="16"/>
    </row>
    <row r="277" spans="15:15" x14ac:dyDescent="0.35">
      <c r="O277" s="16"/>
    </row>
    <row r="278" spans="15:15" x14ac:dyDescent="0.35">
      <c r="O278" s="16"/>
    </row>
    <row r="279" spans="15:15" x14ac:dyDescent="0.35">
      <c r="O279" s="16"/>
    </row>
    <row r="280" spans="15:15" x14ac:dyDescent="0.35">
      <c r="O280" s="16"/>
    </row>
    <row r="281" spans="15:15" x14ac:dyDescent="0.35">
      <c r="O281" s="16"/>
    </row>
    <row r="282" spans="15:15" x14ac:dyDescent="0.35">
      <c r="O282" s="16"/>
    </row>
    <row r="283" spans="15:15" x14ac:dyDescent="0.35">
      <c r="O283" s="16"/>
    </row>
    <row r="284" spans="15:15" x14ac:dyDescent="0.35">
      <c r="O284" s="16"/>
    </row>
    <row r="285" spans="15:15" x14ac:dyDescent="0.35">
      <c r="O285" s="16"/>
    </row>
    <row r="286" spans="15:15" x14ac:dyDescent="0.35">
      <c r="O286" s="16"/>
    </row>
    <row r="287" spans="15:15" x14ac:dyDescent="0.35">
      <c r="O287" s="16"/>
    </row>
    <row r="288" spans="15:15" x14ac:dyDescent="0.35">
      <c r="O288" s="16"/>
    </row>
    <row r="289" spans="15:15" x14ac:dyDescent="0.35">
      <c r="O289" s="16"/>
    </row>
    <row r="290" spans="15:15" x14ac:dyDescent="0.35">
      <c r="O290" s="16"/>
    </row>
    <row r="291" spans="15:15" x14ac:dyDescent="0.35">
      <c r="O291" s="16"/>
    </row>
    <row r="292" spans="15:15" x14ac:dyDescent="0.35">
      <c r="O292" s="16"/>
    </row>
    <row r="293" spans="15:15" x14ac:dyDescent="0.35">
      <c r="O293" s="16"/>
    </row>
    <row r="294" spans="15:15" x14ac:dyDescent="0.35">
      <c r="O294" s="16"/>
    </row>
    <row r="295" spans="15:15" x14ac:dyDescent="0.35">
      <c r="O295" s="16"/>
    </row>
    <row r="296" spans="15:15" x14ac:dyDescent="0.35">
      <c r="O296" s="16"/>
    </row>
    <row r="297" spans="15:15" x14ac:dyDescent="0.35">
      <c r="O297" s="16"/>
    </row>
    <row r="298" spans="15:15" x14ac:dyDescent="0.35">
      <c r="O298" s="16"/>
    </row>
    <row r="299" spans="15:15" x14ac:dyDescent="0.35">
      <c r="O299" s="16"/>
    </row>
    <row r="300" spans="15:15" x14ac:dyDescent="0.35">
      <c r="O300" s="16"/>
    </row>
  </sheetData>
  <conditionalFormatting sqref="C35:C60">
    <cfRule type="timePeriod" dxfId="221" priority="1" timePeriod="today">
      <formula>FLOOR(C35,1)=TODAY()</formula>
    </cfRule>
  </conditionalFormatting>
  <pageMargins left="0.7" right="0.7" top="0.75" bottom="0.75" header="0.3" footer="0.3"/>
  <headerFooter>
    <oddHeader>&amp;C&amp;"Calibri"&amp;10&amp;K008000 Classification: AramcoTrading-US  General Use&amp;1#_x000D_</oddHeader>
    <oddFooter>&amp;C_x000D_&amp;1#&amp;"Calibri"&amp;10&amp;K008000 This content is classified as AramcoTrading-US General Use by Cantafio, Alberto (ATA) on 2025-08-20T18:20:26.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B72B-F311-40EB-BCF8-A11D71092FAE}">
  <sheetPr>
    <tabColor rgb="FF00B0F0"/>
  </sheetPr>
  <dimension ref="A1:P157"/>
  <sheetViews>
    <sheetView workbookViewId="0">
      <selection activeCell="E7" sqref="E7:E21"/>
    </sheetView>
  </sheetViews>
  <sheetFormatPr defaultRowHeight="14.5" x14ac:dyDescent="0.35"/>
  <cols>
    <col min="1" max="1" width="9.7265625" bestFit="1" customWidth="1"/>
    <col min="3" max="3" width="14.7265625" bestFit="1" customWidth="1"/>
    <col min="4" max="4" width="14.26953125" bestFit="1" customWidth="1"/>
    <col min="8" max="8" width="9.7265625" bestFit="1" customWidth="1"/>
    <col min="11" max="11" width="9.453125" bestFit="1" customWidth="1"/>
  </cols>
  <sheetData>
    <row r="1" spans="1:16" x14ac:dyDescent="0.35">
      <c r="A1" t="s">
        <v>2138</v>
      </c>
      <c r="B1" s="16">
        <v>46023</v>
      </c>
    </row>
    <row r="2" spans="1:16" x14ac:dyDescent="0.35">
      <c r="A2" t="s">
        <v>2140</v>
      </c>
    </row>
    <row r="4" spans="1:16" x14ac:dyDescent="0.35">
      <c r="B4" t="s">
        <v>2176</v>
      </c>
      <c r="C4" t="s">
        <v>2177</v>
      </c>
      <c r="D4" t="s">
        <v>2178</v>
      </c>
    </row>
    <row r="5" spans="1:16" x14ac:dyDescent="0.35">
      <c r="B5" t="str">
        <f>_xll.BFieldInfo(B$6)</f>
        <v>Last Price</v>
      </c>
      <c r="C5" t="str">
        <f>_xll.BFieldInfo(C$6)</f>
        <v>Last Price</v>
      </c>
      <c r="D5" t="str">
        <f>_xll.BFieldInfo(D$6)</f>
        <v>Settlement Price</v>
      </c>
    </row>
    <row r="6" spans="1:16" x14ac:dyDescent="0.35">
      <c r="A6" t="s">
        <v>2149</v>
      </c>
      <c r="B6" t="s">
        <v>2150</v>
      </c>
      <c r="C6" t="s">
        <v>2150</v>
      </c>
      <c r="D6" t="s">
        <v>2179</v>
      </c>
      <c r="G6" s="3">
        <v>46087</v>
      </c>
      <c r="L6">
        <v>4</v>
      </c>
    </row>
    <row r="7" spans="1:16" x14ac:dyDescent="0.35">
      <c r="A7" s="16" cm="1">
        <f t="array" ref="A7:B157">_xll.BDH(B$4,B$6,$B1,$B2,"Dir=V","CDR=5D","Days=A","Dts=S","Sort=R")</f>
        <v>46233</v>
      </c>
      <c r="B7">
        <v>92.155000000000001</v>
      </c>
      <c r="C7" cm="1">
        <f t="array" ref="C7:C157">_xll.BDH(C$4,C$6,$B1,$B2,"Dir=V","CDR=5D","Days=A","Dts=H","Sort=R")</f>
        <v>89.91</v>
      </c>
      <c r="D7" cm="1">
        <f t="array" ref="D7:D157">_xll.BDH(D$4,D$6,$B1,$B2,"Dir=V","CDR=5D","Days=A","Dts=H","Sort=R")</f>
        <v>89.03</v>
      </c>
      <c r="E7">
        <f>B7-C7</f>
        <v>2.2450000000000045</v>
      </c>
      <c r="L7" t="s">
        <v>16</v>
      </c>
      <c r="M7" t="s">
        <v>2180</v>
      </c>
    </row>
    <row r="8" spans="1:16" x14ac:dyDescent="0.35">
      <c r="A8" s="16">
        <v>46232</v>
      </c>
      <c r="B8">
        <v>91.2</v>
      </c>
      <c r="C8">
        <v>90.29</v>
      </c>
      <c r="D8">
        <v>90.74</v>
      </c>
      <c r="E8">
        <f t="shared" ref="E8:E71" si="0">B8-C8</f>
        <v>0.90999999999999659</v>
      </c>
      <c r="H8" s="3">
        <v>46083</v>
      </c>
      <c r="I8">
        <f>_xlfn.XLOOKUP(H8,A:A,E:E)</f>
        <v>0</v>
      </c>
      <c r="K8" s="3">
        <v>46113</v>
      </c>
      <c r="L8">
        <f t="shared" ref="L8:L27" si="1">IFERROR(_xlfn.XLOOKUP(K8,A:A,E:E),$L$6)</f>
        <v>26.100000000000009</v>
      </c>
      <c r="M8">
        <v>400</v>
      </c>
    </row>
    <row r="9" spans="1:16" x14ac:dyDescent="0.35">
      <c r="A9" s="16">
        <v>46231</v>
      </c>
      <c r="B9">
        <v>85.734999999999999</v>
      </c>
      <c r="C9">
        <v>84.61</v>
      </c>
      <c r="D9">
        <v>84.09</v>
      </c>
      <c r="E9">
        <f t="shared" si="0"/>
        <v>1.125</v>
      </c>
      <c r="H9" s="16">
        <f>WORKDAY(H8,1)</f>
        <v>46084</v>
      </c>
      <c r="I9">
        <f t="shared" ref="I9:I17" si="2">_xlfn.XLOOKUP(H9,A:A,E:E)</f>
        <v>0</v>
      </c>
      <c r="K9" s="16">
        <f>WORKDAY(K8,1)</f>
        <v>46114</v>
      </c>
      <c r="L9">
        <f t="shared" si="1"/>
        <v>31.50500000000001</v>
      </c>
      <c r="M9">
        <v>400</v>
      </c>
    </row>
    <row r="10" spans="1:16" x14ac:dyDescent="0.35">
      <c r="A10" s="16">
        <v>46230</v>
      </c>
      <c r="B10">
        <v>90.55</v>
      </c>
      <c r="C10">
        <v>89.49</v>
      </c>
      <c r="D10">
        <v>88.36</v>
      </c>
      <c r="E10">
        <f t="shared" si="0"/>
        <v>1.0600000000000023</v>
      </c>
      <c r="H10" s="16">
        <f t="shared" ref="H10:H29" si="3">WORKDAY(H9,1)</f>
        <v>46085</v>
      </c>
      <c r="I10">
        <f t="shared" si="2"/>
        <v>0</v>
      </c>
      <c r="K10" s="16">
        <v>46119</v>
      </c>
      <c r="L10">
        <f t="shared" si="1"/>
        <v>33.329999999999984</v>
      </c>
      <c r="M10">
        <v>392.5</v>
      </c>
      <c r="O10">
        <f>AVERAGE(B10:B31)-AVERAGE(D10:D31)</f>
        <v>-1.3229545454545359</v>
      </c>
      <c r="P10">
        <f>AVERAGE(B10:B31)-AVERAGE(C10:C31)</f>
        <v>-0.8947727272727235</v>
      </c>
    </row>
    <row r="11" spans="1:16" x14ac:dyDescent="0.35">
      <c r="A11" s="16">
        <v>46227</v>
      </c>
      <c r="B11">
        <v>98.33</v>
      </c>
      <c r="C11">
        <v>95.45</v>
      </c>
      <c r="D11">
        <v>96.78</v>
      </c>
      <c r="E11">
        <f t="shared" si="0"/>
        <v>2.8799999999999955</v>
      </c>
      <c r="H11" s="16">
        <f t="shared" si="3"/>
        <v>46086</v>
      </c>
      <c r="I11">
        <f t="shared" si="2"/>
        <v>0</v>
      </c>
      <c r="K11" s="16">
        <f t="shared" ref="K11:K27" si="4">WORKDAY(K10,1)</f>
        <v>46120</v>
      </c>
      <c r="L11">
        <f t="shared" si="1"/>
        <v>28.724999999999994</v>
      </c>
      <c r="M11">
        <v>400</v>
      </c>
    </row>
    <row r="12" spans="1:16" x14ac:dyDescent="0.35">
      <c r="A12" s="16">
        <v>46226</v>
      </c>
      <c r="B12">
        <v>104.92</v>
      </c>
      <c r="C12">
        <v>101.15</v>
      </c>
      <c r="D12">
        <v>100.69</v>
      </c>
      <c r="E12">
        <f t="shared" si="0"/>
        <v>3.769999999999996</v>
      </c>
      <c r="H12" s="16">
        <f t="shared" si="3"/>
        <v>46087</v>
      </c>
      <c r="I12">
        <f t="shared" si="2"/>
        <v>0</v>
      </c>
      <c r="K12" s="16">
        <f t="shared" si="4"/>
        <v>46121</v>
      </c>
      <c r="L12">
        <f t="shared" si="1"/>
        <v>32.495000000000005</v>
      </c>
      <c r="M12">
        <v>395</v>
      </c>
    </row>
    <row r="13" spans="1:16" x14ac:dyDescent="0.35">
      <c r="A13" s="16">
        <v>46225</v>
      </c>
      <c r="B13">
        <v>94.165000000000006</v>
      </c>
      <c r="C13">
        <v>93.99</v>
      </c>
      <c r="D13">
        <v>94.07</v>
      </c>
      <c r="E13">
        <f t="shared" si="0"/>
        <v>0.17500000000001137</v>
      </c>
      <c r="H13" s="16">
        <f t="shared" si="3"/>
        <v>46090</v>
      </c>
      <c r="I13">
        <f t="shared" si="2"/>
        <v>0</v>
      </c>
      <c r="K13" s="16">
        <f t="shared" si="4"/>
        <v>46122</v>
      </c>
      <c r="L13">
        <f t="shared" si="1"/>
        <v>29.174999999999997</v>
      </c>
      <c r="M13">
        <v>387.5</v>
      </c>
    </row>
    <row r="14" spans="1:16" x14ac:dyDescent="0.35">
      <c r="A14" s="16">
        <v>46224</v>
      </c>
      <c r="B14">
        <v>92.185000000000002</v>
      </c>
      <c r="C14">
        <v>91.35</v>
      </c>
      <c r="D14">
        <v>91.01</v>
      </c>
      <c r="E14">
        <f t="shared" si="0"/>
        <v>0.83500000000000796</v>
      </c>
      <c r="H14" s="16">
        <f t="shared" si="3"/>
        <v>46091</v>
      </c>
      <c r="I14">
        <f t="shared" si="2"/>
        <v>0</v>
      </c>
      <c r="K14" s="16">
        <f t="shared" si="4"/>
        <v>46125</v>
      </c>
      <c r="L14">
        <f t="shared" si="1"/>
        <v>30.52000000000001</v>
      </c>
      <c r="M14">
        <v>380</v>
      </c>
    </row>
    <row r="15" spans="1:16" x14ac:dyDescent="0.35">
      <c r="A15" s="16">
        <v>46223</v>
      </c>
      <c r="B15">
        <v>87.01</v>
      </c>
      <c r="C15">
        <v>88.03</v>
      </c>
      <c r="D15">
        <v>89.22</v>
      </c>
      <c r="E15">
        <f t="shared" si="0"/>
        <v>-1.019999999999996</v>
      </c>
      <c r="H15" s="16">
        <f t="shared" si="3"/>
        <v>46092</v>
      </c>
      <c r="I15">
        <f t="shared" si="2"/>
        <v>0</v>
      </c>
      <c r="K15" s="16">
        <f t="shared" si="4"/>
        <v>46126</v>
      </c>
      <c r="L15">
        <f t="shared" si="1"/>
        <v>27.89500000000001</v>
      </c>
      <c r="M15">
        <v>365</v>
      </c>
    </row>
    <row r="16" spans="1:16" x14ac:dyDescent="0.35">
      <c r="A16" s="16">
        <v>46220</v>
      </c>
      <c r="B16">
        <v>84.655000000000001</v>
      </c>
      <c r="C16">
        <v>86.4</v>
      </c>
      <c r="D16">
        <v>88.1</v>
      </c>
      <c r="E16">
        <f t="shared" si="0"/>
        <v>-1.7450000000000045</v>
      </c>
      <c r="H16" s="16">
        <f t="shared" si="3"/>
        <v>46093</v>
      </c>
      <c r="I16">
        <f t="shared" si="2"/>
        <v>1.4150000000000063</v>
      </c>
      <c r="K16" s="16">
        <f t="shared" si="4"/>
        <v>46127</v>
      </c>
      <c r="L16">
        <f t="shared" si="1"/>
        <v>20.775000000000006</v>
      </c>
      <c r="M16">
        <v>340</v>
      </c>
    </row>
    <row r="17" spans="1:13" x14ac:dyDescent="0.35">
      <c r="A17" s="16">
        <v>46219</v>
      </c>
      <c r="B17">
        <v>82.875</v>
      </c>
      <c r="C17">
        <v>84.79</v>
      </c>
      <c r="D17">
        <v>84.23</v>
      </c>
      <c r="E17">
        <f t="shared" si="0"/>
        <v>-1.9150000000000063</v>
      </c>
      <c r="H17" s="16">
        <f>WORKDAY(H16,1)</f>
        <v>46094</v>
      </c>
      <c r="I17">
        <f t="shared" si="2"/>
        <v>1.4500000000000028</v>
      </c>
      <c r="K17" s="16">
        <f t="shared" si="4"/>
        <v>46128</v>
      </c>
      <c r="L17">
        <f t="shared" si="1"/>
        <v>17.450000000000003</v>
      </c>
      <c r="M17">
        <v>325</v>
      </c>
    </row>
    <row r="18" spans="1:13" x14ac:dyDescent="0.35">
      <c r="A18" s="16">
        <v>46218</v>
      </c>
      <c r="B18">
        <v>82.22</v>
      </c>
      <c r="C18">
        <v>83.42</v>
      </c>
      <c r="D18">
        <v>84.95</v>
      </c>
      <c r="E18">
        <f t="shared" si="0"/>
        <v>-1.2000000000000028</v>
      </c>
      <c r="H18" s="16">
        <f t="shared" si="3"/>
        <v>46097</v>
      </c>
      <c r="I18">
        <f>IFERROR(_xlfn.XLOOKUP(H18,A:A,E:E),'PnL26'!$F$9)</f>
        <v>0.77499999999999147</v>
      </c>
      <c r="K18" s="16">
        <f t="shared" si="4"/>
        <v>46129</v>
      </c>
      <c r="L18">
        <f t="shared" si="1"/>
        <v>9.480000000000004</v>
      </c>
      <c r="M18">
        <v>310</v>
      </c>
    </row>
    <row r="19" spans="1:13" x14ac:dyDescent="0.35">
      <c r="A19" s="16">
        <v>46217</v>
      </c>
      <c r="B19">
        <v>82.555000000000007</v>
      </c>
      <c r="C19">
        <v>83.67</v>
      </c>
      <c r="D19">
        <v>84.73</v>
      </c>
      <c r="E19">
        <f t="shared" si="0"/>
        <v>-1.1149999999999949</v>
      </c>
      <c r="H19" s="16">
        <f t="shared" si="3"/>
        <v>46098</v>
      </c>
      <c r="I19">
        <f>IFERROR(_xlfn.XLOOKUP(H19,A:A,E:E),'PnL26'!$F$9)</f>
        <v>1.8700000000000045</v>
      </c>
      <c r="K19" s="16">
        <f t="shared" si="4"/>
        <v>46132</v>
      </c>
      <c r="L19">
        <f t="shared" si="1"/>
        <v>10.685000000000002</v>
      </c>
      <c r="M19">
        <v>300</v>
      </c>
    </row>
    <row r="20" spans="1:13" x14ac:dyDescent="0.35">
      <c r="A20" s="16">
        <v>46216</v>
      </c>
      <c r="B20">
        <v>77.314999999999998</v>
      </c>
      <c r="C20">
        <v>79.2</v>
      </c>
      <c r="D20">
        <v>83.3</v>
      </c>
      <c r="E20">
        <f t="shared" si="0"/>
        <v>-1.8850000000000051</v>
      </c>
      <c r="H20" s="16">
        <f t="shared" si="3"/>
        <v>46099</v>
      </c>
      <c r="I20">
        <f>IFERROR(_xlfn.XLOOKUP(H20,A:A,E:E),'PnL26'!$F$9)</f>
        <v>4.2600000000000051</v>
      </c>
      <c r="K20" s="16">
        <f t="shared" si="4"/>
        <v>46133</v>
      </c>
      <c r="L20">
        <f t="shared" si="1"/>
        <v>9.4750000000000085</v>
      </c>
      <c r="M20">
        <v>225</v>
      </c>
    </row>
    <row r="21" spans="1:13" x14ac:dyDescent="0.35">
      <c r="A21" s="16">
        <v>46213</v>
      </c>
      <c r="B21">
        <v>74.2</v>
      </c>
      <c r="C21">
        <v>75.84</v>
      </c>
      <c r="D21">
        <v>76.010000000000005</v>
      </c>
      <c r="E21">
        <f t="shared" si="0"/>
        <v>-1.6400000000000006</v>
      </c>
      <c r="H21" s="16">
        <f>WORKDAY(H20,1)</f>
        <v>46100</v>
      </c>
      <c r="I21">
        <f>IFERROR(_xlfn.XLOOKUP(H21,A:A,E:E),'PnL26'!$F$9)</f>
        <v>6.3850000000000051</v>
      </c>
      <c r="K21" s="16">
        <f t="shared" si="4"/>
        <v>46134</v>
      </c>
      <c r="L21">
        <f t="shared" si="1"/>
        <v>10.585000000000008</v>
      </c>
      <c r="M21">
        <v>230</v>
      </c>
    </row>
    <row r="22" spans="1:13" x14ac:dyDescent="0.35">
      <c r="A22" s="16">
        <v>46212</v>
      </c>
      <c r="B22">
        <v>75.385000000000005</v>
      </c>
      <c r="C22">
        <v>76.790000000000006</v>
      </c>
      <c r="D22">
        <v>76.3</v>
      </c>
      <c r="E22">
        <f t="shared" si="0"/>
        <v>-1.4050000000000011</v>
      </c>
      <c r="H22" s="16">
        <f t="shared" si="3"/>
        <v>46101</v>
      </c>
      <c r="I22">
        <f>IFERROR(_xlfn.XLOOKUP(H22,A:A,E:E),'PnL26'!$F$9)</f>
        <v>7.4750000000000085</v>
      </c>
      <c r="K22" s="16">
        <f t="shared" si="4"/>
        <v>46135</v>
      </c>
      <c r="L22">
        <f t="shared" si="1"/>
        <v>7.4699999999999989</v>
      </c>
      <c r="M22">
        <v>235</v>
      </c>
    </row>
    <row r="23" spans="1:13" x14ac:dyDescent="0.35">
      <c r="A23" s="16">
        <v>46211</v>
      </c>
      <c r="B23">
        <v>78.355000000000004</v>
      </c>
      <c r="C23">
        <v>79.55</v>
      </c>
      <c r="D23">
        <v>78.02</v>
      </c>
      <c r="E23">
        <f t="shared" si="0"/>
        <v>-1.1949999999999932</v>
      </c>
      <c r="H23" s="16">
        <f t="shared" si="3"/>
        <v>46104</v>
      </c>
      <c r="I23">
        <f>IFERROR(_xlfn.XLOOKUP(H23,A:A,E:E),'PnL26'!$F$9)</f>
        <v>5.9350000000000023</v>
      </c>
      <c r="K23" s="16">
        <f t="shared" si="4"/>
        <v>46136</v>
      </c>
      <c r="L23">
        <f t="shared" si="1"/>
        <v>5.1899999999999977</v>
      </c>
      <c r="M23">
        <v>235</v>
      </c>
    </row>
    <row r="24" spans="1:13" x14ac:dyDescent="0.35">
      <c r="A24" s="16">
        <v>46210</v>
      </c>
      <c r="B24">
        <v>71.87</v>
      </c>
      <c r="C24">
        <v>73.81</v>
      </c>
      <c r="D24">
        <v>74.16</v>
      </c>
      <c r="E24">
        <f t="shared" si="0"/>
        <v>-1.9399999999999977</v>
      </c>
      <c r="H24" s="16">
        <f t="shared" si="3"/>
        <v>46105</v>
      </c>
      <c r="I24">
        <f>IFERROR(_xlfn.XLOOKUP(H24,A:A,E:E),'PnL26'!$F$9)</f>
        <v>7.0100000000000051</v>
      </c>
      <c r="K24" s="16">
        <f t="shared" si="4"/>
        <v>46139</v>
      </c>
      <c r="L24">
        <f t="shared" si="1"/>
        <v>4.7950000000000017</v>
      </c>
      <c r="M24">
        <v>235</v>
      </c>
    </row>
    <row r="25" spans="1:13" x14ac:dyDescent="0.35">
      <c r="A25" s="16">
        <v>46209</v>
      </c>
      <c r="B25">
        <v>69.875</v>
      </c>
      <c r="C25">
        <v>72.13</v>
      </c>
      <c r="D25">
        <v>71.989999999999995</v>
      </c>
      <c r="E25">
        <f t="shared" si="0"/>
        <v>-2.2549999999999955</v>
      </c>
      <c r="H25" s="16">
        <f t="shared" si="3"/>
        <v>46106</v>
      </c>
      <c r="I25">
        <f>IFERROR(_xlfn.XLOOKUP(H25,A:A,E:E),'PnL26'!$F$9)</f>
        <v>8.230000000000004</v>
      </c>
      <c r="K25" s="16">
        <f t="shared" si="4"/>
        <v>46140</v>
      </c>
      <c r="L25">
        <f t="shared" si="1"/>
        <v>4.8500000000000085</v>
      </c>
      <c r="M25">
        <v>237.5</v>
      </c>
    </row>
    <row r="26" spans="1:13" x14ac:dyDescent="0.35">
      <c r="A26" s="16">
        <v>46206</v>
      </c>
      <c r="B26">
        <v>69.349999999999994</v>
      </c>
      <c r="C26">
        <v>71.69</v>
      </c>
      <c r="D26">
        <v>72.12</v>
      </c>
      <c r="E26">
        <f t="shared" si="0"/>
        <v>-2.3400000000000034</v>
      </c>
      <c r="H26" s="16">
        <f>WORKDAY(H25,1)</f>
        <v>46107</v>
      </c>
      <c r="I26">
        <f>IFERROR(_xlfn.XLOOKUP(H26,A:A,E:E),'PnL26'!$F$9)</f>
        <v>8.4350000000000023</v>
      </c>
      <c r="K26" s="16">
        <f t="shared" si="4"/>
        <v>46141</v>
      </c>
      <c r="L26">
        <f t="shared" si="1"/>
        <v>4.355000000000004</v>
      </c>
      <c r="M26">
        <v>237.5</v>
      </c>
    </row>
    <row r="27" spans="1:13" x14ac:dyDescent="0.35">
      <c r="A27" s="16">
        <v>46205</v>
      </c>
      <c r="B27">
        <v>68.165000000000006</v>
      </c>
      <c r="C27">
        <v>70.650000000000006</v>
      </c>
      <c r="D27">
        <v>71.8</v>
      </c>
      <c r="E27">
        <f t="shared" si="0"/>
        <v>-2.4849999999999994</v>
      </c>
      <c r="H27" s="16">
        <f t="shared" si="3"/>
        <v>46108</v>
      </c>
      <c r="I27">
        <f>IFERROR(_xlfn.XLOOKUP(H27,A:A,E:E),'PnL26'!$F$9)</f>
        <v>8.6900000000000119</v>
      </c>
      <c r="K27" s="16">
        <f t="shared" si="4"/>
        <v>46142</v>
      </c>
      <c r="L27">
        <f t="shared" si="1"/>
        <v>8.7199999999999989</v>
      </c>
      <c r="M27">
        <v>235</v>
      </c>
    </row>
    <row r="28" spans="1:13" x14ac:dyDescent="0.35">
      <c r="A28" s="16">
        <v>46204</v>
      </c>
      <c r="B28">
        <v>68.790000000000006</v>
      </c>
      <c r="C28">
        <v>71.17</v>
      </c>
      <c r="D28">
        <v>71.569999999999993</v>
      </c>
      <c r="E28">
        <f t="shared" si="0"/>
        <v>-2.3799999999999955</v>
      </c>
      <c r="H28" s="16">
        <f>WORKDAY(H27,1)</f>
        <v>46111</v>
      </c>
      <c r="I28">
        <f>IFERROR(_xlfn.XLOOKUP(H28,A:A,E:E),'PnL26'!$F$9)</f>
        <v>10.784999999999997</v>
      </c>
    </row>
    <row r="29" spans="1:13" x14ac:dyDescent="0.35">
      <c r="A29" s="16">
        <v>46203</v>
      </c>
      <c r="B29">
        <v>71.52</v>
      </c>
      <c r="C29">
        <v>72.709999999999994</v>
      </c>
      <c r="D29">
        <v>72.92</v>
      </c>
      <c r="E29">
        <f t="shared" si="0"/>
        <v>-1.1899999999999977</v>
      </c>
      <c r="H29" s="16">
        <f t="shared" si="3"/>
        <v>46112</v>
      </c>
      <c r="I29">
        <f>IFERROR(_xlfn.XLOOKUP(H29,A:A,E:E),'PnL26'!$F$9)</f>
        <v>6.5499999999999972</v>
      </c>
    </row>
    <row r="30" spans="1:13" x14ac:dyDescent="0.35">
      <c r="A30" s="16">
        <v>46202</v>
      </c>
      <c r="B30">
        <v>71.52</v>
      </c>
      <c r="C30">
        <v>73.010000000000005</v>
      </c>
      <c r="D30">
        <v>73.150000000000006</v>
      </c>
      <c r="E30">
        <f t="shared" si="0"/>
        <v>-1.4900000000000091</v>
      </c>
    </row>
    <row r="31" spans="1:13" x14ac:dyDescent="0.35">
      <c r="A31" s="16">
        <v>46199</v>
      </c>
      <c r="B31">
        <v>70.555000000000007</v>
      </c>
      <c r="C31">
        <v>71.760000000000005</v>
      </c>
      <c r="D31">
        <v>71.989999999999995</v>
      </c>
      <c r="E31">
        <f t="shared" si="0"/>
        <v>-1.2049999999999983</v>
      </c>
      <c r="H31">
        <v>4.659722222222225</v>
      </c>
      <c r="I31">
        <v>4.8475000000000028</v>
      </c>
      <c r="K31">
        <v>13.428000000000006</v>
      </c>
      <c r="L31">
        <v>17.678750000000008</v>
      </c>
      <c r="M31">
        <v>313.25</v>
      </c>
    </row>
    <row r="32" spans="1:13" x14ac:dyDescent="0.35">
      <c r="A32" s="16">
        <v>46198</v>
      </c>
      <c r="B32">
        <v>73.239999999999995</v>
      </c>
      <c r="C32">
        <v>74.680000000000007</v>
      </c>
      <c r="D32">
        <v>75.260000000000005</v>
      </c>
      <c r="E32">
        <f t="shared" si="0"/>
        <v>-1.4400000000000119</v>
      </c>
    </row>
    <row r="33" spans="1:5" x14ac:dyDescent="0.35">
      <c r="A33" s="16">
        <v>46197</v>
      </c>
      <c r="B33">
        <v>72.11</v>
      </c>
      <c r="C33">
        <v>73.56</v>
      </c>
      <c r="D33">
        <v>73.739999999999995</v>
      </c>
      <c r="E33">
        <f t="shared" si="0"/>
        <v>-1.4500000000000028</v>
      </c>
    </row>
    <row r="34" spans="1:5" x14ac:dyDescent="0.35">
      <c r="A34" s="16">
        <v>46196</v>
      </c>
      <c r="B34">
        <v>75.39</v>
      </c>
      <c r="C34">
        <v>76.989999999999995</v>
      </c>
      <c r="D34">
        <v>77.08</v>
      </c>
      <c r="E34">
        <f t="shared" si="0"/>
        <v>-1.5999999999999943</v>
      </c>
    </row>
    <row r="35" spans="1:5" x14ac:dyDescent="0.35">
      <c r="A35" s="16">
        <v>46195</v>
      </c>
      <c r="B35">
        <v>76.265000000000001</v>
      </c>
      <c r="C35">
        <v>77.77</v>
      </c>
      <c r="D35">
        <v>77.900000000000006</v>
      </c>
      <c r="E35">
        <f t="shared" si="0"/>
        <v>-1.5049999999999955</v>
      </c>
    </row>
    <row r="36" spans="1:5" x14ac:dyDescent="0.35">
      <c r="A36" s="16">
        <v>46192</v>
      </c>
      <c r="B36">
        <v>80.319999999999993</v>
      </c>
      <c r="C36">
        <v>80.680000000000007</v>
      </c>
      <c r="D36">
        <v>80.569999999999993</v>
      </c>
      <c r="E36">
        <f t="shared" si="0"/>
        <v>-0.36000000000001364</v>
      </c>
    </row>
    <row r="37" spans="1:5" x14ac:dyDescent="0.35">
      <c r="A37" s="16">
        <v>46191</v>
      </c>
      <c r="B37">
        <v>77.5</v>
      </c>
      <c r="C37">
        <v>77.209999999999994</v>
      </c>
      <c r="D37">
        <v>79.849999999999994</v>
      </c>
      <c r="E37">
        <f t="shared" si="0"/>
        <v>0.29000000000000625</v>
      </c>
    </row>
    <row r="38" spans="1:5" x14ac:dyDescent="0.35">
      <c r="A38" s="16">
        <v>46190</v>
      </c>
      <c r="B38">
        <v>80.344999999999999</v>
      </c>
      <c r="C38">
        <v>79.760000000000005</v>
      </c>
      <c r="D38">
        <v>79.55</v>
      </c>
      <c r="E38">
        <f t="shared" si="0"/>
        <v>0.58499999999999375</v>
      </c>
    </row>
    <row r="39" spans="1:5" x14ac:dyDescent="0.35">
      <c r="A39" s="16">
        <v>46189</v>
      </c>
      <c r="B39">
        <v>80.894999999999996</v>
      </c>
      <c r="C39">
        <v>79.92</v>
      </c>
      <c r="D39">
        <v>78.959999999999994</v>
      </c>
      <c r="E39">
        <f t="shared" si="0"/>
        <v>0.97499999999999432</v>
      </c>
    </row>
    <row r="40" spans="1:5" x14ac:dyDescent="0.35">
      <c r="A40" s="16">
        <v>46188</v>
      </c>
      <c r="B40">
        <v>84.444999999999993</v>
      </c>
      <c r="C40">
        <v>83.25</v>
      </c>
      <c r="D40">
        <v>83.17</v>
      </c>
      <c r="E40">
        <f t="shared" si="0"/>
        <v>1.1949999999999932</v>
      </c>
    </row>
    <row r="41" spans="1:5" x14ac:dyDescent="0.35">
      <c r="A41" s="16">
        <v>46185</v>
      </c>
      <c r="B41">
        <v>88.23</v>
      </c>
      <c r="C41">
        <v>87.03</v>
      </c>
      <c r="D41">
        <v>87.33</v>
      </c>
      <c r="E41">
        <f t="shared" si="0"/>
        <v>1.2000000000000028</v>
      </c>
    </row>
    <row r="42" spans="1:5" x14ac:dyDescent="0.35">
      <c r="A42" s="16">
        <v>46184</v>
      </c>
      <c r="B42">
        <v>95.075000000000003</v>
      </c>
      <c r="C42">
        <v>92.98</v>
      </c>
      <c r="D42">
        <v>90.38</v>
      </c>
      <c r="E42">
        <f t="shared" si="0"/>
        <v>2.0949999999999989</v>
      </c>
    </row>
    <row r="43" spans="1:5" x14ac:dyDescent="0.35">
      <c r="A43" s="16">
        <v>46183</v>
      </c>
      <c r="B43">
        <v>94.81</v>
      </c>
      <c r="C43">
        <v>92.67</v>
      </c>
      <c r="D43">
        <v>93.1</v>
      </c>
      <c r="E43">
        <f t="shared" si="0"/>
        <v>2.1400000000000006</v>
      </c>
    </row>
    <row r="44" spans="1:5" x14ac:dyDescent="0.35">
      <c r="A44" s="16">
        <v>46182</v>
      </c>
      <c r="B44">
        <v>93.76</v>
      </c>
      <c r="C44">
        <v>91.04</v>
      </c>
      <c r="D44">
        <v>91.45</v>
      </c>
      <c r="E44">
        <f t="shared" si="0"/>
        <v>2.7199999999999989</v>
      </c>
    </row>
    <row r="45" spans="1:5" x14ac:dyDescent="0.35">
      <c r="A45" s="16">
        <v>46181</v>
      </c>
      <c r="B45">
        <v>98.66</v>
      </c>
      <c r="C45">
        <v>94.77</v>
      </c>
      <c r="D45">
        <v>94.25</v>
      </c>
      <c r="E45">
        <f t="shared" si="0"/>
        <v>3.8900000000000006</v>
      </c>
    </row>
    <row r="46" spans="1:5" x14ac:dyDescent="0.35">
      <c r="A46" s="16">
        <v>46178</v>
      </c>
      <c r="B46">
        <v>97.84</v>
      </c>
      <c r="C46">
        <v>93.75</v>
      </c>
      <c r="D46">
        <v>93.09</v>
      </c>
      <c r="E46">
        <f t="shared" si="0"/>
        <v>4.0900000000000034</v>
      </c>
    </row>
    <row r="47" spans="1:5" x14ac:dyDescent="0.35">
      <c r="A47" s="16">
        <v>46177</v>
      </c>
      <c r="B47">
        <v>98.784999999999997</v>
      </c>
      <c r="C47">
        <v>94.81</v>
      </c>
      <c r="D47">
        <v>95.03</v>
      </c>
      <c r="E47">
        <f t="shared" si="0"/>
        <v>3.9749999999999943</v>
      </c>
    </row>
    <row r="48" spans="1:5" x14ac:dyDescent="0.35">
      <c r="A48" s="16">
        <v>46176</v>
      </c>
      <c r="B48">
        <v>101.235</v>
      </c>
      <c r="C48">
        <v>97.56</v>
      </c>
      <c r="D48">
        <v>97.81</v>
      </c>
      <c r="E48">
        <f t="shared" si="0"/>
        <v>3.6749999999999972</v>
      </c>
    </row>
    <row r="49" spans="1:5" x14ac:dyDescent="0.35">
      <c r="A49" s="16">
        <v>46175</v>
      </c>
      <c r="B49">
        <v>97.474999999999994</v>
      </c>
      <c r="C49">
        <v>94.7</v>
      </c>
      <c r="D49">
        <v>96</v>
      </c>
      <c r="E49">
        <f t="shared" si="0"/>
        <v>2.7749999999999915</v>
      </c>
    </row>
    <row r="50" spans="1:5" x14ac:dyDescent="0.35">
      <c r="A50" s="16">
        <v>46174</v>
      </c>
      <c r="B50">
        <v>100.295</v>
      </c>
      <c r="C50">
        <v>96.97</v>
      </c>
      <c r="D50">
        <v>94.98</v>
      </c>
      <c r="E50">
        <f t="shared" si="0"/>
        <v>3.3250000000000028</v>
      </c>
    </row>
    <row r="51" spans="1:5" x14ac:dyDescent="0.35">
      <c r="A51" s="16">
        <v>46171</v>
      </c>
      <c r="B51">
        <v>93.555000000000007</v>
      </c>
      <c r="C51">
        <v>91.71</v>
      </c>
      <c r="D51">
        <v>92.05</v>
      </c>
      <c r="E51">
        <f t="shared" si="0"/>
        <v>1.8450000000000131</v>
      </c>
    </row>
    <row r="52" spans="1:5" x14ac:dyDescent="0.35">
      <c r="A52" s="16">
        <v>46170</v>
      </c>
      <c r="B52">
        <v>96.795000000000002</v>
      </c>
      <c r="C52">
        <v>94.65</v>
      </c>
      <c r="D52">
        <v>93.71</v>
      </c>
      <c r="E52">
        <f t="shared" si="0"/>
        <v>2.144999999999996</v>
      </c>
    </row>
    <row r="53" spans="1:5" x14ac:dyDescent="0.35">
      <c r="A53" s="16">
        <v>46169</v>
      </c>
      <c r="B53">
        <v>99.584999999999994</v>
      </c>
      <c r="C53">
        <v>96.46</v>
      </c>
      <c r="D53">
        <v>94.29</v>
      </c>
      <c r="E53">
        <f t="shared" si="0"/>
        <v>3.125</v>
      </c>
    </row>
    <row r="54" spans="1:5" x14ac:dyDescent="0.35">
      <c r="A54" s="16">
        <v>46168</v>
      </c>
      <c r="B54">
        <v>103.77500000000001</v>
      </c>
      <c r="C54">
        <v>100.98</v>
      </c>
      <c r="D54">
        <v>99.58</v>
      </c>
      <c r="E54">
        <f t="shared" si="0"/>
        <v>2.7950000000000017</v>
      </c>
    </row>
    <row r="55" spans="1:5" x14ac:dyDescent="0.35">
      <c r="A55" s="16">
        <v>46167</v>
      </c>
      <c r="B55">
        <v>107.22499999999999</v>
      </c>
      <c r="C55">
        <v>103.9</v>
      </c>
      <c r="D55">
        <v>96.14</v>
      </c>
      <c r="E55">
        <f t="shared" si="0"/>
        <v>3.3249999999999886</v>
      </c>
    </row>
    <row r="56" spans="1:5" x14ac:dyDescent="0.35">
      <c r="A56" s="16">
        <v>46164</v>
      </c>
      <c r="B56">
        <v>107.22499999999999</v>
      </c>
      <c r="C56">
        <v>103.9</v>
      </c>
      <c r="D56">
        <v>103.54</v>
      </c>
      <c r="E56">
        <f t="shared" si="0"/>
        <v>3.3249999999999886</v>
      </c>
    </row>
    <row r="57" spans="1:5" x14ac:dyDescent="0.35">
      <c r="A57" s="16">
        <v>46163</v>
      </c>
      <c r="B57">
        <v>111.71</v>
      </c>
      <c r="C57">
        <v>108.04</v>
      </c>
      <c r="D57">
        <v>102.58</v>
      </c>
      <c r="E57">
        <f t="shared" si="0"/>
        <v>3.6699999999999875</v>
      </c>
    </row>
    <row r="58" spans="1:5" x14ac:dyDescent="0.35">
      <c r="A58" s="16">
        <v>46162</v>
      </c>
      <c r="B58">
        <v>109.83</v>
      </c>
      <c r="C58">
        <v>106.68</v>
      </c>
      <c r="D58">
        <v>105.02</v>
      </c>
      <c r="E58">
        <f t="shared" si="0"/>
        <v>3.1499999999999915</v>
      </c>
    </row>
    <row r="59" spans="1:5" x14ac:dyDescent="0.35">
      <c r="A59" s="16">
        <v>46161</v>
      </c>
      <c r="B59">
        <v>114.68</v>
      </c>
      <c r="C59">
        <v>110.63</v>
      </c>
      <c r="D59">
        <v>111.28</v>
      </c>
      <c r="E59">
        <f t="shared" si="0"/>
        <v>4.0500000000000114</v>
      </c>
    </row>
    <row r="60" spans="1:5" x14ac:dyDescent="0.35">
      <c r="A60" s="16">
        <v>46160</v>
      </c>
      <c r="B60">
        <v>114.895</v>
      </c>
      <c r="C60">
        <v>111.16</v>
      </c>
      <c r="D60">
        <v>112.1</v>
      </c>
      <c r="E60">
        <f t="shared" si="0"/>
        <v>3.7349999999999994</v>
      </c>
    </row>
    <row r="61" spans="1:5" x14ac:dyDescent="0.35">
      <c r="A61" s="16">
        <v>46157</v>
      </c>
      <c r="B61">
        <v>112.2</v>
      </c>
      <c r="C61">
        <v>108.84</v>
      </c>
      <c r="D61">
        <v>109.26</v>
      </c>
      <c r="E61">
        <f t="shared" si="0"/>
        <v>3.3599999999999994</v>
      </c>
    </row>
    <row r="62" spans="1:5" x14ac:dyDescent="0.35">
      <c r="A62" s="16">
        <v>46156</v>
      </c>
      <c r="B62">
        <v>109.58499999999999</v>
      </c>
      <c r="C62">
        <v>105.04</v>
      </c>
      <c r="D62">
        <v>105.72</v>
      </c>
      <c r="E62">
        <f t="shared" si="0"/>
        <v>4.5449999999999875</v>
      </c>
    </row>
    <row r="63" spans="1:5" x14ac:dyDescent="0.35">
      <c r="A63" s="16">
        <v>46155</v>
      </c>
      <c r="B63">
        <v>111.2</v>
      </c>
      <c r="C63">
        <v>107.19</v>
      </c>
      <c r="D63">
        <v>105.63</v>
      </c>
      <c r="E63">
        <f t="shared" si="0"/>
        <v>4.0100000000000051</v>
      </c>
    </row>
    <row r="64" spans="1:5" x14ac:dyDescent="0.35">
      <c r="A64" s="16">
        <v>46154</v>
      </c>
      <c r="B64">
        <v>110.83</v>
      </c>
      <c r="C64">
        <v>108.16</v>
      </c>
      <c r="D64">
        <v>107.77</v>
      </c>
      <c r="E64">
        <f t="shared" si="0"/>
        <v>2.6700000000000017</v>
      </c>
    </row>
    <row r="65" spans="1:5" x14ac:dyDescent="0.35">
      <c r="A65" s="16">
        <v>46153</v>
      </c>
      <c r="B65">
        <v>105.235</v>
      </c>
      <c r="C65">
        <v>103.7</v>
      </c>
      <c r="D65">
        <v>104.21</v>
      </c>
      <c r="E65">
        <f t="shared" si="0"/>
        <v>1.5349999999999966</v>
      </c>
    </row>
    <row r="66" spans="1:5" x14ac:dyDescent="0.35">
      <c r="A66" s="16">
        <v>46150</v>
      </c>
      <c r="B66">
        <v>104.715</v>
      </c>
      <c r="C66">
        <v>101.94</v>
      </c>
      <c r="D66">
        <v>101.29</v>
      </c>
      <c r="E66">
        <f t="shared" si="0"/>
        <v>2.7750000000000057</v>
      </c>
    </row>
    <row r="67" spans="1:5" x14ac:dyDescent="0.35">
      <c r="A67" s="16">
        <v>46149</v>
      </c>
      <c r="B67">
        <v>100.59</v>
      </c>
      <c r="C67">
        <v>98.46</v>
      </c>
      <c r="D67">
        <v>100.06</v>
      </c>
      <c r="E67">
        <f t="shared" si="0"/>
        <v>2.1300000000000097</v>
      </c>
    </row>
    <row r="68" spans="1:5" x14ac:dyDescent="0.35">
      <c r="A68" s="16">
        <v>46148</v>
      </c>
      <c r="B68">
        <v>104.19</v>
      </c>
      <c r="C68">
        <v>102.07</v>
      </c>
      <c r="D68">
        <v>101.27</v>
      </c>
      <c r="E68">
        <f t="shared" si="0"/>
        <v>2.1200000000000045</v>
      </c>
    </row>
    <row r="69" spans="1:5" x14ac:dyDescent="0.35">
      <c r="A69" s="16">
        <v>46147</v>
      </c>
      <c r="B69">
        <v>114.99</v>
      </c>
      <c r="C69">
        <v>110.67</v>
      </c>
      <c r="D69">
        <v>109.87</v>
      </c>
      <c r="E69">
        <f t="shared" si="0"/>
        <v>4.3199999999999932</v>
      </c>
    </row>
    <row r="70" spans="1:5" x14ac:dyDescent="0.35">
      <c r="A70" s="16">
        <v>46146</v>
      </c>
      <c r="B70">
        <v>117.94499999999999</v>
      </c>
      <c r="C70">
        <v>108.54</v>
      </c>
      <c r="D70">
        <v>114.44</v>
      </c>
      <c r="E70">
        <f t="shared" si="0"/>
        <v>9.4049999999999869</v>
      </c>
    </row>
    <row r="71" spans="1:5" x14ac:dyDescent="0.35">
      <c r="A71" s="16">
        <v>46143</v>
      </c>
      <c r="B71">
        <v>117.94499999999999</v>
      </c>
      <c r="C71">
        <v>108.54</v>
      </c>
      <c r="D71">
        <v>108.17</v>
      </c>
      <c r="E71">
        <f t="shared" si="0"/>
        <v>9.4049999999999869</v>
      </c>
    </row>
    <row r="72" spans="1:5" x14ac:dyDescent="0.35">
      <c r="A72" s="16">
        <v>46142</v>
      </c>
      <c r="B72">
        <v>122.86</v>
      </c>
      <c r="C72">
        <v>114.14</v>
      </c>
      <c r="D72">
        <v>114.01</v>
      </c>
      <c r="E72">
        <f t="shared" ref="E72:E107" si="5">B72-C72</f>
        <v>8.7199999999999989</v>
      </c>
    </row>
    <row r="73" spans="1:5" x14ac:dyDescent="0.35">
      <c r="A73" s="16">
        <v>46141</v>
      </c>
      <c r="B73">
        <v>122.935</v>
      </c>
      <c r="C73">
        <v>118.58</v>
      </c>
      <c r="D73">
        <v>118.03</v>
      </c>
      <c r="E73">
        <f t="shared" si="5"/>
        <v>4.355000000000004</v>
      </c>
    </row>
    <row r="74" spans="1:5" x14ac:dyDescent="0.35">
      <c r="A74" s="16">
        <v>46140</v>
      </c>
      <c r="B74">
        <v>116.42</v>
      </c>
      <c r="C74">
        <v>111.57</v>
      </c>
      <c r="D74">
        <v>111.26</v>
      </c>
      <c r="E74">
        <f t="shared" si="5"/>
        <v>4.8500000000000085</v>
      </c>
    </row>
    <row r="75" spans="1:5" x14ac:dyDescent="0.35">
      <c r="A75" s="16">
        <v>46139</v>
      </c>
      <c r="B75">
        <v>113.785</v>
      </c>
      <c r="C75">
        <v>108.99</v>
      </c>
      <c r="D75">
        <v>108.23</v>
      </c>
      <c r="E75">
        <f t="shared" si="5"/>
        <v>4.7950000000000017</v>
      </c>
    </row>
    <row r="76" spans="1:5" x14ac:dyDescent="0.35">
      <c r="A76" s="16">
        <v>46136</v>
      </c>
      <c r="B76">
        <v>111.56</v>
      </c>
      <c r="C76">
        <v>106.37</v>
      </c>
      <c r="D76">
        <v>105.33</v>
      </c>
      <c r="E76">
        <f t="shared" si="5"/>
        <v>5.1899999999999977</v>
      </c>
    </row>
    <row r="77" spans="1:5" x14ac:dyDescent="0.35">
      <c r="A77" s="16">
        <v>46135</v>
      </c>
      <c r="B77">
        <v>110.94</v>
      </c>
      <c r="C77">
        <v>103.47</v>
      </c>
      <c r="D77">
        <v>105.07</v>
      </c>
      <c r="E77">
        <f t="shared" si="5"/>
        <v>7.4699999999999989</v>
      </c>
    </row>
    <row r="78" spans="1:5" x14ac:dyDescent="0.35">
      <c r="A78" s="16">
        <v>46134</v>
      </c>
      <c r="B78">
        <v>112.30500000000001</v>
      </c>
      <c r="C78">
        <v>101.72</v>
      </c>
      <c r="D78">
        <v>101.91</v>
      </c>
      <c r="E78">
        <f t="shared" si="5"/>
        <v>10.585000000000008</v>
      </c>
    </row>
    <row r="79" spans="1:5" x14ac:dyDescent="0.35">
      <c r="A79" s="16">
        <v>46133</v>
      </c>
      <c r="B79">
        <v>107.685</v>
      </c>
      <c r="C79">
        <v>98.21</v>
      </c>
      <c r="D79">
        <v>98.48</v>
      </c>
      <c r="E79">
        <f t="shared" si="5"/>
        <v>9.4750000000000085</v>
      </c>
    </row>
    <row r="80" spans="1:5" x14ac:dyDescent="0.35">
      <c r="A80" s="16">
        <v>46132</v>
      </c>
      <c r="B80">
        <v>105.955</v>
      </c>
      <c r="C80">
        <v>95.27</v>
      </c>
      <c r="D80">
        <v>95.48</v>
      </c>
      <c r="E80">
        <f t="shared" si="5"/>
        <v>10.685000000000002</v>
      </c>
    </row>
    <row r="81" spans="1:5" x14ac:dyDescent="0.35">
      <c r="A81" s="16">
        <v>46129</v>
      </c>
      <c r="B81">
        <v>99.26</v>
      </c>
      <c r="C81">
        <v>89.78</v>
      </c>
      <c r="D81">
        <v>90.38</v>
      </c>
      <c r="E81">
        <f t="shared" si="5"/>
        <v>9.480000000000004</v>
      </c>
    </row>
    <row r="82" spans="1:5" x14ac:dyDescent="0.35">
      <c r="A82" s="16">
        <v>46128</v>
      </c>
      <c r="B82">
        <v>116.27</v>
      </c>
      <c r="C82">
        <v>98.82</v>
      </c>
      <c r="D82">
        <v>99.39</v>
      </c>
      <c r="E82">
        <f t="shared" si="5"/>
        <v>17.450000000000003</v>
      </c>
    </row>
    <row r="83" spans="1:5" x14ac:dyDescent="0.35">
      <c r="A83" s="16">
        <v>46127</v>
      </c>
      <c r="B83">
        <v>116.545</v>
      </c>
      <c r="C83">
        <v>95.77</v>
      </c>
      <c r="D83">
        <v>94.93</v>
      </c>
      <c r="E83">
        <f t="shared" si="5"/>
        <v>20.775000000000006</v>
      </c>
    </row>
    <row r="84" spans="1:5" x14ac:dyDescent="0.35">
      <c r="A84" s="16">
        <v>46126</v>
      </c>
      <c r="B84">
        <v>124.715</v>
      </c>
      <c r="C84">
        <v>96.82</v>
      </c>
      <c r="D84">
        <v>94.79</v>
      </c>
      <c r="E84">
        <f t="shared" si="5"/>
        <v>27.89500000000001</v>
      </c>
    </row>
    <row r="85" spans="1:5" x14ac:dyDescent="0.35">
      <c r="A85" s="16">
        <v>46125</v>
      </c>
      <c r="B85">
        <v>132.74</v>
      </c>
      <c r="C85">
        <v>102.22</v>
      </c>
      <c r="D85">
        <v>99.36</v>
      </c>
      <c r="E85">
        <f t="shared" si="5"/>
        <v>30.52000000000001</v>
      </c>
    </row>
    <row r="86" spans="1:5" x14ac:dyDescent="0.35">
      <c r="A86" s="16">
        <v>46122</v>
      </c>
      <c r="B86">
        <v>126.105</v>
      </c>
      <c r="C86">
        <v>96.93</v>
      </c>
      <c r="D86">
        <v>95.2</v>
      </c>
      <c r="E86">
        <f t="shared" si="5"/>
        <v>29.174999999999997</v>
      </c>
    </row>
    <row r="87" spans="1:5" x14ac:dyDescent="0.35">
      <c r="A87" s="16">
        <v>46121</v>
      </c>
      <c r="B87">
        <v>131.965</v>
      </c>
      <c r="C87">
        <v>99.47</v>
      </c>
      <c r="D87">
        <v>95.92</v>
      </c>
      <c r="E87">
        <f t="shared" si="5"/>
        <v>32.495000000000005</v>
      </c>
    </row>
    <row r="88" spans="1:5" x14ac:dyDescent="0.35">
      <c r="A88" s="16">
        <v>46120</v>
      </c>
      <c r="B88">
        <v>124.675</v>
      </c>
      <c r="C88">
        <v>95.95</v>
      </c>
      <c r="D88">
        <v>94.75</v>
      </c>
      <c r="E88">
        <f t="shared" si="5"/>
        <v>28.724999999999994</v>
      </c>
    </row>
    <row r="89" spans="1:5" x14ac:dyDescent="0.35">
      <c r="A89" s="16">
        <v>46119</v>
      </c>
      <c r="B89">
        <v>144.41999999999999</v>
      </c>
      <c r="C89">
        <v>111.09</v>
      </c>
      <c r="D89">
        <v>109.27</v>
      </c>
      <c r="E89">
        <f t="shared" si="5"/>
        <v>33.329999999999984</v>
      </c>
    </row>
    <row r="90" spans="1:5" x14ac:dyDescent="0.35">
      <c r="A90" s="16">
        <v>46118</v>
      </c>
      <c r="B90">
        <v>141.36500000000001</v>
      </c>
      <c r="C90">
        <v>109.86</v>
      </c>
      <c r="D90">
        <v>109.77</v>
      </c>
      <c r="E90">
        <f t="shared" si="5"/>
        <v>31.50500000000001</v>
      </c>
    </row>
    <row r="91" spans="1:5" x14ac:dyDescent="0.35">
      <c r="A91" s="16">
        <v>46115</v>
      </c>
      <c r="B91">
        <v>141.36500000000001</v>
      </c>
      <c r="C91">
        <v>109.86</v>
      </c>
      <c r="D91">
        <v>109.03</v>
      </c>
      <c r="E91">
        <f t="shared" si="5"/>
        <v>31.50500000000001</v>
      </c>
    </row>
    <row r="92" spans="1:5" x14ac:dyDescent="0.35">
      <c r="A92" s="16">
        <v>46114</v>
      </c>
      <c r="B92">
        <v>141.36500000000001</v>
      </c>
      <c r="C92">
        <v>109.86</v>
      </c>
      <c r="D92">
        <v>109.03</v>
      </c>
      <c r="E92">
        <f t="shared" si="5"/>
        <v>31.50500000000001</v>
      </c>
    </row>
    <row r="93" spans="1:5" x14ac:dyDescent="0.35">
      <c r="A93" s="16">
        <v>46113</v>
      </c>
      <c r="B93">
        <v>128.46</v>
      </c>
      <c r="C93">
        <v>102.36</v>
      </c>
      <c r="D93">
        <v>101.16</v>
      </c>
      <c r="E93">
        <f t="shared" si="5"/>
        <v>26.100000000000009</v>
      </c>
    </row>
    <row r="94" spans="1:5" x14ac:dyDescent="0.35">
      <c r="A94" s="16">
        <v>46112</v>
      </c>
      <c r="B94">
        <v>127.24</v>
      </c>
      <c r="C94">
        <v>120.69</v>
      </c>
      <c r="D94">
        <v>118.35</v>
      </c>
      <c r="E94">
        <f t="shared" si="5"/>
        <v>6.5499999999999972</v>
      </c>
    </row>
    <row r="95" spans="1:5" x14ac:dyDescent="0.35">
      <c r="A95" s="16">
        <v>46111</v>
      </c>
      <c r="B95">
        <v>123.485</v>
      </c>
      <c r="C95">
        <v>112.7</v>
      </c>
      <c r="D95">
        <v>112.78</v>
      </c>
      <c r="E95">
        <f t="shared" si="5"/>
        <v>10.784999999999997</v>
      </c>
    </row>
    <row r="96" spans="1:5" x14ac:dyDescent="0.35">
      <c r="A96" s="16">
        <v>46108</v>
      </c>
      <c r="B96">
        <v>120.51</v>
      </c>
      <c r="C96">
        <v>111.82</v>
      </c>
      <c r="D96">
        <v>112.57</v>
      </c>
      <c r="E96">
        <f t="shared" si="5"/>
        <v>8.6900000000000119</v>
      </c>
    </row>
    <row r="97" spans="1:5" x14ac:dyDescent="0.35">
      <c r="A97" s="16">
        <v>46107</v>
      </c>
      <c r="B97">
        <v>117.485</v>
      </c>
      <c r="C97">
        <v>109.05</v>
      </c>
      <c r="D97">
        <v>108.01</v>
      </c>
      <c r="E97">
        <f t="shared" si="5"/>
        <v>8.4350000000000023</v>
      </c>
    </row>
    <row r="98" spans="1:5" x14ac:dyDescent="0.35">
      <c r="A98" s="16">
        <v>46106</v>
      </c>
      <c r="B98">
        <v>109.58</v>
      </c>
      <c r="C98">
        <v>101.35</v>
      </c>
      <c r="D98">
        <v>102.22</v>
      </c>
      <c r="E98">
        <f t="shared" si="5"/>
        <v>8.230000000000004</v>
      </c>
    </row>
    <row r="99" spans="1:5" x14ac:dyDescent="0.35">
      <c r="A99" s="16">
        <v>46105</v>
      </c>
      <c r="B99">
        <v>111.14</v>
      </c>
      <c r="C99">
        <v>104.13</v>
      </c>
      <c r="D99">
        <v>104.49</v>
      </c>
      <c r="E99">
        <f t="shared" si="5"/>
        <v>7.0100000000000051</v>
      </c>
    </row>
    <row r="100" spans="1:5" x14ac:dyDescent="0.35">
      <c r="A100" s="16">
        <v>46104</v>
      </c>
      <c r="B100">
        <v>110.045</v>
      </c>
      <c r="C100">
        <v>104.11</v>
      </c>
      <c r="D100">
        <v>99.94</v>
      </c>
      <c r="E100">
        <f t="shared" si="5"/>
        <v>5.9350000000000023</v>
      </c>
    </row>
    <row r="101" spans="1:5" x14ac:dyDescent="0.35">
      <c r="A101" s="16">
        <v>46101</v>
      </c>
      <c r="B101">
        <v>116.935</v>
      </c>
      <c r="C101">
        <v>109.46</v>
      </c>
      <c r="D101">
        <v>112.19</v>
      </c>
      <c r="E101">
        <f t="shared" si="5"/>
        <v>7.4750000000000085</v>
      </c>
    </row>
    <row r="102" spans="1:5" x14ac:dyDescent="0.35">
      <c r="A102" s="16">
        <v>46100</v>
      </c>
      <c r="B102">
        <v>117.435</v>
      </c>
      <c r="C102">
        <v>111.05</v>
      </c>
      <c r="D102">
        <v>108.65</v>
      </c>
      <c r="E102">
        <f t="shared" si="5"/>
        <v>6.3850000000000051</v>
      </c>
    </row>
    <row r="103" spans="1:5" x14ac:dyDescent="0.35">
      <c r="A103" s="16">
        <v>46099</v>
      </c>
      <c r="B103">
        <v>112.53</v>
      </c>
      <c r="C103">
        <v>108.27</v>
      </c>
      <c r="D103">
        <v>107.38</v>
      </c>
      <c r="E103">
        <f t="shared" si="5"/>
        <v>4.2600000000000051</v>
      </c>
    </row>
    <row r="104" spans="1:5" x14ac:dyDescent="0.35">
      <c r="A104" s="16">
        <v>46098</v>
      </c>
      <c r="B104">
        <v>103.31</v>
      </c>
      <c r="C104">
        <v>101.44</v>
      </c>
      <c r="D104">
        <v>103.42</v>
      </c>
      <c r="E104">
        <f t="shared" si="5"/>
        <v>1.8700000000000045</v>
      </c>
    </row>
    <row r="105" spans="1:5" x14ac:dyDescent="0.35">
      <c r="A105" s="16">
        <v>46097</v>
      </c>
      <c r="B105">
        <v>103.69499999999999</v>
      </c>
      <c r="C105">
        <v>102.92</v>
      </c>
      <c r="D105">
        <v>100.21</v>
      </c>
      <c r="E105">
        <f t="shared" si="5"/>
        <v>0.77499999999999147</v>
      </c>
    </row>
    <row r="106" spans="1:5" x14ac:dyDescent="0.35">
      <c r="A106" s="16">
        <v>46094</v>
      </c>
      <c r="B106">
        <v>103.47</v>
      </c>
      <c r="C106">
        <v>102.02</v>
      </c>
      <c r="D106">
        <v>103.14</v>
      </c>
      <c r="E106">
        <f t="shared" si="5"/>
        <v>1.4500000000000028</v>
      </c>
    </row>
    <row r="107" spans="1:5" x14ac:dyDescent="0.35">
      <c r="A107" s="16">
        <v>46093</v>
      </c>
      <c r="B107">
        <v>100.655</v>
      </c>
      <c r="C107">
        <v>99.24</v>
      </c>
      <c r="D107">
        <v>100.46</v>
      </c>
      <c r="E107">
        <f t="shared" si="5"/>
        <v>1.4150000000000063</v>
      </c>
    </row>
    <row r="108" spans="1:5" x14ac:dyDescent="0.35">
      <c r="A108" s="16">
        <v>46092</v>
      </c>
      <c r="B108">
        <v>91.46</v>
      </c>
      <c r="C108">
        <v>92.41</v>
      </c>
      <c r="D108">
        <v>91.98</v>
      </c>
    </row>
    <row r="109" spans="1:5" x14ac:dyDescent="0.35">
      <c r="A109" s="16">
        <v>46091</v>
      </c>
      <c r="B109">
        <v>87.935000000000002</v>
      </c>
      <c r="C109">
        <v>88.69</v>
      </c>
      <c r="D109">
        <v>87.8</v>
      </c>
    </row>
    <row r="110" spans="1:5" x14ac:dyDescent="0.35">
      <c r="A110" s="16">
        <v>46090</v>
      </c>
      <c r="B110">
        <v>102.84</v>
      </c>
      <c r="C110">
        <v>99.8</v>
      </c>
      <c r="D110">
        <v>98.96</v>
      </c>
    </row>
    <row r="111" spans="1:5" x14ac:dyDescent="0.35">
      <c r="A111" s="16">
        <v>46087</v>
      </c>
      <c r="B111">
        <v>94.194999999999993</v>
      </c>
      <c r="C111">
        <v>90.92</v>
      </c>
      <c r="D111">
        <v>92.69</v>
      </c>
    </row>
    <row r="112" spans="1:5" x14ac:dyDescent="0.35">
      <c r="A112" s="16">
        <v>46086</v>
      </c>
      <c r="B112">
        <v>87.704999999999998</v>
      </c>
      <c r="C112">
        <v>84.7</v>
      </c>
      <c r="D112">
        <v>85.41</v>
      </c>
    </row>
    <row r="113" spans="1:4" x14ac:dyDescent="0.35">
      <c r="A113" s="16">
        <v>46085</v>
      </c>
      <c r="B113">
        <v>81.155000000000001</v>
      </c>
      <c r="C113">
        <v>80.69</v>
      </c>
      <c r="D113">
        <v>81.400000000000006</v>
      </c>
    </row>
    <row r="114" spans="1:4" x14ac:dyDescent="0.35">
      <c r="A114" s="16">
        <v>46084</v>
      </c>
      <c r="B114">
        <v>84.87</v>
      </c>
      <c r="C114">
        <v>83.65</v>
      </c>
      <c r="D114">
        <v>81.400000000000006</v>
      </c>
    </row>
    <row r="115" spans="1:4" x14ac:dyDescent="0.35">
      <c r="A115" s="16">
        <v>46083</v>
      </c>
      <c r="B115">
        <v>77.814999999999998</v>
      </c>
      <c r="C115">
        <v>78.03</v>
      </c>
      <c r="D115">
        <v>77.739999999999995</v>
      </c>
    </row>
    <row r="116" spans="1:4" x14ac:dyDescent="0.35">
      <c r="A116" s="16">
        <v>46080</v>
      </c>
      <c r="B116">
        <v>70.94</v>
      </c>
      <c r="C116">
        <v>72.39</v>
      </c>
      <c r="D116">
        <v>72.48</v>
      </c>
    </row>
    <row r="117" spans="1:4" x14ac:dyDescent="0.35">
      <c r="A117" s="16">
        <v>46079</v>
      </c>
      <c r="B117">
        <v>72.040000000000006</v>
      </c>
      <c r="C117">
        <v>72.42</v>
      </c>
      <c r="D117">
        <v>70.75</v>
      </c>
    </row>
    <row r="118" spans="1:4" x14ac:dyDescent="0.35">
      <c r="A118" s="16">
        <v>46078</v>
      </c>
      <c r="B118">
        <v>70.784999999999997</v>
      </c>
      <c r="C118">
        <v>70.739999999999995</v>
      </c>
      <c r="D118">
        <v>70.849999999999994</v>
      </c>
    </row>
    <row r="119" spans="1:4" x14ac:dyDescent="0.35">
      <c r="A119" s="16">
        <v>46077</v>
      </c>
      <c r="B119">
        <v>71.33</v>
      </c>
      <c r="C119">
        <v>71.180000000000007</v>
      </c>
      <c r="D119">
        <v>70.77</v>
      </c>
    </row>
    <row r="120" spans="1:4" x14ac:dyDescent="0.35">
      <c r="A120" s="16">
        <v>46076</v>
      </c>
      <c r="B120">
        <v>72.77</v>
      </c>
      <c r="C120">
        <v>72.45</v>
      </c>
      <c r="D120">
        <v>71.489999999999995</v>
      </c>
    </row>
    <row r="121" spans="1:4" x14ac:dyDescent="0.35">
      <c r="A121" s="16">
        <v>46073</v>
      </c>
      <c r="B121">
        <v>72.155000000000001</v>
      </c>
      <c r="C121">
        <v>71.28</v>
      </c>
      <c r="D121">
        <v>71.760000000000005</v>
      </c>
    </row>
    <row r="122" spans="1:4" x14ac:dyDescent="0.35">
      <c r="A122" s="16">
        <v>46072</v>
      </c>
      <c r="B122">
        <v>72.754999999999995</v>
      </c>
      <c r="C122">
        <v>71.63</v>
      </c>
      <c r="D122">
        <v>71.66</v>
      </c>
    </row>
    <row r="123" spans="1:4" x14ac:dyDescent="0.35">
      <c r="A123" s="16">
        <v>46071</v>
      </c>
      <c r="B123">
        <v>71.465000000000003</v>
      </c>
      <c r="C123">
        <v>69.56</v>
      </c>
      <c r="D123">
        <v>70.349999999999994</v>
      </c>
    </row>
    <row r="124" spans="1:4" x14ac:dyDescent="0.35">
      <c r="A124" s="16">
        <v>46070</v>
      </c>
      <c r="B124">
        <v>69.739999999999995</v>
      </c>
      <c r="C124">
        <v>67.209999999999994</v>
      </c>
      <c r="D124">
        <v>67.42</v>
      </c>
    </row>
    <row r="125" spans="1:4" x14ac:dyDescent="0.35">
      <c r="A125" s="16">
        <v>46069</v>
      </c>
      <c r="B125">
        <v>71.234999999999999</v>
      </c>
      <c r="C125">
        <v>68.540000000000006</v>
      </c>
      <c r="D125">
        <v>68.650000000000006</v>
      </c>
    </row>
    <row r="126" spans="1:4" x14ac:dyDescent="0.35">
      <c r="A126" s="16">
        <v>46066</v>
      </c>
      <c r="B126">
        <v>70.33</v>
      </c>
      <c r="C126">
        <v>67.66</v>
      </c>
      <c r="D126">
        <v>67.75</v>
      </c>
    </row>
    <row r="127" spans="1:4" x14ac:dyDescent="0.35">
      <c r="A127" s="16">
        <v>46065</v>
      </c>
      <c r="B127">
        <v>70.875</v>
      </c>
      <c r="C127">
        <v>68.03</v>
      </c>
      <c r="D127">
        <v>67.52</v>
      </c>
    </row>
    <row r="128" spans="1:4" x14ac:dyDescent="0.35">
      <c r="A128" s="16">
        <v>46064</v>
      </c>
      <c r="B128">
        <v>73.12</v>
      </c>
      <c r="C128">
        <v>70.08</v>
      </c>
      <c r="D128">
        <v>69.400000000000006</v>
      </c>
    </row>
    <row r="129" spans="1:4" x14ac:dyDescent="0.35">
      <c r="A129" s="16">
        <v>46063</v>
      </c>
      <c r="B129">
        <v>72.040000000000006</v>
      </c>
      <c r="C129">
        <v>68.86</v>
      </c>
      <c r="D129">
        <v>68.8</v>
      </c>
    </row>
    <row r="130" spans="1:4" x14ac:dyDescent="0.35">
      <c r="A130" s="16">
        <v>46062</v>
      </c>
      <c r="B130">
        <v>72.105000000000004</v>
      </c>
      <c r="C130">
        <v>69.09</v>
      </c>
      <c r="D130">
        <v>69.040000000000006</v>
      </c>
    </row>
    <row r="131" spans="1:4" x14ac:dyDescent="0.35">
      <c r="A131" s="16">
        <v>46059</v>
      </c>
      <c r="B131">
        <v>71.400000000000006</v>
      </c>
      <c r="C131">
        <v>68.56</v>
      </c>
      <c r="D131">
        <v>68.05</v>
      </c>
    </row>
    <row r="132" spans="1:4" x14ac:dyDescent="0.35">
      <c r="A132" s="16">
        <v>46058</v>
      </c>
      <c r="B132">
        <v>69.7</v>
      </c>
      <c r="C132">
        <v>67.52</v>
      </c>
      <c r="D132">
        <v>67.55</v>
      </c>
    </row>
    <row r="133" spans="1:4" x14ac:dyDescent="0.35">
      <c r="A133" s="16">
        <v>46057</v>
      </c>
      <c r="B133">
        <v>69.814999999999998</v>
      </c>
      <c r="C133">
        <v>67.430000000000007</v>
      </c>
      <c r="D133">
        <v>69.459999999999994</v>
      </c>
    </row>
    <row r="134" spans="1:4" x14ac:dyDescent="0.35">
      <c r="A134" s="16">
        <v>46056</v>
      </c>
      <c r="B134">
        <v>69.69</v>
      </c>
      <c r="C134">
        <v>66.97</v>
      </c>
      <c r="D134">
        <v>67.33</v>
      </c>
    </row>
    <row r="135" spans="1:4" x14ac:dyDescent="0.35">
      <c r="A135" s="16">
        <v>46055</v>
      </c>
      <c r="B135">
        <v>68.77</v>
      </c>
      <c r="C135">
        <v>66.319999999999993</v>
      </c>
      <c r="D135">
        <v>66.3</v>
      </c>
    </row>
    <row r="136" spans="1:4" x14ac:dyDescent="0.35">
      <c r="A136" s="16">
        <v>46052</v>
      </c>
      <c r="B136">
        <v>72.704999999999998</v>
      </c>
      <c r="C136">
        <v>71.42</v>
      </c>
      <c r="D136">
        <v>70.69</v>
      </c>
    </row>
    <row r="137" spans="1:4" x14ac:dyDescent="0.35">
      <c r="A137" s="16">
        <v>46051</v>
      </c>
      <c r="B137">
        <v>72.355000000000004</v>
      </c>
      <c r="C137">
        <v>71.069999999999993</v>
      </c>
      <c r="D137">
        <v>70.709999999999994</v>
      </c>
    </row>
    <row r="138" spans="1:4" x14ac:dyDescent="0.35">
      <c r="A138" s="16">
        <v>46050</v>
      </c>
      <c r="B138">
        <v>70</v>
      </c>
      <c r="C138">
        <v>68.13</v>
      </c>
      <c r="D138">
        <v>68.400000000000006</v>
      </c>
    </row>
    <row r="139" spans="1:4" x14ac:dyDescent="0.35">
      <c r="A139" s="16">
        <v>46049</v>
      </c>
      <c r="B139">
        <v>69.084999999999994</v>
      </c>
      <c r="C139">
        <v>67.08</v>
      </c>
      <c r="D139">
        <v>67.569999999999993</v>
      </c>
    </row>
    <row r="140" spans="1:4" x14ac:dyDescent="0.35">
      <c r="A140" s="16">
        <v>46048</v>
      </c>
      <c r="B140">
        <v>67.814999999999998</v>
      </c>
      <c r="C140">
        <v>65.63</v>
      </c>
      <c r="D140">
        <v>65.59</v>
      </c>
    </row>
    <row r="141" spans="1:4" x14ac:dyDescent="0.35">
      <c r="A141" s="16">
        <v>46045</v>
      </c>
      <c r="B141">
        <v>68.265000000000001</v>
      </c>
      <c r="C141">
        <v>65.75</v>
      </c>
      <c r="D141">
        <v>65.88</v>
      </c>
    </row>
    <row r="142" spans="1:4" x14ac:dyDescent="0.35">
      <c r="A142" s="16">
        <v>46044</v>
      </c>
      <c r="B142">
        <v>65.78</v>
      </c>
      <c r="C142">
        <v>64.400000000000006</v>
      </c>
      <c r="D142">
        <v>64.06</v>
      </c>
    </row>
    <row r="143" spans="1:4" x14ac:dyDescent="0.35">
      <c r="A143" s="16">
        <v>46043</v>
      </c>
      <c r="B143">
        <v>67.430000000000007</v>
      </c>
      <c r="C143">
        <v>65.11</v>
      </c>
      <c r="D143">
        <v>65.239999999999995</v>
      </c>
    </row>
    <row r="144" spans="1:4" x14ac:dyDescent="0.35">
      <c r="A144" s="16">
        <v>46042</v>
      </c>
      <c r="B144">
        <v>68</v>
      </c>
      <c r="C144">
        <v>64.81</v>
      </c>
      <c r="D144">
        <v>64.92</v>
      </c>
    </row>
    <row r="145" spans="1:4" x14ac:dyDescent="0.35">
      <c r="A145" s="16">
        <v>46041</v>
      </c>
      <c r="B145">
        <v>67.305000000000007</v>
      </c>
      <c r="C145">
        <v>64.25</v>
      </c>
      <c r="D145">
        <v>63.94</v>
      </c>
    </row>
    <row r="146" spans="1:4" x14ac:dyDescent="0.35">
      <c r="A146" s="16">
        <v>46038</v>
      </c>
      <c r="B146">
        <v>67.760000000000005</v>
      </c>
      <c r="C146">
        <v>64.650000000000006</v>
      </c>
      <c r="D146">
        <v>64.13</v>
      </c>
    </row>
    <row r="147" spans="1:4" x14ac:dyDescent="0.35">
      <c r="A147" s="16">
        <v>46037</v>
      </c>
      <c r="B147">
        <v>66.31</v>
      </c>
      <c r="C147">
        <v>63.7</v>
      </c>
      <c r="D147">
        <v>63.76</v>
      </c>
    </row>
    <row r="148" spans="1:4" x14ac:dyDescent="0.35">
      <c r="A148" s="16">
        <v>46036</v>
      </c>
      <c r="B148">
        <v>68.790000000000006</v>
      </c>
      <c r="C148">
        <v>66</v>
      </c>
      <c r="D148">
        <v>66.52</v>
      </c>
    </row>
    <row r="149" spans="1:4" x14ac:dyDescent="0.35">
      <c r="A149" s="16">
        <v>46035</v>
      </c>
      <c r="B149">
        <v>68.564999999999998</v>
      </c>
      <c r="C149">
        <v>65.89</v>
      </c>
      <c r="D149">
        <v>65.47</v>
      </c>
    </row>
    <row r="150" spans="1:4" x14ac:dyDescent="0.35">
      <c r="A150" s="16">
        <v>46034</v>
      </c>
      <c r="B150">
        <v>65.42</v>
      </c>
      <c r="C150">
        <v>63.6</v>
      </c>
      <c r="D150">
        <v>63.87</v>
      </c>
    </row>
    <row r="151" spans="1:4" x14ac:dyDescent="0.35">
      <c r="A151" s="16">
        <v>46031</v>
      </c>
      <c r="B151">
        <v>65.474999999999994</v>
      </c>
      <c r="C151">
        <v>63.73</v>
      </c>
      <c r="D151">
        <v>63.34</v>
      </c>
    </row>
    <row r="152" spans="1:4" x14ac:dyDescent="0.35">
      <c r="A152" s="16">
        <v>46030</v>
      </c>
      <c r="B152">
        <v>62.93</v>
      </c>
      <c r="C152">
        <v>61.22</v>
      </c>
      <c r="D152">
        <v>61.99</v>
      </c>
    </row>
    <row r="153" spans="1:4" x14ac:dyDescent="0.35">
      <c r="A153" s="16">
        <v>46029</v>
      </c>
      <c r="B153">
        <v>61.89</v>
      </c>
      <c r="C153">
        <v>60.4</v>
      </c>
      <c r="D153">
        <v>59.96</v>
      </c>
    </row>
    <row r="154" spans="1:4" x14ac:dyDescent="0.35">
      <c r="A154" s="16">
        <v>46028</v>
      </c>
      <c r="B154">
        <v>62.914999999999999</v>
      </c>
      <c r="C154">
        <v>61.59</v>
      </c>
      <c r="D154">
        <v>60.7</v>
      </c>
    </row>
    <row r="155" spans="1:4" x14ac:dyDescent="0.35">
      <c r="A155" s="16">
        <v>46027</v>
      </c>
      <c r="B155">
        <v>62.954999999999998</v>
      </c>
      <c r="C155">
        <v>61.55</v>
      </c>
      <c r="D155">
        <v>61.76</v>
      </c>
    </row>
    <row r="156" spans="1:4" x14ac:dyDescent="0.35">
      <c r="A156">
        <v>46024</v>
      </c>
      <c r="B156">
        <v>60.975000000000001</v>
      </c>
      <c r="C156">
        <v>60.06</v>
      </c>
      <c r="D156">
        <v>60.75</v>
      </c>
    </row>
    <row r="157" spans="1:4" x14ac:dyDescent="0.35">
      <c r="A157">
        <v>46023</v>
      </c>
      <c r="B157">
        <v>62.555</v>
      </c>
      <c r="C157">
        <v>61.9</v>
      </c>
      <c r="D157">
        <v>60.85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7CD0-CE7D-4C8B-A0A8-AE040EA1BF80}">
  <sheetPr codeName="Sheet9"/>
  <dimension ref="A1:FJ143"/>
  <sheetViews>
    <sheetView showGridLines="0" zoomScale="70" zoomScaleNormal="70" workbookViewId="0">
      <pane xSplit="2" ySplit="81" topLeftCell="C87" activePane="bottomRight" state="frozen"/>
      <selection pane="topRight" activeCell="C1" sqref="C1"/>
      <selection pane="bottomLeft" activeCell="A82" sqref="A82"/>
      <selection pane="bottomRight" activeCell="X106" sqref="X106"/>
    </sheetView>
  </sheetViews>
  <sheetFormatPr defaultRowHeight="14.5" outlineLevelRow="1" x14ac:dyDescent="0.35"/>
  <cols>
    <col min="1" max="1" width="9.453125" bestFit="1" customWidth="1"/>
    <col min="2" max="2" width="10.26953125" style="38" bestFit="1" customWidth="1"/>
    <col min="3" max="3" width="8.7265625" style="4"/>
    <col min="4" max="4" width="9.26953125" style="4" customWidth="1"/>
    <col min="5" max="5" width="23.7265625" style="156" customWidth="1"/>
    <col min="6" max="6" width="11.7265625" bestFit="1" customWidth="1"/>
    <col min="18" max="18" width="13.08984375" bestFit="1" customWidth="1"/>
    <col min="19" max="19" width="15.90625" bestFit="1" customWidth="1"/>
    <col min="20" max="26" width="9.453125" bestFit="1" customWidth="1"/>
    <col min="27" max="27" width="6.7265625" bestFit="1" customWidth="1"/>
    <col min="28" max="28" width="8.54296875" bestFit="1" customWidth="1"/>
    <col min="29" max="29" width="8.453125" bestFit="1" customWidth="1"/>
    <col min="30" max="30" width="13.453125" bestFit="1" customWidth="1"/>
    <col min="31" max="32" width="13" bestFit="1" customWidth="1"/>
    <col min="33" max="33" width="13.453125" bestFit="1" customWidth="1"/>
    <col min="34" max="34" width="9.54296875" bestFit="1" customWidth="1"/>
    <col min="35" max="35" width="12.7265625" bestFit="1" customWidth="1"/>
  </cols>
  <sheetData>
    <row r="1" spans="1:36" x14ac:dyDescent="0.35">
      <c r="A1" s="16">
        <f ca="1">TODAY()</f>
        <v>46295</v>
      </c>
      <c r="C1" s="528" t="s">
        <v>1724</v>
      </c>
      <c r="D1" s="529"/>
      <c r="E1" s="530"/>
    </row>
    <row r="2" spans="1:36" x14ac:dyDescent="0.35">
      <c r="B2" s="38" t="s">
        <v>107</v>
      </c>
      <c r="C2" s="4" t="s">
        <v>2181</v>
      </c>
      <c r="D2" s="4" t="s">
        <v>2182</v>
      </c>
      <c r="E2" s="156" t="s">
        <v>2183</v>
      </c>
      <c r="AH2">
        <f>SUM(AI9:AI13)</f>
        <v>3775000</v>
      </c>
      <c r="AI2">
        <v>1.17</v>
      </c>
      <c r="AJ2">
        <f>AH2*AI2</f>
        <v>4416750</v>
      </c>
    </row>
    <row r="3" spans="1:36" hidden="1" outlineLevel="1" x14ac:dyDescent="0.35">
      <c r="B3" s="157">
        <v>45660</v>
      </c>
      <c r="E3" s="161">
        <v>3406</v>
      </c>
    </row>
    <row r="4" spans="1:36" hidden="1" outlineLevel="1" x14ac:dyDescent="0.35">
      <c r="B4" s="157">
        <v>45666</v>
      </c>
      <c r="E4" s="161">
        <v>5357</v>
      </c>
    </row>
    <row r="5" spans="1:36" hidden="1" outlineLevel="1" x14ac:dyDescent="0.35">
      <c r="B5" s="157">
        <v>45681</v>
      </c>
      <c r="E5" s="161">
        <v>5588</v>
      </c>
    </row>
    <row r="6" spans="1:36" hidden="1" outlineLevel="1" x14ac:dyDescent="0.35">
      <c r="B6" s="157">
        <v>45693</v>
      </c>
      <c r="E6" s="161">
        <v>7405</v>
      </c>
    </row>
    <row r="7" spans="1:36" hidden="1" outlineLevel="1" x14ac:dyDescent="0.35">
      <c r="B7" s="157">
        <v>45700</v>
      </c>
      <c r="C7" s="130"/>
      <c r="D7" s="130"/>
      <c r="E7" s="161">
        <v>10141</v>
      </c>
    </row>
    <row r="8" spans="1:36" hidden="1" outlineLevel="1" x14ac:dyDescent="0.35">
      <c r="B8" s="157">
        <v>45719</v>
      </c>
      <c r="C8" s="130">
        <v>-1488</v>
      </c>
      <c r="D8" s="130">
        <f>C8</f>
        <v>-1488</v>
      </c>
      <c r="E8" s="161">
        <v>8685</v>
      </c>
    </row>
    <row r="9" spans="1:36" hidden="1" outlineLevel="1" x14ac:dyDescent="0.35">
      <c r="B9" s="157">
        <v>45720</v>
      </c>
      <c r="C9" s="130">
        <v>-1248</v>
      </c>
      <c r="D9" s="130">
        <f t="shared" ref="D9:D19" si="0">D8+C9</f>
        <v>-2736</v>
      </c>
      <c r="E9" s="161">
        <v>7437</v>
      </c>
      <c r="AF9" t="s">
        <v>2184</v>
      </c>
      <c r="AG9">
        <v>25000</v>
      </c>
      <c r="AH9">
        <v>31</v>
      </c>
      <c r="AI9">
        <f>AH9*AG9</f>
        <v>775000</v>
      </c>
    </row>
    <row r="10" spans="1:36" hidden="1" outlineLevel="1" x14ac:dyDescent="0.35">
      <c r="B10" s="157">
        <v>45721</v>
      </c>
      <c r="C10" s="130">
        <v>523</v>
      </c>
      <c r="D10" s="130">
        <f t="shared" si="0"/>
        <v>-2213</v>
      </c>
      <c r="E10" s="161">
        <v>7960</v>
      </c>
      <c r="AF10" t="s">
        <v>1752</v>
      </c>
      <c r="AG10">
        <v>25000</v>
      </c>
      <c r="AH10">
        <v>28</v>
      </c>
      <c r="AI10">
        <f>AH10*AG10</f>
        <v>700000</v>
      </c>
    </row>
    <row r="11" spans="1:36" hidden="1" outlineLevel="1" x14ac:dyDescent="0.35">
      <c r="B11" s="157">
        <v>45722</v>
      </c>
      <c r="C11" s="130">
        <v>233</v>
      </c>
      <c r="D11" s="130">
        <f t="shared" si="0"/>
        <v>-1980</v>
      </c>
      <c r="E11" s="161">
        <v>8193</v>
      </c>
      <c r="AF11" t="s">
        <v>2182</v>
      </c>
      <c r="AG11">
        <v>25000</v>
      </c>
      <c r="AH11">
        <v>31</v>
      </c>
      <c r="AI11">
        <f>AH11*AG11</f>
        <v>775000</v>
      </c>
    </row>
    <row r="12" spans="1:36" hidden="1" outlineLevel="1" x14ac:dyDescent="0.35">
      <c r="B12" s="157">
        <v>45723</v>
      </c>
      <c r="C12" s="130">
        <v>1363</v>
      </c>
      <c r="D12" s="130">
        <f t="shared" si="0"/>
        <v>-617</v>
      </c>
      <c r="E12" s="161">
        <v>9556</v>
      </c>
      <c r="AF12" t="s">
        <v>2185</v>
      </c>
      <c r="AG12">
        <v>25000</v>
      </c>
      <c r="AH12">
        <v>30</v>
      </c>
      <c r="AI12">
        <f>AH12*AG12</f>
        <v>750000</v>
      </c>
    </row>
    <row r="13" spans="1:36" hidden="1" outlineLevel="1" x14ac:dyDescent="0.35">
      <c r="B13" s="157">
        <v>45726</v>
      </c>
      <c r="C13" s="130">
        <v>-142</v>
      </c>
      <c r="D13" s="130">
        <f t="shared" si="0"/>
        <v>-759</v>
      </c>
      <c r="E13" s="161">
        <v>9414</v>
      </c>
      <c r="AF13" t="s">
        <v>1838</v>
      </c>
      <c r="AG13">
        <v>25000</v>
      </c>
      <c r="AH13">
        <v>31</v>
      </c>
      <c r="AI13">
        <f>AH13*AG13</f>
        <v>775000</v>
      </c>
    </row>
    <row r="14" spans="1:36" hidden="1" outlineLevel="1" x14ac:dyDescent="0.35">
      <c r="B14" s="157">
        <v>45727</v>
      </c>
      <c r="C14" s="130">
        <v>201</v>
      </c>
      <c r="D14" s="130">
        <f t="shared" si="0"/>
        <v>-558</v>
      </c>
      <c r="E14" s="161">
        <v>9615</v>
      </c>
    </row>
    <row r="15" spans="1:36" hidden="1" outlineLevel="1" x14ac:dyDescent="0.35">
      <c r="B15" s="157">
        <v>45728</v>
      </c>
      <c r="C15" s="130">
        <v>-87</v>
      </c>
      <c r="D15" s="130">
        <f t="shared" si="0"/>
        <v>-645</v>
      </c>
      <c r="E15" s="161">
        <v>9528</v>
      </c>
    </row>
    <row r="16" spans="1:36" hidden="1" outlineLevel="1" x14ac:dyDescent="0.35">
      <c r="B16" s="157">
        <v>45729</v>
      </c>
      <c r="C16" s="130">
        <v>0</v>
      </c>
      <c r="D16" s="130">
        <f t="shared" si="0"/>
        <v>-645</v>
      </c>
      <c r="E16" s="161">
        <v>9528</v>
      </c>
    </row>
    <row r="17" spans="2:42" hidden="1" outlineLevel="1" x14ac:dyDescent="0.35">
      <c r="B17" s="157">
        <v>45730</v>
      </c>
      <c r="C17" s="130">
        <v>0</v>
      </c>
      <c r="D17" s="130">
        <f t="shared" si="0"/>
        <v>-645</v>
      </c>
      <c r="E17" s="161">
        <v>9528</v>
      </c>
      <c r="AF17" s="4" t="s">
        <v>2186</v>
      </c>
      <c r="AG17" s="4"/>
      <c r="AH17" s="4"/>
      <c r="AI17" s="4"/>
      <c r="AJ17" s="4"/>
    </row>
    <row r="18" spans="2:42" hidden="1" outlineLevel="1" x14ac:dyDescent="0.35">
      <c r="B18" s="157">
        <v>45733</v>
      </c>
      <c r="C18" s="130">
        <v>454</v>
      </c>
      <c r="D18" s="130">
        <f t="shared" si="0"/>
        <v>-191</v>
      </c>
      <c r="E18" s="161">
        <v>9982</v>
      </c>
      <c r="AF18" s="49" t="s">
        <v>1976</v>
      </c>
      <c r="AG18" s="4"/>
      <c r="AH18" s="4"/>
      <c r="AI18" s="4"/>
      <c r="AJ18" s="4"/>
    </row>
    <row r="19" spans="2:42" hidden="1" outlineLevel="1" x14ac:dyDescent="0.35">
      <c r="B19" s="157">
        <v>45734</v>
      </c>
      <c r="C19" s="130">
        <v>735</v>
      </c>
      <c r="D19" s="130">
        <f t="shared" si="0"/>
        <v>544</v>
      </c>
      <c r="E19" s="161">
        <v>10717</v>
      </c>
      <c r="AF19" s="4">
        <v>4</v>
      </c>
      <c r="AG19" s="4"/>
      <c r="AH19" s="4"/>
      <c r="AI19" s="4"/>
      <c r="AJ19" s="4" t="s">
        <v>2187</v>
      </c>
      <c r="AN19" s="3">
        <v>45978</v>
      </c>
    </row>
    <row r="20" spans="2:42" hidden="1" outlineLevel="1" x14ac:dyDescent="0.35">
      <c r="B20" s="157">
        <v>45735</v>
      </c>
      <c r="C20" s="130">
        <v>0</v>
      </c>
      <c r="D20" s="130">
        <f>D18+C20</f>
        <v>-191</v>
      </c>
      <c r="E20" s="161">
        <v>10717</v>
      </c>
      <c r="AF20" s="4">
        <f>'Cargo Econs 2025'!A325/1000</f>
        <v>2.7277799999999996</v>
      </c>
      <c r="AG20" s="4"/>
      <c r="AH20" s="4"/>
      <c r="AI20" s="4"/>
      <c r="AJ20" s="4" t="s">
        <v>1876</v>
      </c>
      <c r="AN20" t="s">
        <v>1724</v>
      </c>
      <c r="AO20">
        <f>(AH21+AI21)*1000+AG37</f>
        <v>5227.7799999999988</v>
      </c>
    </row>
    <row r="21" spans="2:42" hidden="1" outlineLevel="1" x14ac:dyDescent="0.35">
      <c r="B21" s="157">
        <v>45736</v>
      </c>
      <c r="C21" s="130">
        <v>350</v>
      </c>
      <c r="D21" s="130">
        <f t="shared" ref="D21:D28" si="1">D20+C21</f>
        <v>159</v>
      </c>
      <c r="E21" s="161">
        <v>11067</v>
      </c>
      <c r="AF21" s="23">
        <f>SUM(AF19:AF20)</f>
        <v>6.7277799999999992</v>
      </c>
      <c r="AG21" s="4">
        <v>2</v>
      </c>
      <c r="AH21" s="4">
        <v>2</v>
      </c>
      <c r="AI21" s="4">
        <f>AF20</f>
        <v>2.7277799999999996</v>
      </c>
      <c r="AJ21" s="4"/>
      <c r="AN21" t="s">
        <v>2188</v>
      </c>
      <c r="AO21">
        <v>-5393</v>
      </c>
    </row>
    <row r="22" spans="2:42" hidden="1" outlineLevel="1" x14ac:dyDescent="0.35">
      <c r="B22" s="157">
        <v>45737</v>
      </c>
      <c r="C22" s="130">
        <v>0</v>
      </c>
      <c r="D22" s="130">
        <f t="shared" si="1"/>
        <v>159</v>
      </c>
      <c r="E22" s="161">
        <v>11067</v>
      </c>
      <c r="AF22" s="49" t="s">
        <v>2141</v>
      </c>
      <c r="AG22" s="4" t="s">
        <v>2189</v>
      </c>
      <c r="AH22" s="4"/>
      <c r="AI22" s="4"/>
      <c r="AJ22" s="4"/>
    </row>
    <row r="23" spans="2:42" hidden="1" outlineLevel="1" x14ac:dyDescent="0.35">
      <c r="B23" s="157">
        <v>45740</v>
      </c>
      <c r="C23" s="130">
        <v>-197</v>
      </c>
      <c r="D23" s="130">
        <f t="shared" si="1"/>
        <v>-38</v>
      </c>
      <c r="E23" s="161">
        <v>10870</v>
      </c>
      <c r="AF23" s="279">
        <f>-AJ2/1000000</f>
        <v>-4.4167500000000004</v>
      </c>
      <c r="AG23" s="4"/>
      <c r="AH23" s="4"/>
      <c r="AI23" s="4"/>
      <c r="AJ23" s="4" t="s">
        <v>2190</v>
      </c>
    </row>
    <row r="24" spans="2:42" hidden="1" outlineLevel="1" x14ac:dyDescent="0.35">
      <c r="B24" s="157">
        <v>45741</v>
      </c>
      <c r="C24" s="130">
        <v>857</v>
      </c>
      <c r="D24" s="130">
        <f t="shared" si="1"/>
        <v>819</v>
      </c>
      <c r="E24" s="161">
        <v>11727</v>
      </c>
      <c r="AF24" s="15">
        <v>-4.2</v>
      </c>
      <c r="AG24" s="4"/>
      <c r="AH24" s="4"/>
      <c r="AI24" s="4"/>
      <c r="AJ24" s="4" t="s">
        <v>2191</v>
      </c>
    </row>
    <row r="25" spans="2:42" hidden="1" outlineLevel="1" x14ac:dyDescent="0.35">
      <c r="B25" s="157">
        <v>45742</v>
      </c>
      <c r="C25" s="130">
        <v>-217</v>
      </c>
      <c r="D25" s="130">
        <f t="shared" si="1"/>
        <v>602</v>
      </c>
      <c r="E25" s="161">
        <v>11510</v>
      </c>
      <c r="AF25" s="15">
        <v>12.6</v>
      </c>
      <c r="AG25" s="4"/>
      <c r="AH25" s="4"/>
      <c r="AI25" s="4"/>
      <c r="AJ25" s="4" t="s">
        <v>2192</v>
      </c>
    </row>
    <row r="26" spans="2:42" hidden="1" outlineLevel="1" x14ac:dyDescent="0.35">
      <c r="B26" s="157">
        <v>45743</v>
      </c>
      <c r="C26" s="130">
        <v>25</v>
      </c>
      <c r="D26" s="130">
        <f t="shared" si="1"/>
        <v>627</v>
      </c>
      <c r="E26" s="161">
        <v>11535</v>
      </c>
      <c r="AF26" s="214">
        <f>SUM(AF23:AF25)</f>
        <v>3.98325</v>
      </c>
      <c r="AG26" s="112">
        <f>AF26</f>
        <v>3.98325</v>
      </c>
      <c r="AH26" s="4"/>
      <c r="AI26" s="4"/>
      <c r="AJ26" s="4"/>
    </row>
    <row r="27" spans="2:42" hidden="1" outlineLevel="1" x14ac:dyDescent="0.35">
      <c r="B27" s="157">
        <v>45744</v>
      </c>
      <c r="C27" s="130">
        <v>-57</v>
      </c>
      <c r="D27" s="130">
        <f t="shared" si="1"/>
        <v>570</v>
      </c>
      <c r="E27" s="161">
        <v>11478</v>
      </c>
      <c r="AF27" s="4"/>
      <c r="AG27" s="4"/>
      <c r="AH27" s="4"/>
      <c r="AI27" s="4"/>
      <c r="AJ27" s="4"/>
    </row>
    <row r="28" spans="2:42" s="160" customFormat="1" ht="15" hidden="1" outlineLevel="1" thickBot="1" x14ac:dyDescent="0.4">
      <c r="B28" s="159">
        <v>45747</v>
      </c>
      <c r="C28" s="158">
        <v>-190</v>
      </c>
      <c r="D28" s="158">
        <f t="shared" si="1"/>
        <v>380</v>
      </c>
      <c r="E28" s="162">
        <v>11288</v>
      </c>
      <c r="AF28" s="112">
        <f>AF21+AF26</f>
        <v>10.711029999999999</v>
      </c>
      <c r="AG28" s="4"/>
      <c r="AH28" s="4"/>
      <c r="AI28" s="4"/>
      <c r="AJ28" s="4"/>
      <c r="AK28"/>
      <c r="AL28"/>
      <c r="AM28"/>
      <c r="AN28"/>
      <c r="AO28"/>
      <c r="AP28"/>
    </row>
    <row r="29" spans="2:42" hidden="1" outlineLevel="1" x14ac:dyDescent="0.35">
      <c r="B29" s="157">
        <v>45748</v>
      </c>
      <c r="C29" s="130">
        <v>178</v>
      </c>
      <c r="D29" s="130">
        <f>C29</f>
        <v>178</v>
      </c>
      <c r="E29" s="161">
        <v>10855</v>
      </c>
      <c r="AF29" s="4"/>
      <c r="AG29" s="4"/>
      <c r="AH29" s="4"/>
      <c r="AI29" s="4"/>
      <c r="AJ29" s="4"/>
      <c r="AN29" t="s">
        <v>2181</v>
      </c>
      <c r="AO29" t="s">
        <v>2193</v>
      </c>
    </row>
    <row r="30" spans="2:42" hidden="1" outlineLevel="1" x14ac:dyDescent="0.35">
      <c r="B30" s="157">
        <v>45749</v>
      </c>
      <c r="C30" s="130">
        <v>-421</v>
      </c>
      <c r="D30" s="130">
        <f t="shared" ref="D30:D50" si="2">D29+C30</f>
        <v>-243</v>
      </c>
      <c r="E30" s="161">
        <v>10434</v>
      </c>
      <c r="AF30" s="4"/>
      <c r="AG30" s="4"/>
      <c r="AH30" s="4"/>
      <c r="AI30" s="4"/>
      <c r="AJ30" s="4"/>
      <c r="AM30" t="s">
        <v>1724</v>
      </c>
      <c r="AN30">
        <v>133.22</v>
      </c>
      <c r="AO30" s="17">
        <v>19843</v>
      </c>
    </row>
    <row r="31" spans="2:42" hidden="1" outlineLevel="1" x14ac:dyDescent="0.35">
      <c r="B31" s="157">
        <v>45750</v>
      </c>
      <c r="C31" s="130">
        <v>277</v>
      </c>
      <c r="D31" s="130">
        <f t="shared" si="2"/>
        <v>34</v>
      </c>
      <c r="E31" s="161">
        <v>10711</v>
      </c>
      <c r="AF31" s="4"/>
      <c r="AG31" s="4"/>
      <c r="AH31" s="4"/>
      <c r="AI31" s="4"/>
      <c r="AJ31" s="4"/>
      <c r="AM31" t="s">
        <v>2141</v>
      </c>
      <c r="AN31">
        <v>-20.22</v>
      </c>
      <c r="AO31">
        <v>-152</v>
      </c>
    </row>
    <row r="32" spans="2:42" hidden="1" outlineLevel="1" x14ac:dyDescent="0.35">
      <c r="B32" s="157">
        <v>45751</v>
      </c>
      <c r="C32" s="130">
        <v>2155</v>
      </c>
      <c r="D32" s="130">
        <f t="shared" si="2"/>
        <v>2189</v>
      </c>
      <c r="E32" s="161">
        <v>12866</v>
      </c>
      <c r="AF32" s="4"/>
      <c r="AG32" s="4" t="s">
        <v>2194</v>
      </c>
      <c r="AH32" s="4"/>
      <c r="AI32" s="4"/>
      <c r="AJ32" s="4"/>
      <c r="AO32" s="91">
        <f>AO31+AO30</f>
        <v>19691</v>
      </c>
    </row>
    <row r="33" spans="1:41" hidden="1" outlineLevel="1" x14ac:dyDescent="0.35">
      <c r="B33" s="157">
        <v>45754</v>
      </c>
      <c r="C33" s="130">
        <v>1565</v>
      </c>
      <c r="D33" s="130">
        <f t="shared" si="2"/>
        <v>3754</v>
      </c>
      <c r="E33" s="161">
        <v>14431</v>
      </c>
      <c r="AF33" s="4" t="s">
        <v>107</v>
      </c>
      <c r="AG33" s="4" t="s">
        <v>1976</v>
      </c>
      <c r="AH33" s="4" t="s">
        <v>2141</v>
      </c>
      <c r="AI33" s="4"/>
      <c r="AJ33" s="4"/>
    </row>
    <row r="34" spans="1:41" hidden="1" outlineLevel="1" x14ac:dyDescent="0.35">
      <c r="B34" s="157">
        <v>45755</v>
      </c>
      <c r="C34" s="130">
        <v>-3785</v>
      </c>
      <c r="D34" s="130">
        <f t="shared" si="2"/>
        <v>-31</v>
      </c>
      <c r="E34" s="161">
        <v>10646</v>
      </c>
      <c r="AF34" s="181">
        <v>45943</v>
      </c>
      <c r="AG34" s="225">
        <f>+AG21/4*1000</f>
        <v>500</v>
      </c>
      <c r="AH34" s="225">
        <v>800</v>
      </c>
      <c r="AI34" s="4"/>
      <c r="AJ34" s="4"/>
      <c r="AO34">
        <v>14489</v>
      </c>
    </row>
    <row r="35" spans="1:41" hidden="1" outlineLevel="1" x14ac:dyDescent="0.35">
      <c r="B35" s="157">
        <v>45756</v>
      </c>
      <c r="C35" s="130">
        <v>-1457</v>
      </c>
      <c r="D35" s="130">
        <f t="shared" si="2"/>
        <v>-1488</v>
      </c>
      <c r="E35" s="161">
        <v>9189</v>
      </c>
      <c r="AF35" s="181">
        <v>45947</v>
      </c>
      <c r="AG35" s="225">
        <f>$AG$34</f>
        <v>500</v>
      </c>
      <c r="AH35" s="225">
        <f>(3980-800)/3</f>
        <v>1060</v>
      </c>
      <c r="AI35" s="4"/>
      <c r="AJ35" s="4"/>
      <c r="AO35">
        <v>5089</v>
      </c>
    </row>
    <row r="36" spans="1:41" hidden="1" outlineLevel="1" x14ac:dyDescent="0.35">
      <c r="B36" s="157">
        <v>45757</v>
      </c>
      <c r="C36" s="130">
        <v>1004</v>
      </c>
      <c r="D36" s="130">
        <f t="shared" si="2"/>
        <v>-484</v>
      </c>
      <c r="E36" s="161">
        <v>10193</v>
      </c>
      <c r="AF36" s="181">
        <f>+AF35+7</f>
        <v>45954</v>
      </c>
      <c r="AG36" s="225">
        <f>$AG$34</f>
        <v>500</v>
      </c>
      <c r="AH36" s="225">
        <f>(3980-800)/3</f>
        <v>1060</v>
      </c>
      <c r="AI36" s="4"/>
      <c r="AJ36" s="4"/>
      <c r="AO36">
        <f>SUM(AO34:AO35)</f>
        <v>19578</v>
      </c>
    </row>
    <row r="37" spans="1:41" hidden="1" outlineLevel="1" x14ac:dyDescent="0.35">
      <c r="B37" s="157">
        <v>45758</v>
      </c>
      <c r="C37" s="130">
        <v>-289</v>
      </c>
      <c r="D37" s="130">
        <f t="shared" si="2"/>
        <v>-773</v>
      </c>
      <c r="E37" s="161">
        <v>9904</v>
      </c>
      <c r="AF37" s="181">
        <v>45961</v>
      </c>
      <c r="AG37" s="4">
        <f>$AG$34</f>
        <v>500</v>
      </c>
      <c r="AH37" s="225">
        <f>(3980-800)/3</f>
        <v>1060</v>
      </c>
      <c r="AI37" s="4"/>
      <c r="AJ37" s="4"/>
    </row>
    <row r="38" spans="1:41" hidden="1" outlineLevel="1" x14ac:dyDescent="0.35">
      <c r="B38" s="157">
        <v>45761</v>
      </c>
      <c r="C38" s="130">
        <v>44</v>
      </c>
      <c r="D38" s="130">
        <f t="shared" si="2"/>
        <v>-729</v>
      </c>
      <c r="E38" s="161">
        <v>9948</v>
      </c>
      <c r="AF38" s="4" t="s">
        <v>2195</v>
      </c>
      <c r="AG38" s="49">
        <f>SUM(AG34:AG37)</f>
        <v>2000</v>
      </c>
      <c r="AH38" s="49">
        <f>SUM(AH34:AH37)</f>
        <v>3980</v>
      </c>
      <c r="AI38" s="4"/>
      <c r="AJ38" s="4"/>
      <c r="AO38" s="91">
        <f>AO32-AO36</f>
        <v>113</v>
      </c>
    </row>
    <row r="39" spans="1:41" hidden="1" outlineLevel="1" x14ac:dyDescent="0.35">
      <c r="B39" s="157">
        <v>45762</v>
      </c>
      <c r="C39" s="130">
        <v>258</v>
      </c>
      <c r="D39" s="130">
        <f t="shared" si="2"/>
        <v>-471</v>
      </c>
      <c r="E39" s="161">
        <v>10206</v>
      </c>
      <c r="AF39" s="4"/>
      <c r="AG39" s="4"/>
      <c r="AH39" s="4"/>
      <c r="AI39" s="4"/>
      <c r="AJ39" s="4"/>
    </row>
    <row r="40" spans="1:41" hidden="1" outlineLevel="1" x14ac:dyDescent="0.35">
      <c r="B40" s="157">
        <v>45763</v>
      </c>
      <c r="C40" s="130">
        <v>87</v>
      </c>
      <c r="D40" s="130">
        <f t="shared" si="2"/>
        <v>-384</v>
      </c>
      <c r="E40" s="161">
        <v>10293</v>
      </c>
    </row>
    <row r="41" spans="1:41" hidden="1" outlineLevel="1" x14ac:dyDescent="0.35">
      <c r="A41" s="6"/>
      <c r="B41" s="157">
        <v>45764</v>
      </c>
      <c r="C41" s="130">
        <v>-1857</v>
      </c>
      <c r="D41" s="130">
        <f t="shared" si="2"/>
        <v>-2241</v>
      </c>
      <c r="E41" s="161">
        <v>8436</v>
      </c>
    </row>
    <row r="42" spans="1:41" hidden="1" outlineLevel="1" x14ac:dyDescent="0.35">
      <c r="B42" s="157">
        <v>45765</v>
      </c>
      <c r="C42" s="130">
        <v>0</v>
      </c>
      <c r="D42" s="130">
        <f t="shared" si="2"/>
        <v>-2241</v>
      </c>
      <c r="E42" s="161">
        <v>8436</v>
      </c>
    </row>
    <row r="43" spans="1:41" hidden="1" outlineLevel="1" x14ac:dyDescent="0.35">
      <c r="A43" s="130"/>
      <c r="B43" s="157">
        <v>45768</v>
      </c>
      <c r="C43" s="130">
        <v>-565</v>
      </c>
      <c r="D43" s="130">
        <f t="shared" si="2"/>
        <v>-2806</v>
      </c>
      <c r="E43" s="161">
        <v>7871</v>
      </c>
    </row>
    <row r="44" spans="1:41" hidden="1" outlineLevel="1" x14ac:dyDescent="0.35">
      <c r="A44" s="130"/>
      <c r="B44" s="157">
        <v>45769</v>
      </c>
      <c r="C44" s="130">
        <v>-691</v>
      </c>
      <c r="D44" s="130">
        <f t="shared" si="2"/>
        <v>-3497</v>
      </c>
      <c r="E44" s="161">
        <v>7180</v>
      </c>
    </row>
    <row r="45" spans="1:41" hidden="1" outlineLevel="1" x14ac:dyDescent="0.35">
      <c r="A45" s="130"/>
      <c r="B45" s="157">
        <v>45770</v>
      </c>
      <c r="C45" s="130">
        <v>762</v>
      </c>
      <c r="D45" s="130">
        <f t="shared" si="2"/>
        <v>-2735</v>
      </c>
      <c r="E45" s="161">
        <v>7942</v>
      </c>
      <c r="AF45" t="s">
        <v>2196</v>
      </c>
    </row>
    <row r="46" spans="1:41" hidden="1" outlineLevel="1" x14ac:dyDescent="0.35">
      <c r="A46" s="130"/>
      <c r="B46" s="157">
        <v>45771</v>
      </c>
      <c r="C46" s="130">
        <v>-34</v>
      </c>
      <c r="D46" s="130">
        <f t="shared" si="2"/>
        <v>-2769</v>
      </c>
      <c r="E46" s="161">
        <v>7908</v>
      </c>
      <c r="AF46" t="s">
        <v>1786</v>
      </c>
      <c r="AG46" t="s">
        <v>113</v>
      </c>
      <c r="AH46" t="s">
        <v>1978</v>
      </c>
    </row>
    <row r="47" spans="1:41" hidden="1" outlineLevel="1" x14ac:dyDescent="0.35">
      <c r="A47" s="130"/>
      <c r="B47" s="157">
        <v>45772</v>
      </c>
      <c r="C47" s="130">
        <v>0</v>
      </c>
      <c r="D47" s="130">
        <f t="shared" si="2"/>
        <v>-2769</v>
      </c>
      <c r="E47" s="161">
        <v>7908</v>
      </c>
    </row>
    <row r="48" spans="1:41" hidden="1" outlineLevel="1" x14ac:dyDescent="0.35">
      <c r="A48" s="130"/>
      <c r="B48" s="157">
        <v>45775</v>
      </c>
      <c r="C48" s="130">
        <v>-392</v>
      </c>
      <c r="D48" s="130">
        <f t="shared" si="2"/>
        <v>-3161</v>
      </c>
      <c r="E48" s="161">
        <v>7516</v>
      </c>
    </row>
    <row r="49" spans="1:5" hidden="1" outlineLevel="1" x14ac:dyDescent="0.35">
      <c r="A49" s="130"/>
      <c r="B49" s="157">
        <v>45776</v>
      </c>
      <c r="C49" s="130">
        <v>1217</v>
      </c>
      <c r="D49" s="130">
        <f t="shared" si="2"/>
        <v>-1944</v>
      </c>
      <c r="E49" s="161">
        <v>8733</v>
      </c>
    </row>
    <row r="50" spans="1:5" ht="15" hidden="1" outlineLevel="1" thickBot="1" x14ac:dyDescent="0.4">
      <c r="A50" s="130"/>
      <c r="B50" s="159">
        <v>45777</v>
      </c>
      <c r="C50" s="158">
        <v>1049</v>
      </c>
      <c r="D50" s="158">
        <f t="shared" si="2"/>
        <v>-895</v>
      </c>
      <c r="E50" s="162">
        <v>9782</v>
      </c>
    </row>
    <row r="51" spans="1:5" collapsed="1" x14ac:dyDescent="0.35">
      <c r="B51" s="157">
        <v>45778</v>
      </c>
      <c r="C51" s="130">
        <v>-203</v>
      </c>
      <c r="D51" s="130">
        <f>C51</f>
        <v>-203</v>
      </c>
      <c r="E51" s="161">
        <v>9579</v>
      </c>
    </row>
    <row r="52" spans="1:5" x14ac:dyDescent="0.35">
      <c r="B52" s="157">
        <v>45779</v>
      </c>
      <c r="C52" s="130">
        <v>-75</v>
      </c>
      <c r="D52" s="130">
        <f t="shared" ref="D52:D71" si="3">D51+C52</f>
        <v>-278</v>
      </c>
      <c r="E52" s="161">
        <v>9504</v>
      </c>
    </row>
    <row r="53" spans="1:5" x14ac:dyDescent="0.35">
      <c r="B53" s="157">
        <v>45782</v>
      </c>
      <c r="C53" s="130">
        <v>356</v>
      </c>
      <c r="D53" s="130">
        <f t="shared" si="3"/>
        <v>78</v>
      </c>
      <c r="E53" s="161">
        <v>9860</v>
      </c>
    </row>
    <row r="54" spans="1:5" x14ac:dyDescent="0.35">
      <c r="B54" s="157">
        <v>45783</v>
      </c>
      <c r="C54" s="130">
        <v>262</v>
      </c>
      <c r="D54" s="130">
        <f t="shared" si="3"/>
        <v>340</v>
      </c>
      <c r="E54" s="161">
        <v>10122</v>
      </c>
    </row>
    <row r="55" spans="1:5" x14ac:dyDescent="0.35">
      <c r="B55" s="157">
        <v>45784</v>
      </c>
      <c r="C55" s="130">
        <v>0</v>
      </c>
      <c r="D55" s="130">
        <f t="shared" si="3"/>
        <v>340</v>
      </c>
      <c r="E55" s="161">
        <v>10122</v>
      </c>
    </row>
    <row r="56" spans="1:5" x14ac:dyDescent="0.35">
      <c r="B56" s="157">
        <v>45785</v>
      </c>
      <c r="C56" s="130">
        <v>1498</v>
      </c>
      <c r="D56" s="130">
        <f t="shared" si="3"/>
        <v>1838</v>
      </c>
      <c r="E56" s="161">
        <v>11620</v>
      </c>
    </row>
    <row r="57" spans="1:5" x14ac:dyDescent="0.35">
      <c r="B57" s="157">
        <v>45786</v>
      </c>
      <c r="C57" s="130">
        <v>0</v>
      </c>
      <c r="D57" s="130">
        <f t="shared" si="3"/>
        <v>1838</v>
      </c>
      <c r="E57" s="161">
        <v>11620</v>
      </c>
    </row>
    <row r="58" spans="1:5" x14ac:dyDescent="0.35">
      <c r="B58" s="157">
        <v>45789</v>
      </c>
      <c r="C58" s="130">
        <v>0</v>
      </c>
      <c r="D58" s="130">
        <f t="shared" si="3"/>
        <v>1838</v>
      </c>
      <c r="E58" s="161">
        <v>11620</v>
      </c>
    </row>
    <row r="59" spans="1:5" x14ac:dyDescent="0.35">
      <c r="B59" s="157">
        <v>45790</v>
      </c>
      <c r="C59" s="130">
        <v>0</v>
      </c>
      <c r="D59" s="130">
        <f t="shared" si="3"/>
        <v>1838</v>
      </c>
      <c r="E59" s="161">
        <v>11620</v>
      </c>
    </row>
    <row r="60" spans="1:5" x14ac:dyDescent="0.35">
      <c r="B60" s="157">
        <v>45791</v>
      </c>
      <c r="C60" s="130">
        <v>-1161</v>
      </c>
      <c r="D60" s="130">
        <f t="shared" si="3"/>
        <v>677</v>
      </c>
      <c r="E60" s="161">
        <v>10459</v>
      </c>
    </row>
    <row r="61" spans="1:5" x14ac:dyDescent="0.35">
      <c r="B61" s="157">
        <v>45792</v>
      </c>
      <c r="C61" s="130">
        <v>-1040</v>
      </c>
      <c r="D61" s="130">
        <f t="shared" si="3"/>
        <v>-363</v>
      </c>
      <c r="E61" s="161">
        <v>9419</v>
      </c>
    </row>
    <row r="62" spans="1:5" x14ac:dyDescent="0.35">
      <c r="B62" s="157">
        <v>45793</v>
      </c>
      <c r="C62" s="130">
        <v>-325</v>
      </c>
      <c r="D62" s="130">
        <f t="shared" si="3"/>
        <v>-688</v>
      </c>
      <c r="E62" s="161">
        <v>9094</v>
      </c>
    </row>
    <row r="63" spans="1:5" x14ac:dyDescent="0.35">
      <c r="B63" s="157">
        <v>45796</v>
      </c>
      <c r="C63" s="130">
        <v>-1119</v>
      </c>
      <c r="D63" s="130">
        <f t="shared" si="3"/>
        <v>-1807</v>
      </c>
      <c r="E63" s="161">
        <v>7975</v>
      </c>
    </row>
    <row r="64" spans="1:5" x14ac:dyDescent="0.35">
      <c r="B64" s="157">
        <v>45797</v>
      </c>
      <c r="C64" s="130">
        <v>361</v>
      </c>
      <c r="D64" s="130">
        <f t="shared" si="3"/>
        <v>-1446</v>
      </c>
      <c r="E64" s="161">
        <v>8336</v>
      </c>
    </row>
    <row r="65" spans="2:5" x14ac:dyDescent="0.35">
      <c r="B65" s="157">
        <v>45798</v>
      </c>
      <c r="C65" s="130">
        <v>1001</v>
      </c>
      <c r="D65" s="130">
        <f t="shared" si="3"/>
        <v>-445</v>
      </c>
      <c r="E65" s="161">
        <v>9337</v>
      </c>
    </row>
    <row r="66" spans="2:5" x14ac:dyDescent="0.35">
      <c r="B66" s="157">
        <v>45799</v>
      </c>
      <c r="C66" s="130">
        <v>62</v>
      </c>
      <c r="D66" s="130">
        <f t="shared" si="3"/>
        <v>-383</v>
      </c>
      <c r="E66" s="161">
        <v>9399</v>
      </c>
    </row>
    <row r="67" spans="2:5" x14ac:dyDescent="0.35">
      <c r="B67" s="157">
        <v>45800</v>
      </c>
      <c r="C67" s="130">
        <v>315</v>
      </c>
      <c r="D67" s="130">
        <f t="shared" si="3"/>
        <v>-68</v>
      </c>
      <c r="E67" s="161">
        <v>9714</v>
      </c>
    </row>
    <row r="68" spans="2:5" x14ac:dyDescent="0.35">
      <c r="B68" s="157">
        <v>45804</v>
      </c>
      <c r="C68" s="130">
        <v>133</v>
      </c>
      <c r="D68" s="130">
        <f t="shared" si="3"/>
        <v>65</v>
      </c>
      <c r="E68" s="161">
        <v>9847</v>
      </c>
    </row>
    <row r="69" spans="2:5" x14ac:dyDescent="0.35">
      <c r="B69" s="157">
        <v>45805</v>
      </c>
      <c r="C69" s="130">
        <v>-167</v>
      </c>
      <c r="D69" s="130">
        <f t="shared" si="3"/>
        <v>-102</v>
      </c>
      <c r="E69" s="161">
        <v>9680</v>
      </c>
    </row>
    <row r="70" spans="2:5" x14ac:dyDescent="0.35">
      <c r="B70" s="157">
        <v>45806</v>
      </c>
      <c r="C70" s="130">
        <v>175</v>
      </c>
      <c r="D70" s="130">
        <f t="shared" si="3"/>
        <v>73</v>
      </c>
      <c r="E70" s="161">
        <v>9855</v>
      </c>
    </row>
    <row r="71" spans="2:5" ht="15" thickBot="1" x14ac:dyDescent="0.4">
      <c r="B71" s="157">
        <v>45807</v>
      </c>
      <c r="C71" s="158">
        <v>-807</v>
      </c>
      <c r="D71" s="158">
        <f t="shared" si="3"/>
        <v>-734</v>
      </c>
      <c r="E71" s="162">
        <v>9048</v>
      </c>
    </row>
    <row r="72" spans="2:5" x14ac:dyDescent="0.35">
      <c r="B72" s="157">
        <v>45810</v>
      </c>
      <c r="C72" s="130">
        <v>353</v>
      </c>
      <c r="D72" s="130">
        <f>C72</f>
        <v>353</v>
      </c>
      <c r="E72" s="161">
        <v>9401</v>
      </c>
    </row>
    <row r="73" spans="2:5" x14ac:dyDescent="0.35">
      <c r="B73" s="157">
        <v>45811</v>
      </c>
      <c r="C73" s="130">
        <v>1336</v>
      </c>
      <c r="D73" s="130">
        <f t="shared" ref="D73:D91" si="4">D72+C73</f>
        <v>1689</v>
      </c>
      <c r="E73" s="161">
        <v>10737</v>
      </c>
    </row>
    <row r="74" spans="2:5" x14ac:dyDescent="0.35">
      <c r="B74" s="157">
        <v>45812</v>
      </c>
      <c r="C74" s="130">
        <v>-204</v>
      </c>
      <c r="D74" s="130">
        <f t="shared" si="4"/>
        <v>1485</v>
      </c>
      <c r="E74" s="161">
        <v>10533</v>
      </c>
    </row>
    <row r="75" spans="2:5" x14ac:dyDescent="0.35">
      <c r="B75" s="157">
        <v>45813</v>
      </c>
      <c r="C75" s="130">
        <v>-99</v>
      </c>
      <c r="D75" s="130">
        <f t="shared" si="4"/>
        <v>1386</v>
      </c>
      <c r="E75" s="161">
        <v>10434</v>
      </c>
    </row>
    <row r="76" spans="2:5" x14ac:dyDescent="0.35">
      <c r="B76" s="157">
        <v>45814</v>
      </c>
      <c r="C76" s="130">
        <v>0</v>
      </c>
      <c r="D76" s="130">
        <f t="shared" si="4"/>
        <v>1386</v>
      </c>
      <c r="E76" s="161">
        <v>10434</v>
      </c>
    </row>
    <row r="77" spans="2:5" x14ac:dyDescent="0.35">
      <c r="B77" s="157">
        <v>45817</v>
      </c>
      <c r="C77" s="130">
        <v>512</v>
      </c>
      <c r="D77" s="130">
        <f t="shared" si="4"/>
        <v>1898</v>
      </c>
      <c r="E77" s="161">
        <v>10946</v>
      </c>
    </row>
    <row r="78" spans="2:5" x14ac:dyDescent="0.35">
      <c r="B78" s="157">
        <v>45818</v>
      </c>
      <c r="C78" s="130">
        <v>742</v>
      </c>
      <c r="D78" s="130">
        <f t="shared" si="4"/>
        <v>2640</v>
      </c>
      <c r="E78" s="161">
        <v>11688</v>
      </c>
    </row>
    <row r="79" spans="2:5" x14ac:dyDescent="0.35">
      <c r="B79" s="157">
        <v>45819</v>
      </c>
      <c r="C79" s="130">
        <v>-69</v>
      </c>
      <c r="D79" s="130">
        <f t="shared" si="4"/>
        <v>2571</v>
      </c>
      <c r="E79" s="161">
        <v>11619</v>
      </c>
    </row>
    <row r="80" spans="2:5" x14ac:dyDescent="0.35">
      <c r="B80" s="157">
        <v>45820</v>
      </c>
      <c r="C80" s="130">
        <v>-461</v>
      </c>
      <c r="D80" s="130">
        <f t="shared" si="4"/>
        <v>2110</v>
      </c>
      <c r="E80" s="161">
        <v>11158</v>
      </c>
    </row>
    <row r="81" spans="2:5" x14ac:dyDescent="0.35">
      <c r="B81" s="157">
        <v>45821</v>
      </c>
      <c r="C81" s="130">
        <v>0</v>
      </c>
      <c r="D81" s="130">
        <f t="shared" si="4"/>
        <v>2110</v>
      </c>
      <c r="E81" s="161">
        <v>11158</v>
      </c>
    </row>
    <row r="82" spans="2:5" x14ac:dyDescent="0.35">
      <c r="B82" s="157">
        <v>45824</v>
      </c>
      <c r="C82" s="130">
        <v>-166</v>
      </c>
      <c r="D82" s="130">
        <f t="shared" si="4"/>
        <v>1944</v>
      </c>
      <c r="E82" s="161">
        <v>10992</v>
      </c>
    </row>
    <row r="83" spans="2:5" x14ac:dyDescent="0.35">
      <c r="B83" s="157">
        <v>45825</v>
      </c>
      <c r="C83" s="130">
        <v>100</v>
      </c>
      <c r="D83" s="130">
        <f t="shared" si="4"/>
        <v>2044</v>
      </c>
      <c r="E83" s="161">
        <v>11092</v>
      </c>
    </row>
    <row r="84" spans="2:5" x14ac:dyDescent="0.35">
      <c r="B84" s="157">
        <v>45826</v>
      </c>
      <c r="C84" s="130">
        <v>-423</v>
      </c>
      <c r="D84" s="130">
        <f t="shared" si="4"/>
        <v>1621</v>
      </c>
      <c r="E84" s="161">
        <v>10669</v>
      </c>
    </row>
    <row r="85" spans="2:5" x14ac:dyDescent="0.35">
      <c r="B85" s="157">
        <v>45828</v>
      </c>
      <c r="C85" s="130">
        <v>-468</v>
      </c>
      <c r="D85" s="130">
        <f t="shared" si="4"/>
        <v>1153</v>
      </c>
      <c r="E85" s="161">
        <v>10201</v>
      </c>
    </row>
    <row r="86" spans="2:5" x14ac:dyDescent="0.35">
      <c r="B86" s="157">
        <v>45831</v>
      </c>
      <c r="C86" s="130">
        <v>-1071</v>
      </c>
      <c r="D86" s="130">
        <f t="shared" si="4"/>
        <v>82</v>
      </c>
      <c r="E86" s="161">
        <v>9130</v>
      </c>
    </row>
    <row r="87" spans="2:5" x14ac:dyDescent="0.35">
      <c r="B87" s="157">
        <v>45832</v>
      </c>
      <c r="C87" s="130">
        <v>224</v>
      </c>
      <c r="D87" s="130">
        <f t="shared" si="4"/>
        <v>306</v>
      </c>
      <c r="E87" s="161">
        <v>9354</v>
      </c>
    </row>
    <row r="88" spans="2:5" x14ac:dyDescent="0.35">
      <c r="B88" s="157">
        <v>45833</v>
      </c>
      <c r="C88" s="130">
        <v>-907</v>
      </c>
      <c r="D88" s="130">
        <f t="shared" si="4"/>
        <v>-601</v>
      </c>
      <c r="E88" s="161">
        <v>8447</v>
      </c>
    </row>
    <row r="89" spans="2:5" x14ac:dyDescent="0.35">
      <c r="B89" s="157">
        <v>45834</v>
      </c>
      <c r="C89" s="130">
        <v>-1042</v>
      </c>
      <c r="D89" s="130">
        <f t="shared" si="4"/>
        <v>-1643</v>
      </c>
      <c r="E89" s="161">
        <v>7405</v>
      </c>
    </row>
    <row r="90" spans="2:5" x14ac:dyDescent="0.35">
      <c r="B90" s="157">
        <v>45835</v>
      </c>
      <c r="C90" s="130">
        <v>141</v>
      </c>
      <c r="D90" s="130">
        <f t="shared" si="4"/>
        <v>-1502</v>
      </c>
      <c r="E90" s="161">
        <v>7546</v>
      </c>
    </row>
    <row r="91" spans="2:5" ht="15" thickBot="1" x14ac:dyDescent="0.4">
      <c r="B91" s="159">
        <v>45838</v>
      </c>
      <c r="C91" s="158">
        <v>232</v>
      </c>
      <c r="D91" s="158">
        <f t="shared" si="4"/>
        <v>-1270</v>
      </c>
      <c r="E91" s="162">
        <v>7778</v>
      </c>
    </row>
    <row r="92" spans="2:5" x14ac:dyDescent="0.35">
      <c r="B92" s="157">
        <v>45839</v>
      </c>
      <c r="C92" s="130">
        <v>544</v>
      </c>
      <c r="D92" s="130">
        <f>C92</f>
        <v>544</v>
      </c>
      <c r="E92" s="163">
        <v>8322</v>
      </c>
    </row>
    <row r="93" spans="2:5" x14ac:dyDescent="0.35">
      <c r="B93" s="157">
        <v>45840</v>
      </c>
      <c r="C93" s="130">
        <v>-57</v>
      </c>
      <c r="D93" s="130">
        <f t="shared" ref="D93:D107" si="5">D92+C93</f>
        <v>487</v>
      </c>
      <c r="E93" s="163">
        <v>8265</v>
      </c>
    </row>
    <row r="94" spans="2:5" x14ac:dyDescent="0.35">
      <c r="B94" s="157">
        <v>45841</v>
      </c>
      <c r="C94" s="130">
        <v>12</v>
      </c>
      <c r="D94" s="130">
        <f t="shared" si="5"/>
        <v>499</v>
      </c>
      <c r="E94" s="163">
        <v>8277</v>
      </c>
    </row>
    <row r="95" spans="2:5" x14ac:dyDescent="0.35">
      <c r="B95" s="157">
        <v>45845</v>
      </c>
      <c r="C95" s="130">
        <v>-95</v>
      </c>
      <c r="D95" s="130">
        <f t="shared" si="5"/>
        <v>404</v>
      </c>
      <c r="E95" s="163">
        <v>8182</v>
      </c>
    </row>
    <row r="96" spans="2:5" x14ac:dyDescent="0.35">
      <c r="B96" s="157">
        <v>45846</v>
      </c>
      <c r="C96" s="130">
        <v>-96</v>
      </c>
      <c r="D96" s="130">
        <f t="shared" si="5"/>
        <v>308</v>
      </c>
      <c r="E96" s="163">
        <v>8086</v>
      </c>
    </row>
    <row r="97" spans="2:166" x14ac:dyDescent="0.35">
      <c r="B97" s="157">
        <v>45847</v>
      </c>
      <c r="C97" s="130">
        <v>-102</v>
      </c>
      <c r="D97" s="130">
        <f t="shared" si="5"/>
        <v>206</v>
      </c>
      <c r="E97" s="163">
        <v>7984</v>
      </c>
      <c r="FJ97" t="s">
        <v>2197</v>
      </c>
    </row>
    <row r="98" spans="2:166" x14ac:dyDescent="0.35">
      <c r="B98" s="157">
        <v>45848</v>
      </c>
      <c r="C98" s="130">
        <v>312</v>
      </c>
      <c r="D98" s="130">
        <f t="shared" si="5"/>
        <v>518</v>
      </c>
      <c r="E98" s="163">
        <v>8296</v>
      </c>
    </row>
    <row r="99" spans="2:166" x14ac:dyDescent="0.35">
      <c r="B99" s="157">
        <v>45849</v>
      </c>
      <c r="C99" s="130">
        <v>-446</v>
      </c>
      <c r="D99" s="130">
        <f t="shared" si="5"/>
        <v>72</v>
      </c>
      <c r="E99" s="163">
        <v>7850</v>
      </c>
    </row>
    <row r="100" spans="2:166" x14ac:dyDescent="0.35">
      <c r="B100" s="157">
        <v>45852</v>
      </c>
      <c r="C100" s="130">
        <v>228</v>
      </c>
      <c r="D100" s="130">
        <f t="shared" si="5"/>
        <v>300</v>
      </c>
      <c r="E100" s="163">
        <v>8078</v>
      </c>
    </row>
    <row r="101" spans="2:166" x14ac:dyDescent="0.35">
      <c r="B101" s="157">
        <v>45853</v>
      </c>
      <c r="C101" s="130">
        <v>259</v>
      </c>
      <c r="D101" s="130">
        <f t="shared" si="5"/>
        <v>559</v>
      </c>
      <c r="E101" s="163">
        <v>8337</v>
      </c>
    </row>
    <row r="102" spans="2:166" x14ac:dyDescent="0.35">
      <c r="B102" s="157">
        <v>45854</v>
      </c>
      <c r="C102" s="130">
        <v>-105</v>
      </c>
      <c r="D102" s="130">
        <f t="shared" si="5"/>
        <v>454</v>
      </c>
      <c r="E102" s="163">
        <v>8232</v>
      </c>
    </row>
    <row r="103" spans="2:166" x14ac:dyDescent="0.35">
      <c r="B103" s="157">
        <v>45855</v>
      </c>
      <c r="C103" s="130">
        <v>-336</v>
      </c>
      <c r="D103" s="130">
        <f t="shared" si="5"/>
        <v>118</v>
      </c>
      <c r="E103" s="163">
        <v>7896</v>
      </c>
    </row>
    <row r="104" spans="2:166" x14ac:dyDescent="0.35">
      <c r="B104" s="157">
        <v>45856</v>
      </c>
      <c r="C104" s="130">
        <v>40</v>
      </c>
      <c r="D104" s="130">
        <f t="shared" si="5"/>
        <v>158</v>
      </c>
      <c r="E104" s="163">
        <v>7936</v>
      </c>
      <c r="R104" s="306" t="s">
        <v>1753</v>
      </c>
      <c r="S104" s="306" t="s">
        <v>1771</v>
      </c>
    </row>
    <row r="105" spans="2:166" x14ac:dyDescent="0.35">
      <c r="B105" s="157">
        <v>45859</v>
      </c>
      <c r="C105" s="130">
        <v>464</v>
      </c>
      <c r="D105" s="130">
        <f t="shared" si="5"/>
        <v>622</v>
      </c>
      <c r="E105" s="163">
        <v>8400</v>
      </c>
      <c r="R105" s="306" t="s">
        <v>121</v>
      </c>
      <c r="S105" s="16">
        <v>46053</v>
      </c>
      <c r="T105" s="16">
        <v>46081</v>
      </c>
      <c r="U105" s="16">
        <v>46112</v>
      </c>
      <c r="V105" s="16">
        <v>46142</v>
      </c>
      <c r="W105" s="16">
        <v>46173</v>
      </c>
      <c r="X105" s="16">
        <v>46203</v>
      </c>
      <c r="Y105" s="16">
        <v>46234</v>
      </c>
      <c r="Z105" s="16">
        <v>46265</v>
      </c>
      <c r="AA105" t="s">
        <v>2198</v>
      </c>
      <c r="AB105" t="s">
        <v>1767</v>
      </c>
    </row>
    <row r="106" spans="2:166" x14ac:dyDescent="0.35">
      <c r="B106" s="157">
        <v>45860</v>
      </c>
      <c r="C106" s="130">
        <v>486</v>
      </c>
      <c r="D106" s="130">
        <f t="shared" si="5"/>
        <v>1108</v>
      </c>
      <c r="E106" s="163">
        <v>8886</v>
      </c>
      <c r="R106" s="1" t="s">
        <v>10</v>
      </c>
      <c r="S106" s="372"/>
      <c r="T106" s="372">
        <v>147.8450000000071</v>
      </c>
      <c r="U106" s="372">
        <v>-250.36999999999989</v>
      </c>
      <c r="V106" s="372">
        <v>6655.1380000000008</v>
      </c>
      <c r="W106" s="372">
        <v>-8570.1299999999974</v>
      </c>
      <c r="X106" s="372">
        <v>1242.7500000000007</v>
      </c>
      <c r="Y106" s="372">
        <v>2752.25</v>
      </c>
      <c r="Z106" s="372">
        <v>-2817.0200000000023</v>
      </c>
      <c r="AA106" s="372">
        <v>-342</v>
      </c>
      <c r="AB106" s="372">
        <v>-1181.5369999999905</v>
      </c>
    </row>
    <row r="107" spans="2:166" x14ac:dyDescent="0.35">
      <c r="B107" s="157">
        <v>45861</v>
      </c>
      <c r="C107" s="130">
        <v>365</v>
      </c>
      <c r="D107" s="130">
        <f t="shared" si="5"/>
        <v>1473</v>
      </c>
      <c r="E107" s="163">
        <f>+E106+C107</f>
        <v>9251</v>
      </c>
      <c r="R107" s="1" t="s">
        <v>1767</v>
      </c>
      <c r="S107" s="323"/>
      <c r="T107" s="323">
        <v>147.8450000000071</v>
      </c>
      <c r="U107" s="323">
        <v>-250.36999999999989</v>
      </c>
      <c r="V107" s="323">
        <v>6655.1380000000008</v>
      </c>
      <c r="W107" s="323">
        <v>-8570.1299999999974</v>
      </c>
      <c r="X107" s="323">
        <v>1242.7500000000007</v>
      </c>
      <c r="Y107" s="323">
        <v>2752.25</v>
      </c>
      <c r="Z107" s="323">
        <v>-2817.0200000000023</v>
      </c>
      <c r="AA107" s="323">
        <v>-342</v>
      </c>
      <c r="AB107" s="323">
        <v>-1181.5369999999905</v>
      </c>
    </row>
    <row r="108" spans="2:166" x14ac:dyDescent="0.35">
      <c r="B108" s="157">
        <v>45862</v>
      </c>
      <c r="C108" s="130">
        <v>-325</v>
      </c>
      <c r="D108" s="130">
        <f t="shared" ref="D108:D113" si="6">D107+C108</f>
        <v>1148</v>
      </c>
      <c r="E108" s="163">
        <f t="shared" ref="E108:E113" si="7">+E107+C108</f>
        <v>8926</v>
      </c>
    </row>
    <row r="109" spans="2:166" x14ac:dyDescent="0.35">
      <c r="B109" s="157">
        <v>45863</v>
      </c>
      <c r="C109" s="130">
        <v>342</v>
      </c>
      <c r="D109" s="130">
        <f t="shared" si="6"/>
        <v>1490</v>
      </c>
      <c r="E109" s="163">
        <f t="shared" si="7"/>
        <v>9268</v>
      </c>
      <c r="T109">
        <v>147.8450000000071</v>
      </c>
      <c r="U109">
        <v>-250.36999999999978</v>
      </c>
      <c r="V109">
        <v>713.79999999999882</v>
      </c>
      <c r="W109">
        <v>-8604.3300000000017</v>
      </c>
      <c r="X109">
        <v>1379.2499999999982</v>
      </c>
      <c r="Y109">
        <v>-762</v>
      </c>
      <c r="Z109">
        <v>-342</v>
      </c>
      <c r="AA109">
        <v>-7717.8049999999976</v>
      </c>
    </row>
    <row r="110" spans="2:166" x14ac:dyDescent="0.35">
      <c r="B110" s="157">
        <v>45866</v>
      </c>
      <c r="C110" s="130"/>
      <c r="D110" s="130">
        <f t="shared" si="6"/>
        <v>1490</v>
      </c>
      <c r="E110" s="163">
        <f t="shared" si="7"/>
        <v>9268</v>
      </c>
      <c r="S110" s="451">
        <f>S109-S106</f>
        <v>0</v>
      </c>
      <c r="T110" s="451">
        <f t="shared" ref="T110:AA110" si="8">T109-T106</f>
        <v>0</v>
      </c>
      <c r="U110" s="451">
        <f t="shared" si="8"/>
        <v>0</v>
      </c>
      <c r="V110" s="451">
        <f t="shared" si="8"/>
        <v>-5941.3380000000016</v>
      </c>
      <c r="W110" s="451">
        <f t="shared" si="8"/>
        <v>-34.200000000004366</v>
      </c>
      <c r="X110" s="451">
        <f t="shared" si="8"/>
        <v>136.4999999999975</v>
      </c>
      <c r="Y110" s="451">
        <f t="shared" si="8"/>
        <v>-3514.25</v>
      </c>
      <c r="Z110" s="451">
        <f t="shared" si="8"/>
        <v>2475.0200000000023</v>
      </c>
      <c r="AA110" s="451">
        <f t="shared" si="8"/>
        <v>-7375.8049999999976</v>
      </c>
    </row>
    <row r="111" spans="2:166" x14ac:dyDescent="0.35">
      <c r="B111" s="157">
        <v>45867</v>
      </c>
      <c r="C111" s="130"/>
      <c r="D111" s="130">
        <f t="shared" si="6"/>
        <v>1490</v>
      </c>
      <c r="E111" s="163">
        <f t="shared" si="7"/>
        <v>9268</v>
      </c>
    </row>
    <row r="112" spans="2:166" x14ac:dyDescent="0.35">
      <c r="B112" s="157">
        <v>45868</v>
      </c>
      <c r="C112" s="130"/>
      <c r="D112" s="130">
        <f t="shared" si="6"/>
        <v>1490</v>
      </c>
      <c r="E112" s="163">
        <f t="shared" si="7"/>
        <v>9268</v>
      </c>
    </row>
    <row r="113" spans="2:5" x14ac:dyDescent="0.35">
      <c r="B113" s="157">
        <v>45869</v>
      </c>
      <c r="C113" s="130"/>
      <c r="D113" s="130">
        <f t="shared" si="6"/>
        <v>1490</v>
      </c>
      <c r="E113" s="163">
        <f t="shared" si="7"/>
        <v>9268</v>
      </c>
    </row>
    <row r="114" spans="2:5" x14ac:dyDescent="0.35">
      <c r="B114" s="157">
        <f>WORKDAY(B113,1)</f>
        <v>45870</v>
      </c>
      <c r="C114" s="130"/>
      <c r="D114" s="130">
        <f t="shared" ref="D114:D120" si="9">D113+C114</f>
        <v>1490</v>
      </c>
      <c r="E114" s="163">
        <f t="shared" ref="E114:E120" si="10">+E113+C114</f>
        <v>9268</v>
      </c>
    </row>
    <row r="115" spans="2:5" x14ac:dyDescent="0.35">
      <c r="B115" s="157">
        <f t="shared" ref="B115:B120" si="11">WORKDAY(B114,1)</f>
        <v>45873</v>
      </c>
      <c r="C115" s="130"/>
      <c r="D115" s="130">
        <f t="shared" si="9"/>
        <v>1490</v>
      </c>
      <c r="E115" s="163">
        <f t="shared" si="10"/>
        <v>9268</v>
      </c>
    </row>
    <row r="116" spans="2:5" x14ac:dyDescent="0.35">
      <c r="B116" s="157">
        <f t="shared" si="11"/>
        <v>45874</v>
      </c>
      <c r="C116" s="130"/>
      <c r="D116" s="130">
        <f t="shared" si="9"/>
        <v>1490</v>
      </c>
      <c r="E116" s="163">
        <f t="shared" si="10"/>
        <v>9268</v>
      </c>
    </row>
    <row r="117" spans="2:5" x14ac:dyDescent="0.35">
      <c r="B117" s="157">
        <f t="shared" si="11"/>
        <v>45875</v>
      </c>
      <c r="C117" s="130"/>
      <c r="D117" s="130">
        <f t="shared" si="9"/>
        <v>1490</v>
      </c>
      <c r="E117" s="163">
        <f t="shared" si="10"/>
        <v>9268</v>
      </c>
    </row>
    <row r="118" spans="2:5" x14ac:dyDescent="0.35">
      <c r="B118" s="157">
        <f t="shared" si="11"/>
        <v>45876</v>
      </c>
      <c r="C118" s="130"/>
      <c r="D118" s="130">
        <f t="shared" si="9"/>
        <v>1490</v>
      </c>
      <c r="E118" s="163">
        <v>10280</v>
      </c>
    </row>
    <row r="119" spans="2:5" x14ac:dyDescent="0.35">
      <c r="B119" s="157">
        <f t="shared" si="11"/>
        <v>45877</v>
      </c>
      <c r="C119" s="130"/>
      <c r="D119" s="130">
        <f t="shared" si="9"/>
        <v>1490</v>
      </c>
      <c r="E119" s="163">
        <v>10821</v>
      </c>
    </row>
    <row r="120" spans="2:5" x14ac:dyDescent="0.35">
      <c r="B120" s="157">
        <f t="shared" si="11"/>
        <v>45880</v>
      </c>
      <c r="C120" s="130">
        <v>214</v>
      </c>
      <c r="D120" s="130">
        <f t="shared" si="9"/>
        <v>1704</v>
      </c>
      <c r="E120" s="163">
        <f t="shared" si="10"/>
        <v>11035</v>
      </c>
    </row>
    <row r="121" spans="2:5" x14ac:dyDescent="0.35">
      <c r="B121" s="157" t="s">
        <v>2199</v>
      </c>
      <c r="C121" s="130">
        <v>146</v>
      </c>
      <c r="D121" s="130">
        <v>3320</v>
      </c>
      <c r="E121" s="163">
        <v>12574</v>
      </c>
    </row>
    <row r="122" spans="2:5" x14ac:dyDescent="0.35">
      <c r="B122" s="157" t="s">
        <v>2200</v>
      </c>
      <c r="C122" s="130">
        <v>-426</v>
      </c>
      <c r="D122" s="130">
        <v>2894</v>
      </c>
      <c r="E122" s="163">
        <v>12148</v>
      </c>
    </row>
    <row r="123" spans="2:5" x14ac:dyDescent="0.35">
      <c r="B123" s="157" t="s">
        <v>2201</v>
      </c>
      <c r="C123" s="130">
        <v>889</v>
      </c>
      <c r="D123" s="130">
        <v>3783</v>
      </c>
      <c r="E123" s="163">
        <v>13037</v>
      </c>
    </row>
    <row r="124" spans="2:5" x14ac:dyDescent="0.35">
      <c r="B124" s="157" t="s">
        <v>2202</v>
      </c>
      <c r="C124" s="130">
        <v>-61</v>
      </c>
      <c r="D124" s="130">
        <v>3722</v>
      </c>
      <c r="E124" s="163">
        <v>12976</v>
      </c>
    </row>
    <row r="125" spans="2:5" x14ac:dyDescent="0.35">
      <c r="B125" s="157" t="s">
        <v>2203</v>
      </c>
      <c r="C125" s="130">
        <v>686</v>
      </c>
      <c r="D125" s="130">
        <v>4408</v>
      </c>
      <c r="E125" s="163">
        <v>13662</v>
      </c>
    </row>
    <row r="126" spans="2:5" x14ac:dyDescent="0.35">
      <c r="B126" s="157" t="s">
        <v>2204</v>
      </c>
      <c r="C126" s="130">
        <v>12</v>
      </c>
      <c r="D126" s="130">
        <v>4420</v>
      </c>
      <c r="E126" s="163">
        <v>13674</v>
      </c>
    </row>
    <row r="127" spans="2:5" x14ac:dyDescent="0.35">
      <c r="B127" s="157" t="s">
        <v>2205</v>
      </c>
      <c r="C127" s="130">
        <v>-98</v>
      </c>
      <c r="D127" s="130">
        <v>4322</v>
      </c>
      <c r="E127" s="163">
        <v>13576</v>
      </c>
    </row>
    <row r="128" spans="2:5" x14ac:dyDescent="0.35">
      <c r="B128" s="157" t="s">
        <v>2206</v>
      </c>
      <c r="C128" s="130">
        <v>-15</v>
      </c>
      <c r="D128" s="130">
        <v>3882</v>
      </c>
      <c r="E128" s="163">
        <v>13136</v>
      </c>
    </row>
    <row r="129" spans="2:6" x14ac:dyDescent="0.35">
      <c r="B129" s="157" t="s">
        <v>2207</v>
      </c>
      <c r="C129" s="130">
        <v>-328</v>
      </c>
      <c r="D129" s="130">
        <v>3554</v>
      </c>
      <c r="E129" s="163">
        <v>12808</v>
      </c>
    </row>
    <row r="130" spans="2:6" x14ac:dyDescent="0.35">
      <c r="B130" s="157" t="s">
        <v>2208</v>
      </c>
      <c r="C130" s="130">
        <v>-184</v>
      </c>
      <c r="D130" s="130">
        <v>3370</v>
      </c>
      <c r="E130" s="163">
        <v>12624</v>
      </c>
    </row>
    <row r="131" spans="2:6" x14ac:dyDescent="0.35">
      <c r="B131" s="157" t="s">
        <v>2209</v>
      </c>
      <c r="C131" s="130">
        <v>136</v>
      </c>
      <c r="D131" s="130">
        <v>3506</v>
      </c>
      <c r="E131" s="163">
        <v>12760</v>
      </c>
    </row>
    <row r="132" spans="2:6" x14ac:dyDescent="0.35">
      <c r="B132" s="157" t="s">
        <v>2210</v>
      </c>
      <c r="C132" s="130">
        <v>221</v>
      </c>
      <c r="D132" s="130">
        <v>3727</v>
      </c>
      <c r="E132" s="163">
        <v>12981</v>
      </c>
    </row>
    <row r="133" spans="2:6" x14ac:dyDescent="0.35">
      <c r="B133" s="157">
        <v>45697</v>
      </c>
      <c r="C133" s="130">
        <v>260</v>
      </c>
      <c r="D133" s="130">
        <v>260</v>
      </c>
      <c r="E133" s="163">
        <v>13241</v>
      </c>
    </row>
    <row r="134" spans="2:6" x14ac:dyDescent="0.35">
      <c r="B134" s="157">
        <v>45725</v>
      </c>
      <c r="C134" s="130">
        <v>0</v>
      </c>
      <c r="D134" s="130">
        <v>260</v>
      </c>
      <c r="E134" s="163">
        <v>13241</v>
      </c>
    </row>
    <row r="135" spans="2:6" x14ac:dyDescent="0.35">
      <c r="B135" s="157">
        <v>45756</v>
      </c>
      <c r="C135" s="130">
        <v>0</v>
      </c>
      <c r="D135" s="130">
        <v>260</v>
      </c>
      <c r="E135" s="163">
        <v>13241</v>
      </c>
    </row>
    <row r="136" spans="2:6" x14ac:dyDescent="0.35">
      <c r="B136" s="157">
        <v>45786</v>
      </c>
      <c r="C136" s="130">
        <v>0</v>
      </c>
      <c r="D136" s="130">
        <v>260</v>
      </c>
      <c r="E136" s="163">
        <v>13241</v>
      </c>
    </row>
    <row r="137" spans="2:6" x14ac:dyDescent="0.35">
      <c r="B137" s="157">
        <v>45878</v>
      </c>
      <c r="C137" s="130">
        <v>0</v>
      </c>
      <c r="D137" s="130">
        <v>260</v>
      </c>
      <c r="E137" s="163">
        <v>13241</v>
      </c>
    </row>
    <row r="138" spans="2:6" x14ac:dyDescent="0.35">
      <c r="B138" s="157">
        <v>45909</v>
      </c>
      <c r="C138" s="130">
        <v>0</v>
      </c>
      <c r="D138" s="130">
        <v>260</v>
      </c>
      <c r="E138" s="163">
        <v>13241</v>
      </c>
    </row>
    <row r="139" spans="2:6" x14ac:dyDescent="0.35">
      <c r="B139" s="157">
        <v>45939</v>
      </c>
      <c r="C139" s="130">
        <v>0</v>
      </c>
      <c r="D139" s="130">
        <v>260</v>
      </c>
      <c r="E139" s="163">
        <v>13241</v>
      </c>
    </row>
    <row r="140" spans="2:6" x14ac:dyDescent="0.35">
      <c r="B140" s="157">
        <v>45970</v>
      </c>
      <c r="C140" s="130">
        <v>0</v>
      </c>
      <c r="D140" s="130">
        <v>260</v>
      </c>
      <c r="E140" s="163">
        <v>13241</v>
      </c>
    </row>
    <row r="141" spans="2:6" x14ac:dyDescent="0.35">
      <c r="B141" s="157">
        <v>46000</v>
      </c>
      <c r="C141" s="130">
        <v>0</v>
      </c>
      <c r="D141" s="130">
        <v>260</v>
      </c>
      <c r="E141" s="163">
        <v>13241</v>
      </c>
    </row>
    <row r="142" spans="2:6" x14ac:dyDescent="0.35">
      <c r="B142" s="157" t="s">
        <v>2211</v>
      </c>
      <c r="C142" s="130">
        <v>-716</v>
      </c>
      <c r="D142" s="130">
        <v>-456</v>
      </c>
      <c r="E142" s="163">
        <v>12525</v>
      </c>
    </row>
    <row r="143" spans="2:6" x14ac:dyDescent="0.35">
      <c r="B143" s="157" t="s">
        <v>2212</v>
      </c>
      <c r="C143" s="130">
        <v>4</v>
      </c>
      <c r="D143" s="130">
        <v>-452</v>
      </c>
      <c r="E143" s="163">
        <v>12529</v>
      </c>
      <c r="F143" s="121">
        <f>E143*0.2</f>
        <v>2505.8000000000002</v>
      </c>
    </row>
  </sheetData>
  <sortState xmlns:xlrd2="http://schemas.microsoft.com/office/spreadsheetml/2017/richdata2" ref="B7:E113">
    <sortCondition ref="B2:B113"/>
  </sortState>
  <mergeCells count="1">
    <mergeCell ref="C1:E1"/>
  </mergeCells>
  <conditionalFormatting sqref="C72:E143">
    <cfRule type="expression" dxfId="220" priority="1">
      <formula>$B72=$A$1</formula>
    </cfRule>
  </conditionalFormatting>
  <pageMargins left="0.7" right="0.7" top="0.75" bottom="0.75" header="0.3" footer="0.3"/>
  <pageSetup orientation="portrait" r:id="rId2"/>
  <headerFooter>
    <oddHeader>&amp;C&amp;"Calibri"&amp;10&amp;K008000 Classification: AramcoTrading-US  General Use&amp;1#_x000D_</oddHeader>
    <oddFooter>&amp;C_x000D_&amp;1#&amp;"Calibri"&amp;10&amp;K008000 This content is classified as AramcoTrading-US General Use by Cantafio, Alberto (ATA) on 2025-08-20T18:20:26.</oddFooter>
  </headerFooter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0256-E2F8-4C53-B2CA-F5FECB05FF0C}">
  <sheetPr codeName="Sheet11"/>
  <dimension ref="A1:AO299"/>
  <sheetViews>
    <sheetView zoomScaleNormal="100" workbookViewId="0">
      <pane xSplit="1" ySplit="9" topLeftCell="B10" activePane="bottomRight" state="frozen"/>
      <selection pane="topRight" activeCell="L24" sqref="L24"/>
      <selection pane="bottomLeft" activeCell="L24" sqref="L24"/>
      <selection pane="bottomRight" activeCell="O17" sqref="N17:O18"/>
    </sheetView>
  </sheetViews>
  <sheetFormatPr defaultRowHeight="14.5" x14ac:dyDescent="0.35"/>
  <cols>
    <col min="1" max="1" width="11.54296875" style="16" bestFit="1" customWidth="1"/>
    <col min="2" max="8" width="16" bestFit="1" customWidth="1"/>
    <col min="9" max="9" width="17.26953125" bestFit="1" customWidth="1"/>
    <col min="10" max="53" width="16" bestFit="1" customWidth="1"/>
  </cols>
  <sheetData>
    <row r="1" spans="1:41" x14ac:dyDescent="0.35">
      <c r="A1" t="s">
        <v>2138</v>
      </c>
      <c r="B1" s="16">
        <f>BBG!B1</f>
        <v>46254</v>
      </c>
      <c r="C1" s="16">
        <f>B1</f>
        <v>46254</v>
      </c>
      <c r="E1" s="16" t="str">
        <f>B3&amp;VLOOKUP(MONTH(B4),Control!$N$5:$O$16,2,FALSE)&amp;RIGHT(YEAR(B4),1)&amp;" Comdty"</f>
        <v>ENG5 Comdty</v>
      </c>
      <c r="F1">
        <f t="array" ref="F1">_xll.BDP("S:ENCO   1-1 Comdty","LAST_PRICE")</f>
        <v>-5.27</v>
      </c>
      <c r="I1" t="s">
        <v>1748</v>
      </c>
      <c r="J1" t="s">
        <v>2151</v>
      </c>
      <c r="N1" t="e">
        <v>#N/A</v>
      </c>
      <c r="O1">
        <f>+M198-N198</f>
        <v>0</v>
      </c>
      <c r="P1">
        <f>M196-N196</f>
        <v>0</v>
      </c>
    </row>
    <row r="2" spans="1:41" x14ac:dyDescent="0.35">
      <c r="A2" t="s">
        <v>2140</v>
      </c>
      <c r="B2" s="16"/>
      <c r="C2" s="16">
        <v>45888</v>
      </c>
    </row>
    <row r="3" spans="1:41" x14ac:dyDescent="0.35">
      <c r="A3"/>
      <c r="B3" s="183" t="s">
        <v>2213</v>
      </c>
      <c r="C3" s="16" t="str">
        <f t="shared" ref="C3:AA3" si="0">B3</f>
        <v>EN</v>
      </c>
      <c r="D3" s="16" t="str">
        <f t="shared" si="0"/>
        <v>EN</v>
      </c>
      <c r="E3" s="16" t="str">
        <f t="shared" si="0"/>
        <v>EN</v>
      </c>
      <c r="F3" s="16" t="str">
        <f t="shared" si="0"/>
        <v>EN</v>
      </c>
      <c r="G3" s="16" t="str">
        <f t="shared" si="0"/>
        <v>EN</v>
      </c>
      <c r="H3" s="16" t="str">
        <f t="shared" si="0"/>
        <v>EN</v>
      </c>
      <c r="I3" s="16" t="str">
        <f t="shared" si="0"/>
        <v>EN</v>
      </c>
      <c r="J3" s="16" t="str">
        <f t="shared" si="0"/>
        <v>EN</v>
      </c>
      <c r="K3" s="16" t="str">
        <f t="shared" si="0"/>
        <v>EN</v>
      </c>
      <c r="L3" s="16" t="str">
        <f t="shared" si="0"/>
        <v>EN</v>
      </c>
      <c r="M3" s="16" t="str">
        <f t="shared" si="0"/>
        <v>EN</v>
      </c>
      <c r="N3" s="16" t="str">
        <f t="shared" si="0"/>
        <v>EN</v>
      </c>
      <c r="O3" s="16" t="str">
        <f t="shared" si="0"/>
        <v>EN</v>
      </c>
      <c r="P3" s="16" t="str">
        <f t="shared" si="0"/>
        <v>EN</v>
      </c>
      <c r="Q3" s="16" t="str">
        <f t="shared" si="0"/>
        <v>EN</v>
      </c>
      <c r="R3" s="16" t="str">
        <f t="shared" si="0"/>
        <v>EN</v>
      </c>
      <c r="S3" s="16" t="str">
        <f t="shared" si="0"/>
        <v>EN</v>
      </c>
      <c r="T3" s="16" t="str">
        <f t="shared" si="0"/>
        <v>EN</v>
      </c>
      <c r="U3" s="16" t="str">
        <f t="shared" si="0"/>
        <v>EN</v>
      </c>
      <c r="V3" s="16" t="str">
        <f t="shared" si="0"/>
        <v>EN</v>
      </c>
      <c r="W3" s="16" t="str">
        <f t="shared" si="0"/>
        <v>EN</v>
      </c>
      <c r="X3" s="16" t="str">
        <f t="shared" si="0"/>
        <v>EN</v>
      </c>
      <c r="Y3" s="16" t="str">
        <f t="shared" si="0"/>
        <v>EN</v>
      </c>
      <c r="Z3" s="16" t="str">
        <f t="shared" si="0"/>
        <v>EN</v>
      </c>
      <c r="AA3" s="16" t="str">
        <f t="shared" si="0"/>
        <v>EN</v>
      </c>
      <c r="AB3" s="16" t="str">
        <f t="shared" ref="AB3" si="1">AA3</f>
        <v>EN</v>
      </c>
      <c r="AC3" s="16" t="str">
        <f t="shared" ref="AC3" si="2">AB3</f>
        <v>EN</v>
      </c>
      <c r="AD3" s="16" t="str">
        <f t="shared" ref="AD3" si="3">AC3</f>
        <v>EN</v>
      </c>
      <c r="AE3" s="16" t="str">
        <f t="shared" ref="AE3" si="4">AD3</f>
        <v>EN</v>
      </c>
      <c r="AF3" s="16" t="str">
        <f t="shared" ref="AF3" si="5">AE3</f>
        <v>EN</v>
      </c>
      <c r="AG3" s="16" t="str">
        <f t="shared" ref="AG3" si="6">AF3</f>
        <v>EN</v>
      </c>
      <c r="AH3" s="16" t="str">
        <f t="shared" ref="AH3" si="7">AG3</f>
        <v>EN</v>
      </c>
      <c r="AI3" s="16" t="str">
        <f t="shared" ref="AI3" si="8">AH3</f>
        <v>EN</v>
      </c>
      <c r="AJ3" s="16" t="str">
        <f t="shared" ref="AJ3" si="9">AI3</f>
        <v>EN</v>
      </c>
      <c r="AK3" s="16" t="str">
        <f t="shared" ref="AK3" si="10">AJ3</f>
        <v>EN</v>
      </c>
      <c r="AL3" s="16" t="str">
        <f t="shared" ref="AL3" si="11">AK3</f>
        <v>EN</v>
      </c>
      <c r="AM3" s="16" t="str">
        <f t="shared" ref="AM3" si="12">AL3</f>
        <v>EN</v>
      </c>
      <c r="AN3" s="16" t="str">
        <f t="shared" ref="AN3" si="13">AM3</f>
        <v>EN</v>
      </c>
      <c r="AO3" s="16" t="str">
        <f t="shared" ref="AO3" si="14">AN3</f>
        <v>EN</v>
      </c>
    </row>
    <row r="4" spans="1:41" x14ac:dyDescent="0.35">
      <c r="A4"/>
      <c r="B4" s="16">
        <v>45716</v>
      </c>
      <c r="C4" s="16">
        <f t="shared" ref="C4:AA4" si="15">EOMONTH(B4,1)</f>
        <v>45747</v>
      </c>
      <c r="D4" s="16">
        <f t="shared" si="15"/>
        <v>45777</v>
      </c>
      <c r="E4" s="16">
        <f t="shared" si="15"/>
        <v>45808</v>
      </c>
      <c r="F4" s="16">
        <f t="shared" si="15"/>
        <v>45838</v>
      </c>
      <c r="G4" s="16">
        <f t="shared" si="15"/>
        <v>45869</v>
      </c>
      <c r="H4" s="16">
        <f t="shared" si="15"/>
        <v>45900</v>
      </c>
      <c r="I4" s="16">
        <f t="shared" si="15"/>
        <v>45930</v>
      </c>
      <c r="J4" s="16">
        <f t="shared" si="15"/>
        <v>45961</v>
      </c>
      <c r="K4" s="16">
        <f t="shared" si="15"/>
        <v>45991</v>
      </c>
      <c r="L4" s="16">
        <f t="shared" si="15"/>
        <v>46022</v>
      </c>
      <c r="M4" s="16">
        <f t="shared" si="15"/>
        <v>46053</v>
      </c>
      <c r="N4" s="16">
        <f t="shared" si="15"/>
        <v>46081</v>
      </c>
      <c r="O4" s="16">
        <f t="shared" si="15"/>
        <v>46112</v>
      </c>
      <c r="P4" s="16">
        <f t="shared" si="15"/>
        <v>46142</v>
      </c>
      <c r="Q4" s="16">
        <f t="shared" si="15"/>
        <v>46173</v>
      </c>
      <c r="R4" s="16">
        <f t="shared" si="15"/>
        <v>46203</v>
      </c>
      <c r="S4" s="16">
        <f t="shared" si="15"/>
        <v>46234</v>
      </c>
      <c r="T4" s="16">
        <f t="shared" si="15"/>
        <v>46265</v>
      </c>
      <c r="U4" s="16">
        <f t="shared" si="15"/>
        <v>46295</v>
      </c>
      <c r="V4" s="16">
        <f t="shared" si="15"/>
        <v>46326</v>
      </c>
      <c r="W4" s="16">
        <f t="shared" si="15"/>
        <v>46356</v>
      </c>
      <c r="X4" s="16">
        <f t="shared" si="15"/>
        <v>46387</v>
      </c>
      <c r="Y4" s="16">
        <f t="shared" si="15"/>
        <v>46418</v>
      </c>
      <c r="Z4" s="16">
        <f t="shared" si="15"/>
        <v>46446</v>
      </c>
      <c r="AA4" s="16">
        <f t="shared" si="15"/>
        <v>46477</v>
      </c>
      <c r="AB4" s="16">
        <f t="shared" ref="AB4" si="16">EOMONTH(AA4,1)</f>
        <v>46507</v>
      </c>
      <c r="AC4" s="16">
        <f t="shared" ref="AC4" si="17">EOMONTH(AB4,1)</f>
        <v>46538</v>
      </c>
      <c r="AD4" s="16">
        <f t="shared" ref="AD4" si="18">EOMONTH(AC4,1)</f>
        <v>46568</v>
      </c>
      <c r="AE4" s="16">
        <f t="shared" ref="AE4" si="19">EOMONTH(AD4,1)</f>
        <v>46599</v>
      </c>
      <c r="AF4" s="16">
        <f t="shared" ref="AF4" si="20">EOMONTH(AE4,1)</f>
        <v>46630</v>
      </c>
      <c r="AG4" s="16">
        <f t="shared" ref="AG4" si="21">EOMONTH(AF4,1)</f>
        <v>46660</v>
      </c>
      <c r="AH4" s="16">
        <f t="shared" ref="AH4" si="22">EOMONTH(AG4,1)</f>
        <v>46691</v>
      </c>
      <c r="AI4" s="16">
        <f t="shared" ref="AI4" si="23">EOMONTH(AH4,1)</f>
        <v>46721</v>
      </c>
      <c r="AJ4" s="16">
        <f t="shared" ref="AJ4" si="24">EOMONTH(AI4,1)</f>
        <v>46752</v>
      </c>
      <c r="AK4" s="16">
        <f t="shared" ref="AK4" si="25">EOMONTH(AJ4,1)</f>
        <v>46783</v>
      </c>
      <c r="AL4" s="16">
        <f t="shared" ref="AL4" si="26">EOMONTH(AK4,1)</f>
        <v>46812</v>
      </c>
      <c r="AM4" s="16">
        <f t="shared" ref="AM4" si="27">EOMONTH(AL4,1)</f>
        <v>46843</v>
      </c>
      <c r="AN4" s="16">
        <f t="shared" ref="AN4" si="28">EOMONTH(AM4,1)</f>
        <v>46873</v>
      </c>
      <c r="AO4" s="16">
        <f t="shared" ref="AO4" si="29">EOMONTH(AN4,1)</f>
        <v>46904</v>
      </c>
    </row>
    <row r="5" spans="1:41" x14ac:dyDescent="0.35">
      <c r="A5"/>
      <c r="B5">
        <f t="shared" ref="B5:AA5" si="30">YEAR(B4)</f>
        <v>2025</v>
      </c>
      <c r="C5">
        <f t="shared" si="30"/>
        <v>2025</v>
      </c>
      <c r="D5">
        <f t="shared" si="30"/>
        <v>2025</v>
      </c>
      <c r="E5">
        <f t="shared" si="30"/>
        <v>2025</v>
      </c>
      <c r="F5">
        <f t="shared" si="30"/>
        <v>2025</v>
      </c>
      <c r="G5">
        <f t="shared" si="30"/>
        <v>2025</v>
      </c>
      <c r="H5">
        <f t="shared" si="30"/>
        <v>2025</v>
      </c>
      <c r="I5">
        <f t="shared" si="30"/>
        <v>2025</v>
      </c>
      <c r="J5">
        <f t="shared" si="30"/>
        <v>2025</v>
      </c>
      <c r="K5">
        <f t="shared" si="30"/>
        <v>2025</v>
      </c>
      <c r="L5">
        <f t="shared" si="30"/>
        <v>2025</v>
      </c>
      <c r="M5">
        <f t="shared" si="30"/>
        <v>2026</v>
      </c>
      <c r="N5">
        <f t="shared" si="30"/>
        <v>2026</v>
      </c>
      <c r="O5">
        <f t="shared" si="30"/>
        <v>2026</v>
      </c>
      <c r="P5">
        <f t="shared" si="30"/>
        <v>2026</v>
      </c>
      <c r="Q5">
        <f t="shared" si="30"/>
        <v>2026</v>
      </c>
      <c r="R5">
        <f t="shared" si="30"/>
        <v>2026</v>
      </c>
      <c r="S5">
        <f t="shared" si="30"/>
        <v>2026</v>
      </c>
      <c r="T5">
        <f t="shared" si="30"/>
        <v>2026</v>
      </c>
      <c r="U5">
        <f t="shared" si="30"/>
        <v>2026</v>
      </c>
      <c r="V5">
        <f t="shared" si="30"/>
        <v>2026</v>
      </c>
      <c r="W5">
        <f t="shared" si="30"/>
        <v>2026</v>
      </c>
      <c r="X5">
        <f t="shared" si="30"/>
        <v>2026</v>
      </c>
      <c r="Y5">
        <f t="shared" si="30"/>
        <v>2027</v>
      </c>
      <c r="Z5">
        <f t="shared" si="30"/>
        <v>2027</v>
      </c>
      <c r="AA5">
        <f t="shared" si="30"/>
        <v>2027</v>
      </c>
      <c r="AB5">
        <f t="shared" ref="AB5:AO5" si="31">YEAR(AB4)</f>
        <v>2027</v>
      </c>
      <c r="AC5">
        <f t="shared" si="31"/>
        <v>2027</v>
      </c>
      <c r="AD5">
        <f t="shared" si="31"/>
        <v>2027</v>
      </c>
      <c r="AE5">
        <f t="shared" si="31"/>
        <v>2027</v>
      </c>
      <c r="AF5">
        <f t="shared" si="31"/>
        <v>2027</v>
      </c>
      <c r="AG5">
        <f t="shared" si="31"/>
        <v>2027</v>
      </c>
      <c r="AH5">
        <f t="shared" si="31"/>
        <v>2027</v>
      </c>
      <c r="AI5">
        <f t="shared" si="31"/>
        <v>2027</v>
      </c>
      <c r="AJ5">
        <f t="shared" si="31"/>
        <v>2027</v>
      </c>
      <c r="AK5">
        <f t="shared" si="31"/>
        <v>2028</v>
      </c>
      <c r="AL5">
        <f t="shared" si="31"/>
        <v>2028</v>
      </c>
      <c r="AM5">
        <f t="shared" si="31"/>
        <v>2028</v>
      </c>
      <c r="AN5">
        <f t="shared" si="31"/>
        <v>2028</v>
      </c>
      <c r="AO5">
        <f t="shared" si="31"/>
        <v>2028</v>
      </c>
    </row>
    <row r="6" spans="1:41" x14ac:dyDescent="0.35">
      <c r="A6" t="s">
        <v>2214</v>
      </c>
      <c r="B6" t="str">
        <f>B3&amp;VLOOKUP(MONTH(B4),Control!$N$5:$O$16,2,FALSE)&amp;RIGHT(YEAR(B4),1)&amp;B3&amp;VLOOKUP(MONTH(C4),Control!$N$5:$O$16,2,FALSE)&amp;RIGHT(YEAR(C4),1)&amp;" Comdty"</f>
        <v>ENG5ENH5 Comdty</v>
      </c>
      <c r="C6" t="str">
        <f>C3&amp;VLOOKUP(MONTH(C4),Control!$N$5:$O$16,2,FALSE)&amp;RIGHT(YEAR(C4),1)&amp;C3&amp;VLOOKUP(MONTH(D4),Control!$N$5:$O$16,2,FALSE)&amp;RIGHT(YEAR(D4),1)&amp;" Comdty"</f>
        <v>ENH5ENJ5 Comdty</v>
      </c>
      <c r="D6" t="str">
        <f>D3&amp;VLOOKUP(MONTH(D4),Control!$N$5:$O$16,2,FALSE)&amp;RIGHT(YEAR(D4),1)&amp;D3&amp;VLOOKUP(MONTH(E4),Control!$N$5:$O$16,2,FALSE)&amp;RIGHT(YEAR(E4),1)&amp;" Comdty"</f>
        <v>ENJ5ENK5 Comdty</v>
      </c>
      <c r="E6" t="str">
        <f>E3&amp;VLOOKUP(MONTH(E4),Control!$N$5:$O$16,2,FALSE)&amp;RIGHT(YEAR(E4),1)&amp;E3&amp;VLOOKUP(MONTH(F4),Control!$N$5:$O$16,2,FALSE)&amp;RIGHT(YEAR(F4),1)&amp;" Comdty"</f>
        <v>ENK5ENM5 Comdty</v>
      </c>
      <c r="F6" t="str">
        <f>F3&amp;VLOOKUP(MONTH(F4),Control!$N$5:$O$16,2,FALSE)&amp;RIGHT(YEAR(F4),1)&amp;F3&amp;VLOOKUP(MONTH(G4),Control!$N$5:$O$16,2,FALSE)&amp;RIGHT(YEAR(G4),1)&amp;" Comdty"</f>
        <v>ENM5ENN5 Comdty</v>
      </c>
      <c r="G6" t="str">
        <f>G3&amp;VLOOKUP(MONTH(G4),Control!$N$5:$O$16,2,FALSE)&amp;RIGHT(YEAR(G4),1)&amp;G3&amp;VLOOKUP(MONTH(H4),Control!$N$5:$O$16,2,FALSE)&amp;RIGHT(YEAR(H4),1)&amp;" Comdty"</f>
        <v>ENN5ENQ5 Comdty</v>
      </c>
      <c r="H6" t="str">
        <f>H3&amp;VLOOKUP(MONTH(H4),Control!$N$5:$O$16,2,FALSE)&amp;RIGHT(YEAR(H4),1)&amp;H3&amp;VLOOKUP(MONTH(I4),Control!$N$5:$O$16,2,FALSE)&amp;RIGHT(YEAR(I4),1)&amp;" Comdty"</f>
        <v>ENQ5ENU5 Comdty</v>
      </c>
      <c r="I6" t="str">
        <f>I3&amp;VLOOKUP(MONTH(I4),Control!$N$5:$O$16,2,FALSE)&amp;RIGHT(YEAR(I4),1)&amp;I3&amp;VLOOKUP(MONTH(J4),Control!$N$5:$O$16,2,FALSE)&amp;RIGHT(YEAR(J4),1)&amp;" Comdty"</f>
        <v>ENU5ENV5 Comdty</v>
      </c>
      <c r="J6" t="str">
        <f>J3&amp;VLOOKUP(MONTH(J4),Control!$N$5:$O$16,2,FALSE)&amp;RIGHT(YEAR(J4),1)&amp;J3&amp;VLOOKUP(MONTH(K4),Control!$N$5:$O$16,2,FALSE)&amp;RIGHT(YEAR(K4),1)&amp;" Comdty"</f>
        <v>ENV5ENX5 Comdty</v>
      </c>
      <c r="K6" t="str">
        <f>K3&amp;VLOOKUP(MONTH(K4),Control!$N$5:$O$16,2,FALSE)&amp;RIGHT(YEAR(K4),1)&amp;K3&amp;VLOOKUP(MONTH(L4),Control!$N$5:$O$16,2,FALSE)&amp;RIGHT(YEAR(L4),1)&amp;" Comdty"</f>
        <v>ENX5ENZ5 Comdty</v>
      </c>
      <c r="L6" t="str">
        <f>L3&amp;VLOOKUP(MONTH(L4),Control!$N$5:$O$16,2,FALSE)&amp;RIGHT(YEAR(L4),1)&amp;L3&amp;VLOOKUP(MONTH(M4),Control!$N$5:$O$16,2,FALSE)&amp;RIGHT(YEAR(M4),1)&amp;" Comdty"</f>
        <v>ENZ5ENF6 Comdty</v>
      </c>
      <c r="M6" t="str">
        <f>M3&amp;VLOOKUP(MONTH(M4),Control!$N$5:$O$16,2,FALSE)&amp;RIGHT(YEAR(M4),1)&amp;M3&amp;VLOOKUP(MONTH(N4),Control!$N$5:$O$16,2,FALSE)&amp;RIGHT(YEAR(N4),1)&amp;" Comdty"</f>
        <v>ENF6ENG6 Comdty</v>
      </c>
      <c r="N6" t="str">
        <f>N3&amp;VLOOKUP(MONTH(N4),Control!$N$5:$O$16,2,FALSE)&amp;RIGHT(YEAR(N4),1)&amp;N3&amp;VLOOKUP(MONTH(O4),Control!$N$5:$O$16,2,FALSE)&amp;RIGHT(YEAR(O4),1)&amp;" Comdty"</f>
        <v>ENG6ENH6 Comdty</v>
      </c>
      <c r="O6" t="str">
        <f>O3&amp;VLOOKUP(MONTH(O4),Control!$N$5:$O$16,2,FALSE)&amp;RIGHT(YEAR(O4),1)&amp;O3&amp;VLOOKUP(MONTH(P4),Control!$N$5:$O$16,2,FALSE)&amp;RIGHT(YEAR(P4),1)&amp;" Comdty"</f>
        <v>ENH6ENJ6 Comdty</v>
      </c>
      <c r="P6" t="str">
        <f>P3&amp;VLOOKUP(MONTH(P4),Control!$N$5:$O$16,2,FALSE)&amp;RIGHT(YEAR(P4),1)&amp;P3&amp;VLOOKUP(MONTH(Q4),Control!$N$5:$O$16,2,FALSE)&amp;RIGHT(YEAR(Q4),1)&amp;" Comdty"</f>
        <v>ENJ6ENK6 Comdty</v>
      </c>
      <c r="Q6" t="str">
        <f>Q3&amp;VLOOKUP(MONTH(Q4),Control!$N$5:$O$16,2,FALSE)&amp;RIGHT(YEAR(Q4),1)&amp;Q3&amp;VLOOKUP(MONTH(R4),Control!$N$5:$O$16,2,FALSE)&amp;RIGHT(YEAR(R4),1)&amp;" Comdty"</f>
        <v>ENK6ENM6 Comdty</v>
      </c>
      <c r="R6" t="str">
        <f>R3&amp;VLOOKUP(MONTH(R4),Control!$N$5:$O$16,2,FALSE)&amp;RIGHT(YEAR(R4),1)&amp;R3&amp;VLOOKUP(MONTH(S4),Control!$N$5:$O$16,2,FALSE)&amp;RIGHT(YEAR(S4),1)&amp;" Comdty"</f>
        <v>ENM6ENN6 Comdty</v>
      </c>
      <c r="S6" t="str">
        <f>S3&amp;VLOOKUP(MONTH(S4),Control!$N$5:$O$16,2,FALSE)&amp;RIGHT(YEAR(S4),1)&amp;S3&amp;VLOOKUP(MONTH(T4),Control!$N$5:$O$16,2,FALSE)&amp;RIGHT(YEAR(T4),1)&amp;" Comdty"</f>
        <v>ENN6ENQ6 Comdty</v>
      </c>
      <c r="T6" t="str">
        <f>T3&amp;VLOOKUP(MONTH(T4),Control!$N$5:$O$16,2,FALSE)&amp;RIGHT(YEAR(T4),1)&amp;T3&amp;VLOOKUP(MONTH(U4),Control!$N$5:$O$16,2,FALSE)&amp;RIGHT(YEAR(U4),1)&amp;" Comdty"</f>
        <v>ENQ6ENU6 Comdty</v>
      </c>
      <c r="U6" t="str">
        <f>U3&amp;VLOOKUP(MONTH(U4),Control!$N$5:$O$16,2,FALSE)&amp;RIGHT(YEAR(U4),1)&amp;U3&amp;VLOOKUP(MONTH(V4),Control!$N$5:$O$16,2,FALSE)&amp;RIGHT(YEAR(V4),1)&amp;" Comdty"</f>
        <v>ENU6ENV6 Comdty</v>
      </c>
      <c r="V6" t="str">
        <f>V3&amp;VLOOKUP(MONTH(V4),Control!$N$5:$O$16,2,FALSE)&amp;RIGHT(YEAR(V4),1)&amp;V3&amp;VLOOKUP(MONTH(W4),Control!$N$5:$O$16,2,FALSE)&amp;RIGHT(YEAR(W4),1)&amp;" Comdty"</f>
        <v>ENV6ENX6 Comdty</v>
      </c>
      <c r="W6" t="str">
        <f>W3&amp;VLOOKUP(MONTH(W4),Control!$N$5:$O$16,2,FALSE)&amp;RIGHT(YEAR(W4),1)&amp;W3&amp;VLOOKUP(MONTH(X4),Control!$N$5:$O$16,2,FALSE)&amp;RIGHT(YEAR(X4),1)&amp;" Comdty"</f>
        <v>ENX6ENZ6 Comdty</v>
      </c>
      <c r="X6" t="str">
        <f>X3&amp;VLOOKUP(MONTH(X4),Control!$N$5:$O$16,2,FALSE)&amp;RIGHT(YEAR(X4),1)&amp;X3&amp;VLOOKUP(MONTH(Y4),Control!$N$5:$O$16,2,FALSE)&amp;RIGHT(YEAR(Y4),1)&amp;" Comdty"</f>
        <v>ENZ6ENF7 Comdty</v>
      </c>
      <c r="Y6" t="str">
        <f>Y3&amp;VLOOKUP(MONTH(Y4),Control!$N$5:$O$16,2,FALSE)&amp;RIGHT(YEAR(Y4),1)&amp;Y3&amp;VLOOKUP(MONTH(Z4),Control!$N$5:$O$16,2,FALSE)&amp;RIGHT(YEAR(Z4),1)&amp;" Comdty"</f>
        <v>ENF7ENG7 Comdty</v>
      </c>
      <c r="Z6" t="str">
        <f>Z3&amp;VLOOKUP(MONTH(Z4),Control!$N$5:$O$16,2,FALSE)&amp;RIGHT(YEAR(Z4),1)&amp;Z3&amp;VLOOKUP(MONTH(AA4),Control!$N$5:$O$16,2,FALSE)&amp;RIGHT(YEAR(AA4),1)&amp;" Comdty"</f>
        <v>ENG7ENH7 Comdty</v>
      </c>
      <c r="AA6" t="str">
        <f>AA3&amp;VLOOKUP(MONTH(AA4),Control!$N$5:$O$16,2,FALSE)&amp;RIGHT(YEAR(AA4),1)&amp;AA3&amp;VLOOKUP(MONTH(AB4),Control!$N$5:$O$16,2,FALSE)&amp;RIGHT(YEAR(AB4),1)&amp;" Comdty"</f>
        <v>ENH7ENJ7 Comdty</v>
      </c>
      <c r="AB6" t="str">
        <f>AB3&amp;VLOOKUP(MONTH(AB4),Control!$N$5:$O$16,2,FALSE)&amp;RIGHT(YEAR(AB4),1)&amp;AB3&amp;VLOOKUP(MONTH(AC4),Control!$N$5:$O$16,2,FALSE)&amp;RIGHT(YEAR(AC4),1)&amp;" Comdty"</f>
        <v>ENJ7ENK7 Comdty</v>
      </c>
      <c r="AC6" t="str">
        <f>AC3&amp;VLOOKUP(MONTH(AC4),Control!$N$5:$O$16,2,FALSE)&amp;RIGHT(YEAR(AC4),1)&amp;AC3&amp;VLOOKUP(MONTH(AD4),Control!$N$5:$O$16,2,FALSE)&amp;RIGHT(YEAR(AD4),1)&amp;" Comdty"</f>
        <v>ENK7ENM7 Comdty</v>
      </c>
      <c r="AD6" t="str">
        <f>AD3&amp;VLOOKUP(MONTH(AD4),Control!$N$5:$O$16,2,FALSE)&amp;RIGHT(YEAR(AD4),1)&amp;AD3&amp;VLOOKUP(MONTH(AE4),Control!$N$5:$O$16,2,FALSE)&amp;RIGHT(YEAR(AE4),1)&amp;" Comdty"</f>
        <v>ENM7ENN7 Comdty</v>
      </c>
      <c r="AE6" t="str">
        <f>AE3&amp;VLOOKUP(MONTH(AE4),Control!$N$5:$O$16,2,FALSE)&amp;RIGHT(YEAR(AE4),1)&amp;AE3&amp;VLOOKUP(MONTH(AF4),Control!$N$5:$O$16,2,FALSE)&amp;RIGHT(YEAR(AF4),1)&amp;" Comdty"</f>
        <v>ENN7ENQ7 Comdty</v>
      </c>
      <c r="AF6" t="str">
        <f>AF3&amp;VLOOKUP(MONTH(AF4),Control!$N$5:$O$16,2,FALSE)&amp;RIGHT(YEAR(AF4),1)&amp;AF3&amp;VLOOKUP(MONTH(AG4),Control!$N$5:$O$16,2,FALSE)&amp;RIGHT(YEAR(AG4),1)&amp;" Comdty"</f>
        <v>ENQ7ENU7 Comdty</v>
      </c>
      <c r="AG6" t="str">
        <f>AG3&amp;VLOOKUP(MONTH(AG4),Control!$N$5:$O$16,2,FALSE)&amp;RIGHT(YEAR(AG4),1)&amp;AG3&amp;VLOOKUP(MONTH(AH4),Control!$N$5:$O$16,2,FALSE)&amp;RIGHT(YEAR(AH4),1)&amp;" Comdty"</f>
        <v>ENU7ENV7 Comdty</v>
      </c>
      <c r="AH6" t="str">
        <f>AH3&amp;VLOOKUP(MONTH(AH4),Control!$N$5:$O$16,2,FALSE)&amp;RIGHT(YEAR(AH4),1)&amp;AH3&amp;VLOOKUP(MONTH(AI4),Control!$N$5:$O$16,2,FALSE)&amp;RIGHT(YEAR(AI4),1)&amp;" Comdty"</f>
        <v>ENV7ENX7 Comdty</v>
      </c>
      <c r="AI6" t="str">
        <f>AI3&amp;VLOOKUP(MONTH(AI4),Control!$N$5:$O$16,2,FALSE)&amp;RIGHT(YEAR(AI4),1)&amp;AI3&amp;VLOOKUP(MONTH(AJ4),Control!$N$5:$O$16,2,FALSE)&amp;RIGHT(YEAR(AJ4),1)&amp;" Comdty"</f>
        <v>ENX7ENZ7 Comdty</v>
      </c>
      <c r="AJ6" t="str">
        <f>AJ3&amp;VLOOKUP(MONTH(AJ4),Control!$N$5:$O$16,2,FALSE)&amp;RIGHT(YEAR(AJ4),1)&amp;AJ3&amp;VLOOKUP(MONTH(AK4),Control!$N$5:$O$16,2,FALSE)&amp;RIGHT(YEAR(AK4),1)&amp;" Comdty"</f>
        <v>ENZ7ENF8 Comdty</v>
      </c>
      <c r="AK6" t="str">
        <f>AK3&amp;VLOOKUP(MONTH(AK4),Control!$N$5:$O$16,2,FALSE)&amp;RIGHT(YEAR(AK4),1)&amp;AK3&amp;VLOOKUP(MONTH(AL4),Control!$N$5:$O$16,2,FALSE)&amp;RIGHT(YEAR(AL4),1)&amp;" Comdty"</f>
        <v>ENF8ENG8 Comdty</v>
      </c>
      <c r="AL6" t="str">
        <f>AL3&amp;VLOOKUP(MONTH(AL4),Control!$N$5:$O$16,2,FALSE)&amp;RIGHT(YEAR(AL4),1)&amp;AL3&amp;VLOOKUP(MONTH(AM4),Control!$N$5:$O$16,2,FALSE)&amp;RIGHT(YEAR(AM4),1)&amp;" Comdty"</f>
        <v>ENG8ENH8 Comdty</v>
      </c>
      <c r="AM6" t="str">
        <f>AM3&amp;VLOOKUP(MONTH(AM4),Control!$N$5:$O$16,2,FALSE)&amp;RIGHT(YEAR(AM4),1)&amp;AM3&amp;VLOOKUP(MONTH(AN4),Control!$N$5:$O$16,2,FALSE)&amp;RIGHT(YEAR(AN4),1)&amp;" Comdty"</f>
        <v>ENH8ENJ8 Comdty</v>
      </c>
      <c r="AN6" t="str">
        <f>AN3&amp;VLOOKUP(MONTH(AN4),Control!$N$5:$O$16,2,FALSE)&amp;RIGHT(YEAR(AN4),1)&amp;AN3&amp;VLOOKUP(MONTH(AO4),Control!$N$5:$O$16,2,FALSE)&amp;RIGHT(YEAR(AO4),1)&amp;" Comdty"</f>
        <v>ENJ8ENK8 Comdty</v>
      </c>
      <c r="AO6" t="str">
        <f>AO3&amp;VLOOKUP(MONTH(AO4),Control!$N$5:$O$16,2,FALSE)&amp;RIGHT(YEAR(AO4),1)&amp;AO3&amp;VLOOKUP(MONTH(AP4),Control!$N$5:$O$16,2,FALSE)&amp;RIGHT(YEAR(AP4),1)&amp;" Comdty"</f>
        <v>ENK8ENF0 Comdty</v>
      </c>
    </row>
    <row r="7" spans="1:41" x14ac:dyDescent="0.35">
      <c r="A7" t="s">
        <v>2215</v>
      </c>
      <c r="B7" t="str">
        <f>_xll.BFieldInfo(B$9)</f>
        <v>Last Trade/Last Price</v>
      </c>
      <c r="C7" t="str">
        <f>_xll.BFieldInfo(C$9)</f>
        <v>Last Trade/Last Price</v>
      </c>
      <c r="D7" t="str">
        <f>_xll.BFieldInfo(D$9)</f>
        <v>Last Trade/Last Price</v>
      </c>
      <c r="E7" t="str">
        <f>_xll.BFieldInfo(E$9)</f>
        <v>Last Trade/Last Price</v>
      </c>
      <c r="F7" t="str">
        <f>_xll.BFieldInfo(F$9)</f>
        <v>Last Trade/Last Price</v>
      </c>
      <c r="G7" t="str">
        <f>_xll.BFieldInfo(G$9)</f>
        <v>Last Trade/Last Price</v>
      </c>
      <c r="H7" t="str">
        <f>_xll.BFieldInfo(H$9)</f>
        <v>Last Trade/Last Price</v>
      </c>
      <c r="I7" t="str">
        <f>_xll.BFieldInfo(I$9)</f>
        <v>Last Trade/Last Price</v>
      </c>
      <c r="J7" t="str">
        <f>_xll.BFieldInfo(J$9)</f>
        <v>Last Trade/Last Price</v>
      </c>
      <c r="K7" t="str">
        <f>_xll.BFieldInfo(K$9)</f>
        <v>Last Trade/Last Price</v>
      </c>
      <c r="L7" t="str">
        <f>_xll.BFieldInfo(L$9)</f>
        <v>Last Trade/Last Price</v>
      </c>
      <c r="M7" t="str">
        <f>_xll.BFieldInfo(M$9)</f>
        <v>Last Trade/Last Price</v>
      </c>
      <c r="N7" t="str">
        <f>_xll.BFieldInfo(N$9)</f>
        <v>Last Trade/Last Price</v>
      </c>
      <c r="O7" t="str">
        <f>_xll.BFieldInfo(O$9)</f>
        <v>Last Trade/Last Price</v>
      </c>
      <c r="P7" t="str">
        <f>_xll.BFieldInfo(P$9)</f>
        <v>Last Trade/Last Price</v>
      </c>
      <c r="Q7" t="str">
        <f>_xll.BFieldInfo(Q$9)</f>
        <v>Last Trade/Last Price</v>
      </c>
      <c r="R7" t="str">
        <f>_xll.BFieldInfo(R$9)</f>
        <v>Last Trade/Last Price</v>
      </c>
      <c r="S7" t="str">
        <f>_xll.BFieldInfo(S$9)</f>
        <v>Last Trade/Last Price</v>
      </c>
      <c r="T7" t="str">
        <f>_xll.BFieldInfo(T$9)</f>
        <v>Last Trade/Last Price</v>
      </c>
      <c r="U7" t="str">
        <f>_xll.BFieldInfo(U$9)</f>
        <v>Last Trade/Last Price</v>
      </c>
      <c r="V7" t="str">
        <f>_xll.BFieldInfo(V$9)</f>
        <v>Last Trade/Last Price</v>
      </c>
      <c r="W7" t="str">
        <f>_xll.BFieldInfo(W$9)</f>
        <v>Last Trade/Last Price</v>
      </c>
      <c r="X7" t="str">
        <f>_xll.BFieldInfo(X$9)</f>
        <v>Last Trade/Last Price</v>
      </c>
      <c r="Y7" t="str">
        <f>_xll.BFieldInfo(Y$9)</f>
        <v>Last Trade/Last Price</v>
      </c>
      <c r="Z7" t="str">
        <f>_xll.BFieldInfo(Z$9)</f>
        <v>Last Trade/Last Price</v>
      </c>
      <c r="AA7" t="str">
        <f>_xll.BFieldInfo(AA$9)</f>
        <v>Last Trade/Last Price</v>
      </c>
      <c r="AB7" t="str">
        <f>_xll.BFieldInfo(AB$9)</f>
        <v>Last Trade/Last Price</v>
      </c>
      <c r="AC7" t="str">
        <f>_xll.BFieldInfo(AC$9)</f>
        <v>Last Trade/Last Price</v>
      </c>
      <c r="AD7" t="str">
        <f>_xll.BFieldInfo(AD$9)</f>
        <v>Last Trade/Last Price</v>
      </c>
      <c r="AE7" t="str">
        <f>_xll.BFieldInfo(AE$9)</f>
        <v>Last Trade/Last Price</v>
      </c>
      <c r="AF7" t="str">
        <f>_xll.BFieldInfo(AF$9)</f>
        <v>Last Trade/Last Price</v>
      </c>
      <c r="AG7" t="str">
        <f>_xll.BFieldInfo(AG$9)</f>
        <v>Last Trade/Last Price</v>
      </c>
      <c r="AH7" t="str">
        <f>_xll.BFieldInfo(AH$9)</f>
        <v>Last Trade/Last Price</v>
      </c>
      <c r="AI7" t="str">
        <f>_xll.BFieldInfo(AI$9)</f>
        <v>Last Trade/Last Price</v>
      </c>
      <c r="AJ7" t="str">
        <f>_xll.BFieldInfo(AJ$9)</f>
        <v>Last Trade/Last Price</v>
      </c>
      <c r="AK7" t="str">
        <f>_xll.BFieldInfo(AK$9)</f>
        <v>Last Trade/Last Price</v>
      </c>
      <c r="AL7" t="str">
        <f>_xll.BFieldInfo(AL$9)</f>
        <v>Last Trade/Last Price</v>
      </c>
      <c r="AM7" t="str">
        <f>_xll.BFieldInfo(AM$9)</f>
        <v>Last Trade/Last Price</v>
      </c>
      <c r="AN7" t="str">
        <f>_xll.BFieldInfo(AN$9)</f>
        <v>Last Trade/Last Price</v>
      </c>
      <c r="AO7" t="str">
        <f>_xll.BFieldInfo(AO$9)</f>
        <v>Last Trade/Last Price</v>
      </c>
    </row>
    <row r="8" spans="1:41" x14ac:dyDescent="0.35">
      <c r="A8" t="s">
        <v>2216</v>
      </c>
      <c r="B8" t="str">
        <f t="shared" ref="B8:AA8" si="32">IF(B4=C4,TEXT(B4,"MMM YY"),TEXT(B4,"MMM")&amp;"/"&amp;TEXT(C4,"MMM")&amp;" "&amp;RIGHT(B5,2))</f>
        <v>Feb/Mar 25</v>
      </c>
      <c r="C8" t="str">
        <f t="shared" si="32"/>
        <v>Mar/Apr 25</v>
      </c>
      <c r="D8" t="str">
        <f t="shared" si="32"/>
        <v>Apr/May 25</v>
      </c>
      <c r="E8" t="str">
        <f t="shared" si="32"/>
        <v>May/Jun 25</v>
      </c>
      <c r="F8" t="str">
        <f t="shared" si="32"/>
        <v>Jun/Jul 25</v>
      </c>
      <c r="G8" t="str">
        <f t="shared" si="32"/>
        <v>Jul/Aug 25</v>
      </c>
      <c r="H8" t="str">
        <f t="shared" si="32"/>
        <v>Aug/Sep 25</v>
      </c>
      <c r="I8" t="str">
        <f t="shared" si="32"/>
        <v>Sep/Oct 25</v>
      </c>
      <c r="J8" t="str">
        <f t="shared" si="32"/>
        <v>Oct/Nov 25</v>
      </c>
      <c r="K8" t="str">
        <f t="shared" si="32"/>
        <v>Nov/Dec 25</v>
      </c>
      <c r="L8" t="str">
        <f t="shared" si="32"/>
        <v>Dec/Jan 25</v>
      </c>
      <c r="M8" t="str">
        <f t="shared" si="32"/>
        <v>Jan/Feb 26</v>
      </c>
      <c r="N8" t="str">
        <f t="shared" si="32"/>
        <v>Feb/Mar 26</v>
      </c>
      <c r="O8" t="str">
        <f t="shared" si="32"/>
        <v>Mar/Apr 26</v>
      </c>
      <c r="P8" t="str">
        <f t="shared" si="32"/>
        <v>Apr/May 26</v>
      </c>
      <c r="Q8" t="str">
        <f t="shared" si="32"/>
        <v>May/Jun 26</v>
      </c>
      <c r="R8" t="str">
        <f t="shared" si="32"/>
        <v>Jun/Jul 26</v>
      </c>
      <c r="S8" t="str">
        <f t="shared" si="32"/>
        <v>Jul/Aug 26</v>
      </c>
      <c r="T8" t="str">
        <f t="shared" si="32"/>
        <v>Aug/Sep 26</v>
      </c>
      <c r="U8" t="str">
        <f t="shared" si="32"/>
        <v>Sep/Oct 26</v>
      </c>
      <c r="V8" t="str">
        <f t="shared" si="32"/>
        <v>Oct/Nov 26</v>
      </c>
      <c r="W8" t="str">
        <f t="shared" si="32"/>
        <v>Nov/Dec 26</v>
      </c>
      <c r="X8" t="str">
        <f t="shared" si="32"/>
        <v>Dec/Jan 26</v>
      </c>
      <c r="Y8" t="str">
        <f t="shared" si="32"/>
        <v>Jan/Feb 27</v>
      </c>
      <c r="Z8" t="str">
        <f t="shared" si="32"/>
        <v>Feb/Mar 27</v>
      </c>
      <c r="AA8" t="str">
        <f t="shared" si="32"/>
        <v>Mar/Apr 27</v>
      </c>
      <c r="AB8" t="str">
        <f t="shared" ref="AB8" si="33">IF(AB4=AC4,TEXT(AB4,"MMM YY"),TEXT(AB4,"MMM")&amp;"/"&amp;TEXT(AC4,"MMM")&amp;" "&amp;RIGHT(AB5,2))</f>
        <v>Apr/May 27</v>
      </c>
      <c r="AC8" t="str">
        <f t="shared" ref="AC8" si="34">IF(AC4=AD4,TEXT(AC4,"MMM YY"),TEXT(AC4,"MMM")&amp;"/"&amp;TEXT(AD4,"MMM")&amp;" "&amp;RIGHT(AC5,2))</f>
        <v>May/Jun 27</v>
      </c>
      <c r="AD8" t="str">
        <f t="shared" ref="AD8" si="35">IF(AD4=AE4,TEXT(AD4,"MMM YY"),TEXT(AD4,"MMM")&amp;"/"&amp;TEXT(AE4,"MMM")&amp;" "&amp;RIGHT(AD5,2))</f>
        <v>Jun/Jul 27</v>
      </c>
      <c r="AE8" t="str">
        <f t="shared" ref="AE8" si="36">IF(AE4=AF4,TEXT(AE4,"MMM YY"),TEXT(AE4,"MMM")&amp;"/"&amp;TEXT(AF4,"MMM")&amp;" "&amp;RIGHT(AE5,2))</f>
        <v>Jul/Aug 27</v>
      </c>
      <c r="AF8" t="str">
        <f t="shared" ref="AF8" si="37">IF(AF4=AG4,TEXT(AF4,"MMM YY"),TEXT(AF4,"MMM")&amp;"/"&amp;TEXT(AG4,"MMM")&amp;" "&amp;RIGHT(AF5,2))</f>
        <v>Aug/Sep 27</v>
      </c>
      <c r="AG8" t="str">
        <f t="shared" ref="AG8" si="38">IF(AG4=AH4,TEXT(AG4,"MMM YY"),TEXT(AG4,"MMM")&amp;"/"&amp;TEXT(AH4,"MMM")&amp;" "&amp;RIGHT(AG5,2))</f>
        <v>Sep/Oct 27</v>
      </c>
      <c r="AH8" t="str">
        <f t="shared" ref="AH8" si="39">IF(AH4=AI4,TEXT(AH4,"MMM YY"),TEXT(AH4,"MMM")&amp;"/"&amp;TEXT(AI4,"MMM")&amp;" "&amp;RIGHT(AH5,2))</f>
        <v>Oct/Nov 27</v>
      </c>
      <c r="AI8" t="str">
        <f t="shared" ref="AI8" si="40">IF(AI4=AJ4,TEXT(AI4,"MMM YY"),TEXT(AI4,"MMM")&amp;"/"&amp;TEXT(AJ4,"MMM")&amp;" "&amp;RIGHT(AI5,2))</f>
        <v>Nov/Dec 27</v>
      </c>
      <c r="AJ8" t="str">
        <f t="shared" ref="AJ8" si="41">IF(AJ4=AK4,TEXT(AJ4,"MMM YY"),TEXT(AJ4,"MMM")&amp;"/"&amp;TEXT(AK4,"MMM")&amp;" "&amp;RIGHT(AJ5,2))</f>
        <v>Dec/Jan 27</v>
      </c>
      <c r="AK8" t="str">
        <f t="shared" ref="AK8" si="42">IF(AK4=AL4,TEXT(AK4,"MMM YY"),TEXT(AK4,"MMM")&amp;"/"&amp;TEXT(AL4,"MMM")&amp;" "&amp;RIGHT(AK5,2))</f>
        <v>Jan/Feb 28</v>
      </c>
      <c r="AL8" t="str">
        <f t="shared" ref="AL8" si="43">IF(AL4=AM4,TEXT(AL4,"MMM YY"),TEXT(AL4,"MMM")&amp;"/"&amp;TEXT(AM4,"MMM")&amp;" "&amp;RIGHT(AL5,2))</f>
        <v>Feb/Mar 28</v>
      </c>
      <c r="AM8" t="str">
        <f t="shared" ref="AM8" si="44">IF(AM4=AN4,TEXT(AM4,"MMM YY"),TEXT(AM4,"MMM")&amp;"/"&amp;TEXT(AN4,"MMM")&amp;" "&amp;RIGHT(AM5,2))</f>
        <v>Mar/Apr 28</v>
      </c>
      <c r="AN8" t="str">
        <f t="shared" ref="AN8" si="45">IF(AN4=AO4,TEXT(AN4,"MMM YY"),TEXT(AN4,"MMM")&amp;"/"&amp;TEXT(AO4,"MMM")&amp;" "&amp;RIGHT(AN5,2))</f>
        <v>Apr/May 28</v>
      </c>
      <c r="AO8" t="str">
        <f t="shared" ref="AO8" si="46">IF(AO4=AP4,TEXT(AO4,"MMM YY"),TEXT(AO4,"MMM")&amp;"/"&amp;TEXT(AP4,"MMM")&amp;" "&amp;RIGHT(AO5,2))</f>
        <v>May/Jan 28</v>
      </c>
    </row>
    <row r="9" spans="1:41" x14ac:dyDescent="0.35">
      <c r="A9" t="s">
        <v>2149</v>
      </c>
      <c r="B9" t="s">
        <v>2151</v>
      </c>
      <c r="C9" t="str">
        <f t="shared" ref="C9:AA9" si="47">B9</f>
        <v>LAST_PRICE</v>
      </c>
      <c r="D9" t="str">
        <f t="shared" si="47"/>
        <v>LAST_PRICE</v>
      </c>
      <c r="E9" t="str">
        <f t="shared" si="47"/>
        <v>LAST_PRICE</v>
      </c>
      <c r="F9" t="str">
        <f t="shared" si="47"/>
        <v>LAST_PRICE</v>
      </c>
      <c r="G9" t="str">
        <f t="shared" si="47"/>
        <v>LAST_PRICE</v>
      </c>
      <c r="H9" t="str">
        <f t="shared" si="47"/>
        <v>LAST_PRICE</v>
      </c>
      <c r="I9" t="str">
        <f t="shared" si="47"/>
        <v>LAST_PRICE</v>
      </c>
      <c r="J9" t="str">
        <f t="shared" si="47"/>
        <v>LAST_PRICE</v>
      </c>
      <c r="K9" t="str">
        <f t="shared" si="47"/>
        <v>LAST_PRICE</v>
      </c>
      <c r="L9" t="str">
        <f t="shared" si="47"/>
        <v>LAST_PRICE</v>
      </c>
      <c r="M9" t="str">
        <f t="shared" si="47"/>
        <v>LAST_PRICE</v>
      </c>
      <c r="N9" t="str">
        <f t="shared" si="47"/>
        <v>LAST_PRICE</v>
      </c>
      <c r="O9" t="str">
        <f t="shared" si="47"/>
        <v>LAST_PRICE</v>
      </c>
      <c r="P9" t="str">
        <f t="shared" si="47"/>
        <v>LAST_PRICE</v>
      </c>
      <c r="Q9" t="str">
        <f t="shared" si="47"/>
        <v>LAST_PRICE</v>
      </c>
      <c r="R9" t="str">
        <f t="shared" si="47"/>
        <v>LAST_PRICE</v>
      </c>
      <c r="S9" t="str">
        <f t="shared" si="47"/>
        <v>LAST_PRICE</v>
      </c>
      <c r="T9" t="str">
        <f t="shared" si="47"/>
        <v>LAST_PRICE</v>
      </c>
      <c r="U9" t="str">
        <f t="shared" si="47"/>
        <v>LAST_PRICE</v>
      </c>
      <c r="V9" t="str">
        <f t="shared" si="47"/>
        <v>LAST_PRICE</v>
      </c>
      <c r="W9" t="str">
        <f t="shared" si="47"/>
        <v>LAST_PRICE</v>
      </c>
      <c r="X9" t="str">
        <f t="shared" si="47"/>
        <v>LAST_PRICE</v>
      </c>
      <c r="Y9" t="str">
        <f t="shared" si="47"/>
        <v>LAST_PRICE</v>
      </c>
      <c r="Z9" t="str">
        <f t="shared" si="47"/>
        <v>LAST_PRICE</v>
      </c>
      <c r="AA9" t="str">
        <f t="shared" si="47"/>
        <v>LAST_PRICE</v>
      </c>
      <c r="AB9" t="str">
        <f t="shared" ref="AB9" si="48">AA9</f>
        <v>LAST_PRICE</v>
      </c>
      <c r="AC9" t="str">
        <f t="shared" ref="AC9" si="49">AB9</f>
        <v>LAST_PRICE</v>
      </c>
      <c r="AD9" t="str">
        <f t="shared" ref="AD9" si="50">AC9</f>
        <v>LAST_PRICE</v>
      </c>
      <c r="AE9" t="str">
        <f t="shared" ref="AE9" si="51">AD9</f>
        <v>LAST_PRICE</v>
      </c>
      <c r="AF9" t="str">
        <f t="shared" ref="AF9" si="52">AE9</f>
        <v>LAST_PRICE</v>
      </c>
      <c r="AG9" t="str">
        <f t="shared" ref="AG9" si="53">AF9</f>
        <v>LAST_PRICE</v>
      </c>
      <c r="AH9" t="str">
        <f t="shared" ref="AH9" si="54">AG9</f>
        <v>LAST_PRICE</v>
      </c>
      <c r="AI9" t="str">
        <f t="shared" ref="AI9" si="55">AH9</f>
        <v>LAST_PRICE</v>
      </c>
      <c r="AJ9" t="str">
        <f t="shared" ref="AJ9" si="56">AI9</f>
        <v>LAST_PRICE</v>
      </c>
      <c r="AK9" t="str">
        <f t="shared" ref="AK9" si="57">AJ9</f>
        <v>LAST_PRICE</v>
      </c>
      <c r="AL9" t="str">
        <f t="shared" ref="AL9" si="58">AK9</f>
        <v>LAST_PRICE</v>
      </c>
      <c r="AM9" t="str">
        <f t="shared" ref="AM9" si="59">AL9</f>
        <v>LAST_PRICE</v>
      </c>
      <c r="AN9" t="str">
        <f t="shared" ref="AN9" si="60">AM9</f>
        <v>LAST_PRICE</v>
      </c>
      <c r="AO9" t="str">
        <f t="shared" ref="AO9" si="61">AN9</f>
        <v>LAST_PRICE</v>
      </c>
    </row>
    <row r="10" spans="1:41" x14ac:dyDescent="0.35">
      <c r="A10" s="16">
        <f>BBG!A8</f>
        <v>46254</v>
      </c>
      <c r="B10" cm="1">
        <f t="array" ref="B10:B39">_xll.BDH(B$6,B$9,$B1,$B2,"Dir=V","CDR=5D","Days=A","Dts=H")</f>
        <v>0.49</v>
      </c>
      <c r="C10" cm="1">
        <f t="array" ref="C10:C39">_xll.BDH(C$6,C$9,$B1,$B2,"Dir=V","CDR=5D","Days=A","Dts=H")</f>
        <v>0.15</v>
      </c>
      <c r="D10" cm="1">
        <f t="array" ref="D10:D39">_xll.BDH(D$6,D$9,$B1,$B2,"Dir=V","CDR=5D","Days=A","Dts=H")</f>
        <v>0.25</v>
      </c>
      <c r="E10" cm="1">
        <f t="array" ref="E10:E39">_xll.BDH(E$6,E$9,$B1,$B2,"Dir=V","CDR=5D","Days=A","Dts=H")</f>
        <v>0.67</v>
      </c>
      <c r="F10" cm="1">
        <f t="array" ref="F10:F39">_xll.BDH(F$6,F$9,$B1,$B2,"Dir=V","CDR=5D","Days=A","Dts=H")</f>
        <v>0.55000000000000004</v>
      </c>
      <c r="G10" cm="1">
        <f t="array" ref="G10:G39">_xll.BDH(G$6,G$9,$B1,$B2,"Dir=V","CDR=5D","Days=A","Dts=H")</f>
        <v>1.64</v>
      </c>
      <c r="H10" cm="1">
        <f t="array" ref="H10:H39">_xll.BDH(H$6,H$9,$B1,$B2,"Dir=V","CDR=5D","Days=A","Dts=H")</f>
        <v>1.25</v>
      </c>
      <c r="I10" cm="1">
        <f t="array" ref="I10:I39">_xll.BDH(I$6,I$9,$B1,$B2,"Dir=V","CDR=5D","Days=A","Dts=H")</f>
        <v>0.57999999999999996</v>
      </c>
      <c r="J10" cm="1">
        <f t="array" ref="J10:J39">_xll.BDH(J$6,J$9,$B1,$B2,"Dir=V","CDR=5D","Days=A","Dts=H")</f>
        <v>0.28000000000000003</v>
      </c>
      <c r="K10" cm="1">
        <f t="array" ref="K10:K39">_xll.BDH(K$6,K$9,$B1,$B2,"Dir=V","CDR=5D","Days=A","Dts=H")</f>
        <v>0.5</v>
      </c>
      <c r="L10" cm="1">
        <f t="array" ref="L10:L39">_xll.BDH(L$6,L$9,$B1,$B2,"Dir=V","CDR=5D","Days=A","Dts=H")</f>
        <v>0.19</v>
      </c>
      <c r="M10" cm="1">
        <f t="array" ref="M10:M39">_xll.BDH(M$6,M$9,$B1,$B2,"Dir=V","CDR=5D","Days=A","Dts=H")</f>
        <v>0.15</v>
      </c>
      <c r="N10" cm="1">
        <f t="array" ref="N10:N39">_xll.BDH(N$6,N$9,$B1,$B2,"Dir=V","CDR=5D","Days=A","Dts=H")</f>
        <v>0.1</v>
      </c>
      <c r="O10" cm="1">
        <f t="array" ref="O10:O39">_xll.BDH(O$6,O$9,$B1,$B2,"Dir=V","CDR=5D","Days=A","Dts=H")</f>
        <v>0.03</v>
      </c>
      <c r="P10" cm="1">
        <f t="array" ref="P10:P39">_xll.BDH(P$6,P$9,$B1,$B2,"Dir=V","CDR=5D","Days=A","Dts=H")</f>
        <v>0.59</v>
      </c>
      <c r="Q10" cm="1">
        <f t="array" ref="Q10:Q39">_xll.BDH(Q$6,Q$9,$B1,$B2,"Dir=V","CDR=5D","Days=A","Dts=H")</f>
        <v>2.19</v>
      </c>
      <c r="R10" cm="1">
        <f t="array" ref="R10:R39">_xll.BDH(R$6,R$9,$B1,$B2,"Dir=V","CDR=5D","Days=A","Dts=H")</f>
        <v>4.28</v>
      </c>
      <c r="S10" cm="1">
        <f t="array" ref="S10:S39">_xll.BDH(S$6,S$9,$B1,$B2,"Dir=V","CDR=5D","Days=A","Dts=H")</f>
        <v>0.75</v>
      </c>
      <c r="T10" cm="1">
        <f t="array" ref="T10:T39">_xll.BDH(T$6,T$9,$B1,$B2,"Dir=V","CDR=5D","Days=A","Dts=H")</f>
        <v>0.75</v>
      </c>
      <c r="U10" cm="1">
        <f t="array" ref="U10:U39">_xll.BDH(U$6,U$9,$B1,$B2,"Dir=V","CDR=5D","Days=A","Dts=H")</f>
        <v>1.44</v>
      </c>
      <c r="V10" cm="1">
        <f t="array" ref="V10:V39">_xll.BDH(V$6,V$9,$B1,$B2,"Dir=V","CDR=5D","Days=A","Dts=H")</f>
        <v>1.97</v>
      </c>
      <c r="W10" cm="1">
        <f t="array" ref="W10:W39">_xll.BDH(W$6,W$9,$B1,$B2,"Dir=V","CDR=5D","Days=A","Dts=H")</f>
        <v>2.19</v>
      </c>
      <c r="X10" cm="1">
        <f t="array" ref="X10:X39">_xll.BDH(X$6,X$9,$B1,$B2,"Dir=V","CDR=5D","Days=A","Dts=H")</f>
        <v>1.9</v>
      </c>
      <c r="Y10" cm="1">
        <f t="array" ref="Y10:Y39">_xll.BDH(Y$6,Y$9,$B1,$B2,"Dir=V","CDR=5D","Days=A","Dts=H")</f>
        <v>1.62</v>
      </c>
      <c r="Z10" cm="1">
        <f t="array" ref="Z10:Z39">_xll.BDH(Z$6,Z$9,$B1,$B2,"Dir=V","CDR=5D","Days=A","Dts=H")</f>
        <v>1.35</v>
      </c>
      <c r="AA10" cm="1">
        <f t="array" ref="AA10:AA39">_xll.BDH(AA$6,AA$9,$B1,$B2,"Dir=V","CDR=5D","Days=A","Dts=H")</f>
        <v>1.1100000000000001</v>
      </c>
      <c r="AB10" cm="1">
        <f t="array" ref="AB10:AB39">_xll.BDH(AB$6,AB$9,$B1,$B2,"Dir=V","CDR=5D","Days=A","Dts=H")</f>
        <v>0.88</v>
      </c>
      <c r="AC10" cm="1">
        <f t="array" ref="AC10:AC39">_xll.BDH(AC$6,AC$9,$B1,$B2,"Dir=V","CDR=5D","Days=A","Dts=H")</f>
        <v>0.73</v>
      </c>
      <c r="AD10" cm="1">
        <f t="array" ref="AD10:AD39">_xll.BDH(AD$6,AD$9,$B1,$B2,"Dir=V","CDR=5D","Days=A","Dts=H")</f>
        <v>0.64</v>
      </c>
      <c r="AE10" cm="1">
        <f t="array" ref="AE10:AE39">_xll.BDH(AE$6,AE$9,$B1,$B2,"Dir=V","CDR=5D","Days=A","Dts=H")</f>
        <v>0.56000000000000005</v>
      </c>
      <c r="AF10" cm="1">
        <f t="array" ref="AF10:AF39">_xll.BDH(AF$6,AF$9,$B1,$B2,"Dir=V","CDR=5D","Days=A","Dts=H")</f>
        <v>0.49</v>
      </c>
      <c r="AG10" cm="1">
        <f t="array" ref="AG10:AG39">_xll.BDH(AG$6,AG$9,$B1,$B2,"Dir=V","CDR=5D","Days=A","Dts=H")</f>
        <v>0.45</v>
      </c>
      <c r="AH10" cm="1">
        <f t="array" ref="AH10:AH39">_xll.BDH(AH$6,AH$9,$B1,$B2,"Dir=V","CDR=5D","Days=A","Dts=H")</f>
        <v>0.38</v>
      </c>
      <c r="AI10" cm="1">
        <f t="array" ref="AI10:AI39">_xll.BDH(AI$6,AI$9,$B1,$B2,"Dir=V","CDR=5D","Days=A","Dts=H")</f>
        <v>0.33</v>
      </c>
      <c r="AJ10" cm="1">
        <f t="array" ref="AJ10:AJ39">_xll.BDH(AJ$6,AJ$9,$B1,$B2,"Dir=V","CDR=5D","Days=A","Dts=H")</f>
        <v>0.36</v>
      </c>
      <c r="AK10" cm="1">
        <f t="array" ref="AK10:AK39">_xll.BDH(AK$6,AK$9,$B1,$B2,"Dir=V","CDR=5D","Days=A","Dts=H")</f>
        <v>0.34</v>
      </c>
      <c r="AL10" cm="1">
        <f t="array" ref="AL10:AL39">_xll.BDH(AL$6,AL$9,$B1,$B2,"Dir=V","CDR=5D","Days=A","Dts=H")</f>
        <v>0.31</v>
      </c>
      <c r="AM10" cm="1">
        <f t="array" ref="AM10:AM39">_xll.BDH(AM$6,AM$9,$B1,$B2,"Dir=V","CDR=5D","Days=A","Dts=H")</f>
        <v>0.3</v>
      </c>
      <c r="AN10" cm="1">
        <f t="array" ref="AN10:AN39">_xll.BDH(AN$6,AN$9,$B1,$B2,"Dir=V","CDR=5D","Days=A","Dts=H")</f>
        <v>0.26</v>
      </c>
      <c r="AO10" t="str" cm="1">
        <f t="array" ref="AO10">_xll.BDH(AO$6,AO$9,$B1,$B2,"Dir=V","CDR=5D","Days=A","Dts=H")</f>
        <v>#N/A Invalid Security</v>
      </c>
    </row>
    <row r="11" spans="1:41" x14ac:dyDescent="0.35">
      <c r="A11" s="16">
        <f>BBG!A9</f>
        <v>46255</v>
      </c>
      <c r="B11">
        <v>0.49</v>
      </c>
      <c r="C11" s="17">
        <v>0.15</v>
      </c>
      <c r="D11">
        <v>0.25</v>
      </c>
      <c r="E11">
        <v>0.67</v>
      </c>
      <c r="F11">
        <v>0.55000000000000004</v>
      </c>
      <c r="G11">
        <v>1.64</v>
      </c>
      <c r="H11">
        <v>1.25</v>
      </c>
      <c r="I11">
        <v>0.57999999999999996</v>
      </c>
      <c r="J11">
        <v>0.28000000000000003</v>
      </c>
      <c r="K11">
        <v>0.5</v>
      </c>
      <c r="L11">
        <v>0.19</v>
      </c>
      <c r="M11">
        <v>0.15</v>
      </c>
      <c r="N11">
        <v>0.1</v>
      </c>
      <c r="O11">
        <v>0.03</v>
      </c>
      <c r="P11">
        <v>0.59</v>
      </c>
      <c r="Q11">
        <v>2.19</v>
      </c>
      <c r="R11">
        <v>4.28</v>
      </c>
      <c r="S11">
        <v>0.75</v>
      </c>
      <c r="T11">
        <v>0.75</v>
      </c>
      <c r="U11">
        <v>1.44</v>
      </c>
      <c r="V11">
        <v>1.9</v>
      </c>
      <c r="W11">
        <v>2.14</v>
      </c>
      <c r="X11">
        <v>1.97</v>
      </c>
      <c r="Y11">
        <v>1.68</v>
      </c>
      <c r="Z11">
        <v>1.4</v>
      </c>
      <c r="AA11">
        <v>1.1399999999999999</v>
      </c>
      <c r="AB11">
        <v>0.91</v>
      </c>
      <c r="AC11">
        <v>0.76</v>
      </c>
      <c r="AD11">
        <v>0.65</v>
      </c>
      <c r="AE11">
        <v>0.57999999999999996</v>
      </c>
      <c r="AF11">
        <v>0.51</v>
      </c>
      <c r="AG11">
        <v>0.45</v>
      </c>
      <c r="AH11">
        <v>0.39</v>
      </c>
      <c r="AI11">
        <v>0.35</v>
      </c>
      <c r="AJ11">
        <v>0.36</v>
      </c>
      <c r="AK11">
        <v>0.34</v>
      </c>
      <c r="AL11">
        <v>0.32</v>
      </c>
      <c r="AM11">
        <v>0.3</v>
      </c>
      <c r="AN11">
        <v>0.25</v>
      </c>
    </row>
    <row r="12" spans="1:41" x14ac:dyDescent="0.35">
      <c r="A12" s="16">
        <f>BBG!A10</f>
        <v>46258</v>
      </c>
      <c r="B12">
        <v>0.49</v>
      </c>
      <c r="C12" s="17">
        <v>0.15</v>
      </c>
      <c r="D12">
        <v>0.25</v>
      </c>
      <c r="E12">
        <v>0.67</v>
      </c>
      <c r="F12">
        <v>0.55000000000000004</v>
      </c>
      <c r="G12">
        <v>1.64</v>
      </c>
      <c r="H12">
        <v>1.25</v>
      </c>
      <c r="I12">
        <v>0.57999999999999996</v>
      </c>
      <c r="J12">
        <v>0.28000000000000003</v>
      </c>
      <c r="K12">
        <v>0.5</v>
      </c>
      <c r="L12">
        <v>0.19</v>
      </c>
      <c r="M12">
        <v>0.15</v>
      </c>
      <c r="N12">
        <v>0.1</v>
      </c>
      <c r="O12">
        <v>0.03</v>
      </c>
      <c r="P12">
        <v>0.59</v>
      </c>
      <c r="Q12">
        <v>2.19</v>
      </c>
      <c r="R12">
        <v>4.28</v>
      </c>
      <c r="S12">
        <v>0.75</v>
      </c>
      <c r="T12">
        <v>0.75</v>
      </c>
      <c r="U12">
        <v>1.44</v>
      </c>
      <c r="V12">
        <v>1.71</v>
      </c>
      <c r="W12">
        <v>1.96</v>
      </c>
      <c r="X12">
        <v>1.76</v>
      </c>
      <c r="Y12">
        <v>1.51</v>
      </c>
      <c r="Z12">
        <v>1.25</v>
      </c>
      <c r="AA12">
        <v>1.02</v>
      </c>
      <c r="AB12">
        <v>0.83</v>
      </c>
      <c r="AC12">
        <v>0.68</v>
      </c>
      <c r="AD12">
        <v>0.6</v>
      </c>
      <c r="AE12">
        <v>0.53</v>
      </c>
      <c r="AF12">
        <v>0.46</v>
      </c>
      <c r="AG12">
        <v>0.43</v>
      </c>
      <c r="AH12">
        <v>0.36</v>
      </c>
      <c r="AI12">
        <v>0.31</v>
      </c>
      <c r="AJ12">
        <v>0.33</v>
      </c>
      <c r="AK12">
        <v>0.33</v>
      </c>
      <c r="AL12">
        <v>0.31</v>
      </c>
      <c r="AM12">
        <v>0.28999999999999998</v>
      </c>
      <c r="AN12">
        <v>0.25</v>
      </c>
    </row>
    <row r="13" spans="1:41" x14ac:dyDescent="0.35">
      <c r="A13" s="16">
        <f>BBG!A11</f>
        <v>46259</v>
      </c>
      <c r="B13">
        <v>0.49</v>
      </c>
      <c r="C13" s="17">
        <v>0.15</v>
      </c>
      <c r="D13">
        <v>0.25</v>
      </c>
      <c r="E13">
        <v>0.67</v>
      </c>
      <c r="F13">
        <v>0.55000000000000004</v>
      </c>
      <c r="G13">
        <v>1.64</v>
      </c>
      <c r="H13">
        <v>1.25</v>
      </c>
      <c r="I13">
        <v>0.57999999999999996</v>
      </c>
      <c r="J13">
        <v>0.28000000000000003</v>
      </c>
      <c r="K13">
        <v>0.5</v>
      </c>
      <c r="L13">
        <v>0.19</v>
      </c>
      <c r="M13">
        <v>0.15</v>
      </c>
      <c r="N13">
        <v>0.1</v>
      </c>
      <c r="O13">
        <v>0.03</v>
      </c>
      <c r="P13">
        <v>0.59</v>
      </c>
      <c r="Q13">
        <v>2.19</v>
      </c>
      <c r="R13">
        <v>4.28</v>
      </c>
      <c r="S13">
        <v>0.75</v>
      </c>
      <c r="T13">
        <v>0.75</v>
      </c>
      <c r="U13">
        <v>1.44</v>
      </c>
      <c r="V13">
        <v>1.48</v>
      </c>
      <c r="W13">
        <v>1.73</v>
      </c>
      <c r="X13">
        <v>1.52</v>
      </c>
      <c r="Y13">
        <v>1.28</v>
      </c>
      <c r="Z13">
        <v>1.06</v>
      </c>
      <c r="AA13">
        <v>0.87</v>
      </c>
      <c r="AB13">
        <v>0.7</v>
      </c>
      <c r="AC13">
        <v>0.59</v>
      </c>
      <c r="AD13">
        <v>0.51</v>
      </c>
      <c r="AE13">
        <v>0.46</v>
      </c>
      <c r="AF13">
        <v>0.4</v>
      </c>
      <c r="AG13">
        <v>0.36</v>
      </c>
      <c r="AH13">
        <v>0.31</v>
      </c>
      <c r="AI13">
        <v>0.27</v>
      </c>
      <c r="AJ13">
        <v>0.28999999999999998</v>
      </c>
      <c r="AK13">
        <v>0.28000000000000003</v>
      </c>
      <c r="AL13">
        <v>0.27</v>
      </c>
      <c r="AM13">
        <v>0.24</v>
      </c>
      <c r="AN13">
        <v>0.21</v>
      </c>
    </row>
    <row r="14" spans="1:41" x14ac:dyDescent="0.35">
      <c r="A14" s="16">
        <f>BBG!A12</f>
        <v>46260</v>
      </c>
      <c r="B14">
        <v>0.49</v>
      </c>
      <c r="C14" s="17">
        <v>0.15</v>
      </c>
      <c r="D14">
        <v>0.25</v>
      </c>
      <c r="E14">
        <v>0.67</v>
      </c>
      <c r="F14">
        <v>0.55000000000000004</v>
      </c>
      <c r="G14">
        <v>1.64</v>
      </c>
      <c r="H14">
        <v>1.25</v>
      </c>
      <c r="I14">
        <v>0.57999999999999996</v>
      </c>
      <c r="J14">
        <v>0.28000000000000003</v>
      </c>
      <c r="K14">
        <v>0.5</v>
      </c>
      <c r="L14">
        <v>0.19</v>
      </c>
      <c r="M14">
        <v>0.15</v>
      </c>
      <c r="N14">
        <v>0.1</v>
      </c>
      <c r="O14">
        <v>0.03</v>
      </c>
      <c r="P14">
        <v>0.59</v>
      </c>
      <c r="Q14">
        <v>2.19</v>
      </c>
      <c r="R14">
        <v>4.28</v>
      </c>
      <c r="S14">
        <v>0.75</v>
      </c>
      <c r="T14">
        <v>0.75</v>
      </c>
      <c r="U14">
        <v>1.44</v>
      </c>
      <c r="V14">
        <v>1.38</v>
      </c>
      <c r="W14">
        <v>1.58</v>
      </c>
      <c r="X14">
        <v>1.5</v>
      </c>
      <c r="Y14">
        <v>1.31</v>
      </c>
      <c r="Z14">
        <v>1.1200000000000001</v>
      </c>
      <c r="AA14">
        <v>0.92</v>
      </c>
      <c r="AB14">
        <v>0.75</v>
      </c>
      <c r="AC14">
        <v>0.62</v>
      </c>
      <c r="AD14">
        <v>0.54</v>
      </c>
      <c r="AE14">
        <v>0.48</v>
      </c>
      <c r="AF14">
        <v>0.42</v>
      </c>
      <c r="AG14">
        <v>0.38</v>
      </c>
      <c r="AH14">
        <v>0.32</v>
      </c>
      <c r="AI14">
        <v>0.28000000000000003</v>
      </c>
      <c r="AJ14">
        <v>0.28999999999999998</v>
      </c>
      <c r="AK14">
        <v>0.28000000000000003</v>
      </c>
      <c r="AL14">
        <v>0.27</v>
      </c>
      <c r="AM14">
        <v>0.23</v>
      </c>
      <c r="AN14">
        <v>0.2</v>
      </c>
    </row>
    <row r="15" spans="1:41" x14ac:dyDescent="0.35">
      <c r="A15" s="16">
        <f>BBG!A13</f>
        <v>46261</v>
      </c>
      <c r="B15">
        <v>0.49</v>
      </c>
      <c r="C15" s="17">
        <v>0.15</v>
      </c>
      <c r="D15">
        <v>0.25</v>
      </c>
      <c r="E15">
        <v>0.67</v>
      </c>
      <c r="F15">
        <v>0.55000000000000004</v>
      </c>
      <c r="G15">
        <v>1.64</v>
      </c>
      <c r="H15">
        <v>1.25</v>
      </c>
      <c r="I15">
        <v>0.57999999999999996</v>
      </c>
      <c r="J15">
        <v>0.28000000000000003</v>
      </c>
      <c r="K15">
        <v>0.5</v>
      </c>
      <c r="L15">
        <v>0.19</v>
      </c>
      <c r="M15">
        <v>0.15</v>
      </c>
      <c r="N15">
        <v>0.1</v>
      </c>
      <c r="O15">
        <v>0.03</v>
      </c>
      <c r="P15">
        <v>0.59</v>
      </c>
      <c r="Q15">
        <v>2.19</v>
      </c>
      <c r="R15">
        <v>4.28</v>
      </c>
      <c r="S15">
        <v>0.75</v>
      </c>
      <c r="T15">
        <v>0.75</v>
      </c>
      <c r="U15">
        <v>1.44</v>
      </c>
      <c r="V15">
        <v>1.56</v>
      </c>
      <c r="W15">
        <v>1.86</v>
      </c>
      <c r="X15">
        <v>1.78</v>
      </c>
      <c r="Y15">
        <v>1.57</v>
      </c>
      <c r="Z15">
        <v>1.26</v>
      </c>
      <c r="AA15">
        <v>1.02</v>
      </c>
      <c r="AB15">
        <v>0.82</v>
      </c>
      <c r="AC15">
        <v>0.67</v>
      </c>
      <c r="AD15">
        <v>0.57999999999999996</v>
      </c>
      <c r="AE15">
        <v>0.5</v>
      </c>
      <c r="AF15">
        <v>0.42</v>
      </c>
      <c r="AG15">
        <v>0.39</v>
      </c>
      <c r="AH15">
        <v>0.33</v>
      </c>
      <c r="AI15">
        <v>0.28999999999999998</v>
      </c>
      <c r="AJ15">
        <v>0.31</v>
      </c>
      <c r="AK15">
        <v>0.3</v>
      </c>
      <c r="AL15">
        <v>0.27</v>
      </c>
      <c r="AM15">
        <v>0.25</v>
      </c>
      <c r="AN15">
        <v>0.21</v>
      </c>
    </row>
    <row r="16" spans="1:41" x14ac:dyDescent="0.35">
      <c r="A16" s="16">
        <f>BBG!A14</f>
        <v>46262</v>
      </c>
      <c r="B16">
        <v>0.49</v>
      </c>
      <c r="C16" s="17">
        <v>0.15</v>
      </c>
      <c r="D16">
        <v>0.25</v>
      </c>
      <c r="E16">
        <v>0.67</v>
      </c>
      <c r="F16">
        <v>0.55000000000000004</v>
      </c>
      <c r="G16">
        <v>1.64</v>
      </c>
      <c r="H16">
        <v>1.25</v>
      </c>
      <c r="I16">
        <v>0.57999999999999996</v>
      </c>
      <c r="J16">
        <v>0.28000000000000003</v>
      </c>
      <c r="K16">
        <v>0.5</v>
      </c>
      <c r="L16">
        <v>0.19</v>
      </c>
      <c r="M16">
        <v>0.15</v>
      </c>
      <c r="N16">
        <v>0.1</v>
      </c>
      <c r="O16">
        <v>0.03</v>
      </c>
      <c r="P16">
        <v>0.59</v>
      </c>
      <c r="Q16">
        <v>2.19</v>
      </c>
      <c r="R16">
        <v>4.28</v>
      </c>
      <c r="S16">
        <v>0.75</v>
      </c>
      <c r="T16">
        <v>0.75</v>
      </c>
      <c r="U16">
        <v>1.44</v>
      </c>
      <c r="V16">
        <v>1.57</v>
      </c>
      <c r="W16">
        <v>1.83</v>
      </c>
      <c r="X16">
        <v>1.71</v>
      </c>
      <c r="Y16">
        <v>1.51</v>
      </c>
      <c r="Z16">
        <v>1.25</v>
      </c>
      <c r="AA16">
        <v>1</v>
      </c>
      <c r="AB16">
        <v>0.8</v>
      </c>
      <c r="AC16">
        <v>0.66</v>
      </c>
      <c r="AD16">
        <v>0.56999999999999995</v>
      </c>
      <c r="AE16">
        <v>0.49</v>
      </c>
      <c r="AF16">
        <v>0.43</v>
      </c>
      <c r="AG16">
        <v>0.39</v>
      </c>
      <c r="AH16">
        <v>0.32</v>
      </c>
      <c r="AI16">
        <v>0.31</v>
      </c>
      <c r="AJ16">
        <v>0.32</v>
      </c>
      <c r="AK16">
        <v>0.3</v>
      </c>
      <c r="AL16">
        <v>0.27</v>
      </c>
      <c r="AM16">
        <v>0.24</v>
      </c>
      <c r="AN16">
        <v>0.21</v>
      </c>
    </row>
    <row r="17" spans="1:40" x14ac:dyDescent="0.35">
      <c r="A17" s="16">
        <f>BBG!A15</f>
        <v>46265</v>
      </c>
      <c r="B17">
        <v>0.49</v>
      </c>
      <c r="C17" s="17">
        <v>0.15</v>
      </c>
      <c r="D17">
        <v>0.25</v>
      </c>
      <c r="E17">
        <v>0.67</v>
      </c>
      <c r="F17">
        <v>0.55000000000000004</v>
      </c>
      <c r="G17">
        <v>1.64</v>
      </c>
      <c r="H17">
        <v>1.25</v>
      </c>
      <c r="I17">
        <v>0.57999999999999996</v>
      </c>
      <c r="J17">
        <v>0.28000000000000003</v>
      </c>
      <c r="K17">
        <v>0.5</v>
      </c>
      <c r="L17">
        <v>0.19</v>
      </c>
      <c r="M17">
        <v>0.15</v>
      </c>
      <c r="N17">
        <v>0.1</v>
      </c>
      <c r="O17">
        <v>0.03</v>
      </c>
      <c r="P17">
        <v>0.59</v>
      </c>
      <c r="Q17">
        <v>2.19</v>
      </c>
      <c r="R17">
        <v>4.28</v>
      </c>
      <c r="S17">
        <v>0.75</v>
      </c>
      <c r="T17">
        <v>0.75</v>
      </c>
      <c r="U17">
        <v>1.44</v>
      </c>
      <c r="V17">
        <v>1.7</v>
      </c>
      <c r="W17">
        <v>1.99</v>
      </c>
      <c r="X17">
        <v>1.95</v>
      </c>
      <c r="Y17">
        <v>1.77</v>
      </c>
      <c r="Z17">
        <v>1.47</v>
      </c>
      <c r="AA17">
        <v>1.18</v>
      </c>
      <c r="AB17">
        <v>0.94</v>
      </c>
      <c r="AC17">
        <v>0.76</v>
      </c>
      <c r="AD17">
        <v>0.66</v>
      </c>
      <c r="AE17">
        <v>0.57999999999999996</v>
      </c>
      <c r="AF17">
        <v>0.51</v>
      </c>
      <c r="AG17">
        <v>0.45</v>
      </c>
      <c r="AH17">
        <v>0.38</v>
      </c>
      <c r="AI17">
        <v>0.34</v>
      </c>
      <c r="AJ17">
        <v>0.35</v>
      </c>
      <c r="AK17">
        <v>0.33</v>
      </c>
      <c r="AL17">
        <v>0.3</v>
      </c>
      <c r="AM17">
        <v>0.27</v>
      </c>
      <c r="AN17">
        <v>0.24</v>
      </c>
    </row>
    <row r="18" spans="1:40" x14ac:dyDescent="0.35">
      <c r="B18">
        <v>0.49</v>
      </c>
      <c r="C18" s="17">
        <v>0.15</v>
      </c>
      <c r="D18">
        <v>0.25</v>
      </c>
      <c r="E18">
        <v>0.67</v>
      </c>
      <c r="F18">
        <v>0.55000000000000004</v>
      </c>
      <c r="G18">
        <v>1.64</v>
      </c>
      <c r="H18">
        <v>1.25</v>
      </c>
      <c r="I18">
        <v>0.57999999999999996</v>
      </c>
      <c r="J18">
        <v>0.28000000000000003</v>
      </c>
      <c r="K18">
        <v>0.5</v>
      </c>
      <c r="L18">
        <v>0.19</v>
      </c>
      <c r="M18">
        <v>0.15</v>
      </c>
      <c r="N18">
        <v>0.1</v>
      </c>
      <c r="O18">
        <v>0.03</v>
      </c>
      <c r="P18">
        <v>0.59</v>
      </c>
      <c r="Q18">
        <v>2.19</v>
      </c>
      <c r="R18">
        <v>4.28</v>
      </c>
      <c r="S18">
        <v>0.75</v>
      </c>
      <c r="T18">
        <v>0.75</v>
      </c>
      <c r="U18">
        <v>1.44</v>
      </c>
      <c r="V18">
        <v>2.4700000000000002</v>
      </c>
      <c r="W18">
        <v>2.78</v>
      </c>
      <c r="X18">
        <v>2.57</v>
      </c>
      <c r="Y18">
        <v>2.2400000000000002</v>
      </c>
      <c r="Z18">
        <v>1.82</v>
      </c>
      <c r="AA18">
        <v>1.45</v>
      </c>
      <c r="AB18">
        <v>1.1599999999999999</v>
      </c>
      <c r="AC18">
        <v>0.91</v>
      </c>
      <c r="AD18">
        <v>0.76</v>
      </c>
      <c r="AE18">
        <v>0.67</v>
      </c>
      <c r="AF18">
        <v>0.55000000000000004</v>
      </c>
      <c r="AG18">
        <v>0.49</v>
      </c>
      <c r="AH18">
        <v>0.41</v>
      </c>
      <c r="AI18">
        <v>0.37</v>
      </c>
      <c r="AJ18">
        <v>0.38</v>
      </c>
      <c r="AK18">
        <v>0.36</v>
      </c>
      <c r="AL18">
        <v>0.33</v>
      </c>
      <c r="AM18">
        <v>0.3</v>
      </c>
      <c r="AN18">
        <v>0.25</v>
      </c>
    </row>
    <row r="19" spans="1:40" x14ac:dyDescent="0.35">
      <c r="B19">
        <v>0.49</v>
      </c>
      <c r="C19" s="17">
        <v>0.15</v>
      </c>
      <c r="D19">
        <v>0.25</v>
      </c>
      <c r="E19">
        <v>0.67</v>
      </c>
      <c r="F19">
        <v>0.55000000000000004</v>
      </c>
      <c r="G19">
        <v>1.64</v>
      </c>
      <c r="H19">
        <v>1.25</v>
      </c>
      <c r="I19">
        <v>0.57999999999999996</v>
      </c>
      <c r="J19">
        <v>0.28000000000000003</v>
      </c>
      <c r="K19">
        <v>0.5</v>
      </c>
      <c r="L19">
        <v>0.19</v>
      </c>
      <c r="M19">
        <v>0.15</v>
      </c>
      <c r="N19">
        <v>0.1</v>
      </c>
      <c r="O19">
        <v>0.03</v>
      </c>
      <c r="P19">
        <v>0.59</v>
      </c>
      <c r="Q19">
        <v>2.19</v>
      </c>
      <c r="R19">
        <v>4.28</v>
      </c>
      <c r="S19">
        <v>0.75</v>
      </c>
      <c r="T19">
        <v>0.75</v>
      </c>
      <c r="U19">
        <v>1.44</v>
      </c>
      <c r="V19">
        <v>2.73</v>
      </c>
      <c r="W19">
        <v>3.03</v>
      </c>
      <c r="X19">
        <v>2.75</v>
      </c>
      <c r="Y19">
        <v>2.4</v>
      </c>
      <c r="Z19">
        <v>1.97</v>
      </c>
      <c r="AA19">
        <v>1.57</v>
      </c>
      <c r="AB19">
        <v>1.23</v>
      </c>
      <c r="AC19">
        <v>0.97</v>
      </c>
      <c r="AD19">
        <v>0.81</v>
      </c>
      <c r="AE19">
        <v>0.67</v>
      </c>
      <c r="AF19">
        <v>0.56000000000000005</v>
      </c>
      <c r="AG19">
        <v>0.49</v>
      </c>
      <c r="AH19">
        <v>0.41</v>
      </c>
      <c r="AI19">
        <v>0.36</v>
      </c>
      <c r="AJ19">
        <v>0.36</v>
      </c>
      <c r="AK19">
        <v>0.34</v>
      </c>
      <c r="AL19">
        <v>0.3</v>
      </c>
      <c r="AM19">
        <v>0.27</v>
      </c>
      <c r="AN19">
        <v>0.23</v>
      </c>
    </row>
    <row r="20" spans="1:40" x14ac:dyDescent="0.35">
      <c r="B20">
        <v>0.49</v>
      </c>
      <c r="C20" s="17">
        <v>0.15</v>
      </c>
      <c r="D20">
        <v>0.25</v>
      </c>
      <c r="E20">
        <v>0.67</v>
      </c>
      <c r="F20">
        <v>0.55000000000000004</v>
      </c>
      <c r="G20">
        <v>1.64</v>
      </c>
      <c r="H20">
        <v>1.25</v>
      </c>
      <c r="I20">
        <v>0.57999999999999996</v>
      </c>
      <c r="J20">
        <v>0.28000000000000003</v>
      </c>
      <c r="K20">
        <v>0.5</v>
      </c>
      <c r="L20">
        <v>0.19</v>
      </c>
      <c r="M20">
        <v>0.15</v>
      </c>
      <c r="N20">
        <v>0.1</v>
      </c>
      <c r="O20">
        <v>0.03</v>
      </c>
      <c r="P20">
        <v>0.59</v>
      </c>
      <c r="Q20">
        <v>2.19</v>
      </c>
      <c r="R20">
        <v>4.28</v>
      </c>
      <c r="S20">
        <v>0.75</v>
      </c>
      <c r="T20">
        <v>0.75</v>
      </c>
      <c r="U20">
        <v>1.44</v>
      </c>
      <c r="V20">
        <v>3.27</v>
      </c>
      <c r="W20">
        <v>3.24</v>
      </c>
      <c r="X20">
        <v>2.86</v>
      </c>
      <c r="Y20">
        <v>2.44</v>
      </c>
      <c r="Z20">
        <v>2.0099999999999998</v>
      </c>
      <c r="AA20">
        <v>1.64</v>
      </c>
      <c r="AB20">
        <v>1.3</v>
      </c>
      <c r="AC20">
        <v>1.03</v>
      </c>
      <c r="AD20">
        <v>0.85</v>
      </c>
      <c r="AE20">
        <v>0.71</v>
      </c>
      <c r="AF20">
        <v>0.56999999999999995</v>
      </c>
      <c r="AG20">
        <v>0.49</v>
      </c>
      <c r="AH20">
        <v>0.4</v>
      </c>
      <c r="AI20">
        <v>0.35</v>
      </c>
      <c r="AJ20">
        <v>0.35</v>
      </c>
      <c r="AK20">
        <v>0.32</v>
      </c>
      <c r="AL20">
        <v>0.28000000000000003</v>
      </c>
      <c r="AM20">
        <v>0.25</v>
      </c>
      <c r="AN20">
        <v>0.2</v>
      </c>
    </row>
    <row r="21" spans="1:40" x14ac:dyDescent="0.35">
      <c r="B21">
        <v>0.49</v>
      </c>
      <c r="C21" s="17">
        <v>0.15</v>
      </c>
      <c r="D21">
        <v>0.25</v>
      </c>
      <c r="E21">
        <v>0.67</v>
      </c>
      <c r="F21">
        <v>0.55000000000000004</v>
      </c>
      <c r="G21">
        <v>1.64</v>
      </c>
      <c r="H21">
        <v>1.25</v>
      </c>
      <c r="I21">
        <v>0.57999999999999996</v>
      </c>
      <c r="J21">
        <v>0.28000000000000003</v>
      </c>
      <c r="K21">
        <v>0.5</v>
      </c>
      <c r="L21">
        <v>0.19</v>
      </c>
      <c r="M21">
        <v>0.15</v>
      </c>
      <c r="N21">
        <v>0.1</v>
      </c>
      <c r="O21">
        <v>0.03</v>
      </c>
      <c r="P21">
        <v>0.59</v>
      </c>
      <c r="Q21">
        <v>2.19</v>
      </c>
      <c r="R21">
        <v>4.28</v>
      </c>
      <c r="S21">
        <v>0.75</v>
      </c>
      <c r="T21">
        <v>0.75</v>
      </c>
      <c r="U21">
        <v>1.44</v>
      </c>
      <c r="V21">
        <v>2.91</v>
      </c>
      <c r="W21">
        <v>3.11</v>
      </c>
      <c r="X21">
        <v>2.68</v>
      </c>
      <c r="Y21">
        <v>2.2799999999999998</v>
      </c>
      <c r="Z21">
        <v>1.91</v>
      </c>
      <c r="AA21">
        <v>1.58</v>
      </c>
      <c r="AB21">
        <v>1.28</v>
      </c>
      <c r="AC21">
        <v>1.03</v>
      </c>
      <c r="AD21">
        <v>0.85</v>
      </c>
      <c r="AE21">
        <v>0.72</v>
      </c>
      <c r="AF21">
        <v>0.6</v>
      </c>
      <c r="AG21">
        <v>0.51</v>
      </c>
      <c r="AH21">
        <v>0.41</v>
      </c>
      <c r="AI21">
        <v>0.38</v>
      </c>
      <c r="AJ21">
        <v>0.37</v>
      </c>
      <c r="AK21">
        <v>0.34</v>
      </c>
      <c r="AL21">
        <v>0.3</v>
      </c>
      <c r="AM21">
        <v>0.27</v>
      </c>
      <c r="AN21">
        <v>0.23</v>
      </c>
    </row>
    <row r="22" spans="1:40" x14ac:dyDescent="0.35">
      <c r="B22">
        <v>0.49</v>
      </c>
      <c r="C22" s="17">
        <v>0.15</v>
      </c>
      <c r="D22">
        <v>0.25</v>
      </c>
      <c r="E22">
        <v>0.67</v>
      </c>
      <c r="F22">
        <v>0.55000000000000004</v>
      </c>
      <c r="G22">
        <v>1.64</v>
      </c>
      <c r="H22">
        <v>1.25</v>
      </c>
      <c r="I22">
        <v>0.57999999999999996</v>
      </c>
      <c r="J22">
        <v>0.28000000000000003</v>
      </c>
      <c r="K22">
        <v>0.5</v>
      </c>
      <c r="L22">
        <v>0.19</v>
      </c>
      <c r="M22">
        <v>0.15</v>
      </c>
      <c r="N22">
        <v>0.1</v>
      </c>
      <c r="O22">
        <v>0.03</v>
      </c>
      <c r="P22">
        <v>0.59</v>
      </c>
      <c r="Q22">
        <v>2.19</v>
      </c>
      <c r="R22">
        <v>4.28</v>
      </c>
      <c r="S22">
        <v>0.75</v>
      </c>
      <c r="T22">
        <v>0.75</v>
      </c>
      <c r="U22">
        <v>1.44</v>
      </c>
      <c r="V22">
        <v>3.1</v>
      </c>
      <c r="W22">
        <v>3.2</v>
      </c>
      <c r="X22">
        <v>2.77</v>
      </c>
      <c r="Y22">
        <v>2.38</v>
      </c>
      <c r="Z22">
        <v>2</v>
      </c>
      <c r="AA22">
        <v>1.66</v>
      </c>
      <c r="AB22">
        <v>1.34</v>
      </c>
      <c r="AC22">
        <v>1.08</v>
      </c>
      <c r="AD22">
        <v>0.89</v>
      </c>
      <c r="AE22">
        <v>0.75</v>
      </c>
      <c r="AF22">
        <v>0.62</v>
      </c>
      <c r="AG22">
        <v>0.53</v>
      </c>
      <c r="AH22">
        <v>0.43</v>
      </c>
      <c r="AI22">
        <v>0.39</v>
      </c>
      <c r="AJ22">
        <v>0.38</v>
      </c>
      <c r="AK22">
        <v>0.35</v>
      </c>
      <c r="AL22">
        <v>0.31</v>
      </c>
      <c r="AM22">
        <v>0.28000000000000003</v>
      </c>
      <c r="AN22">
        <v>0.25</v>
      </c>
    </row>
    <row r="23" spans="1:40" x14ac:dyDescent="0.35">
      <c r="B23">
        <v>0.49</v>
      </c>
      <c r="C23" s="17">
        <v>0.15</v>
      </c>
      <c r="D23">
        <v>0.25</v>
      </c>
      <c r="E23">
        <v>0.67</v>
      </c>
      <c r="F23">
        <v>0.55000000000000004</v>
      </c>
      <c r="G23">
        <v>1.64</v>
      </c>
      <c r="H23">
        <v>1.25</v>
      </c>
      <c r="I23">
        <v>0.57999999999999996</v>
      </c>
      <c r="J23">
        <v>0.28000000000000003</v>
      </c>
      <c r="K23">
        <v>0.5</v>
      </c>
      <c r="L23">
        <v>0.19</v>
      </c>
      <c r="M23">
        <v>0.15</v>
      </c>
      <c r="N23">
        <v>0.1</v>
      </c>
      <c r="O23">
        <v>0.03</v>
      </c>
      <c r="P23">
        <v>0.59</v>
      </c>
      <c r="Q23">
        <v>2.19</v>
      </c>
      <c r="R23">
        <v>4.28</v>
      </c>
      <c r="S23">
        <v>0.75</v>
      </c>
      <c r="T23">
        <v>0.75</v>
      </c>
      <c r="U23">
        <v>1.44</v>
      </c>
      <c r="V23">
        <v>2.84</v>
      </c>
      <c r="W23">
        <v>3.05</v>
      </c>
      <c r="X23">
        <v>2.68</v>
      </c>
      <c r="Y23">
        <v>2.35</v>
      </c>
      <c r="Z23">
        <v>2.0299999999999998</v>
      </c>
      <c r="AA23">
        <v>1.74</v>
      </c>
      <c r="AB23">
        <v>1.44</v>
      </c>
      <c r="AC23">
        <v>1.18</v>
      </c>
      <c r="AD23">
        <v>0.99</v>
      </c>
      <c r="AE23">
        <v>0.84</v>
      </c>
      <c r="AF23">
        <v>0.69</v>
      </c>
      <c r="AG23">
        <v>0.57999999999999996</v>
      </c>
      <c r="AH23">
        <v>0.49</v>
      </c>
      <c r="AI23">
        <v>0.43</v>
      </c>
      <c r="AJ23">
        <v>0.43</v>
      </c>
      <c r="AK23">
        <v>0.39</v>
      </c>
      <c r="AL23">
        <v>0.34</v>
      </c>
      <c r="AM23">
        <v>0.3</v>
      </c>
      <c r="AN23">
        <v>0.27</v>
      </c>
    </row>
    <row r="24" spans="1:40" x14ac:dyDescent="0.35">
      <c r="B24">
        <v>0.49</v>
      </c>
      <c r="C24" s="17">
        <v>0.15</v>
      </c>
      <c r="D24">
        <v>0.25</v>
      </c>
      <c r="E24">
        <v>0.67</v>
      </c>
      <c r="F24">
        <v>0.55000000000000004</v>
      </c>
      <c r="G24">
        <v>1.64</v>
      </c>
      <c r="H24">
        <v>1.25</v>
      </c>
      <c r="I24">
        <v>0.57999999999999996</v>
      </c>
      <c r="J24">
        <v>0.28000000000000003</v>
      </c>
      <c r="K24">
        <v>0.5</v>
      </c>
      <c r="L24">
        <v>0.19</v>
      </c>
      <c r="M24">
        <v>0.15</v>
      </c>
      <c r="N24">
        <v>0.1</v>
      </c>
      <c r="O24">
        <v>0.03</v>
      </c>
      <c r="P24">
        <v>0.59</v>
      </c>
      <c r="Q24">
        <v>2.19</v>
      </c>
      <c r="R24">
        <v>4.28</v>
      </c>
      <c r="S24">
        <v>0.75</v>
      </c>
      <c r="T24">
        <v>0.75</v>
      </c>
      <c r="U24">
        <v>1.44</v>
      </c>
      <c r="V24">
        <v>3.18</v>
      </c>
      <c r="W24">
        <v>3.55</v>
      </c>
      <c r="X24">
        <v>3.03</v>
      </c>
      <c r="Y24">
        <v>2.65</v>
      </c>
      <c r="Z24">
        <v>2.33</v>
      </c>
      <c r="AA24">
        <v>2.04</v>
      </c>
      <c r="AB24">
        <v>1.72</v>
      </c>
      <c r="AC24">
        <v>1.43</v>
      </c>
      <c r="AD24">
        <v>1.19</v>
      </c>
      <c r="AE24">
        <v>0.97</v>
      </c>
      <c r="AF24">
        <v>0.76</v>
      </c>
      <c r="AG24">
        <v>0.6</v>
      </c>
      <c r="AH24">
        <v>0.48</v>
      </c>
      <c r="AI24">
        <v>0.43</v>
      </c>
      <c r="AJ24">
        <v>0.42</v>
      </c>
      <c r="AK24">
        <v>0.38</v>
      </c>
      <c r="AL24">
        <v>0.34</v>
      </c>
      <c r="AM24">
        <v>0.31</v>
      </c>
      <c r="AN24">
        <v>0.27</v>
      </c>
    </row>
    <row r="25" spans="1:40" x14ac:dyDescent="0.35">
      <c r="B25">
        <v>0.49</v>
      </c>
      <c r="C25" s="17">
        <v>0.15</v>
      </c>
      <c r="D25">
        <v>0.25</v>
      </c>
      <c r="E25">
        <v>0.67</v>
      </c>
      <c r="F25">
        <v>0.55000000000000004</v>
      </c>
      <c r="G25">
        <v>1.64</v>
      </c>
      <c r="H25">
        <v>1.25</v>
      </c>
      <c r="I25">
        <v>0.57999999999999996</v>
      </c>
      <c r="J25">
        <v>0.28000000000000003</v>
      </c>
      <c r="K25">
        <v>0.5</v>
      </c>
      <c r="L25">
        <v>0.19</v>
      </c>
      <c r="M25">
        <v>0.15</v>
      </c>
      <c r="N25">
        <v>0.1</v>
      </c>
      <c r="O25">
        <v>0.03</v>
      </c>
      <c r="P25">
        <v>0.59</v>
      </c>
      <c r="Q25">
        <v>2.19</v>
      </c>
      <c r="R25">
        <v>4.28</v>
      </c>
      <c r="S25">
        <v>0.75</v>
      </c>
      <c r="T25">
        <v>0.75</v>
      </c>
      <c r="U25">
        <v>1.44</v>
      </c>
      <c r="V25">
        <v>4.08</v>
      </c>
      <c r="W25">
        <v>4.47</v>
      </c>
      <c r="X25">
        <v>3.91</v>
      </c>
      <c r="Y25">
        <v>3.38</v>
      </c>
      <c r="Z25">
        <v>2.88</v>
      </c>
      <c r="AA25">
        <v>2.4900000000000002</v>
      </c>
      <c r="AB25">
        <v>2.12</v>
      </c>
      <c r="AC25">
        <v>1.79</v>
      </c>
      <c r="AD25">
        <v>1.48</v>
      </c>
      <c r="AE25">
        <v>1.19</v>
      </c>
      <c r="AF25">
        <v>0.92</v>
      </c>
      <c r="AG25">
        <v>0.69</v>
      </c>
      <c r="AH25">
        <v>0.52</v>
      </c>
      <c r="AI25">
        <v>0.44</v>
      </c>
      <c r="AJ25">
        <v>0.43</v>
      </c>
      <c r="AK25">
        <v>0.39</v>
      </c>
      <c r="AL25">
        <v>0.35</v>
      </c>
      <c r="AM25">
        <v>0.32</v>
      </c>
      <c r="AN25">
        <v>0.28000000000000003</v>
      </c>
    </row>
    <row r="26" spans="1:40" x14ac:dyDescent="0.35">
      <c r="B26">
        <v>0.49</v>
      </c>
      <c r="C26" s="17">
        <v>0.15</v>
      </c>
      <c r="D26">
        <v>0.25</v>
      </c>
      <c r="E26">
        <v>0.67</v>
      </c>
      <c r="F26">
        <v>0.55000000000000004</v>
      </c>
      <c r="G26">
        <v>1.64</v>
      </c>
      <c r="H26">
        <v>1.25</v>
      </c>
      <c r="I26">
        <v>0.57999999999999996</v>
      </c>
      <c r="J26">
        <v>0.28000000000000003</v>
      </c>
      <c r="K26">
        <v>0.5</v>
      </c>
      <c r="L26">
        <v>0.19</v>
      </c>
      <c r="M26">
        <v>0.15</v>
      </c>
      <c r="N26">
        <v>0.1</v>
      </c>
      <c r="O26">
        <v>0.03</v>
      </c>
      <c r="P26">
        <v>0.59</v>
      </c>
      <c r="Q26">
        <v>2.19</v>
      </c>
      <c r="R26">
        <v>4.28</v>
      </c>
      <c r="S26">
        <v>0.75</v>
      </c>
      <c r="T26">
        <v>0.75</v>
      </c>
      <c r="U26">
        <v>1.44</v>
      </c>
      <c r="V26">
        <v>4.1100000000000003</v>
      </c>
      <c r="W26">
        <v>4.51</v>
      </c>
      <c r="X26">
        <v>3.75</v>
      </c>
      <c r="Y26">
        <v>3.06</v>
      </c>
      <c r="Z26">
        <v>2.42</v>
      </c>
      <c r="AA26">
        <v>2.09</v>
      </c>
      <c r="AB26">
        <v>1.8</v>
      </c>
      <c r="AC26">
        <v>1.52</v>
      </c>
      <c r="AD26">
        <v>1.27</v>
      </c>
      <c r="AE26">
        <v>1.04</v>
      </c>
      <c r="AF26">
        <v>0.82</v>
      </c>
      <c r="AG26">
        <v>0.63</v>
      </c>
      <c r="AH26">
        <v>0.48</v>
      </c>
      <c r="AI26">
        <v>0.44</v>
      </c>
      <c r="AJ26">
        <v>0.42</v>
      </c>
      <c r="AK26">
        <v>0.39</v>
      </c>
      <c r="AL26">
        <v>0.35</v>
      </c>
      <c r="AM26">
        <v>0.32</v>
      </c>
      <c r="AN26">
        <v>0.28000000000000003</v>
      </c>
    </row>
    <row r="27" spans="1:40" x14ac:dyDescent="0.35">
      <c r="B27">
        <v>0.49</v>
      </c>
      <c r="C27" s="17">
        <v>0.15</v>
      </c>
      <c r="D27">
        <v>0.25</v>
      </c>
      <c r="E27">
        <v>0.67</v>
      </c>
      <c r="F27">
        <v>0.55000000000000004</v>
      </c>
      <c r="G27">
        <v>1.64</v>
      </c>
      <c r="H27">
        <v>1.25</v>
      </c>
      <c r="I27">
        <v>0.57999999999999996</v>
      </c>
      <c r="J27">
        <v>0.28000000000000003</v>
      </c>
      <c r="K27">
        <v>0.5</v>
      </c>
      <c r="L27">
        <v>0.19</v>
      </c>
      <c r="M27">
        <v>0.15</v>
      </c>
      <c r="N27">
        <v>0.1</v>
      </c>
      <c r="O27">
        <v>0.03</v>
      </c>
      <c r="P27">
        <v>0.59</v>
      </c>
      <c r="Q27">
        <v>2.19</v>
      </c>
      <c r="R27">
        <v>4.28</v>
      </c>
      <c r="S27">
        <v>0.75</v>
      </c>
      <c r="T27">
        <v>0.75</v>
      </c>
      <c r="U27">
        <v>1.44</v>
      </c>
      <c r="V27">
        <v>4.25</v>
      </c>
      <c r="W27">
        <v>4.54</v>
      </c>
      <c r="X27">
        <v>3.95</v>
      </c>
      <c r="Y27">
        <v>3.24</v>
      </c>
      <c r="Z27">
        <v>2.57</v>
      </c>
      <c r="AA27">
        <v>2.19</v>
      </c>
      <c r="AB27">
        <v>1.86</v>
      </c>
      <c r="AC27">
        <v>1.58</v>
      </c>
      <c r="AD27">
        <v>1.32</v>
      </c>
      <c r="AE27">
        <v>1.0900000000000001</v>
      </c>
      <c r="AF27">
        <v>0.88</v>
      </c>
      <c r="AG27">
        <v>0.7</v>
      </c>
      <c r="AH27">
        <v>0.55000000000000004</v>
      </c>
      <c r="AI27">
        <v>0.47</v>
      </c>
      <c r="AJ27">
        <v>0.45</v>
      </c>
      <c r="AK27">
        <v>0.41</v>
      </c>
      <c r="AL27">
        <v>0.37</v>
      </c>
      <c r="AM27">
        <v>0.33</v>
      </c>
      <c r="AN27">
        <v>0.28999999999999998</v>
      </c>
    </row>
    <row r="28" spans="1:40" x14ac:dyDescent="0.35">
      <c r="B28">
        <v>0.49</v>
      </c>
      <c r="C28" s="17">
        <v>0.15</v>
      </c>
      <c r="D28">
        <v>0.25</v>
      </c>
      <c r="E28">
        <v>0.67</v>
      </c>
      <c r="F28">
        <v>0.55000000000000004</v>
      </c>
      <c r="G28">
        <v>1.64</v>
      </c>
      <c r="H28">
        <v>1.25</v>
      </c>
      <c r="I28">
        <v>0.57999999999999996</v>
      </c>
      <c r="J28">
        <v>0.28000000000000003</v>
      </c>
      <c r="K28">
        <v>0.5</v>
      </c>
      <c r="L28">
        <v>0.19</v>
      </c>
      <c r="M28">
        <v>0.15</v>
      </c>
      <c r="N28">
        <v>0.1</v>
      </c>
      <c r="O28">
        <v>0.03</v>
      </c>
      <c r="P28">
        <v>0.59</v>
      </c>
      <c r="Q28">
        <v>2.19</v>
      </c>
      <c r="R28">
        <v>4.28</v>
      </c>
      <c r="S28">
        <v>0.75</v>
      </c>
      <c r="T28">
        <v>0.75</v>
      </c>
      <c r="U28">
        <v>1.44</v>
      </c>
      <c r="V28">
        <v>5.08</v>
      </c>
      <c r="W28">
        <v>5.24</v>
      </c>
      <c r="X28">
        <v>4.49</v>
      </c>
      <c r="Y28">
        <v>3.66</v>
      </c>
      <c r="Z28">
        <v>2.85</v>
      </c>
      <c r="AA28">
        <v>2.38</v>
      </c>
      <c r="AB28">
        <v>2.02</v>
      </c>
      <c r="AC28">
        <v>1.7</v>
      </c>
      <c r="AD28">
        <v>1.46</v>
      </c>
      <c r="AE28">
        <v>1.23</v>
      </c>
      <c r="AF28">
        <v>1.01</v>
      </c>
      <c r="AG28">
        <v>0.83</v>
      </c>
      <c r="AH28">
        <v>0.68</v>
      </c>
      <c r="AI28">
        <v>0.57999999999999996</v>
      </c>
      <c r="AJ28">
        <v>0.54</v>
      </c>
      <c r="AK28">
        <v>0.49</v>
      </c>
      <c r="AL28">
        <v>0.42</v>
      </c>
      <c r="AM28">
        <v>0.38</v>
      </c>
      <c r="AN28">
        <v>0.35</v>
      </c>
    </row>
    <row r="29" spans="1:40" x14ac:dyDescent="0.35">
      <c r="B29">
        <v>0.49</v>
      </c>
      <c r="C29" s="17">
        <v>0.15</v>
      </c>
      <c r="D29">
        <v>0.25</v>
      </c>
      <c r="E29">
        <v>0.67</v>
      </c>
      <c r="F29">
        <v>0.55000000000000004</v>
      </c>
      <c r="G29">
        <v>1.64</v>
      </c>
      <c r="H29">
        <v>1.25</v>
      </c>
      <c r="I29">
        <v>0.57999999999999996</v>
      </c>
      <c r="J29">
        <v>0.28000000000000003</v>
      </c>
      <c r="K29">
        <v>0.5</v>
      </c>
      <c r="L29">
        <v>0.19</v>
      </c>
      <c r="M29">
        <v>0.15</v>
      </c>
      <c r="N29">
        <v>0.1</v>
      </c>
      <c r="O29">
        <v>0.03</v>
      </c>
      <c r="P29">
        <v>0.59</v>
      </c>
      <c r="Q29">
        <v>2.19</v>
      </c>
      <c r="R29">
        <v>4.28</v>
      </c>
      <c r="S29">
        <v>0.75</v>
      </c>
      <c r="T29">
        <v>0.75</v>
      </c>
      <c r="U29">
        <v>1.44</v>
      </c>
      <c r="V29">
        <v>4.92</v>
      </c>
      <c r="W29">
        <v>4.72</v>
      </c>
      <c r="X29">
        <v>3.88</v>
      </c>
      <c r="Y29">
        <v>3.2</v>
      </c>
      <c r="Z29">
        <v>2.5299999999999998</v>
      </c>
      <c r="AA29">
        <v>2.12</v>
      </c>
      <c r="AB29">
        <v>1.78</v>
      </c>
      <c r="AC29">
        <v>1.5</v>
      </c>
      <c r="AD29">
        <v>1.29</v>
      </c>
      <c r="AE29">
        <v>1.1000000000000001</v>
      </c>
      <c r="AF29">
        <v>0.92</v>
      </c>
      <c r="AG29">
        <v>0.75</v>
      </c>
      <c r="AH29">
        <v>0.62</v>
      </c>
      <c r="AI29">
        <v>0.55000000000000004</v>
      </c>
      <c r="AJ29">
        <v>0.51</v>
      </c>
      <c r="AK29">
        <v>0.47</v>
      </c>
      <c r="AL29">
        <v>0.41</v>
      </c>
      <c r="AM29">
        <v>0.38</v>
      </c>
      <c r="AN29">
        <v>0.33</v>
      </c>
    </row>
    <row r="30" spans="1:40" x14ac:dyDescent="0.35">
      <c r="B30">
        <v>0.49</v>
      </c>
      <c r="C30" s="17">
        <v>0.15</v>
      </c>
      <c r="D30">
        <v>0.25</v>
      </c>
      <c r="E30">
        <v>0.67</v>
      </c>
      <c r="F30">
        <v>0.55000000000000004</v>
      </c>
      <c r="G30">
        <v>1.64</v>
      </c>
      <c r="H30">
        <v>1.25</v>
      </c>
      <c r="I30">
        <v>0.57999999999999996</v>
      </c>
      <c r="J30">
        <v>0.28000000000000003</v>
      </c>
      <c r="K30">
        <v>0.5</v>
      </c>
      <c r="L30">
        <v>0.19</v>
      </c>
      <c r="M30">
        <v>0.15</v>
      </c>
      <c r="N30">
        <v>0.1</v>
      </c>
      <c r="O30">
        <v>0.03</v>
      </c>
      <c r="P30">
        <v>0.59</v>
      </c>
      <c r="Q30">
        <v>2.19</v>
      </c>
      <c r="R30">
        <v>4.28</v>
      </c>
      <c r="S30">
        <v>0.75</v>
      </c>
      <c r="T30">
        <v>0.75</v>
      </c>
      <c r="U30">
        <v>1.44</v>
      </c>
      <c r="V30">
        <v>4.68</v>
      </c>
      <c r="W30">
        <v>4.62</v>
      </c>
      <c r="X30">
        <v>3.78</v>
      </c>
      <c r="Y30">
        <v>3.16</v>
      </c>
      <c r="Z30">
        <v>2.5</v>
      </c>
      <c r="AA30">
        <v>2.09</v>
      </c>
      <c r="AB30">
        <v>1.74</v>
      </c>
      <c r="AC30">
        <v>1.46</v>
      </c>
      <c r="AD30">
        <v>1.25</v>
      </c>
      <c r="AE30">
        <v>1.07</v>
      </c>
      <c r="AF30">
        <v>0.9</v>
      </c>
      <c r="AG30">
        <v>0.75</v>
      </c>
      <c r="AH30">
        <v>0.62</v>
      </c>
      <c r="AI30">
        <v>0.54</v>
      </c>
      <c r="AJ30">
        <v>0.51</v>
      </c>
      <c r="AK30">
        <v>0.47</v>
      </c>
      <c r="AL30">
        <v>0.4</v>
      </c>
      <c r="AM30">
        <v>0.37</v>
      </c>
      <c r="AN30">
        <v>0.33</v>
      </c>
    </row>
    <row r="31" spans="1:40" x14ac:dyDescent="0.35">
      <c r="B31">
        <v>0.49</v>
      </c>
      <c r="C31" s="17">
        <v>0.15</v>
      </c>
      <c r="D31">
        <v>0.25</v>
      </c>
      <c r="E31">
        <v>0.67</v>
      </c>
      <c r="F31">
        <v>0.55000000000000004</v>
      </c>
      <c r="G31">
        <v>1.64</v>
      </c>
      <c r="H31">
        <v>1.25</v>
      </c>
      <c r="I31">
        <v>0.57999999999999996</v>
      </c>
      <c r="J31">
        <v>0.28000000000000003</v>
      </c>
      <c r="K31">
        <v>0.5</v>
      </c>
      <c r="L31">
        <v>0.19</v>
      </c>
      <c r="M31">
        <v>0.15</v>
      </c>
      <c r="N31">
        <v>0.1</v>
      </c>
      <c r="O31">
        <v>0.03</v>
      </c>
      <c r="P31">
        <v>0.59</v>
      </c>
      <c r="Q31">
        <v>2.19</v>
      </c>
      <c r="R31">
        <v>4.28</v>
      </c>
      <c r="S31">
        <v>0.75</v>
      </c>
      <c r="T31">
        <v>0.75</v>
      </c>
      <c r="U31">
        <v>1.44</v>
      </c>
      <c r="V31">
        <v>4.22</v>
      </c>
      <c r="W31">
        <v>4.03</v>
      </c>
      <c r="X31">
        <v>3.2</v>
      </c>
      <c r="Y31">
        <v>2.75</v>
      </c>
      <c r="Z31">
        <v>2.2999999999999998</v>
      </c>
      <c r="AA31">
        <v>1.98</v>
      </c>
      <c r="AB31">
        <v>1.69</v>
      </c>
      <c r="AC31">
        <v>1.44</v>
      </c>
      <c r="AD31">
        <v>1.25</v>
      </c>
      <c r="AE31">
        <v>1.07</v>
      </c>
      <c r="AF31">
        <v>0.91</v>
      </c>
      <c r="AG31">
        <v>0.76</v>
      </c>
      <c r="AH31">
        <v>0.63</v>
      </c>
      <c r="AI31">
        <v>0.56000000000000005</v>
      </c>
      <c r="AJ31">
        <v>0.52</v>
      </c>
      <c r="AK31">
        <v>0.47</v>
      </c>
      <c r="AL31">
        <v>0.41</v>
      </c>
      <c r="AM31">
        <v>0.37</v>
      </c>
      <c r="AN31">
        <v>0.33</v>
      </c>
    </row>
    <row r="32" spans="1:40" x14ac:dyDescent="0.35">
      <c r="B32">
        <v>0.49</v>
      </c>
      <c r="C32" s="17">
        <v>0.15</v>
      </c>
      <c r="D32">
        <v>0.25</v>
      </c>
      <c r="E32">
        <v>0.67</v>
      </c>
      <c r="F32">
        <v>0.55000000000000004</v>
      </c>
      <c r="G32">
        <v>1.64</v>
      </c>
      <c r="H32">
        <v>1.25</v>
      </c>
      <c r="I32">
        <v>0.57999999999999996</v>
      </c>
      <c r="J32">
        <v>0.28000000000000003</v>
      </c>
      <c r="K32">
        <v>0.5</v>
      </c>
      <c r="L32">
        <v>0.19</v>
      </c>
      <c r="M32">
        <v>0.15</v>
      </c>
      <c r="N32">
        <v>0.1</v>
      </c>
      <c r="O32">
        <v>0.03</v>
      </c>
      <c r="P32">
        <v>0.59</v>
      </c>
      <c r="Q32">
        <v>2.19</v>
      </c>
      <c r="R32">
        <v>4.28</v>
      </c>
      <c r="S32">
        <v>0.75</v>
      </c>
      <c r="T32">
        <v>0.75</v>
      </c>
      <c r="U32">
        <v>1.44</v>
      </c>
      <c r="V32">
        <v>3.41</v>
      </c>
      <c r="W32">
        <v>3.21</v>
      </c>
      <c r="X32">
        <v>2.69</v>
      </c>
      <c r="Y32">
        <v>2.29</v>
      </c>
      <c r="Z32">
        <v>1.86</v>
      </c>
      <c r="AA32">
        <v>1.57</v>
      </c>
      <c r="AB32">
        <v>1.33</v>
      </c>
      <c r="AC32">
        <v>1.1399999999999999</v>
      </c>
      <c r="AD32">
        <v>1.02</v>
      </c>
      <c r="AE32">
        <v>0.92</v>
      </c>
      <c r="AF32">
        <v>0.81</v>
      </c>
      <c r="AG32">
        <v>0.7</v>
      </c>
      <c r="AH32">
        <v>0.6</v>
      </c>
      <c r="AI32">
        <v>0.56000000000000005</v>
      </c>
      <c r="AJ32">
        <v>0.52</v>
      </c>
      <c r="AK32">
        <v>0.46</v>
      </c>
      <c r="AL32">
        <v>0.41</v>
      </c>
      <c r="AM32">
        <v>0.38</v>
      </c>
      <c r="AN32">
        <v>0.36</v>
      </c>
    </row>
    <row r="33" spans="2:40" x14ac:dyDescent="0.35">
      <c r="B33">
        <v>0.49</v>
      </c>
      <c r="C33" s="17">
        <v>0.15</v>
      </c>
      <c r="D33">
        <v>0.25</v>
      </c>
      <c r="E33">
        <v>0.67</v>
      </c>
      <c r="F33">
        <v>0.55000000000000004</v>
      </c>
      <c r="G33">
        <v>1.64</v>
      </c>
      <c r="H33">
        <v>1.25</v>
      </c>
      <c r="I33">
        <v>0.57999999999999996</v>
      </c>
      <c r="J33">
        <v>0.28000000000000003</v>
      </c>
      <c r="K33">
        <v>0.5</v>
      </c>
      <c r="L33">
        <v>0.19</v>
      </c>
      <c r="M33">
        <v>0.15</v>
      </c>
      <c r="N33">
        <v>0.1</v>
      </c>
      <c r="O33">
        <v>0.03</v>
      </c>
      <c r="P33">
        <v>0.59</v>
      </c>
      <c r="Q33">
        <v>2.19</v>
      </c>
      <c r="R33">
        <v>4.28</v>
      </c>
      <c r="S33">
        <v>0.75</v>
      </c>
      <c r="T33">
        <v>0.75</v>
      </c>
      <c r="U33">
        <v>1.44</v>
      </c>
      <c r="V33">
        <v>3.41</v>
      </c>
      <c r="W33">
        <v>2.54</v>
      </c>
      <c r="X33">
        <v>2.2799999999999998</v>
      </c>
      <c r="Y33">
        <v>2.02</v>
      </c>
      <c r="Z33">
        <v>1.72</v>
      </c>
      <c r="AA33">
        <v>1.47</v>
      </c>
      <c r="AB33">
        <v>1.27</v>
      </c>
      <c r="AC33">
        <v>1.0900000000000001</v>
      </c>
      <c r="AD33">
        <v>0.99</v>
      </c>
      <c r="AE33">
        <v>0.9</v>
      </c>
      <c r="AF33">
        <v>0.81</v>
      </c>
      <c r="AG33">
        <v>0.71</v>
      </c>
      <c r="AH33">
        <v>0.61</v>
      </c>
      <c r="AI33">
        <v>0.56999999999999995</v>
      </c>
      <c r="AJ33">
        <v>0.52</v>
      </c>
      <c r="AK33">
        <v>0.47</v>
      </c>
      <c r="AL33">
        <v>0.42</v>
      </c>
      <c r="AM33">
        <v>0.39</v>
      </c>
      <c r="AN33">
        <v>0.36</v>
      </c>
    </row>
    <row r="34" spans="2:40" x14ac:dyDescent="0.35">
      <c r="B34">
        <v>0.49</v>
      </c>
      <c r="C34" s="17">
        <v>0.15</v>
      </c>
      <c r="D34">
        <v>0.25</v>
      </c>
      <c r="E34">
        <v>0.67</v>
      </c>
      <c r="F34">
        <v>0.55000000000000004</v>
      </c>
      <c r="G34">
        <v>1.64</v>
      </c>
      <c r="H34">
        <v>1.25</v>
      </c>
      <c r="I34">
        <v>0.57999999999999996</v>
      </c>
      <c r="J34">
        <v>0.28000000000000003</v>
      </c>
      <c r="K34">
        <v>0.5</v>
      </c>
      <c r="L34">
        <v>0.19</v>
      </c>
      <c r="M34">
        <v>0.15</v>
      </c>
      <c r="N34">
        <v>0.1</v>
      </c>
      <c r="O34">
        <v>0.03</v>
      </c>
      <c r="P34">
        <v>0.59</v>
      </c>
      <c r="Q34">
        <v>2.19</v>
      </c>
      <c r="R34">
        <v>4.28</v>
      </c>
      <c r="S34">
        <v>0.75</v>
      </c>
      <c r="T34">
        <v>0.75</v>
      </c>
      <c r="U34">
        <v>1.44</v>
      </c>
      <c r="V34">
        <v>3.41</v>
      </c>
      <c r="W34">
        <v>2.65</v>
      </c>
      <c r="X34">
        <v>2.42</v>
      </c>
      <c r="Y34">
        <v>2.13</v>
      </c>
      <c r="Z34">
        <v>1.85</v>
      </c>
      <c r="AA34">
        <v>1.63</v>
      </c>
      <c r="AB34">
        <v>1.44</v>
      </c>
      <c r="AC34">
        <v>1.27</v>
      </c>
      <c r="AD34">
        <v>1.1499999999999999</v>
      </c>
      <c r="AE34">
        <v>1.05</v>
      </c>
      <c r="AF34">
        <v>0.92</v>
      </c>
      <c r="AG34">
        <v>0.83</v>
      </c>
      <c r="AH34">
        <v>0.71</v>
      </c>
      <c r="AI34">
        <v>0.63</v>
      </c>
      <c r="AJ34">
        <v>0.57999999999999996</v>
      </c>
      <c r="AK34">
        <v>0.52</v>
      </c>
      <c r="AL34">
        <v>0.45</v>
      </c>
      <c r="AM34">
        <v>0.41</v>
      </c>
      <c r="AN34">
        <v>0.38</v>
      </c>
    </row>
    <row r="35" spans="2:40" x14ac:dyDescent="0.35">
      <c r="B35">
        <v>0.49</v>
      </c>
      <c r="C35" s="17">
        <v>0.15</v>
      </c>
      <c r="D35">
        <v>0.25</v>
      </c>
      <c r="E35">
        <v>0.67</v>
      </c>
      <c r="F35">
        <v>0.55000000000000004</v>
      </c>
      <c r="G35">
        <v>1.64</v>
      </c>
      <c r="H35">
        <v>1.25</v>
      </c>
      <c r="I35">
        <v>0.57999999999999996</v>
      </c>
      <c r="J35">
        <v>0.28000000000000003</v>
      </c>
      <c r="K35">
        <v>0.5</v>
      </c>
      <c r="L35">
        <v>0.19</v>
      </c>
      <c r="M35">
        <v>0.15</v>
      </c>
      <c r="N35">
        <v>0.1</v>
      </c>
      <c r="O35">
        <v>0.03</v>
      </c>
      <c r="P35">
        <v>0.59</v>
      </c>
      <c r="Q35">
        <v>2.19</v>
      </c>
      <c r="R35">
        <v>4.28</v>
      </c>
      <c r="S35">
        <v>0.75</v>
      </c>
      <c r="T35">
        <v>0.75</v>
      </c>
      <c r="U35">
        <v>1.44</v>
      </c>
      <c r="V35">
        <v>3.41</v>
      </c>
      <c r="W35">
        <v>3.71</v>
      </c>
      <c r="X35">
        <v>3.01</v>
      </c>
      <c r="Y35">
        <v>2.4500000000000002</v>
      </c>
      <c r="Z35">
        <v>1.94</v>
      </c>
      <c r="AA35">
        <v>1.66</v>
      </c>
      <c r="AB35">
        <v>1.44</v>
      </c>
      <c r="AC35">
        <v>1.27</v>
      </c>
      <c r="AD35">
        <v>1.1499999999999999</v>
      </c>
      <c r="AE35">
        <v>1.06</v>
      </c>
      <c r="AF35">
        <v>0.95</v>
      </c>
      <c r="AG35">
        <v>0.85</v>
      </c>
      <c r="AH35">
        <v>0.73</v>
      </c>
      <c r="AI35">
        <v>0.67</v>
      </c>
      <c r="AJ35">
        <v>0.61</v>
      </c>
      <c r="AK35">
        <v>0.56000000000000005</v>
      </c>
      <c r="AL35">
        <v>0.49</v>
      </c>
      <c r="AM35">
        <v>0.46</v>
      </c>
      <c r="AN35">
        <v>0.41</v>
      </c>
    </row>
    <row r="36" spans="2:40" x14ac:dyDescent="0.35">
      <c r="B36">
        <v>0.49</v>
      </c>
      <c r="C36" s="17">
        <v>0.15</v>
      </c>
      <c r="D36">
        <v>0.25</v>
      </c>
      <c r="E36">
        <v>0.67</v>
      </c>
      <c r="F36">
        <v>0.55000000000000004</v>
      </c>
      <c r="G36">
        <v>1.64</v>
      </c>
      <c r="H36">
        <v>1.25</v>
      </c>
      <c r="I36">
        <v>0.57999999999999996</v>
      </c>
      <c r="J36">
        <v>0.28000000000000003</v>
      </c>
      <c r="K36">
        <v>0.5</v>
      </c>
      <c r="L36">
        <v>0.19</v>
      </c>
      <c r="M36">
        <v>0.15</v>
      </c>
      <c r="N36">
        <v>0.1</v>
      </c>
      <c r="O36">
        <v>0.03</v>
      </c>
      <c r="P36">
        <v>0.59</v>
      </c>
      <c r="Q36">
        <v>2.19</v>
      </c>
      <c r="R36">
        <v>4.28</v>
      </c>
      <c r="S36">
        <v>0.75</v>
      </c>
      <c r="T36">
        <v>0.75</v>
      </c>
      <c r="U36">
        <v>1.44</v>
      </c>
      <c r="V36">
        <v>3.41</v>
      </c>
      <c r="W36">
        <v>3.7</v>
      </c>
      <c r="X36">
        <v>2.7</v>
      </c>
      <c r="Y36">
        <v>2.04</v>
      </c>
      <c r="Z36">
        <v>1.51</v>
      </c>
      <c r="AA36">
        <v>1.34</v>
      </c>
      <c r="AB36">
        <v>1.18</v>
      </c>
      <c r="AC36">
        <v>1.08</v>
      </c>
      <c r="AD36">
        <v>1</v>
      </c>
      <c r="AE36">
        <v>0.92</v>
      </c>
      <c r="AF36">
        <v>0.86</v>
      </c>
      <c r="AG36">
        <v>0.77</v>
      </c>
      <c r="AH36">
        <v>0.68</v>
      </c>
      <c r="AI36">
        <v>0.63</v>
      </c>
      <c r="AJ36">
        <v>0.56000000000000005</v>
      </c>
      <c r="AK36">
        <v>0.51</v>
      </c>
      <c r="AL36">
        <v>0.45</v>
      </c>
      <c r="AM36">
        <v>0.41</v>
      </c>
      <c r="AN36">
        <v>0.36</v>
      </c>
    </row>
    <row r="37" spans="2:40" x14ac:dyDescent="0.35">
      <c r="B37">
        <v>0.49</v>
      </c>
      <c r="C37" s="17">
        <v>0.15</v>
      </c>
      <c r="D37">
        <v>0.25</v>
      </c>
      <c r="E37">
        <v>0.67</v>
      </c>
      <c r="F37">
        <v>0.55000000000000004</v>
      </c>
      <c r="G37">
        <v>1.64</v>
      </c>
      <c r="H37">
        <v>1.25</v>
      </c>
      <c r="I37">
        <v>0.57999999999999996</v>
      </c>
      <c r="J37">
        <v>0.28000000000000003</v>
      </c>
      <c r="K37">
        <v>0.5</v>
      </c>
      <c r="L37">
        <v>0.19</v>
      </c>
      <c r="M37">
        <v>0.15</v>
      </c>
      <c r="N37">
        <v>0.1</v>
      </c>
      <c r="O37">
        <v>0.03</v>
      </c>
      <c r="P37">
        <v>0.59</v>
      </c>
      <c r="Q37">
        <v>2.19</v>
      </c>
      <c r="R37">
        <v>4.28</v>
      </c>
      <c r="S37">
        <v>0.75</v>
      </c>
      <c r="T37">
        <v>0.75</v>
      </c>
      <c r="U37">
        <v>1.44</v>
      </c>
      <c r="V37">
        <v>3.41</v>
      </c>
      <c r="W37">
        <v>3.59</v>
      </c>
      <c r="X37">
        <v>2.4700000000000002</v>
      </c>
      <c r="Y37">
        <v>1.85</v>
      </c>
      <c r="Z37">
        <v>1.48</v>
      </c>
      <c r="AA37">
        <v>1.33</v>
      </c>
      <c r="AB37">
        <v>1.18</v>
      </c>
      <c r="AC37">
        <v>1.0900000000000001</v>
      </c>
      <c r="AD37">
        <v>1</v>
      </c>
      <c r="AE37">
        <v>0.94</v>
      </c>
      <c r="AF37">
        <v>0.86</v>
      </c>
      <c r="AG37">
        <v>0.78</v>
      </c>
      <c r="AH37">
        <v>0.69</v>
      </c>
      <c r="AI37">
        <v>0.66</v>
      </c>
      <c r="AJ37">
        <v>0.57999999999999996</v>
      </c>
      <c r="AK37">
        <v>0.54</v>
      </c>
      <c r="AL37">
        <v>0.47</v>
      </c>
      <c r="AM37">
        <v>0.43</v>
      </c>
      <c r="AN37">
        <v>0.4</v>
      </c>
    </row>
    <row r="38" spans="2:40" x14ac:dyDescent="0.35">
      <c r="B38">
        <v>0.49</v>
      </c>
      <c r="C38" s="17">
        <v>0.15</v>
      </c>
      <c r="D38">
        <v>0.25</v>
      </c>
      <c r="E38">
        <v>0.67</v>
      </c>
      <c r="F38">
        <v>0.55000000000000004</v>
      </c>
      <c r="G38">
        <v>1.64</v>
      </c>
      <c r="H38">
        <v>1.25</v>
      </c>
      <c r="I38">
        <v>0.57999999999999996</v>
      </c>
      <c r="J38">
        <v>0.28000000000000003</v>
      </c>
      <c r="K38">
        <v>0.5</v>
      </c>
      <c r="L38">
        <v>0.19</v>
      </c>
      <c r="M38">
        <v>0.15</v>
      </c>
      <c r="N38">
        <v>0.1</v>
      </c>
      <c r="O38">
        <v>0.03</v>
      </c>
      <c r="P38">
        <v>0.59</v>
      </c>
      <c r="Q38">
        <v>2.19</v>
      </c>
      <c r="R38">
        <v>4.28</v>
      </c>
      <c r="S38">
        <v>0.75</v>
      </c>
      <c r="T38">
        <v>0.75</v>
      </c>
      <c r="U38">
        <v>1.44</v>
      </c>
      <c r="V38">
        <v>3.41</v>
      </c>
      <c r="W38">
        <v>2.13</v>
      </c>
      <c r="X38">
        <v>1.54</v>
      </c>
      <c r="Y38">
        <v>1.46</v>
      </c>
      <c r="Z38">
        <v>1.33</v>
      </c>
      <c r="AA38">
        <v>1.23</v>
      </c>
      <c r="AB38">
        <v>1.1200000000000001</v>
      </c>
      <c r="AC38">
        <v>1.02</v>
      </c>
      <c r="AD38">
        <v>0.94</v>
      </c>
      <c r="AE38">
        <v>0.88</v>
      </c>
      <c r="AF38">
        <v>0.8</v>
      </c>
      <c r="AG38">
        <v>0.71</v>
      </c>
      <c r="AH38">
        <v>0.63</v>
      </c>
      <c r="AI38">
        <v>0.57999999999999996</v>
      </c>
      <c r="AJ38">
        <v>0.54</v>
      </c>
      <c r="AK38">
        <v>0.5</v>
      </c>
      <c r="AL38">
        <v>0.46</v>
      </c>
      <c r="AM38">
        <v>0.42</v>
      </c>
      <c r="AN38">
        <v>0.38</v>
      </c>
    </row>
    <row r="39" spans="2:40" x14ac:dyDescent="0.35">
      <c r="B39">
        <v>0.49</v>
      </c>
      <c r="C39" s="17">
        <v>0.15</v>
      </c>
      <c r="D39">
        <v>0.25</v>
      </c>
      <c r="E39">
        <v>0.67</v>
      </c>
      <c r="F39">
        <v>0.55000000000000004</v>
      </c>
      <c r="G39">
        <v>1.64</v>
      </c>
      <c r="H39">
        <v>1.25</v>
      </c>
      <c r="I39">
        <v>0.57999999999999996</v>
      </c>
      <c r="J39">
        <v>0.28000000000000003</v>
      </c>
      <c r="K39">
        <v>0.5</v>
      </c>
      <c r="L39">
        <v>0.19</v>
      </c>
      <c r="M39">
        <v>0.15</v>
      </c>
      <c r="N39">
        <v>0.1</v>
      </c>
      <c r="O39">
        <v>0.03</v>
      </c>
      <c r="P39">
        <v>0.59</v>
      </c>
      <c r="Q39">
        <v>2.19</v>
      </c>
      <c r="R39">
        <v>4.28</v>
      </c>
      <c r="S39">
        <v>0.75</v>
      </c>
      <c r="T39">
        <v>0.75</v>
      </c>
      <c r="U39">
        <v>1.44</v>
      </c>
      <c r="V39">
        <v>3.41</v>
      </c>
      <c r="W39">
        <v>2.0099999999999998</v>
      </c>
      <c r="X39">
        <v>1.68</v>
      </c>
      <c r="Y39">
        <v>1.63</v>
      </c>
      <c r="Z39">
        <v>1.42</v>
      </c>
      <c r="AA39">
        <v>1.27</v>
      </c>
      <c r="AB39">
        <v>1.1299999999999999</v>
      </c>
      <c r="AC39">
        <v>1.04</v>
      </c>
      <c r="AD39">
        <v>0.97</v>
      </c>
      <c r="AE39">
        <v>0.9</v>
      </c>
      <c r="AF39">
        <v>0.85</v>
      </c>
      <c r="AG39">
        <v>0.77</v>
      </c>
      <c r="AH39">
        <v>0.68</v>
      </c>
      <c r="AI39">
        <v>0.66</v>
      </c>
      <c r="AJ39">
        <v>0.6</v>
      </c>
      <c r="AK39">
        <v>0.56999999999999995</v>
      </c>
      <c r="AL39">
        <v>0.51</v>
      </c>
      <c r="AM39">
        <v>0.47</v>
      </c>
      <c r="AN39">
        <v>0.42</v>
      </c>
    </row>
    <row r="40" spans="2:40" x14ac:dyDescent="0.35">
      <c r="C40" s="17"/>
    </row>
    <row r="41" spans="2:40" x14ac:dyDescent="0.35">
      <c r="C41" s="17"/>
    </row>
    <row r="42" spans="2:40" x14ac:dyDescent="0.35">
      <c r="C42" s="17"/>
    </row>
    <row r="43" spans="2:40" x14ac:dyDescent="0.35">
      <c r="C43" s="17"/>
    </row>
    <row r="44" spans="2:40" x14ac:dyDescent="0.35">
      <c r="C44" s="17"/>
    </row>
    <row r="45" spans="2:40" x14ac:dyDescent="0.35">
      <c r="C45" s="17"/>
    </row>
    <row r="46" spans="2:40" x14ac:dyDescent="0.35">
      <c r="C46" s="17"/>
    </row>
    <row r="47" spans="2:40" x14ac:dyDescent="0.35">
      <c r="C47" s="17"/>
    </row>
    <row r="48" spans="2:40" x14ac:dyDescent="0.35">
      <c r="C48" s="17"/>
    </row>
    <row r="49" spans="3:3" x14ac:dyDescent="0.35">
      <c r="C49" s="17"/>
    </row>
    <row r="50" spans="3:3" x14ac:dyDescent="0.35">
      <c r="C50" s="17"/>
    </row>
    <row r="51" spans="3:3" x14ac:dyDescent="0.35">
      <c r="C51" s="17"/>
    </row>
    <row r="52" spans="3:3" x14ac:dyDescent="0.35">
      <c r="C52" s="17"/>
    </row>
    <row r="53" spans="3:3" x14ac:dyDescent="0.35">
      <c r="C53" s="17"/>
    </row>
    <row r="54" spans="3:3" x14ac:dyDescent="0.35">
      <c r="C54" s="17"/>
    </row>
    <row r="55" spans="3:3" x14ac:dyDescent="0.35">
      <c r="C55" s="17"/>
    </row>
    <row r="56" spans="3:3" x14ac:dyDescent="0.35">
      <c r="C56" s="17"/>
    </row>
    <row r="57" spans="3:3" x14ac:dyDescent="0.35">
      <c r="C57" s="17"/>
    </row>
    <row r="58" spans="3:3" x14ac:dyDescent="0.35">
      <c r="C58" s="17"/>
    </row>
    <row r="59" spans="3:3" x14ac:dyDescent="0.35">
      <c r="C59" s="17"/>
    </row>
    <row r="60" spans="3:3" x14ac:dyDescent="0.35">
      <c r="C60" s="17"/>
    </row>
    <row r="61" spans="3:3" x14ac:dyDescent="0.35">
      <c r="C61" s="17"/>
    </row>
    <row r="62" spans="3:3" x14ac:dyDescent="0.35">
      <c r="C62" s="17"/>
    </row>
    <row r="63" spans="3:3" x14ac:dyDescent="0.35">
      <c r="C63" s="17"/>
    </row>
    <row r="64" spans="3:3" x14ac:dyDescent="0.35">
      <c r="C64" s="17"/>
    </row>
    <row r="65" spans="3:3" x14ac:dyDescent="0.35">
      <c r="C65" s="17"/>
    </row>
    <row r="66" spans="3:3" x14ac:dyDescent="0.35">
      <c r="C66" s="17"/>
    </row>
    <row r="67" spans="3:3" x14ac:dyDescent="0.35">
      <c r="C67" s="17"/>
    </row>
    <row r="68" spans="3:3" x14ac:dyDescent="0.35">
      <c r="C68" s="17"/>
    </row>
    <row r="69" spans="3:3" x14ac:dyDescent="0.35">
      <c r="C69" s="17"/>
    </row>
    <row r="70" spans="3:3" x14ac:dyDescent="0.35">
      <c r="C70" s="17"/>
    </row>
    <row r="71" spans="3:3" x14ac:dyDescent="0.35">
      <c r="C71" s="17"/>
    </row>
    <row r="72" spans="3:3" x14ac:dyDescent="0.35">
      <c r="C72" s="17"/>
    </row>
    <row r="73" spans="3:3" x14ac:dyDescent="0.35">
      <c r="C73" s="17"/>
    </row>
    <row r="74" spans="3:3" x14ac:dyDescent="0.35">
      <c r="C74" s="17"/>
    </row>
    <row r="75" spans="3:3" x14ac:dyDescent="0.35">
      <c r="C75" s="17"/>
    </row>
    <row r="76" spans="3:3" x14ac:dyDescent="0.35">
      <c r="C76" s="17"/>
    </row>
    <row r="77" spans="3:3" x14ac:dyDescent="0.35">
      <c r="C77" s="17"/>
    </row>
    <row r="78" spans="3:3" x14ac:dyDescent="0.35">
      <c r="C78" s="17"/>
    </row>
    <row r="79" spans="3:3" x14ac:dyDescent="0.35">
      <c r="C79" s="17"/>
    </row>
    <row r="80" spans="3:3" x14ac:dyDescent="0.35">
      <c r="C80" s="17"/>
    </row>
    <row r="81" spans="3:3" x14ac:dyDescent="0.35">
      <c r="C81" s="17"/>
    </row>
    <row r="82" spans="3:3" x14ac:dyDescent="0.35">
      <c r="C82" s="17"/>
    </row>
    <row r="83" spans="3:3" x14ac:dyDescent="0.35">
      <c r="C83" s="17"/>
    </row>
    <row r="84" spans="3:3" x14ac:dyDescent="0.35">
      <c r="C84" s="17"/>
    </row>
    <row r="85" spans="3:3" x14ac:dyDescent="0.35">
      <c r="C85" s="17"/>
    </row>
    <row r="86" spans="3:3" x14ac:dyDescent="0.35">
      <c r="C86" s="17"/>
    </row>
    <row r="87" spans="3:3" x14ac:dyDescent="0.35">
      <c r="C87" s="17"/>
    </row>
    <row r="88" spans="3:3" x14ac:dyDescent="0.35">
      <c r="C88" s="17"/>
    </row>
    <row r="89" spans="3:3" x14ac:dyDescent="0.35">
      <c r="C89" s="17"/>
    </row>
    <row r="90" spans="3:3" x14ac:dyDescent="0.35">
      <c r="C90" s="17"/>
    </row>
    <row r="91" spans="3:3" x14ac:dyDescent="0.35">
      <c r="C91" s="17"/>
    </row>
    <row r="92" spans="3:3" x14ac:dyDescent="0.35">
      <c r="C92" s="17"/>
    </row>
    <row r="93" spans="3:3" x14ac:dyDescent="0.35">
      <c r="C93" s="17"/>
    </row>
    <row r="94" spans="3:3" x14ac:dyDescent="0.35">
      <c r="C94" s="17"/>
    </row>
    <row r="95" spans="3:3" x14ac:dyDescent="0.35">
      <c r="C95" s="17"/>
    </row>
    <row r="96" spans="3:3" x14ac:dyDescent="0.35">
      <c r="C96" s="17"/>
    </row>
    <row r="97" spans="3:3" x14ac:dyDescent="0.35">
      <c r="C97" s="17"/>
    </row>
    <row r="98" spans="3:3" x14ac:dyDescent="0.35">
      <c r="C98" s="17"/>
    </row>
    <row r="99" spans="3:3" x14ac:dyDescent="0.35">
      <c r="C99" s="17"/>
    </row>
    <row r="100" spans="3:3" x14ac:dyDescent="0.35">
      <c r="C100" s="17"/>
    </row>
    <row r="101" spans="3:3" x14ac:dyDescent="0.35">
      <c r="C101" s="17"/>
    </row>
    <row r="102" spans="3:3" x14ac:dyDescent="0.35">
      <c r="C102" s="17"/>
    </row>
    <row r="103" spans="3:3" x14ac:dyDescent="0.35">
      <c r="C103" s="17"/>
    </row>
    <row r="104" spans="3:3" x14ac:dyDescent="0.35">
      <c r="C104" s="17"/>
    </row>
    <row r="105" spans="3:3" x14ac:dyDescent="0.35">
      <c r="C105" s="17"/>
    </row>
    <row r="106" spans="3:3" x14ac:dyDescent="0.35">
      <c r="C106" s="17"/>
    </row>
    <row r="107" spans="3:3" x14ac:dyDescent="0.35">
      <c r="C107" s="17"/>
    </row>
    <row r="108" spans="3:3" x14ac:dyDescent="0.35">
      <c r="C108" s="17"/>
    </row>
    <row r="109" spans="3:3" x14ac:dyDescent="0.35">
      <c r="C109" s="17"/>
    </row>
    <row r="110" spans="3:3" x14ac:dyDescent="0.35">
      <c r="C110" s="17"/>
    </row>
    <row r="111" spans="3:3" x14ac:dyDescent="0.35">
      <c r="C111" s="17"/>
    </row>
    <row r="112" spans="3:3" x14ac:dyDescent="0.35">
      <c r="C112" s="17"/>
    </row>
    <row r="113" spans="3:3" x14ac:dyDescent="0.35">
      <c r="C113" s="17"/>
    </row>
    <row r="114" spans="3:3" x14ac:dyDescent="0.35">
      <c r="C114" s="17"/>
    </row>
    <row r="115" spans="3:3" x14ac:dyDescent="0.35">
      <c r="C115" s="17"/>
    </row>
    <row r="116" spans="3:3" x14ac:dyDescent="0.35">
      <c r="C116" s="17"/>
    </row>
    <row r="117" spans="3:3" x14ac:dyDescent="0.35">
      <c r="C117" s="17"/>
    </row>
    <row r="118" spans="3:3" x14ac:dyDescent="0.35">
      <c r="C118" s="17"/>
    </row>
    <row r="119" spans="3:3" x14ac:dyDescent="0.35">
      <c r="C119" s="17"/>
    </row>
    <row r="120" spans="3:3" x14ac:dyDescent="0.35">
      <c r="C120" s="17"/>
    </row>
    <row r="121" spans="3:3" x14ac:dyDescent="0.35">
      <c r="C121" s="17"/>
    </row>
    <row r="122" spans="3:3" x14ac:dyDescent="0.35">
      <c r="C122" s="17"/>
    </row>
    <row r="123" spans="3:3" x14ac:dyDescent="0.35">
      <c r="C123" s="17"/>
    </row>
    <row r="124" spans="3:3" x14ac:dyDescent="0.35">
      <c r="C124" s="17"/>
    </row>
    <row r="125" spans="3:3" x14ac:dyDescent="0.35">
      <c r="C125" s="17"/>
    </row>
    <row r="126" spans="3:3" x14ac:dyDescent="0.35">
      <c r="C126" s="17"/>
    </row>
    <row r="127" spans="3:3" x14ac:dyDescent="0.35">
      <c r="C127" s="17"/>
    </row>
    <row r="128" spans="3:3" x14ac:dyDescent="0.35">
      <c r="C128" s="17"/>
    </row>
    <row r="129" spans="3:3" x14ac:dyDescent="0.35">
      <c r="C129" s="17"/>
    </row>
    <row r="130" spans="3:3" x14ac:dyDescent="0.35">
      <c r="C130" s="17"/>
    </row>
    <row r="131" spans="3:3" x14ac:dyDescent="0.35">
      <c r="C131" s="17"/>
    </row>
    <row r="132" spans="3:3" x14ac:dyDescent="0.35">
      <c r="C132" s="17"/>
    </row>
    <row r="133" spans="3:3" x14ac:dyDescent="0.35">
      <c r="C133" s="17"/>
    </row>
    <row r="134" spans="3:3" x14ac:dyDescent="0.35">
      <c r="C134" s="17"/>
    </row>
    <row r="135" spans="3:3" x14ac:dyDescent="0.35">
      <c r="C135" s="17"/>
    </row>
    <row r="136" spans="3:3" x14ac:dyDescent="0.35">
      <c r="C136" s="17"/>
    </row>
    <row r="137" spans="3:3" x14ac:dyDescent="0.35">
      <c r="C137" s="17"/>
    </row>
    <row r="138" spans="3:3" x14ac:dyDescent="0.35">
      <c r="C138" s="17"/>
    </row>
    <row r="139" spans="3:3" x14ac:dyDescent="0.35">
      <c r="C139" s="17"/>
    </row>
    <row r="140" spans="3:3" x14ac:dyDescent="0.35">
      <c r="C140" s="17"/>
    </row>
    <row r="141" spans="3:3" x14ac:dyDescent="0.35">
      <c r="C141" s="17"/>
    </row>
    <row r="142" spans="3:3" x14ac:dyDescent="0.35">
      <c r="C142" s="17"/>
    </row>
    <row r="143" spans="3:3" x14ac:dyDescent="0.35">
      <c r="C143" s="17"/>
    </row>
    <row r="144" spans="3:3" x14ac:dyDescent="0.35">
      <c r="C144" s="17"/>
    </row>
    <row r="145" spans="3:3" x14ac:dyDescent="0.35">
      <c r="C145" s="17"/>
    </row>
    <row r="146" spans="3:3" x14ac:dyDescent="0.35">
      <c r="C146" s="17"/>
    </row>
    <row r="147" spans="3:3" x14ac:dyDescent="0.35">
      <c r="C147" s="17"/>
    </row>
    <row r="148" spans="3:3" x14ac:dyDescent="0.35">
      <c r="C148" s="17"/>
    </row>
    <row r="149" spans="3:3" x14ac:dyDescent="0.35">
      <c r="C149" s="17"/>
    </row>
    <row r="150" spans="3:3" x14ac:dyDescent="0.35">
      <c r="C150" s="17"/>
    </row>
    <row r="151" spans="3:3" x14ac:dyDescent="0.35">
      <c r="C151" s="17"/>
    </row>
    <row r="152" spans="3:3" x14ac:dyDescent="0.35">
      <c r="C152" s="17"/>
    </row>
    <row r="153" spans="3:3" x14ac:dyDescent="0.35">
      <c r="C153" s="17"/>
    </row>
    <row r="154" spans="3:3" x14ac:dyDescent="0.35">
      <c r="C154" s="17"/>
    </row>
    <row r="155" spans="3:3" x14ac:dyDescent="0.35">
      <c r="C155" s="17"/>
    </row>
    <row r="156" spans="3:3" x14ac:dyDescent="0.35">
      <c r="C156" s="17"/>
    </row>
    <row r="157" spans="3:3" x14ac:dyDescent="0.35">
      <c r="C157" s="17"/>
    </row>
    <row r="158" spans="3:3" x14ac:dyDescent="0.35">
      <c r="C158" s="17"/>
    </row>
    <row r="299" spans="10:12" x14ac:dyDescent="0.35">
      <c r="J299" s="18"/>
      <c r="K299" s="18"/>
      <c r="L299" s="18"/>
    </row>
  </sheetData>
  <dataValidations count="1">
    <dataValidation type="list" allowBlank="1" showInputMessage="1" showErrorMessage="1" sqref="B9" xr:uid="{6CA4FC42-4F5A-47D5-83DE-967FEE613235}">
      <formula1>$I$1:$J$1</formula1>
    </dataValidation>
  </dataValidations>
  <pageMargins left="0.7" right="0.7" top="0.75" bottom="0.75" header="0.3" footer="0.3"/>
  <pageSetup orientation="portrait" r:id="rId1"/>
  <headerFooter>
    <oddHeader>&amp;C&amp;"Calibri"&amp;10&amp;K008000 Classification: AramcoTrading-US  General Use&amp;1#_x000D_</oddHeader>
    <oddFooter>&amp;C&amp;"Calibri"&amp;11&amp;K000000_x000D_&amp;1#&amp;"Calibri"&amp;10&amp;K008000 This content is classified as AramcoTrading-US General Use by Cantafio, Alberto (ATA) on 2025-11-20T13:00:04.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DB6E-773A-4FFE-8294-C0264723FC2C}">
  <sheetPr codeName="Sheet10"/>
  <dimension ref="D4:O58"/>
  <sheetViews>
    <sheetView workbookViewId="0">
      <selection activeCell="L24" sqref="L24"/>
    </sheetView>
  </sheetViews>
  <sheetFormatPr defaultRowHeight="14.5" x14ac:dyDescent="0.35"/>
  <sheetData>
    <row r="4" spans="4:15" x14ac:dyDescent="0.35">
      <c r="D4" t="s">
        <v>46</v>
      </c>
      <c r="N4" t="s">
        <v>12</v>
      </c>
    </row>
    <row r="5" spans="4:15" x14ac:dyDescent="0.35">
      <c r="D5" t="s">
        <v>49</v>
      </c>
      <c r="N5">
        <v>1</v>
      </c>
      <c r="O5" t="s">
        <v>17</v>
      </c>
    </row>
    <row r="6" spans="4:15" x14ac:dyDescent="0.35">
      <c r="D6" t="s">
        <v>52</v>
      </c>
      <c r="N6">
        <f t="shared" ref="N6:N16" si="0">+N5+1</f>
        <v>2</v>
      </c>
      <c r="O6" t="s">
        <v>20</v>
      </c>
    </row>
    <row r="7" spans="4:15" x14ac:dyDescent="0.35">
      <c r="D7" t="s">
        <v>54</v>
      </c>
      <c r="N7">
        <f t="shared" si="0"/>
        <v>3</v>
      </c>
      <c r="O7" t="s">
        <v>23</v>
      </c>
    </row>
    <row r="8" spans="4:15" x14ac:dyDescent="0.35">
      <c r="D8" t="s">
        <v>56</v>
      </c>
      <c r="N8">
        <f t="shared" si="0"/>
        <v>4</v>
      </c>
      <c r="O8" t="s">
        <v>26</v>
      </c>
    </row>
    <row r="9" spans="4:15" x14ac:dyDescent="0.35">
      <c r="D9" t="s">
        <v>57</v>
      </c>
      <c r="N9">
        <f t="shared" si="0"/>
        <v>5</v>
      </c>
      <c r="O9" t="s">
        <v>30</v>
      </c>
    </row>
    <row r="10" spans="4:15" x14ac:dyDescent="0.35">
      <c r="D10" t="s">
        <v>58</v>
      </c>
      <c r="N10">
        <f t="shared" si="0"/>
        <v>6</v>
      </c>
      <c r="O10" t="s">
        <v>34</v>
      </c>
    </row>
    <row r="11" spans="4:15" x14ac:dyDescent="0.35">
      <c r="D11" t="s">
        <v>59</v>
      </c>
      <c r="N11">
        <f t="shared" si="0"/>
        <v>7</v>
      </c>
      <c r="O11" t="s">
        <v>37</v>
      </c>
    </row>
    <row r="12" spans="4:15" x14ac:dyDescent="0.35">
      <c r="D12" t="s">
        <v>61</v>
      </c>
      <c r="N12">
        <f t="shared" si="0"/>
        <v>8</v>
      </c>
      <c r="O12" t="s">
        <v>40</v>
      </c>
    </row>
    <row r="13" spans="4:15" x14ac:dyDescent="0.35">
      <c r="D13" t="s">
        <v>62</v>
      </c>
      <c r="N13">
        <f t="shared" si="0"/>
        <v>9</v>
      </c>
      <c r="O13" t="s">
        <v>42</v>
      </c>
    </row>
    <row r="14" spans="4:15" x14ac:dyDescent="0.35">
      <c r="D14" t="s">
        <v>63</v>
      </c>
      <c r="N14">
        <f t="shared" si="0"/>
        <v>10</v>
      </c>
      <c r="O14" t="s">
        <v>45</v>
      </c>
    </row>
    <row r="15" spans="4:15" x14ac:dyDescent="0.35">
      <c r="D15" t="s">
        <v>64</v>
      </c>
      <c r="N15">
        <f t="shared" si="0"/>
        <v>11</v>
      </c>
      <c r="O15" t="s">
        <v>48</v>
      </c>
    </row>
    <row r="16" spans="4:15" x14ac:dyDescent="0.35">
      <c r="D16" t="s">
        <v>65</v>
      </c>
      <c r="N16">
        <f t="shared" si="0"/>
        <v>12</v>
      </c>
      <c r="O16" t="s">
        <v>51</v>
      </c>
    </row>
    <row r="17" spans="4:12" x14ac:dyDescent="0.35">
      <c r="D17" t="s">
        <v>66</v>
      </c>
    </row>
    <row r="18" spans="4:12" x14ac:dyDescent="0.35">
      <c r="D18" t="s">
        <v>67</v>
      </c>
    </row>
    <row r="19" spans="4:12" x14ac:dyDescent="0.35">
      <c r="D19" t="s">
        <v>68</v>
      </c>
    </row>
    <row r="20" spans="4:12" x14ac:dyDescent="0.35">
      <c r="D20" t="s">
        <v>69</v>
      </c>
    </row>
    <row r="21" spans="4:12" x14ac:dyDescent="0.35">
      <c r="D21" t="s">
        <v>27</v>
      </c>
    </row>
    <row r="22" spans="4:12" x14ac:dyDescent="0.35">
      <c r="D22" t="s">
        <v>31</v>
      </c>
      <c r="L22" t="s">
        <v>1748</v>
      </c>
    </row>
    <row r="23" spans="4:12" x14ac:dyDescent="0.35">
      <c r="D23" t="s">
        <v>70</v>
      </c>
      <c r="L23" t="s">
        <v>2151</v>
      </c>
    </row>
    <row r="24" spans="4:12" x14ac:dyDescent="0.35">
      <c r="D24" t="s">
        <v>71</v>
      </c>
      <c r="L24" t="s">
        <v>2148</v>
      </c>
    </row>
    <row r="25" spans="4:12" x14ac:dyDescent="0.35">
      <c r="D25" t="s">
        <v>72</v>
      </c>
    </row>
    <row r="26" spans="4:12" x14ac:dyDescent="0.35">
      <c r="D26" t="s">
        <v>73</v>
      </c>
    </row>
    <row r="27" spans="4:12" x14ac:dyDescent="0.35">
      <c r="D27" t="s">
        <v>74</v>
      </c>
    </row>
    <row r="28" spans="4:12" x14ac:dyDescent="0.35">
      <c r="D28" t="s">
        <v>35</v>
      </c>
    </row>
    <row r="29" spans="4:12" x14ac:dyDescent="0.35">
      <c r="D29" t="s">
        <v>38</v>
      </c>
    </row>
    <row r="30" spans="4:12" x14ac:dyDescent="0.35">
      <c r="D30" t="s">
        <v>75</v>
      </c>
    </row>
    <row r="31" spans="4:12" x14ac:dyDescent="0.35">
      <c r="D31" t="s">
        <v>21</v>
      </c>
    </row>
    <row r="32" spans="4:12" x14ac:dyDescent="0.35">
      <c r="D32" t="s">
        <v>24</v>
      </c>
    </row>
    <row r="33" spans="4:4" x14ac:dyDescent="0.35">
      <c r="D33" t="s">
        <v>76</v>
      </c>
    </row>
    <row r="34" spans="4:4" x14ac:dyDescent="0.35">
      <c r="D34" t="s">
        <v>77</v>
      </c>
    </row>
    <row r="35" spans="4:4" x14ac:dyDescent="0.35">
      <c r="D35" t="s">
        <v>78</v>
      </c>
    </row>
    <row r="36" spans="4:4" x14ac:dyDescent="0.35">
      <c r="D36" t="s">
        <v>79</v>
      </c>
    </row>
    <row r="37" spans="4:4" x14ac:dyDescent="0.35">
      <c r="D37" t="s">
        <v>13</v>
      </c>
    </row>
    <row r="38" spans="4:4" x14ac:dyDescent="0.35">
      <c r="D38" t="s">
        <v>80</v>
      </c>
    </row>
    <row r="39" spans="4:4" x14ac:dyDescent="0.35">
      <c r="D39" t="s">
        <v>81</v>
      </c>
    </row>
    <row r="40" spans="4:4" x14ac:dyDescent="0.35">
      <c r="D40" t="s">
        <v>82</v>
      </c>
    </row>
    <row r="41" spans="4:4" x14ac:dyDescent="0.35">
      <c r="D41" t="s">
        <v>43</v>
      </c>
    </row>
    <row r="42" spans="4:4" x14ac:dyDescent="0.35">
      <c r="D42" t="s">
        <v>83</v>
      </c>
    </row>
    <row r="43" spans="4:4" x14ac:dyDescent="0.35">
      <c r="D43" t="s">
        <v>84</v>
      </c>
    </row>
    <row r="44" spans="4:4" x14ac:dyDescent="0.35">
      <c r="D44" t="s">
        <v>85</v>
      </c>
    </row>
    <row r="45" spans="4:4" x14ac:dyDescent="0.35">
      <c r="D45" t="s">
        <v>86</v>
      </c>
    </row>
    <row r="46" spans="4:4" x14ac:dyDescent="0.35">
      <c r="D46" t="s">
        <v>87</v>
      </c>
    </row>
    <row r="47" spans="4:4" x14ac:dyDescent="0.35">
      <c r="D47" t="s">
        <v>41</v>
      </c>
    </row>
    <row r="48" spans="4:4" x14ac:dyDescent="0.35">
      <c r="D48" t="s">
        <v>88</v>
      </c>
    </row>
    <row r="49" spans="4:4" x14ac:dyDescent="0.35">
      <c r="D49" t="s">
        <v>89</v>
      </c>
    </row>
    <row r="50" spans="4:4" x14ac:dyDescent="0.35">
      <c r="D50" t="s">
        <v>18</v>
      </c>
    </row>
    <row r="51" spans="4:4" x14ac:dyDescent="0.35">
      <c r="D51" t="s">
        <v>90</v>
      </c>
    </row>
    <row r="52" spans="4:4" x14ac:dyDescent="0.35">
      <c r="D52" t="s">
        <v>94</v>
      </c>
    </row>
    <row r="53" spans="4:4" x14ac:dyDescent="0.35">
      <c r="D53" t="s">
        <v>95</v>
      </c>
    </row>
    <row r="54" spans="4:4" x14ac:dyDescent="0.35">
      <c r="D54" t="s">
        <v>97</v>
      </c>
    </row>
    <row r="55" spans="4:4" x14ac:dyDescent="0.35">
      <c r="D55" t="s">
        <v>98</v>
      </c>
    </row>
    <row r="56" spans="4:4" x14ac:dyDescent="0.35">
      <c r="D56" t="s">
        <v>99</v>
      </c>
    </row>
    <row r="57" spans="4:4" x14ac:dyDescent="0.35">
      <c r="D57" t="s">
        <v>100</v>
      </c>
    </row>
    <row r="58" spans="4:4" x14ac:dyDescent="0.35">
      <c r="D58" t="s">
        <v>101</v>
      </c>
    </row>
  </sheetData>
  <pageMargins left="0.7" right="0.7" top="0.75" bottom="0.75" header="0.3" footer="0.3"/>
  <headerFooter>
    <oddHeader>&amp;C&amp;"Calibri"&amp;10&amp;K008000 Classification: AramcoTrading-US  General Use&amp;1#_x000D_</oddHeader>
    <oddFooter>&amp;C_x000D_&amp;1#&amp;"Calibri"&amp;10&amp;K008000 This content is classified as AramcoTrading-US General Use by Cantafio, Alberto (ATA) on 2025-11-20T13:00:04.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41AC-F94C-444D-AD9E-AB7998B69738}">
  <sheetPr codeName="Sheet3"/>
  <dimension ref="A1:BE440"/>
  <sheetViews>
    <sheetView zoomScale="85" zoomScaleNormal="85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B1" sqref="B1"/>
    </sheetView>
  </sheetViews>
  <sheetFormatPr defaultRowHeight="14.5" x14ac:dyDescent="0.35"/>
  <cols>
    <col min="1" max="1" width="11.54296875" bestFit="1" customWidth="1"/>
    <col min="2" max="8" width="16" bestFit="1" customWidth="1"/>
    <col min="9" max="9" width="17.26953125" bestFit="1" customWidth="1"/>
    <col min="10" max="28" width="16" bestFit="1" customWidth="1"/>
    <col min="30" max="53" width="16" bestFit="1" customWidth="1"/>
  </cols>
  <sheetData>
    <row r="1" spans="1:53" x14ac:dyDescent="0.35">
      <c r="A1" t="s">
        <v>2138</v>
      </c>
      <c r="B1" s="16">
        <f>WORKDAY('PnL26'!$P$1,-7)</f>
        <v>46254</v>
      </c>
      <c r="C1" s="16">
        <f>B1</f>
        <v>46254</v>
      </c>
      <c r="E1" s="16" t="str">
        <f>B3&amp;VLOOKUP(MONTH(B4),Control!$N$5:$O$16,2,FALSE)&amp;RIGHT(YEAR(B4),1)&amp;" Comdty"</f>
        <v>CLU5 Comdty</v>
      </c>
      <c r="F1">
        <f t="array" ref="F1">_xll.BDP("S:ENCO   1-1 Comdty","LAST_PRICE")</f>
        <v>-5.27</v>
      </c>
      <c r="I1" t="s">
        <v>1748</v>
      </c>
      <c r="J1" t="s">
        <v>2151</v>
      </c>
      <c r="K1" t="s">
        <v>2148</v>
      </c>
      <c r="L1" t="s">
        <v>2217</v>
      </c>
      <c r="N1" t="e">
        <v>#N/A</v>
      </c>
      <c r="O1">
        <f>+M196-N196</f>
        <v>0</v>
      </c>
      <c r="P1">
        <f>M194-N194</f>
        <v>0</v>
      </c>
    </row>
    <row r="2" spans="1:53" x14ac:dyDescent="0.35">
      <c r="A2" t="s">
        <v>2140</v>
      </c>
      <c r="B2" s="16"/>
      <c r="C2" s="16">
        <v>45888</v>
      </c>
    </row>
    <row r="3" spans="1:53" x14ac:dyDescent="0.35">
      <c r="B3" s="16" t="s">
        <v>2218</v>
      </c>
      <c r="C3" s="16" t="str">
        <f t="shared" ref="C3:AB3" si="0">B3</f>
        <v>CL</v>
      </c>
      <c r="D3" s="16" t="str">
        <f t="shared" si="0"/>
        <v>CL</v>
      </c>
      <c r="E3" s="16" t="str">
        <f t="shared" si="0"/>
        <v>CL</v>
      </c>
      <c r="F3" s="16" t="str">
        <f t="shared" si="0"/>
        <v>CL</v>
      </c>
      <c r="G3" s="16" t="str">
        <f t="shared" si="0"/>
        <v>CL</v>
      </c>
      <c r="H3" s="16" t="str">
        <f t="shared" si="0"/>
        <v>CL</v>
      </c>
      <c r="I3" s="16" t="str">
        <f t="shared" si="0"/>
        <v>CL</v>
      </c>
      <c r="J3" s="16" t="str">
        <f t="shared" si="0"/>
        <v>CL</v>
      </c>
      <c r="K3" s="16" t="str">
        <f t="shared" si="0"/>
        <v>CL</v>
      </c>
      <c r="L3" s="16" t="str">
        <f t="shared" si="0"/>
        <v>CL</v>
      </c>
      <c r="M3" s="16" t="str">
        <f t="shared" si="0"/>
        <v>CL</v>
      </c>
      <c r="N3" s="16" t="str">
        <f t="shared" si="0"/>
        <v>CL</v>
      </c>
      <c r="O3" s="16" t="str">
        <f t="shared" si="0"/>
        <v>CL</v>
      </c>
      <c r="P3" s="16" t="str">
        <f t="shared" si="0"/>
        <v>CL</v>
      </c>
      <c r="Q3" s="16" t="str">
        <f t="shared" si="0"/>
        <v>CL</v>
      </c>
      <c r="R3" s="16" t="str">
        <f t="shared" si="0"/>
        <v>CL</v>
      </c>
      <c r="S3" s="16" t="str">
        <f t="shared" si="0"/>
        <v>CL</v>
      </c>
      <c r="T3" s="16" t="str">
        <f t="shared" si="0"/>
        <v>CL</v>
      </c>
      <c r="U3" s="16" t="str">
        <f t="shared" si="0"/>
        <v>CL</v>
      </c>
      <c r="V3" s="16" t="str">
        <f t="shared" si="0"/>
        <v>CL</v>
      </c>
      <c r="W3" s="16" t="str">
        <f t="shared" si="0"/>
        <v>CL</v>
      </c>
      <c r="X3" s="16" t="str">
        <f t="shared" si="0"/>
        <v>CL</v>
      </c>
      <c r="Y3" s="16" t="str">
        <f t="shared" si="0"/>
        <v>CL</v>
      </c>
      <c r="Z3" s="16" t="str">
        <f t="shared" si="0"/>
        <v>CL</v>
      </c>
      <c r="AA3" s="16" t="str">
        <f t="shared" si="0"/>
        <v>CL</v>
      </c>
      <c r="AB3" s="16" t="str">
        <f t="shared" si="0"/>
        <v>CL</v>
      </c>
      <c r="AD3" s="16" t="s">
        <v>2219</v>
      </c>
      <c r="AE3" s="16" t="s">
        <v>2219</v>
      </c>
      <c r="AF3" s="16" t="s">
        <v>2219</v>
      </c>
      <c r="AG3" s="16" t="s">
        <v>2219</v>
      </c>
      <c r="AH3" s="16" t="s">
        <v>2219</v>
      </c>
      <c r="AI3" s="16" t="s">
        <v>2219</v>
      </c>
      <c r="AJ3" s="16" t="s">
        <v>2219</v>
      </c>
      <c r="AK3" s="16" t="s">
        <v>2219</v>
      </c>
      <c r="AL3" s="16" t="s">
        <v>2219</v>
      </c>
      <c r="AM3" s="16" t="s">
        <v>2219</v>
      </c>
      <c r="AN3" s="16" t="s">
        <v>2219</v>
      </c>
      <c r="AO3" s="16" t="s">
        <v>2219</v>
      </c>
      <c r="AP3" s="16" t="s">
        <v>2219</v>
      </c>
      <c r="AQ3" s="16" t="s">
        <v>2219</v>
      </c>
      <c r="AR3" s="16" t="s">
        <v>2219</v>
      </c>
      <c r="AS3" s="16" t="s">
        <v>2219</v>
      </c>
      <c r="AT3" s="16" t="s">
        <v>2219</v>
      </c>
      <c r="AU3" s="16" t="s">
        <v>2219</v>
      </c>
      <c r="AV3" s="16" t="s">
        <v>2219</v>
      </c>
      <c r="AW3" s="16" t="s">
        <v>2219</v>
      </c>
      <c r="AX3" s="16" t="s">
        <v>2219</v>
      </c>
      <c r="AY3" s="16" t="s">
        <v>2219</v>
      </c>
      <c r="AZ3" s="16" t="s">
        <v>2219</v>
      </c>
      <c r="BA3" s="16" t="s">
        <v>2219</v>
      </c>
    </row>
    <row r="4" spans="1:53" x14ac:dyDescent="0.35">
      <c r="B4" s="16">
        <v>45930</v>
      </c>
      <c r="C4" s="16">
        <f t="shared" ref="C4:Y4" si="1">EOMONTH(B4,1)</f>
        <v>45961</v>
      </c>
      <c r="D4" s="16">
        <f t="shared" si="1"/>
        <v>45991</v>
      </c>
      <c r="E4" s="16">
        <f t="shared" si="1"/>
        <v>46022</v>
      </c>
      <c r="F4" s="16">
        <f t="shared" si="1"/>
        <v>46053</v>
      </c>
      <c r="G4" s="16">
        <f t="shared" si="1"/>
        <v>46081</v>
      </c>
      <c r="H4" s="16">
        <f t="shared" si="1"/>
        <v>46112</v>
      </c>
      <c r="I4" s="16">
        <f t="shared" si="1"/>
        <v>46142</v>
      </c>
      <c r="J4" s="16">
        <f t="shared" si="1"/>
        <v>46173</v>
      </c>
      <c r="K4" s="16">
        <f t="shared" si="1"/>
        <v>46203</v>
      </c>
      <c r="L4" s="16">
        <f t="shared" si="1"/>
        <v>46234</v>
      </c>
      <c r="M4" s="16">
        <f t="shared" si="1"/>
        <v>46265</v>
      </c>
      <c r="N4" s="16">
        <f t="shared" si="1"/>
        <v>46295</v>
      </c>
      <c r="O4" s="16">
        <f t="shared" si="1"/>
        <v>46326</v>
      </c>
      <c r="P4" s="16">
        <f t="shared" si="1"/>
        <v>46356</v>
      </c>
      <c r="Q4" s="16">
        <f t="shared" si="1"/>
        <v>46387</v>
      </c>
      <c r="R4" s="16">
        <f t="shared" si="1"/>
        <v>46418</v>
      </c>
      <c r="S4" s="16">
        <f t="shared" si="1"/>
        <v>46446</v>
      </c>
      <c r="T4" s="16">
        <f t="shared" si="1"/>
        <v>46477</v>
      </c>
      <c r="U4" s="16">
        <f t="shared" si="1"/>
        <v>46507</v>
      </c>
      <c r="V4" s="16">
        <f t="shared" si="1"/>
        <v>46538</v>
      </c>
      <c r="W4" s="16">
        <f t="shared" si="1"/>
        <v>46568</v>
      </c>
      <c r="X4" s="16">
        <f t="shared" si="1"/>
        <v>46599</v>
      </c>
      <c r="Y4" s="16">
        <f t="shared" si="1"/>
        <v>46630</v>
      </c>
      <c r="Z4" s="16">
        <f>EOMONTH(Y4,1)</f>
        <v>46660</v>
      </c>
      <c r="AA4" s="16">
        <f>EOMONTH(Z4,1)</f>
        <v>46691</v>
      </c>
      <c r="AB4" s="16">
        <f>EOMONTH(AA4,1)</f>
        <v>46721</v>
      </c>
      <c r="AD4" s="16">
        <f>EOMONTH(B4,1)</f>
        <v>45961</v>
      </c>
      <c r="AE4" s="16">
        <f t="shared" ref="AE4:BA4" si="2">EOMONTH(AD4,1)</f>
        <v>45991</v>
      </c>
      <c r="AF4" s="16">
        <f t="shared" si="2"/>
        <v>46022</v>
      </c>
      <c r="AG4" s="16">
        <f t="shared" si="2"/>
        <v>46053</v>
      </c>
      <c r="AH4" s="16">
        <f>EOMONTH(AG4,1)</f>
        <v>46081</v>
      </c>
      <c r="AI4" s="16">
        <f t="shared" si="2"/>
        <v>46112</v>
      </c>
      <c r="AJ4" s="16">
        <f t="shared" si="2"/>
        <v>46142</v>
      </c>
      <c r="AK4" s="16">
        <f t="shared" si="2"/>
        <v>46173</v>
      </c>
      <c r="AL4" s="16">
        <f t="shared" si="2"/>
        <v>46203</v>
      </c>
      <c r="AM4" s="16">
        <f t="shared" si="2"/>
        <v>46234</v>
      </c>
      <c r="AN4" s="16">
        <f t="shared" si="2"/>
        <v>46265</v>
      </c>
      <c r="AO4" s="16">
        <f t="shared" si="2"/>
        <v>46295</v>
      </c>
      <c r="AP4" s="16">
        <f t="shared" si="2"/>
        <v>46326</v>
      </c>
      <c r="AQ4" s="16">
        <f t="shared" si="2"/>
        <v>46356</v>
      </c>
      <c r="AR4" s="16">
        <f t="shared" si="2"/>
        <v>46387</v>
      </c>
      <c r="AS4" s="16">
        <f t="shared" si="2"/>
        <v>46418</v>
      </c>
      <c r="AT4" s="16">
        <f t="shared" si="2"/>
        <v>46446</v>
      </c>
      <c r="AU4" s="16">
        <f t="shared" si="2"/>
        <v>46477</v>
      </c>
      <c r="AV4" s="16">
        <f t="shared" si="2"/>
        <v>46507</v>
      </c>
      <c r="AW4" s="16">
        <f t="shared" si="2"/>
        <v>46538</v>
      </c>
      <c r="AX4" s="16">
        <f t="shared" si="2"/>
        <v>46568</v>
      </c>
      <c r="AY4" s="16">
        <f t="shared" si="2"/>
        <v>46599</v>
      </c>
      <c r="AZ4" s="16">
        <f t="shared" si="2"/>
        <v>46630</v>
      </c>
      <c r="BA4" s="16">
        <f t="shared" si="2"/>
        <v>46660</v>
      </c>
    </row>
    <row r="5" spans="1:53" x14ac:dyDescent="0.35">
      <c r="B5" t="str">
        <f>B3&amp;VLOOKUP(MONTH(B4),Control!$N$5:$O$16,2,FALSE)&amp;RIGHT(YEAR(B4),1)&amp;" Comdty"</f>
        <v>CLU5 Comdty</v>
      </c>
      <c r="C5" t="str">
        <f>C3&amp;VLOOKUP(MONTH(C4),Control!$N$5:$O$16,2,FALSE)&amp;RIGHT(YEAR(C4),1)&amp;" Comdty"</f>
        <v>CLV5 Comdty</v>
      </c>
      <c r="D5" t="str">
        <f>D3&amp;VLOOKUP(MONTH(D4),Control!$N$5:$O$16,2,FALSE)&amp;RIGHT(YEAR(D4),1)&amp;" Comdty"</f>
        <v>CLX5 Comdty</v>
      </c>
      <c r="E5" t="str">
        <f>E3&amp;VLOOKUP(MONTH(E4),Control!$N$5:$O$16,2,FALSE)&amp;RIGHT(YEAR(E4),1)&amp;" Comdty"</f>
        <v>CLZ5 Comdty</v>
      </c>
      <c r="F5" t="str">
        <f>F3&amp;VLOOKUP(MONTH(F4),Control!$N$5:$O$16,2,FALSE)&amp;RIGHT(YEAR(F4),1)&amp;" Comdty"</f>
        <v>CLF6 Comdty</v>
      </c>
      <c r="G5" t="str">
        <f>G3&amp;VLOOKUP(MONTH(G4),Control!$N$5:$O$16,2,FALSE)&amp;RIGHT(YEAR(G4),1)&amp;" Comdty"</f>
        <v>CLG6 Comdty</v>
      </c>
      <c r="H5" t="str">
        <f>H3&amp;VLOOKUP(MONTH(H4),Control!$N$5:$O$16,2,FALSE)&amp;RIGHT(YEAR(H4),1)&amp;" Comdty"</f>
        <v>CLH6 Comdty</v>
      </c>
      <c r="I5" t="str">
        <f>I3&amp;VLOOKUP(MONTH(I4),Control!$N$5:$O$16,2,FALSE)&amp;RIGHT(YEAR(I4),1)&amp;" Comdty"</f>
        <v>CLJ6 Comdty</v>
      </c>
      <c r="J5" t="str">
        <f>J3&amp;VLOOKUP(MONTH(J4),Control!$N$5:$O$16,2,FALSE)&amp;RIGHT(YEAR(J4),1)&amp;" Comdty"</f>
        <v>CLK6 Comdty</v>
      </c>
      <c r="K5" t="str">
        <f>K3&amp;VLOOKUP(MONTH(K4),Control!$N$5:$O$16,2,FALSE)&amp;RIGHT(YEAR(K4),1)&amp;" Comdty"</f>
        <v>CLM6 Comdty</v>
      </c>
      <c r="L5" t="str">
        <f>L3&amp;VLOOKUP(MONTH(L4),Control!$N$5:$O$16,2,FALSE)&amp;RIGHT(YEAR(L4),1)&amp;" Comdty"</f>
        <v>CLN6 Comdty</v>
      </c>
      <c r="M5" t="str">
        <f>M3&amp;VLOOKUP(MONTH(M4),Control!$N$5:$O$16,2,FALSE)&amp;RIGHT(YEAR(M4),1)&amp;" Comdty"</f>
        <v>CLQ6 Comdty</v>
      </c>
      <c r="N5" t="str">
        <f>N3&amp;VLOOKUP(MONTH(N4),Control!$N$5:$O$16,2,FALSE)&amp;RIGHT(YEAR(N4),1)&amp;" Comdty"</f>
        <v>CLU6 Comdty</v>
      </c>
      <c r="O5" t="str">
        <f>O3&amp;VLOOKUP(MONTH(O4),Control!$N$5:$O$16,2,FALSE)&amp;RIGHT(YEAR(O4),1)&amp;" Comdty"</f>
        <v>CLV6 Comdty</v>
      </c>
      <c r="P5" t="str">
        <f>P3&amp;VLOOKUP(MONTH(P4),Control!$N$5:$O$16,2,FALSE)&amp;RIGHT(YEAR(P4),1)&amp;" Comdty"</f>
        <v>CLX6 Comdty</v>
      </c>
      <c r="Q5" t="str">
        <f>Q3&amp;VLOOKUP(MONTH(Q4),Control!$N$5:$O$16,2,FALSE)&amp;RIGHT(YEAR(Q4),1)&amp;" Comdty"</f>
        <v>CLZ6 Comdty</v>
      </c>
      <c r="R5" t="str">
        <f>R3&amp;VLOOKUP(MONTH(R4),Control!$N$5:$O$16,2,FALSE)&amp;RIGHT(YEAR(R4),1)&amp;" Comdty"</f>
        <v>CLF7 Comdty</v>
      </c>
      <c r="S5" t="str">
        <f>S3&amp;VLOOKUP(MONTH(S4),Control!$N$5:$O$16,2,FALSE)&amp;RIGHT(YEAR(S4),1)&amp;" Comdty"</f>
        <v>CLG7 Comdty</v>
      </c>
      <c r="T5" t="str">
        <f>T3&amp;VLOOKUP(MONTH(T4),Control!$N$5:$O$16,2,FALSE)&amp;RIGHT(YEAR(T4),1)&amp;" Comdty"</f>
        <v>CLH7 Comdty</v>
      </c>
      <c r="U5" t="str">
        <f>U3&amp;VLOOKUP(MONTH(U4),Control!$N$5:$O$16,2,FALSE)&amp;RIGHT(YEAR(U4),1)&amp;" Comdty"</f>
        <v>CLJ7 Comdty</v>
      </c>
      <c r="V5" t="str">
        <f>V3&amp;VLOOKUP(MONTH(V4),Control!$N$5:$O$16,2,FALSE)&amp;RIGHT(YEAR(V4),1)&amp;" Comdty"</f>
        <v>CLK7 Comdty</v>
      </c>
      <c r="W5" t="str">
        <f>W3&amp;VLOOKUP(MONTH(W4),Control!$N$5:$O$16,2,FALSE)&amp;RIGHT(YEAR(W4),1)&amp;" Comdty"</f>
        <v>CLM7 Comdty</v>
      </c>
      <c r="X5" t="str">
        <f>X3&amp;VLOOKUP(MONTH(X4),Control!$N$5:$O$16,2,FALSE)&amp;RIGHT(YEAR(X4),1)&amp;" Comdty"</f>
        <v>CLN7 Comdty</v>
      </c>
      <c r="Y5" t="str">
        <f>Y3&amp;VLOOKUP(MONTH(Y4),Control!$N$5:$O$16,2,FALSE)&amp;RIGHT(YEAR(Y4),1)&amp;" Comdty"</f>
        <v>CLQ7 Comdty</v>
      </c>
      <c r="Z5" t="str">
        <f>Z3&amp;VLOOKUP(MONTH(Z4),Control!$N$5:$O$16,2,FALSE)&amp;RIGHT(YEAR(Z4),1)&amp;" Comdty"</f>
        <v>CLU7 Comdty</v>
      </c>
      <c r="AA5" t="str">
        <f>AA3&amp;VLOOKUP(MONTH(AA4),Control!$N$5:$O$16,2,FALSE)&amp;RIGHT(YEAR(AA4),1)&amp;" Comdty"</f>
        <v>CLV7 Comdty</v>
      </c>
      <c r="AB5" t="str">
        <f>AB3&amp;VLOOKUP(MONTH(AB4),Control!$N$5:$O$16,2,FALSE)&amp;RIGHT(YEAR(AB4),1)&amp;" Comdty"</f>
        <v>CLX7 Comdty</v>
      </c>
      <c r="AD5" t="str">
        <f>AD3&amp;VLOOKUP(MONTH(AD4),Control!$N$5:$O$16,2,FALSE)&amp;RIGHT(YEAR(AD4),1)&amp;" Comdty"</f>
        <v>COV5 Comdty</v>
      </c>
      <c r="AE5" t="str">
        <f>AE3&amp;VLOOKUP(MONTH(AE4),Control!$N$5:$O$16,2,FALSE)&amp;RIGHT(YEAR(AE4),1)&amp;" Comdty"</f>
        <v>COX5 Comdty</v>
      </c>
      <c r="AF5" t="str">
        <f>AF3&amp;VLOOKUP(MONTH(AF4),Control!$N$5:$O$16,2,FALSE)&amp;RIGHT(YEAR(AF4),1)&amp;" Comdty"</f>
        <v>COZ5 Comdty</v>
      </c>
      <c r="AG5" t="str">
        <f>AG3&amp;VLOOKUP(MONTH(AG4),Control!$N$5:$O$16,2,FALSE)&amp;RIGHT(YEAR(AG4),1)&amp;" Comdty"</f>
        <v>COF6 Comdty</v>
      </c>
      <c r="AH5" t="str">
        <f>AH3&amp;VLOOKUP(MONTH(AH4),Control!$N$5:$O$16,2,FALSE)&amp;RIGHT(YEAR(AH4),1)&amp;" Comdty"</f>
        <v>COG6 Comdty</v>
      </c>
      <c r="AI5" t="str">
        <f>AI3&amp;VLOOKUP(MONTH(AI4),Control!$N$5:$O$16,2,FALSE)&amp;RIGHT(YEAR(AI4),1)&amp;" Comdty"</f>
        <v>COH6 Comdty</v>
      </c>
      <c r="AJ5" t="str">
        <f>AJ3&amp;VLOOKUP(MONTH(AJ4),Control!$N$5:$O$16,2,FALSE)&amp;RIGHT(YEAR(AJ4),1)&amp;" Comdty"</f>
        <v>COJ6 Comdty</v>
      </c>
      <c r="AK5" t="str">
        <f>AK3&amp;VLOOKUP(MONTH(AK4),Control!$N$5:$O$16,2,FALSE)&amp;RIGHT(YEAR(AK4),1)&amp;" Comdty"</f>
        <v>COK6 Comdty</v>
      </c>
      <c r="AL5" t="str">
        <f>AL3&amp;VLOOKUP(MONTH(AL4),Control!$N$5:$O$16,2,FALSE)&amp;RIGHT(YEAR(AL4),1)&amp;" Comdty"</f>
        <v>COM6 Comdty</v>
      </c>
      <c r="AM5" t="str">
        <f>AM3&amp;VLOOKUP(MONTH(AM4),Control!$N$5:$O$16,2,FALSE)&amp;RIGHT(YEAR(AM4),1)&amp;" Comdty"</f>
        <v>CON6 Comdty</v>
      </c>
      <c r="AN5" t="str">
        <f>AN3&amp;VLOOKUP(MONTH(AN4),Control!$N$5:$O$16,2,FALSE)&amp;RIGHT(YEAR(AN4),1)&amp;" Comdty"</f>
        <v>COQ6 Comdty</v>
      </c>
      <c r="AO5" t="str">
        <f>AO3&amp;VLOOKUP(MONTH(AO4),Control!$N$5:$O$16,2,FALSE)&amp;RIGHT(YEAR(AO4),1)&amp;" Comdty"</f>
        <v>COU6 Comdty</v>
      </c>
      <c r="AP5" t="str">
        <f>AP3&amp;VLOOKUP(MONTH(AP4),Control!$N$5:$O$16,2,FALSE)&amp;RIGHT(YEAR(AP4),1)&amp;" Comdty"</f>
        <v>COV6 Comdty</v>
      </c>
      <c r="AQ5" t="str">
        <f>AQ3&amp;VLOOKUP(MONTH(AQ4),Control!$N$5:$O$16,2,FALSE)&amp;RIGHT(YEAR(AQ4),1)&amp;" Comdty"</f>
        <v>COX6 Comdty</v>
      </c>
      <c r="AR5" t="str">
        <f>AR3&amp;VLOOKUP(MONTH(AR4),Control!$N$5:$O$16,2,FALSE)&amp;RIGHT(YEAR(AR4),1)&amp;" Comdty"</f>
        <v>COZ6 Comdty</v>
      </c>
      <c r="AS5" t="str">
        <f>AS3&amp;VLOOKUP(MONTH(AS4),Control!$N$5:$O$16,2,FALSE)&amp;RIGHT(YEAR(AS4),1)&amp;" Comdty"</f>
        <v>COF7 Comdty</v>
      </c>
      <c r="AT5" t="str">
        <f>AT3&amp;VLOOKUP(MONTH(AT4),Control!$N$5:$O$16,2,FALSE)&amp;RIGHT(YEAR(AT4),1)&amp;" Comdty"</f>
        <v>COG7 Comdty</v>
      </c>
      <c r="AU5" t="str">
        <f>AU3&amp;VLOOKUP(MONTH(AU4),Control!$N$5:$O$16,2,FALSE)&amp;RIGHT(YEAR(AU4),1)&amp;" Comdty"</f>
        <v>COH7 Comdty</v>
      </c>
      <c r="AV5" t="str">
        <f>AV3&amp;VLOOKUP(MONTH(AV4),Control!$N$5:$O$16,2,FALSE)&amp;RIGHT(YEAR(AV4),1)&amp;" Comdty"</f>
        <v>COJ7 Comdty</v>
      </c>
      <c r="AW5" t="str">
        <f>AW3&amp;VLOOKUP(MONTH(AW4),Control!$N$5:$O$16,2,FALSE)&amp;RIGHT(YEAR(AW4),1)&amp;" Comdty"</f>
        <v>COK7 Comdty</v>
      </c>
      <c r="AX5" t="str">
        <f>AX3&amp;VLOOKUP(MONTH(AX4),Control!$N$5:$O$16,2,FALSE)&amp;RIGHT(YEAR(AX4),1)&amp;" Comdty"</f>
        <v>COM7 Comdty</v>
      </c>
      <c r="AY5" t="str">
        <f>AY3&amp;VLOOKUP(MONTH(AY4),Control!$N$5:$O$16,2,FALSE)&amp;RIGHT(YEAR(AY4),1)&amp;" Comdty"</f>
        <v>CON7 Comdty</v>
      </c>
      <c r="AZ5" t="str">
        <f>AZ3&amp;VLOOKUP(MONTH(AZ4),Control!$N$5:$O$16,2,FALSE)&amp;RIGHT(YEAR(AZ4),1)&amp;" Comdty"</f>
        <v>COQ7 Comdty</v>
      </c>
      <c r="BA5" t="str">
        <f>BA3&amp;VLOOKUP(MONTH(BA4),Control!$N$5:$O$16,2,FALSE)&amp;RIGHT(YEAR(BA4),1)&amp;" Comdty"</f>
        <v>COU7 Comdty</v>
      </c>
    </row>
    <row r="6" spans="1:53" x14ac:dyDescent="0.35">
      <c r="B6" t="str">
        <f>_xll.BFieldInfo(B$7)</f>
        <v>#N/A Requesting Data...</v>
      </c>
      <c r="C6" t="str">
        <f>_xll.BFieldInfo(C$7)</f>
        <v>#N/A Requesting Data...</v>
      </c>
      <c r="D6" t="str">
        <f>_xll.BFieldInfo(D$7)</f>
        <v>#N/A Requesting Data...</v>
      </c>
      <c r="E6" t="str">
        <f>_xll.BFieldInfo(E$7)</f>
        <v>#N/A Requesting Data...</v>
      </c>
      <c r="F6" t="str">
        <f>_xll.BFieldInfo(F$7)</f>
        <v>#N/A Requesting Data...</v>
      </c>
      <c r="G6" t="str">
        <f>_xll.BFieldInfo(G$7)</f>
        <v>#N/A Requesting Data...</v>
      </c>
      <c r="H6" t="str">
        <f>_xll.BFieldInfo(H$7)</f>
        <v>#N/A Requesting Data...</v>
      </c>
      <c r="I6" t="str">
        <f>_xll.BFieldInfo(I$7)</f>
        <v>#N/A Requesting Data...</v>
      </c>
      <c r="J6" t="str">
        <f>_xll.BFieldInfo(J$7)</f>
        <v>#N/A Requesting Data...</v>
      </c>
      <c r="K6" t="str">
        <f>_xll.BFieldInfo(K$7)</f>
        <v>#N/A Requesting Data...</v>
      </c>
      <c r="L6" t="str">
        <f>_xll.BFieldInfo(L$7)</f>
        <v>#N/A Requesting Data...</v>
      </c>
      <c r="M6" t="str">
        <f>_xll.BFieldInfo(M$7)</f>
        <v>#N/A Requesting Data...</v>
      </c>
      <c r="N6" t="str">
        <f>_xll.BFieldInfo(N$7)</f>
        <v>#N/A Requesting Data...</v>
      </c>
      <c r="O6" t="str">
        <f>_xll.BFieldInfo(O$7)</f>
        <v>#N/A Requesting Data...</v>
      </c>
      <c r="P6" t="str">
        <f>_xll.BFieldInfo(P$7)</f>
        <v>#N/A Requesting Data...</v>
      </c>
      <c r="Q6" t="str">
        <f>_xll.BFieldInfo(Q$7)</f>
        <v>#N/A Requesting Data...</v>
      </c>
      <c r="R6" t="str">
        <f>_xll.BFieldInfo(R$7)</f>
        <v>#N/A Requesting Data...</v>
      </c>
      <c r="S6" t="str">
        <f>_xll.BFieldInfo(S$7)</f>
        <v>#N/A Requesting Data...</v>
      </c>
      <c r="T6" t="str">
        <f>_xll.BFieldInfo(T$7)</f>
        <v>#N/A Requesting Data...</v>
      </c>
      <c r="U6" t="str">
        <f>_xll.BFieldInfo(U$7)</f>
        <v>#N/A Requesting Data...</v>
      </c>
      <c r="V6" t="str">
        <f>_xll.BFieldInfo(V$7)</f>
        <v>#N/A Requesting Data...</v>
      </c>
      <c r="W6" t="str">
        <f>_xll.BFieldInfo(W$7)</f>
        <v>#N/A Requesting Data...</v>
      </c>
      <c r="X6" t="str">
        <f>_xll.BFieldInfo(X$7)</f>
        <v>#N/A Requesting Data...</v>
      </c>
      <c r="Y6" t="str">
        <f>_xll.BFieldInfo(Y$7)</f>
        <v>#N/A Requesting Data...</v>
      </c>
      <c r="Z6" t="str">
        <f>_xll.BFieldInfo(Z$7)</f>
        <v>#N/A Requesting Data...</v>
      </c>
      <c r="AA6" t="str">
        <f>_xll.BFieldInfo(AA$7)</f>
        <v>#N/A Requesting Data...</v>
      </c>
      <c r="AB6" t="str">
        <f>_xll.BFieldInfo(AB$7)</f>
        <v>#N/A Requesting Data...</v>
      </c>
      <c r="AD6" t="str">
        <f>_xll.BFieldInfo(AD$7)</f>
        <v>#N/A Requesting Data...</v>
      </c>
      <c r="AE6" t="str">
        <f>_xll.BFieldInfo(AE$7)</f>
        <v>#N/A Requesting Data...</v>
      </c>
      <c r="AF6" t="str">
        <f>_xll.BFieldInfo(AF$7)</f>
        <v>#N/A Requesting Data...</v>
      </c>
      <c r="AG6" t="str">
        <f>_xll.BFieldInfo(AG$7)</f>
        <v>#N/A Requesting Data...</v>
      </c>
      <c r="AH6" t="str">
        <f>_xll.BFieldInfo(AH$7)</f>
        <v>#N/A Requesting Data...</v>
      </c>
      <c r="AI6" t="str">
        <f>_xll.BFieldInfo(AI$7)</f>
        <v>#N/A Requesting Data...</v>
      </c>
      <c r="AJ6" t="str">
        <f>_xll.BFieldInfo(AJ$7)</f>
        <v>#N/A Requesting Data...</v>
      </c>
      <c r="AK6" t="str">
        <f>_xll.BFieldInfo(AK$7)</f>
        <v>#N/A Requesting Data...</v>
      </c>
      <c r="AL6" t="str">
        <f>_xll.BFieldInfo(AL$7)</f>
        <v>#N/A Requesting Data...</v>
      </c>
      <c r="AM6" t="str">
        <f>_xll.BFieldInfo(AM$7)</f>
        <v>#N/A Requesting Data...</v>
      </c>
      <c r="AN6" t="str">
        <f>_xll.BFieldInfo(AN$7)</f>
        <v>#N/A Requesting Data...</v>
      </c>
      <c r="AO6" t="str">
        <f>_xll.BFieldInfo(AO$7)</f>
        <v>#N/A Requesting Data...</v>
      </c>
      <c r="AP6" t="str">
        <f>_xll.BFieldInfo(AP$7)</f>
        <v>#N/A Requesting Data...</v>
      </c>
      <c r="AQ6" t="str">
        <f>_xll.BFieldInfo(AQ$7)</f>
        <v>#N/A Requesting Data...</v>
      </c>
      <c r="AR6" t="str">
        <f>_xll.BFieldInfo(AR$7)</f>
        <v>#N/A Requesting Data...</v>
      </c>
      <c r="AS6" t="str">
        <f>_xll.BFieldInfo(AS$7)</f>
        <v>#N/A Requesting Data...</v>
      </c>
      <c r="AT6" t="str">
        <f>_xll.BFieldInfo(AT$7)</f>
        <v>#N/A Requesting Data...</v>
      </c>
      <c r="AU6" t="str">
        <f>_xll.BFieldInfo(AU$7)</f>
        <v>#N/A Requesting Data...</v>
      </c>
      <c r="AV6" t="str">
        <f>_xll.BFieldInfo(AV$7)</f>
        <v>#N/A Requesting Data...</v>
      </c>
      <c r="AW6" t="str">
        <f>_xll.BFieldInfo(AW$7)</f>
        <v>#N/A Requesting Data...</v>
      </c>
      <c r="AX6" t="str">
        <f>_xll.BFieldInfo(AX$7)</f>
        <v>#N/A Requesting Data...</v>
      </c>
      <c r="AY6" t="str">
        <f>_xll.BFieldInfo(AY$7)</f>
        <v>#N/A Requesting Data...</v>
      </c>
      <c r="AZ6" t="str">
        <f>_xll.BFieldInfo(AZ$7)</f>
        <v>#N/A Requesting Data...</v>
      </c>
      <c r="BA6" t="str">
        <f>_xll.BFieldInfo(BA$7)</f>
        <v>#N/A Requesting Data...</v>
      </c>
    </row>
    <row r="7" spans="1:53" x14ac:dyDescent="0.35">
      <c r="A7" t="s">
        <v>2149</v>
      </c>
      <c r="B7" t="str">
        <f>'PnL26'!S1</f>
        <v>PX_SETTLE</v>
      </c>
      <c r="C7" t="str">
        <f>B7</f>
        <v>PX_SETTLE</v>
      </c>
      <c r="D7" t="str">
        <f t="shared" ref="D7:Y7" si="3">C7</f>
        <v>PX_SETTLE</v>
      </c>
      <c r="E7" t="str">
        <f t="shared" si="3"/>
        <v>PX_SETTLE</v>
      </c>
      <c r="F7" t="str">
        <f t="shared" si="3"/>
        <v>PX_SETTLE</v>
      </c>
      <c r="G7" t="str">
        <f t="shared" si="3"/>
        <v>PX_SETTLE</v>
      </c>
      <c r="H7" t="str">
        <f t="shared" si="3"/>
        <v>PX_SETTLE</v>
      </c>
      <c r="I7" t="str">
        <f t="shared" si="3"/>
        <v>PX_SETTLE</v>
      </c>
      <c r="J7" t="str">
        <f t="shared" si="3"/>
        <v>PX_SETTLE</v>
      </c>
      <c r="K7" t="str">
        <f t="shared" si="3"/>
        <v>PX_SETTLE</v>
      </c>
      <c r="L7" t="str">
        <f t="shared" si="3"/>
        <v>PX_SETTLE</v>
      </c>
      <c r="M7" t="str">
        <f t="shared" si="3"/>
        <v>PX_SETTLE</v>
      </c>
      <c r="N7" t="str">
        <f t="shared" si="3"/>
        <v>PX_SETTLE</v>
      </c>
      <c r="O7" t="str">
        <f t="shared" si="3"/>
        <v>PX_SETTLE</v>
      </c>
      <c r="P7" t="str">
        <f t="shared" si="3"/>
        <v>PX_SETTLE</v>
      </c>
      <c r="Q7" t="str">
        <f t="shared" si="3"/>
        <v>PX_SETTLE</v>
      </c>
      <c r="R7" t="str">
        <f t="shared" si="3"/>
        <v>PX_SETTLE</v>
      </c>
      <c r="S7" t="str">
        <f t="shared" si="3"/>
        <v>PX_SETTLE</v>
      </c>
      <c r="T7" t="str">
        <f t="shared" si="3"/>
        <v>PX_SETTLE</v>
      </c>
      <c r="U7" t="str">
        <f t="shared" si="3"/>
        <v>PX_SETTLE</v>
      </c>
      <c r="V7" t="str">
        <f t="shared" si="3"/>
        <v>PX_SETTLE</v>
      </c>
      <c r="W7" t="str">
        <f t="shared" si="3"/>
        <v>PX_SETTLE</v>
      </c>
      <c r="X7" t="str">
        <f t="shared" si="3"/>
        <v>PX_SETTLE</v>
      </c>
      <c r="Y7" t="str">
        <f t="shared" si="3"/>
        <v>PX_SETTLE</v>
      </c>
      <c r="Z7" t="str">
        <f>Y7</f>
        <v>PX_SETTLE</v>
      </c>
      <c r="AA7" t="str">
        <f>Z7</f>
        <v>PX_SETTLE</v>
      </c>
      <c r="AB7" t="str">
        <f>AA7</f>
        <v>PX_SETTLE</v>
      </c>
      <c r="AD7" t="str">
        <f>Y7</f>
        <v>PX_SETTLE</v>
      </c>
      <c r="AE7" t="str">
        <f t="shared" ref="AE7:BA7" si="4">AD7</f>
        <v>PX_SETTLE</v>
      </c>
      <c r="AF7" t="str">
        <f t="shared" si="4"/>
        <v>PX_SETTLE</v>
      </c>
      <c r="AG7" t="str">
        <f t="shared" si="4"/>
        <v>PX_SETTLE</v>
      </c>
      <c r="AH7" t="str">
        <f t="shared" si="4"/>
        <v>PX_SETTLE</v>
      </c>
      <c r="AI7" t="str">
        <f t="shared" si="4"/>
        <v>PX_SETTLE</v>
      </c>
      <c r="AJ7" t="str">
        <f t="shared" si="4"/>
        <v>PX_SETTLE</v>
      </c>
      <c r="AK7" t="str">
        <f t="shared" si="4"/>
        <v>PX_SETTLE</v>
      </c>
      <c r="AL7" t="str">
        <f t="shared" si="4"/>
        <v>PX_SETTLE</v>
      </c>
      <c r="AM7" t="str">
        <f t="shared" si="4"/>
        <v>PX_SETTLE</v>
      </c>
      <c r="AN7" t="str">
        <f t="shared" si="4"/>
        <v>PX_SETTLE</v>
      </c>
      <c r="AO7" t="str">
        <f t="shared" si="4"/>
        <v>PX_SETTLE</v>
      </c>
      <c r="AP7" t="str">
        <f t="shared" si="4"/>
        <v>PX_SETTLE</v>
      </c>
      <c r="AQ7" t="str">
        <f t="shared" si="4"/>
        <v>PX_SETTLE</v>
      </c>
      <c r="AR7" t="str">
        <f t="shared" si="4"/>
        <v>PX_SETTLE</v>
      </c>
      <c r="AS7" t="str">
        <f t="shared" si="4"/>
        <v>PX_SETTLE</v>
      </c>
      <c r="AT7" t="str">
        <f t="shared" si="4"/>
        <v>PX_SETTLE</v>
      </c>
      <c r="AU7" t="str">
        <f t="shared" si="4"/>
        <v>PX_SETTLE</v>
      </c>
      <c r="AV7" t="str">
        <f t="shared" si="4"/>
        <v>PX_SETTLE</v>
      </c>
      <c r="AW7" t="str">
        <f t="shared" si="4"/>
        <v>PX_SETTLE</v>
      </c>
      <c r="AX7" t="str">
        <f t="shared" si="4"/>
        <v>PX_SETTLE</v>
      </c>
      <c r="AY7" t="str">
        <f t="shared" si="4"/>
        <v>PX_SETTLE</v>
      </c>
      <c r="AZ7" t="str">
        <f t="shared" si="4"/>
        <v>PX_SETTLE</v>
      </c>
      <c r="BA7" t="str">
        <f t="shared" si="4"/>
        <v>PX_SETTLE</v>
      </c>
    </row>
    <row r="8" spans="1:53" x14ac:dyDescent="0.35">
      <c r="A8" s="16">
        <f>B1</f>
        <v>46254</v>
      </c>
      <c r="B8" t="str" cm="1">
        <f t="array" ref="B8">_xll.BDH(B$5,B$7,$B1,$B2,"Dir=V","CDR=5D","Days=A","Dts=H")</f>
        <v>#N/A Invalid Security</v>
      </c>
      <c r="C8" t="str" cm="1">
        <f t="array" ref="C8">_xll.BDH(C$5,C$7,$B1,$B2,"Dir=V","CDR=5D","Days=A","Dts=H")</f>
        <v>#N/A Invalid Security</v>
      </c>
      <c r="D8" t="str" cm="1">
        <f t="array" ref="D8:D37">_xll.BDH(D$5,D$7,$B1,$B2,"Dir=V","CDR=5D","Days=A","Dts=H")</f>
        <v>#N/A N/A</v>
      </c>
      <c r="E8" t="str" cm="1">
        <f t="array" ref="E8:E37">_xll.BDH(E$5,E$7,$B1,$B2,"Dir=V","CDR=5D","Days=A","Dts=H")</f>
        <v>#N/A N/A</v>
      </c>
      <c r="F8" t="str" cm="1">
        <f t="array" ref="F8:F37">_xll.BDH(F$5,F$7,$B1,$B2,"Dir=V","CDR=5D","Days=A","Dts=H")</f>
        <v>#N/A N/A</v>
      </c>
      <c r="G8" t="str" cm="1">
        <f t="array" ref="G8:G37">_xll.BDH(G$5,G$7,$B1,$B2,"Dir=V","CDR=5D","Days=A","Dts=H")</f>
        <v>#N/A N/A</v>
      </c>
      <c r="H8" t="str" cm="1">
        <f t="array" ref="H8:H37">_xll.BDH(H$5,H$7,$B1,$B2,"Dir=V","CDR=5D","Days=A","Dts=H")</f>
        <v>#N/A N/A</v>
      </c>
      <c r="I8" t="str" cm="1">
        <f t="array" ref="I8:I37">_xll.BDH(I$5,I$7,$B1,$B2,"Dir=V","CDR=5D","Days=A","Dts=H")</f>
        <v>#N/A N/A</v>
      </c>
      <c r="J8" t="str" cm="1">
        <f t="array" ref="J8:J37">_xll.BDH(J$5,J$7,$B1,$B2,"Dir=V","CDR=5D","Days=A","Dts=H")</f>
        <v>#N/A N/A</v>
      </c>
      <c r="K8" t="str" cm="1">
        <f t="array" ref="K8:K37">_xll.BDH(K$5,K$7,$B1,$B2,"Dir=V","CDR=5D","Days=A","Dts=H")</f>
        <v>#N/A N/A</v>
      </c>
      <c r="L8" t="str" cm="1">
        <f t="array" ref="L8:L37">_xll.BDH(L$5,L$7,$B1,$B2,"Dir=V","CDR=5D","Days=A","Dts=H")</f>
        <v>#N/A N/A</v>
      </c>
      <c r="M8" cm="1">
        <f t="array" ref="M8:M37">_xll.BDH(M$5,M$7,$B1,$B2,"Dir=V","CDR=5D","Days=A","Dts=H")</f>
        <v>84.91</v>
      </c>
      <c r="N8" cm="1">
        <f t="array" ref="N8:N37">_xll.BDH(N$5,N$7,$B1,$B2,"Dir=V","CDR=5D","Days=A","Dts=H")</f>
        <v>87.83</v>
      </c>
      <c r="O8" cm="1">
        <f t="array" ref="O8:O37">_xll.BDH(O$5,O$7,$B1,$B2,"Dir=V","CDR=5D","Days=A","Dts=H")</f>
        <v>86.83</v>
      </c>
      <c r="P8" cm="1">
        <f t="array" ref="P8:P37">_xll.BDH(P$5,P$7,$B1,$B2,"Dir=V","CDR=5D","Days=A","Dts=H")</f>
        <v>84.86</v>
      </c>
      <c r="Q8" cm="1">
        <f t="array" ref="Q8:Q37">_xll.BDH(Q$5,Q$7,$B1,$B2,"Dir=V","CDR=5D","Days=A","Dts=H")</f>
        <v>82.67</v>
      </c>
      <c r="R8" cm="1">
        <f t="array" ref="R8:R37">_xll.BDH(R$5,R$7,$B1,$B2,"Dir=V","CDR=5D","Days=A","Dts=H")</f>
        <v>80.77</v>
      </c>
      <c r="S8" cm="1">
        <f t="array" ref="S8:S37">_xll.BDH(S$5,S$7,$B1,$B2,"Dir=V","CDR=5D","Days=A","Dts=H")</f>
        <v>79.150000000000006</v>
      </c>
      <c r="T8" cm="1">
        <f t="array" ref="T8:T37">_xll.BDH(T$5,T$7,$B1,$B2,"Dir=V","CDR=5D","Days=A","Dts=H")</f>
        <v>77.8</v>
      </c>
      <c r="U8" cm="1">
        <f t="array" ref="U8:U37">_xll.BDH(U$5,U$7,$B1,$B2,"Dir=V","CDR=5D","Days=A","Dts=H")</f>
        <v>76.69</v>
      </c>
      <c r="V8" cm="1">
        <f t="array" ref="V8:V37">_xll.BDH(V$5,V$7,$B1,$B2,"Dir=V","CDR=5D","Days=A","Dts=H")</f>
        <v>75.81</v>
      </c>
      <c r="W8" cm="1">
        <f t="array" ref="W8:W37">_xll.BDH(W$5,W$7,$B1,$B2,"Dir=V","CDR=5D","Days=A","Dts=H")</f>
        <v>75.08</v>
      </c>
      <c r="X8" cm="1">
        <f t="array" ref="X8:X37">_xll.BDH(X$5,X$7,$B1,$B2,"Dir=V","CDR=5D","Days=A","Dts=H")</f>
        <v>74.44</v>
      </c>
      <c r="Y8" cm="1">
        <f t="array" ref="Y8:Y37">_xll.BDH(Y$5,Y$7,$B1,$B2,"Dir=V","CDR=5D","Days=A","Dts=H")</f>
        <v>73.88</v>
      </c>
      <c r="Z8" cm="1">
        <f t="array" ref="Z8:Z37">_xll.BDH(Z$5,Z$7,$B1,$B2,"Dir=V","CDR=5D","Days=A","Dts=H")</f>
        <v>73.39</v>
      </c>
      <c r="AA8" cm="1">
        <f t="array" ref="AA8:AA37">_xll.BDH(AA$5,AA$7,$B1,$B2,"Dir=V","CDR=5D","Days=A","Dts=H")</f>
        <v>72.94</v>
      </c>
      <c r="AB8" cm="1">
        <f t="array" ref="AB8:AB37">_xll.BDH(AB$5,AB$7,$B1,$B2,"Dir=V","CDR=5D","Days=A","Dts=H")</f>
        <v>72.56</v>
      </c>
      <c r="AD8" t="str" cm="1">
        <f t="array" ref="AD8">_xll.BDH(AD$5,AD$7,$B1,$B2,"Dir=V","CDR=5D","Days=A","Dts=H")</f>
        <v>#N/A Invalid Security</v>
      </c>
      <c r="AE8" t="str" cm="1">
        <f t="array" ref="AE8:AE37">_xll.BDH(AE$5,AE$7,$B1,$B2,"Dir=V","CDR=5D","Days=A","Dts=H")</f>
        <v>#N/A N/A</v>
      </c>
      <c r="AF8" t="str" cm="1">
        <f t="array" ref="AF8:AF37">_xll.BDH(AF$5,AF$7,$B1,$B2,"Dir=V","CDR=5D","Days=A","Dts=H")</f>
        <v>#N/A N/A</v>
      </c>
      <c r="AG8" t="str" cm="1">
        <f t="array" ref="AG8:AG37">_xll.BDH(AG$5,AG$7,$B1,$B2,"Dir=V","CDR=5D","Days=A","Dts=H")</f>
        <v>#N/A N/A</v>
      </c>
      <c r="AH8" t="str" cm="1">
        <f t="array" ref="AH8:AH37">_xll.BDH(AH$5,AH$7,$B1,$B2,"Dir=V","CDR=5D","Days=A","Dts=H")</f>
        <v>#N/A N/A</v>
      </c>
      <c r="AI8" t="str" cm="1">
        <f t="array" ref="AI8:AI37">_xll.BDH(AI$5,AI$7,$B1,$B2,"Dir=V","CDR=5D","Days=A","Dts=H")</f>
        <v>#N/A N/A</v>
      </c>
      <c r="AJ8" t="str" cm="1">
        <f t="array" ref="AJ8:AJ37">_xll.BDH(AJ$5,AJ$7,$B1,$B2,"Dir=V","CDR=5D","Days=A","Dts=H")</f>
        <v>#N/A N/A</v>
      </c>
      <c r="AK8" t="str" cm="1">
        <f t="array" ref="AK8:AK37">_xll.BDH(AK$5,AK$7,$B1,$B2,"Dir=V","CDR=5D","Days=A","Dts=H")</f>
        <v>#N/A N/A</v>
      </c>
      <c r="AL8" t="str" cm="1">
        <f t="array" ref="AL8:AL37">_xll.BDH(AL$5,AL$7,$B1,$B2,"Dir=V","CDR=5D","Days=A","Dts=H")</f>
        <v>#N/A N/A</v>
      </c>
      <c r="AM8" t="str" cm="1">
        <f t="array" ref="AM8:AM37">_xll.BDH(AM$5,AM$7,$B1,$B2,"Dir=V","CDR=5D","Days=A","Dts=H")</f>
        <v>#N/A N/A</v>
      </c>
      <c r="AN8" t="str" cm="1">
        <f t="array" ref="AN8:AN37">_xll.BDH(AN$5,AN$7,$B1,$B2,"Dir=V","CDR=5D","Days=A","Dts=H")</f>
        <v>#N/A N/A</v>
      </c>
      <c r="AO8" cm="1">
        <f t="array" ref="AO8:AO37">_xll.BDH(AO$5,AO$7,$B1,$B2,"Dir=V","CDR=5D","Days=A","Dts=H")</f>
        <v>90.12</v>
      </c>
      <c r="AP8" cm="1">
        <f t="array" ref="AP8:AP37">_xll.BDH(AP$5,AP$7,$B1,$B2,"Dir=V","CDR=5D","Days=A","Dts=H")</f>
        <v>93.78</v>
      </c>
      <c r="AQ8" cm="1">
        <f t="array" ref="AQ8:AQ37">_xll.BDH(AQ$5,AQ$7,$B1,$B2,"Dir=V","CDR=5D","Days=A","Dts=H")</f>
        <v>91.97</v>
      </c>
      <c r="AR8" cm="1">
        <f t="array" ref="AR8:AR37">_xll.BDH(AR$5,AR$7,$B1,$B2,"Dir=V","CDR=5D","Days=A","Dts=H")</f>
        <v>89.26</v>
      </c>
      <c r="AS8" cm="1">
        <f t="array" ref="AS8:AS37">_xll.BDH(AS$5,AS$7,$B1,$B2,"Dir=V","CDR=5D","Days=A","Dts=H")</f>
        <v>87</v>
      </c>
      <c r="AT8" cm="1">
        <f t="array" ref="AT8:AT37">_xll.BDH(AT$5,AT$7,$B1,$B2,"Dir=V","CDR=5D","Days=A","Dts=H")</f>
        <v>85.19</v>
      </c>
      <c r="AU8" cm="1">
        <f t="array" ref="AU8:AU37">_xll.BDH(AU$5,AU$7,$B1,$B2,"Dir=V","CDR=5D","Days=A","Dts=H")</f>
        <v>83.73</v>
      </c>
      <c r="AV8" cm="1">
        <f t="array" ref="AV8:AV37">_xll.BDH(AV$5,AV$7,$B1,$B2,"Dir=V","CDR=5D","Days=A","Dts=H")</f>
        <v>82.52</v>
      </c>
      <c r="AW8" cm="1">
        <f t="array" ref="AW8:AW37">_xll.BDH(AW$5,AW$7,$B1,$B2,"Dir=V","CDR=5D","Days=A","Dts=H")</f>
        <v>81.52</v>
      </c>
      <c r="AX8" cm="1">
        <f t="array" ref="AX8:AX37">_xll.BDH(AX$5,AX$7,$B1,$B2,"Dir=V","CDR=5D","Days=A","Dts=H")</f>
        <v>80.680000000000007</v>
      </c>
      <c r="AY8" cm="1">
        <f t="array" ref="AY8:AY37">_xll.BDH(AY$5,AY$7,$B1,$B2,"Dir=V","CDR=5D","Days=A","Dts=H")</f>
        <v>79.97</v>
      </c>
      <c r="AZ8" cm="1">
        <f t="array" ref="AZ8:AZ37">_xll.BDH(AZ$5,AZ$7,$B1,$B2,"Dir=V","CDR=5D","Days=A","Dts=H")</f>
        <v>79.349999999999994</v>
      </c>
      <c r="BA8" cm="1">
        <f t="array" ref="BA8:BA37">_xll.BDH(BA$5,BA$7,$B1,$B2,"Dir=V","CDR=5D","Days=A","Dts=H")</f>
        <v>78.790000000000006</v>
      </c>
    </row>
    <row r="9" spans="1:53" x14ac:dyDescent="0.35">
      <c r="A9" s="16">
        <f>WORKDAY(A8,1)</f>
        <v>46255</v>
      </c>
      <c r="C9" s="17"/>
      <c r="D9" t="str">
        <v>#N/A N/A</v>
      </c>
      <c r="E9" t="str">
        <v>#N/A N/A</v>
      </c>
      <c r="F9" t="str">
        <v>#N/A N/A</v>
      </c>
      <c r="G9" t="str">
        <v>#N/A N/A</v>
      </c>
      <c r="H9" t="str">
        <v>#N/A N/A</v>
      </c>
      <c r="I9" t="str">
        <v>#N/A N/A</v>
      </c>
      <c r="J9" t="str">
        <v>#N/A N/A</v>
      </c>
      <c r="K9" t="str">
        <v>#N/A N/A</v>
      </c>
      <c r="L9" t="str">
        <v>#N/A N/A</v>
      </c>
      <c r="M9">
        <v>84.91</v>
      </c>
      <c r="N9">
        <v>87.83</v>
      </c>
      <c r="O9">
        <v>87.06</v>
      </c>
      <c r="P9">
        <v>85.16</v>
      </c>
      <c r="Q9">
        <v>83.02</v>
      </c>
      <c r="R9">
        <v>81.05</v>
      </c>
      <c r="S9">
        <v>79.37</v>
      </c>
      <c r="T9">
        <v>77.97</v>
      </c>
      <c r="U9">
        <v>76.83</v>
      </c>
      <c r="V9">
        <v>75.92</v>
      </c>
      <c r="W9">
        <v>75.16</v>
      </c>
      <c r="X9">
        <v>74.510000000000005</v>
      </c>
      <c r="Y9">
        <v>73.930000000000007</v>
      </c>
      <c r="Z9">
        <v>73.42</v>
      </c>
      <c r="AA9">
        <v>72.97</v>
      </c>
      <c r="AB9">
        <v>72.58</v>
      </c>
      <c r="AE9" t="str">
        <v>#N/A N/A</v>
      </c>
      <c r="AF9" t="str">
        <v>#N/A N/A</v>
      </c>
      <c r="AG9" t="str">
        <v>#N/A N/A</v>
      </c>
      <c r="AH9" t="str">
        <v>#N/A N/A</v>
      </c>
      <c r="AI9" t="str">
        <v>#N/A N/A</v>
      </c>
      <c r="AJ9" t="str">
        <v>#N/A N/A</v>
      </c>
      <c r="AK9" t="str">
        <v>#N/A N/A</v>
      </c>
      <c r="AL9" t="str">
        <v>#N/A N/A</v>
      </c>
      <c r="AM9" t="str">
        <v>#N/A N/A</v>
      </c>
      <c r="AN9" t="str">
        <v>#N/A N/A</v>
      </c>
      <c r="AO9">
        <v>90.12</v>
      </c>
      <c r="AP9">
        <v>94.39</v>
      </c>
      <c r="AQ9">
        <v>92.67</v>
      </c>
      <c r="AR9">
        <v>89.99</v>
      </c>
      <c r="AS9">
        <v>87.67</v>
      </c>
      <c r="AT9">
        <v>85.8</v>
      </c>
      <c r="AU9">
        <v>84.29</v>
      </c>
      <c r="AV9">
        <v>83.04</v>
      </c>
      <c r="AW9">
        <v>82</v>
      </c>
      <c r="AX9">
        <v>81.12</v>
      </c>
      <c r="AY9">
        <v>80.38</v>
      </c>
      <c r="AZ9">
        <v>79.73</v>
      </c>
      <c r="BA9">
        <v>79.16</v>
      </c>
    </row>
    <row r="10" spans="1:53" x14ac:dyDescent="0.35">
      <c r="A10" s="16">
        <f t="shared" ref="A10:A73" si="5">WORKDAY(A9,1)</f>
        <v>46258</v>
      </c>
      <c r="C10" s="17"/>
      <c r="D10" t="str">
        <v>#N/A N/A</v>
      </c>
      <c r="E10" t="str">
        <v>#N/A N/A</v>
      </c>
      <c r="F10" t="str">
        <v>#N/A N/A</v>
      </c>
      <c r="G10" t="str">
        <v>#N/A N/A</v>
      </c>
      <c r="H10" t="str">
        <v>#N/A N/A</v>
      </c>
      <c r="I10" t="str">
        <v>#N/A N/A</v>
      </c>
      <c r="J10" t="str">
        <v>#N/A N/A</v>
      </c>
      <c r="K10" t="str">
        <v>#N/A N/A</v>
      </c>
      <c r="L10" t="str">
        <v>#N/A N/A</v>
      </c>
      <c r="M10">
        <v>84.91</v>
      </c>
      <c r="N10">
        <v>87.83</v>
      </c>
      <c r="O10">
        <v>85.01</v>
      </c>
      <c r="P10">
        <v>83.3</v>
      </c>
      <c r="Q10">
        <v>81.34</v>
      </c>
      <c r="R10">
        <v>79.58</v>
      </c>
      <c r="S10">
        <v>78.069999999999993</v>
      </c>
      <c r="T10">
        <v>76.819999999999993</v>
      </c>
      <c r="U10">
        <v>75.8</v>
      </c>
      <c r="V10">
        <v>74.97</v>
      </c>
      <c r="W10">
        <v>74.290000000000006</v>
      </c>
      <c r="X10">
        <v>73.69</v>
      </c>
      <c r="Y10">
        <v>73.16</v>
      </c>
      <c r="Z10">
        <v>72.7</v>
      </c>
      <c r="AA10">
        <v>72.27</v>
      </c>
      <c r="AB10">
        <v>71.91</v>
      </c>
      <c r="AE10" t="str">
        <v>#N/A N/A</v>
      </c>
      <c r="AF10" t="str">
        <v>#N/A N/A</v>
      </c>
      <c r="AG10" t="str">
        <v>#N/A N/A</v>
      </c>
      <c r="AH10" t="str">
        <v>#N/A N/A</v>
      </c>
      <c r="AI10" t="str">
        <v>#N/A N/A</v>
      </c>
      <c r="AJ10" t="str">
        <v>#N/A N/A</v>
      </c>
      <c r="AK10" t="str">
        <v>#N/A N/A</v>
      </c>
      <c r="AL10" t="str">
        <v>#N/A N/A</v>
      </c>
      <c r="AM10" t="str">
        <v>#N/A N/A</v>
      </c>
      <c r="AN10" t="str">
        <v>#N/A N/A</v>
      </c>
      <c r="AO10">
        <v>90.12</v>
      </c>
      <c r="AP10">
        <v>92.17</v>
      </c>
      <c r="AQ10">
        <v>90.54</v>
      </c>
      <c r="AR10">
        <v>88.1</v>
      </c>
      <c r="AS10">
        <v>85.96</v>
      </c>
      <c r="AT10">
        <v>84.26</v>
      </c>
      <c r="AU10">
        <v>82.9</v>
      </c>
      <c r="AV10">
        <v>81.77</v>
      </c>
      <c r="AW10">
        <v>80.83</v>
      </c>
      <c r="AX10">
        <v>80.03</v>
      </c>
      <c r="AY10">
        <v>79.349999999999994</v>
      </c>
      <c r="AZ10">
        <v>78.760000000000005</v>
      </c>
      <c r="BA10">
        <v>78.239999999999995</v>
      </c>
    </row>
    <row r="11" spans="1:53" x14ac:dyDescent="0.35">
      <c r="A11" s="16">
        <f t="shared" si="5"/>
        <v>46259</v>
      </c>
      <c r="C11" s="17"/>
      <c r="D11" t="str">
        <v>#N/A N/A</v>
      </c>
      <c r="E11" t="str">
        <v>#N/A N/A</v>
      </c>
      <c r="F11" t="str">
        <v>#N/A N/A</v>
      </c>
      <c r="G11" t="str">
        <v>#N/A N/A</v>
      </c>
      <c r="H11" t="str">
        <v>#N/A N/A</v>
      </c>
      <c r="I11" t="str">
        <v>#N/A N/A</v>
      </c>
      <c r="J11" t="str">
        <v>#N/A N/A</v>
      </c>
      <c r="K11" t="str">
        <v>#N/A N/A</v>
      </c>
      <c r="L11" t="str">
        <v>#N/A N/A</v>
      </c>
      <c r="M11">
        <v>84.91</v>
      </c>
      <c r="N11">
        <v>87.83</v>
      </c>
      <c r="O11">
        <v>82.36</v>
      </c>
      <c r="P11">
        <v>80.88</v>
      </c>
      <c r="Q11">
        <v>79.150000000000006</v>
      </c>
      <c r="R11">
        <v>77.63</v>
      </c>
      <c r="S11">
        <v>76.349999999999994</v>
      </c>
      <c r="T11">
        <v>75.290000000000006</v>
      </c>
      <c r="U11">
        <v>74.42</v>
      </c>
      <c r="V11">
        <v>73.72</v>
      </c>
      <c r="W11">
        <v>73.13</v>
      </c>
      <c r="X11">
        <v>72.62</v>
      </c>
      <c r="Y11">
        <v>72.16</v>
      </c>
      <c r="Z11">
        <v>71.760000000000005</v>
      </c>
      <c r="AA11">
        <v>71.400000000000006</v>
      </c>
      <c r="AB11">
        <v>71.09</v>
      </c>
      <c r="AE11" t="str">
        <v>#N/A N/A</v>
      </c>
      <c r="AF11" t="str">
        <v>#N/A N/A</v>
      </c>
      <c r="AG11" t="str">
        <v>#N/A N/A</v>
      </c>
      <c r="AH11" t="str">
        <v>#N/A N/A</v>
      </c>
      <c r="AI11" t="str">
        <v>#N/A N/A</v>
      </c>
      <c r="AJ11" t="str">
        <v>#N/A N/A</v>
      </c>
      <c r="AK11" t="str">
        <v>#N/A N/A</v>
      </c>
      <c r="AL11" t="str">
        <v>#N/A N/A</v>
      </c>
      <c r="AM11" t="str">
        <v>#N/A N/A</v>
      </c>
      <c r="AN11" t="str">
        <v>#N/A N/A</v>
      </c>
      <c r="AO11">
        <v>90.12</v>
      </c>
      <c r="AP11">
        <v>88.58</v>
      </c>
      <c r="AQ11">
        <v>87.27</v>
      </c>
      <c r="AR11">
        <v>85.22</v>
      </c>
      <c r="AS11">
        <v>83.45</v>
      </c>
      <c r="AT11">
        <v>82.05</v>
      </c>
      <c r="AU11">
        <v>80.94</v>
      </c>
      <c r="AV11">
        <v>80.010000000000005</v>
      </c>
      <c r="AW11">
        <v>79.239999999999995</v>
      </c>
      <c r="AX11">
        <v>78.58</v>
      </c>
      <c r="AY11">
        <v>78.02</v>
      </c>
      <c r="AZ11">
        <v>77.53</v>
      </c>
      <c r="BA11">
        <v>77.09</v>
      </c>
    </row>
    <row r="12" spans="1:53" x14ac:dyDescent="0.35">
      <c r="A12" s="16">
        <f t="shared" si="5"/>
        <v>46260</v>
      </c>
      <c r="C12" s="17"/>
      <c r="D12" t="str">
        <v>#N/A N/A</v>
      </c>
      <c r="E12" t="str">
        <v>#N/A N/A</v>
      </c>
      <c r="F12" t="str">
        <v>#N/A N/A</v>
      </c>
      <c r="G12" t="str">
        <v>#N/A N/A</v>
      </c>
      <c r="H12" t="str">
        <v>#N/A N/A</v>
      </c>
      <c r="I12" t="str">
        <v>#N/A N/A</v>
      </c>
      <c r="J12" t="str">
        <v>#N/A N/A</v>
      </c>
      <c r="K12" t="str">
        <v>#N/A N/A</v>
      </c>
      <c r="L12" t="str">
        <v>#N/A N/A</v>
      </c>
      <c r="M12">
        <v>84.91</v>
      </c>
      <c r="N12">
        <v>87.83</v>
      </c>
      <c r="O12">
        <v>82.23</v>
      </c>
      <c r="P12">
        <v>80.849999999999994</v>
      </c>
      <c r="Q12">
        <v>79.27</v>
      </c>
      <c r="R12">
        <v>77.77</v>
      </c>
      <c r="S12">
        <v>76.459999999999994</v>
      </c>
      <c r="T12">
        <v>75.34</v>
      </c>
      <c r="U12">
        <v>74.42</v>
      </c>
      <c r="V12">
        <v>73.67</v>
      </c>
      <c r="W12">
        <v>73.05</v>
      </c>
      <c r="X12">
        <v>72.510000000000005</v>
      </c>
      <c r="Y12">
        <v>72.03</v>
      </c>
      <c r="Z12">
        <v>71.61</v>
      </c>
      <c r="AA12">
        <v>71.23</v>
      </c>
      <c r="AB12">
        <v>70.91</v>
      </c>
      <c r="AE12" t="str">
        <v>#N/A N/A</v>
      </c>
      <c r="AF12" t="str">
        <v>#N/A N/A</v>
      </c>
      <c r="AG12" t="str">
        <v>#N/A N/A</v>
      </c>
      <c r="AH12" t="str">
        <v>#N/A N/A</v>
      </c>
      <c r="AI12" t="str">
        <v>#N/A N/A</v>
      </c>
      <c r="AJ12" t="str">
        <v>#N/A N/A</v>
      </c>
      <c r="AK12" t="str">
        <v>#N/A N/A</v>
      </c>
      <c r="AL12" t="str">
        <v>#N/A N/A</v>
      </c>
      <c r="AM12" t="str">
        <v>#N/A N/A</v>
      </c>
      <c r="AN12" t="str">
        <v>#N/A N/A</v>
      </c>
      <c r="AO12">
        <v>90.12</v>
      </c>
      <c r="AP12">
        <v>87.84</v>
      </c>
      <c r="AQ12">
        <v>86.94</v>
      </c>
      <c r="AR12">
        <v>85.09</v>
      </c>
      <c r="AS12">
        <v>83.38</v>
      </c>
      <c r="AT12">
        <v>81.97</v>
      </c>
      <c r="AU12">
        <v>80.819999999999993</v>
      </c>
      <c r="AV12">
        <v>79.86</v>
      </c>
      <c r="AW12">
        <v>79.05</v>
      </c>
      <c r="AX12">
        <v>78.36</v>
      </c>
      <c r="AY12">
        <v>77.78</v>
      </c>
      <c r="AZ12">
        <v>77.27</v>
      </c>
      <c r="BA12">
        <v>76.81</v>
      </c>
    </row>
    <row r="13" spans="1:53" x14ac:dyDescent="0.35">
      <c r="A13" s="16">
        <f t="shared" si="5"/>
        <v>46261</v>
      </c>
      <c r="C13" s="17"/>
      <c r="D13" t="str">
        <v>#N/A N/A</v>
      </c>
      <c r="E13" t="str">
        <v>#N/A N/A</v>
      </c>
      <c r="F13" t="str">
        <v>#N/A N/A</v>
      </c>
      <c r="G13" t="str">
        <v>#N/A N/A</v>
      </c>
      <c r="H13" t="str">
        <v>#N/A N/A</v>
      </c>
      <c r="I13" t="str">
        <v>#N/A N/A</v>
      </c>
      <c r="J13" t="str">
        <v>#N/A N/A</v>
      </c>
      <c r="K13" t="str">
        <v>#N/A N/A</v>
      </c>
      <c r="L13" t="str">
        <v>#N/A N/A</v>
      </c>
      <c r="M13">
        <v>84.91</v>
      </c>
      <c r="N13">
        <v>87.83</v>
      </c>
      <c r="O13">
        <v>83.53</v>
      </c>
      <c r="P13">
        <v>81.97</v>
      </c>
      <c r="Q13">
        <v>80.11</v>
      </c>
      <c r="R13">
        <v>78.33</v>
      </c>
      <c r="S13">
        <v>76.760000000000005</v>
      </c>
      <c r="T13">
        <v>75.5</v>
      </c>
      <c r="U13">
        <v>74.48</v>
      </c>
      <c r="V13">
        <v>73.66</v>
      </c>
      <c r="W13">
        <v>72.989999999999995</v>
      </c>
      <c r="X13">
        <v>72.41</v>
      </c>
      <c r="Y13">
        <v>71.91</v>
      </c>
      <c r="Z13">
        <v>71.489999999999995</v>
      </c>
      <c r="AA13">
        <v>71.099999999999994</v>
      </c>
      <c r="AB13">
        <v>70.77</v>
      </c>
      <c r="AE13" t="str">
        <v>#N/A N/A</v>
      </c>
      <c r="AF13" t="str">
        <v>#N/A N/A</v>
      </c>
      <c r="AG13" t="str">
        <v>#N/A N/A</v>
      </c>
      <c r="AH13" t="str">
        <v>#N/A N/A</v>
      </c>
      <c r="AI13" t="str">
        <v>#N/A N/A</v>
      </c>
      <c r="AJ13" t="str">
        <v>#N/A N/A</v>
      </c>
      <c r="AK13" t="str">
        <v>#N/A N/A</v>
      </c>
      <c r="AL13" t="str">
        <v>#N/A N/A</v>
      </c>
      <c r="AM13" t="str">
        <v>#N/A N/A</v>
      </c>
      <c r="AN13" t="str">
        <v>#N/A N/A</v>
      </c>
      <c r="AO13">
        <v>90.12</v>
      </c>
      <c r="AP13">
        <v>89.7</v>
      </c>
      <c r="AQ13">
        <v>88.52</v>
      </c>
      <c r="AR13">
        <v>86.34</v>
      </c>
      <c r="AS13">
        <v>84.23</v>
      </c>
      <c r="AT13">
        <v>82.54</v>
      </c>
      <c r="AU13">
        <v>81.209999999999994</v>
      </c>
      <c r="AV13">
        <v>80.13</v>
      </c>
      <c r="AW13">
        <v>79.239999999999995</v>
      </c>
      <c r="AX13">
        <v>78.489999999999995</v>
      </c>
      <c r="AY13">
        <v>77.86</v>
      </c>
      <c r="AZ13">
        <v>77.319999999999993</v>
      </c>
      <c r="BA13">
        <v>76.84</v>
      </c>
    </row>
    <row r="14" spans="1:53" x14ac:dyDescent="0.35">
      <c r="A14" s="16">
        <f t="shared" si="5"/>
        <v>46262</v>
      </c>
      <c r="C14" s="17"/>
      <c r="D14" t="str">
        <v>#N/A N/A</v>
      </c>
      <c r="E14" t="str">
        <v>#N/A N/A</v>
      </c>
      <c r="F14" t="str">
        <v>#N/A N/A</v>
      </c>
      <c r="G14" t="str">
        <v>#N/A N/A</v>
      </c>
      <c r="H14" t="str">
        <v>#N/A N/A</v>
      </c>
      <c r="I14" t="str">
        <v>#N/A N/A</v>
      </c>
      <c r="J14" t="str">
        <v>#N/A N/A</v>
      </c>
      <c r="K14" t="str">
        <v>#N/A N/A</v>
      </c>
      <c r="L14" t="str">
        <v>#N/A N/A</v>
      </c>
      <c r="M14">
        <v>84.91</v>
      </c>
      <c r="N14">
        <v>87.83</v>
      </c>
      <c r="O14">
        <v>83.4</v>
      </c>
      <c r="P14">
        <v>81.83</v>
      </c>
      <c r="Q14">
        <v>80</v>
      </c>
      <c r="R14">
        <v>78.290000000000006</v>
      </c>
      <c r="S14">
        <v>76.78</v>
      </c>
      <c r="T14">
        <v>75.53</v>
      </c>
      <c r="U14">
        <v>74.53</v>
      </c>
      <c r="V14">
        <v>73.73</v>
      </c>
      <c r="W14">
        <v>73.069999999999993</v>
      </c>
      <c r="X14">
        <v>72.5</v>
      </c>
      <c r="Y14">
        <v>72.010000000000005</v>
      </c>
      <c r="Z14">
        <v>71.58</v>
      </c>
      <c r="AA14">
        <v>71.19</v>
      </c>
      <c r="AB14">
        <v>70.87</v>
      </c>
      <c r="AE14" t="str">
        <v>#N/A N/A</v>
      </c>
      <c r="AF14" t="str">
        <v>#N/A N/A</v>
      </c>
      <c r="AG14" t="str">
        <v>#N/A N/A</v>
      </c>
      <c r="AH14" t="str">
        <v>#N/A N/A</v>
      </c>
      <c r="AI14" t="str">
        <v>#N/A N/A</v>
      </c>
      <c r="AJ14" t="str">
        <v>#N/A N/A</v>
      </c>
      <c r="AK14" t="str">
        <v>#N/A N/A</v>
      </c>
      <c r="AL14" t="str">
        <v>#N/A N/A</v>
      </c>
      <c r="AM14" t="str">
        <v>#N/A N/A</v>
      </c>
      <c r="AN14" t="str">
        <v>#N/A N/A</v>
      </c>
      <c r="AO14">
        <v>90.12</v>
      </c>
      <c r="AP14">
        <v>89.31</v>
      </c>
      <c r="AQ14">
        <v>88.1</v>
      </c>
      <c r="AR14">
        <v>86.12</v>
      </c>
      <c r="AS14">
        <v>84.16</v>
      </c>
      <c r="AT14">
        <v>82.52</v>
      </c>
      <c r="AU14">
        <v>81.23</v>
      </c>
      <c r="AV14">
        <v>80.180000000000007</v>
      </c>
      <c r="AW14">
        <v>79.31</v>
      </c>
      <c r="AX14">
        <v>78.58</v>
      </c>
      <c r="AY14">
        <v>77.959999999999994</v>
      </c>
      <c r="AZ14">
        <v>77.42</v>
      </c>
      <c r="BA14">
        <v>76.94</v>
      </c>
    </row>
    <row r="15" spans="1:53" x14ac:dyDescent="0.35">
      <c r="A15" s="16">
        <f t="shared" si="5"/>
        <v>46265</v>
      </c>
      <c r="C15" s="17"/>
      <c r="D15" t="str">
        <v>#N/A N/A</v>
      </c>
      <c r="E15" t="str">
        <v>#N/A N/A</v>
      </c>
      <c r="F15" t="str">
        <v>#N/A N/A</v>
      </c>
      <c r="G15" t="str">
        <v>#N/A N/A</v>
      </c>
      <c r="H15" t="str">
        <v>#N/A N/A</v>
      </c>
      <c r="I15" t="str">
        <v>#N/A N/A</v>
      </c>
      <c r="J15" t="str">
        <v>#N/A N/A</v>
      </c>
      <c r="K15" t="str">
        <v>#N/A N/A</v>
      </c>
      <c r="L15" t="str">
        <v>#N/A N/A</v>
      </c>
      <c r="M15">
        <v>84.91</v>
      </c>
      <c r="N15">
        <v>87.83</v>
      </c>
      <c r="O15">
        <v>85.76</v>
      </c>
      <c r="P15">
        <v>84.06</v>
      </c>
      <c r="Q15">
        <v>82.07</v>
      </c>
      <c r="R15">
        <v>80.12</v>
      </c>
      <c r="S15">
        <v>78.349999999999994</v>
      </c>
      <c r="T15">
        <v>76.88</v>
      </c>
      <c r="U15">
        <v>75.7</v>
      </c>
      <c r="V15">
        <v>74.760000000000005</v>
      </c>
      <c r="W15">
        <v>74</v>
      </c>
      <c r="X15">
        <v>73.34</v>
      </c>
      <c r="Y15">
        <v>72.760000000000005</v>
      </c>
      <c r="Z15">
        <v>72.25</v>
      </c>
      <c r="AA15">
        <v>71.8</v>
      </c>
      <c r="AB15">
        <v>71.42</v>
      </c>
      <c r="AE15" t="str">
        <v>#N/A N/A</v>
      </c>
      <c r="AF15" t="str">
        <v>#N/A N/A</v>
      </c>
      <c r="AG15" t="str">
        <v>#N/A N/A</v>
      </c>
      <c r="AH15" t="str">
        <v>#N/A N/A</v>
      </c>
      <c r="AI15" t="str">
        <v>#N/A N/A</v>
      </c>
      <c r="AJ15" t="str">
        <v>#N/A N/A</v>
      </c>
      <c r="AK15" t="str">
        <v>#N/A N/A</v>
      </c>
      <c r="AL15" t="str">
        <v>#N/A N/A</v>
      </c>
      <c r="AM15" t="str">
        <v>#N/A N/A</v>
      </c>
      <c r="AN15" t="str">
        <v>#N/A N/A</v>
      </c>
      <c r="AO15">
        <v>90.12</v>
      </c>
      <c r="AP15">
        <v>89.31</v>
      </c>
      <c r="AQ15">
        <v>90.49</v>
      </c>
      <c r="AR15">
        <v>88.37</v>
      </c>
      <c r="AS15">
        <v>86.15</v>
      </c>
      <c r="AT15">
        <v>84.22</v>
      </c>
      <c r="AU15">
        <v>82.69</v>
      </c>
      <c r="AV15">
        <v>81.459999999999994</v>
      </c>
      <c r="AW15">
        <v>80.459999999999994</v>
      </c>
      <c r="AX15">
        <v>79.62</v>
      </c>
      <c r="AY15">
        <v>78.900000000000006</v>
      </c>
      <c r="AZ15">
        <v>78.28</v>
      </c>
      <c r="BA15">
        <v>77.73</v>
      </c>
    </row>
    <row r="16" spans="1:53" x14ac:dyDescent="0.35">
      <c r="A16" s="16">
        <f t="shared" si="5"/>
        <v>46266</v>
      </c>
      <c r="C16" s="17"/>
      <c r="D16" t="str">
        <v>#N/A N/A</v>
      </c>
      <c r="E16" t="str">
        <v>#N/A N/A</v>
      </c>
      <c r="F16" t="str">
        <v>#N/A N/A</v>
      </c>
      <c r="G16" t="str">
        <v>#N/A N/A</v>
      </c>
      <c r="H16" t="str">
        <v>#N/A N/A</v>
      </c>
      <c r="I16" t="str">
        <v>#N/A N/A</v>
      </c>
      <c r="J16" t="str">
        <v>#N/A N/A</v>
      </c>
      <c r="K16" t="str">
        <v>#N/A N/A</v>
      </c>
      <c r="L16" t="str">
        <v>#N/A N/A</v>
      </c>
      <c r="M16">
        <v>84.91</v>
      </c>
      <c r="N16">
        <v>87.83</v>
      </c>
      <c r="O16">
        <v>90.22</v>
      </c>
      <c r="P16">
        <v>87.75</v>
      </c>
      <c r="Q16">
        <v>84.97</v>
      </c>
      <c r="R16">
        <v>82.4</v>
      </c>
      <c r="S16">
        <v>80.16</v>
      </c>
      <c r="T16">
        <v>78.34</v>
      </c>
      <c r="U16">
        <v>76.89</v>
      </c>
      <c r="V16">
        <v>75.73</v>
      </c>
      <c r="W16">
        <v>74.819999999999993</v>
      </c>
      <c r="X16">
        <v>74.06</v>
      </c>
      <c r="Y16">
        <v>73.39</v>
      </c>
      <c r="Z16">
        <v>72.84</v>
      </c>
      <c r="AA16">
        <v>72.349999999999994</v>
      </c>
      <c r="AB16">
        <v>71.94</v>
      </c>
      <c r="AE16" t="str">
        <v>#N/A N/A</v>
      </c>
      <c r="AF16" t="str">
        <v>#N/A N/A</v>
      </c>
      <c r="AG16" t="str">
        <v>#N/A N/A</v>
      </c>
      <c r="AH16" t="str">
        <v>#N/A N/A</v>
      </c>
      <c r="AI16" t="str">
        <v>#N/A N/A</v>
      </c>
      <c r="AJ16" t="str">
        <v>#N/A N/A</v>
      </c>
      <c r="AK16" t="str">
        <v>#N/A N/A</v>
      </c>
      <c r="AL16" t="str">
        <v>#N/A N/A</v>
      </c>
      <c r="AM16" t="str">
        <v>#N/A N/A</v>
      </c>
      <c r="AN16" t="str">
        <v>#N/A N/A</v>
      </c>
      <c r="AO16">
        <v>90.12</v>
      </c>
      <c r="AP16">
        <v>89.31</v>
      </c>
      <c r="AQ16">
        <v>94.65</v>
      </c>
      <c r="AR16">
        <v>91.57</v>
      </c>
      <c r="AS16">
        <v>88.67</v>
      </c>
      <c r="AT16">
        <v>86.25</v>
      </c>
      <c r="AU16">
        <v>84.37</v>
      </c>
      <c r="AV16">
        <v>82.87</v>
      </c>
      <c r="AW16">
        <v>81.66</v>
      </c>
      <c r="AX16">
        <v>80.67</v>
      </c>
      <c r="AY16">
        <v>79.84</v>
      </c>
      <c r="AZ16">
        <v>79.13</v>
      </c>
      <c r="BA16">
        <v>78.510000000000005</v>
      </c>
    </row>
    <row r="17" spans="1:53" x14ac:dyDescent="0.35">
      <c r="A17" s="16">
        <f t="shared" si="5"/>
        <v>46267</v>
      </c>
      <c r="C17" s="17"/>
      <c r="D17" t="str">
        <v>#N/A N/A</v>
      </c>
      <c r="E17" t="str">
        <v>#N/A N/A</v>
      </c>
      <c r="F17" t="str">
        <v>#N/A N/A</v>
      </c>
      <c r="G17" t="str">
        <v>#N/A N/A</v>
      </c>
      <c r="H17" t="str">
        <v>#N/A N/A</v>
      </c>
      <c r="I17" t="str">
        <v>#N/A N/A</v>
      </c>
      <c r="J17" t="str">
        <v>#N/A N/A</v>
      </c>
      <c r="K17" t="str">
        <v>#N/A N/A</v>
      </c>
      <c r="L17" t="str">
        <v>#N/A N/A</v>
      </c>
      <c r="M17">
        <v>84.91</v>
      </c>
      <c r="N17">
        <v>87.83</v>
      </c>
      <c r="O17">
        <v>91.01</v>
      </c>
      <c r="P17">
        <v>88.28</v>
      </c>
      <c r="Q17">
        <v>85.25</v>
      </c>
      <c r="R17">
        <v>82.5</v>
      </c>
      <c r="S17">
        <v>80.099999999999994</v>
      </c>
      <c r="T17">
        <v>78.13</v>
      </c>
      <c r="U17">
        <v>76.56</v>
      </c>
      <c r="V17">
        <v>75.33</v>
      </c>
      <c r="W17">
        <v>74.36</v>
      </c>
      <c r="X17">
        <v>73.55</v>
      </c>
      <c r="Y17">
        <v>72.88</v>
      </c>
      <c r="Z17">
        <v>72.319999999999993</v>
      </c>
      <c r="AA17">
        <v>71.83</v>
      </c>
      <c r="AB17">
        <v>71.42</v>
      </c>
      <c r="AE17" t="str">
        <v>#N/A N/A</v>
      </c>
      <c r="AF17" t="str">
        <v>#N/A N/A</v>
      </c>
      <c r="AG17" t="str">
        <v>#N/A N/A</v>
      </c>
      <c r="AH17" t="str">
        <v>#N/A N/A</v>
      </c>
      <c r="AI17" t="str">
        <v>#N/A N/A</v>
      </c>
      <c r="AJ17" t="str">
        <v>#N/A N/A</v>
      </c>
      <c r="AK17" t="str">
        <v>#N/A N/A</v>
      </c>
      <c r="AL17" t="str">
        <v>#N/A N/A</v>
      </c>
      <c r="AM17" t="str">
        <v>#N/A N/A</v>
      </c>
      <c r="AN17" t="str">
        <v>#N/A N/A</v>
      </c>
      <c r="AO17">
        <v>90.12</v>
      </c>
      <c r="AP17">
        <v>89.31</v>
      </c>
      <c r="AQ17">
        <v>95.63</v>
      </c>
      <c r="AR17">
        <v>92.09</v>
      </c>
      <c r="AS17">
        <v>88.98</v>
      </c>
      <c r="AT17">
        <v>86.39</v>
      </c>
      <c r="AU17">
        <v>84.36</v>
      </c>
      <c r="AV17">
        <v>82.73</v>
      </c>
      <c r="AW17">
        <v>81.430000000000007</v>
      </c>
      <c r="AX17">
        <v>80.37</v>
      </c>
      <c r="AY17">
        <v>79.489999999999995</v>
      </c>
      <c r="AZ17">
        <v>78.75</v>
      </c>
      <c r="BA17">
        <v>78.12</v>
      </c>
    </row>
    <row r="18" spans="1:53" x14ac:dyDescent="0.35">
      <c r="A18" s="16">
        <f t="shared" si="5"/>
        <v>46268</v>
      </c>
      <c r="C18" s="17"/>
      <c r="D18" t="str">
        <v>#N/A N/A</v>
      </c>
      <c r="E18" t="str">
        <v>#N/A N/A</v>
      </c>
      <c r="F18" t="str">
        <v>#N/A N/A</v>
      </c>
      <c r="G18" t="str">
        <v>#N/A N/A</v>
      </c>
      <c r="H18" t="str">
        <v>#N/A N/A</v>
      </c>
      <c r="I18" t="str">
        <v>#N/A N/A</v>
      </c>
      <c r="J18" t="str">
        <v>#N/A N/A</v>
      </c>
      <c r="K18" t="str">
        <v>#N/A N/A</v>
      </c>
      <c r="L18" t="str">
        <v>#N/A N/A</v>
      </c>
      <c r="M18">
        <v>84.91</v>
      </c>
      <c r="N18">
        <v>87.83</v>
      </c>
      <c r="O18">
        <v>91.3</v>
      </c>
      <c r="P18">
        <v>88.03</v>
      </c>
      <c r="Q18">
        <v>84.79</v>
      </c>
      <c r="R18">
        <v>81.93</v>
      </c>
      <c r="S18">
        <v>79.489999999999995</v>
      </c>
      <c r="T18">
        <v>77.48</v>
      </c>
      <c r="U18">
        <v>75.84</v>
      </c>
      <c r="V18">
        <v>74.540000000000006</v>
      </c>
      <c r="W18">
        <v>73.510000000000005</v>
      </c>
      <c r="X18">
        <v>72.66</v>
      </c>
      <c r="Y18">
        <v>71.95</v>
      </c>
      <c r="Z18">
        <v>71.38</v>
      </c>
      <c r="AA18">
        <v>70.89</v>
      </c>
      <c r="AB18">
        <v>70.489999999999995</v>
      </c>
      <c r="AE18" t="str">
        <v>#N/A N/A</v>
      </c>
      <c r="AF18" t="str">
        <v>#N/A N/A</v>
      </c>
      <c r="AG18" t="str">
        <v>#N/A N/A</v>
      </c>
      <c r="AH18" t="str">
        <v>#N/A N/A</v>
      </c>
      <c r="AI18" t="str">
        <v>#N/A N/A</v>
      </c>
      <c r="AJ18" t="str">
        <v>#N/A N/A</v>
      </c>
      <c r="AK18" t="str">
        <v>#N/A N/A</v>
      </c>
      <c r="AL18" t="str">
        <v>#N/A N/A</v>
      </c>
      <c r="AM18" t="str">
        <v>#N/A N/A</v>
      </c>
      <c r="AN18" t="str">
        <v>#N/A N/A</v>
      </c>
      <c r="AO18">
        <v>90.12</v>
      </c>
      <c r="AP18">
        <v>89.31</v>
      </c>
      <c r="AQ18">
        <v>95.52</v>
      </c>
      <c r="AR18">
        <v>91.63</v>
      </c>
      <c r="AS18">
        <v>88.32</v>
      </c>
      <c r="AT18">
        <v>85.68</v>
      </c>
      <c r="AU18">
        <v>83.62</v>
      </c>
      <c r="AV18">
        <v>81.96</v>
      </c>
      <c r="AW18">
        <v>80.61</v>
      </c>
      <c r="AX18">
        <v>79.510000000000005</v>
      </c>
      <c r="AY18">
        <v>78.61</v>
      </c>
      <c r="AZ18">
        <v>77.86</v>
      </c>
      <c r="BA18">
        <v>77.22</v>
      </c>
    </row>
    <row r="19" spans="1:53" x14ac:dyDescent="0.35">
      <c r="A19" s="16">
        <f t="shared" si="5"/>
        <v>46269</v>
      </c>
      <c r="C19" s="17"/>
      <c r="D19" t="str">
        <v>#N/A N/A</v>
      </c>
      <c r="E19" t="str">
        <v>#N/A N/A</v>
      </c>
      <c r="F19" t="str">
        <v>#N/A N/A</v>
      </c>
      <c r="G19" t="str">
        <v>#N/A N/A</v>
      </c>
      <c r="H19" t="str">
        <v>#N/A N/A</v>
      </c>
      <c r="I19" t="str">
        <v>#N/A N/A</v>
      </c>
      <c r="J19" t="str">
        <v>#N/A N/A</v>
      </c>
      <c r="K19" t="str">
        <v>#N/A N/A</v>
      </c>
      <c r="L19" t="str">
        <v>#N/A N/A</v>
      </c>
      <c r="M19">
        <v>84.91</v>
      </c>
      <c r="N19">
        <v>87.83</v>
      </c>
      <c r="O19">
        <v>91.48</v>
      </c>
      <c r="P19">
        <v>88.57</v>
      </c>
      <c r="Q19">
        <v>85.46</v>
      </c>
      <c r="R19">
        <v>82.78</v>
      </c>
      <c r="S19">
        <v>80.5</v>
      </c>
      <c r="T19">
        <v>78.59</v>
      </c>
      <c r="U19">
        <v>77.010000000000005</v>
      </c>
      <c r="V19">
        <v>75.73</v>
      </c>
      <c r="W19">
        <v>74.7</v>
      </c>
      <c r="X19">
        <v>73.849999999999994</v>
      </c>
      <c r="Y19">
        <v>73.13</v>
      </c>
      <c r="Z19">
        <v>72.53</v>
      </c>
      <c r="AA19">
        <v>72.02</v>
      </c>
      <c r="AB19">
        <v>71.61</v>
      </c>
      <c r="AE19" t="str">
        <v>#N/A N/A</v>
      </c>
      <c r="AF19" t="str">
        <v>#N/A N/A</v>
      </c>
      <c r="AG19" t="str">
        <v>#N/A N/A</v>
      </c>
      <c r="AH19" t="str">
        <v>#N/A N/A</v>
      </c>
      <c r="AI19" t="str">
        <v>#N/A N/A</v>
      </c>
      <c r="AJ19" t="str">
        <v>#N/A N/A</v>
      </c>
      <c r="AK19" t="str">
        <v>#N/A N/A</v>
      </c>
      <c r="AL19" t="str">
        <v>#N/A N/A</v>
      </c>
      <c r="AM19" t="str">
        <v>#N/A N/A</v>
      </c>
      <c r="AN19" t="str">
        <v>#N/A N/A</v>
      </c>
      <c r="AO19">
        <v>90.12</v>
      </c>
      <c r="AP19">
        <v>89.31</v>
      </c>
      <c r="AQ19">
        <v>96.28</v>
      </c>
      <c r="AR19">
        <v>92.32</v>
      </c>
      <c r="AS19">
        <v>89.15</v>
      </c>
      <c r="AT19">
        <v>86.65</v>
      </c>
      <c r="AU19">
        <v>84.67</v>
      </c>
      <c r="AV19">
        <v>83.04</v>
      </c>
      <c r="AW19">
        <v>81.7</v>
      </c>
      <c r="AX19">
        <v>80.59</v>
      </c>
      <c r="AY19">
        <v>79.680000000000007</v>
      </c>
      <c r="AZ19">
        <v>78.91</v>
      </c>
      <c r="BA19">
        <v>78.260000000000005</v>
      </c>
    </row>
    <row r="20" spans="1:53" x14ac:dyDescent="0.35">
      <c r="A20" s="16">
        <f t="shared" si="5"/>
        <v>46272</v>
      </c>
      <c r="C20" s="17"/>
      <c r="D20" t="str">
        <v>#N/A N/A</v>
      </c>
      <c r="E20" t="str">
        <v>#N/A N/A</v>
      </c>
      <c r="F20" t="str">
        <v>#N/A N/A</v>
      </c>
      <c r="G20" t="str">
        <v>#N/A N/A</v>
      </c>
      <c r="H20" t="str">
        <v>#N/A N/A</v>
      </c>
      <c r="I20" t="str">
        <v>#N/A N/A</v>
      </c>
      <c r="J20" t="str">
        <v>#N/A N/A</v>
      </c>
      <c r="K20" t="str">
        <v>#N/A N/A</v>
      </c>
      <c r="L20" t="str">
        <v>#N/A N/A</v>
      </c>
      <c r="M20">
        <v>84.91</v>
      </c>
      <c r="N20">
        <v>87.83</v>
      </c>
      <c r="O20">
        <v>91.48</v>
      </c>
      <c r="P20">
        <v>88.57</v>
      </c>
      <c r="Q20">
        <v>85.46</v>
      </c>
      <c r="R20">
        <v>82.78</v>
      </c>
      <c r="S20">
        <v>80.5</v>
      </c>
      <c r="T20">
        <v>78.59</v>
      </c>
      <c r="U20">
        <v>77.010000000000005</v>
      </c>
      <c r="V20">
        <v>75.73</v>
      </c>
      <c r="W20">
        <v>74.7</v>
      </c>
      <c r="X20">
        <v>73.849999999999994</v>
      </c>
      <c r="Y20">
        <v>73.13</v>
      </c>
      <c r="Z20">
        <v>72.53</v>
      </c>
      <c r="AA20">
        <v>72.02</v>
      </c>
      <c r="AB20">
        <v>71.61</v>
      </c>
      <c r="AE20" t="str">
        <v>#N/A N/A</v>
      </c>
      <c r="AF20" t="str">
        <v>#N/A N/A</v>
      </c>
      <c r="AG20" t="str">
        <v>#N/A N/A</v>
      </c>
      <c r="AH20" t="str">
        <v>#N/A N/A</v>
      </c>
      <c r="AI20" t="str">
        <v>#N/A N/A</v>
      </c>
      <c r="AJ20" t="str">
        <v>#N/A N/A</v>
      </c>
      <c r="AK20" t="str">
        <v>#N/A N/A</v>
      </c>
      <c r="AL20" t="str">
        <v>#N/A N/A</v>
      </c>
      <c r="AM20" t="str">
        <v>#N/A N/A</v>
      </c>
      <c r="AN20" t="str">
        <v>#N/A N/A</v>
      </c>
      <c r="AO20">
        <v>90.12</v>
      </c>
      <c r="AP20">
        <v>89.31</v>
      </c>
      <c r="AQ20">
        <v>97</v>
      </c>
      <c r="AR20">
        <v>93.16</v>
      </c>
      <c r="AS20">
        <v>89.94</v>
      </c>
      <c r="AT20">
        <v>87.34</v>
      </c>
      <c r="AU20">
        <v>85.24</v>
      </c>
      <c r="AV20">
        <v>83.51</v>
      </c>
      <c r="AW20">
        <v>82.09</v>
      </c>
      <c r="AX20">
        <v>80.92</v>
      </c>
      <c r="AY20">
        <v>79.959999999999994</v>
      </c>
      <c r="AZ20">
        <v>79.150000000000006</v>
      </c>
      <c r="BA20">
        <v>78.459999999999994</v>
      </c>
    </row>
    <row r="21" spans="1:53" x14ac:dyDescent="0.35">
      <c r="A21" s="16">
        <f t="shared" si="5"/>
        <v>46273</v>
      </c>
      <c r="C21" s="17"/>
      <c r="D21" t="str">
        <v>#N/A N/A</v>
      </c>
      <c r="E21" t="str">
        <v>#N/A N/A</v>
      </c>
      <c r="F21" t="str">
        <v>#N/A N/A</v>
      </c>
      <c r="G21" t="str">
        <v>#N/A N/A</v>
      </c>
      <c r="H21" t="str">
        <v>#N/A N/A</v>
      </c>
      <c r="I21" t="str">
        <v>#N/A N/A</v>
      </c>
      <c r="J21" t="str">
        <v>#N/A N/A</v>
      </c>
      <c r="K21" t="str">
        <v>#N/A N/A</v>
      </c>
      <c r="L21" t="str">
        <v>#N/A N/A</v>
      </c>
      <c r="M21">
        <v>84.91</v>
      </c>
      <c r="N21">
        <v>87.83</v>
      </c>
      <c r="O21">
        <v>93.03</v>
      </c>
      <c r="P21">
        <v>90.19</v>
      </c>
      <c r="Q21">
        <v>87.14</v>
      </c>
      <c r="R21">
        <v>84.46</v>
      </c>
      <c r="S21">
        <v>82.11</v>
      </c>
      <c r="T21">
        <v>80.08</v>
      </c>
      <c r="U21">
        <v>78.34</v>
      </c>
      <c r="V21">
        <v>76.900000000000006</v>
      </c>
      <c r="W21">
        <v>75.72</v>
      </c>
      <c r="X21">
        <v>74.73</v>
      </c>
      <c r="Y21">
        <v>73.89</v>
      </c>
      <c r="Z21">
        <v>73.2</v>
      </c>
      <c r="AA21">
        <v>72.62</v>
      </c>
      <c r="AB21">
        <v>72.13</v>
      </c>
      <c r="AE21" t="str">
        <v>#N/A N/A</v>
      </c>
      <c r="AF21" t="str">
        <v>#N/A N/A</v>
      </c>
      <c r="AG21" t="str">
        <v>#N/A N/A</v>
      </c>
      <c r="AH21" t="str">
        <v>#N/A N/A</v>
      </c>
      <c r="AI21" t="str">
        <v>#N/A N/A</v>
      </c>
      <c r="AJ21" t="str">
        <v>#N/A N/A</v>
      </c>
      <c r="AK21" t="str">
        <v>#N/A N/A</v>
      </c>
      <c r="AL21" t="str">
        <v>#N/A N/A</v>
      </c>
      <c r="AM21" t="str">
        <v>#N/A N/A</v>
      </c>
      <c r="AN21" t="str">
        <v>#N/A N/A</v>
      </c>
      <c r="AO21">
        <v>90.12</v>
      </c>
      <c r="AP21">
        <v>89.31</v>
      </c>
      <c r="AQ21">
        <v>97.92</v>
      </c>
      <c r="AR21">
        <v>94.38</v>
      </c>
      <c r="AS21">
        <v>91.3</v>
      </c>
      <c r="AT21">
        <v>88.73</v>
      </c>
      <c r="AU21">
        <v>86.59</v>
      </c>
      <c r="AV21">
        <v>84.78</v>
      </c>
      <c r="AW21">
        <v>83.25</v>
      </c>
      <c r="AX21">
        <v>81.95</v>
      </c>
      <c r="AY21">
        <v>80.87</v>
      </c>
      <c r="AZ21">
        <v>79.959999999999994</v>
      </c>
      <c r="BA21">
        <v>79.180000000000007</v>
      </c>
    </row>
    <row r="22" spans="1:53" x14ac:dyDescent="0.35">
      <c r="A22" s="16">
        <f t="shared" si="5"/>
        <v>46274</v>
      </c>
      <c r="C22" s="17"/>
      <c r="D22" t="str">
        <v>#N/A N/A</v>
      </c>
      <c r="E22" t="str">
        <v>#N/A N/A</v>
      </c>
      <c r="F22" t="str">
        <v>#N/A N/A</v>
      </c>
      <c r="G22" t="str">
        <v>#N/A N/A</v>
      </c>
      <c r="H22" t="str">
        <v>#N/A N/A</v>
      </c>
      <c r="I22" t="str">
        <v>#N/A N/A</v>
      </c>
      <c r="J22" t="str">
        <v>#N/A N/A</v>
      </c>
      <c r="K22" t="str">
        <v>#N/A N/A</v>
      </c>
      <c r="L22" t="str">
        <v>#N/A N/A</v>
      </c>
      <c r="M22">
        <v>84.91</v>
      </c>
      <c r="N22">
        <v>87.83</v>
      </c>
      <c r="O22">
        <v>96.05</v>
      </c>
      <c r="P22">
        <v>92.87</v>
      </c>
      <c r="Q22">
        <v>89.32</v>
      </c>
      <c r="R22">
        <v>86.29</v>
      </c>
      <c r="S22">
        <v>83.64</v>
      </c>
      <c r="T22">
        <v>81.31</v>
      </c>
      <c r="U22">
        <v>79.27</v>
      </c>
      <c r="V22">
        <v>77.55</v>
      </c>
      <c r="W22">
        <v>76.12</v>
      </c>
      <c r="X22">
        <v>74.930000000000007</v>
      </c>
      <c r="Y22">
        <v>73.959999999999994</v>
      </c>
      <c r="Z22">
        <v>73.2</v>
      </c>
      <c r="AA22">
        <v>72.599999999999994</v>
      </c>
      <c r="AB22">
        <v>72.12</v>
      </c>
      <c r="AE22" t="str">
        <v>#N/A N/A</v>
      </c>
      <c r="AF22" t="str">
        <v>#N/A N/A</v>
      </c>
      <c r="AG22" t="str">
        <v>#N/A N/A</v>
      </c>
      <c r="AH22" t="str">
        <v>#N/A N/A</v>
      </c>
      <c r="AI22" t="str">
        <v>#N/A N/A</v>
      </c>
      <c r="AJ22" t="str">
        <v>#N/A N/A</v>
      </c>
      <c r="AK22" t="str">
        <v>#N/A N/A</v>
      </c>
      <c r="AL22" t="str">
        <v>#N/A N/A</v>
      </c>
      <c r="AM22" t="str">
        <v>#N/A N/A</v>
      </c>
      <c r="AN22" t="str">
        <v>#N/A N/A</v>
      </c>
      <c r="AO22">
        <v>90.12</v>
      </c>
      <c r="AP22">
        <v>89.31</v>
      </c>
      <c r="AQ22">
        <v>101.21</v>
      </c>
      <c r="AR22">
        <v>97.1</v>
      </c>
      <c r="AS22">
        <v>93.6</v>
      </c>
      <c r="AT22">
        <v>90.66</v>
      </c>
      <c r="AU22">
        <v>88.21</v>
      </c>
      <c r="AV22">
        <v>86.09</v>
      </c>
      <c r="AW22">
        <v>84.28</v>
      </c>
      <c r="AX22">
        <v>82.74</v>
      </c>
      <c r="AY22">
        <v>81.47</v>
      </c>
      <c r="AZ22">
        <v>80.42</v>
      </c>
      <c r="BA22">
        <v>79.540000000000006</v>
      </c>
    </row>
    <row r="23" spans="1:53" x14ac:dyDescent="0.35">
      <c r="A23" s="16">
        <f t="shared" si="5"/>
        <v>46275</v>
      </c>
      <c r="C23" s="17"/>
      <c r="D23" t="str">
        <v>#N/A N/A</v>
      </c>
      <c r="E23" t="str">
        <v>#N/A N/A</v>
      </c>
      <c r="F23" t="str">
        <v>#N/A N/A</v>
      </c>
      <c r="G23" t="str">
        <v>#N/A N/A</v>
      </c>
      <c r="H23" t="str">
        <v>#N/A N/A</v>
      </c>
      <c r="I23" t="str">
        <v>#N/A N/A</v>
      </c>
      <c r="J23" t="str">
        <v>#N/A N/A</v>
      </c>
      <c r="K23" t="str">
        <v>#N/A N/A</v>
      </c>
      <c r="L23" t="str">
        <v>#N/A N/A</v>
      </c>
      <c r="M23">
        <v>84.91</v>
      </c>
      <c r="N23">
        <v>87.83</v>
      </c>
      <c r="O23">
        <v>102.48</v>
      </c>
      <c r="P23">
        <v>98.4</v>
      </c>
      <c r="Q23">
        <v>93.93</v>
      </c>
      <c r="R23">
        <v>90.02</v>
      </c>
      <c r="S23">
        <v>86.64</v>
      </c>
      <c r="T23">
        <v>83.76</v>
      </c>
      <c r="U23">
        <v>81.27</v>
      </c>
      <c r="V23">
        <v>79.150000000000006</v>
      </c>
      <c r="W23">
        <v>77.36</v>
      </c>
      <c r="X23">
        <v>75.88</v>
      </c>
      <c r="Y23">
        <v>74.69</v>
      </c>
      <c r="Z23">
        <v>73.77</v>
      </c>
      <c r="AA23">
        <v>73.08</v>
      </c>
      <c r="AB23">
        <v>72.56</v>
      </c>
      <c r="AE23" t="str">
        <v>#N/A N/A</v>
      </c>
      <c r="AF23" t="str">
        <v>#N/A N/A</v>
      </c>
      <c r="AG23" t="str">
        <v>#N/A N/A</v>
      </c>
      <c r="AH23" t="str">
        <v>#N/A N/A</v>
      </c>
      <c r="AI23" t="str">
        <v>#N/A N/A</v>
      </c>
      <c r="AJ23" t="str">
        <v>#N/A N/A</v>
      </c>
      <c r="AK23" t="str">
        <v>#N/A N/A</v>
      </c>
      <c r="AL23" t="str">
        <v>#N/A N/A</v>
      </c>
      <c r="AM23" t="str">
        <v>#N/A N/A</v>
      </c>
      <c r="AN23" t="str">
        <v>#N/A N/A</v>
      </c>
      <c r="AO23">
        <v>90.12</v>
      </c>
      <c r="AP23">
        <v>89.31</v>
      </c>
      <c r="AQ23">
        <v>107.63</v>
      </c>
      <c r="AR23">
        <v>102.72</v>
      </c>
      <c r="AS23">
        <v>98.36</v>
      </c>
      <c r="AT23">
        <v>94.61</v>
      </c>
      <c r="AU23">
        <v>91.52</v>
      </c>
      <c r="AV23">
        <v>88.85</v>
      </c>
      <c r="AW23">
        <v>86.53</v>
      </c>
      <c r="AX23">
        <v>84.54</v>
      </c>
      <c r="AY23">
        <v>82.87</v>
      </c>
      <c r="AZ23">
        <v>81.48</v>
      </c>
      <c r="BA23">
        <v>80.36</v>
      </c>
    </row>
    <row r="24" spans="1:53" x14ac:dyDescent="0.35">
      <c r="A24" s="16">
        <f t="shared" si="5"/>
        <v>46276</v>
      </c>
      <c r="C24" s="17"/>
      <c r="D24" t="str">
        <v>#N/A N/A</v>
      </c>
      <c r="E24" t="str">
        <v>#N/A N/A</v>
      </c>
      <c r="F24" t="str">
        <v>#N/A N/A</v>
      </c>
      <c r="G24" t="str">
        <v>#N/A N/A</v>
      </c>
      <c r="H24" t="str">
        <v>#N/A N/A</v>
      </c>
      <c r="I24" t="str">
        <v>#N/A N/A</v>
      </c>
      <c r="J24" t="str">
        <v>#N/A N/A</v>
      </c>
      <c r="K24" t="str">
        <v>#N/A N/A</v>
      </c>
      <c r="L24" t="str">
        <v>#N/A N/A</v>
      </c>
      <c r="M24">
        <v>84.91</v>
      </c>
      <c r="N24">
        <v>87.83</v>
      </c>
      <c r="O24">
        <v>100.05</v>
      </c>
      <c r="P24">
        <v>95.94</v>
      </c>
      <c r="Q24">
        <v>91.43</v>
      </c>
      <c r="R24">
        <v>87.68</v>
      </c>
      <c r="S24">
        <v>84.62</v>
      </c>
      <c r="T24">
        <v>82.2</v>
      </c>
      <c r="U24">
        <v>80.11</v>
      </c>
      <c r="V24">
        <v>78.31</v>
      </c>
      <c r="W24">
        <v>76.790000000000006</v>
      </c>
      <c r="X24">
        <v>75.52</v>
      </c>
      <c r="Y24">
        <v>74.48</v>
      </c>
      <c r="Z24">
        <v>73.66</v>
      </c>
      <c r="AA24">
        <v>73.03</v>
      </c>
      <c r="AB24">
        <v>72.55</v>
      </c>
      <c r="AE24" t="str">
        <v>#N/A N/A</v>
      </c>
      <c r="AF24" t="str">
        <v>#N/A N/A</v>
      </c>
      <c r="AG24" t="str">
        <v>#N/A N/A</v>
      </c>
      <c r="AH24" t="str">
        <v>#N/A N/A</v>
      </c>
      <c r="AI24" t="str">
        <v>#N/A N/A</v>
      </c>
      <c r="AJ24" t="str">
        <v>#N/A N/A</v>
      </c>
      <c r="AK24" t="str">
        <v>#N/A N/A</v>
      </c>
      <c r="AL24" t="str">
        <v>#N/A N/A</v>
      </c>
      <c r="AM24" t="str">
        <v>#N/A N/A</v>
      </c>
      <c r="AN24" t="str">
        <v>#N/A N/A</v>
      </c>
      <c r="AO24">
        <v>90.12</v>
      </c>
      <c r="AP24">
        <v>89.31</v>
      </c>
      <c r="AQ24">
        <v>104.61</v>
      </c>
      <c r="AR24">
        <v>99.78</v>
      </c>
      <c r="AS24">
        <v>95.69</v>
      </c>
      <c r="AT24">
        <v>92.31</v>
      </c>
      <c r="AU24">
        <v>89.63</v>
      </c>
      <c r="AV24">
        <v>87.32</v>
      </c>
      <c r="AW24">
        <v>85.31</v>
      </c>
      <c r="AX24">
        <v>83.57</v>
      </c>
      <c r="AY24">
        <v>82.09</v>
      </c>
      <c r="AZ24">
        <v>80.849999999999994</v>
      </c>
      <c r="BA24">
        <v>79.83</v>
      </c>
    </row>
    <row r="25" spans="1:53" x14ac:dyDescent="0.35">
      <c r="A25" s="16">
        <f t="shared" si="5"/>
        <v>46279</v>
      </c>
      <c r="C25" s="17"/>
      <c r="D25" t="str">
        <v>#N/A N/A</v>
      </c>
      <c r="E25" t="str">
        <v>#N/A N/A</v>
      </c>
      <c r="F25" t="str">
        <v>#N/A N/A</v>
      </c>
      <c r="G25" t="str">
        <v>#N/A N/A</v>
      </c>
      <c r="H25" t="str">
        <v>#N/A N/A</v>
      </c>
      <c r="I25" t="str">
        <v>#N/A N/A</v>
      </c>
      <c r="J25" t="str">
        <v>#N/A N/A</v>
      </c>
      <c r="K25" t="str">
        <v>#N/A N/A</v>
      </c>
      <c r="L25" t="str">
        <v>#N/A N/A</v>
      </c>
      <c r="M25">
        <v>84.91</v>
      </c>
      <c r="N25">
        <v>87.83</v>
      </c>
      <c r="O25">
        <v>101.39</v>
      </c>
      <c r="P25">
        <v>97.14</v>
      </c>
      <c r="Q25">
        <v>92.6</v>
      </c>
      <c r="R25">
        <v>88.65</v>
      </c>
      <c r="S25">
        <v>85.41</v>
      </c>
      <c r="T25">
        <v>82.84</v>
      </c>
      <c r="U25">
        <v>80.650000000000006</v>
      </c>
      <c r="V25">
        <v>78.790000000000006</v>
      </c>
      <c r="W25">
        <v>77.209999999999994</v>
      </c>
      <c r="X25">
        <v>75.89</v>
      </c>
      <c r="Y25">
        <v>74.8</v>
      </c>
      <c r="Z25">
        <v>73.92</v>
      </c>
      <c r="AA25">
        <v>73.22</v>
      </c>
      <c r="AB25">
        <v>72.67</v>
      </c>
      <c r="AE25" t="str">
        <v>#N/A N/A</v>
      </c>
      <c r="AF25" t="str">
        <v>#N/A N/A</v>
      </c>
      <c r="AG25" t="str">
        <v>#N/A N/A</v>
      </c>
      <c r="AH25" t="str">
        <v>#N/A N/A</v>
      </c>
      <c r="AI25" t="str">
        <v>#N/A N/A</v>
      </c>
      <c r="AJ25" t="str">
        <v>#N/A N/A</v>
      </c>
      <c r="AK25" t="str">
        <v>#N/A N/A</v>
      </c>
      <c r="AL25" t="str">
        <v>#N/A N/A</v>
      </c>
      <c r="AM25" t="str">
        <v>#N/A N/A</v>
      </c>
      <c r="AN25" t="str">
        <v>#N/A N/A</v>
      </c>
      <c r="AO25">
        <v>90.12</v>
      </c>
      <c r="AP25">
        <v>89.31</v>
      </c>
      <c r="AQ25">
        <v>105.68</v>
      </c>
      <c r="AR25">
        <v>100.99</v>
      </c>
      <c r="AS25">
        <v>96.85</v>
      </c>
      <c r="AT25">
        <v>93.36</v>
      </c>
      <c r="AU25">
        <v>90.57</v>
      </c>
      <c r="AV25">
        <v>88.17</v>
      </c>
      <c r="AW25">
        <v>86.09</v>
      </c>
      <c r="AX25">
        <v>84.28</v>
      </c>
      <c r="AY25">
        <v>82.73</v>
      </c>
      <c r="AZ25">
        <v>81.41</v>
      </c>
      <c r="BA25">
        <v>80.319999999999993</v>
      </c>
    </row>
    <row r="26" spans="1:53" x14ac:dyDescent="0.35">
      <c r="A26" s="16">
        <f t="shared" si="5"/>
        <v>46280</v>
      </c>
      <c r="C26" s="17"/>
      <c r="D26" t="str">
        <v>#N/A N/A</v>
      </c>
      <c r="E26" t="str">
        <v>#N/A N/A</v>
      </c>
      <c r="F26" t="str">
        <v>#N/A N/A</v>
      </c>
      <c r="G26" t="str">
        <v>#N/A N/A</v>
      </c>
      <c r="H26" t="str">
        <v>#N/A N/A</v>
      </c>
      <c r="I26" t="str">
        <v>#N/A N/A</v>
      </c>
      <c r="J26" t="str">
        <v>#N/A N/A</v>
      </c>
      <c r="K26" t="str">
        <v>#N/A N/A</v>
      </c>
      <c r="L26" t="str">
        <v>#N/A N/A</v>
      </c>
      <c r="M26">
        <v>84.91</v>
      </c>
      <c r="N26">
        <v>87.83</v>
      </c>
      <c r="O26">
        <v>105.83</v>
      </c>
      <c r="P26">
        <v>100.75</v>
      </c>
      <c r="Q26">
        <v>95.51</v>
      </c>
      <c r="R26">
        <v>91.02</v>
      </c>
      <c r="S26">
        <v>87.36</v>
      </c>
      <c r="T26">
        <v>84.51</v>
      </c>
      <c r="U26">
        <v>82.13</v>
      </c>
      <c r="V26">
        <v>80.11</v>
      </c>
      <c r="W26">
        <v>78.41</v>
      </c>
      <c r="X26">
        <v>76.95</v>
      </c>
      <c r="Y26">
        <v>75.72</v>
      </c>
      <c r="Z26">
        <v>74.709999999999994</v>
      </c>
      <c r="AA26">
        <v>73.88</v>
      </c>
      <c r="AB26">
        <v>73.2</v>
      </c>
      <c r="AE26" t="str">
        <v>#N/A N/A</v>
      </c>
      <c r="AF26" t="str">
        <v>#N/A N/A</v>
      </c>
      <c r="AG26" t="str">
        <v>#N/A N/A</v>
      </c>
      <c r="AH26" t="str">
        <v>#N/A N/A</v>
      </c>
      <c r="AI26" t="str">
        <v>#N/A N/A</v>
      </c>
      <c r="AJ26" t="str">
        <v>#N/A N/A</v>
      </c>
      <c r="AK26" t="str">
        <v>#N/A N/A</v>
      </c>
      <c r="AL26" t="str">
        <v>#N/A N/A</v>
      </c>
      <c r="AM26" t="str">
        <v>#N/A N/A</v>
      </c>
      <c r="AN26" t="str">
        <v>#N/A N/A</v>
      </c>
      <c r="AO26">
        <v>90.12</v>
      </c>
      <c r="AP26">
        <v>89.31</v>
      </c>
      <c r="AQ26">
        <v>108.75</v>
      </c>
      <c r="AR26">
        <v>103.31</v>
      </c>
      <c r="AS26">
        <v>98.75</v>
      </c>
      <c r="AT26">
        <v>95.02</v>
      </c>
      <c r="AU26">
        <v>92.06</v>
      </c>
      <c r="AV26">
        <v>89.52</v>
      </c>
      <c r="AW26">
        <v>87.3</v>
      </c>
      <c r="AX26">
        <v>85.35</v>
      </c>
      <c r="AY26">
        <v>83.67</v>
      </c>
      <c r="AZ26">
        <v>82.22</v>
      </c>
      <c r="BA26">
        <v>81.010000000000005</v>
      </c>
    </row>
    <row r="27" spans="1:53" x14ac:dyDescent="0.35">
      <c r="A27" s="16">
        <f t="shared" si="5"/>
        <v>46281</v>
      </c>
      <c r="C27" s="17"/>
      <c r="D27" t="str">
        <v>#N/A N/A</v>
      </c>
      <c r="E27" t="str">
        <v>#N/A N/A</v>
      </c>
      <c r="F27" t="str">
        <v>#N/A N/A</v>
      </c>
      <c r="G27" t="str">
        <v>#N/A N/A</v>
      </c>
      <c r="H27" t="str">
        <v>#N/A N/A</v>
      </c>
      <c r="I27" t="str">
        <v>#N/A N/A</v>
      </c>
      <c r="J27" t="str">
        <v>#N/A N/A</v>
      </c>
      <c r="K27" t="str">
        <v>#N/A N/A</v>
      </c>
      <c r="L27" t="str">
        <v>#N/A N/A</v>
      </c>
      <c r="M27">
        <v>84.91</v>
      </c>
      <c r="N27">
        <v>87.83</v>
      </c>
      <c r="O27">
        <v>102.43</v>
      </c>
      <c r="P27">
        <v>97.51</v>
      </c>
      <c r="Q27">
        <v>92.79</v>
      </c>
      <c r="R27">
        <v>88.91</v>
      </c>
      <c r="S27">
        <v>85.71</v>
      </c>
      <c r="T27">
        <v>83.18</v>
      </c>
      <c r="U27">
        <v>81.06</v>
      </c>
      <c r="V27">
        <v>79.28</v>
      </c>
      <c r="W27">
        <v>77.78</v>
      </c>
      <c r="X27">
        <v>76.489999999999995</v>
      </c>
      <c r="Y27">
        <v>75.39</v>
      </c>
      <c r="Z27">
        <v>74.47</v>
      </c>
      <c r="AA27">
        <v>73.72</v>
      </c>
      <c r="AB27">
        <v>73.099999999999994</v>
      </c>
      <c r="AE27" t="str">
        <v>#N/A N/A</v>
      </c>
      <c r="AF27" t="str">
        <v>#N/A N/A</v>
      </c>
      <c r="AG27" t="str">
        <v>#N/A N/A</v>
      </c>
      <c r="AH27" t="str">
        <v>#N/A N/A</v>
      </c>
      <c r="AI27" t="str">
        <v>#N/A N/A</v>
      </c>
      <c r="AJ27" t="str">
        <v>#N/A N/A</v>
      </c>
      <c r="AK27" t="str">
        <v>#N/A N/A</v>
      </c>
      <c r="AL27" t="str">
        <v>#N/A N/A</v>
      </c>
      <c r="AM27" t="str">
        <v>#N/A N/A</v>
      </c>
      <c r="AN27" t="str">
        <v>#N/A N/A</v>
      </c>
      <c r="AO27">
        <v>90.12</v>
      </c>
      <c r="AP27">
        <v>89.31</v>
      </c>
      <c r="AQ27">
        <v>105.83</v>
      </c>
      <c r="AR27">
        <v>100.76</v>
      </c>
      <c r="AS27">
        <v>96.69</v>
      </c>
      <c r="AT27">
        <v>93.36</v>
      </c>
      <c r="AU27">
        <v>90.7</v>
      </c>
      <c r="AV27">
        <v>88.42</v>
      </c>
      <c r="AW27">
        <v>86.42</v>
      </c>
      <c r="AX27">
        <v>84.67</v>
      </c>
      <c r="AY27">
        <v>83.15</v>
      </c>
      <c r="AZ27">
        <v>81.84</v>
      </c>
      <c r="BA27">
        <v>80.72</v>
      </c>
    </row>
    <row r="28" spans="1:53" x14ac:dyDescent="0.35">
      <c r="A28" s="16">
        <f t="shared" si="5"/>
        <v>46282</v>
      </c>
      <c r="C28" s="17"/>
      <c r="D28" t="str">
        <v>#N/A N/A</v>
      </c>
      <c r="E28" t="str">
        <v>#N/A N/A</v>
      </c>
      <c r="F28" t="str">
        <v>#N/A N/A</v>
      </c>
      <c r="G28" t="str">
        <v>#N/A N/A</v>
      </c>
      <c r="H28" t="str">
        <v>#N/A N/A</v>
      </c>
      <c r="I28" t="str">
        <v>#N/A N/A</v>
      </c>
      <c r="J28" t="str">
        <v>#N/A N/A</v>
      </c>
      <c r="K28" t="str">
        <v>#N/A N/A</v>
      </c>
      <c r="L28" t="str">
        <v>#N/A N/A</v>
      </c>
      <c r="M28">
        <v>84.91</v>
      </c>
      <c r="N28">
        <v>87.83</v>
      </c>
      <c r="O28">
        <v>101.91</v>
      </c>
      <c r="P28">
        <v>97.23</v>
      </c>
      <c r="Q28">
        <v>92.61</v>
      </c>
      <c r="R28">
        <v>88.83</v>
      </c>
      <c r="S28">
        <v>85.67</v>
      </c>
      <c r="T28">
        <v>83.17</v>
      </c>
      <c r="U28">
        <v>81.08</v>
      </c>
      <c r="V28">
        <v>79.34</v>
      </c>
      <c r="W28">
        <v>77.88</v>
      </c>
      <c r="X28">
        <v>76.63</v>
      </c>
      <c r="Y28">
        <v>75.56</v>
      </c>
      <c r="Z28">
        <v>74.66</v>
      </c>
      <c r="AA28">
        <v>73.91</v>
      </c>
      <c r="AB28">
        <v>73.290000000000006</v>
      </c>
      <c r="AE28" t="str">
        <v>#N/A N/A</v>
      </c>
      <c r="AF28" t="str">
        <v>#N/A N/A</v>
      </c>
      <c r="AG28" t="str">
        <v>#N/A N/A</v>
      </c>
      <c r="AH28" t="str">
        <v>#N/A N/A</v>
      </c>
      <c r="AI28" t="str">
        <v>#N/A N/A</v>
      </c>
      <c r="AJ28" t="str">
        <v>#N/A N/A</v>
      </c>
      <c r="AK28" t="str">
        <v>#N/A N/A</v>
      </c>
      <c r="AL28" t="str">
        <v>#N/A N/A</v>
      </c>
      <c r="AM28" t="str">
        <v>#N/A N/A</v>
      </c>
      <c r="AN28" t="str">
        <v>#N/A N/A</v>
      </c>
      <c r="AO28">
        <v>90.12</v>
      </c>
      <c r="AP28">
        <v>89.31</v>
      </c>
      <c r="AQ28">
        <v>104.82</v>
      </c>
      <c r="AR28">
        <v>99.93</v>
      </c>
      <c r="AS28">
        <v>96.15</v>
      </c>
      <c r="AT28">
        <v>92.97</v>
      </c>
      <c r="AU28">
        <v>90.39</v>
      </c>
      <c r="AV28">
        <v>88.18</v>
      </c>
      <c r="AW28">
        <v>86.27</v>
      </c>
      <c r="AX28">
        <v>84.6</v>
      </c>
      <c r="AY28">
        <v>83.15</v>
      </c>
      <c r="AZ28">
        <v>81.89</v>
      </c>
      <c r="BA28">
        <v>80.8</v>
      </c>
    </row>
    <row r="29" spans="1:53" x14ac:dyDescent="0.35">
      <c r="A29" s="16">
        <f t="shared" si="5"/>
        <v>46283</v>
      </c>
      <c r="C29" s="17"/>
      <c r="D29" t="str">
        <v>#N/A N/A</v>
      </c>
      <c r="E29" t="str">
        <v>#N/A N/A</v>
      </c>
      <c r="F29" t="str">
        <v>#N/A N/A</v>
      </c>
      <c r="G29" t="str">
        <v>#N/A N/A</v>
      </c>
      <c r="H29" t="str">
        <v>#N/A N/A</v>
      </c>
      <c r="I29" t="str">
        <v>#N/A N/A</v>
      </c>
      <c r="J29" t="str">
        <v>#N/A N/A</v>
      </c>
      <c r="K29" t="str">
        <v>#N/A N/A</v>
      </c>
      <c r="L29" t="str">
        <v>#N/A N/A</v>
      </c>
      <c r="M29">
        <v>84.91</v>
      </c>
      <c r="N29">
        <v>87.83</v>
      </c>
      <c r="O29">
        <v>100.3</v>
      </c>
      <c r="P29">
        <v>96.08</v>
      </c>
      <c r="Q29">
        <v>92.05</v>
      </c>
      <c r="R29">
        <v>88.85</v>
      </c>
      <c r="S29">
        <v>86.1</v>
      </c>
      <c r="T29">
        <v>83.8</v>
      </c>
      <c r="U29">
        <v>81.819999999999993</v>
      </c>
      <c r="V29">
        <v>80.13</v>
      </c>
      <c r="W29">
        <v>78.69</v>
      </c>
      <c r="X29">
        <v>77.44</v>
      </c>
      <c r="Y29">
        <v>76.37</v>
      </c>
      <c r="Z29">
        <v>75.459999999999994</v>
      </c>
      <c r="AA29">
        <v>74.7</v>
      </c>
      <c r="AB29">
        <v>74.069999999999993</v>
      </c>
      <c r="AE29" t="str">
        <v>#N/A N/A</v>
      </c>
      <c r="AF29" t="str">
        <v>#N/A N/A</v>
      </c>
      <c r="AG29" t="str">
        <v>#N/A N/A</v>
      </c>
      <c r="AH29" t="str">
        <v>#N/A N/A</v>
      </c>
      <c r="AI29" t="str">
        <v>#N/A N/A</v>
      </c>
      <c r="AJ29" t="str">
        <v>#N/A N/A</v>
      </c>
      <c r="AK29" t="str">
        <v>#N/A N/A</v>
      </c>
      <c r="AL29" t="str">
        <v>#N/A N/A</v>
      </c>
      <c r="AM29" t="str">
        <v>#N/A N/A</v>
      </c>
      <c r="AN29" t="str">
        <v>#N/A N/A</v>
      </c>
      <c r="AO29">
        <v>90.12</v>
      </c>
      <c r="AP29">
        <v>89.31</v>
      </c>
      <c r="AQ29">
        <v>103.87</v>
      </c>
      <c r="AR29">
        <v>99.29</v>
      </c>
      <c r="AS29">
        <v>96.03</v>
      </c>
      <c r="AT29">
        <v>93.22</v>
      </c>
      <c r="AU29">
        <v>90.84</v>
      </c>
      <c r="AV29">
        <v>88.77</v>
      </c>
      <c r="AW29">
        <v>86.95</v>
      </c>
      <c r="AX29">
        <v>85.35</v>
      </c>
      <c r="AY29">
        <v>83.94</v>
      </c>
      <c r="AZ29">
        <v>82.7</v>
      </c>
      <c r="BA29">
        <v>81.62</v>
      </c>
    </row>
    <row r="30" spans="1:53" x14ac:dyDescent="0.35">
      <c r="A30" s="16">
        <f t="shared" si="5"/>
        <v>46286</v>
      </c>
      <c r="C30" s="17"/>
      <c r="D30" t="str">
        <v>#N/A N/A</v>
      </c>
      <c r="E30" t="str">
        <v>#N/A N/A</v>
      </c>
      <c r="F30" t="str">
        <v>#N/A N/A</v>
      </c>
      <c r="G30" t="str">
        <v>#N/A N/A</v>
      </c>
      <c r="H30" t="str">
        <v>#N/A N/A</v>
      </c>
      <c r="I30" t="str">
        <v>#N/A N/A</v>
      </c>
      <c r="J30" t="str">
        <v>#N/A N/A</v>
      </c>
      <c r="K30" t="str">
        <v>#N/A N/A</v>
      </c>
      <c r="L30" t="str">
        <v>#N/A N/A</v>
      </c>
      <c r="M30">
        <v>84.91</v>
      </c>
      <c r="N30">
        <v>87.83</v>
      </c>
      <c r="O30">
        <v>95.78</v>
      </c>
      <c r="P30">
        <v>92.37</v>
      </c>
      <c r="Q30">
        <v>89.16</v>
      </c>
      <c r="R30">
        <v>86.47</v>
      </c>
      <c r="S30">
        <v>84.18</v>
      </c>
      <c r="T30">
        <v>82.32</v>
      </c>
      <c r="U30">
        <v>80.75</v>
      </c>
      <c r="V30">
        <v>79.42</v>
      </c>
      <c r="W30">
        <v>78.28</v>
      </c>
      <c r="X30">
        <v>77.260000000000005</v>
      </c>
      <c r="Y30">
        <v>76.34</v>
      </c>
      <c r="Z30">
        <v>75.53</v>
      </c>
      <c r="AA30">
        <v>74.83</v>
      </c>
      <c r="AB30">
        <v>74.23</v>
      </c>
      <c r="AE30" t="str">
        <v>#N/A N/A</v>
      </c>
      <c r="AF30" t="str">
        <v>#N/A N/A</v>
      </c>
      <c r="AG30" t="str">
        <v>#N/A N/A</v>
      </c>
      <c r="AH30" t="str">
        <v>#N/A N/A</v>
      </c>
      <c r="AI30" t="str">
        <v>#N/A N/A</v>
      </c>
      <c r="AJ30" t="str">
        <v>#N/A N/A</v>
      </c>
      <c r="AK30" t="str">
        <v>#N/A N/A</v>
      </c>
      <c r="AL30" t="str">
        <v>#N/A N/A</v>
      </c>
      <c r="AM30" t="str">
        <v>#N/A N/A</v>
      </c>
      <c r="AN30" t="str">
        <v>#N/A N/A</v>
      </c>
      <c r="AO30">
        <v>90.12</v>
      </c>
      <c r="AP30">
        <v>89.31</v>
      </c>
      <c r="AQ30">
        <v>100.34</v>
      </c>
      <c r="AR30">
        <v>96.24</v>
      </c>
      <c r="AS30">
        <v>93.4</v>
      </c>
      <c r="AT30">
        <v>91</v>
      </c>
      <c r="AU30">
        <v>89.05</v>
      </c>
      <c r="AV30">
        <v>87.39</v>
      </c>
      <c r="AW30">
        <v>85.95</v>
      </c>
      <c r="AX30">
        <v>84.68</v>
      </c>
      <c r="AY30">
        <v>83.54</v>
      </c>
      <c r="AZ30">
        <v>82.5</v>
      </c>
      <c r="BA30">
        <v>81.56</v>
      </c>
    </row>
    <row r="31" spans="1:53" x14ac:dyDescent="0.35">
      <c r="A31" s="16">
        <f t="shared" si="5"/>
        <v>46287</v>
      </c>
      <c r="C31" s="17"/>
      <c r="D31" t="str">
        <v>#N/A N/A</v>
      </c>
      <c r="E31" t="str">
        <v>#N/A N/A</v>
      </c>
      <c r="F31" t="str">
        <v>#N/A N/A</v>
      </c>
      <c r="G31" t="str">
        <v>#N/A N/A</v>
      </c>
      <c r="H31" t="str">
        <v>#N/A N/A</v>
      </c>
      <c r="I31" t="str">
        <v>#N/A N/A</v>
      </c>
      <c r="J31" t="str">
        <v>#N/A N/A</v>
      </c>
      <c r="K31" t="str">
        <v>#N/A N/A</v>
      </c>
      <c r="L31" t="str">
        <v>#N/A N/A</v>
      </c>
      <c r="M31">
        <v>84.91</v>
      </c>
      <c r="N31">
        <v>87.83</v>
      </c>
      <c r="O31">
        <v>94.59</v>
      </c>
      <c r="P31">
        <v>90.52</v>
      </c>
      <c r="Q31">
        <v>87.98</v>
      </c>
      <c r="R31">
        <v>85.7</v>
      </c>
      <c r="S31">
        <v>83.68</v>
      </c>
      <c r="T31">
        <v>81.96</v>
      </c>
      <c r="U31">
        <v>80.489999999999995</v>
      </c>
      <c r="V31">
        <v>79.22</v>
      </c>
      <c r="W31">
        <v>78.13</v>
      </c>
      <c r="X31">
        <v>77.14</v>
      </c>
      <c r="Y31">
        <v>76.239999999999995</v>
      </c>
      <c r="Z31">
        <v>75.430000000000007</v>
      </c>
      <c r="AA31">
        <v>74.72</v>
      </c>
      <c r="AB31">
        <v>74.11</v>
      </c>
      <c r="AE31" t="str">
        <v>#N/A N/A</v>
      </c>
      <c r="AF31" t="str">
        <v>#N/A N/A</v>
      </c>
      <c r="AG31" t="str">
        <v>#N/A N/A</v>
      </c>
      <c r="AH31" t="str">
        <v>#N/A N/A</v>
      </c>
      <c r="AI31" t="str">
        <v>#N/A N/A</v>
      </c>
      <c r="AJ31" t="str">
        <v>#N/A N/A</v>
      </c>
      <c r="AK31" t="str">
        <v>#N/A N/A</v>
      </c>
      <c r="AL31" t="str">
        <v>#N/A N/A</v>
      </c>
      <c r="AM31" t="str">
        <v>#N/A N/A</v>
      </c>
      <c r="AN31" t="str">
        <v>#N/A N/A</v>
      </c>
      <c r="AO31">
        <v>90.12</v>
      </c>
      <c r="AP31">
        <v>89.31</v>
      </c>
      <c r="AQ31">
        <v>99.25</v>
      </c>
      <c r="AR31">
        <v>95.41</v>
      </c>
      <c r="AS31">
        <v>92.74</v>
      </c>
      <c r="AT31">
        <v>90.47</v>
      </c>
      <c r="AU31">
        <v>88.63</v>
      </c>
      <c r="AV31">
        <v>87.06</v>
      </c>
      <c r="AW31">
        <v>85.69</v>
      </c>
      <c r="AX31">
        <v>84.47</v>
      </c>
      <c r="AY31">
        <v>83.37</v>
      </c>
      <c r="AZ31">
        <v>82.37</v>
      </c>
      <c r="BA31">
        <v>81.45</v>
      </c>
    </row>
    <row r="32" spans="1:53" x14ac:dyDescent="0.35">
      <c r="A32" s="16">
        <f t="shared" si="5"/>
        <v>46288</v>
      </c>
      <c r="C32" s="17"/>
      <c r="D32" t="str">
        <v>#N/A N/A</v>
      </c>
      <c r="E32" t="str">
        <v>#N/A N/A</v>
      </c>
      <c r="F32" t="str">
        <v>#N/A N/A</v>
      </c>
      <c r="G32" t="str">
        <v>#N/A N/A</v>
      </c>
      <c r="H32" t="str">
        <v>#N/A N/A</v>
      </c>
      <c r="I32" t="str">
        <v>#N/A N/A</v>
      </c>
      <c r="J32" t="str">
        <v>#N/A N/A</v>
      </c>
      <c r="K32" t="str">
        <v>#N/A N/A</v>
      </c>
      <c r="L32" t="str">
        <v>#N/A N/A</v>
      </c>
      <c r="M32">
        <v>84.91</v>
      </c>
      <c r="N32">
        <v>87.83</v>
      </c>
      <c r="O32">
        <v>94.59</v>
      </c>
      <c r="P32">
        <v>92.16</v>
      </c>
      <c r="Q32">
        <v>89.51</v>
      </c>
      <c r="R32">
        <v>87.09</v>
      </c>
      <c r="S32">
        <v>84.96</v>
      </c>
      <c r="T32">
        <v>83.11</v>
      </c>
      <c r="U32">
        <v>81.48</v>
      </c>
      <c r="V32">
        <v>80.040000000000006</v>
      </c>
      <c r="W32">
        <v>78.77</v>
      </c>
      <c r="X32">
        <v>77.62</v>
      </c>
      <c r="Y32">
        <v>76.569999999999993</v>
      </c>
      <c r="Z32">
        <v>75.650000000000006</v>
      </c>
      <c r="AA32">
        <v>74.819999999999993</v>
      </c>
      <c r="AB32">
        <v>74.11</v>
      </c>
      <c r="AE32" t="str">
        <v>#N/A N/A</v>
      </c>
      <c r="AF32" t="str">
        <v>#N/A N/A</v>
      </c>
      <c r="AG32" t="str">
        <v>#N/A N/A</v>
      </c>
      <c r="AH32" t="str">
        <v>#N/A N/A</v>
      </c>
      <c r="AI32" t="str">
        <v>#N/A N/A</v>
      </c>
      <c r="AJ32" t="str">
        <v>#N/A N/A</v>
      </c>
      <c r="AK32" t="str">
        <v>#N/A N/A</v>
      </c>
      <c r="AL32" t="str">
        <v>#N/A N/A</v>
      </c>
      <c r="AM32" t="str">
        <v>#N/A N/A</v>
      </c>
      <c r="AN32" t="str">
        <v>#N/A N/A</v>
      </c>
      <c r="AO32">
        <v>90.12</v>
      </c>
      <c r="AP32">
        <v>89.31</v>
      </c>
      <c r="AQ32">
        <v>103.08</v>
      </c>
      <c r="AR32">
        <v>98.12</v>
      </c>
      <c r="AS32">
        <v>95.03</v>
      </c>
      <c r="AT32">
        <v>92.53</v>
      </c>
      <c r="AU32">
        <v>90.44</v>
      </c>
      <c r="AV32">
        <v>88.6</v>
      </c>
      <c r="AW32">
        <v>86.97</v>
      </c>
      <c r="AX32">
        <v>85.5</v>
      </c>
      <c r="AY32">
        <v>84.18</v>
      </c>
      <c r="AZ32">
        <v>82.99</v>
      </c>
      <c r="BA32">
        <v>81.92</v>
      </c>
    </row>
    <row r="33" spans="1:53" x14ac:dyDescent="0.35">
      <c r="A33" s="16">
        <f t="shared" si="5"/>
        <v>46289</v>
      </c>
      <c r="C33" s="17"/>
      <c r="D33" t="str">
        <v>#N/A N/A</v>
      </c>
      <c r="E33" t="str">
        <v>#N/A N/A</v>
      </c>
      <c r="F33" t="str">
        <v>#N/A N/A</v>
      </c>
      <c r="G33" t="str">
        <v>#N/A N/A</v>
      </c>
      <c r="H33" t="str">
        <v>#N/A N/A</v>
      </c>
      <c r="I33" t="str">
        <v>#N/A N/A</v>
      </c>
      <c r="J33" t="str">
        <v>#N/A N/A</v>
      </c>
      <c r="K33" t="str">
        <v>#N/A N/A</v>
      </c>
      <c r="L33" t="str">
        <v>#N/A N/A</v>
      </c>
      <c r="M33">
        <v>84.91</v>
      </c>
      <c r="N33">
        <v>87.83</v>
      </c>
      <c r="O33">
        <v>94.59</v>
      </c>
      <c r="P33">
        <v>94.61</v>
      </c>
      <c r="Q33">
        <v>90.9</v>
      </c>
      <c r="R33">
        <v>87.89</v>
      </c>
      <c r="S33">
        <v>85.44</v>
      </c>
      <c r="T33">
        <v>83.5</v>
      </c>
      <c r="U33">
        <v>81.84</v>
      </c>
      <c r="V33">
        <v>80.400000000000006</v>
      </c>
      <c r="W33">
        <v>79.13</v>
      </c>
      <c r="X33">
        <v>77.98</v>
      </c>
      <c r="Y33">
        <v>76.92</v>
      </c>
      <c r="Z33">
        <v>75.97</v>
      </c>
      <c r="AA33">
        <v>75.12</v>
      </c>
      <c r="AB33">
        <v>74.39</v>
      </c>
      <c r="AE33" t="str">
        <v>#N/A N/A</v>
      </c>
      <c r="AF33" t="str">
        <v>#N/A N/A</v>
      </c>
      <c r="AG33" t="str">
        <v>#N/A N/A</v>
      </c>
      <c r="AH33" t="str">
        <v>#N/A N/A</v>
      </c>
      <c r="AI33" t="str">
        <v>#N/A N/A</v>
      </c>
      <c r="AJ33" t="str">
        <v>#N/A N/A</v>
      </c>
      <c r="AK33" t="str">
        <v>#N/A N/A</v>
      </c>
      <c r="AL33" t="str">
        <v>#N/A N/A</v>
      </c>
      <c r="AM33" t="str">
        <v>#N/A N/A</v>
      </c>
      <c r="AN33" t="str">
        <v>#N/A N/A</v>
      </c>
      <c r="AO33">
        <v>90.12</v>
      </c>
      <c r="AP33">
        <v>89.31</v>
      </c>
      <c r="AQ33">
        <v>106.6</v>
      </c>
      <c r="AR33">
        <v>100.22</v>
      </c>
      <c r="AS33">
        <v>96.42</v>
      </c>
      <c r="AT33">
        <v>93.58</v>
      </c>
      <c r="AU33">
        <v>91.39</v>
      </c>
      <c r="AV33">
        <v>89.5</v>
      </c>
      <c r="AW33">
        <v>87.82</v>
      </c>
      <c r="AX33">
        <v>86.31</v>
      </c>
      <c r="AY33">
        <v>84.95</v>
      </c>
      <c r="AZ33">
        <v>83.71</v>
      </c>
      <c r="BA33">
        <v>82.58</v>
      </c>
    </row>
    <row r="34" spans="1:53" x14ac:dyDescent="0.35">
      <c r="A34" s="16">
        <f t="shared" si="5"/>
        <v>46290</v>
      </c>
      <c r="C34" s="17"/>
      <c r="D34" t="str">
        <v>#N/A N/A</v>
      </c>
      <c r="E34" t="str">
        <v>#N/A N/A</v>
      </c>
      <c r="F34" t="str">
        <v>#N/A N/A</v>
      </c>
      <c r="G34" t="str">
        <v>#N/A N/A</v>
      </c>
      <c r="H34" t="str">
        <v>#N/A N/A</v>
      </c>
      <c r="I34" t="str">
        <v>#N/A N/A</v>
      </c>
      <c r="J34" t="str">
        <v>#N/A N/A</v>
      </c>
      <c r="K34" t="str">
        <v>#N/A N/A</v>
      </c>
      <c r="L34" t="str">
        <v>#N/A N/A</v>
      </c>
      <c r="M34">
        <v>84.91</v>
      </c>
      <c r="N34">
        <v>87.83</v>
      </c>
      <c r="O34">
        <v>94.59</v>
      </c>
      <c r="P34">
        <v>92.41</v>
      </c>
      <c r="Q34">
        <v>88.71</v>
      </c>
      <c r="R34">
        <v>86.01</v>
      </c>
      <c r="S34">
        <v>83.97</v>
      </c>
      <c r="T34">
        <v>82.46</v>
      </c>
      <c r="U34">
        <v>81.12</v>
      </c>
      <c r="V34">
        <v>79.94</v>
      </c>
      <c r="W34">
        <v>78.86</v>
      </c>
      <c r="X34">
        <v>77.86</v>
      </c>
      <c r="Y34">
        <v>76.94</v>
      </c>
      <c r="Z34">
        <v>76.08</v>
      </c>
      <c r="AA34">
        <v>75.31</v>
      </c>
      <c r="AB34">
        <v>74.63</v>
      </c>
      <c r="AE34" t="str">
        <v>#N/A N/A</v>
      </c>
      <c r="AF34" t="str">
        <v>#N/A N/A</v>
      </c>
      <c r="AG34" t="str">
        <v>#N/A N/A</v>
      </c>
      <c r="AH34" t="str">
        <v>#N/A N/A</v>
      </c>
      <c r="AI34" t="str">
        <v>#N/A N/A</v>
      </c>
      <c r="AJ34" t="str">
        <v>#N/A N/A</v>
      </c>
      <c r="AK34" t="str">
        <v>#N/A N/A</v>
      </c>
      <c r="AL34" t="str">
        <v>#N/A N/A</v>
      </c>
      <c r="AM34" t="str">
        <v>#N/A N/A</v>
      </c>
      <c r="AN34" t="str">
        <v>#N/A N/A</v>
      </c>
      <c r="AO34">
        <v>90.12</v>
      </c>
      <c r="AP34">
        <v>89.31</v>
      </c>
      <c r="AQ34">
        <v>104.32</v>
      </c>
      <c r="AR34">
        <v>97.44</v>
      </c>
      <c r="AS34">
        <v>94.11</v>
      </c>
      <c r="AT34">
        <v>91.78</v>
      </c>
      <c r="AU34">
        <v>90.12</v>
      </c>
      <c r="AV34">
        <v>88.61</v>
      </c>
      <c r="AW34">
        <v>87.21</v>
      </c>
      <c r="AX34">
        <v>85.92</v>
      </c>
      <c r="AY34">
        <v>84.72</v>
      </c>
      <c r="AZ34">
        <v>83.61</v>
      </c>
      <c r="BA34">
        <v>82.59</v>
      </c>
    </row>
    <row r="35" spans="1:53" x14ac:dyDescent="0.35">
      <c r="A35" s="16">
        <f t="shared" si="5"/>
        <v>46293</v>
      </c>
      <c r="C35" s="17"/>
      <c r="D35" t="str">
        <v>#N/A N/A</v>
      </c>
      <c r="E35" t="str">
        <v>#N/A N/A</v>
      </c>
      <c r="F35" t="str">
        <v>#N/A N/A</v>
      </c>
      <c r="G35" t="str">
        <v>#N/A N/A</v>
      </c>
      <c r="H35" t="str">
        <v>#N/A N/A</v>
      </c>
      <c r="I35" t="str">
        <v>#N/A N/A</v>
      </c>
      <c r="J35" t="str">
        <v>#N/A N/A</v>
      </c>
      <c r="K35" t="str">
        <v>#N/A N/A</v>
      </c>
      <c r="L35" t="str">
        <v>#N/A N/A</v>
      </c>
      <c r="M35">
        <v>84.91</v>
      </c>
      <c r="N35">
        <v>87.83</v>
      </c>
      <c r="O35">
        <v>94.59</v>
      </c>
      <c r="P35">
        <v>92.6</v>
      </c>
      <c r="Q35">
        <v>89.01</v>
      </c>
      <c r="R35">
        <v>86.54</v>
      </c>
      <c r="S35">
        <v>84.69</v>
      </c>
      <c r="T35">
        <v>83.21</v>
      </c>
      <c r="U35">
        <v>81.88</v>
      </c>
      <c r="V35">
        <v>80.7</v>
      </c>
      <c r="W35">
        <v>79.61</v>
      </c>
      <c r="X35">
        <v>78.61</v>
      </c>
      <c r="Y35">
        <v>77.67</v>
      </c>
      <c r="Z35">
        <v>76.81</v>
      </c>
      <c r="AA35">
        <v>76.03</v>
      </c>
      <c r="AB35">
        <v>75.34</v>
      </c>
      <c r="AE35" t="str">
        <v>#N/A N/A</v>
      </c>
      <c r="AF35" t="str">
        <v>#N/A N/A</v>
      </c>
      <c r="AG35" t="str">
        <v>#N/A N/A</v>
      </c>
      <c r="AH35" t="str">
        <v>#N/A N/A</v>
      </c>
      <c r="AI35" t="str">
        <v>#N/A N/A</v>
      </c>
      <c r="AJ35" t="str">
        <v>#N/A N/A</v>
      </c>
      <c r="AK35" t="str">
        <v>#N/A N/A</v>
      </c>
      <c r="AL35" t="str">
        <v>#N/A N/A</v>
      </c>
      <c r="AM35" t="str">
        <v>#N/A N/A</v>
      </c>
      <c r="AN35" t="str">
        <v>#N/A N/A</v>
      </c>
      <c r="AO35">
        <v>90.12</v>
      </c>
      <c r="AP35">
        <v>89.31</v>
      </c>
      <c r="AQ35">
        <v>105.28</v>
      </c>
      <c r="AR35">
        <v>97.83</v>
      </c>
      <c r="AS35">
        <v>94.4</v>
      </c>
      <c r="AT35">
        <v>92.05</v>
      </c>
      <c r="AU35">
        <v>90.33</v>
      </c>
      <c r="AV35">
        <v>88.82</v>
      </c>
      <c r="AW35">
        <v>87.44</v>
      </c>
      <c r="AX35">
        <v>86.16</v>
      </c>
      <c r="AY35">
        <v>84.98</v>
      </c>
      <c r="AZ35">
        <v>83.88</v>
      </c>
      <c r="BA35">
        <v>82.85</v>
      </c>
    </row>
    <row r="36" spans="1:53" x14ac:dyDescent="0.35">
      <c r="A36" s="16">
        <f t="shared" si="5"/>
        <v>46294</v>
      </c>
      <c r="C36" s="17"/>
      <c r="D36" t="str">
        <v>#N/A N/A</v>
      </c>
      <c r="E36" t="str">
        <v>#N/A N/A</v>
      </c>
      <c r="F36" t="str">
        <v>#N/A N/A</v>
      </c>
      <c r="G36" t="str">
        <v>#N/A N/A</v>
      </c>
      <c r="H36" t="str">
        <v>#N/A N/A</v>
      </c>
      <c r="I36" t="str">
        <v>#N/A N/A</v>
      </c>
      <c r="J36" t="str">
        <v>#N/A N/A</v>
      </c>
      <c r="K36" t="str">
        <v>#N/A N/A</v>
      </c>
      <c r="L36" t="str">
        <v>#N/A N/A</v>
      </c>
      <c r="M36">
        <v>84.91</v>
      </c>
      <c r="N36">
        <v>87.83</v>
      </c>
      <c r="O36">
        <v>94.59</v>
      </c>
      <c r="P36">
        <v>89.38</v>
      </c>
      <c r="Q36">
        <v>87.25</v>
      </c>
      <c r="R36">
        <v>85.71</v>
      </c>
      <c r="S36">
        <v>84.25</v>
      </c>
      <c r="T36">
        <v>82.92</v>
      </c>
      <c r="U36">
        <v>81.69</v>
      </c>
      <c r="V36">
        <v>80.569999999999993</v>
      </c>
      <c r="W36">
        <v>79.55</v>
      </c>
      <c r="X36">
        <v>78.61</v>
      </c>
      <c r="Y36">
        <v>77.73</v>
      </c>
      <c r="Z36">
        <v>76.930000000000007</v>
      </c>
      <c r="AA36">
        <v>76.22</v>
      </c>
      <c r="AB36">
        <v>75.59</v>
      </c>
      <c r="AE36" t="str">
        <v>#N/A N/A</v>
      </c>
      <c r="AF36" t="str">
        <v>#N/A N/A</v>
      </c>
      <c r="AG36" t="str">
        <v>#N/A N/A</v>
      </c>
      <c r="AH36" t="str">
        <v>#N/A N/A</v>
      </c>
      <c r="AI36" t="str">
        <v>#N/A N/A</v>
      </c>
      <c r="AJ36" t="str">
        <v>#N/A N/A</v>
      </c>
      <c r="AK36" t="str">
        <v>#N/A N/A</v>
      </c>
      <c r="AL36" t="str">
        <v>#N/A N/A</v>
      </c>
      <c r="AM36" t="str">
        <v>#N/A N/A</v>
      </c>
      <c r="AN36" t="str">
        <v>#N/A N/A</v>
      </c>
      <c r="AO36">
        <v>90.12</v>
      </c>
      <c r="AP36">
        <v>89.31</v>
      </c>
      <c r="AQ36">
        <v>102.59</v>
      </c>
      <c r="AR36">
        <v>96.16</v>
      </c>
      <c r="AS36">
        <v>93.51</v>
      </c>
      <c r="AT36">
        <v>91.59</v>
      </c>
      <c r="AU36">
        <v>90.07</v>
      </c>
      <c r="AV36">
        <v>88.7</v>
      </c>
      <c r="AW36">
        <v>87.44</v>
      </c>
      <c r="AX36">
        <v>86.26</v>
      </c>
      <c r="AY36">
        <v>85.17</v>
      </c>
      <c r="AZ36">
        <v>84.15</v>
      </c>
      <c r="BA36">
        <v>83.2</v>
      </c>
    </row>
    <row r="37" spans="1:53" x14ac:dyDescent="0.35">
      <c r="A37" s="16">
        <f t="shared" si="5"/>
        <v>46295</v>
      </c>
      <c r="C37" s="17"/>
      <c r="D37" t="str">
        <v>#N/A N/A</v>
      </c>
      <c r="E37" t="str">
        <v>#N/A N/A</v>
      </c>
      <c r="F37" t="str">
        <v>#N/A N/A</v>
      </c>
      <c r="G37" t="str">
        <v>#N/A N/A</v>
      </c>
      <c r="H37" t="str">
        <v>#N/A N/A</v>
      </c>
      <c r="I37" t="str">
        <v>#N/A N/A</v>
      </c>
      <c r="J37" t="str">
        <v>#N/A N/A</v>
      </c>
      <c r="K37" t="str">
        <v>#N/A N/A</v>
      </c>
      <c r="L37" t="str">
        <v>#N/A N/A</v>
      </c>
      <c r="M37">
        <v>84.91</v>
      </c>
      <c r="N37">
        <v>87.83</v>
      </c>
      <c r="O37">
        <v>94.59</v>
      </c>
      <c r="P37">
        <v>90.42</v>
      </c>
      <c r="Q37">
        <v>88.42</v>
      </c>
      <c r="R37">
        <v>86.73</v>
      </c>
      <c r="S37">
        <v>85.11</v>
      </c>
      <c r="T37">
        <v>83.71</v>
      </c>
      <c r="U37">
        <v>82.45</v>
      </c>
      <c r="V37">
        <v>81.319999999999993</v>
      </c>
      <c r="W37">
        <v>80.28</v>
      </c>
      <c r="X37">
        <v>79.31</v>
      </c>
      <c r="Y37">
        <v>78.400000000000006</v>
      </c>
      <c r="Z37">
        <v>77.55</v>
      </c>
      <c r="AA37">
        <v>76.78</v>
      </c>
      <c r="AB37">
        <v>76.099999999999994</v>
      </c>
      <c r="AE37" t="str">
        <v>#N/A N/A</v>
      </c>
      <c r="AF37" t="str">
        <v>#N/A N/A</v>
      </c>
      <c r="AG37" t="str">
        <v>#N/A N/A</v>
      </c>
      <c r="AH37" t="str">
        <v>#N/A N/A</v>
      </c>
      <c r="AI37" t="str">
        <v>#N/A N/A</v>
      </c>
      <c r="AJ37" t="str">
        <v>#N/A N/A</v>
      </c>
      <c r="AK37" t="str">
        <v>#N/A N/A</v>
      </c>
      <c r="AL37" t="str">
        <v>#N/A N/A</v>
      </c>
      <c r="AM37" t="str">
        <v>#N/A N/A</v>
      </c>
      <c r="AN37" t="str">
        <v>#N/A N/A</v>
      </c>
      <c r="AO37">
        <v>90.12</v>
      </c>
      <c r="AP37">
        <v>89.31</v>
      </c>
      <c r="AQ37">
        <v>103.53</v>
      </c>
      <c r="AR37">
        <v>98.03</v>
      </c>
      <c r="AS37">
        <v>95.09</v>
      </c>
      <c r="AT37">
        <v>92.85</v>
      </c>
      <c r="AU37">
        <v>91.15</v>
      </c>
      <c r="AV37">
        <v>89.67</v>
      </c>
      <c r="AW37">
        <v>88.34</v>
      </c>
      <c r="AX37">
        <v>87.09</v>
      </c>
      <c r="AY37">
        <v>85.91</v>
      </c>
      <c r="AZ37">
        <v>84.81</v>
      </c>
      <c r="BA37">
        <v>83.79</v>
      </c>
    </row>
    <row r="38" spans="1:53" x14ac:dyDescent="0.35">
      <c r="A38" s="16">
        <f t="shared" si="5"/>
        <v>46296</v>
      </c>
      <c r="C38" s="17"/>
    </row>
    <row r="39" spans="1:53" x14ac:dyDescent="0.35">
      <c r="A39" s="16">
        <f t="shared" si="5"/>
        <v>46297</v>
      </c>
      <c r="C39" s="17"/>
    </row>
    <row r="40" spans="1:53" x14ac:dyDescent="0.35">
      <c r="A40" s="16">
        <f t="shared" si="5"/>
        <v>46300</v>
      </c>
      <c r="C40" s="17"/>
    </row>
    <row r="41" spans="1:53" x14ac:dyDescent="0.35">
      <c r="A41" s="16">
        <f t="shared" si="5"/>
        <v>46301</v>
      </c>
      <c r="C41" s="17"/>
    </row>
    <row r="42" spans="1:53" x14ac:dyDescent="0.35">
      <c r="A42" s="16">
        <f t="shared" si="5"/>
        <v>46302</v>
      </c>
      <c r="C42" s="17"/>
    </row>
    <row r="43" spans="1:53" x14ac:dyDescent="0.35">
      <c r="A43" s="16">
        <f t="shared" si="5"/>
        <v>46303</v>
      </c>
      <c r="C43" s="17"/>
    </row>
    <row r="44" spans="1:53" x14ac:dyDescent="0.35">
      <c r="A44" s="16">
        <f t="shared" si="5"/>
        <v>46304</v>
      </c>
      <c r="C44" s="17"/>
    </row>
    <row r="45" spans="1:53" x14ac:dyDescent="0.35">
      <c r="A45" s="16">
        <f t="shared" si="5"/>
        <v>46307</v>
      </c>
      <c r="C45" s="17"/>
    </row>
    <row r="46" spans="1:53" x14ac:dyDescent="0.35">
      <c r="A46" s="16">
        <f t="shared" si="5"/>
        <v>46308</v>
      </c>
      <c r="C46" s="17"/>
    </row>
    <row r="47" spans="1:53" x14ac:dyDescent="0.35">
      <c r="A47" s="16">
        <f t="shared" si="5"/>
        <v>46309</v>
      </c>
      <c r="C47" s="17"/>
    </row>
    <row r="48" spans="1:53" x14ac:dyDescent="0.35">
      <c r="A48" s="16">
        <f t="shared" si="5"/>
        <v>46310</v>
      </c>
      <c r="C48" s="17"/>
    </row>
    <row r="49" spans="1:3" x14ac:dyDescent="0.35">
      <c r="A49" s="16">
        <f t="shared" si="5"/>
        <v>46311</v>
      </c>
      <c r="C49" s="17"/>
    </row>
    <row r="50" spans="1:3" x14ac:dyDescent="0.35">
      <c r="A50" s="16">
        <f t="shared" si="5"/>
        <v>46314</v>
      </c>
      <c r="C50" s="17"/>
    </row>
    <row r="51" spans="1:3" x14ac:dyDescent="0.35">
      <c r="A51" s="16">
        <f t="shared" si="5"/>
        <v>46315</v>
      </c>
      <c r="C51" s="17"/>
    </row>
    <row r="52" spans="1:3" x14ac:dyDescent="0.35">
      <c r="A52" s="16">
        <f t="shared" si="5"/>
        <v>46316</v>
      </c>
      <c r="C52" s="17"/>
    </row>
    <row r="53" spans="1:3" x14ac:dyDescent="0.35">
      <c r="A53" s="16">
        <f t="shared" si="5"/>
        <v>46317</v>
      </c>
      <c r="C53" s="17"/>
    </row>
    <row r="54" spans="1:3" x14ac:dyDescent="0.35">
      <c r="A54" s="16">
        <f t="shared" si="5"/>
        <v>46318</v>
      </c>
      <c r="C54" s="17"/>
    </row>
    <row r="55" spans="1:3" x14ac:dyDescent="0.35">
      <c r="A55" s="16">
        <f t="shared" si="5"/>
        <v>46321</v>
      </c>
      <c r="C55" s="17"/>
    </row>
    <row r="56" spans="1:3" x14ac:dyDescent="0.35">
      <c r="A56" s="16">
        <f t="shared" si="5"/>
        <v>46322</v>
      </c>
      <c r="C56" s="17"/>
    </row>
    <row r="57" spans="1:3" x14ac:dyDescent="0.35">
      <c r="A57" s="16">
        <f t="shared" si="5"/>
        <v>46323</v>
      </c>
      <c r="C57" s="17"/>
    </row>
    <row r="58" spans="1:3" x14ac:dyDescent="0.35">
      <c r="A58" s="16">
        <f t="shared" si="5"/>
        <v>46324</v>
      </c>
      <c r="C58" s="17"/>
    </row>
    <row r="59" spans="1:3" x14ac:dyDescent="0.35">
      <c r="A59" s="16">
        <f t="shared" si="5"/>
        <v>46325</v>
      </c>
      <c r="C59" s="17"/>
    </row>
    <row r="60" spans="1:3" x14ac:dyDescent="0.35">
      <c r="A60" s="16">
        <f t="shared" si="5"/>
        <v>46328</v>
      </c>
      <c r="C60" s="17"/>
    </row>
    <row r="61" spans="1:3" x14ac:dyDescent="0.35">
      <c r="A61" s="16">
        <f t="shared" si="5"/>
        <v>46329</v>
      </c>
      <c r="C61" s="17"/>
    </row>
    <row r="62" spans="1:3" x14ac:dyDescent="0.35">
      <c r="A62" s="16">
        <f t="shared" si="5"/>
        <v>46330</v>
      </c>
      <c r="C62" s="17"/>
    </row>
    <row r="63" spans="1:3" x14ac:dyDescent="0.35">
      <c r="A63" s="16">
        <f t="shared" si="5"/>
        <v>46331</v>
      </c>
      <c r="C63" s="17"/>
    </row>
    <row r="64" spans="1:3" x14ac:dyDescent="0.35">
      <c r="A64" s="16">
        <f t="shared" si="5"/>
        <v>46332</v>
      </c>
      <c r="C64" s="17"/>
    </row>
    <row r="65" spans="1:3" x14ac:dyDescent="0.35">
      <c r="A65" s="16">
        <f t="shared" si="5"/>
        <v>46335</v>
      </c>
      <c r="C65" s="17"/>
    </row>
    <row r="66" spans="1:3" x14ac:dyDescent="0.35">
      <c r="A66" s="16">
        <f t="shared" si="5"/>
        <v>46336</v>
      </c>
      <c r="C66" s="17"/>
    </row>
    <row r="67" spans="1:3" x14ac:dyDescent="0.35">
      <c r="A67" s="16">
        <f t="shared" si="5"/>
        <v>46337</v>
      </c>
      <c r="C67" s="17"/>
    </row>
    <row r="68" spans="1:3" x14ac:dyDescent="0.35">
      <c r="A68" s="16">
        <f t="shared" si="5"/>
        <v>46338</v>
      </c>
      <c r="C68" s="17"/>
    </row>
    <row r="69" spans="1:3" x14ac:dyDescent="0.35">
      <c r="A69" s="16">
        <f t="shared" si="5"/>
        <v>46339</v>
      </c>
      <c r="C69" s="17"/>
    </row>
    <row r="70" spans="1:3" x14ac:dyDescent="0.35">
      <c r="A70" s="16">
        <f t="shared" si="5"/>
        <v>46342</v>
      </c>
      <c r="C70" s="17"/>
    </row>
    <row r="71" spans="1:3" x14ac:dyDescent="0.35">
      <c r="A71" s="16">
        <f t="shared" si="5"/>
        <v>46343</v>
      </c>
      <c r="C71" s="17"/>
    </row>
    <row r="72" spans="1:3" x14ac:dyDescent="0.35">
      <c r="A72" s="16">
        <f t="shared" si="5"/>
        <v>46344</v>
      </c>
      <c r="C72" s="17"/>
    </row>
    <row r="73" spans="1:3" x14ac:dyDescent="0.35">
      <c r="A73" s="16">
        <f t="shared" si="5"/>
        <v>46345</v>
      </c>
      <c r="C73" s="17"/>
    </row>
    <row r="74" spans="1:3" x14ac:dyDescent="0.35">
      <c r="A74" s="16">
        <f t="shared" ref="A74:A78" si="6">WORKDAY(A73,1)</f>
        <v>46346</v>
      </c>
      <c r="C74" s="17"/>
    </row>
    <row r="75" spans="1:3" x14ac:dyDescent="0.35">
      <c r="A75" s="16">
        <f t="shared" si="6"/>
        <v>46349</v>
      </c>
      <c r="C75" s="17"/>
    </row>
    <row r="76" spans="1:3" x14ac:dyDescent="0.35">
      <c r="A76" s="16">
        <f t="shared" si="6"/>
        <v>46350</v>
      </c>
      <c r="C76" s="17"/>
    </row>
    <row r="77" spans="1:3" x14ac:dyDescent="0.35">
      <c r="A77" s="16">
        <f t="shared" si="6"/>
        <v>46351</v>
      </c>
      <c r="C77" s="17"/>
    </row>
    <row r="78" spans="1:3" x14ac:dyDescent="0.35">
      <c r="A78" s="16">
        <f t="shared" si="6"/>
        <v>46352</v>
      </c>
      <c r="C78" s="17"/>
    </row>
    <row r="79" spans="1:3" x14ac:dyDescent="0.35">
      <c r="A79" s="16"/>
      <c r="C79" s="17"/>
    </row>
    <row r="80" spans="1:3" x14ac:dyDescent="0.35">
      <c r="A80" s="16"/>
      <c r="C80" s="17"/>
    </row>
    <row r="81" spans="1:3" x14ac:dyDescent="0.35">
      <c r="A81" s="16"/>
      <c r="C81" s="17"/>
    </row>
    <row r="82" spans="1:3" x14ac:dyDescent="0.35">
      <c r="A82" s="16"/>
      <c r="C82" s="17"/>
    </row>
    <row r="83" spans="1:3" x14ac:dyDescent="0.35">
      <c r="A83" s="16"/>
      <c r="C83" s="17"/>
    </row>
    <row r="84" spans="1:3" x14ac:dyDescent="0.35">
      <c r="A84" s="16"/>
      <c r="C84" s="17"/>
    </row>
    <row r="85" spans="1:3" x14ac:dyDescent="0.35">
      <c r="A85" s="16"/>
      <c r="C85" s="17"/>
    </row>
    <row r="86" spans="1:3" x14ac:dyDescent="0.35">
      <c r="A86" s="16"/>
      <c r="C86" s="17"/>
    </row>
    <row r="87" spans="1:3" x14ac:dyDescent="0.35">
      <c r="A87" s="16"/>
      <c r="C87" s="17"/>
    </row>
    <row r="88" spans="1:3" x14ac:dyDescent="0.35">
      <c r="A88" s="16"/>
      <c r="C88" s="17"/>
    </row>
    <row r="89" spans="1:3" x14ac:dyDescent="0.35">
      <c r="A89" s="16"/>
      <c r="C89" s="17"/>
    </row>
    <row r="90" spans="1:3" x14ac:dyDescent="0.35">
      <c r="A90" s="16"/>
      <c r="C90" s="17"/>
    </row>
    <row r="91" spans="1:3" x14ac:dyDescent="0.35">
      <c r="A91" s="16"/>
      <c r="C91" s="17"/>
    </row>
    <row r="92" spans="1:3" x14ac:dyDescent="0.35">
      <c r="A92" s="16"/>
      <c r="C92" s="17"/>
    </row>
    <row r="93" spans="1:3" x14ac:dyDescent="0.35">
      <c r="A93" s="16"/>
      <c r="C93" s="17"/>
    </row>
    <row r="94" spans="1:3" x14ac:dyDescent="0.35">
      <c r="A94" s="16"/>
      <c r="C94" s="17"/>
    </row>
    <row r="95" spans="1:3" x14ac:dyDescent="0.35">
      <c r="A95" s="16"/>
      <c r="C95" s="17"/>
    </row>
    <row r="96" spans="1:3" x14ac:dyDescent="0.35">
      <c r="A96" s="16"/>
      <c r="C96" s="17"/>
    </row>
    <row r="97" spans="1:3" x14ac:dyDescent="0.35">
      <c r="A97" s="16"/>
      <c r="C97" s="17"/>
    </row>
    <row r="98" spans="1:3" x14ac:dyDescent="0.35">
      <c r="A98" s="16"/>
      <c r="C98" s="17"/>
    </row>
    <row r="99" spans="1:3" x14ac:dyDescent="0.35">
      <c r="A99" s="16"/>
      <c r="C99" s="17"/>
    </row>
    <row r="100" spans="1:3" x14ac:dyDescent="0.35">
      <c r="A100" s="16"/>
      <c r="C100" s="17"/>
    </row>
    <row r="101" spans="1:3" x14ac:dyDescent="0.35">
      <c r="A101" s="16"/>
      <c r="C101" s="17"/>
    </row>
    <row r="102" spans="1:3" x14ac:dyDescent="0.35">
      <c r="A102" s="16"/>
      <c r="C102" s="17"/>
    </row>
    <row r="103" spans="1:3" x14ac:dyDescent="0.35">
      <c r="A103" s="16"/>
      <c r="C103" s="17"/>
    </row>
    <row r="104" spans="1:3" x14ac:dyDescent="0.35">
      <c r="A104" s="16"/>
      <c r="C104" s="17"/>
    </row>
    <row r="105" spans="1:3" x14ac:dyDescent="0.35">
      <c r="A105" s="16"/>
      <c r="C105" s="17"/>
    </row>
    <row r="106" spans="1:3" x14ac:dyDescent="0.35">
      <c r="A106" s="16"/>
      <c r="C106" s="17"/>
    </row>
    <row r="107" spans="1:3" x14ac:dyDescent="0.35">
      <c r="A107" s="16"/>
      <c r="C107" s="17"/>
    </row>
    <row r="108" spans="1:3" x14ac:dyDescent="0.35">
      <c r="A108" s="16"/>
      <c r="C108" s="17"/>
    </row>
    <row r="109" spans="1:3" x14ac:dyDescent="0.35">
      <c r="A109" s="16"/>
      <c r="C109" s="17"/>
    </row>
    <row r="110" spans="1:3" x14ac:dyDescent="0.35">
      <c r="A110" s="16"/>
      <c r="C110" s="17"/>
    </row>
    <row r="111" spans="1:3" x14ac:dyDescent="0.35">
      <c r="A111" s="16"/>
      <c r="C111" s="17"/>
    </row>
    <row r="112" spans="1:3" x14ac:dyDescent="0.35">
      <c r="A112" s="16"/>
      <c r="C112" s="17"/>
    </row>
    <row r="113" spans="1:3" x14ac:dyDescent="0.35">
      <c r="A113" s="16"/>
      <c r="C113" s="17"/>
    </row>
    <row r="114" spans="1:3" x14ac:dyDescent="0.35">
      <c r="A114" s="16"/>
      <c r="C114" s="17"/>
    </row>
    <row r="115" spans="1:3" x14ac:dyDescent="0.35">
      <c r="A115" s="16"/>
      <c r="C115" s="17"/>
    </row>
    <row r="116" spans="1:3" x14ac:dyDescent="0.35">
      <c r="A116" s="16"/>
      <c r="C116" s="17"/>
    </row>
    <row r="117" spans="1:3" x14ac:dyDescent="0.35">
      <c r="A117" s="16"/>
      <c r="C117" s="17"/>
    </row>
    <row r="118" spans="1:3" x14ac:dyDescent="0.35">
      <c r="A118" s="16"/>
      <c r="C118" s="17"/>
    </row>
    <row r="119" spans="1:3" x14ac:dyDescent="0.35">
      <c r="A119" s="16"/>
      <c r="C119" s="17"/>
    </row>
    <row r="120" spans="1:3" x14ac:dyDescent="0.35">
      <c r="A120" s="16"/>
      <c r="C120" s="17"/>
    </row>
    <row r="121" spans="1:3" x14ac:dyDescent="0.35">
      <c r="A121" s="16"/>
      <c r="C121" s="17"/>
    </row>
    <row r="122" spans="1:3" x14ac:dyDescent="0.35">
      <c r="A122" s="16"/>
      <c r="C122" s="17"/>
    </row>
    <row r="123" spans="1:3" x14ac:dyDescent="0.35">
      <c r="A123" s="16"/>
      <c r="C123" s="17"/>
    </row>
    <row r="124" spans="1:3" x14ac:dyDescent="0.35">
      <c r="A124" s="16"/>
      <c r="C124" s="17"/>
    </row>
    <row r="125" spans="1:3" x14ac:dyDescent="0.35">
      <c r="A125" s="16"/>
      <c r="C125" s="17"/>
    </row>
    <row r="126" spans="1:3" x14ac:dyDescent="0.35">
      <c r="A126" s="16"/>
      <c r="C126" s="17"/>
    </row>
    <row r="127" spans="1:3" x14ac:dyDescent="0.35">
      <c r="A127" s="16"/>
      <c r="C127" s="17"/>
    </row>
    <row r="128" spans="1:3" x14ac:dyDescent="0.35">
      <c r="A128" s="16"/>
      <c r="C128" s="17"/>
    </row>
    <row r="129" spans="1:3" x14ac:dyDescent="0.35">
      <c r="A129" s="16"/>
      <c r="C129" s="17"/>
    </row>
    <row r="130" spans="1:3" x14ac:dyDescent="0.35">
      <c r="A130" s="16"/>
      <c r="C130" s="17"/>
    </row>
    <row r="131" spans="1:3" x14ac:dyDescent="0.35">
      <c r="A131" s="16"/>
      <c r="C131" s="17"/>
    </row>
    <row r="132" spans="1:3" x14ac:dyDescent="0.35">
      <c r="A132" s="16"/>
      <c r="C132" s="17"/>
    </row>
    <row r="133" spans="1:3" x14ac:dyDescent="0.35">
      <c r="A133" s="16"/>
      <c r="C133" s="17"/>
    </row>
    <row r="134" spans="1:3" x14ac:dyDescent="0.35">
      <c r="A134" s="16"/>
      <c r="C134" s="17"/>
    </row>
    <row r="135" spans="1:3" x14ac:dyDescent="0.35">
      <c r="A135" s="16"/>
      <c r="C135" s="17"/>
    </row>
    <row r="136" spans="1:3" x14ac:dyDescent="0.35">
      <c r="A136" s="16"/>
      <c r="C136" s="17"/>
    </row>
    <row r="137" spans="1:3" x14ac:dyDescent="0.35">
      <c r="A137" s="16"/>
      <c r="C137" s="17"/>
    </row>
    <row r="138" spans="1:3" x14ac:dyDescent="0.35">
      <c r="A138" s="16"/>
      <c r="C138" s="17"/>
    </row>
    <row r="139" spans="1:3" x14ac:dyDescent="0.35">
      <c r="A139" s="16"/>
      <c r="C139" s="17"/>
    </row>
    <row r="140" spans="1:3" x14ac:dyDescent="0.35">
      <c r="A140" s="16"/>
      <c r="C140" s="17"/>
    </row>
    <row r="141" spans="1:3" x14ac:dyDescent="0.35">
      <c r="A141" s="16"/>
      <c r="C141" s="17"/>
    </row>
    <row r="142" spans="1:3" x14ac:dyDescent="0.35">
      <c r="A142" s="16"/>
      <c r="C142" s="17"/>
    </row>
    <row r="143" spans="1:3" x14ac:dyDescent="0.35">
      <c r="A143" s="16"/>
      <c r="C143" s="17"/>
    </row>
    <row r="144" spans="1:3" x14ac:dyDescent="0.35">
      <c r="A144" s="16"/>
      <c r="C144" s="17"/>
    </row>
    <row r="145" spans="1:3" x14ac:dyDescent="0.35">
      <c r="A145" s="16"/>
      <c r="C145" s="17"/>
    </row>
    <row r="146" spans="1:3" x14ac:dyDescent="0.35">
      <c r="A146" s="16"/>
      <c r="C146" s="17"/>
    </row>
    <row r="147" spans="1:3" x14ac:dyDescent="0.35">
      <c r="A147" s="16"/>
      <c r="C147" s="17"/>
    </row>
    <row r="148" spans="1:3" x14ac:dyDescent="0.35">
      <c r="A148" s="16"/>
      <c r="C148" s="17"/>
    </row>
    <row r="149" spans="1:3" x14ac:dyDescent="0.35">
      <c r="A149" s="16"/>
      <c r="C149" s="17"/>
    </row>
    <row r="150" spans="1:3" x14ac:dyDescent="0.35">
      <c r="A150" s="16"/>
      <c r="C150" s="17"/>
    </row>
    <row r="151" spans="1:3" x14ac:dyDescent="0.35">
      <c r="A151" s="16"/>
      <c r="C151" s="17"/>
    </row>
    <row r="152" spans="1:3" x14ac:dyDescent="0.35">
      <c r="A152" s="16"/>
      <c r="C152" s="17"/>
    </row>
    <row r="153" spans="1:3" x14ac:dyDescent="0.35">
      <c r="A153" s="16"/>
      <c r="C153" s="17"/>
    </row>
    <row r="154" spans="1:3" x14ac:dyDescent="0.35">
      <c r="A154" s="16"/>
      <c r="C154" s="17"/>
    </row>
    <row r="155" spans="1:3" x14ac:dyDescent="0.35">
      <c r="A155" s="16"/>
      <c r="C155" s="17"/>
    </row>
    <row r="156" spans="1:3" x14ac:dyDescent="0.35">
      <c r="A156" s="16"/>
      <c r="C156" s="17"/>
    </row>
    <row r="157" spans="1:3" x14ac:dyDescent="0.35">
      <c r="A157" s="16"/>
    </row>
    <row r="158" spans="1:3" x14ac:dyDescent="0.35">
      <c r="A158" s="16"/>
    </row>
    <row r="159" spans="1:3" x14ac:dyDescent="0.35">
      <c r="A159" s="16"/>
    </row>
    <row r="160" spans="1:3" x14ac:dyDescent="0.35">
      <c r="A160" s="16"/>
    </row>
    <row r="161" spans="1:57" x14ac:dyDescent="0.35">
      <c r="A161" s="16"/>
    </row>
    <row r="162" spans="1:57" x14ac:dyDescent="0.35">
      <c r="A162" s="16"/>
    </row>
    <row r="163" spans="1:57" x14ac:dyDescent="0.35">
      <c r="A163" s="16"/>
    </row>
    <row r="164" spans="1:57" x14ac:dyDescent="0.35">
      <c r="A164" s="16"/>
      <c r="BC164">
        <f>+U164-V164</f>
        <v>0</v>
      </c>
      <c r="BD164">
        <f>+V164-W164</f>
        <v>0</v>
      </c>
      <c r="BE164">
        <f>W164-AY164</f>
        <v>0</v>
      </c>
    </row>
    <row r="165" spans="1:57" x14ac:dyDescent="0.35">
      <c r="A165" s="16"/>
    </row>
    <row r="166" spans="1:57" x14ac:dyDescent="0.35">
      <c r="A166" s="16"/>
    </row>
    <row r="167" spans="1:57" x14ac:dyDescent="0.35">
      <c r="A167" s="16"/>
    </row>
    <row r="168" spans="1:57" x14ac:dyDescent="0.35">
      <c r="A168" s="16"/>
    </row>
    <row r="169" spans="1:57" x14ac:dyDescent="0.35">
      <c r="A169" s="16"/>
    </row>
    <row r="170" spans="1:57" x14ac:dyDescent="0.35">
      <c r="A170" s="16"/>
    </row>
    <row r="171" spans="1:57" x14ac:dyDescent="0.35">
      <c r="A171" s="16"/>
    </row>
    <row r="172" spans="1:57" x14ac:dyDescent="0.35">
      <c r="A172" s="16"/>
    </row>
    <row r="173" spans="1:57" x14ac:dyDescent="0.35">
      <c r="A173" s="16"/>
    </row>
    <row r="174" spans="1:57" x14ac:dyDescent="0.35">
      <c r="A174" s="16"/>
    </row>
    <row r="175" spans="1:57" x14ac:dyDescent="0.35">
      <c r="A175" s="16"/>
    </row>
    <row r="176" spans="1:57" x14ac:dyDescent="0.35">
      <c r="A176" s="16"/>
    </row>
    <row r="177" spans="1:1" x14ac:dyDescent="0.35">
      <c r="A177" s="16"/>
    </row>
    <row r="178" spans="1:1" x14ac:dyDescent="0.35">
      <c r="A178" s="16"/>
    </row>
    <row r="179" spans="1:1" x14ac:dyDescent="0.35">
      <c r="A179" s="16"/>
    </row>
    <row r="180" spans="1:1" x14ac:dyDescent="0.35">
      <c r="A180" s="16"/>
    </row>
    <row r="181" spans="1:1" x14ac:dyDescent="0.35">
      <c r="A181" s="16"/>
    </row>
    <row r="182" spans="1:1" x14ac:dyDescent="0.35">
      <c r="A182" s="16"/>
    </row>
    <row r="183" spans="1:1" x14ac:dyDescent="0.35">
      <c r="A183" s="16"/>
    </row>
    <row r="184" spans="1:1" x14ac:dyDescent="0.35">
      <c r="A184" s="16"/>
    </row>
    <row r="185" spans="1:1" x14ac:dyDescent="0.35">
      <c r="A185" s="16"/>
    </row>
    <row r="186" spans="1:1" x14ac:dyDescent="0.35">
      <c r="A186" s="16"/>
    </row>
    <row r="187" spans="1:1" x14ac:dyDescent="0.35">
      <c r="A187" s="16"/>
    </row>
    <row r="188" spans="1:1" x14ac:dyDescent="0.35">
      <c r="A188" s="16"/>
    </row>
    <row r="189" spans="1:1" x14ac:dyDescent="0.35">
      <c r="A189" s="16"/>
    </row>
    <row r="190" spans="1:1" x14ac:dyDescent="0.35">
      <c r="A190" s="16"/>
    </row>
    <row r="191" spans="1:1" x14ac:dyDescent="0.35">
      <c r="A191" s="16"/>
    </row>
    <row r="192" spans="1:1" x14ac:dyDescent="0.35">
      <c r="A192" s="16"/>
    </row>
    <row r="193" spans="1:1" x14ac:dyDescent="0.35">
      <c r="A193" s="16"/>
    </row>
    <row r="194" spans="1:1" x14ac:dyDescent="0.35">
      <c r="A194" s="16"/>
    </row>
    <row r="195" spans="1:1" x14ac:dyDescent="0.35">
      <c r="A195" s="16"/>
    </row>
    <row r="196" spans="1:1" x14ac:dyDescent="0.35">
      <c r="A196" s="16"/>
    </row>
    <row r="197" spans="1:1" x14ac:dyDescent="0.35">
      <c r="A197" s="16"/>
    </row>
    <row r="198" spans="1:1" x14ac:dyDescent="0.35">
      <c r="A198" s="16"/>
    </row>
    <row r="199" spans="1:1" x14ac:dyDescent="0.35">
      <c r="A199" s="16"/>
    </row>
    <row r="200" spans="1:1" x14ac:dyDescent="0.35">
      <c r="A200" s="16"/>
    </row>
    <row r="201" spans="1:1" x14ac:dyDescent="0.35">
      <c r="A201" s="16"/>
    </row>
    <row r="202" spans="1:1" x14ac:dyDescent="0.35">
      <c r="A202" s="16"/>
    </row>
    <row r="203" spans="1:1" x14ac:dyDescent="0.35">
      <c r="A203" s="16"/>
    </row>
    <row r="204" spans="1:1" x14ac:dyDescent="0.35">
      <c r="A204" s="16"/>
    </row>
    <row r="205" spans="1:1" x14ac:dyDescent="0.35">
      <c r="A205" s="16"/>
    </row>
    <row r="206" spans="1:1" x14ac:dyDescent="0.35">
      <c r="A206" s="16"/>
    </row>
    <row r="207" spans="1:1" x14ac:dyDescent="0.35">
      <c r="A207" s="16"/>
    </row>
    <row r="208" spans="1:1" x14ac:dyDescent="0.35">
      <c r="A208" s="16"/>
    </row>
    <row r="209" spans="1:1" x14ac:dyDescent="0.35">
      <c r="A209" s="16"/>
    </row>
    <row r="210" spans="1:1" x14ac:dyDescent="0.35">
      <c r="A210" s="16"/>
    </row>
    <row r="211" spans="1:1" x14ac:dyDescent="0.35">
      <c r="A211" s="16"/>
    </row>
    <row r="212" spans="1:1" x14ac:dyDescent="0.35">
      <c r="A212" s="16"/>
    </row>
    <row r="213" spans="1:1" x14ac:dyDescent="0.35">
      <c r="A213" s="16"/>
    </row>
    <row r="214" spans="1:1" x14ac:dyDescent="0.35">
      <c r="A214" s="16"/>
    </row>
    <row r="215" spans="1:1" x14ac:dyDescent="0.35">
      <c r="A215" s="16"/>
    </row>
    <row r="216" spans="1:1" x14ac:dyDescent="0.35">
      <c r="A216" s="16"/>
    </row>
    <row r="217" spans="1:1" x14ac:dyDescent="0.35">
      <c r="A217" s="16"/>
    </row>
    <row r="218" spans="1:1" x14ac:dyDescent="0.35">
      <c r="A218" s="16"/>
    </row>
    <row r="219" spans="1:1" x14ac:dyDescent="0.35">
      <c r="A219" s="16"/>
    </row>
    <row r="220" spans="1:1" x14ac:dyDescent="0.35">
      <c r="A220" s="16"/>
    </row>
    <row r="221" spans="1:1" x14ac:dyDescent="0.35">
      <c r="A221" s="16"/>
    </row>
    <row r="222" spans="1:1" x14ac:dyDescent="0.35">
      <c r="A222" s="16"/>
    </row>
    <row r="223" spans="1:1" x14ac:dyDescent="0.35">
      <c r="A223" s="16"/>
    </row>
    <row r="224" spans="1:1" x14ac:dyDescent="0.35">
      <c r="A224" s="16"/>
    </row>
    <row r="225" spans="1:1" x14ac:dyDescent="0.35">
      <c r="A225" s="16"/>
    </row>
    <row r="226" spans="1:1" x14ac:dyDescent="0.35">
      <c r="A226" s="16"/>
    </row>
    <row r="227" spans="1:1" x14ac:dyDescent="0.35">
      <c r="A227" s="16"/>
    </row>
    <row r="228" spans="1:1" x14ac:dyDescent="0.35">
      <c r="A228" s="16"/>
    </row>
    <row r="229" spans="1:1" x14ac:dyDescent="0.35">
      <c r="A229" s="16"/>
    </row>
    <row r="230" spans="1:1" x14ac:dyDescent="0.35">
      <c r="A230" s="16"/>
    </row>
    <row r="231" spans="1:1" x14ac:dyDescent="0.35">
      <c r="A231" s="16"/>
    </row>
    <row r="232" spans="1:1" x14ac:dyDescent="0.35">
      <c r="A232" s="16"/>
    </row>
    <row r="233" spans="1:1" x14ac:dyDescent="0.35">
      <c r="A233" s="16"/>
    </row>
    <row r="234" spans="1:1" x14ac:dyDescent="0.35">
      <c r="A234" s="16"/>
    </row>
    <row r="235" spans="1:1" x14ac:dyDescent="0.35">
      <c r="A235" s="16"/>
    </row>
    <row r="236" spans="1:1" x14ac:dyDescent="0.35">
      <c r="A236" s="16"/>
    </row>
    <row r="237" spans="1:1" x14ac:dyDescent="0.35">
      <c r="A237" s="16"/>
    </row>
    <row r="238" spans="1:1" x14ac:dyDescent="0.35">
      <c r="A238" s="16"/>
    </row>
    <row r="239" spans="1:1" x14ac:dyDescent="0.35">
      <c r="A239" s="16"/>
    </row>
    <row r="240" spans="1:1" x14ac:dyDescent="0.35">
      <c r="A240" s="16"/>
    </row>
    <row r="241" spans="1:1" x14ac:dyDescent="0.35">
      <c r="A241" s="16"/>
    </row>
    <row r="242" spans="1:1" x14ac:dyDescent="0.35">
      <c r="A242" s="16"/>
    </row>
    <row r="243" spans="1:1" x14ac:dyDescent="0.35">
      <c r="A243" s="16"/>
    </row>
    <row r="244" spans="1:1" x14ac:dyDescent="0.35">
      <c r="A244" s="16"/>
    </row>
    <row r="245" spans="1:1" x14ac:dyDescent="0.35">
      <c r="A245" s="16"/>
    </row>
    <row r="246" spans="1:1" x14ac:dyDescent="0.35">
      <c r="A246" s="16"/>
    </row>
    <row r="247" spans="1:1" x14ac:dyDescent="0.35">
      <c r="A247" s="16"/>
    </row>
    <row r="248" spans="1:1" x14ac:dyDescent="0.35">
      <c r="A248" s="16"/>
    </row>
    <row r="249" spans="1:1" x14ac:dyDescent="0.35">
      <c r="A249" s="16"/>
    </row>
    <row r="250" spans="1:1" x14ac:dyDescent="0.35">
      <c r="A250" s="16"/>
    </row>
    <row r="251" spans="1:1" x14ac:dyDescent="0.35">
      <c r="A251" s="16"/>
    </row>
    <row r="252" spans="1:1" x14ac:dyDescent="0.35">
      <c r="A252" s="16"/>
    </row>
    <row r="253" spans="1:1" x14ac:dyDescent="0.35">
      <c r="A253" s="16"/>
    </row>
    <row r="254" spans="1:1" x14ac:dyDescent="0.35">
      <c r="A254" s="16"/>
    </row>
    <row r="255" spans="1:1" x14ac:dyDescent="0.35">
      <c r="A255" s="16"/>
    </row>
    <row r="256" spans="1:1" x14ac:dyDescent="0.35">
      <c r="A256" s="16"/>
    </row>
    <row r="257" spans="1:1" x14ac:dyDescent="0.35">
      <c r="A257" s="16"/>
    </row>
    <row r="258" spans="1:1" x14ac:dyDescent="0.35">
      <c r="A258" s="16"/>
    </row>
    <row r="259" spans="1:1" x14ac:dyDescent="0.35">
      <c r="A259" s="16"/>
    </row>
    <row r="260" spans="1:1" x14ac:dyDescent="0.35">
      <c r="A260" s="16"/>
    </row>
    <row r="261" spans="1:1" x14ac:dyDescent="0.35">
      <c r="A261" s="16"/>
    </row>
    <row r="262" spans="1:1" x14ac:dyDescent="0.35">
      <c r="A262" s="16"/>
    </row>
    <row r="263" spans="1:1" x14ac:dyDescent="0.35">
      <c r="A263" s="16"/>
    </row>
    <row r="264" spans="1:1" x14ac:dyDescent="0.35">
      <c r="A264" s="16"/>
    </row>
    <row r="265" spans="1:1" x14ac:dyDescent="0.35">
      <c r="A265" s="16"/>
    </row>
    <row r="266" spans="1:1" x14ac:dyDescent="0.35">
      <c r="A266" s="16"/>
    </row>
    <row r="267" spans="1:1" x14ac:dyDescent="0.35">
      <c r="A267" s="16"/>
    </row>
    <row r="268" spans="1:1" x14ac:dyDescent="0.35">
      <c r="A268" s="16"/>
    </row>
    <row r="269" spans="1:1" x14ac:dyDescent="0.35">
      <c r="A269" s="16"/>
    </row>
    <row r="270" spans="1:1" x14ac:dyDescent="0.35">
      <c r="A270" s="16"/>
    </row>
    <row r="271" spans="1:1" x14ac:dyDescent="0.35">
      <c r="A271" s="16"/>
    </row>
    <row r="272" spans="1:1" x14ac:dyDescent="0.35">
      <c r="A272" s="16"/>
    </row>
    <row r="273" spans="1:1" x14ac:dyDescent="0.35">
      <c r="A273" s="16"/>
    </row>
    <row r="274" spans="1:1" x14ac:dyDescent="0.35">
      <c r="A274" s="16"/>
    </row>
    <row r="275" spans="1:1" x14ac:dyDescent="0.35">
      <c r="A275" s="16"/>
    </row>
    <row r="276" spans="1:1" x14ac:dyDescent="0.35">
      <c r="A276" s="16"/>
    </row>
    <row r="277" spans="1:1" x14ac:dyDescent="0.35">
      <c r="A277" s="16"/>
    </row>
    <row r="278" spans="1:1" x14ac:dyDescent="0.35">
      <c r="A278" s="16"/>
    </row>
    <row r="279" spans="1:1" x14ac:dyDescent="0.35">
      <c r="A279" s="16"/>
    </row>
    <row r="280" spans="1:1" x14ac:dyDescent="0.35">
      <c r="A280" s="16"/>
    </row>
    <row r="281" spans="1:1" x14ac:dyDescent="0.35">
      <c r="A281" s="16"/>
    </row>
    <row r="282" spans="1:1" x14ac:dyDescent="0.35">
      <c r="A282" s="16"/>
    </row>
    <row r="283" spans="1:1" x14ac:dyDescent="0.35">
      <c r="A283" s="16"/>
    </row>
    <row r="284" spans="1:1" x14ac:dyDescent="0.35">
      <c r="A284" s="16"/>
    </row>
    <row r="285" spans="1:1" x14ac:dyDescent="0.35">
      <c r="A285" s="16"/>
    </row>
    <row r="286" spans="1:1" x14ac:dyDescent="0.35">
      <c r="A286" s="16"/>
    </row>
    <row r="287" spans="1:1" x14ac:dyDescent="0.35">
      <c r="A287" s="16"/>
    </row>
    <row r="288" spans="1:1" x14ac:dyDescent="0.35">
      <c r="A288" s="16"/>
    </row>
    <row r="289" spans="1:12" x14ac:dyDescent="0.35">
      <c r="A289" s="16"/>
    </row>
    <row r="290" spans="1:12" x14ac:dyDescent="0.35">
      <c r="A290" s="16"/>
    </row>
    <row r="291" spans="1:12" x14ac:dyDescent="0.35">
      <c r="A291" s="16"/>
    </row>
    <row r="292" spans="1:12" x14ac:dyDescent="0.35">
      <c r="A292" s="16"/>
    </row>
    <row r="293" spans="1:12" x14ac:dyDescent="0.35">
      <c r="A293" s="16"/>
    </row>
    <row r="294" spans="1:12" x14ac:dyDescent="0.35">
      <c r="A294" s="16"/>
    </row>
    <row r="295" spans="1:12" x14ac:dyDescent="0.35">
      <c r="A295" s="16"/>
    </row>
    <row r="296" spans="1:12" x14ac:dyDescent="0.35">
      <c r="A296" s="16"/>
    </row>
    <row r="297" spans="1:12" x14ac:dyDescent="0.35">
      <c r="A297" s="16"/>
      <c r="J297" s="18"/>
      <c r="K297" s="18"/>
      <c r="L297" s="18"/>
    </row>
    <row r="298" spans="1:12" x14ac:dyDescent="0.35">
      <c r="A298" s="16"/>
    </row>
    <row r="299" spans="1:12" x14ac:dyDescent="0.35">
      <c r="A299" s="16"/>
    </row>
    <row r="300" spans="1:12" x14ac:dyDescent="0.35">
      <c r="A300" s="16"/>
    </row>
    <row r="301" spans="1:12" x14ac:dyDescent="0.35">
      <c r="A301" s="16"/>
    </row>
    <row r="302" spans="1:12" x14ac:dyDescent="0.35">
      <c r="A302" s="16"/>
    </row>
    <row r="303" spans="1:12" x14ac:dyDescent="0.35">
      <c r="A303" s="16"/>
    </row>
    <row r="304" spans="1:12" x14ac:dyDescent="0.35">
      <c r="A304" s="16"/>
    </row>
    <row r="305" spans="1:1" x14ac:dyDescent="0.35">
      <c r="A305" s="16"/>
    </row>
    <row r="306" spans="1:1" x14ac:dyDescent="0.35">
      <c r="A306" s="16"/>
    </row>
    <row r="307" spans="1:1" x14ac:dyDescent="0.35">
      <c r="A307" s="16"/>
    </row>
    <row r="308" spans="1:1" x14ac:dyDescent="0.35">
      <c r="A308" s="16"/>
    </row>
    <row r="309" spans="1:1" x14ac:dyDescent="0.35">
      <c r="A309" s="16"/>
    </row>
    <row r="310" spans="1:1" x14ac:dyDescent="0.35">
      <c r="A310" s="16"/>
    </row>
    <row r="311" spans="1:1" x14ac:dyDescent="0.35">
      <c r="A311" s="16"/>
    </row>
    <row r="312" spans="1:1" x14ac:dyDescent="0.35">
      <c r="A312" s="16"/>
    </row>
    <row r="313" spans="1:1" x14ac:dyDescent="0.35">
      <c r="A313" s="16"/>
    </row>
    <row r="314" spans="1:1" x14ac:dyDescent="0.35">
      <c r="A314" s="16"/>
    </row>
    <row r="315" spans="1:1" x14ac:dyDescent="0.35">
      <c r="A315" s="16"/>
    </row>
    <row r="316" spans="1:1" x14ac:dyDescent="0.35">
      <c r="A316" s="16"/>
    </row>
    <row r="317" spans="1:1" x14ac:dyDescent="0.35">
      <c r="A317" s="16"/>
    </row>
    <row r="318" spans="1:1" x14ac:dyDescent="0.35">
      <c r="A318" s="16"/>
    </row>
    <row r="319" spans="1:1" x14ac:dyDescent="0.35">
      <c r="A319" s="16"/>
    </row>
    <row r="320" spans="1:1" x14ac:dyDescent="0.35">
      <c r="A320" s="16"/>
    </row>
    <row r="321" spans="1:1" x14ac:dyDescent="0.35">
      <c r="A321" s="16"/>
    </row>
    <row r="322" spans="1:1" x14ac:dyDescent="0.35">
      <c r="A322" s="16"/>
    </row>
    <row r="323" spans="1:1" x14ac:dyDescent="0.35">
      <c r="A323" s="16"/>
    </row>
    <row r="324" spans="1:1" x14ac:dyDescent="0.35">
      <c r="A324" s="16"/>
    </row>
    <row r="325" spans="1:1" x14ac:dyDescent="0.35">
      <c r="A325" s="16"/>
    </row>
    <row r="326" spans="1:1" x14ac:dyDescent="0.35">
      <c r="A326" s="16"/>
    </row>
    <row r="327" spans="1:1" x14ac:dyDescent="0.35">
      <c r="A327" s="16"/>
    </row>
    <row r="328" spans="1:1" x14ac:dyDescent="0.35">
      <c r="A328" s="16"/>
    </row>
    <row r="329" spans="1:1" x14ac:dyDescent="0.35">
      <c r="A329" s="16"/>
    </row>
    <row r="330" spans="1:1" x14ac:dyDescent="0.35">
      <c r="A330" s="16"/>
    </row>
    <row r="331" spans="1:1" x14ac:dyDescent="0.35">
      <c r="A331" s="16"/>
    </row>
    <row r="332" spans="1:1" x14ac:dyDescent="0.35">
      <c r="A332" s="16"/>
    </row>
    <row r="333" spans="1:1" x14ac:dyDescent="0.35">
      <c r="A333" s="16"/>
    </row>
    <row r="334" spans="1:1" x14ac:dyDescent="0.35">
      <c r="A334" s="16"/>
    </row>
    <row r="335" spans="1:1" x14ac:dyDescent="0.35">
      <c r="A335" s="16"/>
    </row>
    <row r="336" spans="1:1" x14ac:dyDescent="0.35">
      <c r="A336" s="16"/>
    </row>
    <row r="337" spans="1:1" x14ac:dyDescent="0.35">
      <c r="A337" s="16"/>
    </row>
    <row r="338" spans="1:1" x14ac:dyDescent="0.35">
      <c r="A338" s="16"/>
    </row>
    <row r="339" spans="1:1" x14ac:dyDescent="0.35">
      <c r="A339" s="16"/>
    </row>
    <row r="340" spans="1:1" x14ac:dyDescent="0.35">
      <c r="A340" s="16"/>
    </row>
    <row r="341" spans="1:1" x14ac:dyDescent="0.35">
      <c r="A341" s="16"/>
    </row>
    <row r="342" spans="1:1" x14ac:dyDescent="0.35">
      <c r="A342" s="16"/>
    </row>
    <row r="343" spans="1:1" x14ac:dyDescent="0.35">
      <c r="A343" s="16"/>
    </row>
    <row r="344" spans="1:1" x14ac:dyDescent="0.35">
      <c r="A344" s="16"/>
    </row>
    <row r="345" spans="1:1" x14ac:dyDescent="0.35">
      <c r="A345" s="16"/>
    </row>
    <row r="346" spans="1:1" x14ac:dyDescent="0.35">
      <c r="A346" s="16"/>
    </row>
    <row r="347" spans="1:1" x14ac:dyDescent="0.35">
      <c r="A347" s="16"/>
    </row>
    <row r="348" spans="1:1" x14ac:dyDescent="0.35">
      <c r="A348" s="16"/>
    </row>
    <row r="349" spans="1:1" x14ac:dyDescent="0.35">
      <c r="A349" s="16"/>
    </row>
    <row r="350" spans="1:1" x14ac:dyDescent="0.35">
      <c r="A350" s="16"/>
    </row>
    <row r="351" spans="1:1" x14ac:dyDescent="0.35">
      <c r="A351" s="16"/>
    </row>
    <row r="352" spans="1:1" x14ac:dyDescent="0.35">
      <c r="A352" s="16"/>
    </row>
    <row r="353" spans="1:1" x14ac:dyDescent="0.35">
      <c r="A353" s="16"/>
    </row>
    <row r="354" spans="1:1" x14ac:dyDescent="0.35">
      <c r="A354" s="16"/>
    </row>
    <row r="355" spans="1:1" x14ac:dyDescent="0.35">
      <c r="A355" s="16"/>
    </row>
    <row r="356" spans="1:1" x14ac:dyDescent="0.35">
      <c r="A356" s="16"/>
    </row>
    <row r="357" spans="1:1" x14ac:dyDescent="0.35">
      <c r="A357" s="16"/>
    </row>
    <row r="358" spans="1:1" x14ac:dyDescent="0.35">
      <c r="A358" s="16"/>
    </row>
    <row r="359" spans="1:1" x14ac:dyDescent="0.35">
      <c r="A359" s="16"/>
    </row>
    <row r="360" spans="1:1" x14ac:dyDescent="0.35">
      <c r="A360" s="16"/>
    </row>
    <row r="361" spans="1:1" x14ac:dyDescent="0.35">
      <c r="A361" s="16"/>
    </row>
    <row r="362" spans="1:1" x14ac:dyDescent="0.35">
      <c r="A362" s="16"/>
    </row>
    <row r="363" spans="1:1" x14ac:dyDescent="0.35">
      <c r="A363" s="16"/>
    </row>
    <row r="364" spans="1:1" x14ac:dyDescent="0.35">
      <c r="A364" s="16"/>
    </row>
    <row r="365" spans="1:1" x14ac:dyDescent="0.35">
      <c r="A365" s="16"/>
    </row>
    <row r="366" spans="1:1" x14ac:dyDescent="0.35">
      <c r="A366" s="16"/>
    </row>
    <row r="367" spans="1:1" x14ac:dyDescent="0.35">
      <c r="A367" s="16"/>
    </row>
    <row r="368" spans="1:1" x14ac:dyDescent="0.35">
      <c r="A368" s="16"/>
    </row>
    <row r="369" spans="1:1" x14ac:dyDescent="0.35">
      <c r="A369" s="16"/>
    </row>
    <row r="370" spans="1:1" x14ac:dyDescent="0.35">
      <c r="A370" s="16"/>
    </row>
    <row r="371" spans="1:1" x14ac:dyDescent="0.35">
      <c r="A371" s="16"/>
    </row>
    <row r="372" spans="1:1" x14ac:dyDescent="0.35">
      <c r="A372" s="16"/>
    </row>
    <row r="373" spans="1:1" x14ac:dyDescent="0.35">
      <c r="A373" s="16"/>
    </row>
    <row r="374" spans="1:1" x14ac:dyDescent="0.35">
      <c r="A374" s="16"/>
    </row>
    <row r="375" spans="1:1" x14ac:dyDescent="0.35">
      <c r="A375" s="16"/>
    </row>
    <row r="376" spans="1:1" x14ac:dyDescent="0.35">
      <c r="A376" s="16"/>
    </row>
    <row r="377" spans="1:1" x14ac:dyDescent="0.35">
      <c r="A377" s="16"/>
    </row>
    <row r="378" spans="1:1" x14ac:dyDescent="0.35">
      <c r="A378" s="16"/>
    </row>
    <row r="379" spans="1:1" x14ac:dyDescent="0.35">
      <c r="A379" s="16"/>
    </row>
    <row r="380" spans="1:1" x14ac:dyDescent="0.35">
      <c r="A380" s="16"/>
    </row>
    <row r="381" spans="1:1" x14ac:dyDescent="0.35">
      <c r="A381" s="16"/>
    </row>
    <row r="382" spans="1:1" x14ac:dyDescent="0.35">
      <c r="A382" s="16"/>
    </row>
    <row r="383" spans="1:1" x14ac:dyDescent="0.35">
      <c r="A383" s="16"/>
    </row>
    <row r="384" spans="1:1" x14ac:dyDescent="0.35">
      <c r="A384" s="16"/>
    </row>
    <row r="385" spans="1:1" x14ac:dyDescent="0.35">
      <c r="A385" s="16"/>
    </row>
    <row r="386" spans="1:1" x14ac:dyDescent="0.35">
      <c r="A386" s="16"/>
    </row>
    <row r="387" spans="1:1" x14ac:dyDescent="0.35">
      <c r="A387" s="16"/>
    </row>
    <row r="388" spans="1:1" x14ac:dyDescent="0.35">
      <c r="A388" s="16"/>
    </row>
    <row r="389" spans="1:1" x14ac:dyDescent="0.35">
      <c r="A389" s="16"/>
    </row>
    <row r="390" spans="1:1" x14ac:dyDescent="0.35">
      <c r="A390" s="16"/>
    </row>
    <row r="391" spans="1:1" x14ac:dyDescent="0.35">
      <c r="A391" s="16"/>
    </row>
    <row r="392" spans="1:1" x14ac:dyDescent="0.35">
      <c r="A392" s="16"/>
    </row>
    <row r="393" spans="1:1" x14ac:dyDescent="0.35">
      <c r="A393" s="16"/>
    </row>
    <row r="394" spans="1:1" x14ac:dyDescent="0.35">
      <c r="A394" s="16"/>
    </row>
    <row r="395" spans="1:1" x14ac:dyDescent="0.35">
      <c r="A395" s="16"/>
    </row>
    <row r="396" spans="1:1" x14ac:dyDescent="0.35">
      <c r="A396" s="16"/>
    </row>
    <row r="397" spans="1:1" x14ac:dyDescent="0.35">
      <c r="A397" s="16"/>
    </row>
    <row r="398" spans="1:1" x14ac:dyDescent="0.35">
      <c r="A398" s="16"/>
    </row>
    <row r="399" spans="1:1" x14ac:dyDescent="0.35">
      <c r="A399" s="16"/>
    </row>
    <row r="400" spans="1:1" x14ac:dyDescent="0.35">
      <c r="A400" s="16"/>
    </row>
    <row r="401" spans="1:1" x14ac:dyDescent="0.35">
      <c r="A401" s="16"/>
    </row>
    <row r="402" spans="1:1" x14ac:dyDescent="0.35">
      <c r="A402" s="16"/>
    </row>
    <row r="403" spans="1:1" x14ac:dyDescent="0.35">
      <c r="A403" s="16"/>
    </row>
    <row r="404" spans="1:1" x14ac:dyDescent="0.35">
      <c r="A404" s="16"/>
    </row>
    <row r="405" spans="1:1" x14ac:dyDescent="0.35">
      <c r="A405" s="16"/>
    </row>
    <row r="406" spans="1:1" x14ac:dyDescent="0.35">
      <c r="A406" s="16"/>
    </row>
    <row r="407" spans="1:1" x14ac:dyDescent="0.35">
      <c r="A407" s="16"/>
    </row>
    <row r="408" spans="1:1" x14ac:dyDescent="0.35">
      <c r="A408" s="16"/>
    </row>
    <row r="409" spans="1:1" x14ac:dyDescent="0.35">
      <c r="A409" s="16"/>
    </row>
    <row r="410" spans="1:1" x14ac:dyDescent="0.35">
      <c r="A410" s="16"/>
    </row>
    <row r="411" spans="1:1" x14ac:dyDescent="0.35">
      <c r="A411" s="16"/>
    </row>
    <row r="412" spans="1:1" x14ac:dyDescent="0.35">
      <c r="A412" s="16"/>
    </row>
    <row r="413" spans="1:1" x14ac:dyDescent="0.35">
      <c r="A413" s="16"/>
    </row>
    <row r="414" spans="1:1" x14ac:dyDescent="0.35">
      <c r="A414" s="16"/>
    </row>
    <row r="415" spans="1:1" x14ac:dyDescent="0.35">
      <c r="A415" s="16"/>
    </row>
    <row r="416" spans="1:1" x14ac:dyDescent="0.35">
      <c r="A416" s="16"/>
    </row>
    <row r="417" spans="1:1" x14ac:dyDescent="0.35">
      <c r="A417" s="16"/>
    </row>
    <row r="418" spans="1:1" x14ac:dyDescent="0.35">
      <c r="A418" s="16"/>
    </row>
    <row r="419" spans="1:1" x14ac:dyDescent="0.35">
      <c r="A419" s="16"/>
    </row>
    <row r="420" spans="1:1" x14ac:dyDescent="0.35">
      <c r="A420" s="16"/>
    </row>
    <row r="421" spans="1:1" x14ac:dyDescent="0.35">
      <c r="A421" s="16"/>
    </row>
    <row r="422" spans="1:1" x14ac:dyDescent="0.35">
      <c r="A422" s="16"/>
    </row>
    <row r="423" spans="1:1" x14ac:dyDescent="0.35">
      <c r="A423" s="16"/>
    </row>
    <row r="424" spans="1:1" x14ac:dyDescent="0.35">
      <c r="A424" s="16"/>
    </row>
    <row r="425" spans="1:1" x14ac:dyDescent="0.35">
      <c r="A425" s="16"/>
    </row>
    <row r="426" spans="1:1" x14ac:dyDescent="0.35">
      <c r="A426" s="16"/>
    </row>
    <row r="427" spans="1:1" x14ac:dyDescent="0.35">
      <c r="A427" s="16"/>
    </row>
    <row r="428" spans="1:1" x14ac:dyDescent="0.35">
      <c r="A428" s="16"/>
    </row>
    <row r="429" spans="1:1" x14ac:dyDescent="0.35">
      <c r="A429" s="16"/>
    </row>
    <row r="430" spans="1:1" x14ac:dyDescent="0.35">
      <c r="A430" s="16"/>
    </row>
    <row r="431" spans="1:1" x14ac:dyDescent="0.35">
      <c r="A431" s="16"/>
    </row>
    <row r="432" spans="1:1" x14ac:dyDescent="0.35">
      <c r="A432" s="16"/>
    </row>
    <row r="433" spans="1:1" x14ac:dyDescent="0.35">
      <c r="A433" s="16"/>
    </row>
    <row r="434" spans="1:1" x14ac:dyDescent="0.35">
      <c r="A434" s="16"/>
    </row>
    <row r="435" spans="1:1" x14ac:dyDescent="0.35">
      <c r="A435" s="16"/>
    </row>
    <row r="436" spans="1:1" x14ac:dyDescent="0.35">
      <c r="A436" s="16"/>
    </row>
    <row r="437" spans="1:1" x14ac:dyDescent="0.35">
      <c r="A437" s="16"/>
    </row>
    <row r="438" spans="1:1" x14ac:dyDescent="0.35">
      <c r="A438" s="16"/>
    </row>
    <row r="439" spans="1:1" x14ac:dyDescent="0.35">
      <c r="A439" s="16"/>
    </row>
    <row r="440" spans="1:1" x14ac:dyDescent="0.35">
      <c r="A440" s="16"/>
    </row>
  </sheetData>
  <dataValidations disablePrompts="1" count="1">
    <dataValidation type="list" allowBlank="1" showInputMessage="1" showErrorMessage="1" sqref="B7" xr:uid="{E0A0FF33-68DE-4E72-A87E-BC508E72FC7B}">
      <formula1>$I$1:$J$1</formula1>
    </dataValidation>
  </dataValidations>
  <pageMargins left="0.7" right="0.7" top="0.75" bottom="0.75" header="0.3" footer="0.3"/>
  <pageSetup orientation="portrait" r:id="rId1"/>
  <headerFooter>
    <oddHeader>&amp;C&amp;"Calibri"&amp;10&amp;K008000 Classification: AramcoTrading-US  General Use&amp;1#_x000D_</oddHeader>
    <oddFooter>&amp;C&amp;"Calibri"&amp;11&amp;K000000_x000D_&amp;1#&amp;"Calibri"&amp;10&amp;K008000 This content is classified as AramcoTrading-US General Use by Cantafio, Alberto (ATA) on 2025-08-20T18:20:26.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55C9-E1E8-4E85-8792-FC4B92BEF58A}">
  <sheetPr codeName="Sheet12"/>
  <dimension ref="A1:AB299"/>
  <sheetViews>
    <sheetView zoomScale="70" zoomScaleNormal="85" workbookViewId="0">
      <pane xSplit="1" ySplit="9" topLeftCell="B10" activePane="bottomRight" state="frozen"/>
      <selection pane="topRight" activeCell="L24" sqref="L24"/>
      <selection pane="bottomLeft" activeCell="L24" sqref="L24"/>
      <selection pane="bottomRight" activeCell="U17" sqref="U17"/>
    </sheetView>
  </sheetViews>
  <sheetFormatPr defaultRowHeight="14.5" x14ac:dyDescent="0.35"/>
  <cols>
    <col min="1" max="1" width="11.54296875" style="16" bestFit="1" customWidth="1"/>
    <col min="2" max="8" width="16" bestFit="1" customWidth="1"/>
    <col min="9" max="9" width="17.26953125" bestFit="1" customWidth="1"/>
    <col min="10" max="28" width="16" bestFit="1" customWidth="1"/>
    <col min="30" max="53" width="16" bestFit="1" customWidth="1"/>
  </cols>
  <sheetData>
    <row r="1" spans="1:28" x14ac:dyDescent="0.35">
      <c r="A1" t="s">
        <v>2138</v>
      </c>
      <c r="B1" s="16">
        <f>'WTI Sprds'!B1</f>
        <v>46254</v>
      </c>
      <c r="C1" s="16">
        <f>B1</f>
        <v>46254</v>
      </c>
      <c r="E1" s="16" t="str">
        <f>B3&amp;VLOOKUP(MONTH(B4),Control!$N$5:$O$16,2,FALSE)&amp;RIGHT(YEAR(B4),1)&amp;" Comdty"</f>
        <v>COG5 Comdty</v>
      </c>
      <c r="F1">
        <f t="array" ref="F1">_xll.BDP("S:ENCO   1-1 Comdty","LAST_PRICE")</f>
        <v>-5.27</v>
      </c>
      <c r="I1" t="s">
        <v>1748</v>
      </c>
      <c r="J1" t="s">
        <v>2151</v>
      </c>
      <c r="N1" t="e">
        <v>#N/A</v>
      </c>
      <c r="O1">
        <f>+M198-N198</f>
        <v>0</v>
      </c>
      <c r="P1">
        <f>M196-N196</f>
        <v>0</v>
      </c>
    </row>
    <row r="2" spans="1:28" x14ac:dyDescent="0.35">
      <c r="A2" t="s">
        <v>2140</v>
      </c>
      <c r="B2" s="16"/>
      <c r="C2" s="16">
        <v>45888</v>
      </c>
    </row>
    <row r="3" spans="1:28" x14ac:dyDescent="0.35">
      <c r="A3"/>
      <c r="B3" s="16" t="s">
        <v>2219</v>
      </c>
      <c r="C3" s="16" t="s">
        <v>2219</v>
      </c>
      <c r="D3" s="16" t="s">
        <v>2219</v>
      </c>
      <c r="E3" s="16" t="s">
        <v>2219</v>
      </c>
      <c r="F3" s="16" t="s">
        <v>2219</v>
      </c>
      <c r="G3" s="16" t="s">
        <v>2219</v>
      </c>
      <c r="H3" s="16" t="s">
        <v>2219</v>
      </c>
      <c r="I3" s="16" t="s">
        <v>2219</v>
      </c>
      <c r="J3" s="16" t="s">
        <v>2219</v>
      </c>
      <c r="K3" s="16" t="s">
        <v>2219</v>
      </c>
      <c r="L3" s="16" t="s">
        <v>2219</v>
      </c>
      <c r="M3" s="16" t="s">
        <v>2219</v>
      </c>
      <c r="N3" s="16" t="s">
        <v>2219</v>
      </c>
      <c r="O3" s="16" t="s">
        <v>2219</v>
      </c>
      <c r="P3" s="16" t="s">
        <v>2219</v>
      </c>
      <c r="Q3" s="16" t="s">
        <v>2219</v>
      </c>
      <c r="R3" s="16" t="s">
        <v>2219</v>
      </c>
      <c r="S3" s="16" t="s">
        <v>2219</v>
      </c>
      <c r="T3" s="16" t="s">
        <v>2219</v>
      </c>
      <c r="U3" s="16" t="s">
        <v>2219</v>
      </c>
      <c r="V3" s="16" t="s">
        <v>2219</v>
      </c>
      <c r="W3" s="16" t="s">
        <v>2219</v>
      </c>
      <c r="X3" s="16" t="s">
        <v>2219</v>
      </c>
      <c r="Y3" s="16" t="s">
        <v>2219</v>
      </c>
      <c r="Z3" s="16" t="s">
        <v>2219</v>
      </c>
      <c r="AA3" s="16" t="s">
        <v>2219</v>
      </c>
      <c r="AB3" s="16" t="s">
        <v>2219</v>
      </c>
    </row>
    <row r="4" spans="1:28" x14ac:dyDescent="0.35">
      <c r="A4"/>
      <c r="B4" s="16">
        <f>'WTI Sprds'!B4</f>
        <v>45716</v>
      </c>
      <c r="C4" s="16">
        <f t="shared" ref="C4:AB4" si="0">EOMONTH(B4,1)</f>
        <v>45747</v>
      </c>
      <c r="D4" s="16">
        <f t="shared" si="0"/>
        <v>45777</v>
      </c>
      <c r="E4" s="16">
        <f t="shared" si="0"/>
        <v>45808</v>
      </c>
      <c r="F4" s="16">
        <f t="shared" si="0"/>
        <v>45838</v>
      </c>
      <c r="G4" s="16">
        <f t="shared" si="0"/>
        <v>45869</v>
      </c>
      <c r="H4" s="16">
        <f t="shared" si="0"/>
        <v>45900</v>
      </c>
      <c r="I4" s="16">
        <f t="shared" si="0"/>
        <v>45930</v>
      </c>
      <c r="J4" s="16">
        <f t="shared" si="0"/>
        <v>45961</v>
      </c>
      <c r="K4" s="16">
        <f t="shared" si="0"/>
        <v>45991</v>
      </c>
      <c r="L4" s="16">
        <f t="shared" si="0"/>
        <v>46022</v>
      </c>
      <c r="M4" s="16">
        <f t="shared" si="0"/>
        <v>46053</v>
      </c>
      <c r="N4" s="16">
        <f t="shared" si="0"/>
        <v>46081</v>
      </c>
      <c r="O4" s="16">
        <f t="shared" si="0"/>
        <v>46112</v>
      </c>
      <c r="P4" s="16">
        <f t="shared" si="0"/>
        <v>46142</v>
      </c>
      <c r="Q4" s="16">
        <f t="shared" si="0"/>
        <v>46173</v>
      </c>
      <c r="R4" s="16">
        <f t="shared" si="0"/>
        <v>46203</v>
      </c>
      <c r="S4" s="16">
        <f t="shared" si="0"/>
        <v>46234</v>
      </c>
      <c r="T4" s="16">
        <f t="shared" si="0"/>
        <v>46265</v>
      </c>
      <c r="U4" s="16">
        <f t="shared" si="0"/>
        <v>46295</v>
      </c>
      <c r="V4" s="16">
        <f t="shared" si="0"/>
        <v>46326</v>
      </c>
      <c r="W4" s="16">
        <f t="shared" si="0"/>
        <v>46356</v>
      </c>
      <c r="X4" s="16">
        <f t="shared" si="0"/>
        <v>46387</v>
      </c>
      <c r="Y4" s="16">
        <f t="shared" si="0"/>
        <v>46418</v>
      </c>
      <c r="Z4" s="16">
        <f t="shared" si="0"/>
        <v>46446</v>
      </c>
      <c r="AA4" s="16">
        <f t="shared" si="0"/>
        <v>46477</v>
      </c>
      <c r="AB4" s="16">
        <f t="shared" si="0"/>
        <v>46507</v>
      </c>
    </row>
    <row r="5" spans="1:28" x14ac:dyDescent="0.35">
      <c r="A5"/>
      <c r="B5">
        <f t="shared" ref="B5:AB5" si="1">YEAR(B4)</f>
        <v>2025</v>
      </c>
      <c r="C5">
        <f t="shared" si="1"/>
        <v>2025</v>
      </c>
      <c r="D5">
        <f t="shared" si="1"/>
        <v>2025</v>
      </c>
      <c r="E5">
        <f t="shared" si="1"/>
        <v>2025</v>
      </c>
      <c r="F5">
        <f t="shared" si="1"/>
        <v>2025</v>
      </c>
      <c r="G5">
        <f t="shared" si="1"/>
        <v>2025</v>
      </c>
      <c r="H5">
        <f t="shared" si="1"/>
        <v>2025</v>
      </c>
      <c r="I5">
        <f t="shared" si="1"/>
        <v>2025</v>
      </c>
      <c r="J5">
        <f t="shared" si="1"/>
        <v>2025</v>
      </c>
      <c r="K5">
        <f t="shared" si="1"/>
        <v>2025</v>
      </c>
      <c r="L5">
        <f t="shared" si="1"/>
        <v>2025</v>
      </c>
      <c r="M5">
        <f t="shared" si="1"/>
        <v>2026</v>
      </c>
      <c r="N5">
        <f t="shared" si="1"/>
        <v>2026</v>
      </c>
      <c r="O5">
        <f t="shared" si="1"/>
        <v>2026</v>
      </c>
      <c r="P5">
        <f t="shared" si="1"/>
        <v>2026</v>
      </c>
      <c r="Q5">
        <f t="shared" si="1"/>
        <v>2026</v>
      </c>
      <c r="R5">
        <f t="shared" si="1"/>
        <v>2026</v>
      </c>
      <c r="S5">
        <f t="shared" si="1"/>
        <v>2026</v>
      </c>
      <c r="T5">
        <f t="shared" si="1"/>
        <v>2026</v>
      </c>
      <c r="U5">
        <f t="shared" si="1"/>
        <v>2026</v>
      </c>
      <c r="V5">
        <f t="shared" si="1"/>
        <v>2026</v>
      </c>
      <c r="W5">
        <f t="shared" si="1"/>
        <v>2026</v>
      </c>
      <c r="X5">
        <f t="shared" si="1"/>
        <v>2026</v>
      </c>
      <c r="Y5">
        <f t="shared" si="1"/>
        <v>2027</v>
      </c>
      <c r="Z5">
        <f t="shared" si="1"/>
        <v>2027</v>
      </c>
      <c r="AA5">
        <f t="shared" si="1"/>
        <v>2027</v>
      </c>
      <c r="AB5">
        <f t="shared" si="1"/>
        <v>2027</v>
      </c>
    </row>
    <row r="6" spans="1:28" x14ac:dyDescent="0.35">
      <c r="A6"/>
      <c r="B6" t="str">
        <f>B3&amp;VLOOKUP(MONTH(B4),Control!$N$5:$O$16,2,FALSE)&amp;RIGHT(YEAR(B4),1)&amp;B3&amp;VLOOKUP(MONTH(C4),Control!$N$5:$O$16,2,FALSE)&amp;RIGHT(YEAR(C4),1)&amp;" Comdty"</f>
        <v>COG5COH5 Comdty</v>
      </c>
      <c r="C6" t="str">
        <f>C3&amp;VLOOKUP(MONTH(C4),Control!$N$5:$O$16,2,FALSE)&amp;RIGHT(YEAR(C4),1)&amp;C3&amp;VLOOKUP(MONTH(D4),Control!$N$5:$O$16,2,FALSE)&amp;RIGHT(YEAR(D4),1)&amp;" Comdty"</f>
        <v>COH5COJ5 Comdty</v>
      </c>
      <c r="D6" t="str">
        <f>D3&amp;VLOOKUP(MONTH(D4),Control!$N$5:$O$16,2,FALSE)&amp;RIGHT(YEAR(D4),1)&amp;D3&amp;VLOOKUP(MONTH(E4),Control!$N$5:$O$16,2,FALSE)&amp;RIGHT(YEAR(E4),1)&amp;" Comdty"</f>
        <v>COJ5COK5 Comdty</v>
      </c>
      <c r="E6" t="str">
        <f>E3&amp;VLOOKUP(MONTH(E4),Control!$N$5:$O$16,2,FALSE)&amp;RIGHT(YEAR(E4),1)&amp;E3&amp;VLOOKUP(MONTH(F4),Control!$N$5:$O$16,2,FALSE)&amp;RIGHT(YEAR(F4),1)&amp;" Comdty"</f>
        <v>COK5COM5 Comdty</v>
      </c>
      <c r="F6" t="str">
        <f>F3&amp;VLOOKUP(MONTH(F4),Control!$N$5:$O$16,2,FALSE)&amp;RIGHT(YEAR(F4),1)&amp;F3&amp;VLOOKUP(MONTH(G4),Control!$N$5:$O$16,2,FALSE)&amp;RIGHT(YEAR(G4),1)&amp;" Comdty"</f>
        <v>COM5CON5 Comdty</v>
      </c>
      <c r="G6" t="str">
        <f>G3&amp;VLOOKUP(MONTH(G4),Control!$N$5:$O$16,2,FALSE)&amp;RIGHT(YEAR(G4),1)&amp;G3&amp;VLOOKUP(MONTH(H4),Control!$N$5:$O$16,2,FALSE)&amp;RIGHT(YEAR(H4),1)&amp;" Comdty"</f>
        <v>CON5COQ5 Comdty</v>
      </c>
      <c r="H6" t="str">
        <f>H3&amp;VLOOKUP(MONTH(H4),Control!$N$5:$O$16,2,FALSE)&amp;RIGHT(YEAR(H4),1)&amp;H3&amp;VLOOKUP(MONTH(I4),Control!$N$5:$O$16,2,FALSE)&amp;RIGHT(YEAR(I4),1)&amp;" Comdty"</f>
        <v>COQ5COU5 Comdty</v>
      </c>
      <c r="I6" t="str">
        <f>I3&amp;VLOOKUP(MONTH(I4),Control!$N$5:$O$16,2,FALSE)&amp;RIGHT(YEAR(I4),1)&amp;I3&amp;VLOOKUP(MONTH(J4),Control!$N$5:$O$16,2,FALSE)&amp;RIGHT(YEAR(J4),1)&amp;" Comdty"</f>
        <v>COU5COV5 Comdty</v>
      </c>
      <c r="J6" t="str">
        <f>J3&amp;VLOOKUP(MONTH(J4),Control!$N$5:$O$16,2,FALSE)&amp;RIGHT(YEAR(J4),1)&amp;J3&amp;VLOOKUP(MONTH(K4),Control!$N$5:$O$16,2,FALSE)&amp;RIGHT(YEAR(K4),1)&amp;" Comdty"</f>
        <v>COV5COX5 Comdty</v>
      </c>
      <c r="K6" t="str">
        <f>K3&amp;VLOOKUP(MONTH(K4),Control!$N$5:$O$16,2,FALSE)&amp;RIGHT(YEAR(K4),1)&amp;K3&amp;VLOOKUP(MONTH(L4),Control!$N$5:$O$16,2,FALSE)&amp;RIGHT(YEAR(L4),1)&amp;" Comdty"</f>
        <v>COX5COZ5 Comdty</v>
      </c>
      <c r="L6" t="str">
        <f>L3&amp;VLOOKUP(MONTH(L4),Control!$N$5:$O$16,2,FALSE)&amp;RIGHT(YEAR(L4),1)&amp;L3&amp;VLOOKUP(MONTH(M4),Control!$N$5:$O$16,2,FALSE)&amp;RIGHT(YEAR(M4),1)&amp;" Comdty"</f>
        <v>COZ5COF6 Comdty</v>
      </c>
      <c r="M6" t="str">
        <f>M3&amp;VLOOKUP(MONTH(M4),Control!$N$5:$O$16,2,FALSE)&amp;RIGHT(YEAR(M4),1)&amp;M3&amp;VLOOKUP(MONTH(N4),Control!$N$5:$O$16,2,FALSE)&amp;RIGHT(YEAR(N4),1)&amp;" Comdty"</f>
        <v>COF6COG6 Comdty</v>
      </c>
      <c r="N6" t="str">
        <f>N3&amp;VLOOKUP(MONTH(N4),Control!$N$5:$O$16,2,FALSE)&amp;RIGHT(YEAR(N4),1)&amp;N3&amp;VLOOKUP(MONTH(O4),Control!$N$5:$O$16,2,FALSE)&amp;RIGHT(YEAR(O4),1)&amp;" Comdty"</f>
        <v>COG6COH6 Comdty</v>
      </c>
      <c r="O6" t="str">
        <f>O3&amp;VLOOKUP(MONTH(O4),Control!$N$5:$O$16,2,FALSE)&amp;RIGHT(YEAR(O4),1)&amp;O3&amp;VLOOKUP(MONTH(P4),Control!$N$5:$O$16,2,FALSE)&amp;RIGHT(YEAR(P4),1)&amp;" Comdty"</f>
        <v>COH6COJ6 Comdty</v>
      </c>
      <c r="P6" t="str">
        <f>P3&amp;VLOOKUP(MONTH(P4),Control!$N$5:$O$16,2,FALSE)&amp;RIGHT(YEAR(P4),1)&amp;P3&amp;VLOOKUP(MONTH(Q4),Control!$N$5:$O$16,2,FALSE)&amp;RIGHT(YEAR(Q4),1)&amp;" Comdty"</f>
        <v>COJ6COK6 Comdty</v>
      </c>
      <c r="Q6" t="str">
        <f>Q3&amp;VLOOKUP(MONTH(Q4),Control!$N$5:$O$16,2,FALSE)&amp;RIGHT(YEAR(Q4),1)&amp;Q3&amp;VLOOKUP(MONTH(R4),Control!$N$5:$O$16,2,FALSE)&amp;RIGHT(YEAR(R4),1)&amp;" Comdty"</f>
        <v>COK6COM6 Comdty</v>
      </c>
      <c r="R6" t="str">
        <f>R3&amp;VLOOKUP(MONTH(R4),Control!$N$5:$O$16,2,FALSE)&amp;RIGHT(YEAR(R4),1)&amp;R3&amp;VLOOKUP(MONTH(S4),Control!$N$5:$O$16,2,FALSE)&amp;RIGHT(YEAR(S4),1)&amp;" Comdty"</f>
        <v>COM6CON6 Comdty</v>
      </c>
      <c r="S6" t="str">
        <f>S3&amp;VLOOKUP(MONTH(S4),Control!$N$5:$O$16,2,FALSE)&amp;RIGHT(YEAR(S4),1)&amp;S3&amp;VLOOKUP(MONTH(T4),Control!$N$5:$O$16,2,FALSE)&amp;RIGHT(YEAR(T4),1)&amp;" Comdty"</f>
        <v>CON6COQ6 Comdty</v>
      </c>
      <c r="T6" t="str">
        <f>T3&amp;VLOOKUP(MONTH(T4),Control!$N$5:$O$16,2,FALSE)&amp;RIGHT(YEAR(T4),1)&amp;T3&amp;VLOOKUP(MONTH(U4),Control!$N$5:$O$16,2,FALSE)&amp;RIGHT(YEAR(U4),1)&amp;" Comdty"</f>
        <v>COQ6COU6 Comdty</v>
      </c>
      <c r="U6" t="str">
        <f>U3&amp;VLOOKUP(MONTH(U4),Control!$N$5:$O$16,2,FALSE)&amp;RIGHT(YEAR(U4),1)&amp;U3&amp;VLOOKUP(MONTH(V4),Control!$N$5:$O$16,2,FALSE)&amp;RIGHT(YEAR(V4),1)&amp;" Comdty"</f>
        <v>COU6COV6 Comdty</v>
      </c>
      <c r="V6" t="str">
        <f>V3&amp;VLOOKUP(MONTH(V4),Control!$N$5:$O$16,2,FALSE)&amp;RIGHT(YEAR(V4),1)&amp;V3&amp;VLOOKUP(MONTH(W4),Control!$N$5:$O$16,2,FALSE)&amp;RIGHT(YEAR(W4),1)&amp;" Comdty"</f>
        <v>COV6COX6 Comdty</v>
      </c>
      <c r="W6" t="str">
        <f>W3&amp;VLOOKUP(MONTH(W4),Control!$N$5:$O$16,2,FALSE)&amp;RIGHT(YEAR(W4),1)&amp;W3&amp;VLOOKUP(MONTH(X4),Control!$N$5:$O$16,2,FALSE)&amp;RIGHT(YEAR(X4),1)&amp;" Comdty"</f>
        <v>COX6COZ6 Comdty</v>
      </c>
      <c r="X6" t="str">
        <f>X3&amp;VLOOKUP(MONTH(X4),Control!$N$5:$O$16,2,FALSE)&amp;RIGHT(YEAR(X4),1)&amp;X3&amp;VLOOKUP(MONTH(Y4),Control!$N$5:$O$16,2,FALSE)&amp;RIGHT(YEAR(Y4),1)&amp;" Comdty"</f>
        <v>COZ6COF7 Comdty</v>
      </c>
      <c r="Y6" t="str">
        <f>Y3&amp;VLOOKUP(MONTH(Y4),Control!$N$5:$O$16,2,FALSE)&amp;RIGHT(YEAR(Y4),1)&amp;Y3&amp;VLOOKUP(MONTH(Z4),Control!$N$5:$O$16,2,FALSE)&amp;RIGHT(YEAR(Z4),1)&amp;" Comdty"</f>
        <v>COF7COG7 Comdty</v>
      </c>
      <c r="Z6" t="str">
        <f>Z3&amp;VLOOKUP(MONTH(Z4),Control!$N$5:$O$16,2,FALSE)&amp;RIGHT(YEAR(Z4),1)&amp;Z3&amp;VLOOKUP(MONTH(AA4),Control!$N$5:$O$16,2,FALSE)&amp;RIGHT(YEAR(AA4),1)&amp;" Comdty"</f>
        <v>COG7COH7 Comdty</v>
      </c>
      <c r="AA6" t="str">
        <f>AA3&amp;VLOOKUP(MONTH(AA4),Control!$N$5:$O$16,2,FALSE)&amp;RIGHT(YEAR(AA4),1)&amp;AA3&amp;VLOOKUP(MONTH(AB4),Control!$N$5:$O$16,2,FALSE)&amp;RIGHT(YEAR(AB4),1)&amp;" Comdty"</f>
        <v>COH7COJ7 Comdty</v>
      </c>
      <c r="AB6" t="str">
        <f>AB3&amp;VLOOKUP(MONTH(AB4),Control!$N$5:$O$16,2,FALSE)&amp;RIGHT(YEAR(AB4),1)&amp;AB3&amp;VLOOKUP(MONTH(AC4),Control!$N$5:$O$16,2,FALSE)&amp;RIGHT(YEAR(AC4),1)&amp;" Comdty"</f>
        <v>COJ7COF0 Comdty</v>
      </c>
    </row>
    <row r="7" spans="1:28" x14ac:dyDescent="0.35">
      <c r="A7"/>
      <c r="B7" t="str">
        <f>_xll.BFieldInfo(B$9)</f>
        <v>#N/A Requesting Data...</v>
      </c>
      <c r="C7" t="str">
        <f>_xll.BFieldInfo(C$9)</f>
        <v>#N/A Requesting Data...</v>
      </c>
      <c r="D7" t="str">
        <f>_xll.BFieldInfo(D$9)</f>
        <v>#N/A Requesting Data...</v>
      </c>
      <c r="E7" t="str">
        <f>_xll.BFieldInfo(E$9)</f>
        <v>#N/A Requesting Data...</v>
      </c>
      <c r="F7" t="str">
        <f>_xll.BFieldInfo(F$9)</f>
        <v>#N/A Requesting Data...</v>
      </c>
      <c r="G7" t="str">
        <f>_xll.BFieldInfo(G$9)</f>
        <v>#N/A Requesting Data...</v>
      </c>
      <c r="H7" t="str">
        <f>_xll.BFieldInfo(H$9)</f>
        <v>#N/A Requesting Data...</v>
      </c>
      <c r="I7" t="str">
        <f>_xll.BFieldInfo(I$9)</f>
        <v>#N/A Requesting Data...</v>
      </c>
      <c r="J7" t="str">
        <f>_xll.BFieldInfo(J$9)</f>
        <v>#N/A Requesting Data...</v>
      </c>
      <c r="K7" t="str">
        <f>_xll.BFieldInfo(K$9)</f>
        <v>#N/A Requesting Data...</v>
      </c>
      <c r="L7" t="str">
        <f>_xll.BFieldInfo(L$9)</f>
        <v>#N/A Requesting Data...</v>
      </c>
      <c r="M7" t="str">
        <f>_xll.BFieldInfo(M$9)</f>
        <v>#N/A Requesting Data...</v>
      </c>
      <c r="N7" t="str">
        <f>_xll.BFieldInfo(N$9)</f>
        <v>#N/A Requesting Data...</v>
      </c>
      <c r="O7" t="str">
        <f>_xll.BFieldInfo(O$9)</f>
        <v>#N/A Requesting Data...</v>
      </c>
      <c r="P7" t="str">
        <f>_xll.BFieldInfo(P$9)</f>
        <v>#N/A Requesting Data...</v>
      </c>
      <c r="Q7" t="str">
        <f>_xll.BFieldInfo(Q$9)</f>
        <v>#N/A Requesting Data...</v>
      </c>
      <c r="R7" t="str">
        <f>_xll.BFieldInfo(R$9)</f>
        <v>#N/A Requesting Data...</v>
      </c>
      <c r="S7" t="str">
        <f>_xll.BFieldInfo(S$9)</f>
        <v>#N/A Requesting Data...</v>
      </c>
      <c r="T7" t="str">
        <f>_xll.BFieldInfo(T$9)</f>
        <v>#N/A Requesting Data...</v>
      </c>
      <c r="U7" t="str">
        <f>_xll.BFieldInfo(U$9)</f>
        <v>#N/A Requesting Data...</v>
      </c>
      <c r="V7" t="str">
        <f>_xll.BFieldInfo(V$9)</f>
        <v>#N/A Requesting Data...</v>
      </c>
      <c r="W7" t="str">
        <f>_xll.BFieldInfo(W$9)</f>
        <v>#N/A Requesting Data...</v>
      </c>
      <c r="X7" t="str">
        <f>_xll.BFieldInfo(X$9)</f>
        <v>#N/A Requesting Data...</v>
      </c>
      <c r="Y7" t="str">
        <f>_xll.BFieldInfo(Y$9)</f>
        <v>#N/A Requesting Data...</v>
      </c>
      <c r="Z7" t="str">
        <f>_xll.BFieldInfo(Z$9)</f>
        <v>#N/A Requesting Data...</v>
      </c>
      <c r="AA7" t="str">
        <f>_xll.BFieldInfo(AA$9)</f>
        <v>#N/A Requesting Data...</v>
      </c>
      <c r="AB7" t="str">
        <f>_xll.BFieldInfo(AB$9)</f>
        <v>#N/A Requesting Data...</v>
      </c>
    </row>
    <row r="8" spans="1:28" x14ac:dyDescent="0.35">
      <c r="A8"/>
      <c r="B8" t="str">
        <f t="shared" ref="B8:AB8" si="2">IF(B4=C4,TEXT(B4,"MMM YY"),TEXT(B4,"MMM")&amp;"/"&amp;TEXT(C4,"MMM")&amp;" "&amp;RIGHT(B5,2))</f>
        <v>Feb/Mar 25</v>
      </c>
      <c r="C8" t="str">
        <f t="shared" si="2"/>
        <v>Mar/Apr 25</v>
      </c>
      <c r="D8" t="str">
        <f t="shared" si="2"/>
        <v>Apr/May 25</v>
      </c>
      <c r="E8" t="str">
        <f t="shared" si="2"/>
        <v>May/Jun 25</v>
      </c>
      <c r="F8" t="str">
        <f t="shared" si="2"/>
        <v>Jun/Jul 25</v>
      </c>
      <c r="G8" t="str">
        <f t="shared" si="2"/>
        <v>Jul/Aug 25</v>
      </c>
      <c r="H8" t="str">
        <f t="shared" si="2"/>
        <v>Aug/Sep 25</v>
      </c>
      <c r="I8" t="str">
        <f t="shared" si="2"/>
        <v>Sep/Oct 25</v>
      </c>
      <c r="J8" t="str">
        <f t="shared" si="2"/>
        <v>Oct/Nov 25</v>
      </c>
      <c r="K8" t="str">
        <f t="shared" si="2"/>
        <v>Nov/Dec 25</v>
      </c>
      <c r="L8" t="str">
        <f t="shared" si="2"/>
        <v>Dec/Jan 25</v>
      </c>
      <c r="M8" t="str">
        <f t="shared" si="2"/>
        <v>Jan/Feb 26</v>
      </c>
      <c r="N8" t="str">
        <f t="shared" si="2"/>
        <v>Feb/Mar 26</v>
      </c>
      <c r="O8" t="str">
        <f t="shared" si="2"/>
        <v>Mar/Apr 26</v>
      </c>
      <c r="P8" t="str">
        <f t="shared" si="2"/>
        <v>Apr/May 26</v>
      </c>
      <c r="Q8" t="str">
        <f t="shared" si="2"/>
        <v>May/Jun 26</v>
      </c>
      <c r="R8" t="str">
        <f t="shared" si="2"/>
        <v>Jun/Jul 26</v>
      </c>
      <c r="S8" t="str">
        <f t="shared" si="2"/>
        <v>Jul/Aug 26</v>
      </c>
      <c r="T8" t="str">
        <f t="shared" si="2"/>
        <v>Aug/Sep 26</v>
      </c>
      <c r="U8" t="str">
        <f t="shared" si="2"/>
        <v>Sep/Oct 26</v>
      </c>
      <c r="V8" t="str">
        <f t="shared" si="2"/>
        <v>Oct/Nov 26</v>
      </c>
      <c r="W8" t="str">
        <f t="shared" si="2"/>
        <v>Nov/Dec 26</v>
      </c>
      <c r="X8" t="str">
        <f t="shared" si="2"/>
        <v>Dec/Jan 26</v>
      </c>
      <c r="Y8" t="str">
        <f t="shared" si="2"/>
        <v>Jan/Feb 27</v>
      </c>
      <c r="Z8" t="str">
        <f t="shared" si="2"/>
        <v>Feb/Mar 27</v>
      </c>
      <c r="AA8" t="str">
        <f t="shared" si="2"/>
        <v>Mar/Apr 27</v>
      </c>
      <c r="AB8" t="str">
        <f t="shared" si="2"/>
        <v>Apr/Jan 27</v>
      </c>
    </row>
    <row r="9" spans="1:28" x14ac:dyDescent="0.35">
      <c r="A9" t="s">
        <v>2149</v>
      </c>
      <c r="B9" t="str">
        <f>'PnL26'!S1</f>
        <v>PX_SETTLE</v>
      </c>
      <c r="C9" t="str">
        <f t="shared" ref="C9:AB9" si="3">B9</f>
        <v>PX_SETTLE</v>
      </c>
      <c r="D9" t="str">
        <f t="shared" si="3"/>
        <v>PX_SETTLE</v>
      </c>
      <c r="E9" t="str">
        <f t="shared" si="3"/>
        <v>PX_SETTLE</v>
      </c>
      <c r="F9" t="str">
        <f t="shared" si="3"/>
        <v>PX_SETTLE</v>
      </c>
      <c r="G9" t="str">
        <f t="shared" si="3"/>
        <v>PX_SETTLE</v>
      </c>
      <c r="H9" t="str">
        <f t="shared" si="3"/>
        <v>PX_SETTLE</v>
      </c>
      <c r="I9" t="str">
        <f t="shared" si="3"/>
        <v>PX_SETTLE</v>
      </c>
      <c r="J9" t="str">
        <f t="shared" si="3"/>
        <v>PX_SETTLE</v>
      </c>
      <c r="K9" t="str">
        <f t="shared" si="3"/>
        <v>PX_SETTLE</v>
      </c>
      <c r="L9" t="str">
        <f t="shared" si="3"/>
        <v>PX_SETTLE</v>
      </c>
      <c r="M9" t="str">
        <f t="shared" si="3"/>
        <v>PX_SETTLE</v>
      </c>
      <c r="N9" t="str">
        <f t="shared" si="3"/>
        <v>PX_SETTLE</v>
      </c>
      <c r="O9" t="str">
        <f t="shared" si="3"/>
        <v>PX_SETTLE</v>
      </c>
      <c r="P9" t="str">
        <f t="shared" si="3"/>
        <v>PX_SETTLE</v>
      </c>
      <c r="Q9" t="str">
        <f t="shared" si="3"/>
        <v>PX_SETTLE</v>
      </c>
      <c r="R9" t="str">
        <f t="shared" si="3"/>
        <v>PX_SETTLE</v>
      </c>
      <c r="S9" t="str">
        <f t="shared" si="3"/>
        <v>PX_SETTLE</v>
      </c>
      <c r="T9" t="str">
        <f t="shared" si="3"/>
        <v>PX_SETTLE</v>
      </c>
      <c r="U9" t="str">
        <f t="shared" si="3"/>
        <v>PX_SETTLE</v>
      </c>
      <c r="V9" t="str">
        <f t="shared" si="3"/>
        <v>PX_SETTLE</v>
      </c>
      <c r="W9" t="str">
        <f t="shared" si="3"/>
        <v>PX_SETTLE</v>
      </c>
      <c r="X9" t="str">
        <f t="shared" si="3"/>
        <v>PX_SETTLE</v>
      </c>
      <c r="Y9" t="str">
        <f t="shared" si="3"/>
        <v>PX_SETTLE</v>
      </c>
      <c r="Z9" t="str">
        <f t="shared" si="3"/>
        <v>PX_SETTLE</v>
      </c>
      <c r="AA9" t="str">
        <f t="shared" si="3"/>
        <v>PX_SETTLE</v>
      </c>
      <c r="AB9" t="str">
        <f t="shared" si="3"/>
        <v>PX_SETTLE</v>
      </c>
    </row>
    <row r="10" spans="1:28" x14ac:dyDescent="0.35">
      <c r="A10" s="16">
        <f>'WTI Sprds'!A10</f>
        <v>46254</v>
      </c>
      <c r="B10" cm="1">
        <f t="array" ref="B10:B39">_xll.BDH(B$6,B$9,$B1,$B2,"Dir=V","CDR=5D","Days=A","Dts=H")</f>
        <v>0.4</v>
      </c>
      <c r="C10" cm="1">
        <f t="array" ref="C10:C39">_xll.BDH(C$6,C$9,$B1,$B2,"Dir=V","CDR=5D","Days=A","Dts=H")</f>
        <v>1.0900000000000001</v>
      </c>
      <c r="D10" cm="1">
        <f t="array" ref="D10:D39">_xll.BDH(D$6,D$9,$B1,$B2,"Dir=V","CDR=5D","Days=A","Dts=H")</f>
        <v>0.37</v>
      </c>
      <c r="E10" cm="1">
        <f t="array" ref="E10:E39">_xll.BDH(E$6,E$9,$B1,$B2,"Dir=V","CDR=5D","Days=A","Dts=H")</f>
        <v>-0.03</v>
      </c>
      <c r="F10" cm="1">
        <f t="array" ref="F10:F39">_xll.BDH(F$6,F$9,$B1,$B2,"Dir=V","CDR=5D","Days=A","Dts=H")</f>
        <v>2.06</v>
      </c>
      <c r="G10" cm="1">
        <f t="array" ref="G10:G39">_xll.BDH(G$6,G$9,$B1,$B2,"Dir=V","CDR=5D","Days=A","Dts=H")</f>
        <v>1.1200000000000001</v>
      </c>
      <c r="H10" cm="1">
        <f t="array" ref="H10:H39">_xll.BDH(H$6,H$9,$B1,$B2,"Dir=V","CDR=5D","Days=A","Dts=H")</f>
        <v>0.87</v>
      </c>
      <c r="I10" cm="1">
        <f t="array" ref="I10:I39">_xll.BDH(I$6,I$9,$B1,$B2,"Dir=V","CDR=5D","Days=A","Dts=H")</f>
        <v>0.83</v>
      </c>
      <c r="J10" cm="1">
        <f t="array" ref="J10:J39">_xll.BDH(J$6,J$9,$B1,$B2,"Dir=V","CDR=5D","Days=A","Dts=H")</f>
        <v>0.64</v>
      </c>
      <c r="K10" cm="1">
        <f t="array" ref="K10:K39">_xll.BDH(K$6,K$9,$B1,$B2,"Dir=V","CDR=5D","Days=A","Dts=H")</f>
        <v>0.99</v>
      </c>
      <c r="L10" cm="1">
        <f t="array" ref="L10:L39">_xll.BDH(L$6,L$9,$B1,$B2,"Dir=V","CDR=5D","Days=A","Dts=H")</f>
        <v>0.3</v>
      </c>
      <c r="M10" cm="1">
        <f t="array" ref="M10:M39">_xll.BDH(M$6,M$9,$B1,$B2,"Dir=V","CDR=5D","Days=A","Dts=H")</f>
        <v>0.82</v>
      </c>
      <c r="N10" cm="1">
        <f t="array" ref="N10:N39">_xll.BDH(N$6,N$9,$B1,$B2,"Dir=V","CDR=5D","Days=A","Dts=H")</f>
        <v>0.59</v>
      </c>
      <c r="O10" cm="1">
        <f t="array" ref="O10:O39">_xll.BDH(O$6,O$9,$B1,$B2,"Dir=V","CDR=5D","Days=A","Dts=H")</f>
        <v>1.37</v>
      </c>
      <c r="P10" cm="1">
        <f t="array" ref="P10:P39">_xll.BDH(P$6,P$9,$B1,$B2,"Dir=V","CDR=5D","Days=A","Dts=H")</f>
        <v>-0.39</v>
      </c>
      <c r="Q10" cm="1">
        <f t="array" ref="Q10:Q39">_xll.BDH(Q$6,Q$9,$B1,$B2,"Dir=V","CDR=5D","Days=A","Dts=H")</f>
        <v>14.38</v>
      </c>
      <c r="R10" cm="1">
        <f t="array" ref="R10:R39">_xll.BDH(R$6,R$9,$B1,$B2,"Dir=V","CDR=5D","Days=A","Dts=H")</f>
        <v>3.61</v>
      </c>
      <c r="S10" cm="1">
        <f t="array" ref="S10:S39">_xll.BDH(S$6,S$9,$B1,$B2,"Dir=V","CDR=5D","Days=A","Dts=H")</f>
        <v>0.93</v>
      </c>
      <c r="T10" cm="1">
        <f t="array" ref="T10:T39">_xll.BDH(T$6,T$9,$B1,$B2,"Dir=V","CDR=5D","Days=A","Dts=H")</f>
        <v>-0.03</v>
      </c>
      <c r="U10" cm="1">
        <f t="array" ref="U10:U39">_xll.BDH(U$6,U$9,$B1,$B2,"Dir=V","CDR=5D","Days=A","Dts=H")</f>
        <v>2.19</v>
      </c>
      <c r="V10" cm="1">
        <f t="array" ref="V10:V39">_xll.BDH(V$6,V$9,$B1,$B2,"Dir=V","CDR=5D","Days=A","Dts=H")</f>
        <v>1.81</v>
      </c>
      <c r="W10" cm="1">
        <f t="array" ref="W10:W39">_xll.BDH(W$6,W$9,$B1,$B2,"Dir=V","CDR=5D","Days=A","Dts=H")</f>
        <v>2.71</v>
      </c>
      <c r="X10" cm="1">
        <f t="array" ref="X10:X39">_xll.BDH(X$6,X$9,$B1,$B2,"Dir=V","CDR=5D","Days=A","Dts=H")</f>
        <v>2.2599999999999998</v>
      </c>
      <c r="Y10" cm="1">
        <f t="array" ref="Y10:Y39">_xll.BDH(Y$6,Y$9,$B1,$B2,"Dir=V","CDR=5D","Days=A","Dts=H")</f>
        <v>1.81</v>
      </c>
      <c r="Z10" cm="1">
        <f t="array" ref="Z10:Z39">_xll.BDH(Z$6,Z$9,$B1,$B2,"Dir=V","CDR=5D","Days=A","Dts=H")</f>
        <v>1.46</v>
      </c>
      <c r="AA10" cm="1">
        <f t="array" ref="AA10:AA39">_xll.BDH(AA$6,AA$9,$B1,$B2,"Dir=V","CDR=5D","Days=A","Dts=H")</f>
        <v>1.21</v>
      </c>
      <c r="AB10" t="str" cm="1">
        <f t="array" ref="AB10">_xll.BDH(AB$6,AB$9,$B1,$B2,"Dir=V","CDR=5D","Days=A","Dts=H")</f>
        <v>#N/A Invalid Security</v>
      </c>
    </row>
    <row r="11" spans="1:28" x14ac:dyDescent="0.35">
      <c r="A11" s="16">
        <f>'WTI Sprds'!A11</f>
        <v>46255</v>
      </c>
      <c r="B11">
        <v>0.4</v>
      </c>
      <c r="C11" s="17">
        <v>1.0900000000000001</v>
      </c>
      <c r="D11">
        <v>0.37</v>
      </c>
      <c r="E11">
        <v>-0.03</v>
      </c>
      <c r="F11">
        <v>2.06</v>
      </c>
      <c r="G11">
        <v>1.1200000000000001</v>
      </c>
      <c r="H11">
        <v>0.87</v>
      </c>
      <c r="I11">
        <v>0.83</v>
      </c>
      <c r="J11">
        <v>0.64</v>
      </c>
      <c r="K11">
        <v>0.99</v>
      </c>
      <c r="L11">
        <v>0.3</v>
      </c>
      <c r="M11">
        <v>0.82</v>
      </c>
      <c r="N11">
        <v>0.59</v>
      </c>
      <c r="O11">
        <v>1.37</v>
      </c>
      <c r="P11">
        <v>-0.39</v>
      </c>
      <c r="Q11">
        <v>14.38</v>
      </c>
      <c r="R11">
        <v>3.61</v>
      </c>
      <c r="S11">
        <v>0.93</v>
      </c>
      <c r="T11">
        <v>-0.03</v>
      </c>
      <c r="U11">
        <v>2.19</v>
      </c>
      <c r="V11">
        <v>1.72</v>
      </c>
      <c r="W11">
        <v>2.68</v>
      </c>
      <c r="X11">
        <v>2.3199999999999998</v>
      </c>
      <c r="Y11">
        <v>1.87</v>
      </c>
      <c r="Z11">
        <v>1.51</v>
      </c>
      <c r="AA11">
        <v>1.25</v>
      </c>
    </row>
    <row r="12" spans="1:28" x14ac:dyDescent="0.35">
      <c r="A12" s="16">
        <f>'WTI Sprds'!A12</f>
        <v>46258</v>
      </c>
      <c r="B12">
        <v>0.4</v>
      </c>
      <c r="C12" s="17">
        <v>1.0900000000000001</v>
      </c>
      <c r="D12">
        <v>0.37</v>
      </c>
      <c r="E12">
        <v>-0.03</v>
      </c>
      <c r="F12">
        <v>2.06</v>
      </c>
      <c r="G12">
        <v>1.1200000000000001</v>
      </c>
      <c r="H12">
        <v>0.87</v>
      </c>
      <c r="I12">
        <v>0.83</v>
      </c>
      <c r="J12">
        <v>0.64</v>
      </c>
      <c r="K12">
        <v>0.99</v>
      </c>
      <c r="L12">
        <v>0.3</v>
      </c>
      <c r="M12">
        <v>0.82</v>
      </c>
      <c r="N12">
        <v>0.59</v>
      </c>
      <c r="O12">
        <v>1.37</v>
      </c>
      <c r="P12">
        <v>-0.39</v>
      </c>
      <c r="Q12">
        <v>14.38</v>
      </c>
      <c r="R12">
        <v>3.61</v>
      </c>
      <c r="S12">
        <v>0.93</v>
      </c>
      <c r="T12">
        <v>-0.03</v>
      </c>
      <c r="U12">
        <v>2.19</v>
      </c>
      <c r="V12">
        <v>1.63</v>
      </c>
      <c r="W12">
        <v>2.44</v>
      </c>
      <c r="X12">
        <v>2.14</v>
      </c>
      <c r="Y12">
        <v>1.7</v>
      </c>
      <c r="Z12">
        <v>1.36</v>
      </c>
      <c r="AA12">
        <v>1.1299999999999999</v>
      </c>
    </row>
    <row r="13" spans="1:28" x14ac:dyDescent="0.35">
      <c r="A13" s="16">
        <f>'WTI Sprds'!A13</f>
        <v>46259</v>
      </c>
      <c r="B13">
        <v>0.4</v>
      </c>
      <c r="C13" s="17">
        <v>1.0900000000000001</v>
      </c>
      <c r="D13">
        <v>0.37</v>
      </c>
      <c r="E13">
        <v>-0.03</v>
      </c>
      <c r="F13">
        <v>2.06</v>
      </c>
      <c r="G13">
        <v>1.1200000000000001</v>
      </c>
      <c r="H13">
        <v>0.87</v>
      </c>
      <c r="I13">
        <v>0.83</v>
      </c>
      <c r="J13">
        <v>0.64</v>
      </c>
      <c r="K13">
        <v>0.99</v>
      </c>
      <c r="L13">
        <v>0.3</v>
      </c>
      <c r="M13">
        <v>0.82</v>
      </c>
      <c r="N13">
        <v>0.59</v>
      </c>
      <c r="O13">
        <v>1.37</v>
      </c>
      <c r="P13">
        <v>-0.39</v>
      </c>
      <c r="Q13">
        <v>14.38</v>
      </c>
      <c r="R13">
        <v>3.61</v>
      </c>
      <c r="S13">
        <v>0.93</v>
      </c>
      <c r="T13">
        <v>-0.03</v>
      </c>
      <c r="U13">
        <v>2.19</v>
      </c>
      <c r="V13">
        <v>1.31</v>
      </c>
      <c r="W13">
        <v>2.0499999999999998</v>
      </c>
      <c r="X13">
        <v>1.77</v>
      </c>
      <c r="Y13">
        <v>1.4</v>
      </c>
      <c r="Z13">
        <v>1.1100000000000001</v>
      </c>
      <c r="AA13">
        <v>0.93</v>
      </c>
    </row>
    <row r="14" spans="1:28" x14ac:dyDescent="0.35">
      <c r="A14" s="16">
        <f>'WTI Sprds'!A14</f>
        <v>46260</v>
      </c>
      <c r="B14">
        <v>0.4</v>
      </c>
      <c r="C14" s="17">
        <v>1.0900000000000001</v>
      </c>
      <c r="D14">
        <v>0.37</v>
      </c>
      <c r="E14">
        <v>-0.03</v>
      </c>
      <c r="F14">
        <v>2.06</v>
      </c>
      <c r="G14">
        <v>1.1200000000000001</v>
      </c>
      <c r="H14">
        <v>0.87</v>
      </c>
      <c r="I14">
        <v>0.83</v>
      </c>
      <c r="J14">
        <v>0.64</v>
      </c>
      <c r="K14">
        <v>0.99</v>
      </c>
      <c r="L14">
        <v>0.3</v>
      </c>
      <c r="M14">
        <v>0.82</v>
      </c>
      <c r="N14">
        <v>0.59</v>
      </c>
      <c r="O14">
        <v>1.37</v>
      </c>
      <c r="P14">
        <v>-0.39</v>
      </c>
      <c r="Q14">
        <v>14.38</v>
      </c>
      <c r="R14">
        <v>3.61</v>
      </c>
      <c r="S14">
        <v>0.93</v>
      </c>
      <c r="T14">
        <v>-0.03</v>
      </c>
      <c r="U14">
        <v>2.19</v>
      </c>
      <c r="V14">
        <v>0.9</v>
      </c>
      <c r="W14">
        <v>1.85</v>
      </c>
      <c r="X14">
        <v>1.71</v>
      </c>
      <c r="Y14">
        <v>1.41</v>
      </c>
      <c r="Z14">
        <v>1.1499999999999999</v>
      </c>
      <c r="AA14">
        <v>0.96</v>
      </c>
    </row>
    <row r="15" spans="1:28" x14ac:dyDescent="0.35">
      <c r="A15" s="16">
        <f>'WTI Sprds'!A15</f>
        <v>46261</v>
      </c>
      <c r="B15">
        <v>0.4</v>
      </c>
      <c r="C15" s="17">
        <v>1.0900000000000001</v>
      </c>
      <c r="D15">
        <v>0.37</v>
      </c>
      <c r="E15">
        <v>-0.03</v>
      </c>
      <c r="F15">
        <v>2.06</v>
      </c>
      <c r="G15">
        <v>1.1200000000000001</v>
      </c>
      <c r="H15">
        <v>0.87</v>
      </c>
      <c r="I15">
        <v>0.83</v>
      </c>
      <c r="J15">
        <v>0.64</v>
      </c>
      <c r="K15">
        <v>0.99</v>
      </c>
      <c r="L15">
        <v>0.3</v>
      </c>
      <c r="M15">
        <v>0.82</v>
      </c>
      <c r="N15">
        <v>0.59</v>
      </c>
      <c r="O15">
        <v>1.37</v>
      </c>
      <c r="P15">
        <v>-0.39</v>
      </c>
      <c r="Q15">
        <v>14.38</v>
      </c>
      <c r="R15">
        <v>3.61</v>
      </c>
      <c r="S15">
        <v>0.93</v>
      </c>
      <c r="T15">
        <v>-0.03</v>
      </c>
      <c r="U15">
        <v>2.19</v>
      </c>
      <c r="V15">
        <v>1.18</v>
      </c>
      <c r="W15">
        <v>2.1800000000000002</v>
      </c>
      <c r="X15">
        <v>2.11</v>
      </c>
      <c r="Y15">
        <v>1.69</v>
      </c>
      <c r="Z15">
        <v>1.33</v>
      </c>
      <c r="AA15">
        <v>1.08</v>
      </c>
    </row>
    <row r="16" spans="1:28" x14ac:dyDescent="0.35">
      <c r="A16" s="16">
        <f>'WTI Sprds'!A16</f>
        <v>46262</v>
      </c>
      <c r="B16">
        <v>0.4</v>
      </c>
      <c r="C16" s="17">
        <v>1.0900000000000001</v>
      </c>
      <c r="D16">
        <v>0.37</v>
      </c>
      <c r="E16">
        <v>-0.03</v>
      </c>
      <c r="F16">
        <v>2.06</v>
      </c>
      <c r="G16">
        <v>1.1200000000000001</v>
      </c>
      <c r="H16">
        <v>0.87</v>
      </c>
      <c r="I16">
        <v>0.83</v>
      </c>
      <c r="J16">
        <v>0.64</v>
      </c>
      <c r="K16">
        <v>0.99</v>
      </c>
      <c r="L16">
        <v>0.3</v>
      </c>
      <c r="M16">
        <v>0.82</v>
      </c>
      <c r="N16">
        <v>0.59</v>
      </c>
      <c r="O16">
        <v>1.37</v>
      </c>
      <c r="P16">
        <v>-0.39</v>
      </c>
      <c r="Q16">
        <v>14.38</v>
      </c>
      <c r="R16">
        <v>3.61</v>
      </c>
      <c r="S16">
        <v>0.93</v>
      </c>
      <c r="T16">
        <v>-0.03</v>
      </c>
      <c r="U16">
        <v>2.19</v>
      </c>
      <c r="V16">
        <v>1.21</v>
      </c>
      <c r="W16">
        <v>1.98</v>
      </c>
      <c r="X16">
        <v>1.96</v>
      </c>
      <c r="Y16">
        <v>1.64</v>
      </c>
      <c r="Z16">
        <v>1.29</v>
      </c>
      <c r="AA16">
        <v>1.05</v>
      </c>
    </row>
    <row r="17" spans="1:27" x14ac:dyDescent="0.35">
      <c r="A17" s="16">
        <f>'WTI Sprds'!A17</f>
        <v>46265</v>
      </c>
      <c r="B17">
        <v>0.4</v>
      </c>
      <c r="C17" s="17">
        <v>1.0900000000000001</v>
      </c>
      <c r="D17">
        <v>0.37</v>
      </c>
      <c r="E17">
        <v>-0.03</v>
      </c>
      <c r="F17">
        <v>2.06</v>
      </c>
      <c r="G17">
        <v>1.1200000000000001</v>
      </c>
      <c r="H17">
        <v>0.87</v>
      </c>
      <c r="I17">
        <v>0.83</v>
      </c>
      <c r="J17">
        <v>0.64</v>
      </c>
      <c r="K17">
        <v>0.99</v>
      </c>
      <c r="L17">
        <v>0.3</v>
      </c>
      <c r="M17">
        <v>0.82</v>
      </c>
      <c r="N17">
        <v>0.59</v>
      </c>
      <c r="O17">
        <v>1.37</v>
      </c>
      <c r="P17">
        <v>-0.39</v>
      </c>
      <c r="Q17">
        <v>14.38</v>
      </c>
      <c r="R17">
        <v>3.61</v>
      </c>
      <c r="S17">
        <v>0.93</v>
      </c>
      <c r="T17">
        <v>-0.03</v>
      </c>
      <c r="U17">
        <v>2.19</v>
      </c>
      <c r="V17">
        <v>1.21</v>
      </c>
      <c r="W17">
        <v>2.12</v>
      </c>
      <c r="X17">
        <v>2.2200000000000002</v>
      </c>
      <c r="Y17">
        <v>1.93</v>
      </c>
      <c r="Z17">
        <v>1.53</v>
      </c>
      <c r="AA17">
        <v>1.23</v>
      </c>
    </row>
    <row r="18" spans="1:27" x14ac:dyDescent="0.35">
      <c r="B18">
        <v>0.4</v>
      </c>
      <c r="C18" s="17">
        <v>1.0900000000000001</v>
      </c>
      <c r="D18">
        <v>0.37</v>
      </c>
      <c r="E18">
        <v>-0.03</v>
      </c>
      <c r="F18">
        <v>2.06</v>
      </c>
      <c r="G18">
        <v>1.1200000000000001</v>
      </c>
      <c r="H18">
        <v>0.87</v>
      </c>
      <c r="I18">
        <v>0.83</v>
      </c>
      <c r="J18">
        <v>0.64</v>
      </c>
      <c r="K18">
        <v>0.99</v>
      </c>
      <c r="L18">
        <v>0.3</v>
      </c>
      <c r="M18">
        <v>0.82</v>
      </c>
      <c r="N18">
        <v>0.59</v>
      </c>
      <c r="O18">
        <v>1.37</v>
      </c>
      <c r="P18">
        <v>-0.39</v>
      </c>
      <c r="Q18">
        <v>14.38</v>
      </c>
      <c r="R18">
        <v>3.61</v>
      </c>
      <c r="S18">
        <v>0.93</v>
      </c>
      <c r="T18">
        <v>-0.03</v>
      </c>
      <c r="U18">
        <v>2.19</v>
      </c>
      <c r="V18">
        <v>1.21</v>
      </c>
      <c r="W18">
        <v>3.08</v>
      </c>
      <c r="X18">
        <v>2.9</v>
      </c>
      <c r="Y18">
        <v>2.42</v>
      </c>
      <c r="Z18">
        <v>1.88</v>
      </c>
      <c r="AA18">
        <v>1.5</v>
      </c>
    </row>
    <row r="19" spans="1:27" x14ac:dyDescent="0.35">
      <c r="B19">
        <v>0.4</v>
      </c>
      <c r="C19" s="17">
        <v>1.0900000000000001</v>
      </c>
      <c r="D19">
        <v>0.37</v>
      </c>
      <c r="E19">
        <v>-0.03</v>
      </c>
      <c r="F19">
        <v>2.06</v>
      </c>
      <c r="G19">
        <v>1.1200000000000001</v>
      </c>
      <c r="H19">
        <v>0.87</v>
      </c>
      <c r="I19">
        <v>0.83</v>
      </c>
      <c r="J19">
        <v>0.64</v>
      </c>
      <c r="K19">
        <v>0.99</v>
      </c>
      <c r="L19">
        <v>0.3</v>
      </c>
      <c r="M19">
        <v>0.82</v>
      </c>
      <c r="N19">
        <v>0.59</v>
      </c>
      <c r="O19">
        <v>1.37</v>
      </c>
      <c r="P19">
        <v>-0.39</v>
      </c>
      <c r="Q19">
        <v>14.38</v>
      </c>
      <c r="R19">
        <v>3.61</v>
      </c>
      <c r="S19">
        <v>0.93</v>
      </c>
      <c r="T19">
        <v>-0.03</v>
      </c>
      <c r="U19">
        <v>2.19</v>
      </c>
      <c r="V19">
        <v>1.21</v>
      </c>
      <c r="W19">
        <v>3.54</v>
      </c>
      <c r="X19">
        <v>3.11</v>
      </c>
      <c r="Y19">
        <v>2.59</v>
      </c>
      <c r="Z19">
        <v>2.0299999999999998</v>
      </c>
      <c r="AA19">
        <v>1.63</v>
      </c>
    </row>
    <row r="20" spans="1:27" x14ac:dyDescent="0.35">
      <c r="B20">
        <v>0.4</v>
      </c>
      <c r="C20" s="17">
        <v>1.0900000000000001</v>
      </c>
      <c r="D20">
        <v>0.37</v>
      </c>
      <c r="E20">
        <v>-0.03</v>
      </c>
      <c r="F20">
        <v>2.06</v>
      </c>
      <c r="G20">
        <v>1.1200000000000001</v>
      </c>
      <c r="H20">
        <v>0.87</v>
      </c>
      <c r="I20">
        <v>0.83</v>
      </c>
      <c r="J20">
        <v>0.64</v>
      </c>
      <c r="K20">
        <v>0.99</v>
      </c>
      <c r="L20">
        <v>0.3</v>
      </c>
      <c r="M20">
        <v>0.82</v>
      </c>
      <c r="N20">
        <v>0.59</v>
      </c>
      <c r="O20">
        <v>1.37</v>
      </c>
      <c r="P20">
        <v>-0.39</v>
      </c>
      <c r="Q20">
        <v>14.38</v>
      </c>
      <c r="R20">
        <v>3.61</v>
      </c>
      <c r="S20">
        <v>0.93</v>
      </c>
      <c r="T20">
        <v>-0.03</v>
      </c>
      <c r="U20">
        <v>2.19</v>
      </c>
      <c r="V20">
        <v>1.21</v>
      </c>
      <c r="W20">
        <v>3.89</v>
      </c>
      <c r="X20">
        <v>3.31</v>
      </c>
      <c r="Y20">
        <v>2.64</v>
      </c>
      <c r="Z20">
        <v>2.06</v>
      </c>
      <c r="AA20">
        <v>1.66</v>
      </c>
    </row>
    <row r="21" spans="1:27" x14ac:dyDescent="0.35">
      <c r="B21">
        <v>0.4</v>
      </c>
      <c r="C21" s="17">
        <v>1.0900000000000001</v>
      </c>
      <c r="D21">
        <v>0.37</v>
      </c>
      <c r="E21">
        <v>-0.03</v>
      </c>
      <c r="F21">
        <v>2.06</v>
      </c>
      <c r="G21">
        <v>1.1200000000000001</v>
      </c>
      <c r="H21">
        <v>0.87</v>
      </c>
      <c r="I21">
        <v>0.83</v>
      </c>
      <c r="J21">
        <v>0.64</v>
      </c>
      <c r="K21">
        <v>0.99</v>
      </c>
      <c r="L21">
        <v>0.3</v>
      </c>
      <c r="M21">
        <v>0.82</v>
      </c>
      <c r="N21">
        <v>0.59</v>
      </c>
      <c r="O21">
        <v>1.37</v>
      </c>
      <c r="P21">
        <v>-0.39</v>
      </c>
      <c r="Q21">
        <v>14.38</v>
      </c>
      <c r="R21">
        <v>3.61</v>
      </c>
      <c r="S21">
        <v>0.93</v>
      </c>
      <c r="T21">
        <v>-0.03</v>
      </c>
      <c r="U21">
        <v>2.19</v>
      </c>
      <c r="V21">
        <v>1.21</v>
      </c>
      <c r="W21">
        <v>3.96</v>
      </c>
      <c r="X21">
        <v>3.17</v>
      </c>
      <c r="Y21">
        <v>2.5</v>
      </c>
      <c r="Z21">
        <v>1.98</v>
      </c>
      <c r="AA21">
        <v>1.63</v>
      </c>
    </row>
    <row r="22" spans="1:27" x14ac:dyDescent="0.35">
      <c r="B22">
        <v>0.4</v>
      </c>
      <c r="C22" s="17">
        <v>1.0900000000000001</v>
      </c>
      <c r="D22">
        <v>0.37</v>
      </c>
      <c r="E22">
        <v>-0.03</v>
      </c>
      <c r="F22">
        <v>2.06</v>
      </c>
      <c r="G22">
        <v>1.1200000000000001</v>
      </c>
      <c r="H22">
        <v>0.87</v>
      </c>
      <c r="I22">
        <v>0.83</v>
      </c>
      <c r="J22">
        <v>0.64</v>
      </c>
      <c r="K22">
        <v>0.99</v>
      </c>
      <c r="L22">
        <v>0.3</v>
      </c>
      <c r="M22">
        <v>0.82</v>
      </c>
      <c r="N22">
        <v>0.59</v>
      </c>
      <c r="O22">
        <v>1.37</v>
      </c>
      <c r="P22">
        <v>-0.39</v>
      </c>
      <c r="Q22">
        <v>14.38</v>
      </c>
      <c r="R22">
        <v>3.61</v>
      </c>
      <c r="S22">
        <v>0.93</v>
      </c>
      <c r="T22">
        <v>-0.03</v>
      </c>
      <c r="U22">
        <v>2.19</v>
      </c>
      <c r="V22">
        <v>1.21</v>
      </c>
      <c r="W22">
        <v>3.84</v>
      </c>
      <c r="X22">
        <v>3.22</v>
      </c>
      <c r="Y22">
        <v>2.6</v>
      </c>
      <c r="Z22">
        <v>2.1</v>
      </c>
      <c r="AA22">
        <v>1.73</v>
      </c>
    </row>
    <row r="23" spans="1:27" x14ac:dyDescent="0.35">
      <c r="B23">
        <v>0.4</v>
      </c>
      <c r="C23" s="17">
        <v>1.0900000000000001</v>
      </c>
      <c r="D23">
        <v>0.37</v>
      </c>
      <c r="E23">
        <v>-0.03</v>
      </c>
      <c r="F23">
        <v>2.06</v>
      </c>
      <c r="G23">
        <v>1.1200000000000001</v>
      </c>
      <c r="H23">
        <v>0.87</v>
      </c>
      <c r="I23">
        <v>0.83</v>
      </c>
      <c r="J23">
        <v>0.64</v>
      </c>
      <c r="K23">
        <v>0.99</v>
      </c>
      <c r="L23">
        <v>0.3</v>
      </c>
      <c r="M23">
        <v>0.82</v>
      </c>
      <c r="N23">
        <v>0.59</v>
      </c>
      <c r="O23">
        <v>1.37</v>
      </c>
      <c r="P23">
        <v>-0.39</v>
      </c>
      <c r="Q23">
        <v>14.38</v>
      </c>
      <c r="R23">
        <v>3.61</v>
      </c>
      <c r="S23">
        <v>0.93</v>
      </c>
      <c r="T23">
        <v>-0.03</v>
      </c>
      <c r="U23">
        <v>2.19</v>
      </c>
      <c r="V23">
        <v>1.21</v>
      </c>
      <c r="W23">
        <v>3.54</v>
      </c>
      <c r="X23">
        <v>3.08</v>
      </c>
      <c r="Y23">
        <v>2.57</v>
      </c>
      <c r="Z23">
        <v>2.14</v>
      </c>
      <c r="AA23">
        <v>1.81</v>
      </c>
    </row>
    <row r="24" spans="1:27" x14ac:dyDescent="0.35">
      <c r="B24">
        <v>0.4</v>
      </c>
      <c r="C24" s="17">
        <v>1.0900000000000001</v>
      </c>
      <c r="D24">
        <v>0.37</v>
      </c>
      <c r="E24">
        <v>-0.03</v>
      </c>
      <c r="F24">
        <v>2.06</v>
      </c>
      <c r="G24">
        <v>1.1200000000000001</v>
      </c>
      <c r="H24">
        <v>0.87</v>
      </c>
      <c r="I24">
        <v>0.83</v>
      </c>
      <c r="J24">
        <v>0.64</v>
      </c>
      <c r="K24">
        <v>0.99</v>
      </c>
      <c r="L24">
        <v>0.3</v>
      </c>
      <c r="M24">
        <v>0.82</v>
      </c>
      <c r="N24">
        <v>0.59</v>
      </c>
      <c r="O24">
        <v>1.37</v>
      </c>
      <c r="P24">
        <v>-0.39</v>
      </c>
      <c r="Q24">
        <v>14.38</v>
      </c>
      <c r="R24">
        <v>3.61</v>
      </c>
      <c r="S24">
        <v>0.93</v>
      </c>
      <c r="T24">
        <v>-0.03</v>
      </c>
      <c r="U24">
        <v>2.19</v>
      </c>
      <c r="V24">
        <v>1.21</v>
      </c>
      <c r="W24">
        <v>4.1100000000000003</v>
      </c>
      <c r="X24">
        <v>3.5</v>
      </c>
      <c r="Y24">
        <v>2.94</v>
      </c>
      <c r="Z24">
        <v>2.4500000000000002</v>
      </c>
      <c r="AA24">
        <v>2.12</v>
      </c>
    </row>
    <row r="25" spans="1:27" x14ac:dyDescent="0.35">
      <c r="B25">
        <v>0.4</v>
      </c>
      <c r="C25" s="17">
        <v>1.0900000000000001</v>
      </c>
      <c r="D25">
        <v>0.37</v>
      </c>
      <c r="E25">
        <v>-0.03</v>
      </c>
      <c r="F25">
        <v>2.06</v>
      </c>
      <c r="G25">
        <v>1.1200000000000001</v>
      </c>
      <c r="H25">
        <v>0.87</v>
      </c>
      <c r="I25">
        <v>0.83</v>
      </c>
      <c r="J25">
        <v>0.64</v>
      </c>
      <c r="K25">
        <v>0.99</v>
      </c>
      <c r="L25">
        <v>0.3</v>
      </c>
      <c r="M25">
        <v>0.82</v>
      </c>
      <c r="N25">
        <v>0.59</v>
      </c>
      <c r="O25">
        <v>1.37</v>
      </c>
      <c r="P25">
        <v>-0.39</v>
      </c>
      <c r="Q25">
        <v>14.38</v>
      </c>
      <c r="R25">
        <v>3.61</v>
      </c>
      <c r="S25">
        <v>0.93</v>
      </c>
      <c r="T25">
        <v>-0.03</v>
      </c>
      <c r="U25">
        <v>2.19</v>
      </c>
      <c r="V25">
        <v>1.21</v>
      </c>
      <c r="W25">
        <v>4.91</v>
      </c>
      <c r="X25">
        <v>4.3600000000000003</v>
      </c>
      <c r="Y25">
        <v>3.75</v>
      </c>
      <c r="Z25">
        <v>3.09</v>
      </c>
      <c r="AA25">
        <v>2.67</v>
      </c>
    </row>
    <row r="26" spans="1:27" x14ac:dyDescent="0.35">
      <c r="B26">
        <v>0.4</v>
      </c>
      <c r="C26" s="17">
        <v>1.0900000000000001</v>
      </c>
      <c r="D26">
        <v>0.37</v>
      </c>
      <c r="E26">
        <v>-0.03</v>
      </c>
      <c r="F26">
        <v>2.06</v>
      </c>
      <c r="G26">
        <v>1.1200000000000001</v>
      </c>
      <c r="H26">
        <v>0.87</v>
      </c>
      <c r="I26">
        <v>0.83</v>
      </c>
      <c r="J26">
        <v>0.64</v>
      </c>
      <c r="K26">
        <v>0.99</v>
      </c>
      <c r="L26">
        <v>0.3</v>
      </c>
      <c r="M26">
        <v>0.82</v>
      </c>
      <c r="N26">
        <v>0.59</v>
      </c>
      <c r="O26">
        <v>1.37</v>
      </c>
      <c r="P26">
        <v>-0.39</v>
      </c>
      <c r="Q26">
        <v>14.38</v>
      </c>
      <c r="R26">
        <v>3.61</v>
      </c>
      <c r="S26">
        <v>0.93</v>
      </c>
      <c r="T26">
        <v>-0.03</v>
      </c>
      <c r="U26">
        <v>2.19</v>
      </c>
      <c r="V26">
        <v>1.21</v>
      </c>
      <c r="W26">
        <v>4.83</v>
      </c>
      <c r="X26">
        <v>4.09</v>
      </c>
      <c r="Y26">
        <v>3.38</v>
      </c>
      <c r="Z26">
        <v>2.68</v>
      </c>
      <c r="AA26">
        <v>2.31</v>
      </c>
    </row>
    <row r="27" spans="1:27" x14ac:dyDescent="0.35">
      <c r="B27">
        <v>0.4</v>
      </c>
      <c r="C27" s="17">
        <v>1.0900000000000001</v>
      </c>
      <c r="D27">
        <v>0.37</v>
      </c>
      <c r="E27">
        <v>-0.03</v>
      </c>
      <c r="F27">
        <v>2.06</v>
      </c>
      <c r="G27">
        <v>1.1200000000000001</v>
      </c>
      <c r="H27">
        <v>0.87</v>
      </c>
      <c r="I27">
        <v>0.83</v>
      </c>
      <c r="J27">
        <v>0.64</v>
      </c>
      <c r="K27">
        <v>0.99</v>
      </c>
      <c r="L27">
        <v>0.3</v>
      </c>
      <c r="M27">
        <v>0.82</v>
      </c>
      <c r="N27">
        <v>0.59</v>
      </c>
      <c r="O27">
        <v>1.37</v>
      </c>
      <c r="P27">
        <v>-0.39</v>
      </c>
      <c r="Q27">
        <v>14.38</v>
      </c>
      <c r="R27">
        <v>3.61</v>
      </c>
      <c r="S27">
        <v>0.93</v>
      </c>
      <c r="T27">
        <v>-0.03</v>
      </c>
      <c r="U27">
        <v>2.19</v>
      </c>
      <c r="V27">
        <v>1.21</v>
      </c>
      <c r="W27">
        <v>4.6900000000000004</v>
      </c>
      <c r="X27">
        <v>4.1399999999999997</v>
      </c>
      <c r="Y27">
        <v>3.49</v>
      </c>
      <c r="Z27">
        <v>2.79</v>
      </c>
      <c r="AA27">
        <v>2.4</v>
      </c>
    </row>
    <row r="28" spans="1:27" x14ac:dyDescent="0.35">
      <c r="B28">
        <v>0.4</v>
      </c>
      <c r="C28" s="17">
        <v>1.0900000000000001</v>
      </c>
      <c r="D28">
        <v>0.37</v>
      </c>
      <c r="E28">
        <v>-0.03</v>
      </c>
      <c r="F28">
        <v>2.06</v>
      </c>
      <c r="G28">
        <v>1.1200000000000001</v>
      </c>
      <c r="H28">
        <v>0.87</v>
      </c>
      <c r="I28">
        <v>0.83</v>
      </c>
      <c r="J28">
        <v>0.64</v>
      </c>
      <c r="K28">
        <v>0.99</v>
      </c>
      <c r="L28">
        <v>0.3</v>
      </c>
      <c r="M28">
        <v>0.82</v>
      </c>
      <c r="N28">
        <v>0.59</v>
      </c>
      <c r="O28">
        <v>1.37</v>
      </c>
      <c r="P28">
        <v>-0.39</v>
      </c>
      <c r="Q28">
        <v>14.38</v>
      </c>
      <c r="R28">
        <v>3.61</v>
      </c>
      <c r="S28">
        <v>0.93</v>
      </c>
      <c r="T28">
        <v>-0.03</v>
      </c>
      <c r="U28">
        <v>2.19</v>
      </c>
      <c r="V28">
        <v>1.21</v>
      </c>
      <c r="W28">
        <v>5.44</v>
      </c>
      <c r="X28">
        <v>4.5599999999999996</v>
      </c>
      <c r="Y28">
        <v>3.73</v>
      </c>
      <c r="Z28">
        <v>2.96</v>
      </c>
      <c r="AA28">
        <v>2.54</v>
      </c>
    </row>
    <row r="29" spans="1:27" x14ac:dyDescent="0.35">
      <c r="B29">
        <v>0.4</v>
      </c>
      <c r="C29" s="17">
        <v>1.0900000000000001</v>
      </c>
      <c r="D29">
        <v>0.37</v>
      </c>
      <c r="E29">
        <v>-0.03</v>
      </c>
      <c r="F29">
        <v>2.06</v>
      </c>
      <c r="G29">
        <v>1.1200000000000001</v>
      </c>
      <c r="H29">
        <v>0.87</v>
      </c>
      <c r="I29">
        <v>0.83</v>
      </c>
      <c r="J29">
        <v>0.64</v>
      </c>
      <c r="K29">
        <v>0.99</v>
      </c>
      <c r="L29">
        <v>0.3</v>
      </c>
      <c r="M29">
        <v>0.82</v>
      </c>
      <c r="N29">
        <v>0.59</v>
      </c>
      <c r="O29">
        <v>1.37</v>
      </c>
      <c r="P29">
        <v>-0.39</v>
      </c>
      <c r="Q29">
        <v>14.38</v>
      </c>
      <c r="R29">
        <v>3.61</v>
      </c>
      <c r="S29">
        <v>0.93</v>
      </c>
      <c r="T29">
        <v>-0.03</v>
      </c>
      <c r="U29">
        <v>2.19</v>
      </c>
      <c r="V29">
        <v>1.21</v>
      </c>
      <c r="W29">
        <v>5.07</v>
      </c>
      <c r="X29">
        <v>4.07</v>
      </c>
      <c r="Y29">
        <v>3.33</v>
      </c>
      <c r="Z29">
        <v>2.66</v>
      </c>
      <c r="AA29">
        <v>2.2799999999999998</v>
      </c>
    </row>
    <row r="30" spans="1:27" x14ac:dyDescent="0.35">
      <c r="B30">
        <v>0.4</v>
      </c>
      <c r="C30" s="17">
        <v>1.0900000000000001</v>
      </c>
      <c r="D30">
        <v>0.37</v>
      </c>
      <c r="E30">
        <v>-0.03</v>
      </c>
      <c r="F30">
        <v>2.06</v>
      </c>
      <c r="G30">
        <v>1.1200000000000001</v>
      </c>
      <c r="H30">
        <v>0.87</v>
      </c>
      <c r="I30">
        <v>0.83</v>
      </c>
      <c r="J30">
        <v>0.64</v>
      </c>
      <c r="K30">
        <v>0.99</v>
      </c>
      <c r="L30">
        <v>0.3</v>
      </c>
      <c r="M30">
        <v>0.82</v>
      </c>
      <c r="N30">
        <v>0.59</v>
      </c>
      <c r="O30">
        <v>1.37</v>
      </c>
      <c r="P30">
        <v>-0.39</v>
      </c>
      <c r="Q30">
        <v>14.38</v>
      </c>
      <c r="R30">
        <v>3.61</v>
      </c>
      <c r="S30">
        <v>0.93</v>
      </c>
      <c r="T30">
        <v>-0.03</v>
      </c>
      <c r="U30">
        <v>2.19</v>
      </c>
      <c r="V30">
        <v>1.21</v>
      </c>
      <c r="W30">
        <v>4.8899999999999997</v>
      </c>
      <c r="X30">
        <v>3.78</v>
      </c>
      <c r="Y30">
        <v>3.18</v>
      </c>
      <c r="Z30">
        <v>2.58</v>
      </c>
      <c r="AA30">
        <v>2.21</v>
      </c>
    </row>
    <row r="31" spans="1:27" x14ac:dyDescent="0.35">
      <c r="B31">
        <v>0.4</v>
      </c>
      <c r="C31" s="17">
        <v>1.0900000000000001</v>
      </c>
      <c r="D31">
        <v>0.37</v>
      </c>
      <c r="E31">
        <v>-0.03</v>
      </c>
      <c r="F31">
        <v>2.06</v>
      </c>
      <c r="G31">
        <v>1.1200000000000001</v>
      </c>
      <c r="H31">
        <v>0.87</v>
      </c>
      <c r="I31">
        <v>0.83</v>
      </c>
      <c r="J31">
        <v>0.64</v>
      </c>
      <c r="K31">
        <v>0.99</v>
      </c>
      <c r="L31">
        <v>0.3</v>
      </c>
      <c r="M31">
        <v>0.82</v>
      </c>
      <c r="N31">
        <v>0.59</v>
      </c>
      <c r="O31">
        <v>1.37</v>
      </c>
      <c r="P31">
        <v>-0.39</v>
      </c>
      <c r="Q31">
        <v>14.38</v>
      </c>
      <c r="R31">
        <v>3.61</v>
      </c>
      <c r="S31">
        <v>0.93</v>
      </c>
      <c r="T31">
        <v>-0.03</v>
      </c>
      <c r="U31">
        <v>2.19</v>
      </c>
      <c r="V31">
        <v>1.21</v>
      </c>
      <c r="W31">
        <v>4.58</v>
      </c>
      <c r="X31">
        <v>3.26</v>
      </c>
      <c r="Y31">
        <v>2.81</v>
      </c>
      <c r="Z31">
        <v>2.38</v>
      </c>
      <c r="AA31">
        <v>2.0699999999999998</v>
      </c>
    </row>
    <row r="32" spans="1:27" x14ac:dyDescent="0.35">
      <c r="B32">
        <v>0.4</v>
      </c>
      <c r="C32" s="17">
        <v>1.0900000000000001</v>
      </c>
      <c r="D32">
        <v>0.37</v>
      </c>
      <c r="E32">
        <v>-0.03</v>
      </c>
      <c r="F32">
        <v>2.06</v>
      </c>
      <c r="G32">
        <v>1.1200000000000001</v>
      </c>
      <c r="H32">
        <v>0.87</v>
      </c>
      <c r="I32">
        <v>0.83</v>
      </c>
      <c r="J32">
        <v>0.64</v>
      </c>
      <c r="K32">
        <v>0.99</v>
      </c>
      <c r="L32">
        <v>0.3</v>
      </c>
      <c r="M32">
        <v>0.82</v>
      </c>
      <c r="N32">
        <v>0.59</v>
      </c>
      <c r="O32">
        <v>1.37</v>
      </c>
      <c r="P32">
        <v>-0.39</v>
      </c>
      <c r="Q32">
        <v>14.38</v>
      </c>
      <c r="R32">
        <v>3.61</v>
      </c>
      <c r="S32">
        <v>0.93</v>
      </c>
      <c r="T32">
        <v>-0.03</v>
      </c>
      <c r="U32">
        <v>2.19</v>
      </c>
      <c r="V32">
        <v>1.21</v>
      </c>
      <c r="W32">
        <v>4.0999999999999996</v>
      </c>
      <c r="X32">
        <v>2.84</v>
      </c>
      <c r="Y32">
        <v>2.4</v>
      </c>
      <c r="Z32">
        <v>1.95</v>
      </c>
      <c r="AA32">
        <v>1.66</v>
      </c>
    </row>
    <row r="33" spans="2:27" x14ac:dyDescent="0.35">
      <c r="B33">
        <v>0.4</v>
      </c>
      <c r="C33" s="17">
        <v>1.0900000000000001</v>
      </c>
      <c r="D33">
        <v>0.37</v>
      </c>
      <c r="E33">
        <v>-0.03</v>
      </c>
      <c r="F33">
        <v>2.06</v>
      </c>
      <c r="G33">
        <v>1.1200000000000001</v>
      </c>
      <c r="H33">
        <v>0.87</v>
      </c>
      <c r="I33">
        <v>0.83</v>
      </c>
      <c r="J33">
        <v>0.64</v>
      </c>
      <c r="K33">
        <v>0.99</v>
      </c>
      <c r="L33">
        <v>0.3</v>
      </c>
      <c r="M33">
        <v>0.82</v>
      </c>
      <c r="N33">
        <v>0.59</v>
      </c>
      <c r="O33">
        <v>1.37</v>
      </c>
      <c r="P33">
        <v>-0.39</v>
      </c>
      <c r="Q33">
        <v>14.38</v>
      </c>
      <c r="R33">
        <v>3.61</v>
      </c>
      <c r="S33">
        <v>0.93</v>
      </c>
      <c r="T33">
        <v>-0.03</v>
      </c>
      <c r="U33">
        <v>2.19</v>
      </c>
      <c r="V33">
        <v>1.21</v>
      </c>
      <c r="W33">
        <v>3.84</v>
      </c>
      <c r="X33">
        <v>2.67</v>
      </c>
      <c r="Y33">
        <v>2.27</v>
      </c>
      <c r="Z33">
        <v>1.84</v>
      </c>
      <c r="AA33">
        <v>1.57</v>
      </c>
    </row>
    <row r="34" spans="2:27" x14ac:dyDescent="0.35">
      <c r="B34">
        <v>0.4</v>
      </c>
      <c r="C34" s="17">
        <v>1.0900000000000001</v>
      </c>
      <c r="D34">
        <v>0.37</v>
      </c>
      <c r="E34">
        <v>-0.03</v>
      </c>
      <c r="F34">
        <v>2.06</v>
      </c>
      <c r="G34">
        <v>1.1200000000000001</v>
      </c>
      <c r="H34">
        <v>0.87</v>
      </c>
      <c r="I34">
        <v>0.83</v>
      </c>
      <c r="J34">
        <v>0.64</v>
      </c>
      <c r="K34">
        <v>0.99</v>
      </c>
      <c r="L34">
        <v>0.3</v>
      </c>
      <c r="M34">
        <v>0.82</v>
      </c>
      <c r="N34">
        <v>0.59</v>
      </c>
      <c r="O34">
        <v>1.37</v>
      </c>
      <c r="P34">
        <v>-0.39</v>
      </c>
      <c r="Q34">
        <v>14.38</v>
      </c>
      <c r="R34">
        <v>3.61</v>
      </c>
      <c r="S34">
        <v>0.93</v>
      </c>
      <c r="T34">
        <v>-0.03</v>
      </c>
      <c r="U34">
        <v>2.19</v>
      </c>
      <c r="V34">
        <v>1.21</v>
      </c>
      <c r="W34">
        <v>4.96</v>
      </c>
      <c r="X34">
        <v>3.09</v>
      </c>
      <c r="Y34">
        <v>2.5</v>
      </c>
      <c r="Z34">
        <v>2.09</v>
      </c>
      <c r="AA34">
        <v>1.84</v>
      </c>
    </row>
    <row r="35" spans="2:27" x14ac:dyDescent="0.35">
      <c r="B35">
        <v>0.4</v>
      </c>
      <c r="C35" s="17">
        <v>1.0900000000000001</v>
      </c>
      <c r="D35">
        <v>0.37</v>
      </c>
      <c r="E35">
        <v>-0.03</v>
      </c>
      <c r="F35">
        <v>2.06</v>
      </c>
      <c r="G35">
        <v>1.1200000000000001</v>
      </c>
      <c r="H35">
        <v>0.87</v>
      </c>
      <c r="I35">
        <v>0.83</v>
      </c>
      <c r="J35">
        <v>0.64</v>
      </c>
      <c r="K35">
        <v>0.99</v>
      </c>
      <c r="L35">
        <v>0.3</v>
      </c>
      <c r="M35">
        <v>0.82</v>
      </c>
      <c r="N35">
        <v>0.59</v>
      </c>
      <c r="O35">
        <v>1.37</v>
      </c>
      <c r="P35">
        <v>-0.39</v>
      </c>
      <c r="Q35">
        <v>14.38</v>
      </c>
      <c r="R35">
        <v>3.61</v>
      </c>
      <c r="S35">
        <v>0.93</v>
      </c>
      <c r="T35">
        <v>-0.03</v>
      </c>
      <c r="U35">
        <v>2.19</v>
      </c>
      <c r="V35">
        <v>1.21</v>
      </c>
      <c r="W35">
        <v>6.38</v>
      </c>
      <c r="X35">
        <v>3.8</v>
      </c>
      <c r="Y35">
        <v>2.84</v>
      </c>
      <c r="Z35">
        <v>2.19</v>
      </c>
      <c r="AA35">
        <v>1.89</v>
      </c>
    </row>
    <row r="36" spans="2:27" x14ac:dyDescent="0.35">
      <c r="B36">
        <v>0.4</v>
      </c>
      <c r="C36" s="17">
        <v>1.0900000000000001</v>
      </c>
      <c r="D36">
        <v>0.37</v>
      </c>
      <c r="E36">
        <v>-0.03</v>
      </c>
      <c r="F36">
        <v>2.06</v>
      </c>
      <c r="G36">
        <v>1.1200000000000001</v>
      </c>
      <c r="H36">
        <v>0.87</v>
      </c>
      <c r="I36">
        <v>0.83</v>
      </c>
      <c r="J36">
        <v>0.64</v>
      </c>
      <c r="K36">
        <v>0.99</v>
      </c>
      <c r="L36">
        <v>0.3</v>
      </c>
      <c r="M36">
        <v>0.82</v>
      </c>
      <c r="N36">
        <v>0.59</v>
      </c>
      <c r="O36">
        <v>1.37</v>
      </c>
      <c r="P36">
        <v>-0.39</v>
      </c>
      <c r="Q36">
        <v>14.38</v>
      </c>
      <c r="R36">
        <v>3.61</v>
      </c>
      <c r="S36">
        <v>0.93</v>
      </c>
      <c r="T36">
        <v>-0.03</v>
      </c>
      <c r="U36">
        <v>2.19</v>
      </c>
      <c r="V36">
        <v>1.21</v>
      </c>
      <c r="W36">
        <v>6.88</v>
      </c>
      <c r="X36">
        <v>3.33</v>
      </c>
      <c r="Y36">
        <v>2.33</v>
      </c>
      <c r="Z36">
        <v>1.66</v>
      </c>
      <c r="AA36">
        <v>1.51</v>
      </c>
    </row>
    <row r="37" spans="2:27" x14ac:dyDescent="0.35">
      <c r="B37">
        <v>0.4</v>
      </c>
      <c r="C37" s="17">
        <v>1.0900000000000001</v>
      </c>
      <c r="D37">
        <v>0.37</v>
      </c>
      <c r="E37">
        <v>-0.03</v>
      </c>
      <c r="F37">
        <v>2.06</v>
      </c>
      <c r="G37">
        <v>1.1200000000000001</v>
      </c>
      <c r="H37">
        <v>0.87</v>
      </c>
      <c r="I37">
        <v>0.83</v>
      </c>
      <c r="J37">
        <v>0.64</v>
      </c>
      <c r="K37">
        <v>0.99</v>
      </c>
      <c r="L37">
        <v>0.3</v>
      </c>
      <c r="M37">
        <v>0.82</v>
      </c>
      <c r="N37">
        <v>0.59</v>
      </c>
      <c r="O37">
        <v>1.37</v>
      </c>
      <c r="P37">
        <v>-0.39</v>
      </c>
      <c r="Q37">
        <v>14.38</v>
      </c>
      <c r="R37">
        <v>3.61</v>
      </c>
      <c r="S37">
        <v>0.93</v>
      </c>
      <c r="T37">
        <v>-0.03</v>
      </c>
      <c r="U37">
        <v>2.19</v>
      </c>
      <c r="V37">
        <v>1.21</v>
      </c>
      <c r="W37">
        <v>7.45</v>
      </c>
      <c r="X37">
        <v>3.43</v>
      </c>
      <c r="Y37">
        <v>2.35</v>
      </c>
      <c r="Z37">
        <v>1.72</v>
      </c>
      <c r="AA37">
        <v>1.51</v>
      </c>
    </row>
    <row r="38" spans="2:27" x14ac:dyDescent="0.35">
      <c r="B38">
        <v>0.4</v>
      </c>
      <c r="C38" s="17">
        <v>1.0900000000000001</v>
      </c>
      <c r="D38">
        <v>0.37</v>
      </c>
      <c r="E38">
        <v>-0.03</v>
      </c>
      <c r="F38">
        <v>2.06</v>
      </c>
      <c r="G38">
        <v>1.1200000000000001</v>
      </c>
      <c r="H38">
        <v>0.87</v>
      </c>
      <c r="I38">
        <v>0.83</v>
      </c>
      <c r="J38">
        <v>0.64</v>
      </c>
      <c r="K38">
        <v>0.99</v>
      </c>
      <c r="L38">
        <v>0.3</v>
      </c>
      <c r="M38">
        <v>0.82</v>
      </c>
      <c r="N38">
        <v>0.59</v>
      </c>
      <c r="O38">
        <v>1.37</v>
      </c>
      <c r="P38">
        <v>-0.39</v>
      </c>
      <c r="Q38">
        <v>14.38</v>
      </c>
      <c r="R38">
        <v>3.61</v>
      </c>
      <c r="S38">
        <v>0.93</v>
      </c>
      <c r="T38">
        <v>-0.03</v>
      </c>
      <c r="U38">
        <v>2.19</v>
      </c>
      <c r="V38">
        <v>1.21</v>
      </c>
      <c r="W38">
        <v>6.43</v>
      </c>
      <c r="X38">
        <v>2.65</v>
      </c>
      <c r="Y38">
        <v>1.92</v>
      </c>
      <c r="Z38">
        <v>1.52</v>
      </c>
      <c r="AA38">
        <v>1.37</v>
      </c>
    </row>
    <row r="39" spans="2:27" x14ac:dyDescent="0.35">
      <c r="B39">
        <v>0.4</v>
      </c>
      <c r="C39" s="17">
        <v>1.0900000000000001</v>
      </c>
      <c r="D39">
        <v>0.37</v>
      </c>
      <c r="E39">
        <v>-0.03</v>
      </c>
      <c r="F39">
        <v>2.06</v>
      </c>
      <c r="G39">
        <v>1.1200000000000001</v>
      </c>
      <c r="H39">
        <v>0.87</v>
      </c>
      <c r="I39">
        <v>0.83</v>
      </c>
      <c r="J39">
        <v>0.64</v>
      </c>
      <c r="K39">
        <v>0.99</v>
      </c>
      <c r="L39">
        <v>0.3</v>
      </c>
      <c r="M39">
        <v>0.82</v>
      </c>
      <c r="N39">
        <v>0.59</v>
      </c>
      <c r="O39">
        <v>1.37</v>
      </c>
      <c r="P39">
        <v>-0.39</v>
      </c>
      <c r="Q39">
        <v>14.38</v>
      </c>
      <c r="R39">
        <v>3.61</v>
      </c>
      <c r="S39">
        <v>0.93</v>
      </c>
      <c r="T39">
        <v>-0.03</v>
      </c>
      <c r="U39">
        <v>2.19</v>
      </c>
      <c r="V39">
        <v>1.21</v>
      </c>
      <c r="W39">
        <v>5.5</v>
      </c>
      <c r="X39">
        <v>2.94</v>
      </c>
      <c r="Y39">
        <v>2.2400000000000002</v>
      </c>
      <c r="Z39">
        <v>1.7</v>
      </c>
      <c r="AA39">
        <v>1.48</v>
      </c>
    </row>
    <row r="40" spans="2:27" x14ac:dyDescent="0.35">
      <c r="C40" s="17"/>
    </row>
    <row r="41" spans="2:27" x14ac:dyDescent="0.35">
      <c r="C41" s="17"/>
    </row>
    <row r="42" spans="2:27" x14ac:dyDescent="0.35">
      <c r="C42" s="17"/>
    </row>
    <row r="43" spans="2:27" x14ac:dyDescent="0.35">
      <c r="C43" s="17"/>
    </row>
    <row r="44" spans="2:27" x14ac:dyDescent="0.35">
      <c r="C44" s="17"/>
    </row>
    <row r="45" spans="2:27" x14ac:dyDescent="0.35">
      <c r="C45" s="17"/>
    </row>
    <row r="46" spans="2:27" x14ac:dyDescent="0.35">
      <c r="C46" s="17"/>
    </row>
    <row r="47" spans="2:27" x14ac:dyDescent="0.35">
      <c r="C47" s="17"/>
    </row>
    <row r="48" spans="2:27" x14ac:dyDescent="0.35">
      <c r="C48" s="17"/>
    </row>
    <row r="49" spans="3:3" x14ac:dyDescent="0.35">
      <c r="C49" s="17"/>
    </row>
    <row r="50" spans="3:3" x14ac:dyDescent="0.35">
      <c r="C50" s="17"/>
    </row>
    <row r="51" spans="3:3" x14ac:dyDescent="0.35">
      <c r="C51" s="17"/>
    </row>
    <row r="52" spans="3:3" x14ac:dyDescent="0.35">
      <c r="C52" s="17"/>
    </row>
    <row r="53" spans="3:3" x14ac:dyDescent="0.35">
      <c r="C53" s="17"/>
    </row>
    <row r="54" spans="3:3" x14ac:dyDescent="0.35">
      <c r="C54" s="17"/>
    </row>
    <row r="55" spans="3:3" x14ac:dyDescent="0.35">
      <c r="C55" s="17"/>
    </row>
    <row r="56" spans="3:3" x14ac:dyDescent="0.35">
      <c r="C56" s="17"/>
    </row>
    <row r="57" spans="3:3" x14ac:dyDescent="0.35">
      <c r="C57" s="17"/>
    </row>
    <row r="58" spans="3:3" x14ac:dyDescent="0.35">
      <c r="C58" s="17"/>
    </row>
    <row r="59" spans="3:3" x14ac:dyDescent="0.35">
      <c r="C59" s="17"/>
    </row>
    <row r="60" spans="3:3" x14ac:dyDescent="0.35">
      <c r="C60" s="17"/>
    </row>
    <row r="61" spans="3:3" x14ac:dyDescent="0.35">
      <c r="C61" s="17"/>
    </row>
    <row r="62" spans="3:3" x14ac:dyDescent="0.35">
      <c r="C62" s="17"/>
    </row>
    <row r="63" spans="3:3" x14ac:dyDescent="0.35">
      <c r="C63" s="17"/>
    </row>
    <row r="64" spans="3:3" x14ac:dyDescent="0.35">
      <c r="C64" s="17"/>
    </row>
    <row r="65" spans="3:3" x14ac:dyDescent="0.35">
      <c r="C65" s="17"/>
    </row>
    <row r="66" spans="3:3" x14ac:dyDescent="0.35">
      <c r="C66" s="17"/>
    </row>
    <row r="67" spans="3:3" x14ac:dyDescent="0.35">
      <c r="C67" s="17"/>
    </row>
    <row r="68" spans="3:3" x14ac:dyDescent="0.35">
      <c r="C68" s="17"/>
    </row>
    <row r="69" spans="3:3" x14ac:dyDescent="0.35">
      <c r="C69" s="17"/>
    </row>
    <row r="70" spans="3:3" x14ac:dyDescent="0.35">
      <c r="C70" s="17"/>
    </row>
    <row r="71" spans="3:3" x14ac:dyDescent="0.35">
      <c r="C71" s="17"/>
    </row>
    <row r="72" spans="3:3" x14ac:dyDescent="0.35">
      <c r="C72" s="17"/>
    </row>
    <row r="73" spans="3:3" x14ac:dyDescent="0.35">
      <c r="C73" s="17"/>
    </row>
    <row r="74" spans="3:3" x14ac:dyDescent="0.35">
      <c r="C74" s="17"/>
    </row>
    <row r="75" spans="3:3" x14ac:dyDescent="0.35">
      <c r="C75" s="17"/>
    </row>
    <row r="76" spans="3:3" x14ac:dyDescent="0.35">
      <c r="C76" s="17"/>
    </row>
    <row r="77" spans="3:3" x14ac:dyDescent="0.35">
      <c r="C77" s="17"/>
    </row>
    <row r="78" spans="3:3" x14ac:dyDescent="0.35">
      <c r="C78" s="17"/>
    </row>
    <row r="79" spans="3:3" x14ac:dyDescent="0.35">
      <c r="C79" s="17"/>
    </row>
    <row r="80" spans="3:3" x14ac:dyDescent="0.35">
      <c r="C80" s="17"/>
    </row>
    <row r="81" spans="3:3" x14ac:dyDescent="0.35">
      <c r="C81" s="17"/>
    </row>
    <row r="82" spans="3:3" x14ac:dyDescent="0.35">
      <c r="C82" s="17"/>
    </row>
    <row r="83" spans="3:3" x14ac:dyDescent="0.35">
      <c r="C83" s="17"/>
    </row>
    <row r="84" spans="3:3" x14ac:dyDescent="0.35">
      <c r="C84" s="17"/>
    </row>
    <row r="85" spans="3:3" x14ac:dyDescent="0.35">
      <c r="C85" s="17"/>
    </row>
    <row r="86" spans="3:3" x14ac:dyDescent="0.35">
      <c r="C86" s="17"/>
    </row>
    <row r="87" spans="3:3" x14ac:dyDescent="0.35">
      <c r="C87" s="17"/>
    </row>
    <row r="88" spans="3:3" x14ac:dyDescent="0.35">
      <c r="C88" s="17"/>
    </row>
    <row r="89" spans="3:3" x14ac:dyDescent="0.35">
      <c r="C89" s="17"/>
    </row>
    <row r="90" spans="3:3" x14ac:dyDescent="0.35">
      <c r="C90" s="17"/>
    </row>
    <row r="91" spans="3:3" x14ac:dyDescent="0.35">
      <c r="C91" s="17"/>
    </row>
    <row r="92" spans="3:3" x14ac:dyDescent="0.35">
      <c r="C92" s="17"/>
    </row>
    <row r="93" spans="3:3" x14ac:dyDescent="0.35">
      <c r="C93" s="17"/>
    </row>
    <row r="94" spans="3:3" x14ac:dyDescent="0.35">
      <c r="C94" s="17"/>
    </row>
    <row r="95" spans="3:3" x14ac:dyDescent="0.35">
      <c r="C95" s="17"/>
    </row>
    <row r="96" spans="3:3" x14ac:dyDescent="0.35">
      <c r="C96" s="17"/>
    </row>
    <row r="97" spans="3:3" x14ac:dyDescent="0.35">
      <c r="C97" s="17"/>
    </row>
    <row r="98" spans="3:3" x14ac:dyDescent="0.35">
      <c r="C98" s="17"/>
    </row>
    <row r="99" spans="3:3" x14ac:dyDescent="0.35">
      <c r="C99" s="17"/>
    </row>
    <row r="100" spans="3:3" x14ac:dyDescent="0.35">
      <c r="C100" s="17"/>
    </row>
    <row r="101" spans="3:3" x14ac:dyDescent="0.35">
      <c r="C101" s="17"/>
    </row>
    <row r="102" spans="3:3" x14ac:dyDescent="0.35">
      <c r="C102" s="17"/>
    </row>
    <row r="103" spans="3:3" x14ac:dyDescent="0.35">
      <c r="C103" s="17"/>
    </row>
    <row r="104" spans="3:3" x14ac:dyDescent="0.35">
      <c r="C104" s="17"/>
    </row>
    <row r="105" spans="3:3" x14ac:dyDescent="0.35">
      <c r="C105" s="17"/>
    </row>
    <row r="106" spans="3:3" x14ac:dyDescent="0.35">
      <c r="C106" s="17"/>
    </row>
    <row r="107" spans="3:3" x14ac:dyDescent="0.35">
      <c r="C107" s="17"/>
    </row>
    <row r="108" spans="3:3" x14ac:dyDescent="0.35">
      <c r="C108" s="17"/>
    </row>
    <row r="109" spans="3:3" x14ac:dyDescent="0.35">
      <c r="C109" s="17"/>
    </row>
    <row r="110" spans="3:3" x14ac:dyDescent="0.35">
      <c r="C110" s="17"/>
    </row>
    <row r="111" spans="3:3" x14ac:dyDescent="0.35">
      <c r="C111" s="17"/>
    </row>
    <row r="112" spans="3:3" x14ac:dyDescent="0.35">
      <c r="C112" s="17"/>
    </row>
    <row r="113" spans="3:3" x14ac:dyDescent="0.35">
      <c r="C113" s="17"/>
    </row>
    <row r="114" spans="3:3" x14ac:dyDescent="0.35">
      <c r="C114" s="17"/>
    </row>
    <row r="115" spans="3:3" x14ac:dyDescent="0.35">
      <c r="C115" s="17"/>
    </row>
    <row r="116" spans="3:3" x14ac:dyDescent="0.35">
      <c r="C116" s="17"/>
    </row>
    <row r="117" spans="3:3" x14ac:dyDescent="0.35">
      <c r="C117" s="17"/>
    </row>
    <row r="118" spans="3:3" x14ac:dyDescent="0.35">
      <c r="C118" s="17"/>
    </row>
    <row r="119" spans="3:3" x14ac:dyDescent="0.35">
      <c r="C119" s="17"/>
    </row>
    <row r="120" spans="3:3" x14ac:dyDescent="0.35">
      <c r="C120" s="17"/>
    </row>
    <row r="121" spans="3:3" x14ac:dyDescent="0.35">
      <c r="C121" s="17"/>
    </row>
    <row r="122" spans="3:3" x14ac:dyDescent="0.35">
      <c r="C122" s="17"/>
    </row>
    <row r="123" spans="3:3" x14ac:dyDescent="0.35">
      <c r="C123" s="17"/>
    </row>
    <row r="124" spans="3:3" x14ac:dyDescent="0.35">
      <c r="C124" s="17"/>
    </row>
    <row r="125" spans="3:3" x14ac:dyDescent="0.35">
      <c r="C125" s="17"/>
    </row>
    <row r="126" spans="3:3" x14ac:dyDescent="0.35">
      <c r="C126" s="17"/>
    </row>
    <row r="127" spans="3:3" x14ac:dyDescent="0.35">
      <c r="C127" s="17"/>
    </row>
    <row r="128" spans="3:3" x14ac:dyDescent="0.35">
      <c r="C128" s="17"/>
    </row>
    <row r="129" spans="3:3" x14ac:dyDescent="0.35">
      <c r="C129" s="17"/>
    </row>
    <row r="130" spans="3:3" x14ac:dyDescent="0.35">
      <c r="C130" s="17"/>
    </row>
    <row r="131" spans="3:3" x14ac:dyDescent="0.35">
      <c r="C131" s="17"/>
    </row>
    <row r="132" spans="3:3" x14ac:dyDescent="0.35">
      <c r="C132" s="17"/>
    </row>
    <row r="133" spans="3:3" x14ac:dyDescent="0.35">
      <c r="C133" s="17"/>
    </row>
    <row r="134" spans="3:3" x14ac:dyDescent="0.35">
      <c r="C134" s="17"/>
    </row>
    <row r="135" spans="3:3" x14ac:dyDescent="0.35">
      <c r="C135" s="17"/>
    </row>
    <row r="136" spans="3:3" x14ac:dyDescent="0.35">
      <c r="C136" s="17"/>
    </row>
    <row r="137" spans="3:3" x14ac:dyDescent="0.35">
      <c r="C137" s="17"/>
    </row>
    <row r="138" spans="3:3" x14ac:dyDescent="0.35">
      <c r="C138" s="17"/>
    </row>
    <row r="139" spans="3:3" x14ac:dyDescent="0.35">
      <c r="C139" s="17"/>
    </row>
    <row r="140" spans="3:3" x14ac:dyDescent="0.35">
      <c r="C140" s="17"/>
    </row>
    <row r="141" spans="3:3" x14ac:dyDescent="0.35">
      <c r="C141" s="17"/>
    </row>
    <row r="142" spans="3:3" x14ac:dyDescent="0.35">
      <c r="C142" s="17"/>
    </row>
    <row r="143" spans="3:3" x14ac:dyDescent="0.35">
      <c r="C143" s="17"/>
    </row>
    <row r="144" spans="3:3" x14ac:dyDescent="0.35">
      <c r="C144" s="17"/>
    </row>
    <row r="145" spans="3:3" x14ac:dyDescent="0.35">
      <c r="C145" s="17"/>
    </row>
    <row r="146" spans="3:3" x14ac:dyDescent="0.35">
      <c r="C146" s="17"/>
    </row>
    <row r="147" spans="3:3" x14ac:dyDescent="0.35">
      <c r="C147" s="17"/>
    </row>
    <row r="148" spans="3:3" x14ac:dyDescent="0.35">
      <c r="C148" s="17"/>
    </row>
    <row r="149" spans="3:3" x14ac:dyDescent="0.35">
      <c r="C149" s="17"/>
    </row>
    <row r="150" spans="3:3" x14ac:dyDescent="0.35">
      <c r="C150" s="17"/>
    </row>
    <row r="151" spans="3:3" x14ac:dyDescent="0.35">
      <c r="C151" s="17"/>
    </row>
    <row r="152" spans="3:3" x14ac:dyDescent="0.35">
      <c r="C152" s="17"/>
    </row>
    <row r="153" spans="3:3" x14ac:dyDescent="0.35">
      <c r="C153" s="17"/>
    </row>
    <row r="154" spans="3:3" x14ac:dyDescent="0.35">
      <c r="C154" s="17"/>
    </row>
    <row r="155" spans="3:3" x14ac:dyDescent="0.35">
      <c r="C155" s="17"/>
    </row>
    <row r="156" spans="3:3" x14ac:dyDescent="0.35">
      <c r="C156" s="17"/>
    </row>
    <row r="157" spans="3:3" x14ac:dyDescent="0.35">
      <c r="C157" s="17"/>
    </row>
    <row r="158" spans="3:3" x14ac:dyDescent="0.35">
      <c r="C158" s="17"/>
    </row>
    <row r="299" spans="10:12" x14ac:dyDescent="0.35">
      <c r="J299" s="18"/>
      <c r="K299" s="18"/>
      <c r="L299" s="18"/>
    </row>
  </sheetData>
  <dataValidations disablePrompts="1" count="1">
    <dataValidation type="list" allowBlank="1" showInputMessage="1" showErrorMessage="1" sqref="B9" xr:uid="{59FDF055-8ACA-4AB3-BFE5-4515CAA3ACAF}">
      <formula1>$I$1:$J$1</formula1>
    </dataValidation>
  </dataValidations>
  <pageMargins left="0.7" right="0.7" top="0.75" bottom="0.75" header="0.3" footer="0.3"/>
  <pageSetup orientation="portrait" r:id="rId1"/>
  <headerFooter>
    <oddHeader>&amp;C&amp;"Calibri"&amp;10&amp;K008000 Classification: AramcoTrading-US  General Use&amp;1#_x000D_</oddHeader>
    <oddFooter>&amp;C&amp;"Calibri"&amp;11&amp;K000000_x000D_&amp;1#&amp;"Calibri"&amp;10&amp;K008000 This content is classified as AramcoTrading-US General Use by Cantafio, Alberto (ATA) on 2025-11-20T13:00:04.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1FA2-53C8-40DA-8FED-78AF82A0F3EB}">
  <sheetPr codeName="Sheet13"/>
  <dimension ref="A1:AB299"/>
  <sheetViews>
    <sheetView zoomScale="85" zoomScaleNormal="85" workbookViewId="0">
      <pane xSplit="1" ySplit="9" topLeftCell="C10" activePane="bottomRight" state="frozen"/>
      <selection pane="topRight" activeCell="L24" sqref="L24"/>
      <selection pane="bottomLeft" activeCell="L24" sqref="L24"/>
      <selection pane="bottomRight" activeCell="T17" sqref="T17"/>
    </sheetView>
  </sheetViews>
  <sheetFormatPr defaultRowHeight="14.5" x14ac:dyDescent="0.35"/>
  <cols>
    <col min="1" max="1" width="11.54296875" style="16" bestFit="1" customWidth="1"/>
    <col min="2" max="8" width="16" bestFit="1" customWidth="1"/>
    <col min="9" max="9" width="17.26953125" bestFit="1" customWidth="1"/>
    <col min="10" max="28" width="16" bestFit="1" customWidth="1"/>
    <col min="30" max="53" width="16" bestFit="1" customWidth="1"/>
  </cols>
  <sheetData>
    <row r="1" spans="1:28" x14ac:dyDescent="0.35">
      <c r="A1" t="s">
        <v>2138</v>
      </c>
      <c r="B1" s="16">
        <f>BBG!B1</f>
        <v>46254</v>
      </c>
      <c r="C1" s="16">
        <f>B1</f>
        <v>46254</v>
      </c>
      <c r="E1" s="16" t="str">
        <f>B3&amp;VLOOKUP(MONTH(B4),Control!$N$5:$O$16,2,FALSE)&amp;RIGHT(YEAR(B4),1)&amp;" Comdty"</f>
        <v>FSCCMG5 Comdty</v>
      </c>
      <c r="F1">
        <f t="array" ref="F1">_xll.BDP("S:ENCO   1-1 Comdty","LAST_PRICE")</f>
        <v>-5.27</v>
      </c>
      <c r="G1" s="16">
        <f>'Brent Sprds'!B1</f>
        <v>46254</v>
      </c>
      <c r="I1" t="s">
        <v>1748</v>
      </c>
      <c r="J1" t="s">
        <v>2151</v>
      </c>
      <c r="N1" t="e">
        <v>#N/A</v>
      </c>
      <c r="O1">
        <f>+M198-N198</f>
        <v>0</v>
      </c>
      <c r="P1">
        <f>M196-N196</f>
        <v>0</v>
      </c>
    </row>
    <row r="2" spans="1:28" x14ac:dyDescent="0.35">
      <c r="A2" t="s">
        <v>2140</v>
      </c>
      <c r="B2" s="16"/>
      <c r="C2" s="16">
        <v>45888</v>
      </c>
    </row>
    <row r="3" spans="1:28" x14ac:dyDescent="0.35">
      <c r="A3"/>
      <c r="B3" s="16" t="s">
        <v>2220</v>
      </c>
      <c r="C3" s="16" t="str">
        <f t="shared" ref="C3:AB3" si="0">B3</f>
        <v>FSCCM</v>
      </c>
      <c r="D3" s="16" t="str">
        <f t="shared" si="0"/>
        <v>FSCCM</v>
      </c>
      <c r="E3" s="16" t="str">
        <f t="shared" si="0"/>
        <v>FSCCM</v>
      </c>
      <c r="F3" s="16" t="str">
        <f t="shared" si="0"/>
        <v>FSCCM</v>
      </c>
      <c r="G3" s="16" t="str">
        <f t="shared" si="0"/>
        <v>FSCCM</v>
      </c>
      <c r="H3" s="16" t="str">
        <f t="shared" si="0"/>
        <v>FSCCM</v>
      </c>
      <c r="I3" s="16" t="str">
        <f t="shared" si="0"/>
        <v>FSCCM</v>
      </c>
      <c r="J3" s="16" t="str">
        <f t="shared" si="0"/>
        <v>FSCCM</v>
      </c>
      <c r="K3" s="16" t="str">
        <f t="shared" si="0"/>
        <v>FSCCM</v>
      </c>
      <c r="L3" s="16" t="str">
        <f t="shared" si="0"/>
        <v>FSCCM</v>
      </c>
      <c r="M3" s="16" t="str">
        <f t="shared" si="0"/>
        <v>FSCCM</v>
      </c>
      <c r="N3" s="16" t="str">
        <f t="shared" si="0"/>
        <v>FSCCM</v>
      </c>
      <c r="O3" s="16" t="str">
        <f t="shared" si="0"/>
        <v>FSCCM</v>
      </c>
      <c r="P3" s="16" t="str">
        <f t="shared" si="0"/>
        <v>FSCCM</v>
      </c>
      <c r="Q3" s="16" t="str">
        <f t="shared" si="0"/>
        <v>FSCCM</v>
      </c>
      <c r="R3" s="16" t="str">
        <f t="shared" si="0"/>
        <v>FSCCM</v>
      </c>
      <c r="S3" s="16" t="str">
        <f t="shared" si="0"/>
        <v>FSCCM</v>
      </c>
      <c r="T3" s="16" t="str">
        <f t="shared" si="0"/>
        <v>FSCCM</v>
      </c>
      <c r="U3" s="16" t="str">
        <f t="shared" si="0"/>
        <v>FSCCM</v>
      </c>
      <c r="V3" s="16" t="str">
        <f t="shared" si="0"/>
        <v>FSCCM</v>
      </c>
      <c r="W3" s="16" t="str">
        <f t="shared" si="0"/>
        <v>FSCCM</v>
      </c>
      <c r="X3" s="16" t="str">
        <f t="shared" si="0"/>
        <v>FSCCM</v>
      </c>
      <c r="Y3" s="16" t="str">
        <f t="shared" si="0"/>
        <v>FSCCM</v>
      </c>
      <c r="Z3" s="16" t="str">
        <f t="shared" si="0"/>
        <v>FSCCM</v>
      </c>
      <c r="AA3" s="16" t="str">
        <f t="shared" si="0"/>
        <v>FSCCM</v>
      </c>
      <c r="AB3" s="16" t="str">
        <f t="shared" si="0"/>
        <v>FSCCM</v>
      </c>
    </row>
    <row r="4" spans="1:28" x14ac:dyDescent="0.35">
      <c r="A4"/>
      <c r="B4" s="16">
        <f>'WTI Sprds'!B4</f>
        <v>45716</v>
      </c>
      <c r="C4" s="16">
        <f t="shared" ref="C4:AB4" si="1">EOMONTH(B4,1)</f>
        <v>45747</v>
      </c>
      <c r="D4" s="16">
        <f t="shared" si="1"/>
        <v>45777</v>
      </c>
      <c r="E4" s="16">
        <f t="shared" si="1"/>
        <v>45808</v>
      </c>
      <c r="F4" s="16">
        <f t="shared" si="1"/>
        <v>45838</v>
      </c>
      <c r="G4" s="16">
        <f t="shared" si="1"/>
        <v>45869</v>
      </c>
      <c r="H4" s="16">
        <f t="shared" si="1"/>
        <v>45900</v>
      </c>
      <c r="I4" s="16">
        <f t="shared" si="1"/>
        <v>45930</v>
      </c>
      <c r="J4" s="16">
        <f t="shared" si="1"/>
        <v>45961</v>
      </c>
      <c r="K4" s="16">
        <f t="shared" si="1"/>
        <v>45991</v>
      </c>
      <c r="L4" s="16">
        <f t="shared" si="1"/>
        <v>46022</v>
      </c>
      <c r="M4" s="16">
        <f t="shared" si="1"/>
        <v>46053</v>
      </c>
      <c r="N4" s="16">
        <f t="shared" si="1"/>
        <v>46081</v>
      </c>
      <c r="O4" s="16">
        <f t="shared" si="1"/>
        <v>46112</v>
      </c>
      <c r="P4" s="16">
        <f t="shared" si="1"/>
        <v>46142</v>
      </c>
      <c r="Q4" s="16">
        <f t="shared" si="1"/>
        <v>46173</v>
      </c>
      <c r="R4" s="16">
        <f t="shared" si="1"/>
        <v>46203</v>
      </c>
      <c r="S4" s="16">
        <f t="shared" si="1"/>
        <v>46234</v>
      </c>
      <c r="T4" s="16">
        <f t="shared" si="1"/>
        <v>46265</v>
      </c>
      <c r="U4" s="16">
        <f t="shared" si="1"/>
        <v>46295</v>
      </c>
      <c r="V4" s="16">
        <f t="shared" si="1"/>
        <v>46326</v>
      </c>
      <c r="W4" s="16">
        <f t="shared" si="1"/>
        <v>46356</v>
      </c>
      <c r="X4" s="16">
        <f t="shared" si="1"/>
        <v>46387</v>
      </c>
      <c r="Y4" s="16">
        <f t="shared" si="1"/>
        <v>46418</v>
      </c>
      <c r="Z4" s="16">
        <f t="shared" si="1"/>
        <v>46446</v>
      </c>
      <c r="AA4" s="16">
        <f t="shared" si="1"/>
        <v>46477</v>
      </c>
      <c r="AB4" s="16">
        <f t="shared" si="1"/>
        <v>46507</v>
      </c>
    </row>
    <row r="5" spans="1:28" x14ac:dyDescent="0.35">
      <c r="A5"/>
      <c r="B5">
        <f t="shared" ref="B5:AB5" si="2">YEAR(B4)</f>
        <v>2025</v>
      </c>
      <c r="C5">
        <f t="shared" si="2"/>
        <v>2025</v>
      </c>
      <c r="D5">
        <f t="shared" si="2"/>
        <v>2025</v>
      </c>
      <c r="E5">
        <f t="shared" si="2"/>
        <v>2025</v>
      </c>
      <c r="F5">
        <f t="shared" si="2"/>
        <v>2025</v>
      </c>
      <c r="G5">
        <f t="shared" si="2"/>
        <v>2025</v>
      </c>
      <c r="H5">
        <f t="shared" si="2"/>
        <v>2025</v>
      </c>
      <c r="I5">
        <f t="shared" si="2"/>
        <v>2025</v>
      </c>
      <c r="J5">
        <f t="shared" si="2"/>
        <v>2025</v>
      </c>
      <c r="K5">
        <f t="shared" si="2"/>
        <v>2025</v>
      </c>
      <c r="L5">
        <f t="shared" si="2"/>
        <v>2025</v>
      </c>
      <c r="M5">
        <f t="shared" si="2"/>
        <v>2026</v>
      </c>
      <c r="N5">
        <f t="shared" si="2"/>
        <v>2026</v>
      </c>
      <c r="O5">
        <f t="shared" si="2"/>
        <v>2026</v>
      </c>
      <c r="P5">
        <f t="shared" si="2"/>
        <v>2026</v>
      </c>
      <c r="Q5">
        <f t="shared" si="2"/>
        <v>2026</v>
      </c>
      <c r="R5">
        <f t="shared" si="2"/>
        <v>2026</v>
      </c>
      <c r="S5">
        <f t="shared" si="2"/>
        <v>2026</v>
      </c>
      <c r="T5">
        <f t="shared" si="2"/>
        <v>2026</v>
      </c>
      <c r="U5">
        <f t="shared" si="2"/>
        <v>2026</v>
      </c>
      <c r="V5">
        <f t="shared" si="2"/>
        <v>2026</v>
      </c>
      <c r="W5">
        <f t="shared" si="2"/>
        <v>2026</v>
      </c>
      <c r="X5">
        <f t="shared" si="2"/>
        <v>2026</v>
      </c>
      <c r="Y5">
        <f t="shared" si="2"/>
        <v>2027</v>
      </c>
      <c r="Z5">
        <f t="shared" si="2"/>
        <v>2027</v>
      </c>
      <c r="AA5">
        <f t="shared" si="2"/>
        <v>2027</v>
      </c>
      <c r="AB5">
        <f t="shared" si="2"/>
        <v>2027</v>
      </c>
    </row>
    <row r="6" spans="1:28" x14ac:dyDescent="0.35">
      <c r="A6"/>
      <c r="B6" t="str">
        <f>"EN"&amp;VLOOKUP(MONTH(B4),Control!$N$5:$O$16,2,FALSE)&amp;RIGHT(YEAR(B4),1)&amp;"CO"&amp;VLOOKUP(MONTH(B4),Control!$N$5:$O$16,2,FALSE)&amp;RIGHT(YEAR(B4),1)&amp;" Comdty"</f>
        <v>ENG5COG5 Comdty</v>
      </c>
      <c r="C6" t="str">
        <f>"EN"&amp;VLOOKUP(MONTH(C4),Control!$N$5:$O$16,2,FALSE)&amp;RIGHT(YEAR(C4),1)&amp;"CO"&amp;VLOOKUP(MONTH(C4),Control!$N$5:$O$16,2,FALSE)&amp;RIGHT(YEAR(C4),1)&amp;" Comdty"</f>
        <v>ENH5COH5 Comdty</v>
      </c>
      <c r="D6" t="str">
        <f>"EN"&amp;VLOOKUP(MONTH(D4),Control!$N$5:$O$16,2,FALSE)&amp;RIGHT(YEAR(D4),1)&amp;"CO"&amp;VLOOKUP(MONTH(D4),Control!$N$5:$O$16,2,FALSE)&amp;RIGHT(YEAR(D4),1)&amp;" Comdty"</f>
        <v>ENJ5COJ5 Comdty</v>
      </c>
      <c r="E6" t="str">
        <f>"EN"&amp;VLOOKUP(MONTH(E4),Control!$N$5:$O$16,2,FALSE)&amp;RIGHT(YEAR(E4),1)&amp;"CO"&amp;VLOOKUP(MONTH(E4),Control!$N$5:$O$16,2,FALSE)&amp;RIGHT(YEAR(E4),1)&amp;" Comdty"</f>
        <v>ENK5COK5 Comdty</v>
      </c>
      <c r="F6" t="str">
        <f>"EN"&amp;VLOOKUP(MONTH(F4),Control!$N$5:$O$16,2,FALSE)&amp;RIGHT(YEAR(F4),1)&amp;"CO"&amp;VLOOKUP(MONTH(F4),Control!$N$5:$O$16,2,FALSE)&amp;RIGHT(YEAR(F4),1)&amp;" Comdty"</f>
        <v>ENM5COM5 Comdty</v>
      </c>
      <c r="G6" t="str">
        <f>"EN"&amp;VLOOKUP(MONTH(G4),Control!$N$5:$O$16,2,FALSE)&amp;RIGHT(YEAR(G4),1)&amp;"CO"&amp;VLOOKUP(MONTH(G4),Control!$N$5:$O$16,2,FALSE)&amp;RIGHT(YEAR(G4),1)&amp;" Comdty"</f>
        <v>ENN5CON5 Comdty</v>
      </c>
      <c r="H6" t="str">
        <f>"EN"&amp;VLOOKUP(MONTH(H4),Control!$N$5:$O$16,2,FALSE)&amp;RIGHT(YEAR(H4),1)&amp;"CO"&amp;VLOOKUP(MONTH(H4),Control!$N$5:$O$16,2,FALSE)&amp;RIGHT(YEAR(H4),1)&amp;" Comdty"</f>
        <v>ENQ5COQ5 Comdty</v>
      </c>
      <c r="I6" t="str">
        <f>"EN"&amp;VLOOKUP(MONTH(I4),Control!$N$5:$O$16,2,FALSE)&amp;RIGHT(YEAR(I4),1)&amp;"CO"&amp;VLOOKUP(MONTH(I4),Control!$N$5:$O$16,2,FALSE)&amp;RIGHT(YEAR(I4),1)&amp;" Comdty"</f>
        <v>ENU5COU5 Comdty</v>
      </c>
      <c r="J6" t="str">
        <f>"EN"&amp;VLOOKUP(MONTH(J4),Control!$N$5:$O$16,2,FALSE)&amp;RIGHT(YEAR(J4),1)&amp;"CO"&amp;VLOOKUP(MONTH(J4),Control!$N$5:$O$16,2,FALSE)&amp;RIGHT(YEAR(J4),1)&amp;" Comdty"</f>
        <v>ENV5COV5 Comdty</v>
      </c>
      <c r="K6" t="str">
        <f>"EN"&amp;VLOOKUP(MONTH(K4),Control!$N$5:$O$16,2,FALSE)&amp;RIGHT(YEAR(K4),1)&amp;"CO"&amp;VLOOKUP(MONTH(K4),Control!$N$5:$O$16,2,FALSE)&amp;RIGHT(YEAR(K4),1)&amp;" Comdty"</f>
        <v>ENX5COX5 Comdty</v>
      </c>
      <c r="L6" t="str">
        <f>"EN"&amp;VLOOKUP(MONTH(L4),Control!$N$5:$O$16,2,FALSE)&amp;RIGHT(YEAR(L4),1)&amp;"CO"&amp;VLOOKUP(MONTH(L4),Control!$N$5:$O$16,2,FALSE)&amp;RIGHT(YEAR(L4),1)&amp;" Comdty"</f>
        <v>ENZ5COZ5 Comdty</v>
      </c>
      <c r="M6" t="str">
        <f>"EN"&amp;VLOOKUP(MONTH(M4),Control!$N$5:$O$16,2,FALSE)&amp;RIGHT(YEAR(M4),1)&amp;"CO"&amp;VLOOKUP(MONTH(M4),Control!$N$5:$O$16,2,FALSE)&amp;RIGHT(YEAR(M4),1)&amp;" Comdty"</f>
        <v>ENF6COF6 Comdty</v>
      </c>
      <c r="N6" t="str">
        <f>"EN"&amp;VLOOKUP(MONTH(N4),Control!$N$5:$O$16,2,FALSE)&amp;RIGHT(YEAR(N4),1)&amp;"CO"&amp;VLOOKUP(MONTH(N4),Control!$N$5:$O$16,2,FALSE)&amp;RIGHT(YEAR(N4),1)&amp;" Comdty"</f>
        <v>ENG6COG6 Comdty</v>
      </c>
      <c r="O6" t="str">
        <f>"EN"&amp;VLOOKUP(MONTH(O4),Control!$N$5:$O$16,2,FALSE)&amp;RIGHT(YEAR(O4),1)&amp;"CO"&amp;VLOOKUP(MONTH(O4),Control!$N$5:$O$16,2,FALSE)&amp;RIGHT(YEAR(O4),1)&amp;" Comdty"</f>
        <v>ENH6COH6 Comdty</v>
      </c>
      <c r="P6" t="str">
        <f>"EN"&amp;VLOOKUP(MONTH(P4),Control!$N$5:$O$16,2,FALSE)&amp;RIGHT(YEAR(P4),1)&amp;"CO"&amp;VLOOKUP(MONTH(P4),Control!$N$5:$O$16,2,FALSE)&amp;RIGHT(YEAR(P4),1)&amp;" Comdty"</f>
        <v>ENJ6COJ6 Comdty</v>
      </c>
      <c r="Q6" t="str">
        <f>"EN"&amp;VLOOKUP(MONTH(Q4),Control!$N$5:$O$16,2,FALSE)&amp;RIGHT(YEAR(Q4),1)&amp;"CO"&amp;VLOOKUP(MONTH(Q4),Control!$N$5:$O$16,2,FALSE)&amp;RIGHT(YEAR(Q4),1)&amp;" Comdty"</f>
        <v>ENK6COK6 Comdty</v>
      </c>
      <c r="R6" t="str">
        <f>"EN"&amp;VLOOKUP(MONTH(R4),Control!$N$5:$O$16,2,FALSE)&amp;RIGHT(YEAR(R4),1)&amp;"CO"&amp;VLOOKUP(MONTH(R4),Control!$N$5:$O$16,2,FALSE)&amp;RIGHT(YEAR(R4),1)&amp;" Comdty"</f>
        <v>ENM6COM6 Comdty</v>
      </c>
      <c r="S6" t="str">
        <f>"EN"&amp;VLOOKUP(MONTH(S4),Control!$N$5:$O$16,2,FALSE)&amp;RIGHT(YEAR(S4),1)&amp;"CO"&amp;VLOOKUP(MONTH(S4),Control!$N$5:$O$16,2,FALSE)&amp;RIGHT(YEAR(S4),1)&amp;" Comdty"</f>
        <v>ENN6CON6 Comdty</v>
      </c>
      <c r="T6" t="str">
        <f>"EN"&amp;VLOOKUP(MONTH(T4),Control!$N$5:$O$16,2,FALSE)&amp;RIGHT(YEAR(T4),1)&amp;"CO"&amp;VLOOKUP(MONTH(T4),Control!$N$5:$O$16,2,FALSE)&amp;RIGHT(YEAR(T4),1)&amp;" Comdty"</f>
        <v>ENQ6COQ6 Comdty</v>
      </c>
      <c r="U6" t="str">
        <f>"EN"&amp;VLOOKUP(MONTH(U4),Control!$N$5:$O$16,2,FALSE)&amp;RIGHT(YEAR(U4),1)&amp;"CO"&amp;VLOOKUP(MONTH(U4),Control!$N$5:$O$16,2,FALSE)&amp;RIGHT(YEAR(U4),1)&amp;" Comdty"</f>
        <v>ENU6COU6 Comdty</v>
      </c>
      <c r="V6" t="str">
        <f>"EN"&amp;VLOOKUP(MONTH(V4),Control!$N$5:$O$16,2,FALSE)&amp;RIGHT(YEAR(V4),1)&amp;"CO"&amp;VLOOKUP(MONTH(V4),Control!$N$5:$O$16,2,FALSE)&amp;RIGHT(YEAR(V4),1)&amp;" Comdty"</f>
        <v>ENV6COV6 Comdty</v>
      </c>
      <c r="W6" t="str">
        <f>"EN"&amp;VLOOKUP(MONTH(W4),Control!$N$5:$O$16,2,FALSE)&amp;RIGHT(YEAR(W4),1)&amp;"CO"&amp;VLOOKUP(MONTH(W4),Control!$N$5:$O$16,2,FALSE)&amp;RIGHT(YEAR(W4),1)&amp;" Comdty"</f>
        <v>ENX6COX6 Comdty</v>
      </c>
      <c r="X6" t="str">
        <f>"EN"&amp;VLOOKUP(MONTH(X4),Control!$N$5:$O$16,2,FALSE)&amp;RIGHT(YEAR(X4),1)&amp;"CO"&amp;VLOOKUP(MONTH(X4),Control!$N$5:$O$16,2,FALSE)&amp;RIGHT(YEAR(X4),1)&amp;" Comdty"</f>
        <v>ENZ6COZ6 Comdty</v>
      </c>
      <c r="Y6" t="str">
        <f>"EN"&amp;VLOOKUP(MONTH(Y4),Control!$N$5:$O$16,2,FALSE)&amp;RIGHT(YEAR(Y4),1)&amp;"CO"&amp;VLOOKUP(MONTH(Y4),Control!$N$5:$O$16,2,FALSE)&amp;RIGHT(YEAR(Y4),1)&amp;" Comdty"</f>
        <v>ENF7COF7 Comdty</v>
      </c>
      <c r="Z6" t="str">
        <f>"EN"&amp;VLOOKUP(MONTH(Z4),Control!$N$5:$O$16,2,FALSE)&amp;RIGHT(YEAR(Z4),1)&amp;"CO"&amp;VLOOKUP(MONTH(Z4),Control!$N$5:$O$16,2,FALSE)&amp;RIGHT(YEAR(Z4),1)&amp;" Comdty"</f>
        <v>ENG7COG7 Comdty</v>
      </c>
      <c r="AA6" t="str">
        <f>"EN"&amp;VLOOKUP(MONTH(AA4),Control!$N$5:$O$16,2,FALSE)&amp;RIGHT(YEAR(AA4),1)&amp;"CO"&amp;VLOOKUP(MONTH(AA4),Control!$N$5:$O$16,2,FALSE)&amp;RIGHT(YEAR(AA4),1)&amp;" Comdty"</f>
        <v>ENH7COH7 Comdty</v>
      </c>
      <c r="AB6" t="str">
        <f>"EN"&amp;VLOOKUP(MONTH(AB4),Control!$N$5:$O$16,2,FALSE)&amp;RIGHT(YEAR(AB4),1)&amp;"CO"&amp;VLOOKUP(MONTH(AB4),Control!$N$5:$O$16,2,FALSE)&amp;RIGHT(YEAR(AB4),1)&amp;" Comdty"</f>
        <v>ENJ7COJ7 Comdty</v>
      </c>
    </row>
    <row r="7" spans="1:28" x14ac:dyDescent="0.35">
      <c r="A7"/>
      <c r="B7" t="str">
        <f>_xll.BFieldInfo(B$9)</f>
        <v>#N/A Requesting Data...</v>
      </c>
      <c r="C7" t="str">
        <f>_xll.BFieldInfo(C$9)</f>
        <v>#N/A Requesting Data...</v>
      </c>
      <c r="D7" t="str">
        <f>_xll.BFieldInfo(D$9)</f>
        <v>#N/A Requesting Data...</v>
      </c>
      <c r="E7" t="str">
        <f>_xll.BFieldInfo(E$9)</f>
        <v>#N/A Requesting Data...</v>
      </c>
      <c r="F7" t="str">
        <f>_xll.BFieldInfo(F$9)</f>
        <v>#N/A Requesting Data...</v>
      </c>
      <c r="G7" t="str">
        <f>_xll.BFieldInfo(G$9)</f>
        <v>#N/A Requesting Data...</v>
      </c>
      <c r="H7" t="str">
        <f>_xll.BFieldInfo(H$9)</f>
        <v>#N/A Requesting Data...</v>
      </c>
      <c r="I7" t="str">
        <f>_xll.BFieldInfo(I$9)</f>
        <v>#N/A Requesting Data...</v>
      </c>
      <c r="J7" t="str">
        <f>_xll.BFieldInfo(J$9)</f>
        <v>#N/A Requesting Data...</v>
      </c>
      <c r="K7" t="str">
        <f>_xll.BFieldInfo(K$9)</f>
        <v>#N/A Requesting Data...</v>
      </c>
      <c r="L7" t="str">
        <f>_xll.BFieldInfo(L$9)</f>
        <v>#N/A Requesting Data...</v>
      </c>
      <c r="M7" t="str">
        <f>_xll.BFieldInfo(M$9)</f>
        <v>#N/A Requesting Data...</v>
      </c>
      <c r="N7" t="str">
        <f>_xll.BFieldInfo(N$9)</f>
        <v>#N/A Requesting Data...</v>
      </c>
      <c r="O7" t="str">
        <f>_xll.BFieldInfo(O$9)</f>
        <v>#N/A Requesting Data...</v>
      </c>
      <c r="P7" t="str">
        <f>_xll.BFieldInfo(P$9)</f>
        <v>#N/A Requesting Data...</v>
      </c>
      <c r="Q7" t="str">
        <f>_xll.BFieldInfo(Q$9)</f>
        <v>#N/A Requesting Data...</v>
      </c>
      <c r="R7" t="str">
        <f>_xll.BFieldInfo(R$9)</f>
        <v>#N/A Requesting Data...</v>
      </c>
      <c r="S7" t="str">
        <f>_xll.BFieldInfo(S$9)</f>
        <v>#N/A Requesting Data...</v>
      </c>
      <c r="T7" t="str">
        <f>_xll.BFieldInfo(T$9)</f>
        <v>#N/A Requesting Data...</v>
      </c>
      <c r="U7" t="str">
        <f>_xll.BFieldInfo(U$9)</f>
        <v>#N/A Requesting Data...</v>
      </c>
      <c r="V7" t="str">
        <f>_xll.BFieldInfo(V$9)</f>
        <v>#N/A Requesting Data...</v>
      </c>
      <c r="W7" t="str">
        <f>_xll.BFieldInfo(W$9)</f>
        <v>#N/A Requesting Data...</v>
      </c>
      <c r="X7" t="str">
        <f>_xll.BFieldInfo(X$9)</f>
        <v>#N/A Requesting Data...</v>
      </c>
      <c r="Y7" t="str">
        <f>_xll.BFieldInfo(Y$9)</f>
        <v>#N/A Requesting Data...</v>
      </c>
      <c r="Z7" t="str">
        <f>_xll.BFieldInfo(Z$9)</f>
        <v>#N/A Requesting Data...</v>
      </c>
      <c r="AA7" t="str">
        <f>_xll.BFieldInfo(AA$9)</f>
        <v>#N/A Requesting Data...</v>
      </c>
      <c r="AB7" t="str">
        <f>_xll.BFieldInfo(AB$9)</f>
        <v>#N/A Requesting Data...</v>
      </c>
    </row>
    <row r="8" spans="1:28" x14ac:dyDescent="0.35">
      <c r="A8"/>
      <c r="B8" t="str">
        <f t="shared" ref="B8:AB8" si="3">IF(B4=C4,TEXT(B4,"MMM YY"),TEXT(B4,"MMM"))&amp;" "&amp;" "&amp;RIGHT(B5,2)</f>
        <v>Feb  25</v>
      </c>
      <c r="C8" t="str">
        <f t="shared" si="3"/>
        <v>Mar  25</v>
      </c>
      <c r="D8" t="str">
        <f t="shared" si="3"/>
        <v>Apr  25</v>
      </c>
      <c r="E8" t="str">
        <f t="shared" si="3"/>
        <v>May  25</v>
      </c>
      <c r="F8" t="str">
        <f t="shared" si="3"/>
        <v>Jun  25</v>
      </c>
      <c r="G8" t="str">
        <f t="shared" si="3"/>
        <v>Jul  25</v>
      </c>
      <c r="H8" t="str">
        <f t="shared" si="3"/>
        <v>Aug  25</v>
      </c>
      <c r="I8" t="str">
        <f t="shared" si="3"/>
        <v>Sep  25</v>
      </c>
      <c r="J8" t="str">
        <f t="shared" si="3"/>
        <v>Oct  25</v>
      </c>
      <c r="K8" t="str">
        <f t="shared" si="3"/>
        <v>Nov  25</v>
      </c>
      <c r="L8" t="str">
        <f t="shared" si="3"/>
        <v>Dec  25</v>
      </c>
      <c r="M8" t="str">
        <f t="shared" si="3"/>
        <v>Jan  26</v>
      </c>
      <c r="N8" t="str">
        <f t="shared" si="3"/>
        <v>Feb  26</v>
      </c>
      <c r="O8" t="str">
        <f t="shared" si="3"/>
        <v>Mar  26</v>
      </c>
      <c r="P8" t="str">
        <f t="shared" si="3"/>
        <v>Apr  26</v>
      </c>
      <c r="Q8" t="str">
        <f t="shared" si="3"/>
        <v>May  26</v>
      </c>
      <c r="R8" t="str">
        <f t="shared" si="3"/>
        <v>Jun  26</v>
      </c>
      <c r="S8" t="str">
        <f t="shared" si="3"/>
        <v>Jul  26</v>
      </c>
      <c r="T8" t="str">
        <f t="shared" si="3"/>
        <v>Aug  26</v>
      </c>
      <c r="U8" t="str">
        <f t="shared" si="3"/>
        <v>Sep  26</v>
      </c>
      <c r="V8" t="str">
        <f t="shared" si="3"/>
        <v>Oct  26</v>
      </c>
      <c r="W8" t="str">
        <f t="shared" si="3"/>
        <v>Nov  26</v>
      </c>
      <c r="X8" t="str">
        <f t="shared" si="3"/>
        <v>Dec  26</v>
      </c>
      <c r="Y8" t="str">
        <f t="shared" si="3"/>
        <v>Jan  27</v>
      </c>
      <c r="Z8" t="str">
        <f t="shared" si="3"/>
        <v>Feb  27</v>
      </c>
      <c r="AA8" t="str">
        <f t="shared" si="3"/>
        <v>Mar  27</v>
      </c>
      <c r="AB8" t="str">
        <f t="shared" si="3"/>
        <v>Apr  27</v>
      </c>
    </row>
    <row r="9" spans="1:28" x14ac:dyDescent="0.35">
      <c r="A9" t="s">
        <v>2149</v>
      </c>
      <c r="B9" t="str">
        <f>'PnL26'!S1</f>
        <v>PX_SETTLE</v>
      </c>
      <c r="C9" t="str">
        <f t="shared" ref="C9:AB9" si="4">B9</f>
        <v>PX_SETTLE</v>
      </c>
      <c r="D9" t="str">
        <f t="shared" si="4"/>
        <v>PX_SETTLE</v>
      </c>
      <c r="E9" t="str">
        <f t="shared" si="4"/>
        <v>PX_SETTLE</v>
      </c>
      <c r="F9" t="str">
        <f t="shared" si="4"/>
        <v>PX_SETTLE</v>
      </c>
      <c r="G9" t="str">
        <f t="shared" si="4"/>
        <v>PX_SETTLE</v>
      </c>
      <c r="H9" t="str">
        <f t="shared" si="4"/>
        <v>PX_SETTLE</v>
      </c>
      <c r="I9" t="str">
        <f t="shared" si="4"/>
        <v>PX_SETTLE</v>
      </c>
      <c r="J9" t="str">
        <f t="shared" si="4"/>
        <v>PX_SETTLE</v>
      </c>
      <c r="K9" t="str">
        <f t="shared" si="4"/>
        <v>PX_SETTLE</v>
      </c>
      <c r="L9" t="str">
        <f t="shared" si="4"/>
        <v>PX_SETTLE</v>
      </c>
      <c r="M9" t="str">
        <f t="shared" si="4"/>
        <v>PX_SETTLE</v>
      </c>
      <c r="N9" t="str">
        <f t="shared" si="4"/>
        <v>PX_SETTLE</v>
      </c>
      <c r="O9" t="str">
        <f t="shared" si="4"/>
        <v>PX_SETTLE</v>
      </c>
      <c r="P9" t="str">
        <f t="shared" si="4"/>
        <v>PX_SETTLE</v>
      </c>
      <c r="Q9" t="str">
        <f t="shared" si="4"/>
        <v>PX_SETTLE</v>
      </c>
      <c r="R9" t="str">
        <f t="shared" si="4"/>
        <v>PX_SETTLE</v>
      </c>
      <c r="S9" t="str">
        <f t="shared" si="4"/>
        <v>PX_SETTLE</v>
      </c>
      <c r="T9" t="str">
        <f t="shared" si="4"/>
        <v>PX_SETTLE</v>
      </c>
      <c r="U9" t="str">
        <f t="shared" si="4"/>
        <v>PX_SETTLE</v>
      </c>
      <c r="V9" t="str">
        <f t="shared" si="4"/>
        <v>PX_SETTLE</v>
      </c>
      <c r="W9" t="str">
        <f t="shared" si="4"/>
        <v>PX_SETTLE</v>
      </c>
      <c r="X9" t="str">
        <f t="shared" si="4"/>
        <v>PX_SETTLE</v>
      </c>
      <c r="Y9" t="str">
        <f t="shared" si="4"/>
        <v>PX_SETTLE</v>
      </c>
      <c r="Z9" t="str">
        <f t="shared" si="4"/>
        <v>PX_SETTLE</v>
      </c>
      <c r="AA9" t="str">
        <f t="shared" si="4"/>
        <v>PX_SETTLE</v>
      </c>
      <c r="AB9" t="str">
        <f t="shared" si="4"/>
        <v>PX_SETTLE</v>
      </c>
    </row>
    <row r="10" spans="1:28" x14ac:dyDescent="0.35">
      <c r="A10" s="16">
        <f>G1</f>
        <v>46254</v>
      </c>
      <c r="B10" cm="1">
        <f t="array" ref="B10:B39">_xll.BDH(B$6,B$9,$B1,$B2,"Dir=V","CDR=5D","Days=A","Dts=H")</f>
        <v>-3.4</v>
      </c>
      <c r="C10" cm="1">
        <f t="array" ref="C10:C39">_xll.BDH(C$6,C$9,$B1,$B2,"Dir=V","CDR=5D","Days=A","Dts=H")</f>
        <v>-4.2300000000000004</v>
      </c>
      <c r="D10" cm="1">
        <f t="array" ref="D10:D39">_xll.BDH(D$6,D$9,$B1,$B2,"Dir=V","CDR=5D","Days=A","Dts=H")</f>
        <v>-3.42</v>
      </c>
      <c r="E10" cm="1">
        <f t="array" ref="E10:E39">_xll.BDH(E$6,E$9,$B1,$B2,"Dir=V","CDR=5D","Days=A","Dts=H")</f>
        <v>-3.26</v>
      </c>
      <c r="F10" cm="1">
        <f t="array" ref="F10:F39">_xll.BDH(F$6,F$9,$B1,$B2,"Dir=V","CDR=5D","Days=A","Dts=H")</f>
        <v>-4.91</v>
      </c>
      <c r="G10" cm="1">
        <f t="array" ref="G10:G39">_xll.BDH(G$6,G$9,$B1,$B2,"Dir=V","CDR=5D","Days=A","Dts=H")</f>
        <v>-3.11</v>
      </c>
      <c r="H10" cm="1">
        <f t="array" ref="H10:H39">_xll.BDH(H$6,H$9,$B1,$B2,"Dir=V","CDR=5D","Days=A","Dts=H")</f>
        <v>-2.5</v>
      </c>
      <c r="I10" cm="1">
        <f t="array" ref="I10:I39">_xll.BDH(I$6,I$9,$B1,$B2,"Dir=V","CDR=5D","Days=A","Dts=H")</f>
        <v>-3.27</v>
      </c>
      <c r="J10" cm="1">
        <f t="array" ref="J10:J39">_xll.BDH(J$6,J$9,$B1,$B2,"Dir=V","CDR=5D","Days=A","Dts=H")</f>
        <v>-4.1100000000000003</v>
      </c>
      <c r="K10" cm="1">
        <f t="array" ref="K10:K39">_xll.BDH(K$6,K$9,$B1,$B2,"Dir=V","CDR=5D","Days=A","Dts=H")</f>
        <v>-4.6500000000000004</v>
      </c>
      <c r="L10" cm="1">
        <f t="array" ref="L10:L39">_xll.BDH(L$6,L$9,$B1,$B2,"Dir=V","CDR=5D","Days=A","Dts=H")</f>
        <v>-4.09</v>
      </c>
      <c r="M10" cm="1">
        <f t="array" ref="M10:M39">_xll.BDH(M$6,M$9,$B1,$B2,"Dir=V","CDR=5D","Days=A","Dts=H")</f>
        <v>-4.6500000000000004</v>
      </c>
      <c r="N10" cm="1">
        <f t="array" ref="N10:N39">_xll.BDH(N$6,N$9,$B1,$B2,"Dir=V","CDR=5D","Days=A","Dts=H")</f>
        <v>-3.97</v>
      </c>
      <c r="O10" cm="1">
        <f t="array" ref="O10:O39">_xll.BDH(O$6,O$9,$B1,$B2,"Dir=V","CDR=5D","Days=A","Dts=H")</f>
        <v>-5.48</v>
      </c>
      <c r="P10" cm="1">
        <f t="array" ref="P10:P39">_xll.BDH(P$6,P$9,$B1,$B2,"Dir=V","CDR=5D","Days=A","Dts=H")</f>
        <v>-5.46</v>
      </c>
      <c r="Q10" cm="1">
        <f t="array" ref="Q10:Q39">_xll.BDH(Q$6,Q$9,$B1,$B2,"Dir=V","CDR=5D","Days=A","Dts=H")</f>
        <v>-16.97</v>
      </c>
      <c r="R10" cm="1">
        <f t="array" ref="R10:R39">_xll.BDH(R$6,R$9,$B1,$B2,"Dir=V","CDR=5D","Days=A","Dts=H")</f>
        <v>-8.94</v>
      </c>
      <c r="S10" cm="1">
        <f t="array" ref="S10:S39">_xll.BDH(S$6,S$9,$B1,$B2,"Dir=V","CDR=5D","Days=A","Dts=H")</f>
        <v>-4.6900000000000004</v>
      </c>
      <c r="T10" cm="1">
        <f t="array" ref="T10:T39">_xll.BDH(T$6,T$9,$B1,$B2,"Dir=V","CDR=5D","Days=A","Dts=H")</f>
        <v>-3.42</v>
      </c>
      <c r="U10" cm="1">
        <f t="array" ref="U10:U39">_xll.BDH(U$6,U$9,$B1,$B2,"Dir=V","CDR=5D","Days=A","Dts=H")</f>
        <v>-5.45</v>
      </c>
      <c r="V10" cm="1">
        <f t="array" ref="V10:V39">_xll.BDH(V$6,V$9,$B1,$B2,"Dir=V","CDR=5D","Days=A","Dts=H")</f>
        <v>-6.95</v>
      </c>
      <c r="W10" cm="1">
        <f t="array" ref="W10:W39">_xll.BDH(W$6,W$9,$B1,$B2,"Dir=V","CDR=5D","Days=A","Dts=H")</f>
        <v>-7.11</v>
      </c>
      <c r="X10" cm="1">
        <f t="array" ref="X10:X39">_xll.BDH(X$6,X$9,$B1,$B2,"Dir=V","CDR=5D","Days=A","Dts=H")</f>
        <v>-6.59</v>
      </c>
      <c r="Y10" cm="1">
        <f t="array" ref="Y10:Y39">_xll.BDH(Y$6,Y$9,$B1,$B2,"Dir=V","CDR=5D","Days=A","Dts=H")</f>
        <v>-6.23</v>
      </c>
      <c r="Z10" cm="1">
        <f t="array" ref="Z10:Z39">_xll.BDH(Z$6,Z$9,$B1,$B2,"Dir=V","CDR=5D","Days=A","Dts=H")</f>
        <v>-6.04</v>
      </c>
      <c r="AA10" cm="1">
        <f t="array" ref="AA10:AA39">_xll.BDH(AA$6,AA$9,$B1,$B2,"Dir=V","CDR=5D","Days=A","Dts=H")</f>
        <v>-5.93</v>
      </c>
      <c r="AB10" cm="1">
        <f t="array" ref="AB10:AB39">_xll.BDH(AB$6,AB$9,$B1,$B2,"Dir=V","CDR=5D","Days=A","Dts=H")</f>
        <v>-5.83</v>
      </c>
    </row>
    <row r="11" spans="1:28" x14ac:dyDescent="0.35">
      <c r="A11" s="16">
        <f>'Brent Sprds'!A11</f>
        <v>46255</v>
      </c>
      <c r="B11">
        <v>-3.4</v>
      </c>
      <c r="C11" s="17">
        <v>-4.2300000000000004</v>
      </c>
      <c r="D11">
        <v>-3.42</v>
      </c>
      <c r="E11">
        <v>-3.26</v>
      </c>
      <c r="F11">
        <v>-4.91</v>
      </c>
      <c r="G11">
        <v>-3.11</v>
      </c>
      <c r="H11">
        <v>-2.5</v>
      </c>
      <c r="I11">
        <v>-3.27</v>
      </c>
      <c r="J11">
        <v>-4.1100000000000003</v>
      </c>
      <c r="K11">
        <v>-4.6500000000000004</v>
      </c>
      <c r="L11">
        <v>-4.09</v>
      </c>
      <c r="M11">
        <v>-4.6500000000000004</v>
      </c>
      <c r="N11">
        <v>-3.97</v>
      </c>
      <c r="O11">
        <v>-5.48</v>
      </c>
      <c r="P11">
        <v>-5.46</v>
      </c>
      <c r="Q11">
        <v>-16.97</v>
      </c>
      <c r="R11">
        <v>-8.94</v>
      </c>
      <c r="S11">
        <v>-4.6900000000000004</v>
      </c>
      <c r="T11">
        <v>-3.42</v>
      </c>
      <c r="U11">
        <v>-5.45</v>
      </c>
      <c r="V11">
        <v>-7.33</v>
      </c>
      <c r="W11">
        <v>-7.51</v>
      </c>
      <c r="X11">
        <v>-6.97</v>
      </c>
      <c r="Y11">
        <v>-6.62</v>
      </c>
      <c r="Z11">
        <v>-6.43</v>
      </c>
      <c r="AA11">
        <v>-6.32</v>
      </c>
      <c r="AB11">
        <v>-6.21</v>
      </c>
    </row>
    <row r="12" spans="1:28" x14ac:dyDescent="0.35">
      <c r="A12" s="16">
        <f>'Brent Sprds'!A12</f>
        <v>46258</v>
      </c>
      <c r="B12">
        <v>-3.4</v>
      </c>
      <c r="C12" s="17">
        <v>-4.2300000000000004</v>
      </c>
      <c r="D12">
        <v>-3.42</v>
      </c>
      <c r="E12">
        <v>-3.26</v>
      </c>
      <c r="F12">
        <v>-4.91</v>
      </c>
      <c r="G12">
        <v>-3.11</v>
      </c>
      <c r="H12">
        <v>-2.5</v>
      </c>
      <c r="I12">
        <v>-3.27</v>
      </c>
      <c r="J12">
        <v>-4.1100000000000003</v>
      </c>
      <c r="K12">
        <v>-4.6500000000000004</v>
      </c>
      <c r="L12">
        <v>-4.09</v>
      </c>
      <c r="M12">
        <v>-4.6500000000000004</v>
      </c>
      <c r="N12">
        <v>-3.97</v>
      </c>
      <c r="O12">
        <v>-5.48</v>
      </c>
      <c r="P12">
        <v>-5.46</v>
      </c>
      <c r="Q12">
        <v>-16.97</v>
      </c>
      <c r="R12">
        <v>-8.94</v>
      </c>
      <c r="S12">
        <v>-4.6900000000000004</v>
      </c>
      <c r="T12">
        <v>-3.42</v>
      </c>
      <c r="U12">
        <v>-5.45</v>
      </c>
      <c r="V12">
        <v>-7.16</v>
      </c>
      <c r="W12">
        <v>-7.24</v>
      </c>
      <c r="X12">
        <v>-6.76</v>
      </c>
      <c r="Y12">
        <v>-6.38</v>
      </c>
      <c r="Z12">
        <v>-6.19</v>
      </c>
      <c r="AA12">
        <v>-6.08</v>
      </c>
      <c r="AB12">
        <v>-5.97</v>
      </c>
    </row>
    <row r="13" spans="1:28" x14ac:dyDescent="0.35">
      <c r="A13" s="16">
        <f>'Brent Sprds'!A13</f>
        <v>46259</v>
      </c>
      <c r="B13">
        <v>-3.4</v>
      </c>
      <c r="C13" s="17">
        <v>-4.2300000000000004</v>
      </c>
      <c r="D13">
        <v>-3.42</v>
      </c>
      <c r="E13">
        <v>-3.26</v>
      </c>
      <c r="F13">
        <v>-4.91</v>
      </c>
      <c r="G13">
        <v>-3.11</v>
      </c>
      <c r="H13">
        <v>-2.5</v>
      </c>
      <c r="I13">
        <v>-3.27</v>
      </c>
      <c r="J13">
        <v>-4.1100000000000003</v>
      </c>
      <c r="K13">
        <v>-4.6500000000000004</v>
      </c>
      <c r="L13">
        <v>-4.09</v>
      </c>
      <c r="M13">
        <v>-4.6500000000000004</v>
      </c>
      <c r="N13">
        <v>-3.97</v>
      </c>
      <c r="O13">
        <v>-5.48</v>
      </c>
      <c r="P13">
        <v>-5.46</v>
      </c>
      <c r="Q13">
        <v>-16.97</v>
      </c>
      <c r="R13">
        <v>-8.94</v>
      </c>
      <c r="S13">
        <v>-4.6900000000000004</v>
      </c>
      <c r="T13">
        <v>-3.42</v>
      </c>
      <c r="U13">
        <v>-5.45</v>
      </c>
      <c r="V13">
        <v>-6.22</v>
      </c>
      <c r="W13">
        <v>-6.39</v>
      </c>
      <c r="X13">
        <v>-6.07</v>
      </c>
      <c r="Y13">
        <v>-5.82</v>
      </c>
      <c r="Z13">
        <v>-5.7</v>
      </c>
      <c r="AA13">
        <v>-5.65</v>
      </c>
      <c r="AB13">
        <v>-5.59</v>
      </c>
    </row>
    <row r="14" spans="1:28" x14ac:dyDescent="0.35">
      <c r="A14" s="16">
        <f>'Brent Sprds'!A14</f>
        <v>46260</v>
      </c>
      <c r="B14">
        <v>-3.4</v>
      </c>
      <c r="C14" s="17">
        <v>-4.2300000000000004</v>
      </c>
      <c r="D14">
        <v>-3.42</v>
      </c>
      <c r="E14">
        <v>-3.26</v>
      </c>
      <c r="F14">
        <v>-4.91</v>
      </c>
      <c r="G14">
        <v>-3.11</v>
      </c>
      <c r="H14">
        <v>-2.5</v>
      </c>
      <c r="I14">
        <v>-3.27</v>
      </c>
      <c r="J14">
        <v>-4.1100000000000003</v>
      </c>
      <c r="K14">
        <v>-4.6500000000000004</v>
      </c>
      <c r="L14">
        <v>-4.09</v>
      </c>
      <c r="M14">
        <v>-4.6500000000000004</v>
      </c>
      <c r="N14">
        <v>-3.97</v>
      </c>
      <c r="O14">
        <v>-5.48</v>
      </c>
      <c r="P14">
        <v>-5.46</v>
      </c>
      <c r="Q14">
        <v>-16.97</v>
      </c>
      <c r="R14">
        <v>-8.94</v>
      </c>
      <c r="S14">
        <v>-4.6900000000000004</v>
      </c>
      <c r="T14">
        <v>-3.42</v>
      </c>
      <c r="U14">
        <v>-5.45</v>
      </c>
      <c r="V14">
        <v>-5.61</v>
      </c>
      <c r="W14">
        <v>-6.09</v>
      </c>
      <c r="X14">
        <v>-5.82</v>
      </c>
      <c r="Y14">
        <v>-5.61</v>
      </c>
      <c r="Z14">
        <v>-5.51</v>
      </c>
      <c r="AA14">
        <v>-5.48</v>
      </c>
      <c r="AB14">
        <v>-5.44</v>
      </c>
    </row>
    <row r="15" spans="1:28" x14ac:dyDescent="0.35">
      <c r="A15" s="16">
        <f>'Brent Sprds'!A15</f>
        <v>46261</v>
      </c>
      <c r="B15">
        <v>-3.4</v>
      </c>
      <c r="C15" s="17">
        <v>-4.2300000000000004</v>
      </c>
      <c r="D15">
        <v>-3.42</v>
      </c>
      <c r="E15">
        <v>-3.26</v>
      </c>
      <c r="F15">
        <v>-4.91</v>
      </c>
      <c r="G15">
        <v>-3.11</v>
      </c>
      <c r="H15">
        <v>-2.5</v>
      </c>
      <c r="I15">
        <v>-3.27</v>
      </c>
      <c r="J15">
        <v>-4.1100000000000003</v>
      </c>
      <c r="K15">
        <v>-4.6500000000000004</v>
      </c>
      <c r="L15">
        <v>-4.09</v>
      </c>
      <c r="M15">
        <v>-4.6500000000000004</v>
      </c>
      <c r="N15">
        <v>-3.97</v>
      </c>
      <c r="O15">
        <v>-5.48</v>
      </c>
      <c r="P15">
        <v>-5.46</v>
      </c>
      <c r="Q15">
        <v>-16.97</v>
      </c>
      <c r="R15">
        <v>-8.94</v>
      </c>
      <c r="S15">
        <v>-4.6900000000000004</v>
      </c>
      <c r="T15">
        <v>-3.42</v>
      </c>
      <c r="U15">
        <v>-5.45</v>
      </c>
      <c r="V15">
        <v>-6.17</v>
      </c>
      <c r="W15">
        <v>-6.55</v>
      </c>
      <c r="X15">
        <v>-6.23</v>
      </c>
      <c r="Y15">
        <v>-5.9</v>
      </c>
      <c r="Z15">
        <v>-5.78</v>
      </c>
      <c r="AA15">
        <v>-5.71</v>
      </c>
      <c r="AB15">
        <v>-5.65</v>
      </c>
    </row>
    <row r="16" spans="1:28" x14ac:dyDescent="0.35">
      <c r="A16" s="16">
        <f>'Brent Sprds'!A16</f>
        <v>46262</v>
      </c>
      <c r="B16">
        <v>-3.4</v>
      </c>
      <c r="C16" s="17">
        <v>-4.2300000000000004</v>
      </c>
      <c r="D16">
        <v>-3.42</v>
      </c>
      <c r="E16">
        <v>-3.26</v>
      </c>
      <c r="F16">
        <v>-4.91</v>
      </c>
      <c r="G16">
        <v>-3.11</v>
      </c>
      <c r="H16">
        <v>-2.5</v>
      </c>
      <c r="I16">
        <v>-3.27</v>
      </c>
      <c r="J16">
        <v>-4.1100000000000003</v>
      </c>
      <c r="K16">
        <v>-4.6500000000000004</v>
      </c>
      <c r="L16">
        <v>-4.09</v>
      </c>
      <c r="M16">
        <v>-4.6500000000000004</v>
      </c>
      <c r="N16">
        <v>-3.97</v>
      </c>
      <c r="O16">
        <v>-5.48</v>
      </c>
      <c r="P16">
        <v>-5.46</v>
      </c>
      <c r="Q16">
        <v>-16.97</v>
      </c>
      <c r="R16">
        <v>-8.94</v>
      </c>
      <c r="S16">
        <v>-4.6900000000000004</v>
      </c>
      <c r="T16">
        <v>-3.42</v>
      </c>
      <c r="U16">
        <v>-5.45</v>
      </c>
      <c r="V16">
        <v>-5.91</v>
      </c>
      <c r="W16">
        <v>-6.27</v>
      </c>
      <c r="X16">
        <v>-6.12</v>
      </c>
      <c r="Y16">
        <v>-5.87</v>
      </c>
      <c r="Z16">
        <v>-5.74</v>
      </c>
      <c r="AA16">
        <v>-5.7</v>
      </c>
      <c r="AB16">
        <v>-5.65</v>
      </c>
    </row>
    <row r="17" spans="1:28" x14ac:dyDescent="0.35">
      <c r="A17" s="16">
        <f>'Brent Sprds'!A17</f>
        <v>46265</v>
      </c>
      <c r="B17">
        <v>-3.4</v>
      </c>
      <c r="C17" s="17">
        <v>-4.2300000000000004</v>
      </c>
      <c r="D17">
        <v>-3.42</v>
      </c>
      <c r="E17">
        <v>-3.26</v>
      </c>
      <c r="F17">
        <v>-4.91</v>
      </c>
      <c r="G17">
        <v>-3.11</v>
      </c>
      <c r="H17">
        <v>-2.5</v>
      </c>
      <c r="I17">
        <v>-3.27</v>
      </c>
      <c r="J17">
        <v>-4.1100000000000003</v>
      </c>
      <c r="K17">
        <v>-4.6500000000000004</v>
      </c>
      <c r="L17">
        <v>-4.09</v>
      </c>
      <c r="M17">
        <v>-4.6500000000000004</v>
      </c>
      <c r="N17">
        <v>-3.97</v>
      </c>
      <c r="O17">
        <v>-5.48</v>
      </c>
      <c r="P17">
        <v>-5.46</v>
      </c>
      <c r="Q17">
        <v>-16.97</v>
      </c>
      <c r="R17">
        <v>-8.94</v>
      </c>
      <c r="S17">
        <v>-4.6900000000000004</v>
      </c>
      <c r="T17">
        <v>-3.42</v>
      </c>
      <c r="U17">
        <v>-5.45</v>
      </c>
      <c r="V17">
        <v>-5.91</v>
      </c>
      <c r="W17">
        <v>-6.43</v>
      </c>
      <c r="X17">
        <v>-6.3</v>
      </c>
      <c r="Y17">
        <v>-6.03</v>
      </c>
      <c r="Z17">
        <v>-5.87</v>
      </c>
      <c r="AA17">
        <v>-5.81</v>
      </c>
      <c r="AB17">
        <v>-5.76</v>
      </c>
    </row>
    <row r="18" spans="1:28" x14ac:dyDescent="0.35">
      <c r="B18">
        <v>-3.4</v>
      </c>
      <c r="C18" s="17">
        <v>-4.2300000000000004</v>
      </c>
      <c r="D18">
        <v>-3.42</v>
      </c>
      <c r="E18">
        <v>-3.26</v>
      </c>
      <c r="F18">
        <v>-4.91</v>
      </c>
      <c r="G18">
        <v>-3.11</v>
      </c>
      <c r="H18">
        <v>-2.5</v>
      </c>
      <c r="I18">
        <v>-3.27</v>
      </c>
      <c r="J18">
        <v>-4.1100000000000003</v>
      </c>
      <c r="K18">
        <v>-4.6500000000000004</v>
      </c>
      <c r="L18">
        <v>-4.09</v>
      </c>
      <c r="M18">
        <v>-4.6500000000000004</v>
      </c>
      <c r="N18">
        <v>-3.97</v>
      </c>
      <c r="O18">
        <v>-5.48</v>
      </c>
      <c r="P18">
        <v>-5.46</v>
      </c>
      <c r="Q18">
        <v>-16.97</v>
      </c>
      <c r="R18">
        <v>-8.94</v>
      </c>
      <c r="S18">
        <v>-4.6900000000000004</v>
      </c>
      <c r="T18">
        <v>-3.42</v>
      </c>
      <c r="U18">
        <v>-5.45</v>
      </c>
      <c r="V18">
        <v>-5.91</v>
      </c>
      <c r="W18">
        <v>-6.9</v>
      </c>
      <c r="X18">
        <v>-6.6</v>
      </c>
      <c r="Y18">
        <v>-6.27</v>
      </c>
      <c r="Z18">
        <v>-6.09</v>
      </c>
      <c r="AA18">
        <v>-6.03</v>
      </c>
      <c r="AB18">
        <v>-5.98</v>
      </c>
    </row>
    <row r="19" spans="1:28" x14ac:dyDescent="0.35">
      <c r="B19">
        <v>-3.4</v>
      </c>
      <c r="C19" s="17">
        <v>-4.2300000000000004</v>
      </c>
      <c r="D19">
        <v>-3.42</v>
      </c>
      <c r="E19">
        <v>-3.26</v>
      </c>
      <c r="F19">
        <v>-4.91</v>
      </c>
      <c r="G19">
        <v>-3.11</v>
      </c>
      <c r="H19">
        <v>-2.5</v>
      </c>
      <c r="I19">
        <v>-3.27</v>
      </c>
      <c r="J19">
        <v>-4.1100000000000003</v>
      </c>
      <c r="K19">
        <v>-4.6500000000000004</v>
      </c>
      <c r="L19">
        <v>-4.09</v>
      </c>
      <c r="M19">
        <v>-4.6500000000000004</v>
      </c>
      <c r="N19">
        <v>-3.97</v>
      </c>
      <c r="O19">
        <v>-5.48</v>
      </c>
      <c r="P19">
        <v>-5.46</v>
      </c>
      <c r="Q19">
        <v>-16.97</v>
      </c>
      <c r="R19">
        <v>-8.94</v>
      </c>
      <c r="S19">
        <v>-4.6900000000000004</v>
      </c>
      <c r="T19">
        <v>-3.42</v>
      </c>
      <c r="U19">
        <v>-5.45</v>
      </c>
      <c r="V19">
        <v>-5.91</v>
      </c>
      <c r="W19">
        <v>-7.35</v>
      </c>
      <c r="X19">
        <v>-6.84</v>
      </c>
      <c r="Y19">
        <v>-6.48</v>
      </c>
      <c r="Z19">
        <v>-6.29</v>
      </c>
      <c r="AA19">
        <v>-6.23</v>
      </c>
      <c r="AB19">
        <v>-6.17</v>
      </c>
    </row>
    <row r="20" spans="1:28" x14ac:dyDescent="0.35">
      <c r="B20">
        <v>-3.4</v>
      </c>
      <c r="C20" s="17">
        <v>-4.2300000000000004</v>
      </c>
      <c r="D20">
        <v>-3.42</v>
      </c>
      <c r="E20">
        <v>-3.26</v>
      </c>
      <c r="F20">
        <v>-4.91</v>
      </c>
      <c r="G20">
        <v>-3.11</v>
      </c>
      <c r="H20">
        <v>-2.5</v>
      </c>
      <c r="I20">
        <v>-3.27</v>
      </c>
      <c r="J20">
        <v>-4.1100000000000003</v>
      </c>
      <c r="K20">
        <v>-4.6500000000000004</v>
      </c>
      <c r="L20">
        <v>-4.09</v>
      </c>
      <c r="M20">
        <v>-4.6500000000000004</v>
      </c>
      <c r="N20">
        <v>-3.97</v>
      </c>
      <c r="O20">
        <v>-5.48</v>
      </c>
      <c r="P20">
        <v>-5.46</v>
      </c>
      <c r="Q20">
        <v>-16.97</v>
      </c>
      <c r="R20">
        <v>-8.94</v>
      </c>
      <c r="S20">
        <v>-4.6900000000000004</v>
      </c>
      <c r="T20">
        <v>-3.42</v>
      </c>
      <c r="U20">
        <v>-5.45</v>
      </c>
      <c r="V20">
        <v>-5.91</v>
      </c>
      <c r="W20">
        <v>-7.49</v>
      </c>
      <c r="X20">
        <v>-6.84</v>
      </c>
      <c r="Y20">
        <v>-6.39</v>
      </c>
      <c r="Z20">
        <v>-6.19</v>
      </c>
      <c r="AA20">
        <v>-6.14</v>
      </c>
      <c r="AB20">
        <v>-6.12</v>
      </c>
    </row>
    <row r="21" spans="1:28" x14ac:dyDescent="0.35">
      <c r="B21">
        <v>-3.4</v>
      </c>
      <c r="C21" s="17">
        <v>-4.2300000000000004</v>
      </c>
      <c r="D21">
        <v>-3.42</v>
      </c>
      <c r="E21">
        <v>-3.26</v>
      </c>
      <c r="F21">
        <v>-4.91</v>
      </c>
      <c r="G21">
        <v>-3.11</v>
      </c>
      <c r="H21">
        <v>-2.5</v>
      </c>
      <c r="I21">
        <v>-3.27</v>
      </c>
      <c r="J21">
        <v>-4.1100000000000003</v>
      </c>
      <c r="K21">
        <v>-4.6500000000000004</v>
      </c>
      <c r="L21">
        <v>-4.09</v>
      </c>
      <c r="M21">
        <v>-4.6500000000000004</v>
      </c>
      <c r="N21">
        <v>-3.97</v>
      </c>
      <c r="O21">
        <v>-5.48</v>
      </c>
      <c r="P21">
        <v>-5.46</v>
      </c>
      <c r="Q21">
        <v>-16.97</v>
      </c>
      <c r="R21">
        <v>-8.94</v>
      </c>
      <c r="S21">
        <v>-4.6900000000000004</v>
      </c>
      <c r="T21">
        <v>-3.42</v>
      </c>
      <c r="U21">
        <v>-5.45</v>
      </c>
      <c r="V21">
        <v>-5.91</v>
      </c>
      <c r="W21">
        <v>-7.71</v>
      </c>
      <c r="X21">
        <v>-6.86</v>
      </c>
      <c r="Y21">
        <v>-6.37</v>
      </c>
      <c r="Z21">
        <v>-6.15</v>
      </c>
      <c r="AA21">
        <v>-6.08</v>
      </c>
      <c r="AB21">
        <v>-6.03</v>
      </c>
    </row>
    <row r="22" spans="1:28" x14ac:dyDescent="0.35">
      <c r="B22">
        <v>-3.4</v>
      </c>
      <c r="C22" s="17">
        <v>-4.2300000000000004</v>
      </c>
      <c r="D22">
        <v>-3.42</v>
      </c>
      <c r="E22">
        <v>-3.26</v>
      </c>
      <c r="F22">
        <v>-4.91</v>
      </c>
      <c r="G22">
        <v>-3.11</v>
      </c>
      <c r="H22">
        <v>-2.5</v>
      </c>
      <c r="I22">
        <v>-3.27</v>
      </c>
      <c r="J22">
        <v>-4.1100000000000003</v>
      </c>
      <c r="K22">
        <v>-4.6500000000000004</v>
      </c>
      <c r="L22">
        <v>-4.09</v>
      </c>
      <c r="M22">
        <v>-4.6500000000000004</v>
      </c>
      <c r="N22">
        <v>-3.97</v>
      </c>
      <c r="O22">
        <v>-5.48</v>
      </c>
      <c r="P22">
        <v>-5.46</v>
      </c>
      <c r="Q22">
        <v>-16.97</v>
      </c>
      <c r="R22">
        <v>-8.94</v>
      </c>
      <c r="S22">
        <v>-4.6900000000000004</v>
      </c>
      <c r="T22">
        <v>-3.42</v>
      </c>
      <c r="U22">
        <v>-5.45</v>
      </c>
      <c r="V22">
        <v>-5.91</v>
      </c>
      <c r="W22">
        <v>-7.6</v>
      </c>
      <c r="X22">
        <v>-6.96</v>
      </c>
      <c r="Y22">
        <v>-6.51</v>
      </c>
      <c r="Z22">
        <v>-6.29</v>
      </c>
      <c r="AA22">
        <v>-6.19</v>
      </c>
      <c r="AB22">
        <v>-6.12</v>
      </c>
    </row>
    <row r="23" spans="1:28" x14ac:dyDescent="0.35">
      <c r="B23">
        <v>-3.4</v>
      </c>
      <c r="C23" s="17">
        <v>-4.2300000000000004</v>
      </c>
      <c r="D23">
        <v>-3.42</v>
      </c>
      <c r="E23">
        <v>-3.26</v>
      </c>
      <c r="F23">
        <v>-4.91</v>
      </c>
      <c r="G23">
        <v>-3.11</v>
      </c>
      <c r="H23">
        <v>-2.5</v>
      </c>
      <c r="I23">
        <v>-3.27</v>
      </c>
      <c r="J23">
        <v>-4.1100000000000003</v>
      </c>
      <c r="K23">
        <v>-4.6500000000000004</v>
      </c>
      <c r="L23">
        <v>-4.09</v>
      </c>
      <c r="M23">
        <v>-4.6500000000000004</v>
      </c>
      <c r="N23">
        <v>-3.97</v>
      </c>
      <c r="O23">
        <v>-5.48</v>
      </c>
      <c r="P23">
        <v>-5.46</v>
      </c>
      <c r="Q23">
        <v>-16.97</v>
      </c>
      <c r="R23">
        <v>-8.94</v>
      </c>
      <c r="S23">
        <v>-4.6900000000000004</v>
      </c>
      <c r="T23">
        <v>-3.42</v>
      </c>
      <c r="U23">
        <v>-5.45</v>
      </c>
      <c r="V23">
        <v>-5.91</v>
      </c>
      <c r="W23">
        <v>-7.73</v>
      </c>
      <c r="X23">
        <v>-7.24</v>
      </c>
      <c r="Y23">
        <v>-6.84</v>
      </c>
      <c r="Z23">
        <v>-6.62</v>
      </c>
      <c r="AA23">
        <v>-6.51</v>
      </c>
      <c r="AB23">
        <v>-6.44</v>
      </c>
    </row>
    <row r="24" spans="1:28" x14ac:dyDescent="0.35">
      <c r="B24">
        <v>-3.4</v>
      </c>
      <c r="C24" s="17">
        <v>-4.2300000000000004</v>
      </c>
      <c r="D24">
        <v>-3.42</v>
      </c>
      <c r="E24">
        <v>-3.26</v>
      </c>
      <c r="F24">
        <v>-4.91</v>
      </c>
      <c r="G24">
        <v>-3.11</v>
      </c>
      <c r="H24">
        <v>-2.5</v>
      </c>
      <c r="I24">
        <v>-3.27</v>
      </c>
      <c r="J24">
        <v>-4.1100000000000003</v>
      </c>
      <c r="K24">
        <v>-4.6500000000000004</v>
      </c>
      <c r="L24">
        <v>-4.09</v>
      </c>
      <c r="M24">
        <v>-4.6500000000000004</v>
      </c>
      <c r="N24">
        <v>-3.97</v>
      </c>
      <c r="O24">
        <v>-5.48</v>
      </c>
      <c r="P24">
        <v>-5.46</v>
      </c>
      <c r="Q24">
        <v>-16.97</v>
      </c>
      <c r="R24">
        <v>-8.94</v>
      </c>
      <c r="S24">
        <v>-4.6900000000000004</v>
      </c>
      <c r="T24">
        <v>-3.42</v>
      </c>
      <c r="U24">
        <v>-5.45</v>
      </c>
      <c r="V24">
        <v>-5.91</v>
      </c>
      <c r="W24">
        <v>-8.34</v>
      </c>
      <c r="X24">
        <v>-7.78</v>
      </c>
      <c r="Y24">
        <v>-7.31</v>
      </c>
      <c r="Z24">
        <v>-7.02</v>
      </c>
      <c r="AA24">
        <v>-6.9</v>
      </c>
      <c r="AB24">
        <v>-6.82</v>
      </c>
    </row>
    <row r="25" spans="1:28" x14ac:dyDescent="0.35">
      <c r="B25">
        <v>-3.4</v>
      </c>
      <c r="C25" s="17">
        <v>-4.2300000000000004</v>
      </c>
      <c r="D25">
        <v>-3.42</v>
      </c>
      <c r="E25">
        <v>-3.26</v>
      </c>
      <c r="F25">
        <v>-4.91</v>
      </c>
      <c r="G25">
        <v>-3.11</v>
      </c>
      <c r="H25">
        <v>-2.5</v>
      </c>
      <c r="I25">
        <v>-3.27</v>
      </c>
      <c r="J25">
        <v>-4.1100000000000003</v>
      </c>
      <c r="K25">
        <v>-4.6500000000000004</v>
      </c>
      <c r="L25">
        <v>-4.09</v>
      </c>
      <c r="M25">
        <v>-4.6500000000000004</v>
      </c>
      <c r="N25">
        <v>-3.97</v>
      </c>
      <c r="O25">
        <v>-5.48</v>
      </c>
      <c r="P25">
        <v>-5.46</v>
      </c>
      <c r="Q25">
        <v>-16.97</v>
      </c>
      <c r="R25">
        <v>-8.94</v>
      </c>
      <c r="S25">
        <v>-4.6900000000000004</v>
      </c>
      <c r="T25">
        <v>-3.42</v>
      </c>
      <c r="U25">
        <v>-5.45</v>
      </c>
      <c r="V25">
        <v>-5.91</v>
      </c>
      <c r="W25">
        <v>-9.23</v>
      </c>
      <c r="X25">
        <v>-8.7899999999999991</v>
      </c>
      <c r="Y25">
        <v>-8.34</v>
      </c>
      <c r="Z25">
        <v>-7.97</v>
      </c>
      <c r="AA25">
        <v>-7.76</v>
      </c>
      <c r="AB25">
        <v>-7.58</v>
      </c>
    </row>
    <row r="26" spans="1:28" x14ac:dyDescent="0.35">
      <c r="B26">
        <v>-3.4</v>
      </c>
      <c r="C26" s="17">
        <v>-4.2300000000000004</v>
      </c>
      <c r="D26">
        <v>-3.42</v>
      </c>
      <c r="E26">
        <v>-3.26</v>
      </c>
      <c r="F26">
        <v>-4.91</v>
      </c>
      <c r="G26">
        <v>-3.11</v>
      </c>
      <c r="H26">
        <v>-2.5</v>
      </c>
      <c r="I26">
        <v>-3.27</v>
      </c>
      <c r="J26">
        <v>-4.1100000000000003</v>
      </c>
      <c r="K26">
        <v>-4.6500000000000004</v>
      </c>
      <c r="L26">
        <v>-4.09</v>
      </c>
      <c r="M26">
        <v>-4.6500000000000004</v>
      </c>
      <c r="N26">
        <v>-3.97</v>
      </c>
      <c r="O26">
        <v>-5.48</v>
      </c>
      <c r="P26">
        <v>-5.46</v>
      </c>
      <c r="Q26">
        <v>-16.97</v>
      </c>
      <c r="R26">
        <v>-8.94</v>
      </c>
      <c r="S26">
        <v>-4.6900000000000004</v>
      </c>
      <c r="T26">
        <v>-3.42</v>
      </c>
      <c r="U26">
        <v>-5.45</v>
      </c>
      <c r="V26">
        <v>-5.91</v>
      </c>
      <c r="W26">
        <v>-8.67</v>
      </c>
      <c r="X26">
        <v>-8.35</v>
      </c>
      <c r="Y26">
        <v>-8.01</v>
      </c>
      <c r="Z26">
        <v>-7.69</v>
      </c>
      <c r="AA26">
        <v>-7.43</v>
      </c>
      <c r="AB26">
        <v>-7.21</v>
      </c>
    </row>
    <row r="27" spans="1:28" x14ac:dyDescent="0.35">
      <c r="B27">
        <v>-3.4</v>
      </c>
      <c r="C27" s="17">
        <v>-4.2300000000000004</v>
      </c>
      <c r="D27">
        <v>-3.42</v>
      </c>
      <c r="E27">
        <v>-3.26</v>
      </c>
      <c r="F27">
        <v>-4.91</v>
      </c>
      <c r="G27">
        <v>-3.11</v>
      </c>
      <c r="H27">
        <v>-2.5</v>
      </c>
      <c r="I27">
        <v>-3.27</v>
      </c>
      <c r="J27">
        <v>-4.1100000000000003</v>
      </c>
      <c r="K27">
        <v>-4.6500000000000004</v>
      </c>
      <c r="L27">
        <v>-4.09</v>
      </c>
      <c r="M27">
        <v>-4.6500000000000004</v>
      </c>
      <c r="N27">
        <v>-3.97</v>
      </c>
      <c r="O27">
        <v>-5.48</v>
      </c>
      <c r="P27">
        <v>-5.46</v>
      </c>
      <c r="Q27">
        <v>-16.97</v>
      </c>
      <c r="R27">
        <v>-8.94</v>
      </c>
      <c r="S27">
        <v>-4.6900000000000004</v>
      </c>
      <c r="T27">
        <v>-3.42</v>
      </c>
      <c r="U27">
        <v>-5.45</v>
      </c>
      <c r="V27">
        <v>-5.91</v>
      </c>
      <c r="W27">
        <v>-8.5399999999999991</v>
      </c>
      <c r="X27">
        <v>-8.39</v>
      </c>
      <c r="Y27">
        <v>-8.1999999999999993</v>
      </c>
      <c r="Z27">
        <v>-7.95</v>
      </c>
      <c r="AA27">
        <v>-7.73</v>
      </c>
      <c r="AB27">
        <v>-7.52</v>
      </c>
    </row>
    <row r="28" spans="1:28" x14ac:dyDescent="0.35">
      <c r="B28">
        <v>-3.4</v>
      </c>
      <c r="C28" s="17">
        <v>-4.2300000000000004</v>
      </c>
      <c r="D28">
        <v>-3.42</v>
      </c>
      <c r="E28">
        <v>-3.26</v>
      </c>
      <c r="F28">
        <v>-4.91</v>
      </c>
      <c r="G28">
        <v>-3.11</v>
      </c>
      <c r="H28">
        <v>-2.5</v>
      </c>
      <c r="I28">
        <v>-3.27</v>
      </c>
      <c r="J28">
        <v>-4.1100000000000003</v>
      </c>
      <c r="K28">
        <v>-4.6500000000000004</v>
      </c>
      <c r="L28">
        <v>-4.09</v>
      </c>
      <c r="M28">
        <v>-4.6500000000000004</v>
      </c>
      <c r="N28">
        <v>-3.97</v>
      </c>
      <c r="O28">
        <v>-5.48</v>
      </c>
      <c r="P28">
        <v>-5.46</v>
      </c>
      <c r="Q28">
        <v>-16.97</v>
      </c>
      <c r="R28">
        <v>-8.94</v>
      </c>
      <c r="S28">
        <v>-4.6900000000000004</v>
      </c>
      <c r="T28">
        <v>-3.42</v>
      </c>
      <c r="U28">
        <v>-5.45</v>
      </c>
      <c r="V28">
        <v>-5.91</v>
      </c>
      <c r="W28">
        <v>-8</v>
      </c>
      <c r="X28">
        <v>-7.8</v>
      </c>
      <c r="Y28">
        <v>-7.73</v>
      </c>
      <c r="Z28">
        <v>-7.66</v>
      </c>
      <c r="AA28">
        <v>-7.55</v>
      </c>
      <c r="AB28">
        <v>-7.39</v>
      </c>
    </row>
    <row r="29" spans="1:28" x14ac:dyDescent="0.35">
      <c r="B29">
        <v>-3.4</v>
      </c>
      <c r="C29" s="17">
        <v>-4.2300000000000004</v>
      </c>
      <c r="D29">
        <v>-3.42</v>
      </c>
      <c r="E29">
        <v>-3.26</v>
      </c>
      <c r="F29">
        <v>-4.91</v>
      </c>
      <c r="G29">
        <v>-3.11</v>
      </c>
      <c r="H29">
        <v>-2.5</v>
      </c>
      <c r="I29">
        <v>-3.27</v>
      </c>
      <c r="J29">
        <v>-4.1100000000000003</v>
      </c>
      <c r="K29">
        <v>-4.6500000000000004</v>
      </c>
      <c r="L29">
        <v>-4.09</v>
      </c>
      <c r="M29">
        <v>-4.6500000000000004</v>
      </c>
      <c r="N29">
        <v>-3.97</v>
      </c>
      <c r="O29">
        <v>-5.48</v>
      </c>
      <c r="P29">
        <v>-5.46</v>
      </c>
      <c r="Q29">
        <v>-16.97</v>
      </c>
      <c r="R29">
        <v>-8.94</v>
      </c>
      <c r="S29">
        <v>-4.6900000000000004</v>
      </c>
      <c r="T29">
        <v>-3.42</v>
      </c>
      <c r="U29">
        <v>-5.45</v>
      </c>
      <c r="V29">
        <v>-5.91</v>
      </c>
      <c r="W29">
        <v>-8.32</v>
      </c>
      <c r="X29">
        <v>-7.97</v>
      </c>
      <c r="Y29">
        <v>-7.78</v>
      </c>
      <c r="Z29">
        <v>-7.65</v>
      </c>
      <c r="AA29">
        <v>-7.52</v>
      </c>
      <c r="AB29">
        <v>-7.36</v>
      </c>
    </row>
    <row r="30" spans="1:28" x14ac:dyDescent="0.35">
      <c r="B30">
        <v>-3.4</v>
      </c>
      <c r="C30" s="17">
        <v>-4.2300000000000004</v>
      </c>
      <c r="D30">
        <v>-3.42</v>
      </c>
      <c r="E30">
        <v>-3.26</v>
      </c>
      <c r="F30">
        <v>-4.91</v>
      </c>
      <c r="G30">
        <v>-3.11</v>
      </c>
      <c r="H30">
        <v>-2.5</v>
      </c>
      <c r="I30">
        <v>-3.27</v>
      </c>
      <c r="J30">
        <v>-4.1100000000000003</v>
      </c>
      <c r="K30">
        <v>-4.6500000000000004</v>
      </c>
      <c r="L30">
        <v>-4.09</v>
      </c>
      <c r="M30">
        <v>-4.6500000000000004</v>
      </c>
      <c r="N30">
        <v>-3.97</v>
      </c>
      <c r="O30">
        <v>-5.48</v>
      </c>
      <c r="P30">
        <v>-5.46</v>
      </c>
      <c r="Q30">
        <v>-16.97</v>
      </c>
      <c r="R30">
        <v>-8.94</v>
      </c>
      <c r="S30">
        <v>-4.6900000000000004</v>
      </c>
      <c r="T30">
        <v>-3.42</v>
      </c>
      <c r="U30">
        <v>-5.45</v>
      </c>
      <c r="V30">
        <v>-5.91</v>
      </c>
      <c r="W30">
        <v>-7.59</v>
      </c>
      <c r="X30">
        <v>-7.32</v>
      </c>
      <c r="Y30">
        <v>-7.32</v>
      </c>
      <c r="Z30">
        <v>-7.3</v>
      </c>
      <c r="AA30">
        <v>-7.22</v>
      </c>
      <c r="AB30">
        <v>-7.1</v>
      </c>
    </row>
    <row r="31" spans="1:28" x14ac:dyDescent="0.35">
      <c r="B31">
        <v>-3.4</v>
      </c>
      <c r="C31" s="17">
        <v>-4.2300000000000004</v>
      </c>
      <c r="D31">
        <v>-3.42</v>
      </c>
      <c r="E31">
        <v>-3.26</v>
      </c>
      <c r="F31">
        <v>-4.91</v>
      </c>
      <c r="G31">
        <v>-3.11</v>
      </c>
      <c r="H31">
        <v>-2.5</v>
      </c>
      <c r="I31">
        <v>-3.27</v>
      </c>
      <c r="J31">
        <v>-4.1100000000000003</v>
      </c>
      <c r="K31">
        <v>-4.6500000000000004</v>
      </c>
      <c r="L31">
        <v>-4.09</v>
      </c>
      <c r="M31">
        <v>-4.6500000000000004</v>
      </c>
      <c r="N31">
        <v>-3.97</v>
      </c>
      <c r="O31">
        <v>-5.48</v>
      </c>
      <c r="P31">
        <v>-5.46</v>
      </c>
      <c r="Q31">
        <v>-16.97</v>
      </c>
      <c r="R31">
        <v>-8.94</v>
      </c>
      <c r="S31">
        <v>-4.6900000000000004</v>
      </c>
      <c r="T31">
        <v>-3.42</v>
      </c>
      <c r="U31">
        <v>-5.45</v>
      </c>
      <c r="V31">
        <v>-5.91</v>
      </c>
      <c r="W31">
        <v>-7.79</v>
      </c>
      <c r="X31">
        <v>-7.24</v>
      </c>
      <c r="Y31">
        <v>-7.18</v>
      </c>
      <c r="Z31">
        <v>-7.12</v>
      </c>
      <c r="AA31">
        <v>-7.04</v>
      </c>
      <c r="AB31">
        <v>-6.95</v>
      </c>
    </row>
    <row r="32" spans="1:28" x14ac:dyDescent="0.35">
      <c r="B32">
        <v>-3.4</v>
      </c>
      <c r="C32" s="17">
        <v>-4.2300000000000004</v>
      </c>
      <c r="D32">
        <v>-3.42</v>
      </c>
      <c r="E32">
        <v>-3.26</v>
      </c>
      <c r="F32">
        <v>-4.91</v>
      </c>
      <c r="G32">
        <v>-3.11</v>
      </c>
      <c r="H32">
        <v>-2.5</v>
      </c>
      <c r="I32">
        <v>-3.27</v>
      </c>
      <c r="J32">
        <v>-4.1100000000000003</v>
      </c>
      <c r="K32">
        <v>-4.6500000000000004</v>
      </c>
      <c r="L32">
        <v>-4.09</v>
      </c>
      <c r="M32">
        <v>-4.6500000000000004</v>
      </c>
      <c r="N32">
        <v>-3.97</v>
      </c>
      <c r="O32">
        <v>-5.48</v>
      </c>
      <c r="P32">
        <v>-5.46</v>
      </c>
      <c r="Q32">
        <v>-16.97</v>
      </c>
      <c r="R32">
        <v>-8.94</v>
      </c>
      <c r="S32">
        <v>-4.6900000000000004</v>
      </c>
      <c r="T32">
        <v>-3.42</v>
      </c>
      <c r="U32">
        <v>-5.45</v>
      </c>
      <c r="V32">
        <v>-5.91</v>
      </c>
      <c r="W32">
        <v>-7.97</v>
      </c>
      <c r="X32">
        <v>-7.08</v>
      </c>
      <c r="Y32">
        <v>-6.93</v>
      </c>
      <c r="Z32">
        <v>-6.82</v>
      </c>
      <c r="AA32">
        <v>-6.73</v>
      </c>
      <c r="AB32">
        <v>-6.64</v>
      </c>
    </row>
    <row r="33" spans="2:28" x14ac:dyDescent="0.35">
      <c r="B33">
        <v>-3.4</v>
      </c>
      <c r="C33" s="17">
        <v>-4.2300000000000004</v>
      </c>
      <c r="D33">
        <v>-3.42</v>
      </c>
      <c r="E33">
        <v>-3.26</v>
      </c>
      <c r="F33">
        <v>-4.91</v>
      </c>
      <c r="G33">
        <v>-3.11</v>
      </c>
      <c r="H33">
        <v>-2.5</v>
      </c>
      <c r="I33">
        <v>-3.27</v>
      </c>
      <c r="J33">
        <v>-4.1100000000000003</v>
      </c>
      <c r="K33">
        <v>-4.6500000000000004</v>
      </c>
      <c r="L33">
        <v>-4.09</v>
      </c>
      <c r="M33">
        <v>-4.6500000000000004</v>
      </c>
      <c r="N33">
        <v>-3.97</v>
      </c>
      <c r="O33">
        <v>-5.48</v>
      </c>
      <c r="P33">
        <v>-5.46</v>
      </c>
      <c r="Q33">
        <v>-16.97</v>
      </c>
      <c r="R33">
        <v>-8.94</v>
      </c>
      <c r="S33">
        <v>-4.6900000000000004</v>
      </c>
      <c r="T33">
        <v>-3.42</v>
      </c>
      <c r="U33">
        <v>-5.45</v>
      </c>
      <c r="V33">
        <v>-5.91</v>
      </c>
      <c r="W33">
        <v>-8.73</v>
      </c>
      <c r="X33">
        <v>-7.43</v>
      </c>
      <c r="Y33">
        <v>-7.04</v>
      </c>
      <c r="Z33">
        <v>-6.79</v>
      </c>
      <c r="AA33">
        <v>-6.67</v>
      </c>
      <c r="AB33">
        <v>-6.57</v>
      </c>
    </row>
    <row r="34" spans="2:28" x14ac:dyDescent="0.35">
      <c r="B34">
        <v>-3.4</v>
      </c>
      <c r="C34" s="17">
        <v>-4.2300000000000004</v>
      </c>
      <c r="D34">
        <v>-3.42</v>
      </c>
      <c r="E34">
        <v>-3.26</v>
      </c>
      <c r="F34">
        <v>-4.91</v>
      </c>
      <c r="G34">
        <v>-3.11</v>
      </c>
      <c r="H34">
        <v>-2.5</v>
      </c>
      <c r="I34">
        <v>-3.27</v>
      </c>
      <c r="J34">
        <v>-4.1100000000000003</v>
      </c>
      <c r="K34">
        <v>-4.6500000000000004</v>
      </c>
      <c r="L34">
        <v>-4.09</v>
      </c>
      <c r="M34">
        <v>-4.6500000000000004</v>
      </c>
      <c r="N34">
        <v>-3.97</v>
      </c>
      <c r="O34">
        <v>-5.48</v>
      </c>
      <c r="P34">
        <v>-5.46</v>
      </c>
      <c r="Q34">
        <v>-16.97</v>
      </c>
      <c r="R34">
        <v>-8.94</v>
      </c>
      <c r="S34">
        <v>-4.6900000000000004</v>
      </c>
      <c r="T34">
        <v>-3.42</v>
      </c>
      <c r="U34">
        <v>-5.45</v>
      </c>
      <c r="V34">
        <v>-5.91</v>
      </c>
      <c r="W34">
        <v>-10.92</v>
      </c>
      <c r="X34">
        <v>-8.61</v>
      </c>
      <c r="Y34">
        <v>-7.94</v>
      </c>
      <c r="Z34">
        <v>-7.57</v>
      </c>
      <c r="AA34">
        <v>-7.33</v>
      </c>
      <c r="AB34">
        <v>-7.12</v>
      </c>
    </row>
    <row r="35" spans="2:28" x14ac:dyDescent="0.35">
      <c r="B35">
        <v>-3.4</v>
      </c>
      <c r="C35" s="17">
        <v>-4.2300000000000004</v>
      </c>
      <c r="D35">
        <v>-3.42</v>
      </c>
      <c r="E35">
        <v>-3.26</v>
      </c>
      <c r="F35">
        <v>-4.91</v>
      </c>
      <c r="G35">
        <v>-3.11</v>
      </c>
      <c r="H35">
        <v>-2.5</v>
      </c>
      <c r="I35">
        <v>-3.27</v>
      </c>
      <c r="J35">
        <v>-4.1100000000000003</v>
      </c>
      <c r="K35">
        <v>-4.6500000000000004</v>
      </c>
      <c r="L35">
        <v>-4.09</v>
      </c>
      <c r="M35">
        <v>-4.6500000000000004</v>
      </c>
      <c r="N35">
        <v>-3.97</v>
      </c>
      <c r="O35">
        <v>-5.48</v>
      </c>
      <c r="P35">
        <v>-5.46</v>
      </c>
      <c r="Q35">
        <v>-16.97</v>
      </c>
      <c r="R35">
        <v>-8.94</v>
      </c>
      <c r="S35">
        <v>-4.6900000000000004</v>
      </c>
      <c r="T35">
        <v>-3.42</v>
      </c>
      <c r="U35">
        <v>-5.45</v>
      </c>
      <c r="V35">
        <v>-5.91</v>
      </c>
      <c r="W35">
        <v>-11.99</v>
      </c>
      <c r="X35">
        <v>-9.32</v>
      </c>
      <c r="Y35">
        <v>-8.5299999999999994</v>
      </c>
      <c r="Z35">
        <v>-8.14</v>
      </c>
      <c r="AA35">
        <v>-7.89</v>
      </c>
      <c r="AB35">
        <v>-7.66</v>
      </c>
    </row>
    <row r="36" spans="2:28" x14ac:dyDescent="0.35">
      <c r="B36">
        <v>-3.4</v>
      </c>
      <c r="C36" s="17">
        <v>-4.2300000000000004</v>
      </c>
      <c r="D36">
        <v>-3.42</v>
      </c>
      <c r="E36">
        <v>-3.26</v>
      </c>
      <c r="F36">
        <v>-4.91</v>
      </c>
      <c r="G36">
        <v>-3.11</v>
      </c>
      <c r="H36">
        <v>-2.5</v>
      </c>
      <c r="I36">
        <v>-3.27</v>
      </c>
      <c r="J36">
        <v>-4.1100000000000003</v>
      </c>
      <c r="K36">
        <v>-4.6500000000000004</v>
      </c>
      <c r="L36">
        <v>-4.09</v>
      </c>
      <c r="M36">
        <v>-4.6500000000000004</v>
      </c>
      <c r="N36">
        <v>-3.97</v>
      </c>
      <c r="O36">
        <v>-5.48</v>
      </c>
      <c r="P36">
        <v>-5.46</v>
      </c>
      <c r="Q36">
        <v>-16.97</v>
      </c>
      <c r="R36">
        <v>-8.94</v>
      </c>
      <c r="S36">
        <v>-4.6900000000000004</v>
      </c>
      <c r="T36">
        <v>-3.42</v>
      </c>
      <c r="U36">
        <v>-5.45</v>
      </c>
      <c r="V36">
        <v>-5.91</v>
      </c>
      <c r="W36">
        <v>-11.91</v>
      </c>
      <c r="X36">
        <v>-8.73</v>
      </c>
      <c r="Y36">
        <v>-8.1</v>
      </c>
      <c r="Z36">
        <v>-7.81</v>
      </c>
      <c r="AA36">
        <v>-7.66</v>
      </c>
      <c r="AB36">
        <v>-7.49</v>
      </c>
    </row>
    <row r="37" spans="2:28" x14ac:dyDescent="0.35">
      <c r="B37">
        <v>-3.4</v>
      </c>
      <c r="C37" s="17">
        <v>-4.2300000000000004</v>
      </c>
      <c r="D37">
        <v>-3.42</v>
      </c>
      <c r="E37">
        <v>-3.26</v>
      </c>
      <c r="F37">
        <v>-4.91</v>
      </c>
      <c r="G37">
        <v>-3.11</v>
      </c>
      <c r="H37">
        <v>-2.5</v>
      </c>
      <c r="I37">
        <v>-3.27</v>
      </c>
      <c r="J37">
        <v>-4.1100000000000003</v>
      </c>
      <c r="K37">
        <v>-4.6500000000000004</v>
      </c>
      <c r="L37">
        <v>-4.09</v>
      </c>
      <c r="M37">
        <v>-4.6500000000000004</v>
      </c>
      <c r="N37">
        <v>-3.97</v>
      </c>
      <c r="O37">
        <v>-5.48</v>
      </c>
      <c r="P37">
        <v>-5.46</v>
      </c>
      <c r="Q37">
        <v>-16.97</v>
      </c>
      <c r="R37">
        <v>-8.94</v>
      </c>
      <c r="S37">
        <v>-4.6900000000000004</v>
      </c>
      <c r="T37">
        <v>-3.42</v>
      </c>
      <c r="U37">
        <v>-5.45</v>
      </c>
      <c r="V37">
        <v>-5.91</v>
      </c>
      <c r="W37">
        <v>-12.68</v>
      </c>
      <c r="X37">
        <v>-8.82</v>
      </c>
      <c r="Y37">
        <v>-7.86</v>
      </c>
      <c r="Z37">
        <v>-7.36</v>
      </c>
      <c r="AA37">
        <v>-7.12</v>
      </c>
      <c r="AB37">
        <v>-6.94</v>
      </c>
    </row>
    <row r="38" spans="2:28" x14ac:dyDescent="0.35">
      <c r="B38">
        <v>-3.4</v>
      </c>
      <c r="C38" s="17">
        <v>-4.2300000000000004</v>
      </c>
      <c r="D38">
        <v>-3.42</v>
      </c>
      <c r="E38">
        <v>-3.26</v>
      </c>
      <c r="F38">
        <v>-4.91</v>
      </c>
      <c r="G38">
        <v>-3.11</v>
      </c>
      <c r="H38">
        <v>-2.5</v>
      </c>
      <c r="I38">
        <v>-3.27</v>
      </c>
      <c r="J38">
        <v>-4.1100000000000003</v>
      </c>
      <c r="K38">
        <v>-4.6500000000000004</v>
      </c>
      <c r="L38">
        <v>-4.09</v>
      </c>
      <c r="M38">
        <v>-4.6500000000000004</v>
      </c>
      <c r="N38">
        <v>-3.97</v>
      </c>
      <c r="O38">
        <v>-5.48</v>
      </c>
      <c r="P38">
        <v>-5.46</v>
      </c>
      <c r="Q38">
        <v>-16.97</v>
      </c>
      <c r="R38">
        <v>-8.94</v>
      </c>
      <c r="S38">
        <v>-4.6900000000000004</v>
      </c>
      <c r="T38">
        <v>-3.42</v>
      </c>
      <c r="U38">
        <v>-5.45</v>
      </c>
      <c r="V38">
        <v>-5.91</v>
      </c>
      <c r="W38">
        <v>-13.21</v>
      </c>
      <c r="X38">
        <v>-8.91</v>
      </c>
      <c r="Y38">
        <v>-7.8</v>
      </c>
      <c r="Z38">
        <v>-7.34</v>
      </c>
      <c r="AA38">
        <v>-7.15</v>
      </c>
      <c r="AB38">
        <v>-7.01</v>
      </c>
    </row>
    <row r="39" spans="2:28" x14ac:dyDescent="0.35">
      <c r="B39">
        <v>-3.4</v>
      </c>
      <c r="C39" s="17">
        <v>-4.2300000000000004</v>
      </c>
      <c r="D39">
        <v>-3.42</v>
      </c>
      <c r="E39">
        <v>-3.26</v>
      </c>
      <c r="F39">
        <v>-4.91</v>
      </c>
      <c r="G39">
        <v>-3.11</v>
      </c>
      <c r="H39">
        <v>-2.5</v>
      </c>
      <c r="I39">
        <v>-3.27</v>
      </c>
      <c r="J39">
        <v>-4.1100000000000003</v>
      </c>
      <c r="K39">
        <v>-4.6500000000000004</v>
      </c>
      <c r="L39">
        <v>-4.09</v>
      </c>
      <c r="M39">
        <v>-4.6500000000000004</v>
      </c>
      <c r="N39">
        <v>-3.97</v>
      </c>
      <c r="O39">
        <v>-5.48</v>
      </c>
      <c r="P39">
        <v>-5.46</v>
      </c>
      <c r="Q39">
        <v>-16.97</v>
      </c>
      <c r="R39">
        <v>-8.94</v>
      </c>
      <c r="S39">
        <v>-4.6900000000000004</v>
      </c>
      <c r="T39">
        <v>-3.42</v>
      </c>
      <c r="U39">
        <v>-5.45</v>
      </c>
      <c r="V39">
        <v>-5.91</v>
      </c>
      <c r="W39">
        <v>-13.11</v>
      </c>
      <c r="X39">
        <v>-9.61</v>
      </c>
      <c r="Y39">
        <v>-8.36</v>
      </c>
      <c r="Z39">
        <v>-7.74</v>
      </c>
      <c r="AA39">
        <v>-7.44</v>
      </c>
      <c r="AB39">
        <v>-7.22</v>
      </c>
    </row>
    <row r="40" spans="2:28" x14ac:dyDescent="0.35">
      <c r="C40" s="17"/>
    </row>
    <row r="41" spans="2:28" x14ac:dyDescent="0.35">
      <c r="C41" s="17"/>
    </row>
    <row r="42" spans="2:28" x14ac:dyDescent="0.35">
      <c r="C42" s="17"/>
    </row>
    <row r="43" spans="2:28" x14ac:dyDescent="0.35">
      <c r="C43" s="17"/>
    </row>
    <row r="44" spans="2:28" x14ac:dyDescent="0.35">
      <c r="C44" s="17"/>
    </row>
    <row r="45" spans="2:28" x14ac:dyDescent="0.35">
      <c r="C45" s="17"/>
    </row>
    <row r="46" spans="2:28" x14ac:dyDescent="0.35">
      <c r="C46" s="17"/>
    </row>
    <row r="47" spans="2:28" x14ac:dyDescent="0.35">
      <c r="C47" s="17"/>
    </row>
    <row r="48" spans="2:28" x14ac:dyDescent="0.35">
      <c r="C48" s="17"/>
    </row>
    <row r="49" spans="3:3" x14ac:dyDescent="0.35">
      <c r="C49" s="17"/>
    </row>
    <row r="50" spans="3:3" x14ac:dyDescent="0.35">
      <c r="C50" s="17"/>
    </row>
    <row r="51" spans="3:3" x14ac:dyDescent="0.35">
      <c r="C51" s="17"/>
    </row>
    <row r="52" spans="3:3" x14ac:dyDescent="0.35">
      <c r="C52" s="17"/>
    </row>
    <row r="53" spans="3:3" x14ac:dyDescent="0.35">
      <c r="C53" s="17"/>
    </row>
    <row r="54" spans="3:3" x14ac:dyDescent="0.35">
      <c r="C54" s="17"/>
    </row>
    <row r="55" spans="3:3" x14ac:dyDescent="0.35">
      <c r="C55" s="17"/>
    </row>
    <row r="56" spans="3:3" x14ac:dyDescent="0.35">
      <c r="C56" s="17"/>
    </row>
    <row r="57" spans="3:3" x14ac:dyDescent="0.35">
      <c r="C57" s="17"/>
    </row>
    <row r="58" spans="3:3" x14ac:dyDescent="0.35">
      <c r="C58" s="17"/>
    </row>
    <row r="59" spans="3:3" x14ac:dyDescent="0.35">
      <c r="C59" s="17"/>
    </row>
    <row r="60" spans="3:3" x14ac:dyDescent="0.35">
      <c r="C60" s="17"/>
    </row>
    <row r="61" spans="3:3" x14ac:dyDescent="0.35">
      <c r="C61" s="17"/>
    </row>
    <row r="62" spans="3:3" x14ac:dyDescent="0.35">
      <c r="C62" s="17"/>
    </row>
    <row r="63" spans="3:3" x14ac:dyDescent="0.35">
      <c r="C63" s="17"/>
    </row>
    <row r="64" spans="3:3" x14ac:dyDescent="0.35">
      <c r="C64" s="17"/>
    </row>
    <row r="65" spans="3:3" x14ac:dyDescent="0.35">
      <c r="C65" s="17"/>
    </row>
    <row r="66" spans="3:3" x14ac:dyDescent="0.35">
      <c r="C66" s="17"/>
    </row>
    <row r="67" spans="3:3" x14ac:dyDescent="0.35">
      <c r="C67" s="17"/>
    </row>
    <row r="68" spans="3:3" x14ac:dyDescent="0.35">
      <c r="C68" s="17"/>
    </row>
    <row r="69" spans="3:3" x14ac:dyDescent="0.35">
      <c r="C69" s="17"/>
    </row>
    <row r="70" spans="3:3" x14ac:dyDescent="0.35">
      <c r="C70" s="17"/>
    </row>
    <row r="71" spans="3:3" x14ac:dyDescent="0.35">
      <c r="C71" s="17"/>
    </row>
    <row r="72" spans="3:3" x14ac:dyDescent="0.35">
      <c r="C72" s="17"/>
    </row>
    <row r="73" spans="3:3" x14ac:dyDescent="0.35">
      <c r="C73" s="17"/>
    </row>
    <row r="74" spans="3:3" x14ac:dyDescent="0.35">
      <c r="C74" s="17"/>
    </row>
    <row r="75" spans="3:3" x14ac:dyDescent="0.35">
      <c r="C75" s="17"/>
    </row>
    <row r="76" spans="3:3" x14ac:dyDescent="0.35">
      <c r="C76" s="17"/>
    </row>
    <row r="77" spans="3:3" x14ac:dyDescent="0.35">
      <c r="C77" s="17"/>
    </row>
    <row r="78" spans="3:3" x14ac:dyDescent="0.35">
      <c r="C78" s="17"/>
    </row>
    <row r="79" spans="3:3" x14ac:dyDescent="0.35">
      <c r="C79" s="17"/>
    </row>
    <row r="80" spans="3:3" x14ac:dyDescent="0.35">
      <c r="C80" s="17"/>
    </row>
    <row r="81" spans="3:3" x14ac:dyDescent="0.35">
      <c r="C81" s="17"/>
    </row>
    <row r="82" spans="3:3" x14ac:dyDescent="0.35">
      <c r="C82" s="17"/>
    </row>
    <row r="83" spans="3:3" x14ac:dyDescent="0.35">
      <c r="C83" s="17"/>
    </row>
    <row r="84" spans="3:3" x14ac:dyDescent="0.35">
      <c r="C84" s="17"/>
    </row>
    <row r="85" spans="3:3" x14ac:dyDescent="0.35">
      <c r="C85" s="17"/>
    </row>
    <row r="86" spans="3:3" x14ac:dyDescent="0.35">
      <c r="C86" s="17"/>
    </row>
    <row r="87" spans="3:3" x14ac:dyDescent="0.35">
      <c r="C87" s="17"/>
    </row>
    <row r="88" spans="3:3" x14ac:dyDescent="0.35">
      <c r="C88" s="17"/>
    </row>
    <row r="89" spans="3:3" x14ac:dyDescent="0.35">
      <c r="C89" s="17"/>
    </row>
    <row r="90" spans="3:3" x14ac:dyDescent="0.35">
      <c r="C90" s="17"/>
    </row>
    <row r="91" spans="3:3" x14ac:dyDescent="0.35">
      <c r="C91" s="17"/>
    </row>
    <row r="92" spans="3:3" x14ac:dyDescent="0.35">
      <c r="C92" s="17"/>
    </row>
    <row r="93" spans="3:3" x14ac:dyDescent="0.35">
      <c r="C93" s="17"/>
    </row>
    <row r="94" spans="3:3" x14ac:dyDescent="0.35">
      <c r="C94" s="17"/>
    </row>
    <row r="95" spans="3:3" x14ac:dyDescent="0.35">
      <c r="C95" s="17"/>
    </row>
    <row r="96" spans="3:3" x14ac:dyDescent="0.35">
      <c r="C96" s="17"/>
    </row>
    <row r="97" spans="3:3" x14ac:dyDescent="0.35">
      <c r="C97" s="17"/>
    </row>
    <row r="98" spans="3:3" x14ac:dyDescent="0.35">
      <c r="C98" s="17"/>
    </row>
    <row r="99" spans="3:3" x14ac:dyDescent="0.35">
      <c r="C99" s="17"/>
    </row>
    <row r="100" spans="3:3" x14ac:dyDescent="0.35">
      <c r="C100" s="17"/>
    </row>
    <row r="101" spans="3:3" x14ac:dyDescent="0.35">
      <c r="C101" s="17"/>
    </row>
    <row r="102" spans="3:3" x14ac:dyDescent="0.35">
      <c r="C102" s="17"/>
    </row>
    <row r="103" spans="3:3" x14ac:dyDescent="0.35">
      <c r="C103" s="17"/>
    </row>
    <row r="104" spans="3:3" x14ac:dyDescent="0.35">
      <c r="C104" s="17"/>
    </row>
    <row r="105" spans="3:3" x14ac:dyDescent="0.35">
      <c r="C105" s="17"/>
    </row>
    <row r="106" spans="3:3" x14ac:dyDescent="0.35">
      <c r="C106" s="17"/>
    </row>
    <row r="107" spans="3:3" x14ac:dyDescent="0.35">
      <c r="C107" s="17"/>
    </row>
    <row r="108" spans="3:3" x14ac:dyDescent="0.35">
      <c r="C108" s="17"/>
    </row>
    <row r="109" spans="3:3" x14ac:dyDescent="0.35">
      <c r="C109" s="17"/>
    </row>
    <row r="110" spans="3:3" x14ac:dyDescent="0.35">
      <c r="C110" s="17"/>
    </row>
    <row r="111" spans="3:3" x14ac:dyDescent="0.35">
      <c r="C111" s="17"/>
    </row>
    <row r="112" spans="3:3" x14ac:dyDescent="0.35">
      <c r="C112" s="17"/>
    </row>
    <row r="113" spans="3:3" x14ac:dyDescent="0.35">
      <c r="C113" s="17"/>
    </row>
    <row r="114" spans="3:3" x14ac:dyDescent="0.35">
      <c r="C114" s="17"/>
    </row>
    <row r="115" spans="3:3" x14ac:dyDescent="0.35">
      <c r="C115" s="17"/>
    </row>
    <row r="116" spans="3:3" x14ac:dyDescent="0.35">
      <c r="C116" s="17"/>
    </row>
    <row r="117" spans="3:3" x14ac:dyDescent="0.35">
      <c r="C117" s="17"/>
    </row>
    <row r="118" spans="3:3" x14ac:dyDescent="0.35">
      <c r="C118" s="17"/>
    </row>
    <row r="119" spans="3:3" x14ac:dyDescent="0.35">
      <c r="C119" s="17"/>
    </row>
    <row r="120" spans="3:3" x14ac:dyDescent="0.35">
      <c r="C120" s="17"/>
    </row>
    <row r="121" spans="3:3" x14ac:dyDescent="0.35">
      <c r="C121" s="17"/>
    </row>
    <row r="122" spans="3:3" x14ac:dyDescent="0.35">
      <c r="C122" s="17"/>
    </row>
    <row r="123" spans="3:3" x14ac:dyDescent="0.35">
      <c r="C123" s="17"/>
    </row>
    <row r="124" spans="3:3" x14ac:dyDescent="0.35">
      <c r="C124" s="17"/>
    </row>
    <row r="125" spans="3:3" x14ac:dyDescent="0.35">
      <c r="C125" s="17"/>
    </row>
    <row r="126" spans="3:3" x14ac:dyDescent="0.35">
      <c r="C126" s="17"/>
    </row>
    <row r="127" spans="3:3" x14ac:dyDescent="0.35">
      <c r="C127" s="17"/>
    </row>
    <row r="128" spans="3:3" x14ac:dyDescent="0.35">
      <c r="C128" s="17"/>
    </row>
    <row r="129" spans="3:3" x14ac:dyDescent="0.35">
      <c r="C129" s="17"/>
    </row>
    <row r="130" spans="3:3" x14ac:dyDescent="0.35">
      <c r="C130" s="17"/>
    </row>
    <row r="131" spans="3:3" x14ac:dyDescent="0.35">
      <c r="C131" s="17"/>
    </row>
    <row r="132" spans="3:3" x14ac:dyDescent="0.35">
      <c r="C132" s="17"/>
    </row>
    <row r="133" spans="3:3" x14ac:dyDescent="0.35">
      <c r="C133" s="17"/>
    </row>
    <row r="134" spans="3:3" x14ac:dyDescent="0.35">
      <c r="C134" s="17"/>
    </row>
    <row r="135" spans="3:3" x14ac:dyDescent="0.35">
      <c r="C135" s="17"/>
    </row>
    <row r="136" spans="3:3" x14ac:dyDescent="0.35">
      <c r="C136" s="17"/>
    </row>
    <row r="137" spans="3:3" x14ac:dyDescent="0.35">
      <c r="C137" s="17"/>
    </row>
    <row r="138" spans="3:3" x14ac:dyDescent="0.35">
      <c r="C138" s="17"/>
    </row>
    <row r="139" spans="3:3" x14ac:dyDescent="0.35">
      <c r="C139" s="17"/>
    </row>
    <row r="140" spans="3:3" x14ac:dyDescent="0.35">
      <c r="C140" s="17"/>
    </row>
    <row r="141" spans="3:3" x14ac:dyDescent="0.35">
      <c r="C141" s="17"/>
    </row>
    <row r="142" spans="3:3" x14ac:dyDescent="0.35">
      <c r="C142" s="17"/>
    </row>
    <row r="143" spans="3:3" x14ac:dyDescent="0.35">
      <c r="C143" s="17"/>
    </row>
    <row r="144" spans="3:3" x14ac:dyDescent="0.35">
      <c r="C144" s="17"/>
    </row>
    <row r="145" spans="3:3" x14ac:dyDescent="0.35">
      <c r="C145" s="17"/>
    </row>
    <row r="146" spans="3:3" x14ac:dyDescent="0.35">
      <c r="C146" s="17"/>
    </row>
    <row r="147" spans="3:3" x14ac:dyDescent="0.35">
      <c r="C147" s="17"/>
    </row>
    <row r="148" spans="3:3" x14ac:dyDescent="0.35">
      <c r="C148" s="17"/>
    </row>
    <row r="149" spans="3:3" x14ac:dyDescent="0.35">
      <c r="C149" s="17"/>
    </row>
    <row r="150" spans="3:3" x14ac:dyDescent="0.35">
      <c r="C150" s="17"/>
    </row>
    <row r="151" spans="3:3" x14ac:dyDescent="0.35">
      <c r="C151" s="17"/>
    </row>
    <row r="152" spans="3:3" x14ac:dyDescent="0.35">
      <c r="C152" s="17"/>
    </row>
    <row r="153" spans="3:3" x14ac:dyDescent="0.35">
      <c r="C153" s="17"/>
    </row>
    <row r="154" spans="3:3" x14ac:dyDescent="0.35">
      <c r="C154" s="17"/>
    </row>
    <row r="155" spans="3:3" x14ac:dyDescent="0.35">
      <c r="C155" s="17"/>
    </row>
    <row r="156" spans="3:3" x14ac:dyDescent="0.35">
      <c r="C156" s="17"/>
    </row>
    <row r="157" spans="3:3" x14ac:dyDescent="0.35">
      <c r="C157" s="17"/>
    </row>
    <row r="158" spans="3:3" x14ac:dyDescent="0.35">
      <c r="C158" s="17"/>
    </row>
    <row r="299" spans="10:12" x14ac:dyDescent="0.35">
      <c r="J299" s="18"/>
      <c r="K299" s="18"/>
      <c r="L299" s="18"/>
    </row>
  </sheetData>
  <dataValidations disablePrompts="1" count="1">
    <dataValidation type="list" allowBlank="1" showInputMessage="1" showErrorMessage="1" sqref="B9" xr:uid="{C51E3972-D923-4D58-8D8A-17328A5D575B}">
      <formula1>$I$1:$J$1</formula1>
    </dataValidation>
  </dataValidations>
  <pageMargins left="0.7" right="0.7" top="0.75" bottom="0.75" header="0.3" footer="0.3"/>
  <pageSetup orientation="portrait" r:id="rId1"/>
  <headerFooter>
    <oddHeader>&amp;C&amp;"Calibri"&amp;10&amp;K008000 Classification: AramcoTrading-US  General Use&amp;1#_x000D_</oddHeader>
    <oddFooter>&amp;C&amp;"Calibri"&amp;11&amp;K000000_x000D_&amp;1#&amp;"Calibri"&amp;10&amp;K008000 This content is classified as AramcoTrading-US General Use by Cantafio, Alberto (ATA) on 2025-11-20T13:00:04.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50DE1-E0F9-4687-A4E4-D1FE12BE70BD}">
  <dimension ref="A1:AT21"/>
  <sheetViews>
    <sheetView workbookViewId="0"/>
  </sheetViews>
  <sheetFormatPr defaultRowHeight="14.5" x14ac:dyDescent="0.35"/>
  <cols>
    <col min="2" max="2" width="13" customWidth="1"/>
    <col min="3" max="3" width="10.1796875" customWidth="1"/>
    <col min="4" max="4" width="13" customWidth="1"/>
    <col min="5" max="5" width="13.81640625" customWidth="1"/>
    <col min="6" max="6" width="12.7265625" customWidth="1"/>
    <col min="7" max="7" width="14.54296875" customWidth="1"/>
    <col min="8" max="8" width="12.1796875" customWidth="1"/>
    <col min="9" max="9" width="10.26953125" customWidth="1"/>
    <col min="10" max="10" width="16.7265625" customWidth="1"/>
    <col min="11" max="11" width="19.81640625" customWidth="1"/>
    <col min="12" max="12" width="22" customWidth="1"/>
    <col min="14" max="14" width="12.453125" customWidth="1"/>
    <col min="15" max="15" width="12.1796875" customWidth="1"/>
    <col min="19" max="19" width="17.453125" customWidth="1"/>
    <col min="20" max="20" width="8.81640625" customWidth="1"/>
    <col min="22" max="22" width="12.453125" customWidth="1"/>
    <col min="23" max="23" width="15" customWidth="1"/>
    <col min="24" max="24" width="15.81640625" customWidth="1"/>
  </cols>
  <sheetData>
    <row r="1" spans="1:46" x14ac:dyDescent="0.35">
      <c r="A1" t="s">
        <v>2221</v>
      </c>
      <c r="B1" t="s">
        <v>1782</v>
      </c>
      <c r="C1" t="s">
        <v>2222</v>
      </c>
      <c r="D1" t="s">
        <v>106</v>
      </c>
      <c r="E1" t="s">
        <v>1784</v>
      </c>
      <c r="F1" t="s">
        <v>1785</v>
      </c>
      <c r="G1" t="s">
        <v>2223</v>
      </c>
      <c r="H1" t="s">
        <v>1804</v>
      </c>
      <c r="I1" t="s">
        <v>1787</v>
      </c>
      <c r="J1" t="s">
        <v>2224</v>
      </c>
      <c r="K1" t="s">
        <v>2225</v>
      </c>
      <c r="L1" t="s">
        <v>1790</v>
      </c>
      <c r="M1" t="s">
        <v>29</v>
      </c>
      <c r="N1" t="s">
        <v>2226</v>
      </c>
      <c r="O1" t="s">
        <v>47</v>
      </c>
      <c r="P1" t="s">
        <v>1874</v>
      </c>
      <c r="Q1" t="s">
        <v>1876</v>
      </c>
      <c r="R1" t="s">
        <v>1872</v>
      </c>
      <c r="S1" t="s">
        <v>2227</v>
      </c>
      <c r="T1" t="s">
        <v>1797</v>
      </c>
      <c r="U1" t="s">
        <v>1877</v>
      </c>
      <c r="V1" t="s">
        <v>1799</v>
      </c>
      <c r="W1" t="s">
        <v>1800</v>
      </c>
      <c r="X1" t="s">
        <v>2228</v>
      </c>
      <c r="Y1" t="s">
        <v>2229</v>
      </c>
      <c r="Z1" t="s">
        <v>2232</v>
      </c>
      <c r="AC1" t="s">
        <v>2253</v>
      </c>
      <c r="AD1" t="s">
        <v>2254</v>
      </c>
      <c r="AE1" t="s">
        <v>2255</v>
      </c>
      <c r="AF1" t="s">
        <v>2256</v>
      </c>
      <c r="AG1" t="s">
        <v>2257</v>
      </c>
      <c r="AH1" t="s">
        <v>2258</v>
      </c>
      <c r="AI1" t="s">
        <v>2259</v>
      </c>
      <c r="AJ1" t="s">
        <v>2260</v>
      </c>
      <c r="AR1" t="s">
        <v>2233</v>
      </c>
      <c r="AT1" t="s">
        <v>2234</v>
      </c>
    </row>
    <row r="2" spans="1:46" x14ac:dyDescent="0.35">
      <c r="A2" t="str">
        <f>'Cargo Econs 2026'!$B$1</f>
        <v>FEB 2026</v>
      </c>
      <c r="B2" s="16">
        <f>'Cargo Econs 2026'!C2</f>
        <v>46081</v>
      </c>
      <c r="C2" t="str">
        <f t="shared" ref="C2:C21" si="0">IF(B2="","",TEXT(B2,"mmm-yy"))</f>
        <v>Feb-26</v>
      </c>
      <c r="D2" t="str">
        <f>'Cargo Econs 2026'!C3</f>
        <v>Gunvor FOB Feb28-01</v>
      </c>
      <c r="E2" t="str">
        <f>'Cargo Econs 2026'!C4</f>
        <v>GUN26HS00014</v>
      </c>
      <c r="F2" t="str">
        <f>'Cargo Econs 2026'!C5</f>
        <v>FOB</v>
      </c>
      <c r="G2">
        <f>'Cargo Econs 2026'!C6</f>
        <v>700</v>
      </c>
      <c r="I2" s="91">
        <f>'Cargo Econs 2026'!C7</f>
        <v>1.1499999999999999</v>
      </c>
      <c r="J2" s="91">
        <f>'Cargo Econs 2026'!C8</f>
        <v>0.4</v>
      </c>
      <c r="K2" s="91">
        <f>'Cargo Econs 2026'!C9</f>
        <v>1.5499999999999998</v>
      </c>
      <c r="L2" s="91">
        <f>'Cargo Econs 2026'!C13</f>
        <v>-2.6100000000000003</v>
      </c>
      <c r="M2" s="91">
        <f>'Cargo Econs 2026'!C14</f>
        <v>0</v>
      </c>
      <c r="N2" s="91">
        <f>'Cargo Econs 2026'!C15</f>
        <v>0</v>
      </c>
      <c r="O2" s="91">
        <f>'Cargo Econs 2026'!C16</f>
        <v>0</v>
      </c>
      <c r="P2" s="91">
        <f>'Cargo Econs 2026'!C17</f>
        <v>0</v>
      </c>
      <c r="Q2" s="91">
        <f>'Cargo Econs 2026'!C18</f>
        <v>0</v>
      </c>
      <c r="R2" s="91">
        <f>'Cargo Econs 2026'!C19</f>
        <v>0</v>
      </c>
      <c r="S2" s="91">
        <f t="shared" ref="S2:S21" si="1">SUM(M2:R2)</f>
        <v>0</v>
      </c>
      <c r="T2" s="91">
        <f>'Cargo Econs 2026'!C22</f>
        <v>-2.6100000000000003</v>
      </c>
      <c r="U2" s="91">
        <f>'Cargo Econs 2026'!C23</f>
        <v>-2.5499999999999998</v>
      </c>
      <c r="V2" s="91">
        <f>'Cargo Econs 2026'!C24</f>
        <v>6.0000000000000497E-2</v>
      </c>
      <c r="W2" s="121">
        <f>'Cargo Econs 2026'!C25</f>
        <v>42.000000000000348</v>
      </c>
      <c r="X2">
        <f>'Cargo Econs 2026'!C36</f>
        <v>0</v>
      </c>
      <c r="Y2" t="str">
        <f t="shared" ref="Y2:Y21" si="2">IF(ABS(V2)&gt;5,"CHECK","OK")</f>
        <v>OK</v>
      </c>
      <c r="Z2">
        <f t="shared" ref="Z2:Z21" si="3">--_xlfn.LET(_xlpm.fm,IF(ISNUMBER(FilterMonth),TEXT(FilterMonth,"mmm-yy"),FilterMonth),AND(OR(_xlpm.fm="All",$C2=_xlpm.fm),OR(FilterVessel="All",$F2=FilterVessel),OR(FilterFlag="No",$Y2="OK")))</f>
        <v>1</v>
      </c>
      <c r="AC2">
        <f>N('Cargo Econs 2026'!C28)</f>
        <v>0</v>
      </c>
      <c r="AD2">
        <f>N('Cargo Econs 2026'!C29)</f>
        <v>0</v>
      </c>
      <c r="AE2">
        <f>N('Cargo Econs 2026'!C30)</f>
        <v>0</v>
      </c>
      <c r="AF2">
        <f>N('Cargo Econs 2026'!C31)</f>
        <v>0</v>
      </c>
      <c r="AG2">
        <f>N('Cargo Econs 2026'!C32)</f>
        <v>0</v>
      </c>
      <c r="AH2">
        <f>N('Cargo Econs 2026'!C33)</f>
        <v>0</v>
      </c>
      <c r="AI2">
        <f t="shared" ref="AI2:AI21" si="4">SUM(AC2:AH2)</f>
        <v>0</v>
      </c>
      <c r="AJ2">
        <f t="shared" ref="AJ2:AJ21" si="5">--_xlfn.LET(_xlpm.fm,IF(ISNUMBER(CostMonth),TEXT(CostMonth,"mmm-yy"),CostMonth),AND(OR(_xlpm.fm="All",$C2=_xlpm.fm),OR(CostVessel="All",$F2=CostVessel),OR(CostFlag="No",$Y2="OK")))</f>
        <v>1</v>
      </c>
      <c r="AR2" t="str" cm="1">
        <f t="array" ref="AR2:AR7">_xlfn.VSTACK("All",TEXT(_xlfn._xlws.SORT(_xlfn.UNIQUE(CargoData[Load Month])),"mmm-yy"))</f>
        <v>All</v>
      </c>
      <c r="AT2" t="str" cm="1">
        <f t="array" ref="AT2:AT5">_xlfn.VSTACK("All",_xlfn._xlws.SORT(_xlfn.UNIQUE(CargoData[Vessel Class])))</f>
        <v>All</v>
      </c>
    </row>
    <row r="3" spans="1:46" x14ac:dyDescent="0.35">
      <c r="A3" t="str">
        <f>'Cargo Econs 2026'!$B$1</f>
        <v>FEB 2026</v>
      </c>
      <c r="B3" s="16">
        <f>'Cargo Econs 2026'!F2</f>
        <v>46081</v>
      </c>
      <c r="C3" t="str">
        <f t="shared" si="0"/>
        <v>Feb-26</v>
      </c>
      <c r="D3" t="str">
        <f>'Cargo Econs 2026'!F3</f>
        <v>Vitol CIF CCLZ Feb 17</v>
      </c>
      <c r="E3" t="str">
        <f>'Cargo Econs 2026'!F4</f>
        <v>VIT26HS00011</v>
      </c>
      <c r="F3" t="str">
        <f>'Cargo Econs 2026'!F5</f>
        <v>Aframax</v>
      </c>
      <c r="G3">
        <f>'Cargo Econs 2026'!F6</f>
        <v>700</v>
      </c>
      <c r="I3" s="91">
        <f>'Cargo Econs 2026'!F7</f>
        <v>1.05</v>
      </c>
      <c r="J3" s="91">
        <f>'Cargo Econs 2026'!F8</f>
        <v>0.15</v>
      </c>
      <c r="K3" s="91">
        <f>'Cargo Econs 2026'!F9</f>
        <v>1.2</v>
      </c>
      <c r="L3" s="91">
        <f>'Cargo Econs 2026'!F13</f>
        <v>-2.9400000000000004</v>
      </c>
      <c r="M3" s="91">
        <f>'Cargo Econs 2026'!F14</f>
        <v>0</v>
      </c>
      <c r="N3" s="91">
        <f>'Cargo Econs 2026'!F15</f>
        <v>0</v>
      </c>
      <c r="O3" s="91">
        <f>'Cargo Econs 2026'!F16</f>
        <v>0</v>
      </c>
      <c r="P3" s="91">
        <f>'Cargo Econs 2026'!F17</f>
        <v>0.66428571428571426</v>
      </c>
      <c r="Q3" s="91">
        <f>'Cargo Econs 2026'!F18</f>
        <v>0</v>
      </c>
      <c r="R3" s="91">
        <f>'Cargo Econs 2026'!F19</f>
        <v>0</v>
      </c>
      <c r="S3" s="91">
        <f t="shared" si="1"/>
        <v>0.66428571428571426</v>
      </c>
      <c r="T3" s="91">
        <f>'Cargo Econs 2026'!F22</f>
        <v>-2.2757142857142862</v>
      </c>
      <c r="U3" s="91">
        <f>'Cargo Econs 2026'!F23</f>
        <v>-2.25</v>
      </c>
      <c r="V3" s="91">
        <f>'Cargo Econs 2026'!F24</f>
        <v>2.5714285714286245E-2</v>
      </c>
      <c r="W3" s="121">
        <f>'Cargo Econs 2026'!F25</f>
        <v>18.000000000000369</v>
      </c>
      <c r="X3">
        <f>'Cargo Econs 2026'!F36</f>
        <v>465</v>
      </c>
      <c r="Y3" t="str">
        <f t="shared" si="2"/>
        <v>OK</v>
      </c>
      <c r="Z3">
        <f t="shared" si="3"/>
        <v>1</v>
      </c>
      <c r="AC3">
        <f>N('Cargo Econs 2026'!F28)</f>
        <v>0</v>
      </c>
      <c r="AD3">
        <f>N('Cargo Econs 2026'!F29)</f>
        <v>0</v>
      </c>
      <c r="AE3">
        <f>N('Cargo Econs 2026'!F30)</f>
        <v>0</v>
      </c>
      <c r="AF3">
        <f>N('Cargo Econs 2026'!F31)</f>
        <v>465</v>
      </c>
      <c r="AG3">
        <f>N('Cargo Econs 2026'!F32)</f>
        <v>0</v>
      </c>
      <c r="AH3">
        <f>N('Cargo Econs 2026'!F33)</f>
        <v>0</v>
      </c>
      <c r="AI3">
        <f t="shared" si="4"/>
        <v>465</v>
      </c>
      <c r="AJ3">
        <f t="shared" si="5"/>
        <v>1</v>
      </c>
      <c r="AR3" t="str">
        <v>Feb-26</v>
      </c>
      <c r="AT3" t="str">
        <v>Aframax</v>
      </c>
    </row>
    <row r="4" spans="1:46" x14ac:dyDescent="0.35">
      <c r="A4" t="str">
        <f>'Cargo Econs 2026'!$B$1</f>
        <v>FEB 2026</v>
      </c>
      <c r="B4" s="16">
        <f>'Cargo Econs 2026'!I2</f>
        <v>46081</v>
      </c>
      <c r="C4" t="str">
        <f t="shared" si="0"/>
        <v>Feb-26</v>
      </c>
      <c r="D4" t="str">
        <f>'Cargo Econs 2026'!I3</f>
        <v>Gunvor FOB Feb 27-28 STG</v>
      </c>
      <c r="E4" t="str">
        <f>'Cargo Econs 2026'!I4</f>
        <v>GUN26HS00012</v>
      </c>
      <c r="F4" t="str">
        <f>'Cargo Econs 2026'!I5</f>
        <v>FOB</v>
      </c>
      <c r="G4">
        <f>'Cargo Econs 2026'!I6</f>
        <v>700</v>
      </c>
      <c r="I4" s="91">
        <f>'Cargo Econs 2026'!I7</f>
        <v>0.95</v>
      </c>
      <c r="J4" s="91">
        <f>'Cargo Econs 2026'!I8</f>
        <v>0.15</v>
      </c>
      <c r="K4" s="91">
        <f>'Cargo Econs 2026'!I9</f>
        <v>1.0999999999999999</v>
      </c>
      <c r="L4" s="91">
        <f>'Cargo Econs 2026'!I13</f>
        <v>-2.96</v>
      </c>
      <c r="M4" s="91">
        <f>'Cargo Econs 2026'!I14</f>
        <v>0</v>
      </c>
      <c r="N4" s="91">
        <f>'Cargo Econs 2026'!I15</f>
        <v>0</v>
      </c>
      <c r="O4" s="91">
        <f>'Cargo Econs 2026'!I16</f>
        <v>0</v>
      </c>
      <c r="P4" s="91">
        <f>'Cargo Econs 2026'!I17</f>
        <v>0</v>
      </c>
      <c r="Q4" s="91">
        <f>'Cargo Econs 2026'!I18</f>
        <v>0</v>
      </c>
      <c r="R4" s="91">
        <f>'Cargo Econs 2026'!I19</f>
        <v>0</v>
      </c>
      <c r="S4" s="91">
        <f t="shared" si="1"/>
        <v>0</v>
      </c>
      <c r="T4" s="91">
        <f>'Cargo Econs 2026'!I22</f>
        <v>-2.96</v>
      </c>
      <c r="U4" s="91">
        <f>'Cargo Econs 2026'!I23</f>
        <v>-2.9</v>
      </c>
      <c r="V4" s="91">
        <f>'Cargo Econs 2026'!I24</f>
        <v>6.0000000000000053E-2</v>
      </c>
      <c r="W4" s="121">
        <f>'Cargo Econs 2026'!I25</f>
        <v>42.000000000000036</v>
      </c>
      <c r="X4">
        <f>'Cargo Econs 2026'!I36</f>
        <v>0</v>
      </c>
      <c r="Y4" t="str">
        <f t="shared" si="2"/>
        <v>OK</v>
      </c>
      <c r="Z4">
        <f t="shared" si="3"/>
        <v>1</v>
      </c>
      <c r="AC4">
        <f>N('Cargo Econs 2026'!I28)</f>
        <v>0</v>
      </c>
      <c r="AD4">
        <f>N('Cargo Econs 2026'!I29)</f>
        <v>0</v>
      </c>
      <c r="AE4">
        <f>N('Cargo Econs 2026'!I30)</f>
        <v>0</v>
      </c>
      <c r="AF4">
        <f>N('Cargo Econs 2026'!I31)</f>
        <v>0</v>
      </c>
      <c r="AG4">
        <f>N('Cargo Econs 2026'!I32)</f>
        <v>0</v>
      </c>
      <c r="AH4">
        <f>N('Cargo Econs 2026'!I33)</f>
        <v>0</v>
      </c>
      <c r="AI4">
        <f t="shared" si="4"/>
        <v>0</v>
      </c>
      <c r="AJ4">
        <f t="shared" si="5"/>
        <v>1</v>
      </c>
      <c r="AR4" t="str">
        <v>Mar-26</v>
      </c>
      <c r="AT4" t="str">
        <v>FOB</v>
      </c>
    </row>
    <row r="5" spans="1:46" x14ac:dyDescent="0.35">
      <c r="A5" t="str">
        <f>'Cargo Econs 2026'!$B$1</f>
        <v>FEB 2026</v>
      </c>
      <c r="B5" s="16">
        <f>'Cargo Econs 2026'!L2</f>
        <v>46081</v>
      </c>
      <c r="C5" t="str">
        <f t="shared" si="0"/>
        <v>Feb-26</v>
      </c>
      <c r="D5" t="str">
        <f>'Cargo Econs 2026'!L3</f>
        <v>Dangote VLCC March 15-25</v>
      </c>
      <c r="E5" t="str">
        <f>'Cargo Econs 2026'!L4</f>
        <v>ARA26HS00023</v>
      </c>
      <c r="F5" t="str">
        <f>'Cargo Econs 2026'!L5</f>
        <v>VLCC</v>
      </c>
      <c r="G5">
        <f>'Cargo Econs 2026'!L6</f>
        <v>2072</v>
      </c>
      <c r="I5" s="91">
        <f>'Cargo Econs 2026'!L7</f>
        <v>0.95</v>
      </c>
      <c r="J5" s="91">
        <f>'Cargo Econs 2026'!L8</f>
        <v>0.37</v>
      </c>
      <c r="K5" s="91">
        <f>'Cargo Econs 2026'!L9</f>
        <v>1.3199999999999998</v>
      </c>
      <c r="L5" s="91">
        <f>'Cargo Econs 2026'!L13</f>
        <v>-2.3100000000000005</v>
      </c>
      <c r="M5" s="91">
        <f>'Cargo Econs 2026'!L14</f>
        <v>2.3407335907335907</v>
      </c>
      <c r="N5" s="91">
        <f>'Cargo Econs 2026'!L15</f>
        <v>0</v>
      </c>
      <c r="O5" s="91">
        <f>'Cargo Econs 2026'!L16</f>
        <v>7.7220077220077218E-2</v>
      </c>
      <c r="P5" s="91">
        <f>'Cargo Econs 2026'!L17</f>
        <v>0.21718146718146719</v>
      </c>
      <c r="Q5" s="91">
        <f>'Cargo Econs 2026'!L18</f>
        <v>0</v>
      </c>
      <c r="R5" s="91">
        <f>'Cargo Econs 2026'!L19</f>
        <v>0.55791505791505791</v>
      </c>
      <c r="S5" s="91">
        <f t="shared" si="1"/>
        <v>3.1930501930501931</v>
      </c>
      <c r="T5" s="91">
        <f>'Cargo Econs 2026'!L22</f>
        <v>0.83305019305019234</v>
      </c>
      <c r="U5" s="91">
        <f>'Cargo Econs 2026'!L23</f>
        <v>1.08</v>
      </c>
      <c r="V5" s="91">
        <f>'Cargo Econs 2026'!L24</f>
        <v>0.24694980694980773</v>
      </c>
      <c r="W5" s="121">
        <f>'Cargo Econs 2026'!L25</f>
        <v>511.6800000000016</v>
      </c>
      <c r="X5">
        <f>'Cargo Econs 2026'!L36</f>
        <v>6616</v>
      </c>
      <c r="Y5" t="str">
        <f t="shared" si="2"/>
        <v>OK</v>
      </c>
      <c r="Z5">
        <f t="shared" si="3"/>
        <v>1</v>
      </c>
      <c r="AC5">
        <f>N('Cargo Econs 2026'!L28)</f>
        <v>4850</v>
      </c>
      <c r="AD5">
        <f>N('Cargo Econs 2026'!L29)</f>
        <v>0</v>
      </c>
      <c r="AE5">
        <f>N('Cargo Econs 2026'!L30)</f>
        <v>160</v>
      </c>
      <c r="AF5">
        <f>N('Cargo Econs 2026'!L31)</f>
        <v>450</v>
      </c>
      <c r="AG5">
        <f>N('Cargo Econs 2026'!L32)</f>
        <v>0</v>
      </c>
      <c r="AH5">
        <f>N('Cargo Econs 2026'!L33)</f>
        <v>1156</v>
      </c>
      <c r="AI5">
        <f t="shared" si="4"/>
        <v>6616</v>
      </c>
      <c r="AJ5">
        <f t="shared" si="5"/>
        <v>1</v>
      </c>
      <c r="AR5" t="str">
        <v>Apr-26</v>
      </c>
      <c r="AT5" t="str">
        <v>VLCC</v>
      </c>
    </row>
    <row r="6" spans="1:46" x14ac:dyDescent="0.35">
      <c r="A6" t="str">
        <f>'Cargo Econs 2026'!$B$1</f>
        <v>FEB 2026</v>
      </c>
      <c r="B6" s="16">
        <f>'Cargo Econs 2026'!O2</f>
        <v>46081</v>
      </c>
      <c r="C6" t="str">
        <f t="shared" si="0"/>
        <v>Feb-26</v>
      </c>
      <c r="D6" t="str">
        <f>'Cargo Econs 2026'!O3</f>
        <v>Feb26 EFP 1</v>
      </c>
      <c r="E6" t="str">
        <f>'Cargo Econs 2026'!O4</f>
        <v>ARA26HS00017</v>
      </c>
      <c r="F6" t="str">
        <f>'Cargo Econs 2026'!O5</f>
        <v>Aframax</v>
      </c>
      <c r="G6">
        <f>'Cargo Econs 2026'!O6</f>
        <v>700</v>
      </c>
      <c r="I6" s="91">
        <f>'Cargo Econs 2026'!O7</f>
        <v>0.7</v>
      </c>
      <c r="J6" s="91">
        <f>'Cargo Econs 2026'!O8</f>
        <v>0.36</v>
      </c>
      <c r="K6" s="91">
        <f>'Cargo Econs 2026'!O9</f>
        <v>1.06</v>
      </c>
      <c r="L6" s="91">
        <f>'Cargo Econs 2026'!O13</f>
        <v>-2.77</v>
      </c>
      <c r="M6" s="91">
        <f>'Cargo Econs 2026'!O14</f>
        <v>4.0363599999999993</v>
      </c>
      <c r="N6" s="91">
        <f>'Cargo Econs 2026'!O15</f>
        <v>-1.0877382</v>
      </c>
      <c r="O6" s="91">
        <f>'Cargo Econs 2026'!O16</f>
        <v>0</v>
      </c>
      <c r="P6" s="91">
        <f>'Cargo Econs 2026'!O17</f>
        <v>0</v>
      </c>
      <c r="Q6" s="91">
        <f>'Cargo Econs 2026'!O18</f>
        <v>0</v>
      </c>
      <c r="R6" s="91">
        <f>'Cargo Econs 2026'!O19</f>
        <v>0</v>
      </c>
      <c r="S6" s="91">
        <f t="shared" si="1"/>
        <v>2.9486217999999993</v>
      </c>
      <c r="T6" s="91">
        <f>'Cargo Econs 2026'!O22</f>
        <v>0.17862179999999928</v>
      </c>
      <c r="U6" s="91">
        <f>'Cargo Econs 2026'!O23</f>
        <v>0.01</v>
      </c>
      <c r="V6" s="91">
        <f>'Cargo Econs 2026'!O24</f>
        <v>-0.16862179999999927</v>
      </c>
      <c r="W6" s="121">
        <f>'Cargo Econs 2026'!O25</f>
        <v>-118.03525999999948</v>
      </c>
      <c r="X6">
        <f>'Cargo Econs 2026'!O36</f>
        <v>2064.0352599999992</v>
      </c>
      <c r="Y6" t="str">
        <f t="shared" si="2"/>
        <v>OK</v>
      </c>
      <c r="Z6">
        <f t="shared" si="3"/>
        <v>1</v>
      </c>
      <c r="AC6">
        <f>N('Cargo Econs 2026'!O28)</f>
        <v>2825.4519999999993</v>
      </c>
      <c r="AD6">
        <f>N('Cargo Econs 2026'!O29)</f>
        <v>-761.41674</v>
      </c>
      <c r="AE6">
        <f>N('Cargo Econs 2026'!O30)</f>
        <v>0</v>
      </c>
      <c r="AF6">
        <f>N('Cargo Econs 2026'!O31)</f>
        <v>0</v>
      </c>
      <c r="AG6">
        <f>N('Cargo Econs 2026'!O32)</f>
        <v>0</v>
      </c>
      <c r="AH6">
        <f>N('Cargo Econs 2026'!O33)</f>
        <v>0</v>
      </c>
      <c r="AI6">
        <f t="shared" si="4"/>
        <v>2064.0352599999992</v>
      </c>
      <c r="AJ6">
        <f t="shared" si="5"/>
        <v>1</v>
      </c>
      <c r="AR6" t="str">
        <v>May-26</v>
      </c>
    </row>
    <row r="7" spans="1:46" x14ac:dyDescent="0.35">
      <c r="A7" t="str">
        <f>'Cargo Econs 2026'!$B$40</f>
        <v>MARCH 2026</v>
      </c>
      <c r="B7" s="16">
        <f>'Cargo Econs 2026'!C42</f>
        <v>46112</v>
      </c>
      <c r="C7" t="str">
        <f t="shared" si="0"/>
        <v>Mar-26</v>
      </c>
      <c r="D7" t="str">
        <f>'Cargo Econs 2026'!C43</f>
        <v>HDO May 1-10 WTI+WTL</v>
      </c>
      <c r="E7" t="str">
        <f>'Cargo Econs 2026'!C44</f>
        <v>ARA26HS00032</v>
      </c>
      <c r="F7" t="str">
        <f>'Cargo Econs 2026'!C45</f>
        <v>VLCC</v>
      </c>
      <c r="G7">
        <f>'Cargo Econs 2026'!C46</f>
        <v>2130</v>
      </c>
      <c r="H7" s="16">
        <f>'Cargo Econs 2026'!C41</f>
        <v>46055</v>
      </c>
      <c r="I7" s="91">
        <f>'Cargo Econs 2026'!C48</f>
        <v>1.1833333333333331</v>
      </c>
      <c r="J7" s="91">
        <f>'Cargo Econs 2026'!C49</f>
        <v>0.41666666666666663</v>
      </c>
      <c r="K7" s="91">
        <f>'Cargo Econs 2026'!C50</f>
        <v>1.5999999999999999</v>
      </c>
      <c r="L7" s="91">
        <f>'Cargo Econs 2026'!C54</f>
        <v>-1.85</v>
      </c>
      <c r="M7" s="91">
        <f>'Cargo Econs 2026'!C55</f>
        <v>6.807511737089202</v>
      </c>
      <c r="N7" s="91">
        <f>'Cargo Econs 2026'!C56</f>
        <v>0</v>
      </c>
      <c r="O7" s="91">
        <f>'Cargo Econs 2026'!C57</f>
        <v>7.5117370892018781E-2</v>
      </c>
      <c r="P7" s="91">
        <f>'Cargo Econs 2026'!C58</f>
        <v>0.21126760563380281</v>
      </c>
      <c r="Q7" s="91">
        <f>'Cargo Econs 2026'!C59</f>
        <v>0.29672004630522864</v>
      </c>
      <c r="R7" s="91">
        <f>'Cargo Econs 2026'!C60</f>
        <v>0.19718309859154917</v>
      </c>
      <c r="S7" s="91">
        <f t="shared" si="1"/>
        <v>7.5877998585118016</v>
      </c>
      <c r="T7" s="91">
        <f>'Cargo Econs 2026'!C63</f>
        <v>6.3077998585118022</v>
      </c>
      <c r="U7" s="91">
        <f>'Cargo Econs 2026'!C64</f>
        <v>6.68</v>
      </c>
      <c r="V7" s="91">
        <f>'Cargo Econs 2026'!C65</f>
        <v>0.37220014148819747</v>
      </c>
      <c r="W7" s="121">
        <f>'Cargo Econs 2026'!C66</f>
        <v>792.78630136986055</v>
      </c>
      <c r="X7">
        <f>'Cargo Econs 2026'!C77</f>
        <v>16162.013698630137</v>
      </c>
      <c r="Y7" t="str">
        <f t="shared" si="2"/>
        <v>OK</v>
      </c>
      <c r="Z7">
        <f t="shared" si="3"/>
        <v>1</v>
      </c>
      <c r="AC7">
        <f>N('Cargo Econs 2026'!C69)</f>
        <v>14500</v>
      </c>
      <c r="AD7">
        <f>N('Cargo Econs 2026'!C70)</f>
        <v>0</v>
      </c>
      <c r="AE7">
        <f>N('Cargo Econs 2026'!C71)</f>
        <v>160</v>
      </c>
      <c r="AF7">
        <f>N('Cargo Econs 2026'!C72)</f>
        <v>450</v>
      </c>
      <c r="AG7">
        <f>N('Cargo Econs 2026'!C73)</f>
        <v>632.01369863013701</v>
      </c>
      <c r="AH7">
        <f>N('Cargo Econs 2026'!C74)</f>
        <v>419.99999999999972</v>
      </c>
      <c r="AI7">
        <f t="shared" si="4"/>
        <v>16162.013698630137</v>
      </c>
      <c r="AJ7">
        <f t="shared" si="5"/>
        <v>1</v>
      </c>
      <c r="AR7" t="str">
        <v>Jun-26</v>
      </c>
    </row>
    <row r="8" spans="1:46" x14ac:dyDescent="0.35">
      <c r="A8" t="str">
        <f>'Cargo Econs 2026'!$B$40</f>
        <v>MARCH 2026</v>
      </c>
      <c r="B8" s="16">
        <f>'Cargo Econs 2026'!F42</f>
        <v>46112</v>
      </c>
      <c r="C8" t="str">
        <f t="shared" si="0"/>
        <v>Mar-26</v>
      </c>
      <c r="D8" t="str">
        <f>'Cargo Econs 2026'!F43</f>
        <v>P66 FOB March 9-14</v>
      </c>
      <c r="E8" t="str">
        <f>'Cargo Econs 2026'!F44</f>
        <v>PHI26HS00007</v>
      </c>
      <c r="F8" t="str">
        <f>'Cargo Econs 2026'!F45</f>
        <v>FOB</v>
      </c>
      <c r="G8">
        <f>'Cargo Econs 2026'!F46</f>
        <v>700</v>
      </c>
      <c r="H8" s="16">
        <f>'Cargo Econs 2026'!F41</f>
        <v>46055</v>
      </c>
      <c r="I8" s="91">
        <f>'Cargo Econs 2026'!F48</f>
        <v>1</v>
      </c>
      <c r="J8" s="91">
        <f>'Cargo Econs 2026'!F49</f>
        <v>0.3</v>
      </c>
      <c r="K8" s="91">
        <f>'Cargo Econs 2026'!F50</f>
        <v>1.3</v>
      </c>
      <c r="L8" s="91">
        <f>'Cargo Econs 2026'!F54</f>
        <v>-2.2399999999999998</v>
      </c>
      <c r="M8" s="91">
        <f>'Cargo Econs 2026'!F55</f>
        <v>0</v>
      </c>
      <c r="N8" s="91">
        <f>'Cargo Econs 2026'!F56</f>
        <v>0</v>
      </c>
      <c r="O8" s="91">
        <f>'Cargo Econs 2026'!F57</f>
        <v>0</v>
      </c>
      <c r="P8" s="91">
        <f>'Cargo Econs 2026'!F58</f>
        <v>0</v>
      </c>
      <c r="Q8" s="91">
        <f>'Cargo Econs 2026'!F59</f>
        <v>0</v>
      </c>
      <c r="R8" s="91">
        <f>'Cargo Econs 2026'!F60</f>
        <v>0</v>
      </c>
      <c r="S8" s="91">
        <f t="shared" si="1"/>
        <v>0</v>
      </c>
      <c r="T8" s="91">
        <f>'Cargo Econs 2026'!F63</f>
        <v>-2.2399999999999998</v>
      </c>
      <c r="U8" s="91">
        <f>'Cargo Econs 2026'!F64</f>
        <v>-2.2200000000000002</v>
      </c>
      <c r="V8" s="91">
        <f>'Cargo Econs 2026'!F65</f>
        <v>1.9999999999999574E-2</v>
      </c>
      <c r="W8" s="121">
        <f>'Cargo Econs 2026'!F66</f>
        <v>13.999999999999702</v>
      </c>
      <c r="X8">
        <f>'Cargo Econs 2026'!F77</f>
        <v>0</v>
      </c>
      <c r="Y8" t="str">
        <f t="shared" si="2"/>
        <v>OK</v>
      </c>
      <c r="Z8">
        <f t="shared" si="3"/>
        <v>1</v>
      </c>
      <c r="AC8">
        <f>N('Cargo Econs 2026'!F69)</f>
        <v>0</v>
      </c>
      <c r="AD8">
        <f>N('Cargo Econs 2026'!F70)</f>
        <v>0</v>
      </c>
      <c r="AE8">
        <f>N('Cargo Econs 2026'!F71)</f>
        <v>0</v>
      </c>
      <c r="AF8">
        <f>N('Cargo Econs 2026'!F72)</f>
        <v>0</v>
      </c>
      <c r="AG8">
        <f>N('Cargo Econs 2026'!F73)</f>
        <v>0</v>
      </c>
      <c r="AH8">
        <f>N('Cargo Econs 2026'!F74)</f>
        <v>0</v>
      </c>
      <c r="AI8">
        <f t="shared" si="4"/>
        <v>0</v>
      </c>
      <c r="AJ8">
        <f t="shared" si="5"/>
        <v>1</v>
      </c>
    </row>
    <row r="9" spans="1:46" x14ac:dyDescent="0.35">
      <c r="A9" t="str">
        <f>'Cargo Econs 2026'!$B$40</f>
        <v>MARCH 2026</v>
      </c>
      <c r="B9" s="16">
        <f>'Cargo Econs 2026'!I42</f>
        <v>46112</v>
      </c>
      <c r="C9" t="str">
        <f t="shared" si="0"/>
        <v>Mar-26</v>
      </c>
      <c r="D9" t="str">
        <f>'Cargo Econs 2026'!I43</f>
        <v>April26 EFP 1</v>
      </c>
      <c r="E9" t="str">
        <f>'Cargo Econs 2026'!I44</f>
        <v>ARA26HS000036</v>
      </c>
      <c r="F9" t="str">
        <f>'Cargo Econs 2026'!I45</f>
        <v>Aframax</v>
      </c>
      <c r="G9">
        <f>'Cargo Econs 2026'!I46</f>
        <v>700</v>
      </c>
      <c r="H9" s="16">
        <f>'Cargo Econs 2026'!I41</f>
        <v>46078</v>
      </c>
      <c r="I9" s="91">
        <f>'Cargo Econs 2026'!I48</f>
        <v>1.1000000000000001</v>
      </c>
      <c r="J9" s="91">
        <f>'Cargo Econs 2026'!I49</f>
        <v>-0.2</v>
      </c>
      <c r="K9" s="91">
        <f>'Cargo Econs 2026'!I50</f>
        <v>0.90000000000000013</v>
      </c>
      <c r="L9" s="91">
        <f>'Cargo Econs 2026'!I54</f>
        <v>-4.5</v>
      </c>
      <c r="M9" s="91">
        <f>'Cargo Econs 2026'!I55</f>
        <v>5.6571300000000004</v>
      </c>
      <c r="N9" s="91">
        <f>'Cargo Econs 2026'!I56</f>
        <v>-1.3918446428571429</v>
      </c>
      <c r="O9" s="91">
        <f>'Cargo Econs 2026'!I57</f>
        <v>0</v>
      </c>
      <c r="P9" s="91">
        <f>'Cargo Econs 2026'!I58</f>
        <v>0</v>
      </c>
      <c r="Q9" s="91">
        <f>'Cargo Econs 2026'!I59</f>
        <v>0.12</v>
      </c>
      <c r="R9" s="91">
        <f>'Cargo Econs 2026'!I60</f>
        <v>0</v>
      </c>
      <c r="S9" s="91">
        <f t="shared" si="1"/>
        <v>4.3852853571428581</v>
      </c>
      <c r="T9" s="91">
        <f>'Cargo Econs 2026'!I63</f>
        <v>-0.1147146428571425</v>
      </c>
      <c r="U9" s="91">
        <f>'Cargo Econs 2026'!I64</f>
        <v>-0.02</v>
      </c>
      <c r="V9" s="91">
        <f>'Cargo Econs 2026'!I65</f>
        <v>9.4714642857142498E-2</v>
      </c>
      <c r="W9" s="121">
        <f>'Cargo Econs 2026'!I66</f>
        <v>66.30024999999975</v>
      </c>
      <c r="X9">
        <f>'Cargo Econs 2026'!I77</f>
        <v>3069.6997500000007</v>
      </c>
      <c r="Y9" t="str">
        <f t="shared" si="2"/>
        <v>OK</v>
      </c>
      <c r="Z9">
        <f t="shared" si="3"/>
        <v>1</v>
      </c>
      <c r="AC9">
        <f>N('Cargo Econs 2026'!I69)</f>
        <v>3959.9910000000004</v>
      </c>
      <c r="AD9">
        <f>N('Cargo Econs 2026'!I70)</f>
        <v>-974.29124999999999</v>
      </c>
      <c r="AE9">
        <f>N('Cargo Econs 2026'!I71)</f>
        <v>0</v>
      </c>
      <c r="AF9">
        <f>N('Cargo Econs 2026'!I72)</f>
        <v>0</v>
      </c>
      <c r="AG9">
        <f>N('Cargo Econs 2026'!I73)</f>
        <v>84</v>
      </c>
      <c r="AH9">
        <f>N('Cargo Econs 2026'!I74)</f>
        <v>0</v>
      </c>
      <c r="AI9">
        <f t="shared" si="4"/>
        <v>3069.6997500000007</v>
      </c>
      <c r="AJ9">
        <f t="shared" si="5"/>
        <v>1</v>
      </c>
    </row>
    <row r="10" spans="1:46" x14ac:dyDescent="0.35">
      <c r="A10" t="str">
        <f>'Cargo Econs 2026'!$B$40</f>
        <v>MARCH 2026</v>
      </c>
      <c r="B10" s="16">
        <f>'Cargo Econs 2026'!L42</f>
        <v>46142</v>
      </c>
      <c r="C10" t="str">
        <f t="shared" si="0"/>
        <v>Apr-26</v>
      </c>
      <c r="D10" t="str">
        <f>'Cargo Econs 2026'!L43</f>
        <v>GS Caltex Taiwan May 24-28</v>
      </c>
      <c r="E10" t="str">
        <f>'Cargo Econs 2026'!L44</f>
        <v>ARA26HS00046</v>
      </c>
      <c r="F10" t="str">
        <f>'Cargo Econs 2026'!L45</f>
        <v>VLCC</v>
      </c>
      <c r="G10">
        <f>'Cargo Econs 2026'!L46</f>
        <v>2079</v>
      </c>
      <c r="H10" s="16">
        <f>'Cargo Econs 2026'!L41</f>
        <v>46080</v>
      </c>
      <c r="I10" s="91">
        <f>'Cargo Econs 2026'!L48</f>
        <v>0.9</v>
      </c>
      <c r="J10" s="91">
        <f>'Cargo Econs 2026'!L49</f>
        <v>0</v>
      </c>
      <c r="K10" s="91">
        <f>'Cargo Econs 2026'!L50</f>
        <v>0.9</v>
      </c>
      <c r="L10" s="91">
        <f>'Cargo Econs 2026'!L54</f>
        <v>-4.3499999999999996</v>
      </c>
      <c r="M10" s="91">
        <f>'Cargo Econs 2026'!L55</f>
        <v>8.0086580086580081</v>
      </c>
      <c r="N10" s="91">
        <f>'Cargo Econs 2026'!L56</f>
        <v>0</v>
      </c>
      <c r="O10" s="91">
        <f>'Cargo Econs 2026'!L57</f>
        <v>0.11544011544011544</v>
      </c>
      <c r="P10" s="91">
        <f>'Cargo Econs 2026'!L58</f>
        <v>0.21645021645021645</v>
      </c>
      <c r="Q10" s="91">
        <f>'Cargo Econs 2026'!L59</f>
        <v>0</v>
      </c>
      <c r="R10" s="91">
        <f>'Cargo Econs 2026'!L60</f>
        <v>0.21147065897065903</v>
      </c>
      <c r="S10" s="91">
        <f t="shared" si="1"/>
        <v>8.5520189995189995</v>
      </c>
      <c r="T10" s="91">
        <f>'Cargo Econs 2026'!L63</f>
        <v>6.0920189995189986</v>
      </c>
      <c r="U10" s="91">
        <f>'Cargo Econs 2026'!L64</f>
        <v>6.09</v>
      </c>
      <c r="V10" s="91">
        <f>'Cargo Econs 2026'!L65</f>
        <v>-2.0189995189987542E-3</v>
      </c>
      <c r="W10" s="121">
        <f>'Cargo Econs 2026'!L66</f>
        <v>-4.1974999999984099</v>
      </c>
      <c r="X10">
        <f>'Cargo Econs 2026'!L77</f>
        <v>17779.647499999999</v>
      </c>
      <c r="Y10" t="str">
        <f t="shared" si="2"/>
        <v>OK</v>
      </c>
      <c r="Z10">
        <f t="shared" si="3"/>
        <v>1</v>
      </c>
      <c r="AC10">
        <f>N('Cargo Econs 2026'!L69)</f>
        <v>16650</v>
      </c>
      <c r="AD10">
        <f>N('Cargo Econs 2026'!L70)</f>
        <v>0</v>
      </c>
      <c r="AE10">
        <f>N('Cargo Econs 2026'!L71)</f>
        <v>240</v>
      </c>
      <c r="AF10">
        <f>N('Cargo Econs 2026'!L72)</f>
        <v>450</v>
      </c>
      <c r="AG10">
        <f>N('Cargo Econs 2026'!L73)</f>
        <v>0</v>
      </c>
      <c r="AH10">
        <f>N('Cargo Econs 2026'!L74)</f>
        <v>439.64750000000015</v>
      </c>
      <c r="AI10">
        <f t="shared" si="4"/>
        <v>17779.647499999999</v>
      </c>
      <c r="AJ10">
        <f t="shared" si="5"/>
        <v>1</v>
      </c>
    </row>
    <row r="11" spans="1:46" x14ac:dyDescent="0.35">
      <c r="A11" t="str">
        <f>'Cargo Econs 2026'!$B$81</f>
        <v>APRIL 2026</v>
      </c>
      <c r="B11" s="16">
        <f>'Cargo Econs 2026'!C83</f>
        <v>46142</v>
      </c>
      <c r="C11" t="str">
        <f t="shared" si="0"/>
        <v>Apr-26</v>
      </c>
      <c r="D11" t="str">
        <f>'Cargo Econs 2026'!C84</f>
        <v>HDO FOB APR 7-12</v>
      </c>
      <c r="E11" t="str">
        <f>'Cargo Econs 2026'!C85</f>
        <v>HDH26HS00001</v>
      </c>
      <c r="F11" t="str">
        <f>'Cargo Econs 2026'!C86</f>
        <v>FOB</v>
      </c>
      <c r="G11">
        <f>'Cargo Econs 2026'!C87</f>
        <v>1900</v>
      </c>
      <c r="H11" s="16">
        <f>'Cargo Econs 2026'!C82</f>
        <v>46080</v>
      </c>
      <c r="I11" s="91">
        <f>'Cargo Econs 2026'!C89</f>
        <v>0.9</v>
      </c>
      <c r="J11" s="91">
        <f>'Cargo Econs 2026'!C90</f>
        <v>0.72263157894736851</v>
      </c>
      <c r="K11" s="91">
        <f>'Cargo Econs 2026'!C91</f>
        <v>1.6226315789473684</v>
      </c>
      <c r="L11" s="91">
        <f>'Cargo Econs 2026'!C95</f>
        <v>-3.6273684210526316</v>
      </c>
      <c r="M11" s="91">
        <f>'Cargo Econs 2026'!C96</f>
        <v>0</v>
      </c>
      <c r="N11" s="91">
        <f>'Cargo Econs 2026'!C97</f>
        <v>0</v>
      </c>
      <c r="O11" s="91">
        <f>'Cargo Econs 2026'!C98</f>
        <v>0</v>
      </c>
      <c r="P11" s="91">
        <f>'Cargo Econs 2026'!C99</f>
        <v>0.19736842105263158</v>
      </c>
      <c r="Q11" s="91">
        <f>'Cargo Econs 2026'!C100</f>
        <v>0</v>
      </c>
      <c r="R11" s="91">
        <f>'Cargo Econs 2026'!C101</f>
        <v>0</v>
      </c>
      <c r="S11" s="91">
        <f t="shared" si="1"/>
        <v>0.19736842105263158</v>
      </c>
      <c r="T11" s="91">
        <f>'Cargo Econs 2026'!C104</f>
        <v>-1.4880000000000004</v>
      </c>
      <c r="U11" s="402">
        <f>'Cargo Econs 2026'!C105</f>
        <v>-0.94874999999999987</v>
      </c>
      <c r="V11" s="91">
        <f>'Cargo Econs 2026'!C106</f>
        <v>0.53925000000000056</v>
      </c>
      <c r="W11" s="121">
        <f>'Cargo Econs 2026'!C107</f>
        <v>1024.575000000001</v>
      </c>
      <c r="X11">
        <f>'Cargo Econs 2026'!C118</f>
        <v>375</v>
      </c>
      <c r="Y11" t="str">
        <f t="shared" si="2"/>
        <v>OK</v>
      </c>
      <c r="Z11">
        <f t="shared" si="3"/>
        <v>1</v>
      </c>
      <c r="AC11">
        <f>N('Cargo Econs 2026'!C110)</f>
        <v>0</v>
      </c>
      <c r="AD11">
        <f>N('Cargo Econs 2026'!C111)</f>
        <v>0</v>
      </c>
      <c r="AE11">
        <f>N('Cargo Econs 2026'!C112)</f>
        <v>0</v>
      </c>
      <c r="AF11">
        <f>N('Cargo Econs 2026'!C113)</f>
        <v>375</v>
      </c>
      <c r="AG11">
        <f>N('Cargo Econs 2026'!C114)</f>
        <v>0</v>
      </c>
      <c r="AH11">
        <f>N('Cargo Econs 2026'!C115)</f>
        <v>0</v>
      </c>
      <c r="AI11">
        <f t="shared" si="4"/>
        <v>375</v>
      </c>
      <c r="AJ11">
        <f t="shared" si="5"/>
        <v>1</v>
      </c>
    </row>
    <row r="12" spans="1:46" x14ac:dyDescent="0.35">
      <c r="A12" t="str">
        <f>'Cargo Econs 2026'!$B$81</f>
        <v>APRIL 2026</v>
      </c>
      <c r="B12" s="16">
        <f>'Cargo Econs 2026'!F83</f>
        <v>46142</v>
      </c>
      <c r="C12" t="str">
        <f t="shared" si="0"/>
        <v>Apr-26</v>
      </c>
      <c r="D12" t="str">
        <f>'Cargo Econs 2026'!F84</f>
        <v>May26 EFP 1</v>
      </c>
      <c r="E12" t="str">
        <f>'Cargo Econs 2026'!F85</f>
        <v>ARA26HS00044</v>
      </c>
      <c r="F12" t="str">
        <f>'Cargo Econs 2026'!F86</f>
        <v>Aframax</v>
      </c>
      <c r="G12">
        <f>'Cargo Econs 2026'!F87</f>
        <v>700</v>
      </c>
      <c r="H12" s="16">
        <f>'Cargo Econs 2026'!F82</f>
        <v>46097</v>
      </c>
      <c r="I12" s="91">
        <f>'Cargo Econs 2026'!F89</f>
        <v>2.2999999999999998</v>
      </c>
      <c r="J12" s="91">
        <f>'Cargo Econs 2026'!F90</f>
        <v>0</v>
      </c>
      <c r="K12" s="91">
        <f>'Cargo Econs 2026'!F91</f>
        <v>2.2999999999999998</v>
      </c>
      <c r="L12" s="91">
        <f>'Cargo Econs 2026'!F95</f>
        <v>3.4299999999999997</v>
      </c>
      <c r="M12" s="91">
        <f>'Cargo Econs 2026'!F96</f>
        <v>0.2</v>
      </c>
      <c r="N12" s="91">
        <f>'Cargo Econs 2026'!F97</f>
        <v>0</v>
      </c>
      <c r="O12" s="91">
        <f>'Cargo Econs 2026'!F98</f>
        <v>0</v>
      </c>
      <c r="P12" s="91">
        <f>'Cargo Econs 2026'!F99</f>
        <v>0</v>
      </c>
      <c r="Q12" s="91">
        <f>'Cargo Econs 2026'!F100</f>
        <v>0</v>
      </c>
      <c r="R12" s="91">
        <f>'Cargo Econs 2026'!F101</f>
        <v>0</v>
      </c>
      <c r="S12" s="91">
        <f t="shared" si="1"/>
        <v>0.2</v>
      </c>
      <c r="T12" s="91">
        <f>'Cargo Econs 2026'!F104</f>
        <v>3.63</v>
      </c>
      <c r="U12" s="91">
        <f>'Cargo Econs 2026'!F105</f>
        <v>3.43</v>
      </c>
      <c r="V12" s="91">
        <f>'Cargo Econs 2026'!F106</f>
        <v>-0.19999999999999973</v>
      </c>
      <c r="W12" s="121">
        <f>'Cargo Econs 2026'!F107</f>
        <v>-139.9999999999998</v>
      </c>
      <c r="X12">
        <f>'Cargo Econs 2026'!F118</f>
        <v>140</v>
      </c>
      <c r="Y12" t="str">
        <f t="shared" si="2"/>
        <v>OK</v>
      </c>
      <c r="Z12">
        <f t="shared" si="3"/>
        <v>1</v>
      </c>
      <c r="AC12">
        <f>N('Cargo Econs 2026'!F110)</f>
        <v>140</v>
      </c>
      <c r="AD12">
        <f>N('Cargo Econs 2026'!F111)</f>
        <v>0</v>
      </c>
      <c r="AE12">
        <f>N('Cargo Econs 2026'!F112)</f>
        <v>0</v>
      </c>
      <c r="AF12">
        <f>N('Cargo Econs 2026'!F113)</f>
        <v>0</v>
      </c>
      <c r="AG12">
        <f>N('Cargo Econs 2026'!F114)</f>
        <v>0</v>
      </c>
      <c r="AH12">
        <f>N('Cargo Econs 2026'!F115)</f>
        <v>0</v>
      </c>
      <c r="AI12">
        <f t="shared" si="4"/>
        <v>140</v>
      </c>
      <c r="AJ12">
        <f t="shared" si="5"/>
        <v>1</v>
      </c>
    </row>
    <row r="13" spans="1:46" x14ac:dyDescent="0.35">
      <c r="A13" t="str">
        <f>'Cargo Econs 2026'!$B$81</f>
        <v>APRIL 2026</v>
      </c>
      <c r="B13" s="16">
        <f>'Cargo Econs 2026'!I83</f>
        <v>46142</v>
      </c>
      <c r="C13" t="str">
        <f t="shared" si="0"/>
        <v>Apr-26</v>
      </c>
      <c r="D13" t="str">
        <f>'Cargo Econs 2026'!I84</f>
        <v>CPC Taiwan June 18-22</v>
      </c>
      <c r="E13" t="str">
        <f>'Cargo Econs 2026'!I85</f>
        <v>ARA26HS00045</v>
      </c>
      <c r="F13" t="str">
        <f>'Cargo Econs 2026'!I86</f>
        <v>VLCC</v>
      </c>
      <c r="G13">
        <f>'Cargo Econs 2026'!I87</f>
        <v>2065</v>
      </c>
      <c r="H13" s="16">
        <f>'Cargo Econs 2026'!I82</f>
        <v>46098</v>
      </c>
      <c r="I13" s="91">
        <f>'Cargo Econs 2026'!I89</f>
        <v>2.7</v>
      </c>
      <c r="J13" s="91">
        <f>'Cargo Econs 2026'!I90</f>
        <v>0.25</v>
      </c>
      <c r="K13" s="91">
        <f>'Cargo Econs 2026'!I91</f>
        <v>2.95</v>
      </c>
      <c r="L13" s="91">
        <f>'Cargo Econs 2026'!I95</f>
        <v>0.45000000000000018</v>
      </c>
      <c r="M13" s="91">
        <f>'Cargo Econs 2026'!I96</f>
        <v>10</v>
      </c>
      <c r="N13" s="91">
        <f>'Cargo Econs 2026'!I97</f>
        <v>0</v>
      </c>
      <c r="O13" s="91">
        <f>'Cargo Econs 2026'!I98</f>
        <v>0.11622276029055691</v>
      </c>
      <c r="P13" s="91">
        <f>'Cargo Econs 2026'!I99</f>
        <v>0.21791767554479419</v>
      </c>
      <c r="Q13" s="91">
        <f>'Cargo Econs 2026'!I100</f>
        <v>0</v>
      </c>
      <c r="R13" s="91">
        <f>'Cargo Econs 2026'!I101</f>
        <v>0.21290435835351096</v>
      </c>
      <c r="S13" s="91">
        <f t="shared" si="1"/>
        <v>10.54704479418886</v>
      </c>
      <c r="T13" s="91">
        <f>'Cargo Econs 2026'!I104</f>
        <v>11.12704479418886</v>
      </c>
      <c r="U13" s="402">
        <f>'Cargo Econs 2026'!I105</f>
        <v>11.13</v>
      </c>
      <c r="V13" s="91">
        <f>'Cargo Econs 2026'!I106</f>
        <v>2.9552058111406154E-3</v>
      </c>
      <c r="W13" s="121">
        <f>'Cargo Econs 2026'!I107</f>
        <v>6.1025000000053709</v>
      </c>
      <c r="X13">
        <f>'Cargo Econs 2026'!I118</f>
        <v>21779.647499999999</v>
      </c>
      <c r="Y13" t="str">
        <f t="shared" si="2"/>
        <v>OK</v>
      </c>
      <c r="Z13">
        <f t="shared" si="3"/>
        <v>1</v>
      </c>
      <c r="AC13">
        <f>N('Cargo Econs 2026'!I110)</f>
        <v>20650</v>
      </c>
      <c r="AD13">
        <f>N('Cargo Econs 2026'!I111)</f>
        <v>0</v>
      </c>
      <c r="AE13">
        <f>N('Cargo Econs 2026'!I112)</f>
        <v>240</v>
      </c>
      <c r="AF13">
        <f>N('Cargo Econs 2026'!I113)</f>
        <v>450</v>
      </c>
      <c r="AG13">
        <f>N('Cargo Econs 2026'!I114)</f>
        <v>0</v>
      </c>
      <c r="AH13">
        <f>N('Cargo Econs 2026'!I115)</f>
        <v>439.64750000000015</v>
      </c>
      <c r="AI13">
        <f t="shared" si="4"/>
        <v>21779.647499999999</v>
      </c>
      <c r="AJ13">
        <f t="shared" si="5"/>
        <v>1</v>
      </c>
    </row>
    <row r="14" spans="1:46" x14ac:dyDescent="0.35">
      <c r="A14" t="str">
        <f>'Cargo Econs 2026'!$B$122</f>
        <v>MAY 2026</v>
      </c>
      <c r="B14" s="16">
        <f>'Cargo Econs 2026'!C124</f>
        <v>46173</v>
      </c>
      <c r="C14" t="str">
        <f t="shared" si="0"/>
        <v>May-26</v>
      </c>
      <c r="D14" t="str">
        <f>'Cargo Econs 2026'!C125</f>
        <v>May26 EFP 2</v>
      </c>
      <c r="E14" t="str">
        <f>'Cargo Econs 2026'!C126</f>
        <v>ARA26HS00044-2</v>
      </c>
      <c r="F14" t="str">
        <f>'Cargo Econs 2026'!C127</f>
        <v>Aframax</v>
      </c>
      <c r="G14">
        <f>'Cargo Econs 2026'!C128</f>
        <v>700</v>
      </c>
      <c r="H14" s="16">
        <f>'Cargo Econs 2026'!C123</f>
        <v>46097</v>
      </c>
      <c r="I14" s="91">
        <f>'Cargo Econs 2026'!C130</f>
        <v>2.2999999999999998</v>
      </c>
      <c r="J14" s="91">
        <f>'Cargo Econs 2026'!C131</f>
        <v>0.5</v>
      </c>
      <c r="K14" s="91">
        <f>'Cargo Econs 2026'!C132</f>
        <v>2.8</v>
      </c>
      <c r="L14" s="91">
        <f>'Cargo Econs 2026'!C136</f>
        <v>2.8</v>
      </c>
      <c r="M14" s="91">
        <f>'Cargo Econs 2026'!C137</f>
        <v>0</v>
      </c>
      <c r="N14" s="91">
        <f>'Cargo Econs 2026'!C138</f>
        <v>-414.62602928571425</v>
      </c>
      <c r="O14" s="91">
        <f>'Cargo Econs 2026'!C139</f>
        <v>0</v>
      </c>
      <c r="P14" s="91">
        <f>'Cargo Econs 2026'!C140</f>
        <v>0</v>
      </c>
      <c r="Q14" s="91">
        <f>'Cargo Econs 2026'!C141</f>
        <v>0</v>
      </c>
      <c r="R14" s="91">
        <f>'Cargo Econs 2026'!C142</f>
        <v>0</v>
      </c>
      <c r="S14" s="91">
        <f t="shared" si="1"/>
        <v>-414.62602928571425</v>
      </c>
      <c r="T14" s="91">
        <f>'Cargo Econs 2026'!C145</f>
        <v>-411.82602928571424</v>
      </c>
      <c r="U14" s="91">
        <f>'Cargo Econs 2026'!C146</f>
        <v>7</v>
      </c>
      <c r="V14" s="91">
        <f>'Cargo Econs 2026'!C147</f>
        <v>418.82602928571424</v>
      </c>
      <c r="W14" s="121">
        <f>'Cargo Econs 2026'!C148</f>
        <v>293178.2205</v>
      </c>
      <c r="X14">
        <f>'Cargo Econs 2026'!C159</f>
        <v>-290238.2205</v>
      </c>
      <c r="Y14" t="str">
        <f t="shared" si="2"/>
        <v>CHECK</v>
      </c>
      <c r="Z14">
        <f t="shared" si="3"/>
        <v>0</v>
      </c>
      <c r="AC14">
        <f>N('Cargo Econs 2026'!C151)</f>
        <v>0</v>
      </c>
      <c r="AD14">
        <f>N('Cargo Econs 2026'!C152)</f>
        <v>-290238.2205</v>
      </c>
      <c r="AE14">
        <f>N('Cargo Econs 2026'!C153)</f>
        <v>0</v>
      </c>
      <c r="AF14">
        <f>N('Cargo Econs 2026'!C154)</f>
        <v>0</v>
      </c>
      <c r="AG14">
        <f>N('Cargo Econs 2026'!C155)</f>
        <v>0</v>
      </c>
      <c r="AH14">
        <f>N('Cargo Econs 2026'!C156)</f>
        <v>0</v>
      </c>
      <c r="AI14">
        <f t="shared" si="4"/>
        <v>-290238.2205</v>
      </c>
      <c r="AJ14">
        <f t="shared" si="5"/>
        <v>0</v>
      </c>
    </row>
    <row r="15" spans="1:46" x14ac:dyDescent="0.35">
      <c r="A15" t="str">
        <f>'Cargo Econs 2026'!$B$122</f>
        <v>MAY 2026</v>
      </c>
      <c r="B15" s="16">
        <f>'Cargo Econs 2026'!F124</f>
        <v>46173</v>
      </c>
      <c r="C15" t="str">
        <f t="shared" si="0"/>
        <v>May-26</v>
      </c>
      <c r="D15" t="str">
        <f>'Cargo Econs 2026'!F125</f>
        <v>HDO July26 10-20</v>
      </c>
      <c r="E15" t="str">
        <f>'Cargo Econs 2026'!F126</f>
        <v>ARA26HS00053</v>
      </c>
      <c r="F15" t="str">
        <f>'Cargo Econs 2026'!F127</f>
        <v>VLCC</v>
      </c>
      <c r="G15">
        <f>'Cargo Econs 2026'!F128</f>
        <v>2065</v>
      </c>
      <c r="H15" s="16">
        <f>'Cargo Econs 2026'!F123</f>
        <v>46108</v>
      </c>
      <c r="I15" s="91">
        <f>'Cargo Econs 2026'!F130</f>
        <v>3.8</v>
      </c>
      <c r="J15" s="91">
        <f>'Cargo Econs 2026'!F131</f>
        <v>2</v>
      </c>
      <c r="K15" s="91">
        <f>'Cargo Econs 2026'!F132</f>
        <v>5.8</v>
      </c>
      <c r="L15" s="91">
        <f>'Cargo Econs 2026'!F136</f>
        <v>5.9199999999999982</v>
      </c>
      <c r="M15" s="91">
        <f>'Cargo Econs 2026'!F137</f>
        <v>12.106537530266344</v>
      </c>
      <c r="N15" s="91">
        <f>'Cargo Econs 2026'!F138</f>
        <v>0</v>
      </c>
      <c r="O15" s="91">
        <f>'Cargo Econs 2026'!F139</f>
        <v>0.1937046004842615</v>
      </c>
      <c r="P15" s="91">
        <f>'Cargo Econs 2026'!F140</f>
        <v>0.21791767554479419</v>
      </c>
      <c r="Q15" s="91">
        <f>'Cargo Econs 2026'!F141</f>
        <v>0</v>
      </c>
      <c r="R15" s="91">
        <f>'Cargo Econs 2026'!F142</f>
        <v>0.21527845036319615</v>
      </c>
      <c r="S15" s="91">
        <f t="shared" si="1"/>
        <v>12.733438256658594</v>
      </c>
      <c r="T15" s="91">
        <f>'Cargo Econs 2026'!F145</f>
        <v>22.373438256658595</v>
      </c>
      <c r="U15" s="402">
        <f>'Cargo Econs 2026'!F146</f>
        <v>23.979999999999997</v>
      </c>
      <c r="V15" s="91">
        <f>'Cargo Econs 2026'!F147</f>
        <v>1.6065617433414019</v>
      </c>
      <c r="W15" s="121">
        <f>'Cargo Econs 2026'!F148</f>
        <v>3317.5499999999947</v>
      </c>
      <c r="X15">
        <f>'Cargo Econs 2026'!F159</f>
        <v>26294.55</v>
      </c>
      <c r="Y15" t="str">
        <f t="shared" si="2"/>
        <v>OK</v>
      </c>
      <c r="Z15">
        <f t="shared" si="3"/>
        <v>1</v>
      </c>
      <c r="AC15">
        <f>N('Cargo Econs 2026'!F151)</f>
        <v>25000</v>
      </c>
      <c r="AD15">
        <f>N('Cargo Econs 2026'!F152)</f>
        <v>0</v>
      </c>
      <c r="AE15">
        <f>N('Cargo Econs 2026'!F153)</f>
        <v>400</v>
      </c>
      <c r="AF15">
        <f>N('Cargo Econs 2026'!F154)</f>
        <v>450</v>
      </c>
      <c r="AG15">
        <f>N('Cargo Econs 2026'!F155)</f>
        <v>0</v>
      </c>
      <c r="AH15">
        <f>N('Cargo Econs 2026'!F156)</f>
        <v>444.55000000000007</v>
      </c>
      <c r="AI15">
        <f t="shared" si="4"/>
        <v>26294.55</v>
      </c>
      <c r="AJ15">
        <f t="shared" si="5"/>
        <v>1</v>
      </c>
    </row>
    <row r="16" spans="1:46" x14ac:dyDescent="0.35">
      <c r="A16" t="str">
        <f>'Cargo Econs 2026'!$B$122</f>
        <v>MAY 2026</v>
      </c>
      <c r="B16" s="16">
        <f>'Cargo Econs 2026'!I124</f>
        <v>46173</v>
      </c>
      <c r="C16" t="str">
        <f t="shared" si="0"/>
        <v>May-26</v>
      </c>
      <c r="D16" t="str">
        <f>'Cargo Econs 2026'!I125</f>
        <v>ENEOS July 20-30</v>
      </c>
      <c r="E16" t="str">
        <f>'Cargo Econs 2026'!I126</f>
        <v>ENE26HS00007</v>
      </c>
      <c r="F16" t="str">
        <f>'Cargo Econs 2026'!I127</f>
        <v>VLCC</v>
      </c>
      <c r="G16">
        <f>'Cargo Econs 2026'!I128</f>
        <v>2139</v>
      </c>
      <c r="H16" s="16">
        <f>'Cargo Econs 2026'!I123</f>
        <v>46134</v>
      </c>
      <c r="I16" s="91">
        <f>'Cargo Econs 2026'!I130</f>
        <v>4.5</v>
      </c>
      <c r="J16" s="91">
        <f>'Cargo Econs 2026'!I131</f>
        <v>3.8</v>
      </c>
      <c r="K16" s="91">
        <f>'Cargo Econs 2026'!I132</f>
        <v>8.3000000000000007</v>
      </c>
      <c r="L16" s="91">
        <f>'Cargo Econs 2026'!I136</f>
        <v>17.89</v>
      </c>
      <c r="M16" s="91">
        <f>'Cargo Econs 2026'!I137</f>
        <v>7.8073866292660119</v>
      </c>
      <c r="N16" s="91">
        <f>'Cargo Econs 2026'!I138</f>
        <v>0</v>
      </c>
      <c r="O16" s="91">
        <f>'Cargo Econs 2026'!I139</f>
        <v>0.18700327255726976</v>
      </c>
      <c r="P16" s="91">
        <f>'Cargo Econs 2026'!I140</f>
        <v>0.21037868162692847</v>
      </c>
      <c r="Q16" s="91">
        <f>'Cargo Econs 2026'!I141</f>
        <v>0.39036933146330061</v>
      </c>
      <c r="R16" s="91">
        <f>'Cargo Econs 2026'!I142</f>
        <v>0.4053295932678822</v>
      </c>
      <c r="S16" s="91">
        <f t="shared" si="1"/>
        <v>9.0004675081813943</v>
      </c>
      <c r="T16" s="91">
        <f>'Cargo Econs 2026'!I145</f>
        <v>26.890467508181395</v>
      </c>
      <c r="U16" s="402">
        <f>'Cargo Econs 2026'!I146</f>
        <v>28.33</v>
      </c>
      <c r="V16" s="91">
        <f>'Cargo Econs 2026'!I147</f>
        <v>1.4395324918186034</v>
      </c>
      <c r="W16" s="121">
        <f>'Cargo Econs 2026'!I148</f>
        <v>3079.1599999999926</v>
      </c>
      <c r="X16">
        <f>'Cargo Econs 2026'!I159</f>
        <v>19252</v>
      </c>
      <c r="Y16" t="str">
        <f t="shared" si="2"/>
        <v>OK</v>
      </c>
      <c r="Z16">
        <f t="shared" si="3"/>
        <v>1</v>
      </c>
      <c r="AC16">
        <f>N('Cargo Econs 2026'!I151)</f>
        <v>16700</v>
      </c>
      <c r="AD16">
        <f>N('Cargo Econs 2026'!I152)</f>
        <v>0</v>
      </c>
      <c r="AE16">
        <f>N('Cargo Econs 2026'!I153)</f>
        <v>400</v>
      </c>
      <c r="AF16">
        <f>N('Cargo Econs 2026'!I154)</f>
        <v>450</v>
      </c>
      <c r="AG16">
        <f>N('Cargo Econs 2026'!I155)</f>
        <v>835</v>
      </c>
      <c r="AH16">
        <f>N('Cargo Econs 2026'!I156)</f>
        <v>867</v>
      </c>
      <c r="AI16">
        <f t="shared" si="4"/>
        <v>19252</v>
      </c>
      <c r="AJ16">
        <f t="shared" si="5"/>
        <v>1</v>
      </c>
    </row>
    <row r="17" spans="1:36" x14ac:dyDescent="0.35">
      <c r="A17" t="str">
        <f>'Cargo Econs 2026'!$B$162</f>
        <v>JUNE 2026</v>
      </c>
      <c r="B17" s="16">
        <f>'Cargo Econs 2026'!C164</f>
        <v>46203</v>
      </c>
      <c r="C17" t="str">
        <f t="shared" si="0"/>
        <v>Jun-26</v>
      </c>
      <c r="D17" t="str">
        <f>'Cargo Econs 2026'!C165</f>
        <v>Jun26 EFP 1</v>
      </c>
      <c r="E17" t="str">
        <f>'Cargo Econs 2026'!C166</f>
        <v>ARA26HS00069-1</v>
      </c>
      <c r="F17" t="str">
        <f>'Cargo Econs 2026'!C167</f>
        <v>Aframax</v>
      </c>
      <c r="G17">
        <f>'Cargo Econs 2026'!C168</f>
        <v>700</v>
      </c>
      <c r="H17" s="16">
        <f>'Cargo Econs 2026'!C163</f>
        <v>46140</v>
      </c>
      <c r="I17" s="91">
        <f>'Cargo Econs 2026'!C170</f>
        <v>3.8</v>
      </c>
      <c r="J17" s="91">
        <f>'Cargo Econs 2026'!C171</f>
        <v>0.8</v>
      </c>
      <c r="K17" s="91">
        <f>'Cargo Econs 2026'!C172</f>
        <v>4.5999999999999996</v>
      </c>
      <c r="L17" s="91">
        <f>'Cargo Econs 2026'!C176</f>
        <v>-6.73</v>
      </c>
      <c r="M17" s="91">
        <f>'Cargo Econs 2026'!C177</f>
        <v>8.3351249999999997</v>
      </c>
      <c r="N17" s="91">
        <f>'Cargo Econs 2026'!C178</f>
        <v>-1.8857249999999999</v>
      </c>
      <c r="O17" s="91">
        <f>'Cargo Econs 2026'!C179</f>
        <v>0</v>
      </c>
      <c r="P17" s="91">
        <f>'Cargo Econs 2026'!C180</f>
        <v>0</v>
      </c>
      <c r="Q17" s="91">
        <f>'Cargo Econs 2026'!C181</f>
        <v>0</v>
      </c>
      <c r="R17" s="91">
        <f>'Cargo Econs 2026'!C182</f>
        <v>0</v>
      </c>
      <c r="S17" s="91">
        <f t="shared" si="1"/>
        <v>6.4493999999999998</v>
      </c>
      <c r="T17" s="91">
        <f>'Cargo Econs 2026'!C185</f>
        <v>-0.28060000000000063</v>
      </c>
      <c r="U17" s="91">
        <f>'Cargo Econs 2026'!C186</f>
        <v>0.03</v>
      </c>
      <c r="V17" s="91">
        <f>'Cargo Econs 2026'!C187</f>
        <v>0.31060000000000065</v>
      </c>
      <c r="W17" s="121">
        <f>'Cargo Econs 2026'!C188</f>
        <v>217.42000000000047</v>
      </c>
      <c r="X17">
        <f>'Cargo Econs 2026'!C199</f>
        <v>4514.58</v>
      </c>
      <c r="Y17" t="str">
        <f t="shared" si="2"/>
        <v>OK</v>
      </c>
      <c r="Z17">
        <f t="shared" si="3"/>
        <v>1</v>
      </c>
      <c r="AC17">
        <f>N('Cargo Econs 2026'!C191)</f>
        <v>5834.5874999999996</v>
      </c>
      <c r="AD17">
        <f>N('Cargo Econs 2026'!C192)</f>
        <v>-1320.0074999999999</v>
      </c>
      <c r="AE17">
        <f>N('Cargo Econs 2026'!C193)</f>
        <v>0</v>
      </c>
      <c r="AF17">
        <f>N('Cargo Econs 2026'!C194)</f>
        <v>0</v>
      </c>
      <c r="AG17">
        <f>N('Cargo Econs 2026'!C195)</f>
        <v>0</v>
      </c>
      <c r="AH17">
        <f>N('Cargo Econs 2026'!C196)</f>
        <v>0</v>
      </c>
      <c r="AI17">
        <f t="shared" si="4"/>
        <v>4514.58</v>
      </c>
      <c r="AJ17">
        <f t="shared" si="5"/>
        <v>1</v>
      </c>
    </row>
    <row r="18" spans="1:36" x14ac:dyDescent="0.35">
      <c r="A18" t="str">
        <f>'Cargo Econs 2026'!$B$162</f>
        <v>JUNE 2026</v>
      </c>
      <c r="B18" s="16">
        <f>'Cargo Econs 2026'!F164</f>
        <v>46203</v>
      </c>
      <c r="C18" t="str">
        <f t="shared" si="0"/>
        <v>Jun-26</v>
      </c>
      <c r="D18" t="str">
        <f>'Cargo Econs 2026'!F165</f>
        <v>Jun26 EFP 2</v>
      </c>
      <c r="E18" t="str">
        <f>'Cargo Econs 2026'!F166</f>
        <v>ARA26HS00069-2</v>
      </c>
      <c r="F18" t="str">
        <f>'Cargo Econs 2026'!F167</f>
        <v>Aframax</v>
      </c>
      <c r="G18">
        <f>'Cargo Econs 2026'!F168</f>
        <v>700</v>
      </c>
      <c r="H18" s="16">
        <f>'Cargo Econs 2026'!F163</f>
        <v>46140</v>
      </c>
      <c r="I18" s="91">
        <f>'Cargo Econs 2026'!F170</f>
        <v>3.8</v>
      </c>
      <c r="J18" s="91">
        <f>'Cargo Econs 2026'!F171</f>
        <v>0.8</v>
      </c>
      <c r="K18" s="91">
        <f>'Cargo Econs 2026'!F172</f>
        <v>4.5999999999999996</v>
      </c>
      <c r="L18" s="91">
        <f>'Cargo Econs 2026'!F176</f>
        <v>-6.73</v>
      </c>
      <c r="M18" s="91">
        <f>'Cargo Econs 2026'!F177</f>
        <v>8.3351249999999997</v>
      </c>
      <c r="N18" s="91">
        <f>'Cargo Econs 2026'!F178</f>
        <v>-1.8857249999999999</v>
      </c>
      <c r="O18" s="91">
        <f>'Cargo Econs 2026'!F179</f>
        <v>0</v>
      </c>
      <c r="P18" s="91">
        <f>'Cargo Econs 2026'!F180</f>
        <v>0</v>
      </c>
      <c r="Q18" s="91">
        <f>'Cargo Econs 2026'!F181</f>
        <v>0</v>
      </c>
      <c r="R18" s="91">
        <f>'Cargo Econs 2026'!F182</f>
        <v>0</v>
      </c>
      <c r="S18" s="91">
        <f t="shared" si="1"/>
        <v>6.4493999999999998</v>
      </c>
      <c r="T18" s="91">
        <f>'Cargo Econs 2026'!F185</f>
        <v>-0.28060000000000063</v>
      </c>
      <c r="U18" s="91">
        <f>'Cargo Econs 2026'!F186</f>
        <v>0.03</v>
      </c>
      <c r="V18" s="91">
        <f>'Cargo Econs 2026'!F187</f>
        <v>0.31060000000000065</v>
      </c>
      <c r="W18" s="121">
        <f>'Cargo Econs 2026'!F188</f>
        <v>217.42000000000047</v>
      </c>
      <c r="X18">
        <f>'Cargo Econs 2026'!F199</f>
        <v>4514.58</v>
      </c>
      <c r="Y18" t="str">
        <f t="shared" si="2"/>
        <v>OK</v>
      </c>
      <c r="Z18">
        <f t="shared" si="3"/>
        <v>1</v>
      </c>
      <c r="AC18">
        <f>N('Cargo Econs 2026'!F191)</f>
        <v>5834.5874999999996</v>
      </c>
      <c r="AD18">
        <f>N('Cargo Econs 2026'!F192)</f>
        <v>-1320.0074999999999</v>
      </c>
      <c r="AE18">
        <f>N('Cargo Econs 2026'!F193)</f>
        <v>0</v>
      </c>
      <c r="AF18">
        <f>N('Cargo Econs 2026'!F194)</f>
        <v>0</v>
      </c>
      <c r="AG18">
        <f>N('Cargo Econs 2026'!F195)</f>
        <v>0</v>
      </c>
      <c r="AH18">
        <f>N('Cargo Econs 2026'!F196)</f>
        <v>0</v>
      </c>
      <c r="AI18">
        <f t="shared" si="4"/>
        <v>4514.58</v>
      </c>
      <c r="AJ18">
        <f t="shared" si="5"/>
        <v>1</v>
      </c>
    </row>
    <row r="19" spans="1:36" x14ac:dyDescent="0.35">
      <c r="A19" t="str">
        <f>'Cargo Econs 2026'!$B$162</f>
        <v>JUNE 2026</v>
      </c>
      <c r="B19" s="16">
        <f>'Cargo Econs 2026'!I164</f>
        <v>46203</v>
      </c>
      <c r="C19" t="str">
        <f t="shared" si="0"/>
        <v>Jun-26</v>
      </c>
      <c r="D19" t="str">
        <f>'Cargo Econs 2026'!I165</f>
        <v>BP FOB June26 10-15</v>
      </c>
      <c r="E19" t="str">
        <f>'Cargo Econs 2026'!I166</f>
        <v>BPO26HS00009</v>
      </c>
      <c r="F19" t="str">
        <f>'Cargo Econs 2026'!I167</f>
        <v>Aframax</v>
      </c>
      <c r="G19">
        <f>'Cargo Econs 2026'!I168</f>
        <v>700</v>
      </c>
      <c r="H19" s="16">
        <f>'Cargo Econs 2026'!I163</f>
        <v>46140</v>
      </c>
      <c r="I19" s="91">
        <f>'Cargo Econs 2026'!I170</f>
        <v>3.8</v>
      </c>
      <c r="J19" s="91">
        <f>'Cargo Econs 2026'!I171</f>
        <v>0.8</v>
      </c>
      <c r="K19" s="91">
        <f>'Cargo Econs 2026'!I172</f>
        <v>4.5999999999999996</v>
      </c>
      <c r="L19" s="91">
        <f>'Cargo Econs 2026'!I176</f>
        <v>1.2999999999999972</v>
      </c>
      <c r="M19" s="91">
        <f>'Cargo Econs 2026'!I177</f>
        <v>0</v>
      </c>
      <c r="N19" s="91">
        <f>'Cargo Econs 2026'!I178</f>
        <v>0</v>
      </c>
      <c r="O19" s="91">
        <f>'Cargo Econs 2026'!I179</f>
        <v>0</v>
      </c>
      <c r="P19" s="91">
        <f>'Cargo Econs 2026'!I180</f>
        <v>0</v>
      </c>
      <c r="Q19" s="91">
        <f>'Cargo Econs 2026'!I181</f>
        <v>0</v>
      </c>
      <c r="R19" s="91">
        <f>'Cargo Econs 2026'!I182</f>
        <v>0</v>
      </c>
      <c r="S19" s="91">
        <f t="shared" si="1"/>
        <v>0</v>
      </c>
      <c r="T19" s="91">
        <f>'Cargo Econs 2026'!I185</f>
        <v>1.2999999999999972</v>
      </c>
      <c r="U19" s="91">
        <f>'Cargo Econs 2026'!I186</f>
        <v>1.55</v>
      </c>
      <c r="V19" s="91">
        <f>'Cargo Econs 2026'!I187</f>
        <v>0.25000000000000289</v>
      </c>
      <c r="W19" s="121">
        <f>'Cargo Econs 2026'!I188</f>
        <v>175.00000000000202</v>
      </c>
      <c r="X19">
        <f>'Cargo Econs 2026'!I199</f>
        <v>0</v>
      </c>
      <c r="Y19" t="str">
        <f t="shared" si="2"/>
        <v>OK</v>
      </c>
      <c r="Z19">
        <f t="shared" si="3"/>
        <v>1</v>
      </c>
      <c r="AC19">
        <f>N('Cargo Econs 2026'!I191)</f>
        <v>0</v>
      </c>
      <c r="AD19">
        <f>N('Cargo Econs 2026'!I192)</f>
        <v>0</v>
      </c>
      <c r="AE19">
        <f>N('Cargo Econs 2026'!I193)</f>
        <v>0</v>
      </c>
      <c r="AF19">
        <f>N('Cargo Econs 2026'!I194)</f>
        <v>0</v>
      </c>
      <c r="AG19">
        <f>N('Cargo Econs 2026'!I195)</f>
        <v>0</v>
      </c>
      <c r="AH19">
        <f>N('Cargo Econs 2026'!I196)</f>
        <v>0</v>
      </c>
      <c r="AI19">
        <f t="shared" si="4"/>
        <v>0</v>
      </c>
      <c r="AJ19">
        <f t="shared" si="5"/>
        <v>1</v>
      </c>
    </row>
    <row r="20" spans="1:36" x14ac:dyDescent="0.35">
      <c r="A20" t="str">
        <f>'Cargo Econs 2026'!$B$162</f>
        <v>JUNE 2026</v>
      </c>
      <c r="B20" s="16">
        <f>'Cargo Econs 2026'!L164</f>
        <v>46203</v>
      </c>
      <c r="C20" t="str">
        <f t="shared" si="0"/>
        <v>Jun-26</v>
      </c>
      <c r="D20" t="str">
        <f>'Cargo Econs 2026'!L165</f>
        <v>GS Caltex Korea Aug 16-22</v>
      </c>
      <c r="E20" t="str">
        <f>'Cargo Econs 2026'!L166</f>
        <v>ARA26HS00075</v>
      </c>
      <c r="F20" t="str">
        <f>'Cargo Econs 2026'!L167</f>
        <v>VLCC</v>
      </c>
      <c r="G20">
        <f>'Cargo Econs 2026'!L168</f>
        <v>2124</v>
      </c>
      <c r="H20" s="16">
        <f>'Cargo Econs 2026'!L163</f>
        <v>46154</v>
      </c>
      <c r="I20" s="91">
        <f>'Cargo Econs 2026'!L170</f>
        <v>2.4</v>
      </c>
      <c r="J20" s="91">
        <f>'Cargo Econs 2026'!L171</f>
        <v>-0.43</v>
      </c>
      <c r="K20" s="91">
        <f>'Cargo Econs 2026'!L172</f>
        <v>1.97</v>
      </c>
      <c r="L20" s="91">
        <f>'Cargo Econs 2026'!L176</f>
        <v>0.16999999999999993</v>
      </c>
      <c r="M20" s="91">
        <f>'Cargo Econs 2026'!L177</f>
        <v>8.2391713747645952</v>
      </c>
      <c r="N20" s="91">
        <f>'Cargo Econs 2026'!L178</f>
        <v>0</v>
      </c>
      <c r="O20" s="91">
        <f>'Cargo Econs 2026'!L179</f>
        <v>0.18832391713747645</v>
      </c>
      <c r="P20" s="91">
        <f>'Cargo Econs 2026'!L180</f>
        <v>0.23540489642184556</v>
      </c>
      <c r="Q20" s="91">
        <f>'Cargo Econs 2026'!L181</f>
        <v>0</v>
      </c>
      <c r="R20" s="91">
        <f>'Cargo Econs 2026'!L182</f>
        <v>0.2994350282485877</v>
      </c>
      <c r="S20" s="91">
        <f t="shared" si="1"/>
        <v>8.9623352165725052</v>
      </c>
      <c r="T20" s="91">
        <f>'Cargo Econs 2026'!L185</f>
        <v>15.352335216572504</v>
      </c>
      <c r="U20" s="91">
        <f>'Cargo Econs 2026'!L186</f>
        <v>15.67</v>
      </c>
      <c r="V20" s="91">
        <f>'Cargo Econs 2026'!L187</f>
        <v>0.31766478342749593</v>
      </c>
      <c r="W20" s="121">
        <f>'Cargo Econs 2026'!L188</f>
        <v>674.72000000000139</v>
      </c>
      <c r="X20">
        <f>'Cargo Econs 2026'!L199</f>
        <v>19925.718219178081</v>
      </c>
      <c r="Y20" t="str">
        <f t="shared" si="2"/>
        <v>OK</v>
      </c>
      <c r="Z20">
        <f t="shared" si="3"/>
        <v>1</v>
      </c>
      <c r="AC20">
        <f>N('Cargo Econs 2026'!L191)</f>
        <v>17500</v>
      </c>
      <c r="AD20">
        <f>N('Cargo Econs 2026'!L192)</f>
        <v>0</v>
      </c>
      <c r="AE20">
        <f>N('Cargo Econs 2026'!L193)</f>
        <v>400</v>
      </c>
      <c r="AF20">
        <f>N('Cargo Econs 2026'!L194)</f>
        <v>500</v>
      </c>
      <c r="AG20">
        <f>N('Cargo Econs 2026'!L195)</f>
        <v>889.71821917808234</v>
      </c>
      <c r="AH20">
        <f>N('Cargo Econs 2026'!L196)</f>
        <v>636.00000000000023</v>
      </c>
      <c r="AI20">
        <f t="shared" si="4"/>
        <v>19925.718219178081</v>
      </c>
      <c r="AJ20">
        <f t="shared" si="5"/>
        <v>1</v>
      </c>
    </row>
    <row r="21" spans="1:36" x14ac:dyDescent="0.35">
      <c r="A21" t="str">
        <f>'Cargo Econs 2026'!$B$162</f>
        <v>JUNE 2026</v>
      </c>
      <c r="B21" s="16">
        <f>'Cargo Econs 2026'!O164</f>
        <v>46203</v>
      </c>
      <c r="C21" t="str">
        <f t="shared" si="0"/>
        <v>Jun-26</v>
      </c>
      <c r="D21" t="str">
        <f>'Cargo Econs 2026'!O165</f>
        <v>HDO Aug26 22-31 DAP</v>
      </c>
      <c r="E21" t="str">
        <f>'Cargo Econs 2026'!O166</f>
        <v>ARA26HS00078</v>
      </c>
      <c r="F21" t="str">
        <f>'Cargo Econs 2026'!O167</f>
        <v>VLCC</v>
      </c>
      <c r="G21">
        <f>'Cargo Econs 2026'!O168</f>
        <v>1422</v>
      </c>
      <c r="H21" s="16">
        <f>'Cargo Econs 2026'!O163</f>
        <v>46154</v>
      </c>
      <c r="I21" s="91">
        <f>'Cargo Econs 2026'!O170</f>
        <v>1.55</v>
      </c>
      <c r="J21" s="91">
        <f>'Cargo Econs 2026'!O171</f>
        <v>0.6</v>
      </c>
      <c r="K21" s="91">
        <f>'Cargo Econs 2026'!O172</f>
        <v>2.15</v>
      </c>
      <c r="L21" s="91">
        <f>'Cargo Econs 2026'!O176</f>
        <v>-0.34000000000000075</v>
      </c>
      <c r="M21" s="91">
        <f>'Cargo Econs 2026'!O177</f>
        <v>8.3883129123468425</v>
      </c>
      <c r="N21" s="91">
        <f>'Cargo Econs 2026'!O178</f>
        <v>0</v>
      </c>
      <c r="O21" s="91">
        <f>'Cargo Econs 2026'!O179</f>
        <v>0.1885014137606032</v>
      </c>
      <c r="P21" s="91">
        <f>'Cargo Econs 2026'!O180</f>
        <v>0.23562676720075401</v>
      </c>
      <c r="Q21" s="91">
        <f>'Cargo Econs 2026'!O181</f>
        <v>0</v>
      </c>
      <c r="R21" s="91">
        <f>'Cargo Econs 2026'!O182</f>
        <v>1.1630537229029219</v>
      </c>
      <c r="S21" s="91">
        <f t="shared" si="1"/>
        <v>9.9754948162111212</v>
      </c>
      <c r="T21" s="91">
        <f>'Cargo Econs 2026'!O185</f>
        <v>13.755494816211119</v>
      </c>
      <c r="U21" s="91">
        <f>'Cargo Econs 2026'!O186</f>
        <v>14.34</v>
      </c>
      <c r="V21" s="91">
        <f>'Cargo Econs 2026'!O187</f>
        <v>0.58450518378888106</v>
      </c>
      <c r="W21" s="121">
        <f>'Cargo Econs 2026'!O188</f>
        <v>831.16637134778887</v>
      </c>
      <c r="X21">
        <f>'Cargo Econs 2026'!O199</f>
        <v>21168</v>
      </c>
      <c r="Y21" t="str">
        <f t="shared" si="2"/>
        <v>OK</v>
      </c>
      <c r="Z21">
        <f t="shared" si="3"/>
        <v>1</v>
      </c>
      <c r="AC21">
        <f>N('Cargo Econs 2026'!O191)</f>
        <v>17800</v>
      </c>
      <c r="AD21">
        <f>N('Cargo Econs 2026'!O192)</f>
        <v>0</v>
      </c>
      <c r="AE21">
        <f>N('Cargo Econs 2026'!O193)</f>
        <v>400</v>
      </c>
      <c r="AF21">
        <f>N('Cargo Econs 2026'!O194)</f>
        <v>500</v>
      </c>
      <c r="AG21">
        <f>N('Cargo Econs 2026'!O195)</f>
        <v>0</v>
      </c>
      <c r="AH21">
        <f>N('Cargo Econs 2026'!O196)</f>
        <v>2468</v>
      </c>
      <c r="AI21">
        <f t="shared" si="4"/>
        <v>21168</v>
      </c>
      <c r="AJ21">
        <f t="shared" si="5"/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EFE506D3CBA4888E7D62ED5724875" ma:contentTypeVersion="6" ma:contentTypeDescription="Create a new document." ma:contentTypeScope="" ma:versionID="f23482f79c036affb5bd5c62e09982f3">
  <xsd:schema xmlns:xsd="http://www.w3.org/2001/XMLSchema" xmlns:xs="http://www.w3.org/2001/XMLSchema" xmlns:p="http://schemas.microsoft.com/office/2006/metadata/properties" xmlns:ns2="36e14a8e-c74d-4f08-b1bc-6b2bb7fbf0dd" xmlns:ns3="dcf2f03c-c908-42e4-94cb-de5a81d32c85" targetNamespace="http://schemas.microsoft.com/office/2006/metadata/properties" ma:root="true" ma:fieldsID="4a822a9222c7691a00206b520a5efcde" ns2:_="" ns3:_="">
    <xsd:import namespace="36e14a8e-c74d-4f08-b1bc-6b2bb7fbf0dd"/>
    <xsd:import namespace="dcf2f03c-c908-42e4-94cb-de5a81d32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14a8e-c74d-4f08-b1bc-6b2bb7fbf0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2f03c-c908-42e4-94cb-de5a81d32c8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72E313-2073-453E-B171-DB87E6AFB5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e14a8e-c74d-4f08-b1bc-6b2bb7fbf0dd"/>
    <ds:schemaRef ds:uri="dcf2f03c-c908-42e4-94cb-de5a81d32c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52DB08-80F0-42FA-A2FE-D5DE7537D079}">
  <ds:schemaRefs>
    <ds:schemaRef ds:uri="http://gemini/pivotcustomization/FormulaBarState"/>
  </ds:schemaRefs>
</ds:datastoreItem>
</file>

<file path=customXml/itemProps3.xml><?xml version="1.0" encoding="utf-8"?>
<ds:datastoreItem xmlns:ds="http://schemas.openxmlformats.org/officeDocument/2006/customXml" ds:itemID="{14EA0988-84FE-4BCD-86B8-743910499880}">
  <ds:schemaRefs>
    <ds:schemaRef ds:uri="http://gemini/pivotcustomization/TableWidget"/>
  </ds:schemaRefs>
</ds:datastoreItem>
</file>

<file path=customXml/itemProps4.xml><?xml version="1.0" encoding="utf-8"?>
<ds:datastoreItem xmlns:ds="http://schemas.openxmlformats.org/officeDocument/2006/customXml" ds:itemID="{ACC2F096-9C81-4452-A194-B2AEC70CD612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4AC5FB2-9F79-45BF-8B83-46B2B9FFEA6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</vt:i4>
      </vt:variant>
    </vt:vector>
  </HeadingPairs>
  <TitlesOfParts>
    <vt:vector size="39" baseType="lpstr">
      <vt:lpstr>Dashboard</vt:lpstr>
      <vt:lpstr>Cost Dashboard</vt:lpstr>
      <vt:lpstr>Report</vt:lpstr>
      <vt:lpstr>Control</vt:lpstr>
      <vt:lpstr>Trades 2026 1.14</vt:lpstr>
      <vt:lpstr>Trades 2026</vt:lpstr>
      <vt:lpstr>PnL26</vt:lpstr>
      <vt:lpstr>Cargo Econs 2026</vt:lpstr>
      <vt:lpstr>Cargo Econs 2025</vt:lpstr>
      <vt:lpstr>2025 EOY</vt:lpstr>
      <vt:lpstr>Ledger</vt:lpstr>
      <vt:lpstr>Pricing et. al</vt:lpstr>
      <vt:lpstr>Dated</vt:lpstr>
      <vt:lpstr>PnL</vt:lpstr>
      <vt:lpstr>WTI Sprds</vt:lpstr>
      <vt:lpstr>Control-Prices</vt:lpstr>
      <vt:lpstr>BBG</vt:lpstr>
      <vt:lpstr>Brent Sprds</vt:lpstr>
      <vt:lpstr>WTI-Brent</vt:lpstr>
      <vt:lpstr>Cargo Data</vt:lpstr>
      <vt:lpstr>CostDemK</vt:lpstr>
      <vt:lpstr>CostFlag</vt:lpstr>
      <vt:lpstr>CostFreightK</vt:lpstr>
      <vt:lpstr>CostInclFlag</vt:lpstr>
      <vt:lpstr>CostMonth</vt:lpstr>
      <vt:lpstr>CostOtherK</vt:lpstr>
      <vt:lpstr>CostSTSK</vt:lpstr>
      <vt:lpstr>CostTD7K</vt:lpstr>
      <vt:lpstr>CostTotalK</vt:lpstr>
      <vt:lpstr>CostTVMK</vt:lpstr>
      <vt:lpstr>CostVessel</vt:lpstr>
      <vt:lpstr>FilterFlag</vt:lpstr>
      <vt:lpstr>FilterMonth</vt:lpstr>
      <vt:lpstr>FilterVessel</vt:lpstr>
      <vt:lpstr>'Brent Sprds'!Ledgerdd</vt:lpstr>
      <vt:lpstr>'Cargo Econs 2026'!Ledgerdd</vt:lpstr>
      <vt:lpstr>'Trades 2026'!Ledgerdd</vt:lpstr>
      <vt:lpstr>'WTI-Brent'!Ledgerdd</vt:lpstr>
      <vt:lpstr>Ledgerdd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Cantafio, Alberto (ATA)</dc:creator>
  <cp:keywords/>
  <dc:description/>
  <cp:lastModifiedBy>Cantafio, Alberto (ATA)</cp:lastModifiedBy>
  <cp:revision/>
  <dcterms:created xsi:type="dcterms:W3CDTF">2025-08-21T21:04:36Z</dcterms:created>
  <dcterms:modified xsi:type="dcterms:W3CDTF">2026-09-30T19:44:52Z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0x010100872EFE506D3CBA4888E7D62ED5724875</vt:lpwstr>
  </property>
  <property fmtid="{D5CDD505-2E9C-101B-9397-08002B2CF9AE}" pid="3" name="MSIP_Label_90688344-d8b2-44fd-b45c-df5b89a4ff6b_Enabled">
    <vt:lpwstr>true</vt:lpwstr>
  </property>
  <property fmtid="{D5CDD505-2E9C-101B-9397-08002B2CF9AE}" pid="4" name="MSIP_Label_90688344-d8b2-44fd-b45c-df5b89a4ff6b_SetDate">
    <vt:lpwstr>2025-08-20T23:20:26Z</vt:lpwstr>
  </property>
  <property fmtid="{D5CDD505-2E9C-101B-9397-08002B2CF9AE}" pid="5" name="MSIP_Label_90688344-d8b2-44fd-b45c-df5b89a4ff6b_Method">
    <vt:lpwstr>Privileged</vt:lpwstr>
  </property>
  <property fmtid="{D5CDD505-2E9C-101B-9397-08002B2CF9AE}" pid="6" name="MSIP_Label_90688344-d8b2-44fd-b45c-df5b89a4ff6b_Name">
    <vt:lpwstr>General Use</vt:lpwstr>
  </property>
  <property fmtid="{D5CDD505-2E9C-101B-9397-08002B2CF9AE}" pid="7" name="MSIP_Label_90688344-d8b2-44fd-b45c-df5b89a4ff6b_SiteId">
    <vt:lpwstr>38ca91a6-87a7-4ff5-8448-258e723a7d40</vt:lpwstr>
  </property>
  <property fmtid="{D5CDD505-2E9C-101B-9397-08002B2CF9AE}" pid="8" name="MSIP_Label_90688344-d8b2-44fd-b45c-df5b89a4ff6b_ActionId">
    <vt:lpwstr>7a9dc12d-035c-4799-9fd1-b074ee8ea35b</vt:lpwstr>
  </property>
  <property fmtid="{D5CDD505-2E9C-101B-9397-08002B2CF9AE}" pid="9" name="MSIP_Label_90688344-d8b2-44fd-b45c-df5b89a4ff6b_ContentBits">
    <vt:lpwstr>3</vt:lpwstr>
  </property>
  <property fmtid="{D5CDD505-2E9C-101B-9397-08002B2CF9AE}" pid="10" name="MSIP_Label_90688344-d8b2-44fd-b45c-df5b89a4ff6b_Tag">
    <vt:lpwstr>10, 0, 1, 1</vt:lpwstr>
  </property>
  <property fmtid="{D5CDD505-2E9C-101B-9397-08002B2CF9AE}" pid="11" name="SpreadsheetBuilder_1">
    <vt:lpwstr>eyIwIjoiSGlzdG9yeSIsIjEiOjAsIjIiOjEsIjMiOjEsIjQiOjEsIjUiOjEsIjYiOjEsIjciOjEsIjgiOjAsIjkiOjEsIjEwIjoxLCIxMSI6MCwiMTIiOjB9</vt:lpwstr>
  </property>
  <property fmtid="{D5CDD505-2E9C-101B-9397-08002B2CF9AE}" pid="12" name="SSR_MIGRATION_STATUS">
    <vt:lpwstr>2</vt:lpwstr>
  </property>
</Properties>
</file>